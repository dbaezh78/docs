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b\Github\docs\"/>
    </mc:Choice>
  </mc:AlternateContent>
  <xr:revisionPtr revIDLastSave="0" documentId="13_ncr:1_{E475AAF5-B5E7-414A-B572-B71ADBBECEB1}" xr6:coauthVersionLast="47" xr6:coauthVersionMax="47" xr10:uidLastSave="{00000000-0000-0000-0000-000000000000}"/>
  <bookViews>
    <workbookView xWindow="-120" yWindow="-120" windowWidth="51840" windowHeight="21120" activeTab="17" xr2:uid="{867BC6F0-6600-4F95-BA32-DE5751AAAA8E}"/>
  </bookViews>
  <sheets>
    <sheet name="Indice" sheetId="5" r:id="rId1"/>
    <sheet name="Sheet1" sheetId="1" r:id="rId2"/>
    <sheet name="Filtros" sheetId="2" r:id="rId3"/>
    <sheet name="Filtros (2)" sheetId="3" r:id="rId4"/>
    <sheet name="content " sheetId="4" r:id="rId5"/>
    <sheet name="Tiempos" sheetId="10" r:id="rId6"/>
    <sheet name="Indice (bk)" sheetId="25" r:id="rId7"/>
    <sheet name="Entrada" sheetId="15" r:id="rId8"/>
    <sheet name="Adviento" sheetId="7" r:id="rId9"/>
    <sheet name="Navidad" sheetId="11" r:id="rId10"/>
    <sheet name="Cuaresma" sheetId="14" r:id="rId11"/>
    <sheet name="Pascua" sheetId="21" r:id="rId12"/>
    <sheet name="Pentecostés" sheetId="23" r:id="rId13"/>
    <sheet name="Virgen" sheetId="24" r:id="rId14"/>
    <sheet name="Paz" sheetId="22" r:id="rId15"/>
    <sheet name="Pan" sheetId="20" r:id="rId16"/>
    <sheet name="Comunión" sheetId="13" r:id="rId17"/>
    <sheet name="Niños" sheetId="18" r:id="rId18"/>
    <sheet name="Laudes" sheetId="17" r:id="rId19"/>
    <sheet name="Nuevo Testamento" sheetId="19" r:id="rId20"/>
    <sheet name="Antiguo Testamento" sheetId="12" r:id="rId21"/>
    <sheet name="Final" sheetId="16" r:id="rId22"/>
  </sheets>
  <definedNames>
    <definedName name="_xlnm._FilterDatabase" localSheetId="0" hidden="1">Indice!$C$2:$D$236</definedName>
    <definedName name="_xlnm._FilterDatabase" localSheetId="6" hidden="1">'Indice (bk)'!$A$1:$B$232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3" i="5" l="1"/>
  <c r="E43" i="5"/>
  <c r="G43" i="5"/>
  <c r="H43" i="5"/>
  <c r="I43" i="5"/>
  <c r="K43" i="5"/>
  <c r="L43" i="5"/>
  <c r="M43" i="5"/>
  <c r="N43" i="5"/>
  <c r="O43" i="5"/>
  <c r="P43" i="5"/>
  <c r="Q43" i="5"/>
  <c r="R43" i="5"/>
  <c r="S43" i="5"/>
  <c r="T43" i="5"/>
  <c r="U43" i="5"/>
  <c r="V43" i="5" a="1"/>
  <c r="V43" i="5" s="1"/>
  <c r="W43" i="5" l="1"/>
  <c r="E235" i="5" l="1"/>
  <c r="E236" i="5"/>
  <c r="V236" i="5" s="1" a="1"/>
  <c r="V236" i="5" s="1"/>
  <c r="G235" i="5"/>
  <c r="G236" i="5"/>
  <c r="H235" i="5"/>
  <c r="H236" i="5"/>
  <c r="I235" i="5"/>
  <c r="I236" i="5"/>
  <c r="J235" i="5"/>
  <c r="J236" i="5"/>
  <c r="K235" i="5"/>
  <c r="K236" i="5"/>
  <c r="L235" i="5"/>
  <c r="L236" i="5"/>
  <c r="M235" i="5"/>
  <c r="M236" i="5"/>
  <c r="N235" i="5"/>
  <c r="N236" i="5"/>
  <c r="O235" i="5"/>
  <c r="O236" i="5"/>
  <c r="P235" i="5"/>
  <c r="P236" i="5"/>
  <c r="Q235" i="5"/>
  <c r="Q236" i="5"/>
  <c r="R235" i="5"/>
  <c r="R236" i="5"/>
  <c r="S235" i="5"/>
  <c r="S236" i="5"/>
  <c r="T235" i="5"/>
  <c r="T236" i="5"/>
  <c r="U235" i="5"/>
  <c r="U236" i="5"/>
  <c r="V235" i="5" a="1"/>
  <c r="V235" i="5" s="1"/>
  <c r="E3" i="5"/>
  <c r="V3" i="5" s="1" a="1"/>
  <c r="V3" i="5" s="1"/>
  <c r="E4" i="5"/>
  <c r="V4" i="5" s="1" a="1"/>
  <c r="V4" i="5" s="1"/>
  <c r="E5" i="5"/>
  <c r="V5" i="5" s="1" a="1"/>
  <c r="V5" i="5" s="1"/>
  <c r="E6" i="5"/>
  <c r="V6" i="5" s="1" a="1"/>
  <c r="V6" i="5" s="1"/>
  <c r="E7" i="5"/>
  <c r="V7" i="5" s="1" a="1"/>
  <c r="V7" i="5" s="1"/>
  <c r="E8" i="5"/>
  <c r="V8" i="5" s="1" a="1"/>
  <c r="V8" i="5" s="1"/>
  <c r="E9" i="5"/>
  <c r="V9" i="5" s="1" a="1"/>
  <c r="V9" i="5" s="1"/>
  <c r="E10" i="5"/>
  <c r="V10" i="5" s="1" a="1"/>
  <c r="V10" i="5" s="1"/>
  <c r="E11" i="5"/>
  <c r="V11" i="5" s="1" a="1"/>
  <c r="V11" i="5" s="1"/>
  <c r="E12" i="5"/>
  <c r="V12" i="5" s="1" a="1"/>
  <c r="V12" i="5" s="1"/>
  <c r="E13" i="5"/>
  <c r="V13" i="5" s="1" a="1"/>
  <c r="V13" i="5" s="1"/>
  <c r="E14" i="5"/>
  <c r="V14" i="5" s="1" a="1"/>
  <c r="V14" i="5" s="1"/>
  <c r="E15" i="5"/>
  <c r="V15" i="5" s="1" a="1"/>
  <c r="V15" i="5" s="1"/>
  <c r="E16" i="5"/>
  <c r="V16" i="5" s="1" a="1"/>
  <c r="V16" i="5" s="1"/>
  <c r="E17" i="5"/>
  <c r="V17" i="5" s="1" a="1"/>
  <c r="V17" i="5" s="1"/>
  <c r="E18" i="5"/>
  <c r="V18" i="5" s="1" a="1"/>
  <c r="V18" i="5" s="1"/>
  <c r="E19" i="5"/>
  <c r="V19" i="5" s="1" a="1"/>
  <c r="V19" i="5" s="1"/>
  <c r="E20" i="5"/>
  <c r="V20" i="5" s="1" a="1"/>
  <c r="V20" i="5" s="1"/>
  <c r="E21" i="5"/>
  <c r="V21" i="5" s="1" a="1"/>
  <c r="V21" i="5" s="1"/>
  <c r="E22" i="5"/>
  <c r="V22" i="5" s="1" a="1"/>
  <c r="V22" i="5" s="1"/>
  <c r="E23" i="5"/>
  <c r="V23" i="5" s="1" a="1"/>
  <c r="V23" i="5" s="1"/>
  <c r="E24" i="5"/>
  <c r="V24" i="5" s="1" a="1"/>
  <c r="V24" i="5" s="1"/>
  <c r="E25" i="5"/>
  <c r="V25" i="5" s="1" a="1"/>
  <c r="V25" i="5" s="1"/>
  <c r="E26" i="5"/>
  <c r="V26" i="5" s="1" a="1"/>
  <c r="V26" i="5" s="1"/>
  <c r="E27" i="5"/>
  <c r="V27" i="5" s="1" a="1"/>
  <c r="V27" i="5" s="1"/>
  <c r="E28" i="5"/>
  <c r="V28" i="5" s="1" a="1"/>
  <c r="V28" i="5" s="1"/>
  <c r="E29" i="5"/>
  <c r="V29" i="5" s="1" a="1"/>
  <c r="V29" i="5" s="1"/>
  <c r="E30" i="5"/>
  <c r="V30" i="5" s="1" a="1"/>
  <c r="V30" i="5" s="1"/>
  <c r="E31" i="5"/>
  <c r="V31" i="5" s="1" a="1"/>
  <c r="V31" i="5" s="1"/>
  <c r="E32" i="5"/>
  <c r="V32" i="5" s="1" a="1"/>
  <c r="V32" i="5" s="1"/>
  <c r="E33" i="5"/>
  <c r="V33" i="5" s="1" a="1"/>
  <c r="V33" i="5" s="1"/>
  <c r="E34" i="5"/>
  <c r="V34" i="5" s="1" a="1"/>
  <c r="V34" i="5" s="1"/>
  <c r="E35" i="5"/>
  <c r="V35" i="5" s="1" a="1"/>
  <c r="V35" i="5" s="1"/>
  <c r="E36" i="5"/>
  <c r="V36" i="5" s="1" a="1"/>
  <c r="V36" i="5" s="1"/>
  <c r="E37" i="5"/>
  <c r="V37" i="5" s="1" a="1"/>
  <c r="V37" i="5" s="1"/>
  <c r="E38" i="5"/>
  <c r="V38" i="5" s="1" a="1"/>
  <c r="V38" i="5" s="1"/>
  <c r="E39" i="5"/>
  <c r="V39" i="5" s="1" a="1"/>
  <c r="V39" i="5" s="1"/>
  <c r="E40" i="5"/>
  <c r="V40" i="5" s="1" a="1"/>
  <c r="V40" i="5" s="1"/>
  <c r="E41" i="5"/>
  <c r="V41" i="5" s="1" a="1"/>
  <c r="V41" i="5" s="1"/>
  <c r="E42" i="5"/>
  <c r="V42" i="5" s="1" a="1"/>
  <c r="V42" i="5" s="1"/>
  <c r="E44" i="5"/>
  <c r="V44" i="5" s="1" a="1"/>
  <c r="V44" i="5" s="1"/>
  <c r="E45" i="5"/>
  <c r="V45" i="5" s="1" a="1"/>
  <c r="V45" i="5" s="1"/>
  <c r="E46" i="5"/>
  <c r="V46" i="5" s="1" a="1"/>
  <c r="V46" i="5" s="1"/>
  <c r="E47" i="5"/>
  <c r="V47" i="5" s="1" a="1"/>
  <c r="V47" i="5" s="1"/>
  <c r="E48" i="5"/>
  <c r="V48" i="5" s="1" a="1"/>
  <c r="V48" i="5" s="1"/>
  <c r="E49" i="5"/>
  <c r="V49" i="5" s="1" a="1"/>
  <c r="V49" i="5" s="1"/>
  <c r="E50" i="5"/>
  <c r="V50" i="5" s="1" a="1"/>
  <c r="V50" i="5" s="1"/>
  <c r="E51" i="5"/>
  <c r="V51" i="5" s="1" a="1"/>
  <c r="V51" i="5" s="1"/>
  <c r="E52" i="5"/>
  <c r="V52" i="5" s="1" a="1"/>
  <c r="V52" i="5" s="1"/>
  <c r="E53" i="5"/>
  <c r="V53" i="5" s="1" a="1"/>
  <c r="V53" i="5" s="1"/>
  <c r="E54" i="5"/>
  <c r="V54" i="5" s="1" a="1"/>
  <c r="V54" i="5" s="1"/>
  <c r="E55" i="5"/>
  <c r="V55" i="5" s="1" a="1"/>
  <c r="V55" i="5" s="1"/>
  <c r="E56" i="5"/>
  <c r="V56" i="5" s="1" a="1"/>
  <c r="V56" i="5" s="1"/>
  <c r="E57" i="5"/>
  <c r="V57" i="5" s="1" a="1"/>
  <c r="V57" i="5" s="1"/>
  <c r="E58" i="5"/>
  <c r="V58" i="5" s="1" a="1"/>
  <c r="V58" i="5" s="1"/>
  <c r="E59" i="5"/>
  <c r="V59" i="5" s="1" a="1"/>
  <c r="V59" i="5" s="1"/>
  <c r="E60" i="5"/>
  <c r="V60" i="5" s="1" a="1"/>
  <c r="V60" i="5" s="1"/>
  <c r="E61" i="5"/>
  <c r="V61" i="5" s="1" a="1"/>
  <c r="V61" i="5" s="1"/>
  <c r="E62" i="5"/>
  <c r="V62" i="5" s="1" a="1"/>
  <c r="V62" i="5" s="1"/>
  <c r="E63" i="5"/>
  <c r="V63" i="5" s="1" a="1"/>
  <c r="V63" i="5" s="1"/>
  <c r="E64" i="5"/>
  <c r="V64" i="5" s="1" a="1"/>
  <c r="V64" i="5" s="1"/>
  <c r="E65" i="5"/>
  <c r="V65" i="5" s="1" a="1"/>
  <c r="V65" i="5" s="1"/>
  <c r="E66" i="5"/>
  <c r="V66" i="5" s="1" a="1"/>
  <c r="V66" i="5" s="1"/>
  <c r="E67" i="5"/>
  <c r="V67" i="5" s="1" a="1"/>
  <c r="V67" i="5" s="1"/>
  <c r="E68" i="5"/>
  <c r="V68" i="5" s="1" a="1"/>
  <c r="V68" i="5" s="1"/>
  <c r="E69" i="5"/>
  <c r="V69" i="5" s="1" a="1"/>
  <c r="V69" i="5" s="1"/>
  <c r="E70" i="5"/>
  <c r="V70" i="5" s="1" a="1"/>
  <c r="V70" i="5" s="1"/>
  <c r="E71" i="5"/>
  <c r="V71" i="5" s="1" a="1"/>
  <c r="V71" i="5" s="1"/>
  <c r="E72" i="5"/>
  <c r="V72" i="5" s="1" a="1"/>
  <c r="V72" i="5" s="1"/>
  <c r="E73" i="5"/>
  <c r="V73" i="5" s="1" a="1"/>
  <c r="V73" i="5" s="1"/>
  <c r="E74" i="5"/>
  <c r="V74" i="5" s="1" a="1"/>
  <c r="V74" i="5" s="1"/>
  <c r="E75" i="5"/>
  <c r="V75" i="5" s="1" a="1"/>
  <c r="V75" i="5" s="1"/>
  <c r="E76" i="5"/>
  <c r="V76" i="5" s="1" a="1"/>
  <c r="V76" i="5" s="1"/>
  <c r="E77" i="5"/>
  <c r="V77" i="5" s="1" a="1"/>
  <c r="V77" i="5" s="1"/>
  <c r="E78" i="5"/>
  <c r="V78" i="5" s="1" a="1"/>
  <c r="V78" i="5" s="1"/>
  <c r="E79" i="5"/>
  <c r="V79" i="5" s="1" a="1"/>
  <c r="V79" i="5" s="1"/>
  <c r="E80" i="5"/>
  <c r="V80" i="5" s="1" a="1"/>
  <c r="V80" i="5" s="1"/>
  <c r="E81" i="5"/>
  <c r="V81" i="5" s="1" a="1"/>
  <c r="V81" i="5" s="1"/>
  <c r="E82" i="5"/>
  <c r="V82" i="5" s="1" a="1"/>
  <c r="V82" i="5" s="1"/>
  <c r="E83" i="5"/>
  <c r="V83" i="5" s="1" a="1"/>
  <c r="V83" i="5" s="1"/>
  <c r="E84" i="5"/>
  <c r="V84" i="5" s="1" a="1"/>
  <c r="V84" i="5" s="1"/>
  <c r="E85" i="5"/>
  <c r="V85" i="5" s="1" a="1"/>
  <c r="V85" i="5" s="1"/>
  <c r="E86" i="5"/>
  <c r="V86" i="5" s="1" a="1"/>
  <c r="V86" i="5" s="1"/>
  <c r="E87" i="5"/>
  <c r="V87" i="5" s="1" a="1"/>
  <c r="V87" i="5" s="1"/>
  <c r="E88" i="5"/>
  <c r="V88" i="5" s="1" a="1"/>
  <c r="V88" i="5" s="1"/>
  <c r="E89" i="5"/>
  <c r="V89" i="5" s="1" a="1"/>
  <c r="V89" i="5" s="1"/>
  <c r="E90" i="5"/>
  <c r="V90" i="5" s="1" a="1"/>
  <c r="V90" i="5" s="1"/>
  <c r="E91" i="5"/>
  <c r="V91" i="5" s="1" a="1"/>
  <c r="V91" i="5" s="1"/>
  <c r="E92" i="5"/>
  <c r="V92" i="5" s="1" a="1"/>
  <c r="V92" i="5" s="1"/>
  <c r="E93" i="5"/>
  <c r="V93" i="5" s="1" a="1"/>
  <c r="V93" i="5" s="1"/>
  <c r="E94" i="5"/>
  <c r="V94" i="5" s="1" a="1"/>
  <c r="V94" i="5" s="1"/>
  <c r="E95" i="5"/>
  <c r="V95" i="5" s="1" a="1"/>
  <c r="V95" i="5" s="1"/>
  <c r="E96" i="5"/>
  <c r="V96" i="5" s="1" a="1"/>
  <c r="V96" i="5" s="1"/>
  <c r="E97" i="5"/>
  <c r="V97" i="5" s="1" a="1"/>
  <c r="V97" i="5" s="1"/>
  <c r="E98" i="5"/>
  <c r="V98" i="5" s="1" a="1"/>
  <c r="V98" i="5" s="1"/>
  <c r="E99" i="5"/>
  <c r="V99" i="5" s="1" a="1"/>
  <c r="V99" i="5" s="1"/>
  <c r="E100" i="5"/>
  <c r="V100" i="5" s="1" a="1"/>
  <c r="V100" i="5" s="1"/>
  <c r="E101" i="5"/>
  <c r="V101" i="5" s="1" a="1"/>
  <c r="V101" i="5" s="1"/>
  <c r="E102" i="5"/>
  <c r="V102" i="5" s="1" a="1"/>
  <c r="V102" i="5" s="1"/>
  <c r="E103" i="5"/>
  <c r="V103" i="5" s="1" a="1"/>
  <c r="V103" i="5" s="1"/>
  <c r="E104" i="5"/>
  <c r="V104" i="5" s="1" a="1"/>
  <c r="V104" i="5" s="1"/>
  <c r="E105" i="5"/>
  <c r="V105" i="5" s="1" a="1"/>
  <c r="V105" i="5" s="1"/>
  <c r="E106" i="5"/>
  <c r="V106" i="5" s="1" a="1"/>
  <c r="V106" i="5" s="1"/>
  <c r="E107" i="5"/>
  <c r="V107" i="5" s="1" a="1"/>
  <c r="V107" i="5" s="1"/>
  <c r="E108" i="5"/>
  <c r="V108" i="5" s="1" a="1"/>
  <c r="V108" i="5" s="1"/>
  <c r="E109" i="5"/>
  <c r="V109" i="5" s="1" a="1"/>
  <c r="V109" i="5" s="1"/>
  <c r="E110" i="5"/>
  <c r="V110" i="5" s="1" a="1"/>
  <c r="V110" i="5" s="1"/>
  <c r="E111" i="5"/>
  <c r="V111" i="5" s="1" a="1"/>
  <c r="V111" i="5" s="1"/>
  <c r="E112" i="5"/>
  <c r="V112" i="5" s="1" a="1"/>
  <c r="V112" i="5" s="1"/>
  <c r="E113" i="5"/>
  <c r="V113" i="5" s="1" a="1"/>
  <c r="V113" i="5" s="1"/>
  <c r="E114" i="5"/>
  <c r="V114" i="5" s="1" a="1"/>
  <c r="V114" i="5" s="1"/>
  <c r="E115" i="5"/>
  <c r="V115" i="5" s="1" a="1"/>
  <c r="V115" i="5" s="1"/>
  <c r="E116" i="5"/>
  <c r="V116" i="5" s="1" a="1"/>
  <c r="V116" i="5" s="1"/>
  <c r="E117" i="5"/>
  <c r="V117" i="5" s="1" a="1"/>
  <c r="V117" i="5" s="1"/>
  <c r="E118" i="5"/>
  <c r="V118" i="5" s="1" a="1"/>
  <c r="V118" i="5" s="1"/>
  <c r="E119" i="5"/>
  <c r="V119" i="5" s="1" a="1"/>
  <c r="V119" i="5" s="1"/>
  <c r="E120" i="5"/>
  <c r="V120" i="5" s="1" a="1"/>
  <c r="V120" i="5" s="1"/>
  <c r="E121" i="5"/>
  <c r="V121" i="5" s="1" a="1"/>
  <c r="V121" i="5" s="1"/>
  <c r="E122" i="5"/>
  <c r="V122" i="5" s="1" a="1"/>
  <c r="V122" i="5" s="1"/>
  <c r="E123" i="5"/>
  <c r="V123" i="5" s="1" a="1"/>
  <c r="V123" i="5" s="1"/>
  <c r="E124" i="5"/>
  <c r="V124" i="5" s="1" a="1"/>
  <c r="V124" i="5" s="1"/>
  <c r="E125" i="5"/>
  <c r="V125" i="5" s="1" a="1"/>
  <c r="V125" i="5" s="1"/>
  <c r="E126" i="5"/>
  <c r="V126" i="5" s="1" a="1"/>
  <c r="V126" i="5" s="1"/>
  <c r="E127" i="5"/>
  <c r="V127" i="5" s="1" a="1"/>
  <c r="V127" i="5" s="1"/>
  <c r="E128" i="5"/>
  <c r="V128" i="5" s="1" a="1"/>
  <c r="V128" i="5" s="1"/>
  <c r="E129" i="5"/>
  <c r="V129" i="5" s="1" a="1"/>
  <c r="V129" i="5" s="1"/>
  <c r="E130" i="5"/>
  <c r="V130" i="5" s="1" a="1"/>
  <c r="V130" i="5" s="1"/>
  <c r="E131" i="5"/>
  <c r="V131" i="5" s="1" a="1"/>
  <c r="V131" i="5" s="1"/>
  <c r="E132" i="5"/>
  <c r="V132" i="5" s="1" a="1"/>
  <c r="V132" i="5" s="1"/>
  <c r="E133" i="5"/>
  <c r="V133" i="5" s="1" a="1"/>
  <c r="V133" i="5" s="1"/>
  <c r="E134" i="5"/>
  <c r="V134" i="5" s="1" a="1"/>
  <c r="V134" i="5" s="1"/>
  <c r="E135" i="5"/>
  <c r="V135" i="5" s="1" a="1"/>
  <c r="V135" i="5" s="1"/>
  <c r="E136" i="5"/>
  <c r="V136" i="5" s="1" a="1"/>
  <c r="V136" i="5" s="1"/>
  <c r="E137" i="5"/>
  <c r="V137" i="5" s="1" a="1"/>
  <c r="V137" i="5" s="1"/>
  <c r="E138" i="5"/>
  <c r="V138" i="5" s="1" a="1"/>
  <c r="V138" i="5" s="1"/>
  <c r="E139" i="5"/>
  <c r="V139" i="5" s="1" a="1"/>
  <c r="V139" i="5" s="1"/>
  <c r="E140" i="5"/>
  <c r="V140" i="5" s="1" a="1"/>
  <c r="V140" i="5" s="1"/>
  <c r="E141" i="5"/>
  <c r="V141" i="5" s="1" a="1"/>
  <c r="V141" i="5" s="1"/>
  <c r="E142" i="5"/>
  <c r="V142" i="5" s="1" a="1"/>
  <c r="V142" i="5" s="1"/>
  <c r="E143" i="5"/>
  <c r="V143" i="5" s="1" a="1"/>
  <c r="V143" i="5" s="1"/>
  <c r="E144" i="5"/>
  <c r="V144" i="5" s="1" a="1"/>
  <c r="V144" i="5" s="1"/>
  <c r="E145" i="5"/>
  <c r="V145" i="5" s="1" a="1"/>
  <c r="V145" i="5" s="1"/>
  <c r="E146" i="5"/>
  <c r="V146" i="5" s="1" a="1"/>
  <c r="V146" i="5" s="1"/>
  <c r="E147" i="5"/>
  <c r="V147" i="5" s="1" a="1"/>
  <c r="V147" i="5" s="1"/>
  <c r="E148" i="5"/>
  <c r="V148" i="5" s="1" a="1"/>
  <c r="V148" i="5" s="1"/>
  <c r="E149" i="5"/>
  <c r="V149" i="5" s="1" a="1"/>
  <c r="V149" i="5" s="1"/>
  <c r="E150" i="5"/>
  <c r="V150" i="5" s="1" a="1"/>
  <c r="V150" i="5" s="1"/>
  <c r="E151" i="5"/>
  <c r="V151" i="5" s="1" a="1"/>
  <c r="V151" i="5" s="1"/>
  <c r="E152" i="5"/>
  <c r="V152" i="5" s="1" a="1"/>
  <c r="V152" i="5" s="1"/>
  <c r="E153" i="5"/>
  <c r="V153" i="5" s="1" a="1"/>
  <c r="V153" i="5" s="1"/>
  <c r="E154" i="5"/>
  <c r="V154" i="5" s="1" a="1"/>
  <c r="V154" i="5" s="1"/>
  <c r="E155" i="5"/>
  <c r="V155" i="5" s="1" a="1"/>
  <c r="V155" i="5" s="1"/>
  <c r="E156" i="5"/>
  <c r="V156" i="5" s="1" a="1"/>
  <c r="V156" i="5" s="1"/>
  <c r="E157" i="5"/>
  <c r="V157" i="5" s="1" a="1"/>
  <c r="V157" i="5" s="1"/>
  <c r="E158" i="5"/>
  <c r="V158" i="5" s="1" a="1"/>
  <c r="V158" i="5" s="1"/>
  <c r="E159" i="5"/>
  <c r="V159" i="5" s="1" a="1"/>
  <c r="V159" i="5" s="1"/>
  <c r="E160" i="5"/>
  <c r="V160" i="5" s="1" a="1"/>
  <c r="V160" i="5" s="1"/>
  <c r="E161" i="5"/>
  <c r="V161" i="5" s="1" a="1"/>
  <c r="V161" i="5" s="1"/>
  <c r="E162" i="5"/>
  <c r="V162" i="5" s="1" a="1"/>
  <c r="V162" i="5" s="1"/>
  <c r="E163" i="5"/>
  <c r="V163" i="5" s="1" a="1"/>
  <c r="V163" i="5" s="1"/>
  <c r="E164" i="5"/>
  <c r="V164" i="5" s="1" a="1"/>
  <c r="V164" i="5" s="1"/>
  <c r="E165" i="5"/>
  <c r="V165" i="5" s="1" a="1"/>
  <c r="V165" i="5" s="1"/>
  <c r="E166" i="5"/>
  <c r="V166" i="5" s="1" a="1"/>
  <c r="V166" i="5" s="1"/>
  <c r="E167" i="5"/>
  <c r="V167" i="5" s="1" a="1"/>
  <c r="V167" i="5" s="1"/>
  <c r="E168" i="5"/>
  <c r="V168" i="5" s="1" a="1"/>
  <c r="V168" i="5" s="1"/>
  <c r="E169" i="5"/>
  <c r="V169" i="5" s="1" a="1"/>
  <c r="V169" i="5" s="1"/>
  <c r="E170" i="5"/>
  <c r="V170" i="5" s="1" a="1"/>
  <c r="V170" i="5" s="1"/>
  <c r="E171" i="5"/>
  <c r="V171" i="5" s="1" a="1"/>
  <c r="V171" i="5" s="1"/>
  <c r="E172" i="5"/>
  <c r="V172" i="5" s="1" a="1"/>
  <c r="V172" i="5" s="1"/>
  <c r="E173" i="5"/>
  <c r="V173" i="5" s="1" a="1"/>
  <c r="V173" i="5" s="1"/>
  <c r="E174" i="5"/>
  <c r="V174" i="5" s="1" a="1"/>
  <c r="V174" i="5" s="1"/>
  <c r="E175" i="5"/>
  <c r="V175" i="5" s="1" a="1"/>
  <c r="V175" i="5" s="1"/>
  <c r="E176" i="5"/>
  <c r="V176" i="5" s="1" a="1"/>
  <c r="V176" i="5" s="1"/>
  <c r="E177" i="5"/>
  <c r="V177" i="5" s="1" a="1"/>
  <c r="V177" i="5" s="1"/>
  <c r="E178" i="5"/>
  <c r="V178" i="5" s="1" a="1"/>
  <c r="V178" i="5" s="1"/>
  <c r="E179" i="5"/>
  <c r="V179" i="5" s="1" a="1"/>
  <c r="V179" i="5" s="1"/>
  <c r="E180" i="5"/>
  <c r="V180" i="5" s="1" a="1"/>
  <c r="V180" i="5" s="1"/>
  <c r="E181" i="5"/>
  <c r="V181" i="5" s="1" a="1"/>
  <c r="V181" i="5" s="1"/>
  <c r="E182" i="5"/>
  <c r="V182" i="5" s="1" a="1"/>
  <c r="V182" i="5" s="1"/>
  <c r="E183" i="5"/>
  <c r="V183" i="5" s="1" a="1"/>
  <c r="V183" i="5" s="1"/>
  <c r="E184" i="5"/>
  <c r="V184" i="5" s="1" a="1"/>
  <c r="V184" i="5" s="1"/>
  <c r="E185" i="5"/>
  <c r="V185" i="5" s="1" a="1"/>
  <c r="V185" i="5" s="1"/>
  <c r="E186" i="5"/>
  <c r="V186" i="5" s="1" a="1"/>
  <c r="V186" i="5" s="1"/>
  <c r="E187" i="5"/>
  <c r="V187" i="5" s="1" a="1"/>
  <c r="V187" i="5" s="1"/>
  <c r="E188" i="5"/>
  <c r="V188" i="5" s="1" a="1"/>
  <c r="V188" i="5" s="1"/>
  <c r="E189" i="5"/>
  <c r="V189" i="5" s="1" a="1"/>
  <c r="V189" i="5" s="1"/>
  <c r="E190" i="5"/>
  <c r="V190" i="5" s="1" a="1"/>
  <c r="V190" i="5" s="1"/>
  <c r="E191" i="5"/>
  <c r="V191" i="5" s="1" a="1"/>
  <c r="V191" i="5" s="1"/>
  <c r="E192" i="5"/>
  <c r="V192" i="5" s="1" a="1"/>
  <c r="V192" i="5" s="1"/>
  <c r="E193" i="5"/>
  <c r="V193" i="5" s="1" a="1"/>
  <c r="V193" i="5" s="1"/>
  <c r="E194" i="5"/>
  <c r="V194" i="5" s="1" a="1"/>
  <c r="V194" i="5" s="1"/>
  <c r="E195" i="5"/>
  <c r="V195" i="5" s="1" a="1"/>
  <c r="V195" i="5" s="1"/>
  <c r="E196" i="5"/>
  <c r="V196" i="5" s="1" a="1"/>
  <c r="V196" i="5" s="1"/>
  <c r="E197" i="5"/>
  <c r="V197" i="5" s="1" a="1"/>
  <c r="V197" i="5" s="1"/>
  <c r="E198" i="5"/>
  <c r="V198" i="5" s="1" a="1"/>
  <c r="V198" i="5" s="1"/>
  <c r="E199" i="5"/>
  <c r="V199" i="5" s="1" a="1"/>
  <c r="V199" i="5" s="1"/>
  <c r="E200" i="5"/>
  <c r="V200" i="5" s="1" a="1"/>
  <c r="V200" i="5" s="1"/>
  <c r="E201" i="5"/>
  <c r="V201" i="5" s="1" a="1"/>
  <c r="V201" i="5" s="1"/>
  <c r="E202" i="5"/>
  <c r="V202" i="5" s="1" a="1"/>
  <c r="V202" i="5" s="1"/>
  <c r="E203" i="5"/>
  <c r="V203" i="5" s="1" a="1"/>
  <c r="V203" i="5" s="1"/>
  <c r="E204" i="5"/>
  <c r="V204" i="5" s="1" a="1"/>
  <c r="V204" i="5" s="1"/>
  <c r="E205" i="5"/>
  <c r="V205" i="5" s="1" a="1"/>
  <c r="V205" i="5" s="1"/>
  <c r="E206" i="5"/>
  <c r="V206" i="5" s="1" a="1"/>
  <c r="V206" i="5" s="1"/>
  <c r="E207" i="5"/>
  <c r="V207" i="5" s="1" a="1"/>
  <c r="V207" i="5" s="1"/>
  <c r="E208" i="5"/>
  <c r="V208" i="5" s="1" a="1"/>
  <c r="V208" i="5" s="1"/>
  <c r="E209" i="5"/>
  <c r="V209" i="5" s="1" a="1"/>
  <c r="V209" i="5" s="1"/>
  <c r="E210" i="5"/>
  <c r="V210" i="5" s="1" a="1"/>
  <c r="V210" i="5" s="1"/>
  <c r="E211" i="5"/>
  <c r="V211" i="5" s="1" a="1"/>
  <c r="V211" i="5" s="1"/>
  <c r="E212" i="5"/>
  <c r="V212" i="5" s="1" a="1"/>
  <c r="V212" i="5" s="1"/>
  <c r="E213" i="5"/>
  <c r="V213" i="5" s="1" a="1"/>
  <c r="V213" i="5" s="1"/>
  <c r="E214" i="5"/>
  <c r="V214" i="5" s="1" a="1"/>
  <c r="V214" i="5" s="1"/>
  <c r="E215" i="5"/>
  <c r="V215" i="5" s="1" a="1"/>
  <c r="V215" i="5" s="1"/>
  <c r="E216" i="5"/>
  <c r="V216" i="5" s="1" a="1"/>
  <c r="V216" i="5" s="1"/>
  <c r="E217" i="5"/>
  <c r="V217" i="5" s="1" a="1"/>
  <c r="V217" i="5" s="1"/>
  <c r="E218" i="5"/>
  <c r="V218" i="5" s="1" a="1"/>
  <c r="V218" i="5" s="1"/>
  <c r="E219" i="5"/>
  <c r="V219" i="5" s="1" a="1"/>
  <c r="V219" i="5" s="1"/>
  <c r="E220" i="5"/>
  <c r="V220" i="5" s="1" a="1"/>
  <c r="V220" i="5" s="1"/>
  <c r="E221" i="5"/>
  <c r="V221" i="5" s="1" a="1"/>
  <c r="V221" i="5" s="1"/>
  <c r="E222" i="5"/>
  <c r="V222" i="5" s="1" a="1"/>
  <c r="V222" i="5" s="1"/>
  <c r="E223" i="5"/>
  <c r="V223" i="5" s="1" a="1"/>
  <c r="V223" i="5" s="1"/>
  <c r="E224" i="5"/>
  <c r="V224" i="5" s="1" a="1"/>
  <c r="V224" i="5" s="1"/>
  <c r="E225" i="5"/>
  <c r="V225" i="5" s="1" a="1"/>
  <c r="V225" i="5" s="1"/>
  <c r="E226" i="5"/>
  <c r="V226" i="5" s="1" a="1"/>
  <c r="V226" i="5" s="1"/>
  <c r="E227" i="5"/>
  <c r="V227" i="5" s="1" a="1"/>
  <c r="V227" i="5" s="1"/>
  <c r="E228" i="5"/>
  <c r="V228" i="5" s="1" a="1"/>
  <c r="V228" i="5" s="1"/>
  <c r="E229" i="5"/>
  <c r="V229" i="5" s="1" a="1"/>
  <c r="V229" i="5" s="1"/>
  <c r="E230" i="5"/>
  <c r="V230" i="5" s="1" a="1"/>
  <c r="V230" i="5" s="1"/>
  <c r="E231" i="5"/>
  <c r="V231" i="5" s="1" a="1"/>
  <c r="V231" i="5" s="1"/>
  <c r="E232" i="5"/>
  <c r="V232" i="5" s="1" a="1"/>
  <c r="V232" i="5" s="1"/>
  <c r="E233" i="5"/>
  <c r="V233" i="5" s="1" a="1"/>
  <c r="V233" i="5" s="1"/>
  <c r="E234" i="5"/>
  <c r="V234" i="5" s="1" a="1"/>
  <c r="V234" i="5" s="1"/>
  <c r="W235" i="5" l="1"/>
  <c r="W236" i="5"/>
  <c r="Q232" i="25" l="1"/>
  <c r="P232" i="25"/>
  <c r="O232" i="25"/>
  <c r="N232" i="25"/>
  <c r="M232" i="25"/>
  <c r="L232" i="25"/>
  <c r="K232" i="25"/>
  <c r="J232" i="25"/>
  <c r="I232" i="25"/>
  <c r="H232" i="25"/>
  <c r="G232" i="25"/>
  <c r="F232" i="25"/>
  <c r="E232" i="25"/>
  <c r="D232" i="25"/>
  <c r="C232" i="25"/>
  <c r="Q231" i="25"/>
  <c r="P231" i="25"/>
  <c r="O231" i="25"/>
  <c r="N231" i="25"/>
  <c r="M231" i="25"/>
  <c r="L231" i="25"/>
  <c r="K231" i="25"/>
  <c r="J231" i="25"/>
  <c r="I231" i="25"/>
  <c r="H231" i="25"/>
  <c r="G231" i="25"/>
  <c r="F231" i="25"/>
  <c r="E231" i="25"/>
  <c r="D231" i="25"/>
  <c r="C231" i="25"/>
  <c r="Q230" i="25"/>
  <c r="P230" i="25"/>
  <c r="O230" i="25"/>
  <c r="N230" i="25"/>
  <c r="M230" i="25"/>
  <c r="L230" i="25"/>
  <c r="K230" i="25"/>
  <c r="J230" i="25"/>
  <c r="I230" i="25"/>
  <c r="H230" i="25"/>
  <c r="G230" i="25"/>
  <c r="F230" i="25"/>
  <c r="E230" i="25"/>
  <c r="D230" i="25"/>
  <c r="C230" i="25"/>
  <c r="Q229" i="25"/>
  <c r="P229" i="25"/>
  <c r="O229" i="25"/>
  <c r="N229" i="25"/>
  <c r="M229" i="25"/>
  <c r="L229" i="25"/>
  <c r="K229" i="25"/>
  <c r="J229" i="25"/>
  <c r="I229" i="25"/>
  <c r="H229" i="25"/>
  <c r="G229" i="25"/>
  <c r="F229" i="25"/>
  <c r="E229" i="25"/>
  <c r="D229" i="25"/>
  <c r="C229" i="25"/>
  <c r="Q228" i="25"/>
  <c r="P228" i="25"/>
  <c r="O228" i="25"/>
  <c r="N228" i="25"/>
  <c r="M228" i="25"/>
  <c r="L228" i="25"/>
  <c r="K228" i="25"/>
  <c r="J228" i="25"/>
  <c r="I228" i="25"/>
  <c r="H228" i="25"/>
  <c r="G228" i="25"/>
  <c r="F228" i="25"/>
  <c r="E228" i="25"/>
  <c r="D228" i="25"/>
  <c r="C228" i="25"/>
  <c r="Q227" i="25"/>
  <c r="P227" i="25"/>
  <c r="O227" i="25"/>
  <c r="N227" i="25"/>
  <c r="M227" i="25"/>
  <c r="L227" i="25"/>
  <c r="K227" i="25"/>
  <c r="J227" i="25"/>
  <c r="I227" i="25"/>
  <c r="H227" i="25"/>
  <c r="G227" i="25"/>
  <c r="F227" i="25"/>
  <c r="E227" i="25"/>
  <c r="D227" i="25"/>
  <c r="C227" i="25"/>
  <c r="Q226" i="25"/>
  <c r="P226" i="25"/>
  <c r="O226" i="25"/>
  <c r="N226" i="25"/>
  <c r="M226" i="25"/>
  <c r="L226" i="25"/>
  <c r="K226" i="25"/>
  <c r="J226" i="25"/>
  <c r="I226" i="25"/>
  <c r="H226" i="25"/>
  <c r="G226" i="25"/>
  <c r="F226" i="25"/>
  <c r="E226" i="25"/>
  <c r="D226" i="25"/>
  <c r="C226" i="25"/>
  <c r="Q225" i="25"/>
  <c r="P225" i="25"/>
  <c r="O225" i="25"/>
  <c r="N225" i="25"/>
  <c r="M225" i="25"/>
  <c r="L225" i="25"/>
  <c r="K225" i="25"/>
  <c r="J225" i="25"/>
  <c r="I225" i="25"/>
  <c r="H225" i="25"/>
  <c r="G225" i="25"/>
  <c r="F225" i="25"/>
  <c r="E225" i="25"/>
  <c r="D225" i="25"/>
  <c r="C225" i="25"/>
  <c r="Q224" i="25"/>
  <c r="P224" i="25"/>
  <c r="O224" i="25"/>
  <c r="N224" i="25"/>
  <c r="M224" i="25"/>
  <c r="L224" i="25"/>
  <c r="K224" i="25"/>
  <c r="J224" i="25"/>
  <c r="I224" i="25"/>
  <c r="H224" i="25"/>
  <c r="G224" i="25"/>
  <c r="F224" i="25"/>
  <c r="E224" i="25"/>
  <c r="D224" i="25"/>
  <c r="C224" i="25"/>
  <c r="Q223" i="25"/>
  <c r="P223" i="25"/>
  <c r="O223" i="25"/>
  <c r="N223" i="25"/>
  <c r="M223" i="25"/>
  <c r="L223" i="25"/>
  <c r="K223" i="25"/>
  <c r="J223" i="25"/>
  <c r="I223" i="25"/>
  <c r="H223" i="25"/>
  <c r="G223" i="25"/>
  <c r="F223" i="25"/>
  <c r="E223" i="25"/>
  <c r="D223" i="25"/>
  <c r="C223" i="25"/>
  <c r="Q222" i="25"/>
  <c r="P222" i="25"/>
  <c r="O222" i="25"/>
  <c r="N222" i="25"/>
  <c r="M222" i="25"/>
  <c r="L222" i="25"/>
  <c r="K222" i="25"/>
  <c r="J222" i="25"/>
  <c r="I222" i="25"/>
  <c r="H222" i="25"/>
  <c r="G222" i="25"/>
  <c r="F222" i="25"/>
  <c r="E222" i="25"/>
  <c r="D222" i="25"/>
  <c r="C222" i="25"/>
  <c r="Q221" i="25"/>
  <c r="P221" i="25"/>
  <c r="O221" i="25"/>
  <c r="N221" i="25"/>
  <c r="M221" i="25"/>
  <c r="L221" i="25"/>
  <c r="K221" i="25"/>
  <c r="J221" i="25"/>
  <c r="I221" i="25"/>
  <c r="H221" i="25"/>
  <c r="G221" i="25"/>
  <c r="F221" i="25"/>
  <c r="E221" i="25"/>
  <c r="D221" i="25"/>
  <c r="C221" i="25"/>
  <c r="Q220" i="25"/>
  <c r="P220" i="25"/>
  <c r="O220" i="25"/>
  <c r="N220" i="25"/>
  <c r="M220" i="25"/>
  <c r="L220" i="25"/>
  <c r="K220" i="25"/>
  <c r="J220" i="25"/>
  <c r="I220" i="25"/>
  <c r="H220" i="25"/>
  <c r="G220" i="25"/>
  <c r="F220" i="25"/>
  <c r="E220" i="25"/>
  <c r="D220" i="25"/>
  <c r="C220" i="25"/>
  <c r="Q219" i="25"/>
  <c r="P219" i="25"/>
  <c r="O219" i="25"/>
  <c r="N219" i="25"/>
  <c r="M219" i="25"/>
  <c r="L219" i="25"/>
  <c r="K219" i="25"/>
  <c r="J219" i="25"/>
  <c r="I219" i="25"/>
  <c r="H219" i="25"/>
  <c r="G219" i="25"/>
  <c r="F219" i="25"/>
  <c r="E219" i="25"/>
  <c r="D219" i="25"/>
  <c r="C219" i="25"/>
  <c r="Q218" i="25"/>
  <c r="P218" i="25"/>
  <c r="O218" i="25"/>
  <c r="N218" i="25"/>
  <c r="M218" i="25"/>
  <c r="L218" i="25"/>
  <c r="K218" i="25"/>
  <c r="J218" i="25"/>
  <c r="I218" i="25"/>
  <c r="H218" i="25"/>
  <c r="G218" i="25"/>
  <c r="F218" i="25"/>
  <c r="E218" i="25"/>
  <c r="D218" i="25"/>
  <c r="C218" i="25"/>
  <c r="Q217" i="25"/>
  <c r="P217" i="25"/>
  <c r="O217" i="25"/>
  <c r="N217" i="25"/>
  <c r="M217" i="25"/>
  <c r="L217" i="25"/>
  <c r="K217" i="25"/>
  <c r="J217" i="25"/>
  <c r="I217" i="25"/>
  <c r="H217" i="25"/>
  <c r="G217" i="25"/>
  <c r="F217" i="25"/>
  <c r="E217" i="25"/>
  <c r="D217" i="25"/>
  <c r="C217" i="25"/>
  <c r="Q216" i="25"/>
  <c r="P216" i="25"/>
  <c r="O216" i="25"/>
  <c r="N216" i="25"/>
  <c r="M216" i="25"/>
  <c r="L216" i="25"/>
  <c r="K216" i="25"/>
  <c r="J216" i="25"/>
  <c r="I216" i="25"/>
  <c r="H216" i="25"/>
  <c r="G216" i="25"/>
  <c r="F216" i="25"/>
  <c r="E216" i="25"/>
  <c r="D216" i="25"/>
  <c r="C216" i="25"/>
  <c r="Q215" i="25"/>
  <c r="P215" i="25"/>
  <c r="O215" i="25"/>
  <c r="N215" i="25"/>
  <c r="M215" i="25"/>
  <c r="L215" i="25"/>
  <c r="K215" i="25"/>
  <c r="J215" i="25"/>
  <c r="I215" i="25"/>
  <c r="H215" i="25"/>
  <c r="G215" i="25"/>
  <c r="F215" i="25"/>
  <c r="E215" i="25"/>
  <c r="D215" i="25"/>
  <c r="C215" i="25"/>
  <c r="Q214" i="25"/>
  <c r="P214" i="25"/>
  <c r="O214" i="25"/>
  <c r="N214" i="25"/>
  <c r="M214" i="25"/>
  <c r="L214" i="25"/>
  <c r="K214" i="25"/>
  <c r="J214" i="25"/>
  <c r="I214" i="25"/>
  <c r="H214" i="25"/>
  <c r="G214" i="25"/>
  <c r="F214" i="25"/>
  <c r="E214" i="25"/>
  <c r="D214" i="25"/>
  <c r="C214" i="25"/>
  <c r="Q213" i="25"/>
  <c r="P213" i="25"/>
  <c r="O213" i="25"/>
  <c r="N213" i="25"/>
  <c r="M213" i="25"/>
  <c r="L213" i="25"/>
  <c r="K213" i="25"/>
  <c r="J213" i="25"/>
  <c r="I213" i="25"/>
  <c r="H213" i="25"/>
  <c r="G213" i="25"/>
  <c r="F213" i="25"/>
  <c r="E213" i="25"/>
  <c r="D213" i="25"/>
  <c r="C213" i="25"/>
  <c r="Q212" i="25"/>
  <c r="P212" i="25"/>
  <c r="O212" i="25"/>
  <c r="N212" i="25"/>
  <c r="M212" i="25"/>
  <c r="L212" i="25"/>
  <c r="K212" i="25"/>
  <c r="J212" i="25"/>
  <c r="I212" i="25"/>
  <c r="H212" i="25"/>
  <c r="G212" i="25"/>
  <c r="F212" i="25"/>
  <c r="E212" i="25"/>
  <c r="D212" i="25"/>
  <c r="C212" i="25"/>
  <c r="Q211" i="25"/>
  <c r="P211" i="25"/>
  <c r="O211" i="25"/>
  <c r="N211" i="25"/>
  <c r="M211" i="25"/>
  <c r="L211" i="25"/>
  <c r="K211" i="25"/>
  <c r="J211" i="25"/>
  <c r="I211" i="25"/>
  <c r="H211" i="25"/>
  <c r="G211" i="25"/>
  <c r="F211" i="25"/>
  <c r="E211" i="25"/>
  <c r="D211" i="25"/>
  <c r="C211" i="25"/>
  <c r="Q210" i="25"/>
  <c r="P210" i="25"/>
  <c r="O210" i="25"/>
  <c r="N210" i="25"/>
  <c r="M210" i="25"/>
  <c r="L210" i="25"/>
  <c r="K210" i="25"/>
  <c r="J210" i="25"/>
  <c r="I210" i="25"/>
  <c r="H210" i="25"/>
  <c r="G210" i="25"/>
  <c r="F210" i="25"/>
  <c r="E210" i="25"/>
  <c r="D210" i="25"/>
  <c r="C210" i="25"/>
  <c r="Q209" i="25"/>
  <c r="P209" i="25"/>
  <c r="O209" i="25"/>
  <c r="N209" i="25"/>
  <c r="M209" i="25"/>
  <c r="L209" i="25"/>
  <c r="K209" i="25"/>
  <c r="J209" i="25"/>
  <c r="I209" i="25"/>
  <c r="H209" i="25"/>
  <c r="G209" i="25"/>
  <c r="F209" i="25"/>
  <c r="E209" i="25"/>
  <c r="D209" i="25"/>
  <c r="C209" i="25"/>
  <c r="Q208" i="25"/>
  <c r="P208" i="25"/>
  <c r="O208" i="25"/>
  <c r="N208" i="25"/>
  <c r="M208" i="25"/>
  <c r="L208" i="25"/>
  <c r="K208" i="25"/>
  <c r="J208" i="25"/>
  <c r="I208" i="25"/>
  <c r="H208" i="25"/>
  <c r="G208" i="25"/>
  <c r="F208" i="25"/>
  <c r="E208" i="25"/>
  <c r="D208" i="25"/>
  <c r="C208" i="25"/>
  <c r="Q207" i="25"/>
  <c r="P207" i="25"/>
  <c r="O207" i="25"/>
  <c r="N207" i="25"/>
  <c r="M207" i="25"/>
  <c r="L207" i="25"/>
  <c r="K207" i="25"/>
  <c r="J207" i="25"/>
  <c r="I207" i="25"/>
  <c r="H207" i="25"/>
  <c r="G207" i="25"/>
  <c r="F207" i="25"/>
  <c r="E207" i="25"/>
  <c r="D207" i="25"/>
  <c r="C207" i="25"/>
  <c r="Q206" i="25"/>
  <c r="P206" i="25"/>
  <c r="O206" i="25"/>
  <c r="N206" i="25"/>
  <c r="M206" i="25"/>
  <c r="L206" i="25"/>
  <c r="K206" i="25"/>
  <c r="J206" i="25"/>
  <c r="I206" i="25"/>
  <c r="H206" i="25"/>
  <c r="G206" i="25"/>
  <c r="F206" i="25"/>
  <c r="E206" i="25"/>
  <c r="D206" i="25"/>
  <c r="C206" i="25"/>
  <c r="Q205" i="25"/>
  <c r="P205" i="25"/>
  <c r="O205" i="25"/>
  <c r="N205" i="25"/>
  <c r="M205" i="25"/>
  <c r="L205" i="25"/>
  <c r="K205" i="25"/>
  <c r="J205" i="25"/>
  <c r="I205" i="25"/>
  <c r="H205" i="25"/>
  <c r="G205" i="25"/>
  <c r="F205" i="25"/>
  <c r="E205" i="25"/>
  <c r="D205" i="25"/>
  <c r="C205" i="25"/>
  <c r="Q204" i="25"/>
  <c r="P204" i="25"/>
  <c r="O204" i="25"/>
  <c r="N204" i="25"/>
  <c r="M204" i="25"/>
  <c r="L204" i="25"/>
  <c r="K204" i="25"/>
  <c r="J204" i="25"/>
  <c r="I204" i="25"/>
  <c r="H204" i="25"/>
  <c r="G204" i="25"/>
  <c r="F204" i="25"/>
  <c r="E204" i="25"/>
  <c r="D204" i="25"/>
  <c r="C204" i="25"/>
  <c r="Q203" i="25"/>
  <c r="P203" i="25"/>
  <c r="O203" i="25"/>
  <c r="N203" i="25"/>
  <c r="M203" i="25"/>
  <c r="L203" i="25"/>
  <c r="K203" i="25"/>
  <c r="J203" i="25"/>
  <c r="I203" i="25"/>
  <c r="H203" i="25"/>
  <c r="G203" i="25"/>
  <c r="F203" i="25"/>
  <c r="E203" i="25"/>
  <c r="D203" i="25"/>
  <c r="C203" i="25"/>
  <c r="Q202" i="25"/>
  <c r="P202" i="25"/>
  <c r="O202" i="25"/>
  <c r="N202" i="25"/>
  <c r="M202" i="25"/>
  <c r="L202" i="25"/>
  <c r="K202" i="25"/>
  <c r="J202" i="25"/>
  <c r="I202" i="25"/>
  <c r="H202" i="25"/>
  <c r="G202" i="25"/>
  <c r="F202" i="25"/>
  <c r="E202" i="25"/>
  <c r="D202" i="25"/>
  <c r="C202" i="25"/>
  <c r="Q201" i="25"/>
  <c r="P201" i="25"/>
  <c r="O201" i="25"/>
  <c r="N201" i="25"/>
  <c r="M201" i="25"/>
  <c r="L201" i="25"/>
  <c r="K201" i="25"/>
  <c r="J201" i="25"/>
  <c r="I201" i="25"/>
  <c r="H201" i="25"/>
  <c r="G201" i="25"/>
  <c r="F201" i="25"/>
  <c r="E201" i="25"/>
  <c r="D201" i="25"/>
  <c r="C201" i="25"/>
  <c r="Q200" i="25"/>
  <c r="P200" i="25"/>
  <c r="O200" i="25"/>
  <c r="N200" i="25"/>
  <c r="M200" i="25"/>
  <c r="L200" i="25"/>
  <c r="K200" i="25"/>
  <c r="J200" i="25"/>
  <c r="I200" i="25"/>
  <c r="H200" i="25"/>
  <c r="G200" i="25"/>
  <c r="F200" i="25"/>
  <c r="E200" i="25"/>
  <c r="D200" i="25"/>
  <c r="C200" i="25"/>
  <c r="Q199" i="25"/>
  <c r="P199" i="25"/>
  <c r="O199" i="25"/>
  <c r="N199" i="25"/>
  <c r="M199" i="25"/>
  <c r="L199" i="25"/>
  <c r="K199" i="25"/>
  <c r="J199" i="25"/>
  <c r="I199" i="25"/>
  <c r="H199" i="25"/>
  <c r="G199" i="25"/>
  <c r="F199" i="25"/>
  <c r="E199" i="25"/>
  <c r="D199" i="25"/>
  <c r="C199" i="25"/>
  <c r="Q198" i="25"/>
  <c r="P198" i="25"/>
  <c r="O198" i="25"/>
  <c r="N198" i="25"/>
  <c r="M198" i="25"/>
  <c r="L198" i="25"/>
  <c r="K198" i="25"/>
  <c r="J198" i="25"/>
  <c r="I198" i="25"/>
  <c r="H198" i="25"/>
  <c r="G198" i="25"/>
  <c r="F198" i="25"/>
  <c r="E198" i="25"/>
  <c r="D198" i="25"/>
  <c r="C198" i="25"/>
  <c r="Q197" i="25"/>
  <c r="P197" i="25"/>
  <c r="O197" i="25"/>
  <c r="N197" i="25"/>
  <c r="M197" i="25"/>
  <c r="L197" i="25"/>
  <c r="K197" i="25"/>
  <c r="J197" i="25"/>
  <c r="I197" i="25"/>
  <c r="H197" i="25"/>
  <c r="G197" i="25"/>
  <c r="F197" i="25"/>
  <c r="E197" i="25"/>
  <c r="D197" i="25"/>
  <c r="C197" i="25"/>
  <c r="Q196" i="25"/>
  <c r="P196" i="25"/>
  <c r="O196" i="25"/>
  <c r="N196" i="25"/>
  <c r="M196" i="25"/>
  <c r="L196" i="25"/>
  <c r="K196" i="25"/>
  <c r="J196" i="25"/>
  <c r="I196" i="25"/>
  <c r="H196" i="25"/>
  <c r="G196" i="25"/>
  <c r="F196" i="25"/>
  <c r="E196" i="25"/>
  <c r="D196" i="25"/>
  <c r="C196" i="25"/>
  <c r="Q195" i="25"/>
  <c r="P195" i="25"/>
  <c r="O195" i="25"/>
  <c r="N195" i="25"/>
  <c r="M195" i="25"/>
  <c r="L195" i="25"/>
  <c r="K195" i="25"/>
  <c r="J195" i="25"/>
  <c r="I195" i="25"/>
  <c r="H195" i="25"/>
  <c r="G195" i="25"/>
  <c r="F195" i="25"/>
  <c r="E195" i="25"/>
  <c r="D195" i="25"/>
  <c r="C195" i="25"/>
  <c r="Q194" i="25"/>
  <c r="P194" i="25"/>
  <c r="O194" i="25"/>
  <c r="N194" i="25"/>
  <c r="M194" i="25"/>
  <c r="L194" i="25"/>
  <c r="K194" i="25"/>
  <c r="J194" i="25"/>
  <c r="I194" i="25"/>
  <c r="H194" i="25"/>
  <c r="G194" i="25"/>
  <c r="F194" i="25"/>
  <c r="E194" i="25"/>
  <c r="D194" i="25"/>
  <c r="C194" i="25"/>
  <c r="Q193" i="25"/>
  <c r="P193" i="25"/>
  <c r="O193" i="25"/>
  <c r="N193" i="25"/>
  <c r="M193" i="25"/>
  <c r="L193" i="25"/>
  <c r="K193" i="25"/>
  <c r="J193" i="25"/>
  <c r="I193" i="25"/>
  <c r="H193" i="25"/>
  <c r="G193" i="25"/>
  <c r="F193" i="25"/>
  <c r="E193" i="25"/>
  <c r="D193" i="25"/>
  <c r="C193" i="25"/>
  <c r="Q192" i="25"/>
  <c r="P192" i="25"/>
  <c r="O192" i="25"/>
  <c r="N192" i="25"/>
  <c r="M192" i="25"/>
  <c r="L192" i="25"/>
  <c r="K192" i="25"/>
  <c r="J192" i="25"/>
  <c r="I192" i="25"/>
  <c r="H192" i="25"/>
  <c r="G192" i="25"/>
  <c r="F192" i="25"/>
  <c r="E192" i="25"/>
  <c r="D192" i="25"/>
  <c r="C192" i="25"/>
  <c r="Q191" i="25"/>
  <c r="P191" i="25"/>
  <c r="O191" i="25"/>
  <c r="N191" i="25"/>
  <c r="M191" i="25"/>
  <c r="L191" i="25"/>
  <c r="K191" i="25"/>
  <c r="J191" i="25"/>
  <c r="I191" i="25"/>
  <c r="H191" i="25"/>
  <c r="G191" i="25"/>
  <c r="F191" i="25"/>
  <c r="E191" i="25"/>
  <c r="D191" i="25"/>
  <c r="C191" i="25"/>
  <c r="Q190" i="25"/>
  <c r="P190" i="25"/>
  <c r="O190" i="25"/>
  <c r="N190" i="25"/>
  <c r="M190" i="25"/>
  <c r="L190" i="25"/>
  <c r="K190" i="25"/>
  <c r="J190" i="25"/>
  <c r="I190" i="25"/>
  <c r="H190" i="25"/>
  <c r="G190" i="25"/>
  <c r="F190" i="25"/>
  <c r="E190" i="25"/>
  <c r="D190" i="25"/>
  <c r="C190" i="25"/>
  <c r="Q189" i="25"/>
  <c r="P189" i="25"/>
  <c r="O189" i="25"/>
  <c r="N189" i="25"/>
  <c r="M189" i="25"/>
  <c r="L189" i="25"/>
  <c r="K189" i="25"/>
  <c r="J189" i="25"/>
  <c r="I189" i="25"/>
  <c r="H189" i="25"/>
  <c r="G189" i="25"/>
  <c r="F189" i="25"/>
  <c r="E189" i="25"/>
  <c r="D189" i="25"/>
  <c r="C189" i="25"/>
  <c r="Q188" i="25"/>
  <c r="P188" i="25"/>
  <c r="O188" i="25"/>
  <c r="N188" i="25"/>
  <c r="M188" i="25"/>
  <c r="L188" i="25"/>
  <c r="K188" i="25"/>
  <c r="J188" i="25"/>
  <c r="I188" i="25"/>
  <c r="H188" i="25"/>
  <c r="G188" i="25"/>
  <c r="F188" i="25"/>
  <c r="E188" i="25"/>
  <c r="D188" i="25"/>
  <c r="C188" i="25"/>
  <c r="Q187" i="25"/>
  <c r="P187" i="25"/>
  <c r="O187" i="25"/>
  <c r="N187" i="25"/>
  <c r="M187" i="25"/>
  <c r="L187" i="25"/>
  <c r="K187" i="25"/>
  <c r="J187" i="25"/>
  <c r="I187" i="25"/>
  <c r="H187" i="25"/>
  <c r="G187" i="25"/>
  <c r="F187" i="25"/>
  <c r="E187" i="25"/>
  <c r="D187" i="25"/>
  <c r="C187" i="25"/>
  <c r="Q186" i="25"/>
  <c r="P186" i="25"/>
  <c r="O186" i="25"/>
  <c r="N186" i="25"/>
  <c r="M186" i="25"/>
  <c r="L186" i="25"/>
  <c r="K186" i="25"/>
  <c r="J186" i="25"/>
  <c r="I186" i="25"/>
  <c r="H186" i="25"/>
  <c r="G186" i="25"/>
  <c r="F186" i="25"/>
  <c r="E186" i="25"/>
  <c r="D186" i="25"/>
  <c r="C186" i="25"/>
  <c r="Q185" i="25"/>
  <c r="P185" i="25"/>
  <c r="O185" i="25"/>
  <c r="N185" i="25"/>
  <c r="M185" i="25"/>
  <c r="L185" i="25"/>
  <c r="K185" i="25"/>
  <c r="J185" i="25"/>
  <c r="I185" i="25"/>
  <c r="H185" i="25"/>
  <c r="G185" i="25"/>
  <c r="F185" i="25"/>
  <c r="E185" i="25"/>
  <c r="D185" i="25"/>
  <c r="C185" i="25"/>
  <c r="Q184" i="25"/>
  <c r="P184" i="25"/>
  <c r="O184" i="25"/>
  <c r="N184" i="25"/>
  <c r="M184" i="25"/>
  <c r="L184" i="25"/>
  <c r="K184" i="25"/>
  <c r="J184" i="25"/>
  <c r="I184" i="25"/>
  <c r="H184" i="25"/>
  <c r="G184" i="25"/>
  <c r="F184" i="25"/>
  <c r="E184" i="25"/>
  <c r="D184" i="25"/>
  <c r="C184" i="25"/>
  <c r="Q183" i="25"/>
  <c r="P183" i="25"/>
  <c r="O183" i="25"/>
  <c r="N183" i="25"/>
  <c r="M183" i="25"/>
  <c r="L183" i="25"/>
  <c r="K183" i="25"/>
  <c r="J183" i="25"/>
  <c r="I183" i="25"/>
  <c r="H183" i="25"/>
  <c r="G183" i="25"/>
  <c r="F183" i="25"/>
  <c r="E183" i="25"/>
  <c r="D183" i="25"/>
  <c r="C183" i="25"/>
  <c r="Q182" i="25"/>
  <c r="P182" i="25"/>
  <c r="O182" i="25"/>
  <c r="N182" i="25"/>
  <c r="M182" i="25"/>
  <c r="L182" i="25"/>
  <c r="K182" i="25"/>
  <c r="J182" i="25"/>
  <c r="I182" i="25"/>
  <c r="H182" i="25"/>
  <c r="G182" i="25"/>
  <c r="F182" i="25"/>
  <c r="E182" i="25"/>
  <c r="D182" i="25"/>
  <c r="C182" i="25"/>
  <c r="Q181" i="25"/>
  <c r="P181" i="25"/>
  <c r="O181" i="25"/>
  <c r="N181" i="25"/>
  <c r="M181" i="25"/>
  <c r="L181" i="25"/>
  <c r="K181" i="25"/>
  <c r="J181" i="25"/>
  <c r="I181" i="25"/>
  <c r="H181" i="25"/>
  <c r="G181" i="25"/>
  <c r="F181" i="25"/>
  <c r="E181" i="25"/>
  <c r="D181" i="25"/>
  <c r="C181" i="25"/>
  <c r="Q180" i="25"/>
  <c r="P180" i="25"/>
  <c r="O180" i="25"/>
  <c r="N180" i="25"/>
  <c r="M180" i="25"/>
  <c r="L180" i="25"/>
  <c r="K180" i="25"/>
  <c r="J180" i="25"/>
  <c r="I180" i="25"/>
  <c r="H180" i="25"/>
  <c r="G180" i="25"/>
  <c r="F180" i="25"/>
  <c r="E180" i="25"/>
  <c r="D180" i="25"/>
  <c r="C180" i="25"/>
  <c r="Q179" i="25"/>
  <c r="P179" i="25"/>
  <c r="O179" i="25"/>
  <c r="N179" i="25"/>
  <c r="M179" i="25"/>
  <c r="L179" i="25"/>
  <c r="K179" i="25"/>
  <c r="J179" i="25"/>
  <c r="I179" i="25"/>
  <c r="H179" i="25"/>
  <c r="G179" i="25"/>
  <c r="F179" i="25"/>
  <c r="E179" i="25"/>
  <c r="D179" i="25"/>
  <c r="C179" i="25"/>
  <c r="Q178" i="25"/>
  <c r="P178" i="25"/>
  <c r="O178" i="25"/>
  <c r="N178" i="25"/>
  <c r="M178" i="25"/>
  <c r="L178" i="25"/>
  <c r="K178" i="25"/>
  <c r="J178" i="25"/>
  <c r="I178" i="25"/>
  <c r="H178" i="25"/>
  <c r="G178" i="25"/>
  <c r="F178" i="25"/>
  <c r="E178" i="25"/>
  <c r="D178" i="25"/>
  <c r="C178" i="25"/>
  <c r="Q177" i="25"/>
  <c r="P177" i="25"/>
  <c r="O177" i="25"/>
  <c r="N177" i="25"/>
  <c r="M177" i="25"/>
  <c r="L177" i="25"/>
  <c r="K177" i="25"/>
  <c r="J177" i="25"/>
  <c r="I177" i="25"/>
  <c r="H177" i="25"/>
  <c r="G177" i="25"/>
  <c r="F177" i="25"/>
  <c r="E177" i="25"/>
  <c r="D177" i="25"/>
  <c r="C177" i="25"/>
  <c r="Q176" i="25"/>
  <c r="P176" i="25"/>
  <c r="O176" i="25"/>
  <c r="N176" i="25"/>
  <c r="M176" i="25"/>
  <c r="L176" i="25"/>
  <c r="K176" i="25"/>
  <c r="J176" i="25"/>
  <c r="I176" i="25"/>
  <c r="H176" i="25"/>
  <c r="G176" i="25"/>
  <c r="F176" i="25"/>
  <c r="E176" i="25"/>
  <c r="D176" i="25"/>
  <c r="C176" i="25"/>
  <c r="Q175" i="25"/>
  <c r="P175" i="25"/>
  <c r="O175" i="25"/>
  <c r="N175" i="25"/>
  <c r="M175" i="25"/>
  <c r="L175" i="25"/>
  <c r="K175" i="25"/>
  <c r="J175" i="25"/>
  <c r="I175" i="25"/>
  <c r="H175" i="25"/>
  <c r="G175" i="25"/>
  <c r="F175" i="25"/>
  <c r="E175" i="25"/>
  <c r="D175" i="25"/>
  <c r="C175" i="25"/>
  <c r="Q174" i="25"/>
  <c r="P174" i="25"/>
  <c r="O174" i="25"/>
  <c r="N174" i="25"/>
  <c r="M174" i="25"/>
  <c r="L174" i="25"/>
  <c r="K174" i="25"/>
  <c r="J174" i="25"/>
  <c r="I174" i="25"/>
  <c r="H174" i="25"/>
  <c r="G174" i="25"/>
  <c r="F174" i="25"/>
  <c r="E174" i="25"/>
  <c r="D174" i="25"/>
  <c r="C174" i="25"/>
  <c r="Q173" i="25"/>
  <c r="P173" i="25"/>
  <c r="O173" i="25"/>
  <c r="N173" i="25"/>
  <c r="M173" i="25"/>
  <c r="L173" i="25"/>
  <c r="K173" i="25"/>
  <c r="J173" i="25"/>
  <c r="I173" i="25"/>
  <c r="H173" i="25"/>
  <c r="G173" i="25"/>
  <c r="F173" i="25"/>
  <c r="E173" i="25"/>
  <c r="D173" i="25"/>
  <c r="C173" i="25"/>
  <c r="Q172" i="25"/>
  <c r="P172" i="25"/>
  <c r="O172" i="25"/>
  <c r="N172" i="25"/>
  <c r="M172" i="25"/>
  <c r="L172" i="25"/>
  <c r="K172" i="25"/>
  <c r="J172" i="25"/>
  <c r="I172" i="25"/>
  <c r="H172" i="25"/>
  <c r="G172" i="25"/>
  <c r="F172" i="25"/>
  <c r="E172" i="25"/>
  <c r="D172" i="25"/>
  <c r="C172" i="25"/>
  <c r="Q171" i="25"/>
  <c r="P171" i="25"/>
  <c r="O171" i="25"/>
  <c r="N171" i="25"/>
  <c r="M171" i="25"/>
  <c r="L171" i="25"/>
  <c r="K171" i="25"/>
  <c r="J171" i="25"/>
  <c r="I171" i="25"/>
  <c r="H171" i="25"/>
  <c r="G171" i="25"/>
  <c r="F171" i="25"/>
  <c r="E171" i="25"/>
  <c r="D171" i="25"/>
  <c r="C171" i="25"/>
  <c r="Q170" i="25"/>
  <c r="P170" i="25"/>
  <c r="O170" i="25"/>
  <c r="N170" i="25"/>
  <c r="M170" i="25"/>
  <c r="L170" i="25"/>
  <c r="K170" i="25"/>
  <c r="J170" i="25"/>
  <c r="I170" i="25"/>
  <c r="H170" i="25"/>
  <c r="G170" i="25"/>
  <c r="F170" i="25"/>
  <c r="E170" i="25"/>
  <c r="D170" i="25"/>
  <c r="C170" i="25"/>
  <c r="Q169" i="25"/>
  <c r="P169" i="25"/>
  <c r="O169" i="25"/>
  <c r="N169" i="25"/>
  <c r="M169" i="25"/>
  <c r="L169" i="25"/>
  <c r="K169" i="25"/>
  <c r="J169" i="25"/>
  <c r="I169" i="25"/>
  <c r="H169" i="25"/>
  <c r="G169" i="25"/>
  <c r="F169" i="25"/>
  <c r="E169" i="25"/>
  <c r="D169" i="25"/>
  <c r="C169" i="25"/>
  <c r="Q168" i="25"/>
  <c r="P168" i="25"/>
  <c r="O168" i="25"/>
  <c r="N168" i="25"/>
  <c r="M168" i="25"/>
  <c r="L168" i="25"/>
  <c r="K168" i="25"/>
  <c r="J168" i="25"/>
  <c r="I168" i="25"/>
  <c r="H168" i="25"/>
  <c r="G168" i="25"/>
  <c r="F168" i="25"/>
  <c r="E168" i="25"/>
  <c r="D168" i="25"/>
  <c r="C168" i="25"/>
  <c r="Q167" i="25"/>
  <c r="P167" i="25"/>
  <c r="O167" i="25"/>
  <c r="N167" i="25"/>
  <c r="M167" i="25"/>
  <c r="L167" i="25"/>
  <c r="K167" i="25"/>
  <c r="J167" i="25"/>
  <c r="I167" i="25"/>
  <c r="H167" i="25"/>
  <c r="G167" i="25"/>
  <c r="F167" i="25"/>
  <c r="E167" i="25"/>
  <c r="D167" i="25"/>
  <c r="C167" i="25"/>
  <c r="Q166" i="25"/>
  <c r="P166" i="25"/>
  <c r="O166" i="25"/>
  <c r="N166" i="25"/>
  <c r="M166" i="25"/>
  <c r="L166" i="25"/>
  <c r="K166" i="25"/>
  <c r="J166" i="25"/>
  <c r="I166" i="25"/>
  <c r="H166" i="25"/>
  <c r="G166" i="25"/>
  <c r="F166" i="25"/>
  <c r="E166" i="25"/>
  <c r="D166" i="25"/>
  <c r="C166" i="25"/>
  <c r="Q165" i="25"/>
  <c r="P165" i="25"/>
  <c r="O165" i="25"/>
  <c r="N165" i="25"/>
  <c r="M165" i="25"/>
  <c r="L165" i="25"/>
  <c r="K165" i="25"/>
  <c r="J165" i="25"/>
  <c r="I165" i="25"/>
  <c r="H165" i="25"/>
  <c r="G165" i="25"/>
  <c r="F165" i="25"/>
  <c r="E165" i="25"/>
  <c r="D165" i="25"/>
  <c r="C165" i="25"/>
  <c r="Q164" i="25"/>
  <c r="P164" i="25"/>
  <c r="O164" i="25"/>
  <c r="N164" i="25"/>
  <c r="M164" i="25"/>
  <c r="L164" i="25"/>
  <c r="K164" i="25"/>
  <c r="J164" i="25"/>
  <c r="I164" i="25"/>
  <c r="H164" i="25"/>
  <c r="G164" i="25"/>
  <c r="F164" i="25"/>
  <c r="E164" i="25"/>
  <c r="D164" i="25"/>
  <c r="C164" i="25"/>
  <c r="Q163" i="25"/>
  <c r="P163" i="25"/>
  <c r="O163" i="25"/>
  <c r="N163" i="25"/>
  <c r="M163" i="25"/>
  <c r="L163" i="25"/>
  <c r="K163" i="25"/>
  <c r="J163" i="25"/>
  <c r="I163" i="25"/>
  <c r="H163" i="25"/>
  <c r="G163" i="25"/>
  <c r="F163" i="25"/>
  <c r="E163" i="25"/>
  <c r="D163" i="25"/>
  <c r="C163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Q156" i="25"/>
  <c r="P156" i="25"/>
  <c r="O156" i="25"/>
  <c r="N156" i="25"/>
  <c r="M156" i="25"/>
  <c r="L156" i="25"/>
  <c r="K156" i="25"/>
  <c r="J156" i="25"/>
  <c r="I156" i="25"/>
  <c r="H156" i="25"/>
  <c r="G156" i="25"/>
  <c r="F156" i="25"/>
  <c r="E156" i="25"/>
  <c r="D156" i="25"/>
  <c r="C156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Q146" i="25"/>
  <c r="P146" i="25"/>
  <c r="O146" i="25"/>
  <c r="N146" i="25"/>
  <c r="M146" i="25"/>
  <c r="L146" i="25"/>
  <c r="K146" i="25"/>
  <c r="J146" i="25"/>
  <c r="I146" i="25"/>
  <c r="H146" i="25"/>
  <c r="G146" i="25"/>
  <c r="F146" i="25"/>
  <c r="E146" i="25"/>
  <c r="D146" i="25"/>
  <c r="C146" i="25"/>
  <c r="Q145" i="25"/>
  <c r="P145" i="25"/>
  <c r="O145" i="25"/>
  <c r="N145" i="25"/>
  <c r="M145" i="25"/>
  <c r="L145" i="25"/>
  <c r="K145" i="25"/>
  <c r="J145" i="25"/>
  <c r="I145" i="25"/>
  <c r="H145" i="25"/>
  <c r="G145" i="25"/>
  <c r="F145" i="25"/>
  <c r="E145" i="25"/>
  <c r="D145" i="25"/>
  <c r="C145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Q136" i="25"/>
  <c r="P136" i="25"/>
  <c r="O136" i="25"/>
  <c r="N136" i="25"/>
  <c r="M136" i="25"/>
  <c r="L136" i="25"/>
  <c r="K136" i="25"/>
  <c r="J136" i="25"/>
  <c r="I136" i="25"/>
  <c r="H136" i="25"/>
  <c r="G136" i="25"/>
  <c r="F136" i="25"/>
  <c r="E136" i="25"/>
  <c r="D136" i="25"/>
  <c r="C136" i="25"/>
  <c r="Q135" i="25"/>
  <c r="P135" i="25"/>
  <c r="O135" i="25"/>
  <c r="N135" i="25"/>
  <c r="M135" i="25"/>
  <c r="L135" i="25"/>
  <c r="K135" i="25"/>
  <c r="J135" i="25"/>
  <c r="I135" i="25"/>
  <c r="H135" i="25"/>
  <c r="G135" i="25"/>
  <c r="F135" i="25"/>
  <c r="E135" i="25"/>
  <c r="D135" i="25"/>
  <c r="C135" i="25"/>
  <c r="Q134" i="25"/>
  <c r="P134" i="25"/>
  <c r="O134" i="25"/>
  <c r="N134" i="25"/>
  <c r="M134" i="25"/>
  <c r="L134" i="25"/>
  <c r="K134" i="25"/>
  <c r="J134" i="25"/>
  <c r="I134" i="25"/>
  <c r="H134" i="25"/>
  <c r="G134" i="25"/>
  <c r="F134" i="25"/>
  <c r="E134" i="25"/>
  <c r="D134" i="25"/>
  <c r="C134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Q125" i="25"/>
  <c r="P125" i="25"/>
  <c r="O125" i="25"/>
  <c r="N125" i="25"/>
  <c r="M125" i="25"/>
  <c r="L125" i="25"/>
  <c r="K125" i="25"/>
  <c r="J125" i="25"/>
  <c r="I125" i="25"/>
  <c r="H125" i="25"/>
  <c r="G125" i="25"/>
  <c r="F125" i="25"/>
  <c r="E125" i="25"/>
  <c r="D125" i="25"/>
  <c r="C125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Q101" i="25"/>
  <c r="P101" i="25"/>
  <c r="O101" i="25"/>
  <c r="N101" i="25"/>
  <c r="M101" i="25"/>
  <c r="L101" i="25"/>
  <c r="K101" i="25"/>
  <c r="J101" i="25"/>
  <c r="I101" i="25"/>
  <c r="H101" i="25"/>
  <c r="G101" i="25"/>
  <c r="F101" i="25"/>
  <c r="E101" i="25"/>
  <c r="D101" i="25"/>
  <c r="C101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Q92" i="25"/>
  <c r="P92" i="25"/>
  <c r="O92" i="25"/>
  <c r="N92" i="25"/>
  <c r="M92" i="25"/>
  <c r="L92" i="25"/>
  <c r="K92" i="25"/>
  <c r="J92" i="25"/>
  <c r="I92" i="25"/>
  <c r="H92" i="25"/>
  <c r="G92" i="25"/>
  <c r="F92" i="25"/>
  <c r="E92" i="25"/>
  <c r="D92" i="25"/>
  <c r="C92" i="25"/>
  <c r="Q91" i="25"/>
  <c r="P91" i="25"/>
  <c r="O91" i="25"/>
  <c r="N91" i="25"/>
  <c r="M91" i="25"/>
  <c r="L91" i="25"/>
  <c r="K91" i="25"/>
  <c r="J91" i="25"/>
  <c r="I91" i="25"/>
  <c r="H91" i="25"/>
  <c r="G91" i="25"/>
  <c r="F91" i="25"/>
  <c r="E91" i="25"/>
  <c r="D91" i="25"/>
  <c r="C91" i="25"/>
  <c r="Q90" i="25"/>
  <c r="P90" i="25"/>
  <c r="O90" i="25"/>
  <c r="N90" i="25"/>
  <c r="M90" i="25"/>
  <c r="L90" i="25"/>
  <c r="K90" i="25"/>
  <c r="J90" i="25"/>
  <c r="I90" i="25"/>
  <c r="H90" i="25"/>
  <c r="G90" i="25"/>
  <c r="F90" i="25"/>
  <c r="E90" i="25"/>
  <c r="D90" i="25"/>
  <c r="C90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Q81" i="25"/>
  <c r="P81" i="25"/>
  <c r="O81" i="25"/>
  <c r="N81" i="25"/>
  <c r="M81" i="25"/>
  <c r="L81" i="25"/>
  <c r="K81" i="25"/>
  <c r="J81" i="25"/>
  <c r="I81" i="25"/>
  <c r="H81" i="25"/>
  <c r="G81" i="25"/>
  <c r="F81" i="25"/>
  <c r="E81" i="25"/>
  <c r="D81" i="25"/>
  <c r="C81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E80" i="25"/>
  <c r="D80" i="25"/>
  <c r="C80" i="25"/>
  <c r="Q79" i="25"/>
  <c r="P79" i="25"/>
  <c r="O79" i="25"/>
  <c r="N79" i="25"/>
  <c r="M79" i="25"/>
  <c r="L79" i="25"/>
  <c r="K79" i="25"/>
  <c r="J79" i="25"/>
  <c r="I79" i="25"/>
  <c r="H79" i="25"/>
  <c r="G79" i="25"/>
  <c r="F79" i="25"/>
  <c r="E79" i="25"/>
  <c r="D79" i="25"/>
  <c r="C79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Q70" i="25"/>
  <c r="P70" i="25"/>
  <c r="O70" i="25"/>
  <c r="N70" i="25"/>
  <c r="M70" i="25"/>
  <c r="L70" i="25"/>
  <c r="K70" i="25"/>
  <c r="J70" i="25"/>
  <c r="I70" i="25"/>
  <c r="H70" i="25"/>
  <c r="G70" i="25"/>
  <c r="F70" i="25"/>
  <c r="E70" i="25"/>
  <c r="D70" i="25"/>
  <c r="C70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D69" i="25"/>
  <c r="C69" i="25"/>
  <c r="Q68" i="25"/>
  <c r="P68" i="25"/>
  <c r="O68" i="25"/>
  <c r="N68" i="25"/>
  <c r="M68" i="25"/>
  <c r="L68" i="25"/>
  <c r="K68" i="25"/>
  <c r="J68" i="25"/>
  <c r="I68" i="25"/>
  <c r="H68" i="25"/>
  <c r="G68" i="25"/>
  <c r="F68" i="25"/>
  <c r="E68" i="25"/>
  <c r="D68" i="25"/>
  <c r="C68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Q59" i="25"/>
  <c r="P59" i="25"/>
  <c r="O59" i="25"/>
  <c r="N59" i="25"/>
  <c r="M59" i="25"/>
  <c r="L59" i="25"/>
  <c r="K59" i="25"/>
  <c r="J59" i="25"/>
  <c r="I59" i="25"/>
  <c r="H59" i="25"/>
  <c r="G59" i="25"/>
  <c r="F59" i="25"/>
  <c r="E59" i="25"/>
  <c r="D59" i="25"/>
  <c r="C59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Q8" i="25"/>
  <c r="P8" i="25"/>
  <c r="O8" i="25"/>
  <c r="N8" i="25"/>
  <c r="M8" i="25"/>
  <c r="L8" i="25"/>
  <c r="K8" i="25"/>
  <c r="J8" i="25"/>
  <c r="I8" i="25"/>
  <c r="H8" i="25"/>
  <c r="G8" i="25"/>
  <c r="F8" i="25"/>
  <c r="E8" i="25"/>
  <c r="D8" i="25"/>
  <c r="C8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Q6" i="25"/>
  <c r="P6" i="25"/>
  <c r="O6" i="25"/>
  <c r="N6" i="25"/>
  <c r="M6" i="25"/>
  <c r="L6" i="25"/>
  <c r="K6" i="25"/>
  <c r="J6" i="25"/>
  <c r="I6" i="25"/>
  <c r="H6" i="25"/>
  <c r="G6" i="25"/>
  <c r="F6" i="25"/>
  <c r="E6" i="25"/>
  <c r="D6" i="25"/>
  <c r="C6" i="25"/>
  <c r="Q5" i="25"/>
  <c r="P5" i="25"/>
  <c r="O5" i="25"/>
  <c r="N5" i="25"/>
  <c r="M5" i="25"/>
  <c r="L5" i="25"/>
  <c r="K5" i="25"/>
  <c r="J5" i="25"/>
  <c r="I5" i="25"/>
  <c r="H5" i="25"/>
  <c r="G5" i="25"/>
  <c r="F5" i="25"/>
  <c r="E5" i="25"/>
  <c r="D5" i="25"/>
  <c r="C5" i="25"/>
  <c r="Q4" i="25"/>
  <c r="P4" i="25"/>
  <c r="O4" i="25"/>
  <c r="N4" i="25"/>
  <c r="M4" i="25"/>
  <c r="L4" i="25"/>
  <c r="K4" i="25"/>
  <c r="J4" i="25"/>
  <c r="I4" i="25"/>
  <c r="H4" i="25"/>
  <c r="G4" i="25"/>
  <c r="F4" i="25"/>
  <c r="E4" i="25"/>
  <c r="D4" i="25"/>
  <c r="C4" i="25"/>
  <c r="Q3" i="25"/>
  <c r="P3" i="25"/>
  <c r="O3" i="25"/>
  <c r="N3" i="25"/>
  <c r="M3" i="25"/>
  <c r="L3" i="25"/>
  <c r="K3" i="25"/>
  <c r="J3" i="25"/>
  <c r="I3" i="25"/>
  <c r="H3" i="25"/>
  <c r="G3" i="25"/>
  <c r="F3" i="25"/>
  <c r="E3" i="25"/>
  <c r="D3" i="25"/>
  <c r="C3" i="25"/>
  <c r="Q2" i="25"/>
  <c r="P2" i="25"/>
  <c r="O2" i="25"/>
  <c r="N2" i="25"/>
  <c r="M2" i="25"/>
  <c r="L2" i="25"/>
  <c r="K2" i="25"/>
  <c r="J2" i="25"/>
  <c r="I2" i="25"/>
  <c r="H2" i="25"/>
  <c r="G2" i="25"/>
  <c r="F2" i="25"/>
  <c r="E2" i="25"/>
  <c r="D2" i="25"/>
  <c r="C2" i="25"/>
  <c r="U4" i="5"/>
  <c r="U5" i="5"/>
  <c r="U6" i="5"/>
  <c r="U7" i="5"/>
  <c r="U8" i="5"/>
  <c r="U9" i="5"/>
  <c r="U10" i="5"/>
  <c r="U11" i="5"/>
  <c r="U13" i="5"/>
  <c r="U15" i="5"/>
  <c r="U16" i="5"/>
  <c r="U17" i="5"/>
  <c r="U20" i="5"/>
  <c r="U21" i="5"/>
  <c r="U22" i="5"/>
  <c r="U23" i="5"/>
  <c r="U24" i="5"/>
  <c r="U25" i="5"/>
  <c r="U27" i="5"/>
  <c r="U28" i="5"/>
  <c r="U29" i="5"/>
  <c r="U30" i="5"/>
  <c r="U31" i="5"/>
  <c r="U32" i="5"/>
  <c r="U33" i="5"/>
  <c r="U34" i="5"/>
  <c r="U36" i="5"/>
  <c r="U37" i="5"/>
  <c r="U38" i="5"/>
  <c r="U39" i="5"/>
  <c r="U40" i="5"/>
  <c r="U41" i="5"/>
  <c r="U42" i="5"/>
  <c r="U44" i="5"/>
  <c r="U45" i="5"/>
  <c r="U46" i="5"/>
  <c r="U48" i="5"/>
  <c r="U51" i="5"/>
  <c r="U52" i="5"/>
  <c r="U54" i="5"/>
  <c r="U55" i="5"/>
  <c r="U58" i="5"/>
  <c r="U60" i="5"/>
  <c r="U61" i="5"/>
  <c r="U62" i="5"/>
  <c r="U63" i="5"/>
  <c r="U65" i="5"/>
  <c r="U66" i="5"/>
  <c r="U67" i="5"/>
  <c r="U68" i="5"/>
  <c r="U69" i="5"/>
  <c r="U70" i="5"/>
  <c r="U71" i="5"/>
  <c r="U72" i="5"/>
  <c r="U73" i="5"/>
  <c r="U74" i="5"/>
  <c r="U76" i="5"/>
  <c r="U77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7" i="5"/>
  <c r="U98" i="5"/>
  <c r="U99" i="5"/>
  <c r="U100" i="5"/>
  <c r="U101" i="5"/>
  <c r="U103" i="5"/>
  <c r="U104" i="5"/>
  <c r="U106" i="5"/>
  <c r="U107" i="5"/>
  <c r="U108" i="5"/>
  <c r="U110" i="5"/>
  <c r="U111" i="5"/>
  <c r="U112" i="5"/>
  <c r="U113" i="5"/>
  <c r="U114" i="5"/>
  <c r="U115" i="5"/>
  <c r="U116" i="5"/>
  <c r="U118" i="5"/>
  <c r="U119" i="5"/>
  <c r="U120" i="5"/>
  <c r="U121" i="5"/>
  <c r="U122" i="5"/>
  <c r="U124" i="5"/>
  <c r="U125" i="5"/>
  <c r="U126" i="5"/>
  <c r="U127" i="5"/>
  <c r="U128" i="5"/>
  <c r="U132" i="5"/>
  <c r="U133" i="5"/>
  <c r="U134" i="5"/>
  <c r="U135" i="5"/>
  <c r="U137" i="5"/>
  <c r="U136" i="5"/>
  <c r="U138" i="5"/>
  <c r="U139" i="5"/>
  <c r="U140" i="5"/>
  <c r="U141" i="5"/>
  <c r="U142" i="5"/>
  <c r="U144" i="5"/>
  <c r="U146" i="5"/>
  <c r="U145" i="5"/>
  <c r="U147" i="5"/>
  <c r="U149" i="5"/>
  <c r="U150" i="5"/>
  <c r="U153" i="5"/>
  <c r="U154" i="5"/>
  <c r="U155" i="5"/>
  <c r="U156" i="5"/>
  <c r="U157" i="5"/>
  <c r="U158" i="5"/>
  <c r="U160" i="5"/>
  <c r="U161" i="5"/>
  <c r="U163" i="5"/>
  <c r="U164" i="5"/>
  <c r="U168" i="5"/>
  <c r="U169" i="5"/>
  <c r="U170" i="5"/>
  <c r="U171" i="5"/>
  <c r="U175" i="5"/>
  <c r="U176" i="5"/>
  <c r="U177" i="5"/>
  <c r="U178" i="5"/>
  <c r="U179" i="5"/>
  <c r="U180" i="5"/>
  <c r="U181" i="5"/>
  <c r="U182" i="5"/>
  <c r="U188" i="5"/>
  <c r="U195" i="5"/>
  <c r="U196" i="5"/>
  <c r="U197" i="5"/>
  <c r="U199" i="5"/>
  <c r="U201" i="5"/>
  <c r="U202" i="5"/>
  <c r="U203" i="5"/>
  <c r="U204" i="5"/>
  <c r="U205" i="5"/>
  <c r="U207" i="5"/>
  <c r="U208" i="5"/>
  <c r="U209" i="5"/>
  <c r="U211" i="5"/>
  <c r="U213" i="5"/>
  <c r="U214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12" i="5"/>
  <c r="U18" i="5"/>
  <c r="U19" i="5"/>
  <c r="U26" i="5"/>
  <c r="U35" i="5"/>
  <c r="U47" i="5"/>
  <c r="U56" i="5"/>
  <c r="U57" i="5"/>
  <c r="U96" i="5"/>
  <c r="U129" i="5"/>
  <c r="U130" i="5"/>
  <c r="U131" i="5"/>
  <c r="U162" i="5"/>
  <c r="U165" i="5"/>
  <c r="U166" i="5"/>
  <c r="U167" i="5"/>
  <c r="U172" i="5"/>
  <c r="U173" i="5"/>
  <c r="U174" i="5"/>
  <c r="U183" i="5"/>
  <c r="U184" i="5"/>
  <c r="U185" i="5"/>
  <c r="U186" i="5"/>
  <c r="U187" i="5"/>
  <c r="U193" i="5"/>
  <c r="U191" i="5"/>
  <c r="U192" i="5"/>
  <c r="U194" i="5"/>
  <c r="U189" i="5"/>
  <c r="U190" i="5"/>
  <c r="U212" i="5"/>
  <c r="U50" i="5"/>
  <c r="U59" i="5"/>
  <c r="U64" i="5"/>
  <c r="U75" i="5"/>
  <c r="U78" i="5"/>
  <c r="U102" i="5"/>
  <c r="U109" i="5"/>
  <c r="U117" i="5"/>
  <c r="U148" i="5"/>
  <c r="U151" i="5"/>
  <c r="U152" i="5"/>
  <c r="U159" i="5"/>
  <c r="U198" i="5"/>
  <c r="U200" i="5"/>
  <c r="U206" i="5"/>
  <c r="U215" i="5"/>
  <c r="U3" i="5"/>
  <c r="U14" i="5"/>
  <c r="U49" i="5"/>
  <c r="U53" i="5"/>
  <c r="U105" i="5"/>
  <c r="U123" i="5"/>
  <c r="U143" i="5"/>
  <c r="U210" i="5"/>
  <c r="T4" i="5"/>
  <c r="T5" i="5"/>
  <c r="T6" i="5"/>
  <c r="T7" i="5"/>
  <c r="T8" i="5"/>
  <c r="T9" i="5"/>
  <c r="T10" i="5"/>
  <c r="T11" i="5"/>
  <c r="T13" i="5"/>
  <c r="T15" i="5"/>
  <c r="T16" i="5"/>
  <c r="T17" i="5"/>
  <c r="T20" i="5"/>
  <c r="T21" i="5"/>
  <c r="T22" i="5"/>
  <c r="T23" i="5"/>
  <c r="T24" i="5"/>
  <c r="T25" i="5"/>
  <c r="T27" i="5"/>
  <c r="T28" i="5"/>
  <c r="T29" i="5"/>
  <c r="T30" i="5"/>
  <c r="T31" i="5"/>
  <c r="T32" i="5"/>
  <c r="T33" i="5"/>
  <c r="T34" i="5"/>
  <c r="T36" i="5"/>
  <c r="T37" i="5"/>
  <c r="T38" i="5"/>
  <c r="T39" i="5"/>
  <c r="T40" i="5"/>
  <c r="T41" i="5"/>
  <c r="T42" i="5"/>
  <c r="T44" i="5"/>
  <c r="T45" i="5"/>
  <c r="T46" i="5"/>
  <c r="T48" i="5"/>
  <c r="T51" i="5"/>
  <c r="T52" i="5"/>
  <c r="T54" i="5"/>
  <c r="T55" i="5"/>
  <c r="T58" i="5"/>
  <c r="T60" i="5"/>
  <c r="T61" i="5"/>
  <c r="T62" i="5"/>
  <c r="T63" i="5"/>
  <c r="T65" i="5"/>
  <c r="T66" i="5"/>
  <c r="T67" i="5"/>
  <c r="T68" i="5"/>
  <c r="T69" i="5"/>
  <c r="T70" i="5"/>
  <c r="T71" i="5"/>
  <c r="T72" i="5"/>
  <c r="T73" i="5"/>
  <c r="T74" i="5"/>
  <c r="T76" i="5"/>
  <c r="T77" i="5"/>
  <c r="T79" i="5"/>
  <c r="T80" i="5"/>
  <c r="T81" i="5"/>
  <c r="T82" i="5"/>
  <c r="T83" i="5"/>
  <c r="T84" i="5"/>
  <c r="T85" i="5"/>
  <c r="T86" i="5"/>
  <c r="T87" i="5"/>
  <c r="T88" i="5"/>
  <c r="T89" i="5"/>
  <c r="T90" i="5"/>
  <c r="T91" i="5"/>
  <c r="T92" i="5"/>
  <c r="T93" i="5"/>
  <c r="T94" i="5"/>
  <c r="T95" i="5"/>
  <c r="T97" i="5"/>
  <c r="T98" i="5"/>
  <c r="T99" i="5"/>
  <c r="T100" i="5"/>
  <c r="T101" i="5"/>
  <c r="T103" i="5"/>
  <c r="T104" i="5"/>
  <c r="T106" i="5"/>
  <c r="T107" i="5"/>
  <c r="T108" i="5"/>
  <c r="T110" i="5"/>
  <c r="T111" i="5"/>
  <c r="T112" i="5"/>
  <c r="T113" i="5"/>
  <c r="T114" i="5"/>
  <c r="T115" i="5"/>
  <c r="T116" i="5"/>
  <c r="T118" i="5"/>
  <c r="T119" i="5"/>
  <c r="T120" i="5"/>
  <c r="T121" i="5"/>
  <c r="T122" i="5"/>
  <c r="T124" i="5"/>
  <c r="T125" i="5"/>
  <c r="T126" i="5"/>
  <c r="T127" i="5"/>
  <c r="T128" i="5"/>
  <c r="T132" i="5"/>
  <c r="T133" i="5"/>
  <c r="T134" i="5"/>
  <c r="T135" i="5"/>
  <c r="T137" i="5"/>
  <c r="T136" i="5"/>
  <c r="T138" i="5"/>
  <c r="T139" i="5"/>
  <c r="T140" i="5"/>
  <c r="T141" i="5"/>
  <c r="T142" i="5"/>
  <c r="T144" i="5"/>
  <c r="T146" i="5"/>
  <c r="T145" i="5"/>
  <c r="T147" i="5"/>
  <c r="T149" i="5"/>
  <c r="T150" i="5"/>
  <c r="T153" i="5"/>
  <c r="T154" i="5"/>
  <c r="T155" i="5"/>
  <c r="T156" i="5"/>
  <c r="T157" i="5"/>
  <c r="T158" i="5"/>
  <c r="T160" i="5"/>
  <c r="T161" i="5"/>
  <c r="T163" i="5"/>
  <c r="T164" i="5"/>
  <c r="T168" i="5"/>
  <c r="T169" i="5"/>
  <c r="T170" i="5"/>
  <c r="T171" i="5"/>
  <c r="T175" i="5"/>
  <c r="T176" i="5"/>
  <c r="T177" i="5"/>
  <c r="T178" i="5"/>
  <c r="T179" i="5"/>
  <c r="T180" i="5"/>
  <c r="T181" i="5"/>
  <c r="T182" i="5"/>
  <c r="T188" i="5"/>
  <c r="T195" i="5"/>
  <c r="T196" i="5"/>
  <c r="T197" i="5"/>
  <c r="T199" i="5"/>
  <c r="T201" i="5"/>
  <c r="T202" i="5"/>
  <c r="T203" i="5"/>
  <c r="T204" i="5"/>
  <c r="T205" i="5"/>
  <c r="T207" i="5"/>
  <c r="T208" i="5"/>
  <c r="T209" i="5"/>
  <c r="T211" i="5"/>
  <c r="T213" i="5"/>
  <c r="T214" i="5"/>
  <c r="T216" i="5"/>
  <c r="T217" i="5"/>
  <c r="T218" i="5"/>
  <c r="T219" i="5"/>
  <c r="T220" i="5"/>
  <c r="T221" i="5"/>
  <c r="T222" i="5"/>
  <c r="T223" i="5"/>
  <c r="T224" i="5"/>
  <c r="T225" i="5"/>
  <c r="T226" i="5"/>
  <c r="T227" i="5"/>
  <c r="T228" i="5"/>
  <c r="T229" i="5"/>
  <c r="T230" i="5"/>
  <c r="T231" i="5"/>
  <c r="T232" i="5"/>
  <c r="T233" i="5"/>
  <c r="T234" i="5"/>
  <c r="T12" i="5"/>
  <c r="T18" i="5"/>
  <c r="T19" i="5"/>
  <c r="T26" i="5"/>
  <c r="T35" i="5"/>
  <c r="T47" i="5"/>
  <c r="T56" i="5"/>
  <c r="T57" i="5"/>
  <c r="T96" i="5"/>
  <c r="T129" i="5"/>
  <c r="T130" i="5"/>
  <c r="T131" i="5"/>
  <c r="T162" i="5"/>
  <c r="T165" i="5"/>
  <c r="T166" i="5"/>
  <c r="T167" i="5"/>
  <c r="T172" i="5"/>
  <c r="T173" i="5"/>
  <c r="T174" i="5"/>
  <c r="T183" i="5"/>
  <c r="T184" i="5"/>
  <c r="T185" i="5"/>
  <c r="T186" i="5"/>
  <c r="T187" i="5"/>
  <c r="T193" i="5"/>
  <c r="T191" i="5"/>
  <c r="T192" i="5"/>
  <c r="T194" i="5"/>
  <c r="T189" i="5"/>
  <c r="T190" i="5"/>
  <c r="T212" i="5"/>
  <c r="T50" i="5"/>
  <c r="T59" i="5"/>
  <c r="T64" i="5"/>
  <c r="T75" i="5"/>
  <c r="T78" i="5"/>
  <c r="T102" i="5"/>
  <c r="T109" i="5"/>
  <c r="T117" i="5"/>
  <c r="T148" i="5"/>
  <c r="T151" i="5"/>
  <c r="T152" i="5"/>
  <c r="T159" i="5"/>
  <c r="T198" i="5"/>
  <c r="T200" i="5"/>
  <c r="T206" i="5"/>
  <c r="T215" i="5"/>
  <c r="T3" i="5"/>
  <c r="T14" i="5"/>
  <c r="T49" i="5"/>
  <c r="T53" i="5"/>
  <c r="T105" i="5"/>
  <c r="T123" i="5"/>
  <c r="T143" i="5"/>
  <c r="T210" i="5"/>
  <c r="S4" i="5"/>
  <c r="S5" i="5"/>
  <c r="S6" i="5"/>
  <c r="S7" i="5"/>
  <c r="S8" i="5"/>
  <c r="S9" i="5"/>
  <c r="S10" i="5"/>
  <c r="S11" i="5"/>
  <c r="S13" i="5"/>
  <c r="S15" i="5"/>
  <c r="S16" i="5"/>
  <c r="S17" i="5"/>
  <c r="S20" i="5"/>
  <c r="S21" i="5"/>
  <c r="S22" i="5"/>
  <c r="S23" i="5"/>
  <c r="S24" i="5"/>
  <c r="S25" i="5"/>
  <c r="S27" i="5"/>
  <c r="S28" i="5"/>
  <c r="S29" i="5"/>
  <c r="S30" i="5"/>
  <c r="S31" i="5"/>
  <c r="S32" i="5"/>
  <c r="S33" i="5"/>
  <c r="S34" i="5"/>
  <c r="S36" i="5"/>
  <c r="S37" i="5"/>
  <c r="S38" i="5"/>
  <c r="S39" i="5"/>
  <c r="S40" i="5"/>
  <c r="S41" i="5"/>
  <c r="S42" i="5"/>
  <c r="S44" i="5"/>
  <c r="S45" i="5"/>
  <c r="S46" i="5"/>
  <c r="S48" i="5"/>
  <c r="S51" i="5"/>
  <c r="S52" i="5"/>
  <c r="S54" i="5"/>
  <c r="S55" i="5"/>
  <c r="S58" i="5"/>
  <c r="S60" i="5"/>
  <c r="S61" i="5"/>
  <c r="S62" i="5"/>
  <c r="S63" i="5"/>
  <c r="S65" i="5"/>
  <c r="S66" i="5"/>
  <c r="S67" i="5"/>
  <c r="S68" i="5"/>
  <c r="S69" i="5"/>
  <c r="S70" i="5"/>
  <c r="S71" i="5"/>
  <c r="S72" i="5"/>
  <c r="S73" i="5"/>
  <c r="S74" i="5"/>
  <c r="S76" i="5"/>
  <c r="S77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7" i="5"/>
  <c r="S98" i="5"/>
  <c r="S99" i="5"/>
  <c r="S100" i="5"/>
  <c r="S101" i="5"/>
  <c r="S103" i="5"/>
  <c r="S104" i="5"/>
  <c r="S106" i="5"/>
  <c r="S107" i="5"/>
  <c r="S108" i="5"/>
  <c r="S110" i="5"/>
  <c r="S111" i="5"/>
  <c r="S112" i="5"/>
  <c r="S113" i="5"/>
  <c r="S114" i="5"/>
  <c r="S115" i="5"/>
  <c r="S116" i="5"/>
  <c r="S118" i="5"/>
  <c r="S119" i="5"/>
  <c r="S120" i="5"/>
  <c r="S121" i="5"/>
  <c r="S122" i="5"/>
  <c r="S124" i="5"/>
  <c r="S125" i="5"/>
  <c r="S126" i="5"/>
  <c r="S127" i="5"/>
  <c r="S128" i="5"/>
  <c r="S132" i="5"/>
  <c r="S133" i="5"/>
  <c r="S134" i="5"/>
  <c r="S135" i="5"/>
  <c r="S137" i="5"/>
  <c r="S136" i="5"/>
  <c r="S138" i="5"/>
  <c r="S139" i="5"/>
  <c r="S140" i="5"/>
  <c r="S141" i="5"/>
  <c r="S142" i="5"/>
  <c r="S144" i="5"/>
  <c r="S146" i="5"/>
  <c r="S145" i="5"/>
  <c r="S147" i="5"/>
  <c r="S149" i="5"/>
  <c r="S150" i="5"/>
  <c r="S153" i="5"/>
  <c r="S154" i="5"/>
  <c r="S155" i="5"/>
  <c r="S156" i="5"/>
  <c r="S157" i="5"/>
  <c r="S158" i="5"/>
  <c r="S160" i="5"/>
  <c r="S161" i="5"/>
  <c r="S163" i="5"/>
  <c r="S164" i="5"/>
  <c r="S168" i="5"/>
  <c r="S169" i="5"/>
  <c r="S170" i="5"/>
  <c r="S171" i="5"/>
  <c r="S175" i="5"/>
  <c r="S176" i="5"/>
  <c r="S177" i="5"/>
  <c r="S178" i="5"/>
  <c r="S179" i="5"/>
  <c r="S180" i="5"/>
  <c r="S181" i="5"/>
  <c r="S182" i="5"/>
  <c r="S188" i="5"/>
  <c r="S195" i="5"/>
  <c r="S196" i="5"/>
  <c r="S197" i="5"/>
  <c r="S199" i="5"/>
  <c r="S201" i="5"/>
  <c r="S202" i="5"/>
  <c r="S203" i="5"/>
  <c r="S204" i="5"/>
  <c r="S205" i="5"/>
  <c r="S207" i="5"/>
  <c r="S208" i="5"/>
  <c r="S209" i="5"/>
  <c r="S211" i="5"/>
  <c r="S213" i="5"/>
  <c r="S214" i="5"/>
  <c r="S216" i="5"/>
  <c r="S217" i="5"/>
  <c r="S218" i="5"/>
  <c r="S219" i="5"/>
  <c r="S220" i="5"/>
  <c r="S221" i="5"/>
  <c r="S222" i="5"/>
  <c r="S223" i="5"/>
  <c r="S224" i="5"/>
  <c r="S225" i="5"/>
  <c r="S226" i="5"/>
  <c r="S227" i="5"/>
  <c r="S228" i="5"/>
  <c r="S229" i="5"/>
  <c r="S230" i="5"/>
  <c r="S231" i="5"/>
  <c r="S232" i="5"/>
  <c r="S233" i="5"/>
  <c r="S234" i="5"/>
  <c r="S12" i="5"/>
  <c r="S18" i="5"/>
  <c r="S19" i="5"/>
  <c r="S26" i="5"/>
  <c r="S35" i="5"/>
  <c r="S47" i="5"/>
  <c r="S56" i="5"/>
  <c r="S57" i="5"/>
  <c r="S96" i="5"/>
  <c r="S129" i="5"/>
  <c r="S130" i="5"/>
  <c r="S131" i="5"/>
  <c r="S162" i="5"/>
  <c r="S165" i="5"/>
  <c r="S166" i="5"/>
  <c r="S167" i="5"/>
  <c r="S172" i="5"/>
  <c r="S173" i="5"/>
  <c r="S174" i="5"/>
  <c r="S183" i="5"/>
  <c r="S184" i="5"/>
  <c r="S185" i="5"/>
  <c r="S186" i="5"/>
  <c r="S187" i="5"/>
  <c r="S193" i="5"/>
  <c r="S191" i="5"/>
  <c r="S192" i="5"/>
  <c r="S194" i="5"/>
  <c r="S189" i="5"/>
  <c r="S190" i="5"/>
  <c r="S212" i="5"/>
  <c r="S50" i="5"/>
  <c r="S59" i="5"/>
  <c r="S64" i="5"/>
  <c r="S75" i="5"/>
  <c r="S78" i="5"/>
  <c r="S102" i="5"/>
  <c r="S109" i="5"/>
  <c r="S117" i="5"/>
  <c r="S148" i="5"/>
  <c r="S151" i="5"/>
  <c r="S152" i="5"/>
  <c r="S159" i="5"/>
  <c r="S198" i="5"/>
  <c r="S200" i="5"/>
  <c r="S206" i="5"/>
  <c r="S215" i="5"/>
  <c r="S3" i="5"/>
  <c r="S14" i="5"/>
  <c r="S49" i="5"/>
  <c r="S53" i="5"/>
  <c r="S105" i="5"/>
  <c r="S123" i="5"/>
  <c r="S143" i="5"/>
  <c r="S210" i="5"/>
  <c r="R4" i="5"/>
  <c r="R5" i="5"/>
  <c r="R6" i="5"/>
  <c r="R7" i="5"/>
  <c r="R8" i="5"/>
  <c r="R9" i="5"/>
  <c r="R10" i="5"/>
  <c r="R11" i="5"/>
  <c r="R13" i="5"/>
  <c r="R15" i="5"/>
  <c r="R16" i="5"/>
  <c r="R17" i="5"/>
  <c r="R20" i="5"/>
  <c r="R21" i="5"/>
  <c r="R22" i="5"/>
  <c r="R23" i="5"/>
  <c r="R24" i="5"/>
  <c r="R25" i="5"/>
  <c r="R27" i="5"/>
  <c r="R28" i="5"/>
  <c r="R29" i="5"/>
  <c r="R30" i="5"/>
  <c r="R31" i="5"/>
  <c r="R32" i="5"/>
  <c r="R33" i="5"/>
  <c r="R34" i="5"/>
  <c r="R36" i="5"/>
  <c r="R37" i="5"/>
  <c r="R38" i="5"/>
  <c r="R39" i="5"/>
  <c r="R40" i="5"/>
  <c r="R41" i="5"/>
  <c r="R42" i="5"/>
  <c r="R44" i="5"/>
  <c r="R45" i="5"/>
  <c r="R46" i="5"/>
  <c r="R48" i="5"/>
  <c r="R51" i="5"/>
  <c r="R52" i="5"/>
  <c r="R54" i="5"/>
  <c r="R55" i="5"/>
  <c r="R58" i="5"/>
  <c r="R60" i="5"/>
  <c r="R61" i="5"/>
  <c r="R62" i="5"/>
  <c r="R63" i="5"/>
  <c r="R65" i="5"/>
  <c r="R66" i="5"/>
  <c r="R67" i="5"/>
  <c r="R68" i="5"/>
  <c r="R69" i="5"/>
  <c r="R70" i="5"/>
  <c r="R71" i="5"/>
  <c r="R72" i="5"/>
  <c r="R73" i="5"/>
  <c r="R74" i="5"/>
  <c r="R76" i="5"/>
  <c r="R77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7" i="5"/>
  <c r="R98" i="5"/>
  <c r="R99" i="5"/>
  <c r="R100" i="5"/>
  <c r="R101" i="5"/>
  <c r="R103" i="5"/>
  <c r="R104" i="5"/>
  <c r="R106" i="5"/>
  <c r="R107" i="5"/>
  <c r="R108" i="5"/>
  <c r="R110" i="5"/>
  <c r="R111" i="5"/>
  <c r="R112" i="5"/>
  <c r="R113" i="5"/>
  <c r="R114" i="5"/>
  <c r="R115" i="5"/>
  <c r="R116" i="5"/>
  <c r="R118" i="5"/>
  <c r="R119" i="5"/>
  <c r="R120" i="5"/>
  <c r="R121" i="5"/>
  <c r="R122" i="5"/>
  <c r="R124" i="5"/>
  <c r="R125" i="5"/>
  <c r="R126" i="5"/>
  <c r="R127" i="5"/>
  <c r="R128" i="5"/>
  <c r="R132" i="5"/>
  <c r="R133" i="5"/>
  <c r="R134" i="5"/>
  <c r="R135" i="5"/>
  <c r="R137" i="5"/>
  <c r="R136" i="5"/>
  <c r="R138" i="5"/>
  <c r="R139" i="5"/>
  <c r="R140" i="5"/>
  <c r="R141" i="5"/>
  <c r="R142" i="5"/>
  <c r="R144" i="5"/>
  <c r="R146" i="5"/>
  <c r="R145" i="5"/>
  <c r="R147" i="5"/>
  <c r="R149" i="5"/>
  <c r="R150" i="5"/>
  <c r="R153" i="5"/>
  <c r="R154" i="5"/>
  <c r="R155" i="5"/>
  <c r="R156" i="5"/>
  <c r="R157" i="5"/>
  <c r="R158" i="5"/>
  <c r="R160" i="5"/>
  <c r="R161" i="5"/>
  <c r="R163" i="5"/>
  <c r="R164" i="5"/>
  <c r="R168" i="5"/>
  <c r="R169" i="5"/>
  <c r="R170" i="5"/>
  <c r="R171" i="5"/>
  <c r="R175" i="5"/>
  <c r="R176" i="5"/>
  <c r="R177" i="5"/>
  <c r="R178" i="5"/>
  <c r="R179" i="5"/>
  <c r="R180" i="5"/>
  <c r="R181" i="5"/>
  <c r="R182" i="5"/>
  <c r="R188" i="5"/>
  <c r="R195" i="5"/>
  <c r="R196" i="5"/>
  <c r="R197" i="5"/>
  <c r="R199" i="5"/>
  <c r="R201" i="5"/>
  <c r="R202" i="5"/>
  <c r="R203" i="5"/>
  <c r="R204" i="5"/>
  <c r="R205" i="5"/>
  <c r="R207" i="5"/>
  <c r="R208" i="5"/>
  <c r="R209" i="5"/>
  <c r="R211" i="5"/>
  <c r="R213" i="5"/>
  <c r="R214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12" i="5"/>
  <c r="R18" i="5"/>
  <c r="R19" i="5"/>
  <c r="R26" i="5"/>
  <c r="R35" i="5"/>
  <c r="R47" i="5"/>
  <c r="R56" i="5"/>
  <c r="R57" i="5"/>
  <c r="R96" i="5"/>
  <c r="R129" i="5"/>
  <c r="R130" i="5"/>
  <c r="R131" i="5"/>
  <c r="R162" i="5"/>
  <c r="R165" i="5"/>
  <c r="R166" i="5"/>
  <c r="R167" i="5"/>
  <c r="R172" i="5"/>
  <c r="R173" i="5"/>
  <c r="R174" i="5"/>
  <c r="R183" i="5"/>
  <c r="R184" i="5"/>
  <c r="R185" i="5"/>
  <c r="R186" i="5"/>
  <c r="R187" i="5"/>
  <c r="R193" i="5"/>
  <c r="R191" i="5"/>
  <c r="R192" i="5"/>
  <c r="R194" i="5"/>
  <c r="R189" i="5"/>
  <c r="R190" i="5"/>
  <c r="R212" i="5"/>
  <c r="R50" i="5"/>
  <c r="R59" i="5"/>
  <c r="R64" i="5"/>
  <c r="R75" i="5"/>
  <c r="R78" i="5"/>
  <c r="R102" i="5"/>
  <c r="R109" i="5"/>
  <c r="R117" i="5"/>
  <c r="R148" i="5"/>
  <c r="R151" i="5"/>
  <c r="R152" i="5"/>
  <c r="R159" i="5"/>
  <c r="R198" i="5"/>
  <c r="R200" i="5"/>
  <c r="R206" i="5"/>
  <c r="R215" i="5"/>
  <c r="R3" i="5"/>
  <c r="R14" i="5"/>
  <c r="R49" i="5"/>
  <c r="R53" i="5"/>
  <c r="R105" i="5"/>
  <c r="R123" i="5"/>
  <c r="R143" i="5"/>
  <c r="R210" i="5"/>
  <c r="Q4" i="5"/>
  <c r="Q5" i="5"/>
  <c r="Q6" i="5"/>
  <c r="Q7" i="5"/>
  <c r="Q8" i="5"/>
  <c r="Q9" i="5"/>
  <c r="Q10" i="5"/>
  <c r="Q11" i="5"/>
  <c r="Q13" i="5"/>
  <c r="Q15" i="5"/>
  <c r="Q16" i="5"/>
  <c r="Q17" i="5"/>
  <c r="Q20" i="5"/>
  <c r="Q21" i="5"/>
  <c r="Q22" i="5"/>
  <c r="Q23" i="5"/>
  <c r="Q24" i="5"/>
  <c r="Q25" i="5"/>
  <c r="Q27" i="5"/>
  <c r="Q28" i="5"/>
  <c r="Q29" i="5"/>
  <c r="Q30" i="5"/>
  <c r="Q31" i="5"/>
  <c r="Q32" i="5"/>
  <c r="Q33" i="5"/>
  <c r="Q34" i="5"/>
  <c r="Q36" i="5"/>
  <c r="Q37" i="5"/>
  <c r="Q38" i="5"/>
  <c r="Q39" i="5"/>
  <c r="Q40" i="5"/>
  <c r="Q41" i="5"/>
  <c r="Q42" i="5"/>
  <c r="Q44" i="5"/>
  <c r="Q45" i="5"/>
  <c r="Q46" i="5"/>
  <c r="Q48" i="5"/>
  <c r="Q51" i="5"/>
  <c r="Q52" i="5"/>
  <c r="Q54" i="5"/>
  <c r="Q55" i="5"/>
  <c r="Q58" i="5"/>
  <c r="Q60" i="5"/>
  <c r="Q61" i="5"/>
  <c r="Q62" i="5"/>
  <c r="Q63" i="5"/>
  <c r="Q65" i="5"/>
  <c r="Q66" i="5"/>
  <c r="Q67" i="5"/>
  <c r="Q68" i="5"/>
  <c r="Q69" i="5"/>
  <c r="Q70" i="5"/>
  <c r="Q71" i="5"/>
  <c r="Q72" i="5"/>
  <c r="Q73" i="5"/>
  <c r="Q74" i="5"/>
  <c r="Q76" i="5"/>
  <c r="Q77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7" i="5"/>
  <c r="Q98" i="5"/>
  <c r="Q99" i="5"/>
  <c r="Q100" i="5"/>
  <c r="Q101" i="5"/>
  <c r="Q103" i="5"/>
  <c r="Q104" i="5"/>
  <c r="Q106" i="5"/>
  <c r="Q107" i="5"/>
  <c r="Q108" i="5"/>
  <c r="Q110" i="5"/>
  <c r="Q111" i="5"/>
  <c r="Q112" i="5"/>
  <c r="Q113" i="5"/>
  <c r="Q114" i="5"/>
  <c r="Q115" i="5"/>
  <c r="Q116" i="5"/>
  <c r="Q118" i="5"/>
  <c r="Q119" i="5"/>
  <c r="Q120" i="5"/>
  <c r="Q121" i="5"/>
  <c r="Q122" i="5"/>
  <c r="Q124" i="5"/>
  <c r="Q125" i="5"/>
  <c r="Q126" i="5"/>
  <c r="Q127" i="5"/>
  <c r="Q128" i="5"/>
  <c r="Q132" i="5"/>
  <c r="Q133" i="5"/>
  <c r="Q134" i="5"/>
  <c r="Q135" i="5"/>
  <c r="Q137" i="5"/>
  <c r="Q136" i="5"/>
  <c r="Q138" i="5"/>
  <c r="Q139" i="5"/>
  <c r="Q140" i="5"/>
  <c r="Q141" i="5"/>
  <c r="Q142" i="5"/>
  <c r="Q144" i="5"/>
  <c r="Q146" i="5"/>
  <c r="Q145" i="5"/>
  <c r="Q147" i="5"/>
  <c r="Q149" i="5"/>
  <c r="Q150" i="5"/>
  <c r="Q153" i="5"/>
  <c r="Q154" i="5"/>
  <c r="Q155" i="5"/>
  <c r="Q156" i="5"/>
  <c r="Q157" i="5"/>
  <c r="Q158" i="5"/>
  <c r="Q160" i="5"/>
  <c r="Q161" i="5"/>
  <c r="Q163" i="5"/>
  <c r="Q164" i="5"/>
  <c r="Q168" i="5"/>
  <c r="Q169" i="5"/>
  <c r="Q170" i="5"/>
  <c r="Q171" i="5"/>
  <c r="Q175" i="5"/>
  <c r="Q176" i="5"/>
  <c r="Q177" i="5"/>
  <c r="Q178" i="5"/>
  <c r="Q179" i="5"/>
  <c r="Q180" i="5"/>
  <c r="Q181" i="5"/>
  <c r="Q182" i="5"/>
  <c r="Q188" i="5"/>
  <c r="Q195" i="5"/>
  <c r="Q196" i="5"/>
  <c r="Q197" i="5"/>
  <c r="Q199" i="5"/>
  <c r="Q201" i="5"/>
  <c r="Q202" i="5"/>
  <c r="Q203" i="5"/>
  <c r="Q204" i="5"/>
  <c r="Q205" i="5"/>
  <c r="Q207" i="5"/>
  <c r="Q208" i="5"/>
  <c r="Q209" i="5"/>
  <c r="Q211" i="5"/>
  <c r="Q213" i="5"/>
  <c r="Q214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12" i="5"/>
  <c r="Q18" i="5"/>
  <c r="Q19" i="5"/>
  <c r="Q26" i="5"/>
  <c r="Q35" i="5"/>
  <c r="Q47" i="5"/>
  <c r="Q56" i="5"/>
  <c r="Q57" i="5"/>
  <c r="Q96" i="5"/>
  <c r="Q129" i="5"/>
  <c r="Q130" i="5"/>
  <c r="Q131" i="5"/>
  <c r="Q162" i="5"/>
  <c r="Q165" i="5"/>
  <c r="Q166" i="5"/>
  <c r="Q167" i="5"/>
  <c r="Q172" i="5"/>
  <c r="Q173" i="5"/>
  <c r="Q174" i="5"/>
  <c r="Q183" i="5"/>
  <c r="Q184" i="5"/>
  <c r="Q185" i="5"/>
  <c r="Q186" i="5"/>
  <c r="Q187" i="5"/>
  <c r="Q193" i="5"/>
  <c r="Q191" i="5"/>
  <c r="Q192" i="5"/>
  <c r="Q194" i="5"/>
  <c r="Q189" i="5"/>
  <c r="Q190" i="5"/>
  <c r="Q212" i="5"/>
  <c r="Q50" i="5"/>
  <c r="Q59" i="5"/>
  <c r="Q64" i="5"/>
  <c r="Q75" i="5"/>
  <c r="Q78" i="5"/>
  <c r="Q102" i="5"/>
  <c r="Q109" i="5"/>
  <c r="Q117" i="5"/>
  <c r="Q148" i="5"/>
  <c r="Q151" i="5"/>
  <c r="Q152" i="5"/>
  <c r="Q159" i="5"/>
  <c r="Q198" i="5"/>
  <c r="Q200" i="5"/>
  <c r="Q206" i="5"/>
  <c r="Q215" i="5"/>
  <c r="Q3" i="5"/>
  <c r="Q14" i="5"/>
  <c r="Q49" i="5"/>
  <c r="Q53" i="5"/>
  <c r="Q105" i="5"/>
  <c r="Q123" i="5"/>
  <c r="Q143" i="5"/>
  <c r="Q210" i="5"/>
  <c r="P4" i="5"/>
  <c r="P5" i="5"/>
  <c r="P6" i="5"/>
  <c r="P7" i="5"/>
  <c r="P8" i="5"/>
  <c r="P9" i="5"/>
  <c r="P10" i="5"/>
  <c r="P11" i="5"/>
  <c r="P13" i="5"/>
  <c r="P15" i="5"/>
  <c r="P16" i="5"/>
  <c r="P17" i="5"/>
  <c r="P20" i="5"/>
  <c r="P21" i="5"/>
  <c r="P22" i="5"/>
  <c r="P23" i="5"/>
  <c r="P24" i="5"/>
  <c r="P25" i="5"/>
  <c r="P27" i="5"/>
  <c r="P28" i="5"/>
  <c r="P29" i="5"/>
  <c r="P30" i="5"/>
  <c r="P31" i="5"/>
  <c r="P32" i="5"/>
  <c r="P33" i="5"/>
  <c r="P34" i="5"/>
  <c r="P36" i="5"/>
  <c r="P37" i="5"/>
  <c r="P38" i="5"/>
  <c r="P39" i="5"/>
  <c r="P40" i="5"/>
  <c r="P41" i="5"/>
  <c r="P42" i="5"/>
  <c r="P44" i="5"/>
  <c r="P45" i="5"/>
  <c r="P46" i="5"/>
  <c r="P48" i="5"/>
  <c r="P51" i="5"/>
  <c r="P52" i="5"/>
  <c r="P54" i="5"/>
  <c r="P55" i="5"/>
  <c r="P58" i="5"/>
  <c r="P60" i="5"/>
  <c r="P61" i="5"/>
  <c r="P62" i="5"/>
  <c r="P63" i="5"/>
  <c r="P65" i="5"/>
  <c r="P66" i="5"/>
  <c r="P67" i="5"/>
  <c r="P68" i="5"/>
  <c r="P69" i="5"/>
  <c r="P70" i="5"/>
  <c r="P71" i="5"/>
  <c r="P72" i="5"/>
  <c r="P73" i="5"/>
  <c r="P74" i="5"/>
  <c r="P76" i="5"/>
  <c r="P77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7" i="5"/>
  <c r="P98" i="5"/>
  <c r="P99" i="5"/>
  <c r="P100" i="5"/>
  <c r="P101" i="5"/>
  <c r="P103" i="5"/>
  <c r="P104" i="5"/>
  <c r="P106" i="5"/>
  <c r="P107" i="5"/>
  <c r="P108" i="5"/>
  <c r="P110" i="5"/>
  <c r="P111" i="5"/>
  <c r="P112" i="5"/>
  <c r="P113" i="5"/>
  <c r="P114" i="5"/>
  <c r="P115" i="5"/>
  <c r="P116" i="5"/>
  <c r="P118" i="5"/>
  <c r="P119" i="5"/>
  <c r="P120" i="5"/>
  <c r="P121" i="5"/>
  <c r="P122" i="5"/>
  <c r="P124" i="5"/>
  <c r="P125" i="5"/>
  <c r="P126" i="5"/>
  <c r="P127" i="5"/>
  <c r="P128" i="5"/>
  <c r="P132" i="5"/>
  <c r="P133" i="5"/>
  <c r="P134" i="5"/>
  <c r="P135" i="5"/>
  <c r="P137" i="5"/>
  <c r="P136" i="5"/>
  <c r="P138" i="5"/>
  <c r="P139" i="5"/>
  <c r="P140" i="5"/>
  <c r="P141" i="5"/>
  <c r="P142" i="5"/>
  <c r="P144" i="5"/>
  <c r="P146" i="5"/>
  <c r="P145" i="5"/>
  <c r="P147" i="5"/>
  <c r="P149" i="5"/>
  <c r="P150" i="5"/>
  <c r="P153" i="5"/>
  <c r="P154" i="5"/>
  <c r="P155" i="5"/>
  <c r="P156" i="5"/>
  <c r="P157" i="5"/>
  <c r="P158" i="5"/>
  <c r="P160" i="5"/>
  <c r="P161" i="5"/>
  <c r="P163" i="5"/>
  <c r="P164" i="5"/>
  <c r="P168" i="5"/>
  <c r="P169" i="5"/>
  <c r="P170" i="5"/>
  <c r="P171" i="5"/>
  <c r="P175" i="5"/>
  <c r="P176" i="5"/>
  <c r="P177" i="5"/>
  <c r="P178" i="5"/>
  <c r="P179" i="5"/>
  <c r="P180" i="5"/>
  <c r="P181" i="5"/>
  <c r="P182" i="5"/>
  <c r="P188" i="5"/>
  <c r="P195" i="5"/>
  <c r="P196" i="5"/>
  <c r="P197" i="5"/>
  <c r="P199" i="5"/>
  <c r="P201" i="5"/>
  <c r="P202" i="5"/>
  <c r="P203" i="5"/>
  <c r="P204" i="5"/>
  <c r="P205" i="5"/>
  <c r="P207" i="5"/>
  <c r="P208" i="5"/>
  <c r="P209" i="5"/>
  <c r="P211" i="5"/>
  <c r="P213" i="5"/>
  <c r="P214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12" i="5"/>
  <c r="P18" i="5"/>
  <c r="P19" i="5"/>
  <c r="P26" i="5"/>
  <c r="P35" i="5"/>
  <c r="P47" i="5"/>
  <c r="P56" i="5"/>
  <c r="P57" i="5"/>
  <c r="P96" i="5"/>
  <c r="P129" i="5"/>
  <c r="P130" i="5"/>
  <c r="P131" i="5"/>
  <c r="P162" i="5"/>
  <c r="P165" i="5"/>
  <c r="P166" i="5"/>
  <c r="P167" i="5"/>
  <c r="P172" i="5"/>
  <c r="P173" i="5"/>
  <c r="P174" i="5"/>
  <c r="P183" i="5"/>
  <c r="P184" i="5"/>
  <c r="P185" i="5"/>
  <c r="P186" i="5"/>
  <c r="P187" i="5"/>
  <c r="P193" i="5"/>
  <c r="P191" i="5"/>
  <c r="P192" i="5"/>
  <c r="P194" i="5"/>
  <c r="P189" i="5"/>
  <c r="P190" i="5"/>
  <c r="P212" i="5"/>
  <c r="P50" i="5"/>
  <c r="P59" i="5"/>
  <c r="P64" i="5"/>
  <c r="P75" i="5"/>
  <c r="P78" i="5"/>
  <c r="P102" i="5"/>
  <c r="P109" i="5"/>
  <c r="P117" i="5"/>
  <c r="P148" i="5"/>
  <c r="P151" i="5"/>
  <c r="P152" i="5"/>
  <c r="P159" i="5"/>
  <c r="P198" i="5"/>
  <c r="P200" i="5"/>
  <c r="P206" i="5"/>
  <c r="P215" i="5"/>
  <c r="P3" i="5"/>
  <c r="P14" i="5"/>
  <c r="P49" i="5"/>
  <c r="P53" i="5"/>
  <c r="P105" i="5"/>
  <c r="P123" i="5"/>
  <c r="P143" i="5"/>
  <c r="P210" i="5"/>
  <c r="O4" i="5"/>
  <c r="O5" i="5"/>
  <c r="O6" i="5"/>
  <c r="O7" i="5"/>
  <c r="O8" i="5"/>
  <c r="O9" i="5"/>
  <c r="O10" i="5"/>
  <c r="O11" i="5"/>
  <c r="O13" i="5"/>
  <c r="O15" i="5"/>
  <c r="O16" i="5"/>
  <c r="O17" i="5"/>
  <c r="O20" i="5"/>
  <c r="O21" i="5"/>
  <c r="O22" i="5"/>
  <c r="O23" i="5"/>
  <c r="O24" i="5"/>
  <c r="O25" i="5"/>
  <c r="O27" i="5"/>
  <c r="O28" i="5"/>
  <c r="O29" i="5"/>
  <c r="O30" i="5"/>
  <c r="O31" i="5"/>
  <c r="O32" i="5"/>
  <c r="O33" i="5"/>
  <c r="O34" i="5"/>
  <c r="O36" i="5"/>
  <c r="O37" i="5"/>
  <c r="O38" i="5"/>
  <c r="O39" i="5"/>
  <c r="O40" i="5"/>
  <c r="O41" i="5"/>
  <c r="O42" i="5"/>
  <c r="O44" i="5"/>
  <c r="O45" i="5"/>
  <c r="O46" i="5"/>
  <c r="O48" i="5"/>
  <c r="O51" i="5"/>
  <c r="O52" i="5"/>
  <c r="O54" i="5"/>
  <c r="O55" i="5"/>
  <c r="O58" i="5"/>
  <c r="O60" i="5"/>
  <c r="O61" i="5"/>
  <c r="O62" i="5"/>
  <c r="O63" i="5"/>
  <c r="O65" i="5"/>
  <c r="O66" i="5"/>
  <c r="O67" i="5"/>
  <c r="O68" i="5"/>
  <c r="O69" i="5"/>
  <c r="O70" i="5"/>
  <c r="O71" i="5"/>
  <c r="O72" i="5"/>
  <c r="O73" i="5"/>
  <c r="O74" i="5"/>
  <c r="O76" i="5"/>
  <c r="O77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7" i="5"/>
  <c r="O98" i="5"/>
  <c r="O99" i="5"/>
  <c r="O100" i="5"/>
  <c r="O101" i="5"/>
  <c r="O103" i="5"/>
  <c r="O104" i="5"/>
  <c r="O106" i="5"/>
  <c r="O107" i="5"/>
  <c r="O108" i="5"/>
  <c r="O110" i="5"/>
  <c r="O111" i="5"/>
  <c r="O112" i="5"/>
  <c r="O113" i="5"/>
  <c r="O114" i="5"/>
  <c r="O115" i="5"/>
  <c r="O116" i="5"/>
  <c r="O118" i="5"/>
  <c r="O119" i="5"/>
  <c r="O120" i="5"/>
  <c r="O121" i="5"/>
  <c r="O122" i="5"/>
  <c r="O124" i="5"/>
  <c r="O125" i="5"/>
  <c r="O126" i="5"/>
  <c r="O127" i="5"/>
  <c r="O128" i="5"/>
  <c r="O132" i="5"/>
  <c r="O133" i="5"/>
  <c r="O134" i="5"/>
  <c r="O135" i="5"/>
  <c r="O137" i="5"/>
  <c r="O136" i="5"/>
  <c r="O138" i="5"/>
  <c r="O139" i="5"/>
  <c r="O140" i="5"/>
  <c r="O141" i="5"/>
  <c r="O142" i="5"/>
  <c r="O144" i="5"/>
  <c r="O146" i="5"/>
  <c r="O145" i="5"/>
  <c r="O147" i="5"/>
  <c r="O149" i="5"/>
  <c r="O150" i="5"/>
  <c r="O153" i="5"/>
  <c r="O154" i="5"/>
  <c r="O155" i="5"/>
  <c r="O156" i="5"/>
  <c r="O157" i="5"/>
  <c r="O158" i="5"/>
  <c r="O160" i="5"/>
  <c r="O161" i="5"/>
  <c r="O163" i="5"/>
  <c r="O164" i="5"/>
  <c r="O168" i="5"/>
  <c r="O169" i="5"/>
  <c r="O170" i="5"/>
  <c r="O171" i="5"/>
  <c r="O175" i="5"/>
  <c r="O176" i="5"/>
  <c r="O177" i="5"/>
  <c r="O178" i="5"/>
  <c r="O179" i="5"/>
  <c r="O180" i="5"/>
  <c r="O181" i="5"/>
  <c r="O182" i="5"/>
  <c r="O188" i="5"/>
  <c r="O195" i="5"/>
  <c r="O196" i="5"/>
  <c r="O197" i="5"/>
  <c r="O199" i="5"/>
  <c r="O201" i="5"/>
  <c r="O202" i="5"/>
  <c r="O203" i="5"/>
  <c r="O204" i="5"/>
  <c r="O205" i="5"/>
  <c r="O207" i="5"/>
  <c r="O208" i="5"/>
  <c r="O209" i="5"/>
  <c r="O211" i="5"/>
  <c r="O213" i="5"/>
  <c r="O214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12" i="5"/>
  <c r="O18" i="5"/>
  <c r="O19" i="5"/>
  <c r="O26" i="5"/>
  <c r="O35" i="5"/>
  <c r="O47" i="5"/>
  <c r="O56" i="5"/>
  <c r="O57" i="5"/>
  <c r="O96" i="5"/>
  <c r="O129" i="5"/>
  <c r="O130" i="5"/>
  <c r="O131" i="5"/>
  <c r="O162" i="5"/>
  <c r="O165" i="5"/>
  <c r="O166" i="5"/>
  <c r="O167" i="5"/>
  <c r="O172" i="5"/>
  <c r="O173" i="5"/>
  <c r="O174" i="5"/>
  <c r="O183" i="5"/>
  <c r="O184" i="5"/>
  <c r="O185" i="5"/>
  <c r="O186" i="5"/>
  <c r="O187" i="5"/>
  <c r="O193" i="5"/>
  <c r="O191" i="5"/>
  <c r="O192" i="5"/>
  <c r="O194" i="5"/>
  <c r="O189" i="5"/>
  <c r="O190" i="5"/>
  <c r="O212" i="5"/>
  <c r="O50" i="5"/>
  <c r="O59" i="5"/>
  <c r="O64" i="5"/>
  <c r="O75" i="5"/>
  <c r="O78" i="5"/>
  <c r="O102" i="5"/>
  <c r="O109" i="5"/>
  <c r="O117" i="5"/>
  <c r="O148" i="5"/>
  <c r="O151" i="5"/>
  <c r="O152" i="5"/>
  <c r="O159" i="5"/>
  <c r="O198" i="5"/>
  <c r="O200" i="5"/>
  <c r="O206" i="5"/>
  <c r="O215" i="5"/>
  <c r="O3" i="5"/>
  <c r="O14" i="5"/>
  <c r="O49" i="5"/>
  <c r="O53" i="5"/>
  <c r="O105" i="5"/>
  <c r="O123" i="5"/>
  <c r="O143" i="5"/>
  <c r="O210" i="5"/>
  <c r="N4" i="5"/>
  <c r="N5" i="5"/>
  <c r="N6" i="5"/>
  <c r="N7" i="5"/>
  <c r="N8" i="5"/>
  <c r="N9" i="5"/>
  <c r="N10" i="5"/>
  <c r="N11" i="5"/>
  <c r="N13" i="5"/>
  <c r="N15" i="5"/>
  <c r="N16" i="5"/>
  <c r="N17" i="5"/>
  <c r="N20" i="5"/>
  <c r="N21" i="5"/>
  <c r="N22" i="5"/>
  <c r="N23" i="5"/>
  <c r="N24" i="5"/>
  <c r="N25" i="5"/>
  <c r="N27" i="5"/>
  <c r="N28" i="5"/>
  <c r="N29" i="5"/>
  <c r="N30" i="5"/>
  <c r="N31" i="5"/>
  <c r="N32" i="5"/>
  <c r="N33" i="5"/>
  <c r="N34" i="5"/>
  <c r="N36" i="5"/>
  <c r="N37" i="5"/>
  <c r="N38" i="5"/>
  <c r="N39" i="5"/>
  <c r="N40" i="5"/>
  <c r="N41" i="5"/>
  <c r="N42" i="5"/>
  <c r="N44" i="5"/>
  <c r="N45" i="5"/>
  <c r="N46" i="5"/>
  <c r="N48" i="5"/>
  <c r="N51" i="5"/>
  <c r="N52" i="5"/>
  <c r="N54" i="5"/>
  <c r="N55" i="5"/>
  <c r="N58" i="5"/>
  <c r="N60" i="5"/>
  <c r="N61" i="5"/>
  <c r="N62" i="5"/>
  <c r="N63" i="5"/>
  <c r="N65" i="5"/>
  <c r="N66" i="5"/>
  <c r="N67" i="5"/>
  <c r="N68" i="5"/>
  <c r="N69" i="5"/>
  <c r="N70" i="5"/>
  <c r="N71" i="5"/>
  <c r="N72" i="5"/>
  <c r="N73" i="5"/>
  <c r="N74" i="5"/>
  <c r="N76" i="5"/>
  <c r="N77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7" i="5"/>
  <c r="N98" i="5"/>
  <c r="N99" i="5"/>
  <c r="N100" i="5"/>
  <c r="N101" i="5"/>
  <c r="N103" i="5"/>
  <c r="N104" i="5"/>
  <c r="N106" i="5"/>
  <c r="N107" i="5"/>
  <c r="N108" i="5"/>
  <c r="N110" i="5"/>
  <c r="N111" i="5"/>
  <c r="N112" i="5"/>
  <c r="N113" i="5"/>
  <c r="N114" i="5"/>
  <c r="N115" i="5"/>
  <c r="N116" i="5"/>
  <c r="N118" i="5"/>
  <c r="N119" i="5"/>
  <c r="N120" i="5"/>
  <c r="N121" i="5"/>
  <c r="N122" i="5"/>
  <c r="N124" i="5"/>
  <c r="N125" i="5"/>
  <c r="N126" i="5"/>
  <c r="N127" i="5"/>
  <c r="N128" i="5"/>
  <c r="N132" i="5"/>
  <c r="N133" i="5"/>
  <c r="N134" i="5"/>
  <c r="N135" i="5"/>
  <c r="N137" i="5"/>
  <c r="N136" i="5"/>
  <c r="N138" i="5"/>
  <c r="N139" i="5"/>
  <c r="N140" i="5"/>
  <c r="N141" i="5"/>
  <c r="N142" i="5"/>
  <c r="N144" i="5"/>
  <c r="N146" i="5"/>
  <c r="N145" i="5"/>
  <c r="N147" i="5"/>
  <c r="N149" i="5"/>
  <c r="N150" i="5"/>
  <c r="N153" i="5"/>
  <c r="N154" i="5"/>
  <c r="N155" i="5"/>
  <c r="N156" i="5"/>
  <c r="N157" i="5"/>
  <c r="N158" i="5"/>
  <c r="N160" i="5"/>
  <c r="N161" i="5"/>
  <c r="N163" i="5"/>
  <c r="N164" i="5"/>
  <c r="N168" i="5"/>
  <c r="N169" i="5"/>
  <c r="N170" i="5"/>
  <c r="N171" i="5"/>
  <c r="N175" i="5"/>
  <c r="N176" i="5"/>
  <c r="N177" i="5"/>
  <c r="N178" i="5"/>
  <c r="N179" i="5"/>
  <c r="N180" i="5"/>
  <c r="N181" i="5"/>
  <c r="N182" i="5"/>
  <c r="N188" i="5"/>
  <c r="N195" i="5"/>
  <c r="N196" i="5"/>
  <c r="N197" i="5"/>
  <c r="N199" i="5"/>
  <c r="N201" i="5"/>
  <c r="N202" i="5"/>
  <c r="N203" i="5"/>
  <c r="N204" i="5"/>
  <c r="N205" i="5"/>
  <c r="N207" i="5"/>
  <c r="N208" i="5"/>
  <c r="N209" i="5"/>
  <c r="N211" i="5"/>
  <c r="N213" i="5"/>
  <c r="N214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12" i="5"/>
  <c r="N18" i="5"/>
  <c r="N19" i="5"/>
  <c r="N26" i="5"/>
  <c r="N35" i="5"/>
  <c r="N47" i="5"/>
  <c r="N56" i="5"/>
  <c r="N57" i="5"/>
  <c r="N96" i="5"/>
  <c r="N129" i="5"/>
  <c r="N130" i="5"/>
  <c r="N131" i="5"/>
  <c r="N162" i="5"/>
  <c r="N165" i="5"/>
  <c r="N166" i="5"/>
  <c r="N167" i="5"/>
  <c r="N172" i="5"/>
  <c r="N173" i="5"/>
  <c r="N174" i="5"/>
  <c r="N183" i="5"/>
  <c r="N184" i="5"/>
  <c r="N185" i="5"/>
  <c r="N186" i="5"/>
  <c r="N187" i="5"/>
  <c r="N193" i="5"/>
  <c r="N191" i="5"/>
  <c r="N192" i="5"/>
  <c r="N194" i="5"/>
  <c r="N189" i="5"/>
  <c r="N190" i="5"/>
  <c r="N212" i="5"/>
  <c r="N50" i="5"/>
  <c r="N59" i="5"/>
  <c r="N64" i="5"/>
  <c r="N75" i="5"/>
  <c r="N78" i="5"/>
  <c r="N102" i="5"/>
  <c r="N109" i="5"/>
  <c r="N117" i="5"/>
  <c r="N148" i="5"/>
  <c r="N151" i="5"/>
  <c r="N152" i="5"/>
  <c r="N159" i="5"/>
  <c r="N198" i="5"/>
  <c r="N200" i="5"/>
  <c r="N206" i="5"/>
  <c r="N215" i="5"/>
  <c r="N3" i="5"/>
  <c r="N14" i="5"/>
  <c r="N49" i="5"/>
  <c r="N53" i="5"/>
  <c r="N105" i="5"/>
  <c r="N123" i="5"/>
  <c r="N143" i="5"/>
  <c r="N210" i="5"/>
  <c r="M4" i="5"/>
  <c r="M5" i="5"/>
  <c r="M6" i="5"/>
  <c r="M7" i="5"/>
  <c r="M8" i="5"/>
  <c r="M9" i="5"/>
  <c r="M10" i="5"/>
  <c r="M11" i="5"/>
  <c r="M13" i="5"/>
  <c r="M15" i="5"/>
  <c r="M16" i="5"/>
  <c r="M17" i="5"/>
  <c r="M20" i="5"/>
  <c r="M21" i="5"/>
  <c r="M22" i="5"/>
  <c r="M23" i="5"/>
  <c r="M24" i="5"/>
  <c r="M25" i="5"/>
  <c r="M27" i="5"/>
  <c r="M28" i="5"/>
  <c r="M29" i="5"/>
  <c r="M30" i="5"/>
  <c r="M31" i="5"/>
  <c r="M32" i="5"/>
  <c r="M33" i="5"/>
  <c r="M34" i="5"/>
  <c r="M36" i="5"/>
  <c r="M37" i="5"/>
  <c r="M38" i="5"/>
  <c r="M39" i="5"/>
  <c r="M40" i="5"/>
  <c r="M41" i="5"/>
  <c r="M42" i="5"/>
  <c r="M44" i="5"/>
  <c r="M45" i="5"/>
  <c r="M46" i="5"/>
  <c r="M48" i="5"/>
  <c r="M51" i="5"/>
  <c r="M52" i="5"/>
  <c r="M54" i="5"/>
  <c r="M55" i="5"/>
  <c r="M58" i="5"/>
  <c r="M60" i="5"/>
  <c r="M61" i="5"/>
  <c r="M62" i="5"/>
  <c r="M63" i="5"/>
  <c r="M65" i="5"/>
  <c r="M66" i="5"/>
  <c r="M67" i="5"/>
  <c r="M68" i="5"/>
  <c r="M69" i="5"/>
  <c r="M70" i="5"/>
  <c r="M71" i="5"/>
  <c r="M72" i="5"/>
  <c r="M73" i="5"/>
  <c r="M74" i="5"/>
  <c r="M76" i="5"/>
  <c r="M77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7" i="5"/>
  <c r="M98" i="5"/>
  <c r="M99" i="5"/>
  <c r="M100" i="5"/>
  <c r="M101" i="5"/>
  <c r="M103" i="5"/>
  <c r="M104" i="5"/>
  <c r="M106" i="5"/>
  <c r="M107" i="5"/>
  <c r="M108" i="5"/>
  <c r="M110" i="5"/>
  <c r="M111" i="5"/>
  <c r="M112" i="5"/>
  <c r="M113" i="5"/>
  <c r="M114" i="5"/>
  <c r="M115" i="5"/>
  <c r="M116" i="5"/>
  <c r="M118" i="5"/>
  <c r="M119" i="5"/>
  <c r="M120" i="5"/>
  <c r="M121" i="5"/>
  <c r="M122" i="5"/>
  <c r="M124" i="5"/>
  <c r="M125" i="5"/>
  <c r="M126" i="5"/>
  <c r="M127" i="5"/>
  <c r="M128" i="5"/>
  <c r="M132" i="5"/>
  <c r="M133" i="5"/>
  <c r="M134" i="5"/>
  <c r="M135" i="5"/>
  <c r="M137" i="5"/>
  <c r="M136" i="5"/>
  <c r="M138" i="5"/>
  <c r="M139" i="5"/>
  <c r="M140" i="5"/>
  <c r="M141" i="5"/>
  <c r="M142" i="5"/>
  <c r="M144" i="5"/>
  <c r="M146" i="5"/>
  <c r="M145" i="5"/>
  <c r="M147" i="5"/>
  <c r="M149" i="5"/>
  <c r="M150" i="5"/>
  <c r="M153" i="5"/>
  <c r="M154" i="5"/>
  <c r="M155" i="5"/>
  <c r="M156" i="5"/>
  <c r="M157" i="5"/>
  <c r="M158" i="5"/>
  <c r="M160" i="5"/>
  <c r="M161" i="5"/>
  <c r="M163" i="5"/>
  <c r="M164" i="5"/>
  <c r="M168" i="5"/>
  <c r="M169" i="5"/>
  <c r="M170" i="5"/>
  <c r="M171" i="5"/>
  <c r="M175" i="5"/>
  <c r="M176" i="5"/>
  <c r="M177" i="5"/>
  <c r="M178" i="5"/>
  <c r="M179" i="5"/>
  <c r="M180" i="5"/>
  <c r="M181" i="5"/>
  <c r="M182" i="5"/>
  <c r="M188" i="5"/>
  <c r="M195" i="5"/>
  <c r="M196" i="5"/>
  <c r="M197" i="5"/>
  <c r="M199" i="5"/>
  <c r="M201" i="5"/>
  <c r="M202" i="5"/>
  <c r="M203" i="5"/>
  <c r="M204" i="5"/>
  <c r="M205" i="5"/>
  <c r="M207" i="5"/>
  <c r="M208" i="5"/>
  <c r="M209" i="5"/>
  <c r="M211" i="5"/>
  <c r="M213" i="5"/>
  <c r="M214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12" i="5"/>
  <c r="M18" i="5"/>
  <c r="M19" i="5"/>
  <c r="M26" i="5"/>
  <c r="M35" i="5"/>
  <c r="M47" i="5"/>
  <c r="M56" i="5"/>
  <c r="M57" i="5"/>
  <c r="M96" i="5"/>
  <c r="M129" i="5"/>
  <c r="M130" i="5"/>
  <c r="M131" i="5"/>
  <c r="M162" i="5"/>
  <c r="M165" i="5"/>
  <c r="M166" i="5"/>
  <c r="M167" i="5"/>
  <c r="M172" i="5"/>
  <c r="M173" i="5"/>
  <c r="M174" i="5"/>
  <c r="M183" i="5"/>
  <c r="M184" i="5"/>
  <c r="M185" i="5"/>
  <c r="M186" i="5"/>
  <c r="M187" i="5"/>
  <c r="M193" i="5"/>
  <c r="M191" i="5"/>
  <c r="M192" i="5"/>
  <c r="M194" i="5"/>
  <c r="M189" i="5"/>
  <c r="M190" i="5"/>
  <c r="M212" i="5"/>
  <c r="M50" i="5"/>
  <c r="M59" i="5"/>
  <c r="M64" i="5"/>
  <c r="M75" i="5"/>
  <c r="M78" i="5"/>
  <c r="M102" i="5"/>
  <c r="M109" i="5"/>
  <c r="M117" i="5"/>
  <c r="M148" i="5"/>
  <c r="M151" i="5"/>
  <c r="M152" i="5"/>
  <c r="M159" i="5"/>
  <c r="M198" i="5"/>
  <c r="M200" i="5"/>
  <c r="M206" i="5"/>
  <c r="M215" i="5"/>
  <c r="M3" i="5"/>
  <c r="M14" i="5"/>
  <c r="M49" i="5"/>
  <c r="M53" i="5"/>
  <c r="M105" i="5"/>
  <c r="M123" i="5"/>
  <c r="M143" i="5"/>
  <c r="M210" i="5"/>
  <c r="L4" i="5"/>
  <c r="L5" i="5"/>
  <c r="L6" i="5"/>
  <c r="L7" i="5"/>
  <c r="L8" i="5"/>
  <c r="L9" i="5"/>
  <c r="L10" i="5"/>
  <c r="L11" i="5"/>
  <c r="L13" i="5"/>
  <c r="L15" i="5"/>
  <c r="L16" i="5"/>
  <c r="L17" i="5"/>
  <c r="L20" i="5"/>
  <c r="L21" i="5"/>
  <c r="L22" i="5"/>
  <c r="L23" i="5"/>
  <c r="L24" i="5"/>
  <c r="L25" i="5"/>
  <c r="L27" i="5"/>
  <c r="L28" i="5"/>
  <c r="L29" i="5"/>
  <c r="L30" i="5"/>
  <c r="L31" i="5"/>
  <c r="L32" i="5"/>
  <c r="L33" i="5"/>
  <c r="L34" i="5"/>
  <c r="L36" i="5"/>
  <c r="L37" i="5"/>
  <c r="L38" i="5"/>
  <c r="L39" i="5"/>
  <c r="L40" i="5"/>
  <c r="L41" i="5"/>
  <c r="L42" i="5"/>
  <c r="L44" i="5"/>
  <c r="L45" i="5"/>
  <c r="L46" i="5"/>
  <c r="L48" i="5"/>
  <c r="L51" i="5"/>
  <c r="L52" i="5"/>
  <c r="L54" i="5"/>
  <c r="L55" i="5"/>
  <c r="L58" i="5"/>
  <c r="L60" i="5"/>
  <c r="L61" i="5"/>
  <c r="L62" i="5"/>
  <c r="L63" i="5"/>
  <c r="L65" i="5"/>
  <c r="L66" i="5"/>
  <c r="L67" i="5"/>
  <c r="L68" i="5"/>
  <c r="L69" i="5"/>
  <c r="L70" i="5"/>
  <c r="L71" i="5"/>
  <c r="L72" i="5"/>
  <c r="L73" i="5"/>
  <c r="L74" i="5"/>
  <c r="L76" i="5"/>
  <c r="L77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7" i="5"/>
  <c r="L98" i="5"/>
  <c r="L99" i="5"/>
  <c r="L100" i="5"/>
  <c r="L101" i="5"/>
  <c r="L103" i="5"/>
  <c r="L104" i="5"/>
  <c r="L106" i="5"/>
  <c r="L107" i="5"/>
  <c r="L108" i="5"/>
  <c r="L110" i="5"/>
  <c r="L111" i="5"/>
  <c r="L112" i="5"/>
  <c r="L113" i="5"/>
  <c r="L114" i="5"/>
  <c r="L115" i="5"/>
  <c r="L116" i="5"/>
  <c r="L118" i="5"/>
  <c r="L119" i="5"/>
  <c r="L120" i="5"/>
  <c r="L121" i="5"/>
  <c r="L122" i="5"/>
  <c r="L124" i="5"/>
  <c r="L125" i="5"/>
  <c r="L126" i="5"/>
  <c r="L127" i="5"/>
  <c r="L128" i="5"/>
  <c r="L132" i="5"/>
  <c r="L133" i="5"/>
  <c r="L134" i="5"/>
  <c r="L135" i="5"/>
  <c r="L137" i="5"/>
  <c r="L136" i="5"/>
  <c r="L138" i="5"/>
  <c r="L139" i="5"/>
  <c r="L140" i="5"/>
  <c r="L141" i="5"/>
  <c r="L142" i="5"/>
  <c r="L144" i="5"/>
  <c r="L146" i="5"/>
  <c r="L145" i="5"/>
  <c r="L147" i="5"/>
  <c r="L149" i="5"/>
  <c r="L150" i="5"/>
  <c r="L153" i="5"/>
  <c r="L154" i="5"/>
  <c r="L155" i="5"/>
  <c r="L156" i="5"/>
  <c r="L157" i="5"/>
  <c r="L158" i="5"/>
  <c r="L160" i="5"/>
  <c r="L161" i="5"/>
  <c r="L163" i="5"/>
  <c r="L164" i="5"/>
  <c r="L168" i="5"/>
  <c r="L169" i="5"/>
  <c r="L170" i="5"/>
  <c r="L171" i="5"/>
  <c r="L175" i="5"/>
  <c r="L176" i="5"/>
  <c r="L177" i="5"/>
  <c r="L178" i="5"/>
  <c r="L179" i="5"/>
  <c r="L180" i="5"/>
  <c r="L181" i="5"/>
  <c r="L182" i="5"/>
  <c r="L188" i="5"/>
  <c r="L195" i="5"/>
  <c r="L196" i="5"/>
  <c r="L197" i="5"/>
  <c r="L199" i="5"/>
  <c r="L201" i="5"/>
  <c r="L202" i="5"/>
  <c r="L203" i="5"/>
  <c r="L204" i="5"/>
  <c r="L205" i="5"/>
  <c r="L207" i="5"/>
  <c r="L208" i="5"/>
  <c r="L209" i="5"/>
  <c r="L211" i="5"/>
  <c r="L213" i="5"/>
  <c r="L214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12" i="5"/>
  <c r="L18" i="5"/>
  <c r="L19" i="5"/>
  <c r="L26" i="5"/>
  <c r="L35" i="5"/>
  <c r="L47" i="5"/>
  <c r="L56" i="5"/>
  <c r="L57" i="5"/>
  <c r="L96" i="5"/>
  <c r="L129" i="5"/>
  <c r="L130" i="5"/>
  <c r="L131" i="5"/>
  <c r="L162" i="5"/>
  <c r="L165" i="5"/>
  <c r="L166" i="5"/>
  <c r="L167" i="5"/>
  <c r="L172" i="5"/>
  <c r="L173" i="5"/>
  <c r="L174" i="5"/>
  <c r="L183" i="5"/>
  <c r="L184" i="5"/>
  <c r="L185" i="5"/>
  <c r="L186" i="5"/>
  <c r="L187" i="5"/>
  <c r="L193" i="5"/>
  <c r="L191" i="5"/>
  <c r="L192" i="5"/>
  <c r="L194" i="5"/>
  <c r="L189" i="5"/>
  <c r="L190" i="5"/>
  <c r="L212" i="5"/>
  <c r="L50" i="5"/>
  <c r="L59" i="5"/>
  <c r="L64" i="5"/>
  <c r="L75" i="5"/>
  <c r="L78" i="5"/>
  <c r="L102" i="5"/>
  <c r="L109" i="5"/>
  <c r="L117" i="5"/>
  <c r="L148" i="5"/>
  <c r="L151" i="5"/>
  <c r="L152" i="5"/>
  <c r="L159" i="5"/>
  <c r="L198" i="5"/>
  <c r="L200" i="5"/>
  <c r="L206" i="5"/>
  <c r="L215" i="5"/>
  <c r="L3" i="5"/>
  <c r="L14" i="5"/>
  <c r="L49" i="5"/>
  <c r="L53" i="5"/>
  <c r="L105" i="5"/>
  <c r="L123" i="5"/>
  <c r="L143" i="5"/>
  <c r="L210" i="5"/>
  <c r="K4" i="5"/>
  <c r="K5" i="5"/>
  <c r="K6" i="5"/>
  <c r="K7" i="5"/>
  <c r="K8" i="5"/>
  <c r="K9" i="5"/>
  <c r="K10" i="5"/>
  <c r="K11" i="5"/>
  <c r="K13" i="5"/>
  <c r="K15" i="5"/>
  <c r="K16" i="5"/>
  <c r="K17" i="5"/>
  <c r="K20" i="5"/>
  <c r="K21" i="5"/>
  <c r="K22" i="5"/>
  <c r="K23" i="5"/>
  <c r="K24" i="5"/>
  <c r="K25" i="5"/>
  <c r="K27" i="5"/>
  <c r="K28" i="5"/>
  <c r="K29" i="5"/>
  <c r="K30" i="5"/>
  <c r="K31" i="5"/>
  <c r="K32" i="5"/>
  <c r="K33" i="5"/>
  <c r="K34" i="5"/>
  <c r="K36" i="5"/>
  <c r="K37" i="5"/>
  <c r="K38" i="5"/>
  <c r="K39" i="5"/>
  <c r="K40" i="5"/>
  <c r="K41" i="5"/>
  <c r="K42" i="5"/>
  <c r="K44" i="5"/>
  <c r="K45" i="5"/>
  <c r="K46" i="5"/>
  <c r="K48" i="5"/>
  <c r="K51" i="5"/>
  <c r="K52" i="5"/>
  <c r="K54" i="5"/>
  <c r="K55" i="5"/>
  <c r="K58" i="5"/>
  <c r="K60" i="5"/>
  <c r="K61" i="5"/>
  <c r="K62" i="5"/>
  <c r="K63" i="5"/>
  <c r="K65" i="5"/>
  <c r="K66" i="5"/>
  <c r="K67" i="5"/>
  <c r="K68" i="5"/>
  <c r="K69" i="5"/>
  <c r="K70" i="5"/>
  <c r="K71" i="5"/>
  <c r="K72" i="5"/>
  <c r="K73" i="5"/>
  <c r="K74" i="5"/>
  <c r="K76" i="5"/>
  <c r="K77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7" i="5"/>
  <c r="K98" i="5"/>
  <c r="K99" i="5"/>
  <c r="K100" i="5"/>
  <c r="K101" i="5"/>
  <c r="K103" i="5"/>
  <c r="K104" i="5"/>
  <c r="K106" i="5"/>
  <c r="K107" i="5"/>
  <c r="K108" i="5"/>
  <c r="K110" i="5"/>
  <c r="K111" i="5"/>
  <c r="K112" i="5"/>
  <c r="K113" i="5"/>
  <c r="K114" i="5"/>
  <c r="K115" i="5"/>
  <c r="K116" i="5"/>
  <c r="K118" i="5"/>
  <c r="K119" i="5"/>
  <c r="K120" i="5"/>
  <c r="K121" i="5"/>
  <c r="K122" i="5"/>
  <c r="K124" i="5"/>
  <c r="K125" i="5"/>
  <c r="K126" i="5"/>
  <c r="K127" i="5"/>
  <c r="K128" i="5"/>
  <c r="K132" i="5"/>
  <c r="K133" i="5"/>
  <c r="K134" i="5"/>
  <c r="K135" i="5"/>
  <c r="K137" i="5"/>
  <c r="K136" i="5"/>
  <c r="K138" i="5"/>
  <c r="K139" i="5"/>
  <c r="K140" i="5"/>
  <c r="K141" i="5"/>
  <c r="K142" i="5"/>
  <c r="K144" i="5"/>
  <c r="K146" i="5"/>
  <c r="K145" i="5"/>
  <c r="K147" i="5"/>
  <c r="K149" i="5"/>
  <c r="K150" i="5"/>
  <c r="K153" i="5"/>
  <c r="K154" i="5"/>
  <c r="K155" i="5"/>
  <c r="K156" i="5"/>
  <c r="K157" i="5"/>
  <c r="K158" i="5"/>
  <c r="K160" i="5"/>
  <c r="K161" i="5"/>
  <c r="K163" i="5"/>
  <c r="K164" i="5"/>
  <c r="K168" i="5"/>
  <c r="K169" i="5"/>
  <c r="K170" i="5"/>
  <c r="K171" i="5"/>
  <c r="K175" i="5"/>
  <c r="K176" i="5"/>
  <c r="K177" i="5"/>
  <c r="K178" i="5"/>
  <c r="K179" i="5"/>
  <c r="K180" i="5"/>
  <c r="K181" i="5"/>
  <c r="K182" i="5"/>
  <c r="K188" i="5"/>
  <c r="K195" i="5"/>
  <c r="K196" i="5"/>
  <c r="K197" i="5"/>
  <c r="K199" i="5"/>
  <c r="K201" i="5"/>
  <c r="K202" i="5"/>
  <c r="K203" i="5"/>
  <c r="K204" i="5"/>
  <c r="K205" i="5"/>
  <c r="K207" i="5"/>
  <c r="K208" i="5"/>
  <c r="K209" i="5"/>
  <c r="K211" i="5"/>
  <c r="K213" i="5"/>
  <c r="K214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12" i="5"/>
  <c r="K18" i="5"/>
  <c r="K19" i="5"/>
  <c r="K26" i="5"/>
  <c r="K35" i="5"/>
  <c r="K47" i="5"/>
  <c r="K56" i="5"/>
  <c r="K57" i="5"/>
  <c r="K96" i="5"/>
  <c r="K129" i="5"/>
  <c r="K130" i="5"/>
  <c r="K131" i="5"/>
  <c r="K162" i="5"/>
  <c r="K165" i="5"/>
  <c r="K166" i="5"/>
  <c r="K167" i="5"/>
  <c r="K172" i="5"/>
  <c r="K173" i="5"/>
  <c r="K174" i="5"/>
  <c r="K183" i="5"/>
  <c r="K184" i="5"/>
  <c r="K185" i="5"/>
  <c r="K186" i="5"/>
  <c r="K187" i="5"/>
  <c r="K193" i="5"/>
  <c r="K191" i="5"/>
  <c r="K192" i="5"/>
  <c r="K194" i="5"/>
  <c r="K189" i="5"/>
  <c r="K190" i="5"/>
  <c r="K212" i="5"/>
  <c r="K50" i="5"/>
  <c r="K59" i="5"/>
  <c r="K64" i="5"/>
  <c r="K75" i="5"/>
  <c r="K78" i="5"/>
  <c r="K102" i="5"/>
  <c r="K109" i="5"/>
  <c r="K117" i="5"/>
  <c r="K148" i="5"/>
  <c r="K151" i="5"/>
  <c r="K152" i="5"/>
  <c r="K159" i="5"/>
  <c r="K198" i="5"/>
  <c r="K200" i="5"/>
  <c r="K206" i="5"/>
  <c r="K215" i="5"/>
  <c r="K3" i="5"/>
  <c r="K14" i="5"/>
  <c r="K49" i="5"/>
  <c r="K53" i="5"/>
  <c r="K105" i="5"/>
  <c r="K123" i="5"/>
  <c r="K143" i="5"/>
  <c r="K210" i="5"/>
  <c r="J4" i="5"/>
  <c r="J5" i="5"/>
  <c r="J6" i="5"/>
  <c r="J7" i="5"/>
  <c r="J8" i="5"/>
  <c r="J9" i="5"/>
  <c r="J10" i="5"/>
  <c r="J11" i="5"/>
  <c r="J13" i="5"/>
  <c r="J15" i="5"/>
  <c r="J16" i="5"/>
  <c r="J17" i="5"/>
  <c r="J20" i="5"/>
  <c r="J21" i="5"/>
  <c r="J22" i="5"/>
  <c r="J23" i="5"/>
  <c r="J24" i="5"/>
  <c r="J25" i="5"/>
  <c r="J27" i="5"/>
  <c r="J28" i="5"/>
  <c r="J29" i="5"/>
  <c r="J30" i="5"/>
  <c r="J31" i="5"/>
  <c r="J32" i="5"/>
  <c r="J33" i="5"/>
  <c r="J34" i="5"/>
  <c r="J36" i="5"/>
  <c r="J37" i="5"/>
  <c r="J38" i="5"/>
  <c r="J39" i="5"/>
  <c r="J40" i="5"/>
  <c r="J41" i="5"/>
  <c r="J42" i="5"/>
  <c r="J44" i="5"/>
  <c r="J45" i="5"/>
  <c r="J46" i="5"/>
  <c r="J48" i="5"/>
  <c r="J51" i="5"/>
  <c r="J52" i="5"/>
  <c r="J54" i="5"/>
  <c r="J55" i="5"/>
  <c r="J58" i="5"/>
  <c r="J60" i="5"/>
  <c r="J61" i="5"/>
  <c r="J62" i="5"/>
  <c r="J63" i="5"/>
  <c r="J65" i="5"/>
  <c r="J66" i="5"/>
  <c r="J67" i="5"/>
  <c r="J68" i="5"/>
  <c r="J69" i="5"/>
  <c r="J70" i="5"/>
  <c r="J71" i="5"/>
  <c r="J72" i="5"/>
  <c r="J73" i="5"/>
  <c r="J74" i="5"/>
  <c r="J76" i="5"/>
  <c r="J77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7" i="5"/>
  <c r="J98" i="5"/>
  <c r="J99" i="5"/>
  <c r="J100" i="5"/>
  <c r="J101" i="5"/>
  <c r="J103" i="5"/>
  <c r="J104" i="5"/>
  <c r="J106" i="5"/>
  <c r="J107" i="5"/>
  <c r="J108" i="5"/>
  <c r="J110" i="5"/>
  <c r="J111" i="5"/>
  <c r="J112" i="5"/>
  <c r="J113" i="5"/>
  <c r="J114" i="5"/>
  <c r="J115" i="5"/>
  <c r="J116" i="5"/>
  <c r="J118" i="5"/>
  <c r="J119" i="5"/>
  <c r="J120" i="5"/>
  <c r="J121" i="5"/>
  <c r="J122" i="5"/>
  <c r="J124" i="5"/>
  <c r="J125" i="5"/>
  <c r="J126" i="5"/>
  <c r="J127" i="5"/>
  <c r="J128" i="5"/>
  <c r="J132" i="5"/>
  <c r="J133" i="5"/>
  <c r="J134" i="5"/>
  <c r="J135" i="5"/>
  <c r="J137" i="5"/>
  <c r="J136" i="5"/>
  <c r="J138" i="5"/>
  <c r="J139" i="5"/>
  <c r="J140" i="5"/>
  <c r="J141" i="5"/>
  <c r="J142" i="5"/>
  <c r="J144" i="5"/>
  <c r="J146" i="5"/>
  <c r="J145" i="5"/>
  <c r="J147" i="5"/>
  <c r="J149" i="5"/>
  <c r="J150" i="5"/>
  <c r="J153" i="5"/>
  <c r="J154" i="5"/>
  <c r="J155" i="5"/>
  <c r="J156" i="5"/>
  <c r="J157" i="5"/>
  <c r="J158" i="5"/>
  <c r="J160" i="5"/>
  <c r="J161" i="5"/>
  <c r="J163" i="5"/>
  <c r="J164" i="5"/>
  <c r="J168" i="5"/>
  <c r="J169" i="5"/>
  <c r="J170" i="5"/>
  <c r="J171" i="5"/>
  <c r="J175" i="5"/>
  <c r="J176" i="5"/>
  <c r="J177" i="5"/>
  <c r="J178" i="5"/>
  <c r="J179" i="5"/>
  <c r="J180" i="5"/>
  <c r="J181" i="5"/>
  <c r="J182" i="5"/>
  <c r="J188" i="5"/>
  <c r="J195" i="5"/>
  <c r="J196" i="5"/>
  <c r="J197" i="5"/>
  <c r="J199" i="5"/>
  <c r="J201" i="5"/>
  <c r="J202" i="5"/>
  <c r="J203" i="5"/>
  <c r="J204" i="5"/>
  <c r="J205" i="5"/>
  <c r="J207" i="5"/>
  <c r="J208" i="5"/>
  <c r="J209" i="5"/>
  <c r="J211" i="5"/>
  <c r="J213" i="5"/>
  <c r="J214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12" i="5"/>
  <c r="J18" i="5"/>
  <c r="J19" i="5"/>
  <c r="J26" i="5"/>
  <c r="J35" i="5"/>
  <c r="J47" i="5"/>
  <c r="J56" i="5"/>
  <c r="J57" i="5"/>
  <c r="J96" i="5"/>
  <c r="J129" i="5"/>
  <c r="J130" i="5"/>
  <c r="J131" i="5"/>
  <c r="J162" i="5"/>
  <c r="J165" i="5"/>
  <c r="J166" i="5"/>
  <c r="J167" i="5"/>
  <c r="J172" i="5"/>
  <c r="J173" i="5"/>
  <c r="J174" i="5"/>
  <c r="J183" i="5"/>
  <c r="J184" i="5"/>
  <c r="J185" i="5"/>
  <c r="J186" i="5"/>
  <c r="J187" i="5"/>
  <c r="J193" i="5"/>
  <c r="J191" i="5"/>
  <c r="J192" i="5"/>
  <c r="J194" i="5"/>
  <c r="J189" i="5"/>
  <c r="J190" i="5"/>
  <c r="J212" i="5"/>
  <c r="J50" i="5"/>
  <c r="J59" i="5"/>
  <c r="J64" i="5"/>
  <c r="J75" i="5"/>
  <c r="J78" i="5"/>
  <c r="J102" i="5"/>
  <c r="J109" i="5"/>
  <c r="J117" i="5"/>
  <c r="J148" i="5"/>
  <c r="J151" i="5"/>
  <c r="J152" i="5"/>
  <c r="J159" i="5"/>
  <c r="J198" i="5"/>
  <c r="J200" i="5"/>
  <c r="J206" i="5"/>
  <c r="J215" i="5"/>
  <c r="J3" i="5"/>
  <c r="J14" i="5"/>
  <c r="J49" i="5"/>
  <c r="J53" i="5"/>
  <c r="J105" i="5"/>
  <c r="J123" i="5"/>
  <c r="J143" i="5"/>
  <c r="J210" i="5"/>
  <c r="I4" i="5"/>
  <c r="I5" i="5"/>
  <c r="I6" i="5"/>
  <c r="I7" i="5"/>
  <c r="I8" i="5"/>
  <c r="I9" i="5"/>
  <c r="I10" i="5"/>
  <c r="I11" i="5"/>
  <c r="I13" i="5"/>
  <c r="I15" i="5"/>
  <c r="I16" i="5"/>
  <c r="I17" i="5"/>
  <c r="I20" i="5"/>
  <c r="I21" i="5"/>
  <c r="I22" i="5"/>
  <c r="I23" i="5"/>
  <c r="I24" i="5"/>
  <c r="I25" i="5"/>
  <c r="I27" i="5"/>
  <c r="I28" i="5"/>
  <c r="I29" i="5"/>
  <c r="I30" i="5"/>
  <c r="I31" i="5"/>
  <c r="I32" i="5"/>
  <c r="I33" i="5"/>
  <c r="I34" i="5"/>
  <c r="I36" i="5"/>
  <c r="I37" i="5"/>
  <c r="I38" i="5"/>
  <c r="I39" i="5"/>
  <c r="I40" i="5"/>
  <c r="I41" i="5"/>
  <c r="I42" i="5"/>
  <c r="I44" i="5"/>
  <c r="I45" i="5"/>
  <c r="I46" i="5"/>
  <c r="I48" i="5"/>
  <c r="I51" i="5"/>
  <c r="I52" i="5"/>
  <c r="I54" i="5"/>
  <c r="I55" i="5"/>
  <c r="I58" i="5"/>
  <c r="I60" i="5"/>
  <c r="I61" i="5"/>
  <c r="I62" i="5"/>
  <c r="I63" i="5"/>
  <c r="I65" i="5"/>
  <c r="I66" i="5"/>
  <c r="I67" i="5"/>
  <c r="I68" i="5"/>
  <c r="I69" i="5"/>
  <c r="I70" i="5"/>
  <c r="I71" i="5"/>
  <c r="I72" i="5"/>
  <c r="I73" i="5"/>
  <c r="I74" i="5"/>
  <c r="I76" i="5"/>
  <c r="I77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7" i="5"/>
  <c r="I98" i="5"/>
  <c r="I99" i="5"/>
  <c r="I100" i="5"/>
  <c r="I101" i="5"/>
  <c r="I103" i="5"/>
  <c r="I104" i="5"/>
  <c r="I106" i="5"/>
  <c r="I107" i="5"/>
  <c r="I108" i="5"/>
  <c r="I110" i="5"/>
  <c r="I111" i="5"/>
  <c r="I112" i="5"/>
  <c r="I113" i="5"/>
  <c r="I114" i="5"/>
  <c r="I115" i="5"/>
  <c r="I116" i="5"/>
  <c r="I118" i="5"/>
  <c r="I119" i="5"/>
  <c r="I120" i="5"/>
  <c r="I121" i="5"/>
  <c r="I122" i="5"/>
  <c r="I124" i="5"/>
  <c r="I125" i="5"/>
  <c r="I126" i="5"/>
  <c r="I127" i="5"/>
  <c r="I128" i="5"/>
  <c r="I132" i="5"/>
  <c r="I133" i="5"/>
  <c r="I134" i="5"/>
  <c r="I135" i="5"/>
  <c r="I137" i="5"/>
  <c r="I136" i="5"/>
  <c r="I138" i="5"/>
  <c r="I139" i="5"/>
  <c r="I140" i="5"/>
  <c r="I141" i="5"/>
  <c r="I142" i="5"/>
  <c r="I144" i="5"/>
  <c r="I146" i="5"/>
  <c r="I145" i="5"/>
  <c r="I147" i="5"/>
  <c r="I149" i="5"/>
  <c r="I150" i="5"/>
  <c r="I153" i="5"/>
  <c r="I154" i="5"/>
  <c r="I155" i="5"/>
  <c r="I156" i="5"/>
  <c r="I157" i="5"/>
  <c r="I158" i="5"/>
  <c r="I160" i="5"/>
  <c r="I161" i="5"/>
  <c r="I163" i="5"/>
  <c r="I164" i="5"/>
  <c r="I168" i="5"/>
  <c r="I169" i="5"/>
  <c r="I170" i="5"/>
  <c r="I171" i="5"/>
  <c r="I175" i="5"/>
  <c r="I176" i="5"/>
  <c r="I177" i="5"/>
  <c r="I178" i="5"/>
  <c r="I179" i="5"/>
  <c r="I180" i="5"/>
  <c r="I181" i="5"/>
  <c r="I182" i="5"/>
  <c r="I188" i="5"/>
  <c r="I195" i="5"/>
  <c r="I196" i="5"/>
  <c r="I197" i="5"/>
  <c r="I199" i="5"/>
  <c r="I201" i="5"/>
  <c r="I202" i="5"/>
  <c r="I203" i="5"/>
  <c r="I204" i="5"/>
  <c r="I205" i="5"/>
  <c r="I207" i="5"/>
  <c r="I208" i="5"/>
  <c r="I209" i="5"/>
  <c r="I211" i="5"/>
  <c r="I213" i="5"/>
  <c r="I214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12" i="5"/>
  <c r="I18" i="5"/>
  <c r="I19" i="5"/>
  <c r="I26" i="5"/>
  <c r="I35" i="5"/>
  <c r="I47" i="5"/>
  <c r="I56" i="5"/>
  <c r="I57" i="5"/>
  <c r="I96" i="5"/>
  <c r="I129" i="5"/>
  <c r="I130" i="5"/>
  <c r="I131" i="5"/>
  <c r="I162" i="5"/>
  <c r="I165" i="5"/>
  <c r="I166" i="5"/>
  <c r="I167" i="5"/>
  <c r="I172" i="5"/>
  <c r="I173" i="5"/>
  <c r="I174" i="5"/>
  <c r="I183" i="5"/>
  <c r="I184" i="5"/>
  <c r="I185" i="5"/>
  <c r="I186" i="5"/>
  <c r="I187" i="5"/>
  <c r="I193" i="5"/>
  <c r="I191" i="5"/>
  <c r="I192" i="5"/>
  <c r="I194" i="5"/>
  <c r="I189" i="5"/>
  <c r="I190" i="5"/>
  <c r="I212" i="5"/>
  <c r="I50" i="5"/>
  <c r="I59" i="5"/>
  <c r="I64" i="5"/>
  <c r="I75" i="5"/>
  <c r="I78" i="5"/>
  <c r="I102" i="5"/>
  <c r="I109" i="5"/>
  <c r="I117" i="5"/>
  <c r="I148" i="5"/>
  <c r="I151" i="5"/>
  <c r="I152" i="5"/>
  <c r="I159" i="5"/>
  <c r="I198" i="5"/>
  <c r="I200" i="5"/>
  <c r="I206" i="5"/>
  <c r="I215" i="5"/>
  <c r="I3" i="5"/>
  <c r="I14" i="5"/>
  <c r="I49" i="5"/>
  <c r="I53" i="5"/>
  <c r="I105" i="5"/>
  <c r="I123" i="5"/>
  <c r="I143" i="5"/>
  <c r="I210" i="5"/>
  <c r="H210" i="5"/>
  <c r="H143" i="5"/>
  <c r="H123" i="5"/>
  <c r="H105" i="5"/>
  <c r="H53" i="5"/>
  <c r="H49" i="5"/>
  <c r="H14" i="5"/>
  <c r="H3" i="5"/>
  <c r="H215" i="5"/>
  <c r="H206" i="5"/>
  <c r="H200" i="5"/>
  <c r="H198" i="5"/>
  <c r="H159" i="5"/>
  <c r="H152" i="5"/>
  <c r="H151" i="5"/>
  <c r="H148" i="5"/>
  <c r="H117" i="5"/>
  <c r="H109" i="5"/>
  <c r="H102" i="5"/>
  <c r="H78" i="5"/>
  <c r="H75" i="5"/>
  <c r="H64" i="5"/>
  <c r="H59" i="5"/>
  <c r="H50" i="5"/>
  <c r="H212" i="5"/>
  <c r="H190" i="5"/>
  <c r="H189" i="5"/>
  <c r="H194" i="5"/>
  <c r="H192" i="5"/>
  <c r="H191" i="5"/>
  <c r="H193" i="5"/>
  <c r="H187" i="5"/>
  <c r="H186" i="5"/>
  <c r="H185" i="5"/>
  <c r="H184" i="5"/>
  <c r="H183" i="5"/>
  <c r="H174" i="5"/>
  <c r="H173" i="5"/>
  <c r="H172" i="5"/>
  <c r="H167" i="5"/>
  <c r="H166" i="5"/>
  <c r="H165" i="5"/>
  <c r="H162" i="5"/>
  <c r="H131" i="5"/>
  <c r="H130" i="5"/>
  <c r="H129" i="5"/>
  <c r="H96" i="5"/>
  <c r="H57" i="5"/>
  <c r="H56" i="5"/>
  <c r="H47" i="5"/>
  <c r="H35" i="5"/>
  <c r="H26" i="5"/>
  <c r="H19" i="5"/>
  <c r="H18" i="5"/>
  <c r="H12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4" i="5"/>
  <c r="H213" i="5"/>
  <c r="H211" i="5"/>
  <c r="H209" i="5"/>
  <c r="H208" i="5"/>
  <c r="H207" i="5"/>
  <c r="H205" i="5"/>
  <c r="H204" i="5"/>
  <c r="H203" i="5"/>
  <c r="H202" i="5"/>
  <c r="H201" i="5"/>
  <c r="H199" i="5"/>
  <c r="H197" i="5"/>
  <c r="H196" i="5"/>
  <c r="H195" i="5"/>
  <c r="H188" i="5"/>
  <c r="H182" i="5"/>
  <c r="H181" i="5"/>
  <c r="H180" i="5"/>
  <c r="H179" i="5"/>
  <c r="H178" i="5"/>
  <c r="H177" i="5"/>
  <c r="H176" i="5"/>
  <c r="H175" i="5"/>
  <c r="H171" i="5"/>
  <c r="H170" i="5"/>
  <c r="H169" i="5"/>
  <c r="H168" i="5"/>
  <c r="H164" i="5"/>
  <c r="H163" i="5"/>
  <c r="H161" i="5"/>
  <c r="H160" i="5"/>
  <c r="H158" i="5"/>
  <c r="H157" i="5"/>
  <c r="H156" i="5"/>
  <c r="H155" i="5"/>
  <c r="H154" i="5"/>
  <c r="H153" i="5"/>
  <c r="H150" i="5"/>
  <c r="H149" i="5"/>
  <c r="H147" i="5"/>
  <c r="H145" i="5"/>
  <c r="H146" i="5"/>
  <c r="H144" i="5"/>
  <c r="H142" i="5"/>
  <c r="H141" i="5"/>
  <c r="H140" i="5"/>
  <c r="H139" i="5"/>
  <c r="H138" i="5"/>
  <c r="H136" i="5"/>
  <c r="H137" i="5"/>
  <c r="H135" i="5"/>
  <c r="H134" i="5"/>
  <c r="H133" i="5"/>
  <c r="H132" i="5"/>
  <c r="H128" i="5"/>
  <c r="H127" i="5"/>
  <c r="H126" i="5"/>
  <c r="H125" i="5"/>
  <c r="H124" i="5"/>
  <c r="H122" i="5"/>
  <c r="H121" i="5"/>
  <c r="H120" i="5"/>
  <c r="H119" i="5"/>
  <c r="H118" i="5"/>
  <c r="H116" i="5"/>
  <c r="H115" i="5"/>
  <c r="H114" i="5"/>
  <c r="H113" i="5"/>
  <c r="H112" i="5"/>
  <c r="H111" i="5"/>
  <c r="H110" i="5"/>
  <c r="H108" i="5"/>
  <c r="H107" i="5"/>
  <c r="H106" i="5"/>
  <c r="H104" i="5"/>
  <c r="H103" i="5"/>
  <c r="H101" i="5"/>
  <c r="H100" i="5"/>
  <c r="H99" i="5"/>
  <c r="H98" i="5"/>
  <c r="H97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7" i="5"/>
  <c r="H76" i="5"/>
  <c r="H74" i="5"/>
  <c r="H73" i="5"/>
  <c r="H72" i="5"/>
  <c r="H71" i="5"/>
  <c r="H70" i="5"/>
  <c r="H69" i="5"/>
  <c r="H68" i="5"/>
  <c r="H67" i="5"/>
  <c r="H66" i="5"/>
  <c r="H65" i="5"/>
  <c r="H63" i="5"/>
  <c r="H62" i="5"/>
  <c r="H61" i="5"/>
  <c r="H60" i="5"/>
  <c r="H58" i="5"/>
  <c r="H55" i="5"/>
  <c r="H54" i="5"/>
  <c r="H52" i="5"/>
  <c r="H51" i="5"/>
  <c r="H48" i="5"/>
  <c r="H46" i="5"/>
  <c r="H45" i="5"/>
  <c r="H44" i="5"/>
  <c r="H42" i="5"/>
  <c r="H41" i="5"/>
  <c r="H40" i="5"/>
  <c r="H39" i="5"/>
  <c r="H38" i="5"/>
  <c r="H37" i="5"/>
  <c r="H36" i="5"/>
  <c r="H34" i="5"/>
  <c r="H33" i="5"/>
  <c r="H32" i="5"/>
  <c r="H31" i="5"/>
  <c r="H30" i="5"/>
  <c r="H29" i="5"/>
  <c r="H28" i="5"/>
  <c r="H27" i="5"/>
  <c r="H25" i="5"/>
  <c r="H24" i="5"/>
  <c r="H23" i="5"/>
  <c r="H22" i="5"/>
  <c r="H21" i="5"/>
  <c r="H20" i="5"/>
  <c r="H17" i="5"/>
  <c r="H16" i="5"/>
  <c r="H15" i="5"/>
  <c r="H13" i="5"/>
  <c r="H11" i="5"/>
  <c r="H10" i="5"/>
  <c r="H9" i="5"/>
  <c r="H8" i="5"/>
  <c r="H7" i="5"/>
  <c r="H6" i="5"/>
  <c r="H5" i="5"/>
  <c r="H4" i="5"/>
  <c r="G4" i="5"/>
  <c r="G5" i="5"/>
  <c r="G6" i="5"/>
  <c r="G7" i="5"/>
  <c r="G8" i="5"/>
  <c r="G9" i="5"/>
  <c r="G10" i="5"/>
  <c r="G11" i="5"/>
  <c r="G13" i="5"/>
  <c r="G15" i="5"/>
  <c r="G16" i="5"/>
  <c r="G17" i="5"/>
  <c r="G20" i="5"/>
  <c r="G21" i="5"/>
  <c r="G22" i="5"/>
  <c r="G23" i="5"/>
  <c r="G24" i="5"/>
  <c r="G25" i="5"/>
  <c r="G27" i="5"/>
  <c r="G28" i="5"/>
  <c r="G29" i="5"/>
  <c r="G30" i="5"/>
  <c r="G31" i="5"/>
  <c r="G32" i="5"/>
  <c r="G33" i="5"/>
  <c r="G34" i="5"/>
  <c r="G36" i="5"/>
  <c r="G37" i="5"/>
  <c r="G38" i="5"/>
  <c r="G39" i="5"/>
  <c r="G40" i="5"/>
  <c r="G41" i="5"/>
  <c r="G42" i="5"/>
  <c r="G44" i="5"/>
  <c r="G45" i="5"/>
  <c r="G46" i="5"/>
  <c r="G48" i="5"/>
  <c r="G51" i="5"/>
  <c r="G52" i="5"/>
  <c r="G54" i="5"/>
  <c r="G55" i="5"/>
  <c r="G58" i="5"/>
  <c r="G60" i="5"/>
  <c r="G61" i="5"/>
  <c r="G62" i="5"/>
  <c r="G63" i="5"/>
  <c r="G65" i="5"/>
  <c r="G66" i="5"/>
  <c r="G67" i="5"/>
  <c r="G68" i="5"/>
  <c r="G69" i="5"/>
  <c r="G70" i="5"/>
  <c r="G71" i="5"/>
  <c r="G72" i="5"/>
  <c r="G73" i="5"/>
  <c r="G74" i="5"/>
  <c r="G76" i="5"/>
  <c r="G77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7" i="5"/>
  <c r="G98" i="5"/>
  <c r="G99" i="5"/>
  <c r="G100" i="5"/>
  <c r="G101" i="5"/>
  <c r="G103" i="5"/>
  <c r="G104" i="5"/>
  <c r="G106" i="5"/>
  <c r="G107" i="5"/>
  <c r="G108" i="5"/>
  <c r="G110" i="5"/>
  <c r="G111" i="5"/>
  <c r="G112" i="5"/>
  <c r="G113" i="5"/>
  <c r="G114" i="5"/>
  <c r="G115" i="5"/>
  <c r="G116" i="5"/>
  <c r="G118" i="5"/>
  <c r="G119" i="5"/>
  <c r="G120" i="5"/>
  <c r="G121" i="5"/>
  <c r="G122" i="5"/>
  <c r="G124" i="5"/>
  <c r="G125" i="5"/>
  <c r="G126" i="5"/>
  <c r="G127" i="5"/>
  <c r="G128" i="5"/>
  <c r="G132" i="5"/>
  <c r="G133" i="5"/>
  <c r="G134" i="5"/>
  <c r="G135" i="5"/>
  <c r="G137" i="5"/>
  <c r="G136" i="5"/>
  <c r="G138" i="5"/>
  <c r="G139" i="5"/>
  <c r="G140" i="5"/>
  <c r="G141" i="5"/>
  <c r="G142" i="5"/>
  <c r="G144" i="5"/>
  <c r="G146" i="5"/>
  <c r="G145" i="5"/>
  <c r="G147" i="5"/>
  <c r="G149" i="5"/>
  <c r="G150" i="5"/>
  <c r="G153" i="5"/>
  <c r="G154" i="5"/>
  <c r="G155" i="5"/>
  <c r="G156" i="5"/>
  <c r="G157" i="5"/>
  <c r="G158" i="5"/>
  <c r="G160" i="5"/>
  <c r="G161" i="5"/>
  <c r="G163" i="5"/>
  <c r="G164" i="5"/>
  <c r="G168" i="5"/>
  <c r="G169" i="5"/>
  <c r="G170" i="5"/>
  <c r="G171" i="5"/>
  <c r="G175" i="5"/>
  <c r="G176" i="5"/>
  <c r="G177" i="5"/>
  <c r="G178" i="5"/>
  <c r="G179" i="5"/>
  <c r="G180" i="5"/>
  <c r="G181" i="5"/>
  <c r="G182" i="5"/>
  <c r="G188" i="5"/>
  <c r="G195" i="5"/>
  <c r="G196" i="5"/>
  <c r="G197" i="5"/>
  <c r="G199" i="5"/>
  <c r="G201" i="5"/>
  <c r="G202" i="5"/>
  <c r="G203" i="5"/>
  <c r="G204" i="5"/>
  <c r="G205" i="5"/>
  <c r="G207" i="5"/>
  <c r="G208" i="5"/>
  <c r="G209" i="5"/>
  <c r="G211" i="5"/>
  <c r="G213" i="5"/>
  <c r="G214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12" i="5"/>
  <c r="G18" i="5"/>
  <c r="G19" i="5"/>
  <c r="G26" i="5"/>
  <c r="G35" i="5"/>
  <c r="G47" i="5"/>
  <c r="G56" i="5"/>
  <c r="G57" i="5"/>
  <c r="G96" i="5"/>
  <c r="G129" i="5"/>
  <c r="G130" i="5"/>
  <c r="G131" i="5"/>
  <c r="G162" i="5"/>
  <c r="G165" i="5"/>
  <c r="G166" i="5"/>
  <c r="G167" i="5"/>
  <c r="G172" i="5"/>
  <c r="G173" i="5"/>
  <c r="G174" i="5"/>
  <c r="G183" i="5"/>
  <c r="G184" i="5"/>
  <c r="G185" i="5"/>
  <c r="G186" i="5"/>
  <c r="G187" i="5"/>
  <c r="G193" i="5"/>
  <c r="G191" i="5"/>
  <c r="G192" i="5"/>
  <c r="G194" i="5"/>
  <c r="G189" i="5"/>
  <c r="G190" i="5"/>
  <c r="G212" i="5"/>
  <c r="G50" i="5"/>
  <c r="G59" i="5"/>
  <c r="G64" i="5"/>
  <c r="G75" i="5"/>
  <c r="G78" i="5"/>
  <c r="G102" i="5"/>
  <c r="G109" i="5"/>
  <c r="G117" i="5"/>
  <c r="G148" i="5"/>
  <c r="G151" i="5"/>
  <c r="G152" i="5"/>
  <c r="G159" i="5"/>
  <c r="G198" i="5"/>
  <c r="G200" i="5"/>
  <c r="G206" i="5"/>
  <c r="G215" i="5"/>
  <c r="G3" i="5"/>
  <c r="G14" i="5"/>
  <c r="G49" i="5"/>
  <c r="G53" i="5"/>
  <c r="G105" i="5"/>
  <c r="G123" i="5"/>
  <c r="G143" i="5"/>
  <c r="G210" i="5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W212" i="5" l="1"/>
  <c r="W233" i="5"/>
  <c r="W195" i="5"/>
  <c r="W140" i="5"/>
  <c r="W100" i="5"/>
  <c r="W65" i="5"/>
  <c r="W22" i="5"/>
  <c r="W52" i="5"/>
  <c r="W232" i="5"/>
  <c r="W63" i="5"/>
  <c r="W132" i="5"/>
  <c r="W139" i="5"/>
  <c r="W10" i="5"/>
  <c r="W210" i="5"/>
  <c r="W91" i="5"/>
  <c r="W188" i="5"/>
  <c r="W99" i="5"/>
  <c r="W225" i="5"/>
  <c r="W190" i="5"/>
  <c r="W21" i="5"/>
  <c r="W176" i="5"/>
  <c r="W186" i="5"/>
  <c r="W86" i="5"/>
  <c r="W44" i="5"/>
  <c r="W5" i="5"/>
  <c r="W14" i="5"/>
  <c r="W172" i="5"/>
  <c r="W219" i="5"/>
  <c r="W164" i="5"/>
  <c r="W122" i="5"/>
  <c r="W85" i="5"/>
  <c r="W64" i="5"/>
  <c r="W18" i="5"/>
  <c r="W199" i="5"/>
  <c r="W144" i="5"/>
  <c r="W104" i="5"/>
  <c r="W68" i="5"/>
  <c r="W25" i="5"/>
  <c r="W75" i="5"/>
  <c r="W19" i="5"/>
  <c r="W201" i="5"/>
  <c r="W146" i="5"/>
  <c r="W106" i="5"/>
  <c r="W69" i="5"/>
  <c r="W27" i="5"/>
  <c r="W59" i="5"/>
  <c r="W12" i="5"/>
  <c r="W197" i="5"/>
  <c r="W142" i="5"/>
  <c r="W103" i="5"/>
  <c r="W67" i="5"/>
  <c r="W24" i="5"/>
  <c r="W105" i="5"/>
  <c r="W183" i="5"/>
  <c r="W222" i="5"/>
  <c r="W170" i="5"/>
  <c r="W126" i="5"/>
  <c r="W88" i="5"/>
  <c r="W46" i="5"/>
  <c r="W7" i="5"/>
  <c r="W50" i="5"/>
  <c r="W234" i="5"/>
  <c r="W196" i="5"/>
  <c r="W141" i="5"/>
  <c r="W101" i="5"/>
  <c r="W66" i="5"/>
  <c r="W23" i="5"/>
  <c r="W123" i="5"/>
  <c r="W223" i="5"/>
  <c r="W127" i="5"/>
  <c r="W8" i="5"/>
  <c r="W184" i="5"/>
  <c r="W171" i="5"/>
  <c r="W89" i="5"/>
  <c r="W48" i="5"/>
  <c r="W189" i="5"/>
  <c r="W231" i="5"/>
  <c r="W182" i="5"/>
  <c r="W138" i="5"/>
  <c r="W98" i="5"/>
  <c r="W62" i="5"/>
  <c r="W20" i="5"/>
  <c r="W194" i="5"/>
  <c r="W230" i="5"/>
  <c r="W181" i="5"/>
  <c r="W136" i="5"/>
  <c r="W97" i="5"/>
  <c r="W61" i="5"/>
  <c r="W17" i="5"/>
  <c r="W192" i="5"/>
  <c r="W229" i="5"/>
  <c r="W180" i="5"/>
  <c r="W137" i="5"/>
  <c r="W95" i="5"/>
  <c r="W60" i="5"/>
  <c r="W16" i="5"/>
  <c r="W191" i="5"/>
  <c r="W228" i="5"/>
  <c r="W179" i="5"/>
  <c r="W135" i="5"/>
  <c r="W94" i="5"/>
  <c r="W58" i="5"/>
  <c r="W15" i="5"/>
  <c r="W193" i="5"/>
  <c r="W227" i="5"/>
  <c r="W178" i="5"/>
  <c r="W134" i="5"/>
  <c r="W93" i="5"/>
  <c r="W55" i="5"/>
  <c r="W13" i="5"/>
  <c r="W187" i="5"/>
  <c r="W226" i="5"/>
  <c r="W177" i="5"/>
  <c r="W133" i="5"/>
  <c r="W92" i="5"/>
  <c r="W54" i="5"/>
  <c r="W11" i="5"/>
  <c r="W42" i="5"/>
  <c r="W4" i="5"/>
  <c r="W3" i="5"/>
  <c r="W167" i="5"/>
  <c r="W218" i="5"/>
  <c r="W163" i="5"/>
  <c r="W121" i="5"/>
  <c r="W84" i="5"/>
  <c r="W41" i="5"/>
  <c r="W215" i="5"/>
  <c r="W166" i="5"/>
  <c r="W217" i="5"/>
  <c r="W161" i="5"/>
  <c r="W120" i="5"/>
  <c r="W83" i="5"/>
  <c r="W40" i="5"/>
  <c r="W206" i="5"/>
  <c r="W165" i="5"/>
  <c r="W216" i="5"/>
  <c r="W160" i="5"/>
  <c r="W119" i="5"/>
  <c r="W82" i="5"/>
  <c r="W39" i="5"/>
  <c r="W143" i="5"/>
  <c r="W185" i="5"/>
  <c r="W224" i="5"/>
  <c r="W175" i="5"/>
  <c r="W128" i="5"/>
  <c r="W90" i="5"/>
  <c r="W51" i="5"/>
  <c r="W9" i="5"/>
  <c r="W49" i="5"/>
  <c r="W173" i="5"/>
  <c r="W220" i="5"/>
  <c r="W168" i="5"/>
  <c r="W124" i="5"/>
  <c r="W200" i="5"/>
  <c r="W162" i="5"/>
  <c r="W214" i="5"/>
  <c r="W158" i="5"/>
  <c r="W118" i="5"/>
  <c r="W81" i="5"/>
  <c r="W38" i="5"/>
  <c r="W198" i="5"/>
  <c r="W131" i="5"/>
  <c r="W213" i="5"/>
  <c r="W157" i="5"/>
  <c r="W116" i="5"/>
  <c r="W80" i="5"/>
  <c r="W37" i="5"/>
  <c r="W208" i="5"/>
  <c r="W113" i="5"/>
  <c r="W148" i="5"/>
  <c r="W57" i="5"/>
  <c r="W207" i="5"/>
  <c r="W153" i="5"/>
  <c r="W112" i="5"/>
  <c r="W74" i="5"/>
  <c r="W32" i="5"/>
  <c r="W53" i="5"/>
  <c r="W174" i="5"/>
  <c r="W221" i="5"/>
  <c r="W169" i="5"/>
  <c r="W151" i="5"/>
  <c r="W154" i="5"/>
  <c r="W33" i="5"/>
  <c r="W117" i="5"/>
  <c r="W56" i="5"/>
  <c r="W205" i="5"/>
  <c r="W150" i="5"/>
  <c r="W111" i="5"/>
  <c r="W73" i="5"/>
  <c r="W31" i="5"/>
  <c r="W130" i="5"/>
  <c r="W156" i="5"/>
  <c r="W96" i="5"/>
  <c r="W76" i="5"/>
  <c r="W109" i="5"/>
  <c r="W47" i="5"/>
  <c r="W204" i="5"/>
  <c r="W149" i="5"/>
  <c r="W110" i="5"/>
  <c r="W72" i="5"/>
  <c r="W30" i="5"/>
  <c r="W152" i="5"/>
  <c r="W129" i="5"/>
  <c r="W209" i="5"/>
  <c r="W155" i="5"/>
  <c r="W114" i="5"/>
  <c r="W77" i="5"/>
  <c r="W34" i="5"/>
  <c r="W102" i="5"/>
  <c r="W35" i="5"/>
  <c r="W203" i="5"/>
  <c r="W147" i="5"/>
  <c r="W108" i="5"/>
  <c r="W71" i="5"/>
  <c r="W29" i="5"/>
  <c r="W125" i="5"/>
  <c r="W87" i="5"/>
  <c r="W45" i="5"/>
  <c r="W6" i="5"/>
  <c r="W159" i="5"/>
  <c r="W211" i="5"/>
  <c r="W115" i="5"/>
  <c r="W79" i="5"/>
  <c r="W36" i="5"/>
  <c r="W78" i="5"/>
  <c r="W26" i="5"/>
  <c r="W202" i="5"/>
  <c r="W145" i="5"/>
  <c r="W107" i="5"/>
  <c r="W70" i="5"/>
  <c r="W28" i="5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Baez</author>
  </authors>
  <commentList>
    <comment ref="D3" authorId="0" shapeId="0" xr:uid="{864F56B7-CF68-46C9-8F97-376750B61408}">
      <text>
        <r>
          <rPr>
            <b/>
            <sz val="9"/>
            <color indexed="81"/>
            <rFont val="Tahoma"/>
            <family val="2"/>
          </rPr>
          <t>David Baez:</t>
        </r>
        <r>
          <rPr>
            <sz val="9"/>
            <color indexed="81"/>
            <rFont val="Tahoma"/>
            <family val="2"/>
          </rPr>
          <t xml:space="preserve">
Himno de Vísperas del tiempo Pascual hasta la Ascensión
</t>
        </r>
      </text>
    </comment>
    <comment ref="D127" authorId="0" shapeId="0" xr:uid="{26B31A89-28F1-4C25-B9CA-B8ECF22A9439}">
      <text>
        <r>
          <rPr>
            <b/>
            <sz val="9"/>
            <color indexed="81"/>
            <rFont val="Tahoma"/>
            <family val="2"/>
          </rPr>
          <t>David Baez:</t>
        </r>
        <r>
          <rPr>
            <sz val="9"/>
            <color indexed="81"/>
            <rFont val="Tahoma"/>
            <family val="2"/>
          </rPr>
          <t xml:space="preserve">
Comfrontar = cf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<sst xmlns="http://schemas.openxmlformats.org/spreadsheetml/2006/main" count="6195" uniqueCount="519">
  <si>
    <t>A la cena del cordero</t>
  </si>
  <si>
    <t>A la víctima pascual</t>
  </si>
  <si>
    <t>A nadie demos ocasión de tropiezo</t>
  </si>
  <si>
    <t>A ti levanto mis ojos</t>
  </si>
  <si>
    <t>A ti, Señor, en mi clamor imploro</t>
  </si>
  <si>
    <t>A ti, Señor, levanto mi alma</t>
  </si>
  <si>
    <t>Aclamad al Señor</t>
  </si>
  <si>
    <t>Al despertar</t>
  </si>
  <si>
    <t>Alabad al Señor en el cielo</t>
  </si>
  <si>
    <t>Aleluya interleccional</t>
  </si>
  <si>
    <t>Aleluya, alabad al Señor</t>
  </si>
  <si>
    <t>Aleluya, bendecid al Señor</t>
  </si>
  <si>
    <t>Aleluya, ya llegó el reino</t>
  </si>
  <si>
    <t>Amén, amén, amén</t>
  </si>
  <si>
    <t>Aquedah</t>
  </si>
  <si>
    <t>Ave María II (1984)</t>
  </si>
  <si>
    <t>Balaam</t>
  </si>
  <si>
    <t>Bendeciré al Señor en todo tiempo</t>
  </si>
  <si>
    <t>Bendición del agua</t>
  </si>
  <si>
    <t>Bendita eres tú, María</t>
  </si>
  <si>
    <t>Benedictus</t>
  </si>
  <si>
    <t>Cantad al Señor</t>
  </si>
  <si>
    <t>Canto de Moisés</t>
  </si>
  <si>
    <t>Cómo es maravilloso</t>
  </si>
  <si>
    <t>Como la cierva</t>
  </si>
  <si>
    <t>Cordero de Dios</t>
  </si>
  <si>
    <t>Credo</t>
  </si>
  <si>
    <t>Cristo es la luz</t>
  </si>
  <si>
    <t>Cuando dormía</t>
  </si>
  <si>
    <t>Cuando el Señor</t>
  </si>
  <si>
    <t>Débora</t>
  </si>
  <si>
    <t>Dice el Señor a mi Señor</t>
  </si>
  <si>
    <t>El combate escatológico</t>
  </si>
  <si>
    <t>El jacal de los pastores</t>
  </si>
  <si>
    <t>El mismo Dios</t>
  </si>
  <si>
    <t>El necio piensa que Dios no existe</t>
  </si>
  <si>
    <t>El sembrador</t>
  </si>
  <si>
    <t>El Señor anuncia una noticia</t>
  </si>
  <si>
    <t>El Señor es mi pastor</t>
  </si>
  <si>
    <t>En una noche oscura</t>
  </si>
  <si>
    <t>Eres digno de tomar el libro</t>
  </si>
  <si>
    <t>Eres hermoso</t>
  </si>
  <si>
    <t>Éste es el día en que actuó el Señor</t>
  </si>
  <si>
    <t>Extiendo mis manos</t>
  </si>
  <si>
    <t>Exultad, justos, en el Señor</t>
  </si>
  <si>
    <t>He aquí que nuestro espejo es el Señor</t>
  </si>
  <si>
    <t>He esperado en el Señor</t>
  </si>
  <si>
    <t>Hijas de Jerusalén</t>
  </si>
  <si>
    <t>Himno a la kenosis</t>
  </si>
  <si>
    <t>Himno de Adviento</t>
  </si>
  <si>
    <t>Himno de la Ascensión</t>
  </si>
  <si>
    <t>Id y anunciad a mis hermanos</t>
  </si>
  <si>
    <t>Improperios</t>
  </si>
  <si>
    <t>Jesús recorría todas las ciudades</t>
  </si>
  <si>
    <t>La cordera de Dios</t>
  </si>
  <si>
    <t>La paloma voló</t>
  </si>
  <si>
    <t>La voz de mi amado</t>
  </si>
  <si>
    <t>Las armas de la luz</t>
  </si>
  <si>
    <t>Letanías de los santos</t>
  </si>
  <si>
    <t>Letanías penitenciales II</t>
  </si>
  <si>
    <t>Magníficat</t>
  </si>
  <si>
    <t>María de Jasna Göra</t>
  </si>
  <si>
    <t>María, casa de bendición</t>
  </si>
  <si>
    <t>María, madre de la Iglesia</t>
  </si>
  <si>
    <t>María, madre del camino ardiente</t>
  </si>
  <si>
    <t>María, pequeña María</t>
  </si>
  <si>
    <t>Me enseñarás el camino de la vida</t>
  </si>
  <si>
    <t>Me has seducido, Señor</t>
  </si>
  <si>
    <t>Misericordia mía, misericordia</t>
  </si>
  <si>
    <t>Mucho me han perseguido</t>
  </si>
  <si>
    <t>No hay en él parecer</t>
  </si>
  <si>
    <t>No resistáis al mal</t>
  </si>
  <si>
    <t>No sufras por los malvados</t>
  </si>
  <si>
    <t>Oh cielos, lloved de lo alto</t>
  </si>
  <si>
    <t>Padre nuestro</t>
  </si>
  <si>
    <t>Pentecostés</t>
  </si>
  <si>
    <t>Plegaria Eucarística II – Modelo II (1987)</t>
  </si>
  <si>
    <t>Plegaria Eucarística IV – (1988)</t>
  </si>
  <si>
    <t>Prefacio para el tiempo Pascual</t>
  </si>
  <si>
    <t>Pregón Pascual</t>
  </si>
  <si>
    <t>Qué estupendo, qué alegría</t>
  </si>
  <si>
    <t>Quién es ésta que sube del desierto</t>
  </si>
  <si>
    <t>Quién nos separará</t>
  </si>
  <si>
    <t>Salmodia para el Salmo responsorial</t>
  </si>
  <si>
    <t>Señor, ayúdame a no dudar de ti</t>
  </si>
  <si>
    <t>Señor, no me corrijas en tu cólera</t>
  </si>
  <si>
    <t>Sermón de la montaña</t>
  </si>
  <si>
    <t>Shemá Israel</t>
  </si>
  <si>
    <t>Si hoy escucháis su voz</t>
  </si>
  <si>
    <t>Si me he refugiado en el Señor</t>
  </si>
  <si>
    <t>Stabat mater dolorosa</t>
  </si>
  <si>
    <t>Suba el Esposo al leño de su tálamo</t>
  </si>
  <si>
    <t>Te Deum</t>
  </si>
  <si>
    <t>Te estoy llamando, Señor</t>
  </si>
  <si>
    <t>Tú eres mi esperanza, Señor</t>
  </si>
  <si>
    <t>Tú que eres fiel</t>
  </si>
  <si>
    <t>Ven del Líbano</t>
  </si>
  <si>
    <t>Vivid alegres</t>
  </si>
  <si>
    <t>Vosotros sois la luz del mundo</t>
  </si>
  <si>
    <t>Yahveh, tú eres mi Dios</t>
  </si>
  <si>
    <t>Yo vengo a reunir</t>
  </si>
  <si>
    <t>Zaqueo</t>
  </si>
  <si>
    <t>Prountuario de Acordes</t>
  </si>
  <si>
    <t>Libro de Canto en PDF</t>
  </si>
  <si>
    <t>A la cena del Cordero</t>
  </si>
  <si>
    <t>A ti, Señor, se debe la alabanza en Sión</t>
  </si>
  <si>
    <t>Abbá, Padre</t>
  </si>
  <si>
    <t>Abraham</t>
  </si>
  <si>
    <t>Aclamaciones a la oración de los fieles</t>
  </si>
  <si>
    <t>Adónde te escondiste, Amado</t>
  </si>
  <si>
    <t>Alegría, ha nacido el salvador</t>
  </si>
  <si>
    <t>Aleluya pascual</t>
  </si>
  <si>
    <t>Alzaos, puertas</t>
  </si>
  <si>
    <t>Amo al Señor</t>
  </si>
  <si>
    <t>Antífona para el Evangelio</t>
  </si>
  <si>
    <t>Así habla el amén</t>
  </si>
  <si>
    <t>Babilonia criminal</t>
  </si>
  <si>
    <t>Bendito eres, Señor</t>
  </si>
  <si>
    <t>Bendito sea Dios</t>
  </si>
  <si>
    <t>Cantad a Dios</t>
  </si>
  <si>
    <t>Cántico de los tres jóvenes</t>
  </si>
  <si>
    <t>Caritas Christi urget nos</t>
  </si>
  <si>
    <t>Carmen 63</t>
  </si>
  <si>
    <t>Como condenados a muerte</t>
  </si>
  <si>
    <t>Como destila la miel</t>
  </si>
  <si>
    <t>Como el impulso que siente la ira</t>
  </si>
  <si>
    <t>Como lirio entre los cardos</t>
  </si>
  <si>
    <t>Como oveja que ve</t>
  </si>
  <si>
    <t>Consolad a mi pueblo</t>
  </si>
  <si>
    <t>Cuando Israel salió de Egipto</t>
  </si>
  <si>
    <t>Dayenú</t>
  </si>
  <si>
    <t>De Profundis</t>
  </si>
  <si>
    <t>Decidle a los de corazón cansado</t>
  </si>
  <si>
    <t>Delante de los ángeles</t>
  </si>
  <si>
    <t>Día de reposo</t>
  </si>
  <si>
    <t>Dichoso el hombre</t>
  </si>
  <si>
    <t>El Espíritu del Señor está sobre mí</t>
  </si>
  <si>
    <t>El lagarero</t>
  </si>
  <si>
    <t>El Mesías león</t>
  </si>
  <si>
    <t>El pueblo que caminaba en las tinieblas</t>
  </si>
  <si>
    <t>El Señor me ha dado</t>
  </si>
  <si>
    <t>Elí, Elí, lamá sabactaní</t>
  </si>
  <si>
    <t>En medio de aquel gentío</t>
  </si>
  <si>
    <t>Es paciente</t>
  </si>
  <si>
    <t>Escóndeme en lo oculto de tu tienda</t>
  </si>
  <si>
    <t>Escuchad, islas lejanas</t>
  </si>
  <si>
    <t>Este es el mandamiento mío</t>
  </si>
  <si>
    <t>Evenu shalom alejem</t>
  </si>
  <si>
    <t>Felicidad para el hombre</t>
  </si>
  <si>
    <t>Gloria a Dios en lo alto del cielo</t>
  </si>
  <si>
    <t>Gracias a Yahveh</t>
  </si>
  <si>
    <t>Gritad jubilosos</t>
  </si>
  <si>
    <t>Hacia ti, morada santa</t>
  </si>
  <si>
    <t>Hasta cuándo</t>
  </si>
  <si>
    <t>He aquí mi siervo</t>
  </si>
  <si>
    <t>He aquí que vengo presto</t>
  </si>
  <si>
    <t>Hermosa eres, amiga mía</t>
  </si>
  <si>
    <t>Himno a Cristo luz</t>
  </si>
  <si>
    <t>Himno a la caridad</t>
  </si>
  <si>
    <t>Himno a la cruz gloriosa</t>
  </si>
  <si>
    <t>Himno de Pascua</t>
  </si>
  <si>
    <t>Huye, amado mío</t>
  </si>
  <si>
    <t>Jacob</t>
  </si>
  <si>
    <t>Jerusalén reconstruida</t>
  </si>
  <si>
    <t>La espada</t>
  </si>
  <si>
    <t>La marcha es dura</t>
  </si>
  <si>
    <t>La Salve</t>
  </si>
  <si>
    <t>La siega de las naciones</t>
  </si>
  <si>
    <t>Levanto mis ojos a los montes</t>
  </si>
  <si>
    <t>Llegue hasta tu presencia mi clamor</t>
  </si>
  <si>
    <t>Llévame al cielo</t>
  </si>
  <si>
    <t>María de Jasna Góra</t>
  </si>
  <si>
    <t>Me robaste el corazón</t>
  </si>
  <si>
    <t>Mirad qué estupendo</t>
  </si>
  <si>
    <t>Misericordia, Dios mío</t>
  </si>
  <si>
    <t>Ninguno puede servir a dos señores</t>
  </si>
  <si>
    <t>No está aquí, resucitó</t>
  </si>
  <si>
    <t>Noli me tangere</t>
  </si>
  <si>
    <t>Oh Dios, por tu nombre sálvame</t>
  </si>
  <si>
    <t>Oh Dios, tú eres mi Dios</t>
  </si>
  <si>
    <t>Oh Jesús, amor mío</t>
  </si>
  <si>
    <t>Oh muerte, ¿dónde está tu victoria?</t>
  </si>
  <si>
    <t>Oh Señor, mi corazón ya no es ambicioso</t>
  </si>
  <si>
    <t>Oh Señor, nuestro Dios</t>
  </si>
  <si>
    <t>Os tomaré de entre las naciones</t>
  </si>
  <si>
    <t>Paloma incorrupta</t>
  </si>
  <si>
    <t>Por qué esta noche es diferente</t>
  </si>
  <si>
    <t>Por qué las gentes conjuran</t>
  </si>
  <si>
    <t>Porque mi yugo es suave</t>
  </si>
  <si>
    <t>Prefacio para Adviento y Navidad</t>
  </si>
  <si>
    <t>Qué amables son tus moradas</t>
  </si>
  <si>
    <t>Quién es esta que sube del desierto</t>
  </si>
  <si>
    <t>Quiero andar, madre, a Jerusalén</t>
  </si>
  <si>
    <t>Quiero cantar</t>
  </si>
  <si>
    <t>Resucitó</t>
  </si>
  <si>
    <t>Resurrexit</t>
  </si>
  <si>
    <t>Salmodia para el evangelio</t>
  </si>
  <si>
    <t>Salmodia para el rosario</t>
  </si>
  <si>
    <t>Salmodias para la oración de los fieles</t>
  </si>
  <si>
    <t>Salmodias para laudes</t>
  </si>
  <si>
    <t>Salve, reina de los cielos</t>
  </si>
  <si>
    <t>Santo 1982</t>
  </si>
  <si>
    <t>Santo 1988</t>
  </si>
  <si>
    <t>Santo hebreo</t>
  </si>
  <si>
    <t>Santo Palestina 74</t>
  </si>
  <si>
    <t>Santo Palomeras 65</t>
  </si>
  <si>
    <t>Santo Roma 77</t>
  </si>
  <si>
    <t>Se encontraron dos ángeles</t>
  </si>
  <si>
    <t>Señor, tú me escrutas y conoces</t>
  </si>
  <si>
    <t>Shlom lej Mariam</t>
  </si>
  <si>
    <t>Si el Señor no construye la casa</t>
  </si>
  <si>
    <t>Si habéis resucitado con Cristo</t>
  </si>
  <si>
    <t>Siéntate solitario y silencioso</t>
  </si>
  <si>
    <t>Sión, madre de todos los pueblos</t>
  </si>
  <si>
    <t>Sola a Solo</t>
  </si>
  <si>
    <t>Stabat Mater dolorosa</t>
  </si>
  <si>
    <t>Sube Dios entre aclamaciones</t>
  </si>
  <si>
    <t>Te he manifestado mi pecado</t>
  </si>
  <si>
    <t>Tú has cubierto de vergüenza la muerte</t>
  </si>
  <si>
    <t>Un retoño brota del tronco de Jesé</t>
  </si>
  <si>
    <t>Una gran señal</t>
  </si>
  <si>
    <t>Urí, urí, urá</t>
  </si>
  <si>
    <t>Vamos ya, pastores</t>
  </si>
  <si>
    <t>Ven, Espíritu Santo</t>
  </si>
  <si>
    <t>Ven, Hijo del Hombre</t>
  </si>
  <si>
    <t>Veni Creator</t>
  </si>
  <si>
    <t>Viene el Señor</t>
  </si>
  <si>
    <t>Virgen de la maravilla</t>
  </si>
  <si>
    <t>Ya viene mi Dios</t>
  </si>
  <si>
    <t>Yo te amo, Señor</t>
  </si>
  <si>
    <t>Nuevo</t>
  </si>
  <si>
    <t>Ave María I</t>
  </si>
  <si>
    <t>Bendice, alma mía, a Yahveh</t>
  </si>
  <si>
    <r>
      <t xml:space="preserve">Celebración penitencial </t>
    </r>
    <r>
      <rPr>
        <b/>
        <sz val="11"/>
        <color theme="1"/>
        <rFont val="Aptos Narrow"/>
        <family val="2"/>
        <scheme val="minor"/>
      </rPr>
      <t>(Bendición penitencial )</t>
    </r>
  </si>
  <si>
    <r>
      <t xml:space="preserve">Carmen 63 - </t>
    </r>
    <r>
      <rPr>
        <b/>
        <sz val="11"/>
        <color theme="1"/>
        <rFont val="Aptos Narrow"/>
        <family val="2"/>
        <scheme val="minor"/>
      </rPr>
      <t>(ESTÁN ROTAS MIS ATADURAS )</t>
    </r>
  </si>
  <si>
    <t>Modificado</t>
  </si>
  <si>
    <t>Himno a Cristo Luz</t>
  </si>
  <si>
    <t>Letanías penitenciales I</t>
  </si>
  <si>
    <t>Plegaria Eucarística II – Modelo I</t>
  </si>
  <si>
    <t>Por el amor de mis amigos</t>
  </si>
  <si>
    <t>Salmodias para la oración de los fieles (Salmodia para las Oraciones universales)</t>
  </si>
  <si>
    <t>Santo Hebreo</t>
  </si>
  <si>
    <r>
      <t xml:space="preserve">Lauda Sion </t>
    </r>
    <r>
      <rPr>
        <b/>
        <sz val="11"/>
        <color theme="1"/>
        <rFont val="Aptos Narrow"/>
        <family val="2"/>
        <scheme val="minor"/>
      </rPr>
      <t>(Secuencia del Corpus Christi)</t>
    </r>
  </si>
  <si>
    <t xml:space="preserve">ADVIENTO - NAVIDAD </t>
  </si>
  <si>
    <t>****************************************************************</t>
  </si>
  <si>
    <t>Alegría, ha nacido el Salvador</t>
  </si>
  <si>
    <t>CUARESMA</t>
  </si>
  <si>
    <t>*****************************************</t>
  </si>
  <si>
    <t>Sola a solo</t>
  </si>
  <si>
    <t xml:space="preserve">Tú que eres fiel </t>
  </si>
  <si>
    <t>PASCUA - PENTECOSTÉS</t>
  </si>
  <si>
    <t>Aleluya, ya llegó el Reino</t>
  </si>
  <si>
    <t>Lauda Sión</t>
  </si>
  <si>
    <t>Oh muerte ¿dónde está tu victoria?</t>
  </si>
  <si>
    <t>Veni creator</t>
  </si>
  <si>
    <t>CANTOS A LA VIRGEN</t>
  </si>
  <si>
    <t>Ave María l</t>
  </si>
  <si>
    <t>Ave María 11 (1984}</t>
  </si>
  <si>
    <t>CANTOS PARA LOS NIÑOS</t>
  </si>
  <si>
    <t xml:space="preserve">CANTOS DE ENTRADA </t>
  </si>
  <si>
    <t>Alzaos puertas</t>
  </si>
  <si>
    <t>PAZ- PRESENTACIÓN DE LAS OFRENDAS</t>
  </si>
  <si>
    <t>FRACCIÓN DEL PAN</t>
  </si>
  <si>
    <t>1 mproperios</t>
  </si>
  <si>
    <t xml:space="preserve">COMUNIÓN CON EL CÁLIZ </t>
  </si>
  <si>
    <t xml:space="preserve">CANTO FINAL </t>
  </si>
  <si>
    <t>Adviento</t>
  </si>
  <si>
    <t>Navidad</t>
  </si>
  <si>
    <t>Cuaresma</t>
  </si>
  <si>
    <t>Pascua</t>
  </si>
  <si>
    <t>Virgen</t>
  </si>
  <si>
    <t>Niños</t>
  </si>
  <si>
    <t>Entrada</t>
  </si>
  <si>
    <t>Paz</t>
  </si>
  <si>
    <t>Pan</t>
  </si>
  <si>
    <t>Comunión</t>
  </si>
  <si>
    <t>Final</t>
  </si>
  <si>
    <t>Laudes</t>
  </si>
  <si>
    <t>Nuevo Testamento</t>
  </si>
  <si>
    <t>Antiguo Testamento</t>
  </si>
  <si>
    <t>Canto</t>
  </si>
  <si>
    <t>#</t>
  </si>
  <si>
    <t>navidad</t>
  </si>
  <si>
    <t>Tiempo</t>
  </si>
  <si>
    <t xml:space="preserve">Canto </t>
  </si>
  <si>
    <t>iniciar</t>
  </si>
  <si>
    <t>Categoria</t>
  </si>
  <si>
    <t>Eleccion</t>
  </si>
  <si>
    <t>Precatecumenado</t>
  </si>
  <si>
    <t>Liturgia</t>
  </si>
  <si>
    <t>Catecumenado</t>
  </si>
  <si>
    <t>Himno lat. «Ad cenam Agni providi»</t>
  </si>
  <si>
    <t xml:space="preserve">Secuencia de Pascua - Himno lat. «Victimae paschall laudes» </t>
  </si>
  <si>
    <t>2ª Corintios 6,3ss</t>
  </si>
  <si>
    <t>Salmo 123 (122)</t>
  </si>
  <si>
    <t>Salmo 142 (141)</t>
  </si>
  <si>
    <t>Salmo 25 (24)</t>
  </si>
  <si>
    <t>Salmo 65 (64)</t>
  </si>
  <si>
    <t>Romanos 8,15–17</t>
  </si>
  <si>
    <t>Génesis 18,1–5 – Teofanía de Mambré</t>
  </si>
  <si>
    <t>Respuestas a las oraciones de los fieles, Modelo I, II, III, IV</t>
  </si>
  <si>
    <t>Salmo 100 (99)</t>
  </si>
  <si>
    <t xml:space="preserve">Cántico espiritual (San Juan de la Cruz) </t>
  </si>
  <si>
    <t xml:space="preserve">Salmo 17 (16) </t>
  </si>
  <si>
    <t xml:space="preserve">Salmo 148 </t>
  </si>
  <si>
    <t>Villancico (Kiko Argüello)</t>
  </si>
  <si>
    <t>Modelo I, II, III</t>
  </si>
  <si>
    <t>Apropiado para el tiempo Pascual</t>
  </si>
  <si>
    <t>Salmo 150</t>
  </si>
  <si>
    <t>Salmo 1.34 (1.33) - Melodía hebraica</t>
  </si>
  <si>
    <t>Apocalipsis 19,6-9</t>
  </si>
  <si>
    <t>Salmo 24 (23)</t>
  </si>
  <si>
    <t xml:space="preserve">Apocalipsis 7,12-14 </t>
  </si>
  <si>
    <t>Salmo 116 (114-115)</t>
  </si>
  <si>
    <t>Tiempo de Cuaresma</t>
  </si>
  <si>
    <t>Gn 22,1-19 - Del Targum Neofiti sobre el sacrificio de Isaac</t>
  </si>
  <si>
    <t>Ap 3,14-20</t>
  </si>
  <si>
    <t>Lc 1,28ss</t>
  </si>
  <si>
    <t xml:space="preserve">Lc 1,28ss - 1984 </t>
  </si>
  <si>
    <t>Sal 137 (136)</t>
  </si>
  <si>
    <t>Nm 23,7-24</t>
  </si>
  <si>
    <t>Sal 34 (33)</t>
  </si>
  <si>
    <t>Sal 103 (102)</t>
  </si>
  <si>
    <t>De la liturgia bautismal de la Vigilia pascual</t>
  </si>
  <si>
    <t>Lucas 1,42-45</t>
  </si>
  <si>
    <t>Daniel 3,52-57</t>
  </si>
  <si>
    <t>Efesios 1,3-13</t>
  </si>
  <si>
    <t>Lucas 1,67-80</t>
  </si>
  <si>
    <t>Salmo 67 (68) 2.4-7</t>
  </si>
  <si>
    <t>Salmo 117 (116)</t>
  </si>
  <si>
    <t>Daniel 3,57-58</t>
  </si>
  <si>
    <t>Éxodo 15,1-18</t>
  </si>
  <si>
    <t>2ª Corintios 5,14.15.17.21</t>
  </si>
  <si>
    <t>(Rabindranath Tagore)*</t>
  </si>
  <si>
    <t>Acción de gracias</t>
  </si>
  <si>
    <t>1ª Corintios 4,9-13</t>
  </si>
  <si>
    <t>Oda XL de Salomón</t>
  </si>
  <si>
    <t>Oda VII de Salomón</t>
  </si>
  <si>
    <t>Salmo 133 (132)</t>
  </si>
  <si>
    <t>Salmo 42-43 (41-42)</t>
  </si>
  <si>
    <t xml:space="preserve">Cantar de los cantares 1,13ss </t>
  </si>
  <si>
    <t>Kontáklon (Romano el Meloda)</t>
  </si>
  <si>
    <t xml:space="preserve">Isaías 40,1-11 - Melodía hebraica </t>
  </si>
  <si>
    <t>Después de la consagración</t>
  </si>
  <si>
    <t>Símbolo Apostólico</t>
  </si>
  <si>
    <t>Himno - Juan 8,12; 14,6</t>
  </si>
  <si>
    <t xml:space="preserve">Cantar de los Cantares 5,2ss </t>
  </si>
  <si>
    <t>Salmo 126 (125)</t>
  </si>
  <si>
    <t>Salmo 114 (113)</t>
  </si>
  <si>
    <t>De la Hagadá de Pésaj hebrea</t>
  </si>
  <si>
    <t>Salmo 130 (129)</t>
  </si>
  <si>
    <t>Jueces 5</t>
  </si>
  <si>
    <t>Isaías 35,4ss</t>
  </si>
  <si>
    <t>Salmo 138 (137)</t>
  </si>
  <si>
    <t>Juan 8,52</t>
  </si>
  <si>
    <t>Salmo 110 (109)</t>
  </si>
  <si>
    <t>Salmo 1</t>
  </si>
  <si>
    <t>Apocalipsis 19,11-20</t>
  </si>
  <si>
    <t>Lucas 4,18 – Isaías 61,1-3</t>
  </si>
  <si>
    <t>Cantar de los Cantares 1,2-8</t>
  </si>
  <si>
    <t>Isaías 63,1-6</t>
  </si>
  <si>
    <t>Comentario al Apocalipsis (Victorino de Pettau)</t>
  </si>
  <si>
    <t>2 Corintios 4,6-12</t>
  </si>
  <si>
    <t>Salmo 14 (13)</t>
  </si>
  <si>
    <t>Isaías 9,1-5</t>
  </si>
  <si>
    <t>Marcos 4,3ss</t>
  </si>
  <si>
    <t>Salmo 68 (67)</t>
  </si>
  <si>
    <t>Salmo 23 (22)</t>
  </si>
  <si>
    <t>Isaías 50,4-10  - Tercer canto del Siervo de Yahveh</t>
  </si>
  <si>
    <t>Salmo 22 (21)</t>
  </si>
  <si>
    <t>Lucas 8,42b-48</t>
  </si>
  <si>
    <t>Subida al Monte Carmelo – San Juan de la Cruz</t>
  </si>
  <si>
    <t>Apocalipsis 5,9ss</t>
  </si>
  <si>
    <t xml:space="preserve">Salmo 45 (44) </t>
  </si>
  <si>
    <t xml:space="preserve">Himno al Espíritu Santo (Kiko Argüello) </t>
  </si>
  <si>
    <t>Salmo 27 (26)</t>
  </si>
  <si>
    <t>Isaias 49,1-16 - Segundo canto de Siervo de Yahveh</t>
  </si>
  <si>
    <t>Sal 118 (117)</t>
  </si>
  <si>
    <t>Jn 15,12ss</t>
  </si>
  <si>
    <t>Melodía hebraica</t>
  </si>
  <si>
    <t>Oda XXVII de Salomón</t>
  </si>
  <si>
    <t>Sal 33 (32)</t>
  </si>
  <si>
    <t>Sal 128 (127)</t>
  </si>
  <si>
    <t>Himno Litúrgico</t>
  </si>
  <si>
    <t>Sal 136 (135) - Melodía hebraica</t>
  </si>
  <si>
    <t>Isaías 12,1ss</t>
  </si>
  <si>
    <t>Himno procesional eucarístico (Kiko Argüello)</t>
  </si>
  <si>
    <t>Sal 13 (12)</t>
  </si>
  <si>
    <t>Isaías 42,1-4; Mateo 12,18-21 - Primer canto de Siervo de Yahveh</t>
  </si>
  <si>
    <t>Oda XIII de Salomón</t>
  </si>
  <si>
    <t>Apocalipsis 22,12-16</t>
  </si>
  <si>
    <t>Salmo 40 (39)</t>
  </si>
  <si>
    <t>Cantar de los cantares 6-7</t>
  </si>
  <si>
    <t>Lucas 23,28-46</t>
  </si>
  <si>
    <t>Himno vespertino (San Gregorio Nacianceno)</t>
  </si>
  <si>
    <t>1 Corintios 13,1-7</t>
  </si>
  <si>
    <t>Homilía La Santa Pascua (Anónimo s. II)</t>
  </si>
  <si>
    <t>Filipenses 2,1-11</t>
  </si>
  <si>
    <t>Himno lat. «Vox clara ecce Intonat»</t>
  </si>
  <si>
    <t xml:space="preserve">Himno de Laudes del tiempo Pascual, de la Ascensión a Pentecostés  / Himno de la liturgia de las horas </t>
  </si>
  <si>
    <t>Himno lat. «Aurora lucis rutiiat»</t>
  </si>
  <si>
    <t>Cantar de los Cantares 8,10-14</t>
  </si>
  <si>
    <t>Mateo 28,10.16-20</t>
  </si>
  <si>
    <t>Adoración de la santa Cruz el Viernes santo</t>
  </si>
  <si>
    <t xml:space="preserve">Genesis 32,23-29 </t>
  </si>
  <si>
    <t>Tobias 13,11-17</t>
  </si>
  <si>
    <t xml:space="preserve">Mateo 9,35ss; 10 </t>
  </si>
  <si>
    <t>Mateo 1,18s; 2,13s.18</t>
  </si>
  <si>
    <t>Ezequiel 21,14-22</t>
  </si>
  <si>
    <t>Espiritual negro «Go down, Moses»</t>
  </si>
  <si>
    <t>Oda XXIV de Salomón</t>
  </si>
  <si>
    <t>Himno lat. «Salve Regina»</t>
  </si>
  <si>
    <t>Juan 4,31-38</t>
  </si>
  <si>
    <t>Cantar de los Cantares 2,8-17</t>
  </si>
  <si>
    <t>cf Efesios 6,11.ss</t>
  </si>
  <si>
    <t xml:space="preserve">Secuencia del Corpus Christi (Santo Tomas de Aquino) </t>
  </si>
  <si>
    <t>Letanía para la Celebración Penitencial – modelo abreviado</t>
  </si>
  <si>
    <t>Letanía para la Celebración Penitencial</t>
  </si>
  <si>
    <t>Sal 121 (120)</t>
  </si>
  <si>
    <t>Sal 119 (118)</t>
  </si>
  <si>
    <t>Filipenses 1,23</t>
  </si>
  <si>
    <t>Lucas 1,46-55</t>
  </si>
  <si>
    <t xml:space="preserve">Himno a la Virgen de Jasna Göra, Częstochowa Polonia (Kiko Argüello) </t>
  </si>
  <si>
    <t>Juan 2,1–11 – Las Bodas de Caná</t>
  </si>
  <si>
    <t>Juan 19,26-34</t>
  </si>
  <si>
    <t>Himno a la Virgen del Tercer Milenio (Kiko Argüello)</t>
  </si>
  <si>
    <t>Himno a la Virgen María (Kiko Argüello)</t>
  </si>
  <si>
    <t>Sal 16 (15)</t>
  </si>
  <si>
    <t>Jeremias 20,7-18</t>
  </si>
  <si>
    <t>Cantar de los cantares 4,9 - 5,1</t>
  </si>
  <si>
    <t>Sal 133 (132)</t>
  </si>
  <si>
    <t>Sal 51 (50)</t>
  </si>
  <si>
    <t>Sal 51(50)</t>
  </si>
  <si>
    <t>Sal 129 (128)</t>
  </si>
  <si>
    <t xml:space="preserve">Mateo 6,24-33 </t>
  </si>
  <si>
    <t>Mateo 28,1-8</t>
  </si>
  <si>
    <t>Isaías 53,2ss - Cuarto canto del Siervo de Yahveh</t>
  </si>
  <si>
    <t>Mateo 5,38ss</t>
  </si>
  <si>
    <t>Sal 37 (36)</t>
  </si>
  <si>
    <t>Juan 20,15-17</t>
  </si>
  <si>
    <t>Isaías 45,8</t>
  </si>
  <si>
    <t>Sal 54 (53)</t>
  </si>
  <si>
    <t>Sal 63 (62)</t>
  </si>
  <si>
    <t>(Kiko Argüello)</t>
  </si>
  <si>
    <t>1 Corintios 15</t>
  </si>
  <si>
    <t>Sal 131 (130)</t>
  </si>
  <si>
    <t>Salmo 8</t>
  </si>
  <si>
    <t>Ezequiel 36,24-28</t>
  </si>
  <si>
    <t>Tiempo de la Elección</t>
  </si>
  <si>
    <t>Kontákion (Romano el Meloda)</t>
  </si>
  <si>
    <t xml:space="preserve">Hchos de los Apostoles 2,1-13 </t>
  </si>
  <si>
    <t>Modelo I</t>
  </si>
  <si>
    <t>Modelo II (1987)</t>
  </si>
  <si>
    <t>(1988)</t>
  </si>
  <si>
    <t xml:space="preserve">Sal 122 (121) - Melodía hebraica </t>
  </si>
  <si>
    <t>Haggadá de Pesaj - Melodía hebraica</t>
  </si>
  <si>
    <t>Salmo 2</t>
  </si>
  <si>
    <t>Mateo 11,28ss</t>
  </si>
  <si>
    <t>Prefacio IV de Adviento*</t>
  </si>
  <si>
    <t>Prefacio I de Pascua*</t>
  </si>
  <si>
    <t>«Exsultet»</t>
  </si>
  <si>
    <t>Sal 84 (83)</t>
  </si>
  <si>
    <t>Cantar de los Cantares 8,5-7</t>
  </si>
  <si>
    <t>Romanos 8,34-39</t>
  </si>
  <si>
    <t>Canto sefardí</t>
  </si>
  <si>
    <t>Sal 57 (56)</t>
  </si>
  <si>
    <t>Juan 11,25s</t>
  </si>
  <si>
    <t xml:space="preserve">Juan 3,11-20 </t>
  </si>
  <si>
    <t>Para las solemnidades</t>
  </si>
  <si>
    <t>Modelo I, II, III, IV, V</t>
  </si>
  <si>
    <t>Himno lat. «Ave, Regina Caelorum»</t>
  </si>
  <si>
    <t>Palomeras 65</t>
  </si>
  <si>
    <t xml:space="preserve">Melodía hebraica </t>
  </si>
  <si>
    <t>Palestina 74</t>
  </si>
  <si>
    <t>Roma 77</t>
  </si>
  <si>
    <t>Salmo 6</t>
  </si>
  <si>
    <t>Sal 139 (138)</t>
  </si>
  <si>
    <t>Lucas 6,20-38</t>
  </si>
  <si>
    <t>Dt 6,4-9</t>
  </si>
  <si>
    <t>Ave María en arameo antiguo</t>
  </si>
  <si>
    <t>Sal 127 (126)</t>
  </si>
  <si>
    <t>Colosense 3,1-4</t>
  </si>
  <si>
    <t>Sal 95 (94)</t>
  </si>
  <si>
    <t>Sal 11(10)</t>
  </si>
  <si>
    <t>Lamentaciones 3</t>
  </si>
  <si>
    <t>Sal 87 (86)</t>
  </si>
  <si>
    <t>Himno latin</t>
  </si>
  <si>
    <t>Himno (San Quodvultdeus)</t>
  </si>
  <si>
    <t>Sal 47 (46)</t>
  </si>
  <si>
    <t>Himno</t>
  </si>
  <si>
    <t>Sal 141 (140)</t>
  </si>
  <si>
    <t>Sal 32 (31)</t>
  </si>
  <si>
    <t>Oda XXIX de Salomón</t>
  </si>
  <si>
    <t>Homilía Pascual (Melltón de Sardes)</t>
  </si>
  <si>
    <t>Sal 143 (142)</t>
  </si>
  <si>
    <t>Isaías 11,1-11</t>
  </si>
  <si>
    <t>Apocalipsis 12</t>
  </si>
  <si>
    <t>Cantar de los cantares 4,8ss</t>
  </si>
  <si>
    <t>Secuencia de Pentecostés - Himno latin. «Veni, Sancte Spiritus»</t>
  </si>
  <si>
    <t>Apocalipsis 21,17ss</t>
  </si>
  <si>
    <t>Salmo 93 (92) - Apocalipsis 1,5-7</t>
  </si>
  <si>
    <t>(Dante Allghlerl)</t>
  </si>
  <si>
    <t>Filipenses 4,4ss</t>
  </si>
  <si>
    <t xml:space="preserve">Mateo 5,14ss </t>
  </si>
  <si>
    <t>Isaías 25,1-8</t>
  </si>
  <si>
    <t>Sal 18 (17)</t>
  </si>
  <si>
    <t>Isaías 66,18-21</t>
  </si>
  <si>
    <t>Lucas 19,1-10</t>
  </si>
  <si>
    <t>URL</t>
  </si>
  <si>
    <t>Or#</t>
  </si>
  <si>
    <t>{id:97,title: "He aquí que nuestro espejo es el Señor", subtitle: "Oda XIII de Salomó", category: "Catecumenado", moments: ["Cuaresma", "Pascua", "Laudes/Visperas"], url: "/cantos/src/chtml/h/heaquiquenuestroespejoeselsenor.html"},</t>
  </si>
  <si>
    <t>subtitle</t>
  </si>
  <si>
    <t>x</t>
  </si>
  <si>
    <t>Codigo</t>
  </si>
  <si>
    <t>Notas</t>
  </si>
  <si>
    <t>Libro de Canto del Camino Neo Catecumenal</t>
  </si>
  <si>
    <t>Oración</t>
  </si>
  <si>
    <t>Canto de los números</t>
  </si>
  <si>
    <t>Tradición Hebrea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</si>
</sst>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3" fillId="0" borderId="0" xfId="0" applyFont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 applyAlignment="1">
      <alignment horizontal="right"/>
    </xf>
    <xf numFmtId="0" fontId="0" fillId="2" borderId="2" xfId="0" applyFill="1" applyBorder="1"/>
    <xf numFmtId="0" fontId="0" fillId="0" borderId="2" xfId="0" applyBorder="1"/>
    <xf numFmtId="0" fontId="0" fillId="2" borderId="3" xfId="0" applyFill="1" applyBorder="1"/>
    <xf numFmtId="0" fontId="0" fillId="0" borderId="0" xfId="0" quotePrefix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NumberFormat="1" applyFill="1"/>
    <xf numFmtId="0" fontId="0" fillId="0" borderId="0" xfId="0" applyFill="1"/>
    <xf numFmtId="0" fontId="0" fillId="0" borderId="0" xfId="0" applyNumberFormat="1"/>
    <xf numFmtId="0" fontId="0" fillId="0" borderId="4" xfId="0" applyFill="1" applyBorder="1"/>
  </cellXfs>
  <cellStyles count="1">
    <cellStyle name="Normal" xfId="0" builtinId="0"/>
  </cellStyles>
  <dxfs count="41"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fill>
        <patternFill patternType="none">
          <bgColor auto="1"/>
        </patternFill>
      </fill>
    </dxf>
    <dxf>
      <fill>
        <patternFill patternType="none">
          <fgColor theme="0" tint="-0.14999847407452621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2469C-28EB-4F7E-B2D2-06CBBBEE63E0}" name="Table1" displayName="Table1" ref="A2:W236" totalsRowShown="0" dataDxfId="40">
  <autoFilter ref="A2:W236" xr:uid="{E062469C-28EB-4F7E-B2D2-06CBBBEE63E0}"/>
  <sortState xmlns:xlrd2="http://schemas.microsoft.com/office/spreadsheetml/2017/richdata2" ref="A3:W236">
    <sortCondition ref="B2:B236"/>
  </sortState>
  <tableColumns count="23">
    <tableColumn id="22" xr3:uid="{39E0556C-E814-4EF7-80C0-F18F9C707B32}" name="#" dataDxfId="39"/>
    <tableColumn id="25" xr3:uid="{07571CDA-4369-457C-8ADB-35B5D2FB7CA3}" name="Or#" dataDxfId="38"/>
    <tableColumn id="1" xr3:uid="{A92A445D-6C95-408A-B9D6-80D23577798D}" name="Canto" dataDxfId="37"/>
    <tableColumn id="2" xr3:uid="{75D21F80-FDA6-479C-8341-A2F87D374F85}" name="subtitle" dataDxfId="36"/>
    <tableColumn id="20" xr3:uid="{78B1E9D5-0942-40BB-845C-D7283CC94E68}" name="iniciar" dataDxfId="35">
      <calculatedColumnFormula>LOWER(LEFT(Table1[[#This Row],[Canto]],1))</calculatedColumnFormula>
    </tableColumn>
    <tableColumn id="21" xr3:uid="{355E557B-B561-4232-AF58-6C01C23A4A28}" name="Categoria"/>
    <tableColumn id="3" xr3:uid="{D3CC5097-15B7-40C1-8D2B-C6DB44428694}" name="Adviento" dataDxfId="34">
      <calculatedColumnFormula>IFERROR(IF(VLOOKUP(C3,Adviento!A:C,3,FALSE)=Table1[[#Headers],[Adviento]],Table1[[#Headers],[Adviento]],""),"")</calculatedColumnFormula>
    </tableColumn>
    <tableColumn id="4" xr3:uid="{FD0A17C3-963F-486D-AC62-BA89C93AA48E}" name="Navidad" dataDxfId="33">
      <calculatedColumnFormula>IFERROR(IF(VLOOKUP(C3,Navidad!A:C,3,FALSE)=Table1[[#Headers],[Navidad]],Table1[[#Headers],[Navidad]],""),"")</calculatedColumnFormula>
    </tableColumn>
    <tableColumn id="5" xr3:uid="{0644BF95-CB24-474D-94F6-B954AF82E087}" name="Cuaresma" dataDxfId="32">
      <calculatedColumnFormula>IFERROR(IF(VLOOKUP(C3,Cuaresma!A:C,3,FALSE)=Table1[[#Headers],[Cuaresma]],Table1[[#Headers],[Cuaresma]],""),"")</calculatedColumnFormula>
    </tableColumn>
    <tableColumn id="6" xr3:uid="{87F9FC08-8571-4E57-A20C-D5CEE577DC99}" name="Pascua" dataDxfId="31">
      <calculatedColumnFormula>IFERROR(IF(VLOOKUP(C3,Pascua!A:C,3,FALSE)=Table1[[#Headers],[Pascua]],Table1[[#Headers],[Pascua]],""),"")</calculatedColumnFormula>
    </tableColumn>
    <tableColumn id="7" xr3:uid="{0469747D-C233-4FEA-B8C8-953614F7701C}" name="Pentecostés" dataDxfId="30">
      <calculatedColumnFormula>IFERROR(IF(VLOOKUP(C3,Pentecostés!A:C,3,FALSE)=Table1[[#Headers],[Pentecostés]],Table1[[#Headers],[Pentecostés]],""),"")</calculatedColumnFormula>
    </tableColumn>
    <tableColumn id="8" xr3:uid="{542E1E65-8FB8-4B8B-8327-A043E66601A7}" name="Entrada" dataDxfId="29">
      <calculatedColumnFormula>IFERROR(IF(VLOOKUP(C3,Entrada!A:C,3,FALSE)=Table1[[#Headers],[Entrada]],Table1[[#Headers],[Entrada]],""),"")</calculatedColumnFormula>
    </tableColumn>
    <tableColumn id="9" xr3:uid="{60F721C4-F61F-4CEC-8E3B-32831EE97709}" name="Virgen" dataDxfId="28">
      <calculatedColumnFormula>IFERROR(IF(VLOOKUP(C3,Virgen!A:C,3,FALSE)=Table1[[#Headers],[Virgen]],Table1[[#Headers],[Virgen]],""),"")</calculatedColumnFormula>
    </tableColumn>
    <tableColumn id="10" xr3:uid="{5C84F925-3743-4412-BD2F-B0A9AFAF3D33}" name="Paz" dataDxfId="27">
      <calculatedColumnFormula>IFERROR(IF(VLOOKUP(C3,Paz!A:C,3,FALSE)=Table1[[#Headers],[Paz]],Table1[[#Headers],[Paz]],""),"")</calculatedColumnFormula>
    </tableColumn>
    <tableColumn id="11" xr3:uid="{D4C16C18-DC67-42B9-B78C-21D2F8B80907}" name="Pan" dataDxfId="26">
      <calculatedColumnFormula>IFERROR(IF(VLOOKUP(C3,Pan!A:C,3,FALSE)=Table1[[#Headers],[Pan]],Table1[[#Headers],[Pan]],""),"")</calculatedColumnFormula>
    </tableColumn>
    <tableColumn id="12" xr3:uid="{2421C6A1-E410-4077-8595-78CF324BD5F2}" name="Comunión" dataDxfId="25">
      <calculatedColumnFormula>IFERROR(IF(VLOOKUP(C3,Comunión!A:C,3,FALSE)=Table1[[#Headers],[Comunión]],Table1[[#Headers],[Comunión]],""),"")</calculatedColumnFormula>
    </tableColumn>
    <tableColumn id="13" xr3:uid="{604559A1-1391-478B-AD27-365B24F3501F}" name="Niños" dataDxfId="24">
      <calculatedColumnFormula>IFERROR(IF(VLOOKUP(C3,Niños!A:C,3,FALSE)=Table1[[#Headers],[Niños]],Table1[[#Headers],[Niños]],""),"")</calculatedColumnFormula>
    </tableColumn>
    <tableColumn id="14" xr3:uid="{B4C0555B-E589-4BF4-BD04-687C4047E0FE}" name="Laudes" dataDxfId="23">
      <calculatedColumnFormula>IFERROR(IF(VLOOKUP(C3,Laudes!A:C,3,FALSE)=Table1[[#Headers],[Laudes]],Table1[[#Headers],[Laudes]],""),"")</calculatedColumnFormula>
    </tableColumn>
    <tableColumn id="15" xr3:uid="{49C6079A-85E9-4CAD-85B4-3AFA380C160B}" name="Nuevo Testamento" dataDxfId="22">
      <calculatedColumnFormula>IFERROR(IF(VLOOKUP(C3,'Nuevo Testamento'!A:C,3,FALSE)=Table1[[#Headers],[Nuevo Testamento]],Table1[[#Headers],[Nuevo Testamento]],""),"")</calculatedColumnFormula>
    </tableColumn>
    <tableColumn id="16" xr3:uid="{15A8CD2E-0930-4A5E-9FE3-4A1541AEDC64}" name="Antiguo Testamento" dataDxfId="21">
      <calculatedColumnFormula>IFERROR(IF(VLOOKUP(C3,'Antiguo Testamento'!A:C,3,FALSE)=Table1[[#Headers],[Antiguo Testamento]],Table1[[#Headers],[Antiguo Testamento]],""),"")</calculatedColumnFormula>
    </tableColumn>
    <tableColumn id="17" xr3:uid="{56E904F9-3511-4706-89A6-4B58EABCB43E}" name="Final" dataDxfId="20">
      <calculatedColumnFormula>IFERROR(IF(VLOOKUP(C3,Final!A:C,3,FALSE)=Table1[[#Headers],[Final]],Table1[[#Headers],[Final]],""),"")</calculatedColumnFormula>
    </tableColumn>
    <tableColumn id="18" xr3:uid="{4E74401B-A015-4F11-BF8F-FC72D0887140}" name="URL" dataDxfId="19">
      <calculatedColumnFormula array="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calculatedColumnFormula>
    </tableColumn>
    <tableColumn id="23" xr3:uid="{E21AF46A-F05F-43FB-804F-C7CB16F01932}" name="Codigo" dataDxfId="18">
      <calculatedColumnFormula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BD0AF-65D1-4344-8DC2-EA06D9DDDA52}" name="Table2" displayName="Table2" ref="A2:C544" totalsRowShown="0">
  <autoFilter ref="A2:C544" xr:uid="{4FBBD0AF-65D1-4344-8DC2-EA06D9DDDA52}"/>
  <tableColumns count="3">
    <tableColumn id="1" xr3:uid="{D37E7E6A-4F7E-48FF-AA27-E7FEC4B6AC58}" name="Canto "/>
    <tableColumn id="2" xr3:uid="{5B3DA40E-62C1-4D31-A39F-C6AA6A3324AC}" name="#"/>
    <tableColumn id="3" xr3:uid="{07457848-E378-4D3F-B741-3D0632BB0AD0}" name="Tiempo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CA8546-49AF-4432-98E1-C59130E13BD6}" name="Table24" displayName="Table24" ref="A1:C543" totalsRowShown="0">
  <autoFilter ref="A1:C543" xr:uid="{4FBBD0AF-65D1-4344-8DC2-EA06D9DDDA52}">
    <filterColumn colId="2">
      <filters>
        <filter val="Virgen"/>
      </filters>
    </filterColumn>
  </autoFilter>
  <tableColumns count="3">
    <tableColumn id="1" xr3:uid="{E161E293-A716-4C72-8C1E-53EF0D0A40F4}" name="Canto "/>
    <tableColumn id="2" xr3:uid="{70D3CB0B-97BB-4B07-A1AB-02939F6D23F9}" name="#"/>
    <tableColumn id="3" xr3:uid="{4F5F8D81-1D5D-4106-BB45-65E2F592F31C}" name="Tiempo"/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C462FF-AA86-4745-BB90-DDFF6D6ED261}" name="Table15" displayName="Table15" ref="A1:Q232" totalsRowShown="0" dataDxfId="17">
  <autoFilter ref="A1:Q232" xr:uid="{E062469C-28EB-4F7E-B2D2-06CBBBEE63E0}"/>
  <tableColumns count="17">
    <tableColumn id="1" xr3:uid="{E09C601B-199D-40CB-932E-F55D9C193E84}" name="Canto" dataDxfId="16"/>
    <tableColumn id="2" xr3:uid="{E642616E-0656-4DDB-AD01-B8ABBC9AE3A8}" name="#" dataDxfId="15"/>
    <tableColumn id="3" xr3:uid="{2C89D181-5322-4455-9D52-74BE11C4153B}" name="Adviento" dataDxfId="14">
      <calculatedColumnFormula>IFERROR(IF(VLOOKUP(A2,Adviento!A:C,3,FALSE)=Table15[[#Headers],[Adviento]],Table15[[#Headers],[Adviento]],""),"")</calculatedColumnFormula>
    </tableColumn>
    <tableColumn id="4" xr3:uid="{D28272B2-BD04-4E4E-9286-FA4DE3BFB56B}" name="Navidad" dataDxfId="13">
      <calculatedColumnFormula>IFERROR(IF(VLOOKUP(A2,Navidad!A:C,3,FALSE)=Table15[[#Headers],[Navidad]],Table15[[#Headers],[Navidad]],""),"")</calculatedColumnFormula>
    </tableColumn>
    <tableColumn id="5" xr3:uid="{5571A87E-5FFC-4EB2-92DC-B92EE579D4DB}" name="Cuaresma" dataDxfId="12">
      <calculatedColumnFormula>IFERROR(IF(VLOOKUP(A2,Cuaresma!A:C,3,FALSE)=Table15[[#Headers],[Cuaresma]],Table15[[#Headers],[Cuaresma]],""),"")</calculatedColumnFormula>
    </tableColumn>
    <tableColumn id="6" xr3:uid="{A9C424D1-57D9-45F8-B39E-F9BFD6E223F5}" name="Pascua" dataDxfId="11">
      <calculatedColumnFormula>IFERROR(IF(VLOOKUP(A2,Pascua!A:C,3,FALSE)=Table15[[#Headers],[Pascua]],Table15[[#Headers],[Pascua]],""),"")</calculatedColumnFormula>
    </tableColumn>
    <tableColumn id="7" xr3:uid="{5DCF47C3-23AC-4659-98AB-E2B5CBCB0CF5}" name="Pentecostés" dataDxfId="10">
      <calculatedColumnFormula>IFERROR(IF(VLOOKUP(A2,Pentecostés!A:C,3,FALSE)=Table15[[#Headers],[Pentecostés]],Table15[[#Headers],[Pentecostés]],""),"")</calculatedColumnFormula>
    </tableColumn>
    <tableColumn id="8" xr3:uid="{5765A595-7479-4F00-964F-10161BAC91E5}" name="Entrada" dataDxfId="9">
      <calculatedColumnFormula>IFERROR(IF(VLOOKUP(A2,Entrada!A:C,3,FALSE)=Table15[[#Headers],[Entrada]],Table15[[#Headers],[Entrada]],""),"")</calculatedColumnFormula>
    </tableColumn>
    <tableColumn id="9" xr3:uid="{84EF5F51-42EA-4FFB-BD8F-EB37F1628FE7}" name="Virgen" dataDxfId="8">
      <calculatedColumnFormula>IFERROR(IF(VLOOKUP(A2,Virgen!A:C,3,FALSE)=Table15[[#Headers],[Virgen]],Table15[[#Headers],[Virgen]],""),"")</calculatedColumnFormula>
    </tableColumn>
    <tableColumn id="10" xr3:uid="{FCADEB7A-5FD2-4485-B2E5-F402E02DAE30}" name="Paz" dataDxfId="7">
      <calculatedColumnFormula>IFERROR(IF(VLOOKUP(A2,Paz!A:C,3,FALSE)=Table15[[#Headers],[Paz]],Table15[[#Headers],[Paz]],""),"")</calculatedColumnFormula>
    </tableColumn>
    <tableColumn id="11" xr3:uid="{58DA33DE-7479-49B0-BC5D-8F8BB9251C65}" name="Pan" dataDxfId="6">
      <calculatedColumnFormula>IFERROR(IF(VLOOKUP(A2,Pan!A:C,3,FALSE)=Table15[[#Headers],[Pan]],Table15[[#Headers],[Pan]],""),"")</calculatedColumnFormula>
    </tableColumn>
    <tableColumn id="12" xr3:uid="{C7597565-25A1-4DEB-B9CF-71BD3F4621EC}" name="Comunión" dataDxfId="5">
      <calculatedColumnFormula>IFERROR(IF(VLOOKUP(A2,Comunión!A:C,3,FALSE)=Table15[[#Headers],[Comunión]],Table15[[#Headers],[Comunión]],""),"")</calculatedColumnFormula>
    </tableColumn>
    <tableColumn id="13" xr3:uid="{4831AE5B-AFBE-4486-9103-8964E985FBF8}" name="Niños" dataDxfId="4">
      <calculatedColumnFormula>IFERROR(IF(VLOOKUP(A2,Niños!A:C,3,FALSE)=Table15[[#Headers],[Niños]],Table15[[#Headers],[Niños]],""),"")</calculatedColumnFormula>
    </tableColumn>
    <tableColumn id="14" xr3:uid="{E67EFF76-C7BE-4ADF-A57D-242D296C7F1C}" name="Laudes" dataDxfId="3">
      <calculatedColumnFormula>IFERROR(IF(VLOOKUP(A2,Laudes!A:C,3,FALSE)=Table15[[#Headers],[Laudes]],Table15[[#Headers],[Laudes]],""),"")</calculatedColumnFormula>
    </tableColumn>
    <tableColumn id="15" xr3:uid="{2EED090E-C2B9-4ACD-A9A2-806872B4AB6D}" name="Nuevo Testamento" dataDxfId="2">
      <calculatedColumnFormula>IFERROR(IF(VLOOKUP(A2,'Nuevo Testamento'!A:C,3,FALSE)=Table15[[#Headers],[Nuevo Testamento]],Table15[[#Headers],[Nuevo Testamento]],""),"")</calculatedColumnFormula>
    </tableColumn>
    <tableColumn id="16" xr3:uid="{AC4E582E-9613-4BA5-8CEE-680A68500C5B}" name="Antiguo Testamento" dataDxfId="1">
      <calculatedColumnFormula>IFERROR(IF(VLOOKUP(A2,'Antiguo Testamento'!A:C,3,FALSE)=Table15[[#Headers],[Antiguo Testamento]],Table15[[#Headers],[Antiguo Testamento]],""),"")</calculatedColumnFormula>
    </tableColumn>
    <tableColumn id="17" xr3:uid="{8AB9AD71-F156-4181-96FA-09445F11A271}" name="Final" dataDxfId="0">
      <calculatedColumnFormula>IFERROR(IF(VLOOKUP(A2,Final!A:C,3,FALSE)=Table15[[#Headers],[Final]],Table15[[#Headers],[Final]],""),"")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82D9-5CB4-47FC-A3C2-3280423B3751}">
  <sheetPr>
    <tabColor rgb="FF00B0F0"/>
  </sheetPr>
  <dimension ref="A1:AM236"/>
  <sheetViews>
    <sheetView topLeftCell="A210" zoomScale="190" zoomScaleNormal="190" workbookViewId="0">
      <selection activeCell="C236" sqref="C236"/>
    </sheetView>
  </sheetViews>
  <sheetFormatPr defaultRowHeight="15" x14ac:dyDescent="0.25"/>
  <cols>
    <col min="1" max="1" width="4.140625" bestFit="1" customWidth="1"/>
    <col min="2" max="2" width="4.140625" customWidth="1"/>
    <col min="3" max="3" width="35.140625" customWidth="1"/>
    <col min="4" max="4" width="31.85546875" customWidth="1"/>
    <col min="5" max="5" width="8.42578125" bestFit="1" customWidth="1"/>
    <col min="6" max="6" width="11.28515625" bestFit="1" customWidth="1"/>
    <col min="7" max="7" width="10.5703125" bestFit="1" customWidth="1"/>
    <col min="8" max="8" width="12.42578125" bestFit="1" customWidth="1"/>
    <col min="9" max="9" width="9.5703125" bestFit="1" customWidth="1"/>
    <col min="10" max="10" width="14.5703125" bestFit="1" customWidth="1"/>
    <col min="11" max="11" width="10.140625" bestFit="1" customWidth="1"/>
    <col min="12" max="12" width="9" bestFit="1" customWidth="1"/>
    <col min="13" max="13" width="6.28515625" bestFit="1" customWidth="1"/>
    <col min="14" max="14" width="6.5703125" bestFit="1" customWidth="1"/>
    <col min="15" max="15" width="6.28515625" bestFit="1" customWidth="1"/>
    <col min="16" max="16" width="8.5703125" bestFit="1" customWidth="1"/>
    <col min="17" max="17" width="7.85546875" bestFit="1" customWidth="1"/>
    <col min="18" max="18" width="9.140625" bestFit="1" customWidth="1"/>
    <col min="19" max="20" width="7.140625" customWidth="1"/>
    <col min="21" max="21" width="7.28515625" bestFit="1" customWidth="1"/>
    <col min="22" max="22" width="11.7109375" customWidth="1"/>
    <col min="23" max="23" width="255.5703125" bestFit="1" customWidth="1"/>
  </cols>
  <sheetData>
    <row r="1" spans="1:39" x14ac:dyDescent="0.25">
      <c r="S1" t="s">
        <v>510</v>
      </c>
    </row>
    <row r="2" spans="1:39" x14ac:dyDescent="0.25">
      <c r="A2" t="s">
        <v>281</v>
      </c>
      <c r="B2" t="s">
        <v>509</v>
      </c>
      <c r="C2" t="s">
        <v>280</v>
      </c>
      <c r="D2" t="s">
        <v>511</v>
      </c>
      <c r="E2" t="s">
        <v>285</v>
      </c>
      <c r="F2" t="s">
        <v>286</v>
      </c>
      <c r="G2" t="s">
        <v>266</v>
      </c>
      <c r="H2" t="s">
        <v>267</v>
      </c>
      <c r="I2" t="s">
        <v>268</v>
      </c>
      <c r="J2" t="s">
        <v>269</v>
      </c>
      <c r="K2" t="s">
        <v>75</v>
      </c>
      <c r="L2" t="s">
        <v>272</v>
      </c>
      <c r="M2" t="s">
        <v>270</v>
      </c>
      <c r="N2" t="s">
        <v>273</v>
      </c>
      <c r="O2" t="s">
        <v>274</v>
      </c>
      <c r="P2" t="s">
        <v>275</v>
      </c>
      <c r="Q2" t="s">
        <v>271</v>
      </c>
      <c r="R2" t="s">
        <v>277</v>
      </c>
      <c r="S2" t="s">
        <v>278</v>
      </c>
      <c r="T2" t="s">
        <v>279</v>
      </c>
      <c r="U2" t="s">
        <v>276</v>
      </c>
      <c r="V2" t="s">
        <v>508</v>
      </c>
      <c r="W2" t="s">
        <v>513</v>
      </c>
      <c r="AM2" t="s">
        <v>512</v>
      </c>
    </row>
    <row r="3" spans="1:39" x14ac:dyDescent="0.25">
      <c r="A3">
        <v>237</v>
      </c>
      <c r="B3">
        <v>1</v>
      </c>
      <c r="C3" t="s">
        <v>104</v>
      </c>
      <c r="D3" t="s">
        <v>291</v>
      </c>
      <c r="E3" t="str">
        <f>LOWER(LEFT(Table1[[#This Row],[Canto]],1))</f>
        <v>a</v>
      </c>
      <c r="F3" s="11" t="s">
        <v>287</v>
      </c>
      <c r="G3" t="str">
        <f>IFERROR(IF(VLOOKUP(C3,Adviento!A:C,3,FALSE)=Table1[[#Headers],[Adviento]],Table1[[#Headers],[Adviento]],""),"")</f>
        <v/>
      </c>
      <c r="H3" t="str">
        <f>IFERROR(IF(VLOOKUP(C3,Navidad!A:C,3,FALSE)=Table1[[#Headers],[Navidad]],Table1[[#Headers],[Navidad]],""),"")</f>
        <v/>
      </c>
      <c r="I3" t="str">
        <f>IFERROR(IF(VLOOKUP(C3,Cuaresma!A:C,3,FALSE)=Table1[[#Headers],[Cuaresma]],Table1[[#Headers],[Cuaresma]],""),"")</f>
        <v/>
      </c>
      <c r="J3" t="str">
        <f>IFERROR(IF(VLOOKUP(C3,Pascua!A:C,3,FALSE)=Table1[[#Headers],[Pascua]],Table1[[#Headers],[Pascua]],""),"")</f>
        <v>Pascua</v>
      </c>
      <c r="K3" t="str">
        <f>IFERROR(IF(VLOOKUP(C3,Pentecostés!A:C,3,FALSE)=Table1[[#Headers],[Pentecostés]],Table1[[#Headers],[Pentecostés]],""),"")</f>
        <v>Pentecostés</v>
      </c>
      <c r="L3" t="str">
        <f>IFERROR(IF(VLOOKUP(C3,Entrada!A:C,3,FALSE)=Table1[[#Headers],[Entrada]],Table1[[#Headers],[Entrada]],""),"")</f>
        <v/>
      </c>
      <c r="M3" t="str">
        <f>IFERROR(IF(VLOOKUP(C3,Virgen!A:C,3,FALSE)=Table1[[#Headers],[Virgen]],Table1[[#Headers],[Virgen]],""),"")</f>
        <v/>
      </c>
      <c r="N3" t="str">
        <f>IFERROR(IF(VLOOKUP(C3,Paz!A:C,3,FALSE)=Table1[[#Headers],[Paz]],Table1[[#Headers],[Paz]],""),"")</f>
        <v/>
      </c>
      <c r="O3" t="str">
        <f>IFERROR(IF(VLOOKUP(C3,Pan!A:C,3,FALSE)=Table1[[#Headers],[Pan]],Table1[[#Headers],[Pan]],""),"")</f>
        <v/>
      </c>
      <c r="P3" t="str">
        <f>IFERROR(IF(VLOOKUP(C3,Comunión!A:C,3,FALSE)=Table1[[#Headers],[Comunión]],Table1[[#Headers],[Comunión]],""),"")</f>
        <v/>
      </c>
      <c r="Q3" t="str">
        <f>IFERROR(IF(VLOOKUP(C3,Niños!A:C,3,FALSE)=Table1[[#Headers],[Niños]],Table1[[#Headers],[Niños]],""),"")</f>
        <v/>
      </c>
      <c r="R3" t="str">
        <f>IFERROR(IF(VLOOKUP(C3,Laudes!A:C,3,FALSE)=Table1[[#Headers],[Laudes]],Table1[[#Headers],[Laudes]],""),"")</f>
        <v>Laudes</v>
      </c>
      <c r="S3" t="str">
        <f>IFERROR(IF(VLOOKUP(C3,'Nuevo Testamento'!A:C,3,FALSE)=Table1[[#Headers],[Nuevo Testamento]],Table1[[#Headers],[Nuevo Testamento]],""),"")</f>
        <v/>
      </c>
      <c r="T3" t="str">
        <f>IFERROR(IF(VLOOKUP(C3,'Antiguo Testamento'!A:C,3,FALSE)=Table1[[#Headers],[Antiguo Testamento]],Table1[[#Headers],[Antiguo Testamento]],""),"")</f>
        <v/>
      </c>
      <c r="U3" t="str">
        <f>IFERROR(IF(VLOOKUP(C3,Final!A:C,3,FALSE)=Table1[[#Headers],[Final]],Table1[[#Headers],[Final]],""),"")</f>
        <v/>
      </c>
      <c r="V3" t="str" cm="1">
        <f t="array" ref="V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/cantos/src/chtml/a/alacenadelcordero.html</v>
      </c>
      <c r="W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{id:1,title: "A la cena del Cordero", subtitle: "Himno lat. «Ad cenam Agni providi»", category: "Eleccion", moments: ["","","","Pascua","Pentecostés","","","","","","","Laudes","","",""], url: "/cantos/src/chtml/a/alacenadelcordero.html"},</v>
      </c>
    </row>
    <row r="4" spans="1:39" x14ac:dyDescent="0.25">
      <c r="A4">
        <v>1</v>
      </c>
      <c r="B4">
        <v>2</v>
      </c>
      <c r="C4" t="s">
        <v>1</v>
      </c>
      <c r="D4" t="s">
        <v>292</v>
      </c>
      <c r="E4" t="str">
        <f>LOWER(LEFT(Table1[[#This Row],[Canto]],1))</f>
        <v>a</v>
      </c>
      <c r="F4" t="s">
        <v>288</v>
      </c>
      <c r="G4" t="str">
        <f>IFERROR(IF(VLOOKUP(C4,Adviento!A:C,3,FALSE)=Table1[[#Headers],[Adviento]],Table1[[#Headers],[Adviento]],""),"")</f>
        <v/>
      </c>
      <c r="H4" t="str">
        <f>IFERROR(IF(VLOOKUP(C4,Navidad!A:C,3,FALSE)=Table1[[#Headers],[Navidad]],Table1[[#Headers],[Navidad]],""),"")</f>
        <v/>
      </c>
      <c r="I4" t="str">
        <f>IFERROR(IF(VLOOKUP(C4,Cuaresma!A:C,3,FALSE)=Table1[[#Headers],[Cuaresma]],Table1[[#Headers],[Cuaresma]],""),"")</f>
        <v/>
      </c>
      <c r="J4" t="str">
        <f>IFERROR(IF(VLOOKUP(C4,Pascua!A:C,3,FALSE)=Table1[[#Headers],[Pascua]],Table1[[#Headers],[Pascua]],""),"")</f>
        <v>Pascua</v>
      </c>
      <c r="K4" t="str">
        <f>IFERROR(IF(VLOOKUP(C4,Pentecostés!A:C,3,FALSE)=Table1[[#Headers],[Pentecostés]],Table1[[#Headers],[Pentecostés]],""),"")</f>
        <v>Pentecostés</v>
      </c>
      <c r="L4" t="str">
        <f>IFERROR(IF(VLOOKUP(C4,Entrada!A:C,3,FALSE)=Table1[[#Headers],[Entrada]],Table1[[#Headers],[Entrada]],""),"")</f>
        <v/>
      </c>
      <c r="M4" t="str">
        <f>IFERROR(IF(VLOOKUP(C4,Virgen!A:C,3,FALSE)=Table1[[#Headers],[Virgen]],Table1[[#Headers],[Virgen]],""),"")</f>
        <v/>
      </c>
      <c r="N4" t="str">
        <f>IFERROR(IF(VLOOKUP(C4,Paz!A:C,3,FALSE)=Table1[[#Headers],[Paz]],Table1[[#Headers],[Paz]],""),"")</f>
        <v/>
      </c>
      <c r="O4" t="str">
        <f>IFERROR(IF(VLOOKUP(C4,Pan!A:C,3,FALSE)=Table1[[#Headers],[Pan]],Table1[[#Headers],[Pan]],""),"")</f>
        <v/>
      </c>
      <c r="P4" t="str">
        <f>IFERROR(IF(VLOOKUP(C4,Comunión!A:C,3,FALSE)=Table1[[#Headers],[Comunión]],Table1[[#Headers],[Comunión]],""),"")</f>
        <v/>
      </c>
      <c r="Q4" t="str">
        <f>IFERROR(IF(VLOOKUP(C4,Niños!A:C,3,FALSE)=Table1[[#Headers],[Niños]],Table1[[#Headers],[Niños]],""),"")</f>
        <v/>
      </c>
      <c r="R4" t="str">
        <f>IFERROR(IF(VLOOKUP(C4,Laudes!A:C,3,FALSE)=Table1[[#Headers],[Laudes]],Table1[[#Headers],[Laudes]],""),"")</f>
        <v/>
      </c>
      <c r="S4" s="10" t="str">
        <f>IFERROR(IF(VLOOKUP(C4,'Nuevo Testamento'!A:C,3,FALSE)=Table1[[#Headers],[Nuevo Testamento]],Table1[[#Headers],[Nuevo Testamento]],""),"")</f>
        <v>Nuevo Testamento</v>
      </c>
      <c r="T4" t="str">
        <f>IFERROR(IF(VLOOKUP(C4,'Antiguo Testamento'!A:C,3,FALSE)=Table1[[#Headers],[Antiguo Testamento]],Table1[[#Headers],[Antiguo Testamento]],""),"")</f>
        <v/>
      </c>
      <c r="U4" t="str">
        <f>IFERROR(IF(VLOOKUP(C4,Final!A:C,3,FALSE)=Table1[[#Headers],[Final]],Table1[[#Headers],[Final]],""),"")</f>
        <v/>
      </c>
      <c r="V4" t="str" cm="1">
        <f t="array" ref="V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/cantos/src/chtml/a/alavictimapascual.html</v>
      </c>
      <c r="W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{id:2,title: "A la víctima pascual", subtitle: "Secuencia de Pascua - Himno lat. «Victimae paschall laudes» ", category: "Precatecumenado", moments: ["","","","Pascua","Pentecostés","","","","","","","","Nuevo Testamento","",""], url: "/cantos/src/chtml/a/alavictimapascual.html"},</v>
      </c>
    </row>
    <row r="5" spans="1:39" x14ac:dyDescent="0.25">
      <c r="A5">
        <v>2</v>
      </c>
      <c r="B5">
        <v>3</v>
      </c>
      <c r="C5" t="s">
        <v>2</v>
      </c>
      <c r="D5" t="s">
        <v>293</v>
      </c>
      <c r="E5" t="str">
        <f>LOWER(LEFT(Table1[[#This Row],[Canto]],1))</f>
        <v>a</v>
      </c>
      <c r="F5" t="s">
        <v>288</v>
      </c>
      <c r="G5" t="str">
        <f>IFERROR(IF(VLOOKUP(C5,Adviento!A:C,3,FALSE)=Table1[[#Headers],[Adviento]],Table1[[#Headers],[Adviento]],""),"")</f>
        <v/>
      </c>
      <c r="H5" t="str">
        <f>IFERROR(IF(VLOOKUP(C5,Navidad!A:C,3,FALSE)=Table1[[#Headers],[Navidad]],Table1[[#Headers],[Navidad]],""),"")</f>
        <v/>
      </c>
      <c r="I5" t="str">
        <f>IFERROR(IF(VLOOKUP(C5,Cuaresma!A:C,3,FALSE)=Table1[[#Headers],[Cuaresma]],Table1[[#Headers],[Cuaresma]],""),"")</f>
        <v/>
      </c>
      <c r="J5" t="str">
        <f>IFERROR(IF(VLOOKUP(C5,Pascua!A:C,3,FALSE)=Table1[[#Headers],[Pascua]],Table1[[#Headers],[Pascua]],""),"")</f>
        <v/>
      </c>
      <c r="K5" t="str">
        <f>IFERROR(IF(VLOOKUP(C5,Pentecostés!A:C,3,FALSE)=Table1[[#Headers],[Pentecostés]],Table1[[#Headers],[Pentecostés]],""),"")</f>
        <v/>
      </c>
      <c r="L5" t="str">
        <f>IFERROR(IF(VLOOKUP(C5,Entrada!A:C,3,FALSE)=Table1[[#Headers],[Entrada]],Table1[[#Headers],[Entrada]],""),"")</f>
        <v/>
      </c>
      <c r="M5" t="str">
        <f>IFERROR(IF(VLOOKUP(C5,Virgen!A:C,3,FALSE)=Table1[[#Headers],[Virgen]],Table1[[#Headers],[Virgen]],""),"")</f>
        <v/>
      </c>
      <c r="N5" t="str">
        <f>IFERROR(IF(VLOOKUP(C5,Paz!A:C,3,FALSE)=Table1[[#Headers],[Paz]],Table1[[#Headers],[Paz]],""),"")</f>
        <v/>
      </c>
      <c r="O5" t="str">
        <f>IFERROR(IF(VLOOKUP(C5,Pan!A:C,3,FALSE)=Table1[[#Headers],[Pan]],Table1[[#Headers],[Pan]],""),"")</f>
        <v/>
      </c>
      <c r="P5" t="str">
        <f>IFERROR(IF(VLOOKUP(C5,Comunión!A:C,3,FALSE)=Table1[[#Headers],[Comunión]],Table1[[#Headers],[Comunión]],""),"")</f>
        <v/>
      </c>
      <c r="Q5" t="str">
        <f>IFERROR(IF(VLOOKUP(C5,Niños!A:C,3,FALSE)=Table1[[#Headers],[Niños]],Table1[[#Headers],[Niños]],""),"")</f>
        <v/>
      </c>
      <c r="R5" t="str">
        <f>IFERROR(IF(VLOOKUP(C5,Laudes!A:C,3,FALSE)=Table1[[#Headers],[Laudes]],Table1[[#Headers],[Laudes]],""),"")</f>
        <v/>
      </c>
      <c r="S5" t="str">
        <f>IFERROR(IF(VLOOKUP(C5,'Nuevo Testamento'!A:C,3,FALSE)=Table1[[#Headers],[Nuevo Testamento]],Table1[[#Headers],[Nuevo Testamento]],""),"")</f>
        <v>Nuevo Testamento</v>
      </c>
      <c r="T5" t="str">
        <f>IFERROR(IF(VLOOKUP(C5,'Antiguo Testamento'!A:C,3,FALSE)=Table1[[#Headers],[Antiguo Testamento]],Table1[[#Headers],[Antiguo Testamento]],""),"")</f>
        <v/>
      </c>
      <c r="U5" t="str">
        <f>IFERROR(IF(VLOOKUP(C5,Final!A:C,3,FALSE)=Table1[[#Headers],[Final]],Table1[[#Headers],[Final]],""),"")</f>
        <v/>
      </c>
      <c r="V5" t="str" cm="1">
        <f t="array" ref="V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/cantos/src/chtml/a/anadiedemosocasiondetropiezo.html</v>
      </c>
      <c r="W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{id:3,title: "A nadie demos ocasión de tropiezo", subtitle: "2ª Corintios 6,3ss", category: "Precatecumenado", moments: ["","","","","","","","","","","","","Nuevo Testamento","",""], url: "/cantos/src/chtml/a/anadiedemosocasiondetropiezo.html"},</v>
      </c>
    </row>
    <row r="6" spans="1:39" x14ac:dyDescent="0.25">
      <c r="A6">
        <v>3</v>
      </c>
      <c r="B6">
        <v>4</v>
      </c>
      <c r="C6" t="s">
        <v>3</v>
      </c>
      <c r="D6" t="s">
        <v>294</v>
      </c>
      <c r="E6" t="str">
        <f>LOWER(LEFT(Table1[[#This Row],[Canto]],1))</f>
        <v>a</v>
      </c>
      <c r="F6" t="s">
        <v>288</v>
      </c>
      <c r="G6" t="str">
        <f>IFERROR(IF(VLOOKUP(C6,Adviento!A:C,3,FALSE)=Table1[[#Headers],[Adviento]],Table1[[#Headers],[Adviento]],""),"")</f>
        <v/>
      </c>
      <c r="H6" t="str">
        <f>IFERROR(IF(VLOOKUP(C6,Navidad!A:C,3,FALSE)=Table1[[#Headers],[Navidad]],Table1[[#Headers],[Navidad]],""),"")</f>
        <v/>
      </c>
      <c r="I6" t="str">
        <f>IFERROR(IF(VLOOKUP(C6,Cuaresma!A:C,3,FALSE)=Table1[[#Headers],[Cuaresma]],Table1[[#Headers],[Cuaresma]],""),"")</f>
        <v>Cuaresma</v>
      </c>
      <c r="J6" t="str">
        <f>IFERROR(IF(VLOOKUP(C6,Pascua!A:C,3,FALSE)=Table1[[#Headers],[Pascua]],Table1[[#Headers],[Pascua]],""),"")</f>
        <v/>
      </c>
      <c r="K6" t="str">
        <f>IFERROR(IF(VLOOKUP(C6,Pentecostés!A:C,3,FALSE)=Table1[[#Headers],[Pentecostés]],Table1[[#Headers],[Pentecostés]],""),"")</f>
        <v/>
      </c>
      <c r="L6" t="str">
        <f>IFERROR(IF(VLOOKUP(C6,Entrada!A:C,3,FALSE)=Table1[[#Headers],[Entrada]],Table1[[#Headers],[Entrada]],""),"")</f>
        <v/>
      </c>
      <c r="M6" t="str">
        <f>IFERROR(IF(VLOOKUP(C6,Virgen!A:C,3,FALSE)=Table1[[#Headers],[Virgen]],Table1[[#Headers],[Virgen]],""),"")</f>
        <v/>
      </c>
      <c r="N6" t="str">
        <f>IFERROR(IF(VLOOKUP(C6,Paz!A:C,3,FALSE)=Table1[[#Headers],[Paz]],Table1[[#Headers],[Paz]],""),"")</f>
        <v/>
      </c>
      <c r="O6" t="str">
        <f>IFERROR(IF(VLOOKUP(C6,Pan!A:C,3,FALSE)=Table1[[#Headers],[Pan]],Table1[[#Headers],[Pan]],""),"")</f>
        <v/>
      </c>
      <c r="P6" t="str">
        <f>IFERROR(IF(VLOOKUP(C6,Comunión!A:C,3,FALSE)=Table1[[#Headers],[Comunión]],Table1[[#Headers],[Comunión]],""),"")</f>
        <v/>
      </c>
      <c r="Q6" t="str">
        <f>IFERROR(IF(VLOOKUP(C6,Niños!A:C,3,FALSE)=Table1[[#Headers],[Niños]],Table1[[#Headers],[Niños]],""),"")</f>
        <v/>
      </c>
      <c r="R6" t="str">
        <f>IFERROR(IF(VLOOKUP(C6,Laudes!A:C,3,FALSE)=Table1[[#Headers],[Laudes]],Table1[[#Headers],[Laudes]],""),"")</f>
        <v/>
      </c>
      <c r="S6" t="str">
        <f>IFERROR(IF(VLOOKUP(C6,'Nuevo Testamento'!A:C,3,FALSE)=Table1[[#Headers],[Nuevo Testamento]],Table1[[#Headers],[Nuevo Testamento]],""),"")</f>
        <v/>
      </c>
      <c r="T6" t="str">
        <f>IFERROR(IF(VLOOKUP(C6,'Antiguo Testamento'!A:C,3,FALSE)=Table1[[#Headers],[Antiguo Testamento]],Table1[[#Headers],[Antiguo Testamento]],""),"")</f>
        <v>Antiguo Testamento</v>
      </c>
      <c r="U6" t="str">
        <f>IFERROR(IF(VLOOKUP(C6,Final!A:C,3,FALSE)=Table1[[#Headers],[Final]],Table1[[#Headers],[Final]],""),"")</f>
        <v/>
      </c>
      <c r="V6" t="str" cm="1">
        <f t="array" ref="V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/cantos/src/chtml/a/atilevantomisojos.html</v>
      </c>
      <c r="W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{id:4,title: "A ti levanto mis ojos", subtitle: "Salmo 123 (122)", category: "Precatecumenado", moments: ["","","Cuaresma","","","","","","","","","","","Antiguo Testamento",""], url: "/cantos/src/chtml/a/atilevantomisojos.html"},</v>
      </c>
    </row>
    <row r="7" spans="1:39" x14ac:dyDescent="0.25">
      <c r="A7">
        <v>4</v>
      </c>
      <c r="B7">
        <v>5</v>
      </c>
      <c r="C7" t="s">
        <v>4</v>
      </c>
      <c r="D7" t="s">
        <v>295</v>
      </c>
      <c r="E7" t="str">
        <f>LOWER(LEFT(Table1[[#This Row],[Canto]],1))</f>
        <v>a</v>
      </c>
      <c r="F7" t="s">
        <v>288</v>
      </c>
      <c r="G7" t="str">
        <f>IFERROR(IF(VLOOKUP(C7,Adviento!A:C,3,FALSE)=Table1[[#Headers],[Adviento]],Table1[[#Headers],[Adviento]],""),"")</f>
        <v/>
      </c>
      <c r="H7" t="str">
        <f>IFERROR(IF(VLOOKUP(C7,Navidad!A:C,3,FALSE)=Table1[[#Headers],[Navidad]],Table1[[#Headers],[Navidad]],""),"")</f>
        <v/>
      </c>
      <c r="I7" t="str">
        <f>IFERROR(IF(VLOOKUP(C7,Cuaresma!A:C,3,FALSE)=Table1[[#Headers],[Cuaresma]],Table1[[#Headers],[Cuaresma]],""),"")</f>
        <v>Cuaresma</v>
      </c>
      <c r="J7" t="str">
        <f>IFERROR(IF(VLOOKUP(C7,Pascua!A:C,3,FALSE)=Table1[[#Headers],[Pascua]],Table1[[#Headers],[Pascua]],""),"")</f>
        <v/>
      </c>
      <c r="K7" t="str">
        <f>IFERROR(IF(VLOOKUP(C7,Pentecostés!A:C,3,FALSE)=Table1[[#Headers],[Pentecostés]],Table1[[#Headers],[Pentecostés]],""),"")</f>
        <v/>
      </c>
      <c r="L7" t="str">
        <f>IFERROR(IF(VLOOKUP(C7,Entrada!A:C,3,FALSE)=Table1[[#Headers],[Entrada]],Table1[[#Headers],[Entrada]],""),"")</f>
        <v/>
      </c>
      <c r="M7" t="str">
        <f>IFERROR(IF(VLOOKUP(C7,Virgen!A:C,3,FALSE)=Table1[[#Headers],[Virgen]],Table1[[#Headers],[Virgen]],""),"")</f>
        <v/>
      </c>
      <c r="N7" t="str">
        <f>IFERROR(IF(VLOOKUP(C7,Paz!A:C,3,FALSE)=Table1[[#Headers],[Paz]],Table1[[#Headers],[Paz]],""),"")</f>
        <v/>
      </c>
      <c r="O7" t="str">
        <f>IFERROR(IF(VLOOKUP(C7,Pan!A:C,3,FALSE)=Table1[[#Headers],[Pan]],Table1[[#Headers],[Pan]],""),"")</f>
        <v/>
      </c>
      <c r="P7" t="str">
        <f>IFERROR(IF(VLOOKUP(C7,Comunión!A:C,3,FALSE)=Table1[[#Headers],[Comunión]],Table1[[#Headers],[Comunión]],""),"")</f>
        <v/>
      </c>
      <c r="Q7" t="str">
        <f>IFERROR(IF(VLOOKUP(C7,Niños!A:C,3,FALSE)=Table1[[#Headers],[Niños]],Table1[[#Headers],[Niños]],""),"")</f>
        <v/>
      </c>
      <c r="R7" t="str">
        <f>IFERROR(IF(VLOOKUP(C7,Laudes!A:C,3,FALSE)=Table1[[#Headers],[Laudes]],Table1[[#Headers],[Laudes]],""),"")</f>
        <v/>
      </c>
      <c r="S7" t="str">
        <f>IFERROR(IF(VLOOKUP(C7,'Nuevo Testamento'!A:C,3,FALSE)=Table1[[#Headers],[Nuevo Testamento]],Table1[[#Headers],[Nuevo Testamento]],""),"")</f>
        <v/>
      </c>
      <c r="T7" t="str">
        <f>IFERROR(IF(VLOOKUP(C7,'Antiguo Testamento'!A:C,3,FALSE)=Table1[[#Headers],[Antiguo Testamento]],Table1[[#Headers],[Antiguo Testamento]],""),"")</f>
        <v>Antiguo Testamento</v>
      </c>
      <c r="U7" t="str">
        <f>IFERROR(IF(VLOOKUP(C7,Final!A:C,3,FALSE)=Table1[[#Headers],[Final]],Table1[[#Headers],[Final]],""),"")</f>
        <v/>
      </c>
      <c r="V7" t="str" cm="1">
        <f t="array" ref="V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/cantos/src/chtml/a/atisenorenmiclamorimploro.html</v>
      </c>
      <c r="W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{id:5,title: "A ti, Señor, en mi clamor imploro", subtitle: "Salmo 142 (141)", category: "Precatecumenado", moments: ["","","Cuaresma","","","","","","","","","","","Antiguo Testamento",""], url: "/cantos/src/chtml/a/atisenorenmiclamorimploro.html"},</v>
      </c>
    </row>
    <row r="8" spans="1:39" x14ac:dyDescent="0.25">
      <c r="A8">
        <v>5</v>
      </c>
      <c r="B8">
        <v>6</v>
      </c>
      <c r="C8" t="s">
        <v>5</v>
      </c>
      <c r="D8" t="s">
        <v>296</v>
      </c>
      <c r="E8" t="str">
        <f>LOWER(LEFT(Table1[[#This Row],[Canto]],1))</f>
        <v>a</v>
      </c>
      <c r="F8" t="s">
        <v>288</v>
      </c>
      <c r="G8" t="str">
        <f>IFERROR(IF(VLOOKUP(C8,Adviento!A:C,3,FALSE)=Table1[[#Headers],[Adviento]],Table1[[#Headers],[Adviento]],""),"")</f>
        <v/>
      </c>
      <c r="H8" t="str">
        <f>IFERROR(IF(VLOOKUP(C8,Navidad!A:C,3,FALSE)=Table1[[#Headers],[Navidad]],Table1[[#Headers],[Navidad]],""),"")</f>
        <v/>
      </c>
      <c r="I8" t="str">
        <f>IFERROR(IF(VLOOKUP(C8,Cuaresma!A:C,3,FALSE)=Table1[[#Headers],[Cuaresma]],Table1[[#Headers],[Cuaresma]],""),"")</f>
        <v>Cuaresma</v>
      </c>
      <c r="J8" t="str">
        <f>IFERROR(IF(VLOOKUP(C8,Pascua!A:C,3,FALSE)=Table1[[#Headers],[Pascua]],Table1[[#Headers],[Pascua]],""),"")</f>
        <v/>
      </c>
      <c r="K8" t="str">
        <f>IFERROR(IF(VLOOKUP(C8,Pentecostés!A:C,3,FALSE)=Table1[[#Headers],[Pentecostés]],Table1[[#Headers],[Pentecostés]],""),"")</f>
        <v/>
      </c>
      <c r="L8" t="str">
        <f>IFERROR(IF(VLOOKUP(C8,Entrada!A:C,3,FALSE)=Table1[[#Headers],[Entrada]],Table1[[#Headers],[Entrada]],""),"")</f>
        <v/>
      </c>
      <c r="M8" t="str">
        <f>IFERROR(IF(VLOOKUP(C8,Virgen!A:C,3,FALSE)=Table1[[#Headers],[Virgen]],Table1[[#Headers],[Virgen]],""),"")</f>
        <v/>
      </c>
      <c r="N8" t="str">
        <f>IFERROR(IF(VLOOKUP(C8,Paz!A:C,3,FALSE)=Table1[[#Headers],[Paz]],Table1[[#Headers],[Paz]],""),"")</f>
        <v/>
      </c>
      <c r="O8" t="str">
        <f>IFERROR(IF(VLOOKUP(C8,Pan!A:C,3,FALSE)=Table1[[#Headers],[Pan]],Table1[[#Headers],[Pan]],""),"")</f>
        <v/>
      </c>
      <c r="P8" t="str">
        <f>IFERROR(IF(VLOOKUP(C8,Comunión!A:C,3,FALSE)=Table1[[#Headers],[Comunión]],Table1[[#Headers],[Comunión]],""),"")</f>
        <v/>
      </c>
      <c r="Q8" t="str">
        <f>IFERROR(IF(VLOOKUP(C8,Niños!A:C,3,FALSE)=Table1[[#Headers],[Niños]],Table1[[#Headers],[Niños]],""),"")</f>
        <v/>
      </c>
      <c r="R8" t="str">
        <f>IFERROR(IF(VLOOKUP(C8,Laudes!A:C,3,FALSE)=Table1[[#Headers],[Laudes]],Table1[[#Headers],[Laudes]],""),"")</f>
        <v/>
      </c>
      <c r="S8" t="str">
        <f>IFERROR(IF(VLOOKUP(C8,'Nuevo Testamento'!A:C,3,FALSE)=Table1[[#Headers],[Nuevo Testamento]],Table1[[#Headers],[Nuevo Testamento]],""),"")</f>
        <v/>
      </c>
      <c r="T8" t="str">
        <f>IFERROR(IF(VLOOKUP(C8,'Antiguo Testamento'!A:C,3,FALSE)=Table1[[#Headers],[Antiguo Testamento]],Table1[[#Headers],[Antiguo Testamento]],""),"")</f>
        <v>Antiguo Testamento</v>
      </c>
      <c r="U8" t="str">
        <f>IFERROR(IF(VLOOKUP(C8,Final!A:C,3,FALSE)=Table1[[#Headers],[Final]],Table1[[#Headers],[Final]],""),"")</f>
        <v/>
      </c>
      <c r="V8" t="str" cm="1">
        <f t="array" ref="V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/cantos/src/chtml/a/atisenorlevantomialma.html</v>
      </c>
      <c r="W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{id:6,title: "A ti, Señor, levanto mi alma", subtitle: "Salmo 25 (24)", category: "Precatecumenado", moments: ["","","Cuaresma","","","","","","","","","","","Antiguo Testamento",""], url: "/cantos/src/chtml/a/atisenorlevantomialma.html"},</v>
      </c>
    </row>
    <row r="9" spans="1:39" x14ac:dyDescent="0.25">
      <c r="A9">
        <v>6</v>
      </c>
      <c r="B9">
        <v>7</v>
      </c>
      <c r="C9" t="s">
        <v>105</v>
      </c>
      <c r="D9" t="s">
        <v>297</v>
      </c>
      <c r="E9" t="str">
        <f>LOWER(LEFT(Table1[[#This Row],[Canto]],1))</f>
        <v>a</v>
      </c>
      <c r="F9" t="s">
        <v>288</v>
      </c>
      <c r="G9" t="str">
        <f>IFERROR(IF(VLOOKUP(C9,Adviento!A:C,3,FALSE)=Table1[[#Headers],[Adviento]],Table1[[#Headers],[Adviento]],""),"")</f>
        <v/>
      </c>
      <c r="H9" t="str">
        <f>IFERROR(IF(VLOOKUP(C9,Navidad!A:C,3,FALSE)=Table1[[#Headers],[Navidad]],Table1[[#Headers],[Navidad]],""),"")</f>
        <v/>
      </c>
      <c r="I9" t="str">
        <f>IFERROR(IF(VLOOKUP(C9,Cuaresma!A:C,3,FALSE)=Table1[[#Headers],[Cuaresma]],Table1[[#Headers],[Cuaresma]],""),"")</f>
        <v>Cuaresma</v>
      </c>
      <c r="J9" t="str">
        <f>IFERROR(IF(VLOOKUP(C9,Pascua!A:C,3,FALSE)=Table1[[#Headers],[Pascua]],Table1[[#Headers],[Pascua]],""),"")</f>
        <v/>
      </c>
      <c r="K9" t="str">
        <f>IFERROR(IF(VLOOKUP(C9,Pentecostés!A:C,3,FALSE)=Table1[[#Headers],[Pentecostés]],Table1[[#Headers],[Pentecostés]],""),"")</f>
        <v/>
      </c>
      <c r="L9" t="str">
        <f>IFERROR(IF(VLOOKUP(C9,Entrada!A:C,3,FALSE)=Table1[[#Headers],[Entrada]],Table1[[#Headers],[Entrada]],""),"")</f>
        <v/>
      </c>
      <c r="M9" t="str">
        <f>IFERROR(IF(VLOOKUP(C9,Virgen!A:C,3,FALSE)=Table1[[#Headers],[Virgen]],Table1[[#Headers],[Virgen]],""),"")</f>
        <v/>
      </c>
      <c r="N9" t="str">
        <f>IFERROR(IF(VLOOKUP(C9,Paz!A:C,3,FALSE)=Table1[[#Headers],[Paz]],Table1[[#Headers],[Paz]],""),"")</f>
        <v/>
      </c>
      <c r="O9" t="str">
        <f>IFERROR(IF(VLOOKUP(C9,Pan!A:C,3,FALSE)=Table1[[#Headers],[Pan]],Table1[[#Headers],[Pan]],""),"")</f>
        <v/>
      </c>
      <c r="P9" t="str">
        <f>IFERROR(IF(VLOOKUP(C9,Comunión!A:C,3,FALSE)=Table1[[#Headers],[Comunión]],Table1[[#Headers],[Comunión]],""),"")</f>
        <v/>
      </c>
      <c r="Q9" t="str">
        <f>IFERROR(IF(VLOOKUP(C9,Niños!A:C,3,FALSE)=Table1[[#Headers],[Niños]],Table1[[#Headers],[Niños]],""),"")</f>
        <v/>
      </c>
      <c r="R9" t="str">
        <f>IFERROR(IF(VLOOKUP(C9,Laudes!A:C,3,FALSE)=Table1[[#Headers],[Laudes]],Table1[[#Headers],[Laudes]],""),"")</f>
        <v>Laudes</v>
      </c>
      <c r="S9" t="str">
        <f>IFERROR(IF(VLOOKUP(C9,'Nuevo Testamento'!A:C,3,FALSE)=Table1[[#Headers],[Nuevo Testamento]],Table1[[#Headers],[Nuevo Testamento]],""),"")</f>
        <v/>
      </c>
      <c r="T9" t="str">
        <f>IFERROR(IF(VLOOKUP(C9,'Antiguo Testamento'!A:C,3,FALSE)=Table1[[#Headers],[Antiguo Testamento]],Table1[[#Headers],[Antiguo Testamento]],""),"")</f>
        <v>Antiguo Testamento</v>
      </c>
      <c r="U9" t="str">
        <f>IFERROR(IF(VLOOKUP(C9,Final!A:C,3,FALSE)=Table1[[#Headers],[Final]],Table1[[#Headers],[Final]],""),"")</f>
        <v/>
      </c>
      <c r="V9" t="str" cm="1">
        <f t="array" ref="V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/cantos/src/chtml/a/atisenorsedebelaalabanzaension.html</v>
      </c>
      <c r="W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{id:7,title: "A ti, Señor, se debe la alabanza en Sión", subtitle: "Salmo 65 (64)", category: "Precatecumenado", moments: ["","","Cuaresma","","","","","","","","","Laudes","","Antiguo Testamento",""], url: "/cantos/src/chtml/a/atisenorsedebelaalabanzaension.html"},</v>
      </c>
    </row>
    <row r="10" spans="1:39" x14ac:dyDescent="0.25">
      <c r="A10">
        <v>7</v>
      </c>
      <c r="B10">
        <v>8</v>
      </c>
      <c r="C10" t="s">
        <v>106</v>
      </c>
      <c r="D10" t="s">
        <v>298</v>
      </c>
      <c r="E10" t="str">
        <f>LOWER(LEFT(Table1[[#This Row],[Canto]],1))</f>
        <v>a</v>
      </c>
      <c r="F10" t="s">
        <v>288</v>
      </c>
      <c r="G10" t="str">
        <f>IFERROR(IF(VLOOKUP(C10,Adviento!A:C,3,FALSE)=Table1[[#Headers],[Adviento]],Table1[[#Headers],[Adviento]],""),"")</f>
        <v/>
      </c>
      <c r="H10" t="str">
        <f>IFERROR(IF(VLOOKUP(C10,Navidad!A:C,3,FALSE)=Table1[[#Headers],[Navidad]],Table1[[#Headers],[Navidad]],""),"")</f>
        <v/>
      </c>
      <c r="I10" t="str">
        <f>IFERROR(IF(VLOOKUP(C10,Cuaresma!A:C,3,FALSE)=Table1[[#Headers],[Cuaresma]],Table1[[#Headers],[Cuaresma]],""),"")</f>
        <v/>
      </c>
      <c r="J10" t="str">
        <f>IFERROR(IF(VLOOKUP(C10,Pascua!A:C,3,FALSE)=Table1[[#Headers],[Pascua]],Table1[[#Headers],[Pascua]],""),"")</f>
        <v>Pascua</v>
      </c>
      <c r="K10" t="str">
        <f>IFERROR(IF(VLOOKUP(C10,Pentecostés!A:C,3,FALSE)=Table1[[#Headers],[Pentecostés]],Table1[[#Headers],[Pentecostés]],""),"")</f>
        <v>Pentecostés</v>
      </c>
      <c r="L10" t="str">
        <f>IFERROR(IF(VLOOKUP(C10,Entrada!A:C,3,FALSE)=Table1[[#Headers],[Entrada]],Table1[[#Headers],[Entrada]],""),"")</f>
        <v>Entrada</v>
      </c>
      <c r="M10" t="str">
        <f>IFERROR(IF(VLOOKUP(C10,Virgen!A:C,3,FALSE)=Table1[[#Headers],[Virgen]],Table1[[#Headers],[Virgen]],""),"")</f>
        <v/>
      </c>
      <c r="N10" t="str">
        <f>IFERROR(IF(VLOOKUP(C10,Paz!A:C,3,FALSE)=Table1[[#Headers],[Paz]],Table1[[#Headers],[Paz]],""),"")</f>
        <v/>
      </c>
      <c r="O10" t="str">
        <f>IFERROR(IF(VLOOKUP(C10,Pan!A:C,3,FALSE)=Table1[[#Headers],[Pan]],Table1[[#Headers],[Pan]],""),"")</f>
        <v/>
      </c>
      <c r="P10" t="str">
        <f>IFERROR(IF(VLOOKUP(C10,Comunión!A:C,3,FALSE)=Table1[[#Headers],[Comunión]],Table1[[#Headers],[Comunión]],""),"")</f>
        <v/>
      </c>
      <c r="Q10" t="str">
        <f>IFERROR(IF(VLOOKUP(C10,Niños!A:C,3,FALSE)=Table1[[#Headers],[Niños]],Table1[[#Headers],[Niños]],""),"")</f>
        <v/>
      </c>
      <c r="R10" t="str">
        <f>IFERROR(IF(VLOOKUP(C10,Laudes!A:C,3,FALSE)=Table1[[#Headers],[Laudes]],Table1[[#Headers],[Laudes]],""),"")</f>
        <v>Laudes</v>
      </c>
      <c r="S10" t="str">
        <f>IFERROR(IF(VLOOKUP(C10,'Nuevo Testamento'!A:C,3,FALSE)=Table1[[#Headers],[Nuevo Testamento]],Table1[[#Headers],[Nuevo Testamento]],""),"")</f>
        <v>Nuevo Testamento</v>
      </c>
      <c r="T10" t="str">
        <f>IFERROR(IF(VLOOKUP(C10,'Antiguo Testamento'!A:C,3,FALSE)=Table1[[#Headers],[Antiguo Testamento]],Table1[[#Headers],[Antiguo Testamento]],""),"")</f>
        <v/>
      </c>
      <c r="U10" t="str">
        <f>IFERROR(IF(VLOOKUP(C10,Final!A:C,3,FALSE)=Table1[[#Headers],[Final]],Table1[[#Headers],[Final]],""),"")</f>
        <v/>
      </c>
      <c r="V10" t="str" cm="1">
        <f t="array" ref="V1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/cantos/src/chtml/a/abbapadre.html</v>
      </c>
      <c r="W1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{id:8,title: "Abbá, Padre", subtitle: "Romanos 8,15–17", category: "Precatecumenado", moments: ["","","","Pascua","Pentecostés","Entrada","","","","","","Laudes","Nuevo Testamento","",""], url: "/cantos/src/chtml/a/abbapadre.html"},</v>
      </c>
    </row>
    <row r="11" spans="1:39" x14ac:dyDescent="0.25">
      <c r="A11">
        <v>8</v>
      </c>
      <c r="B11">
        <v>9</v>
      </c>
      <c r="C11" t="s">
        <v>107</v>
      </c>
      <c r="D11" t="s">
        <v>299</v>
      </c>
      <c r="E11" t="str">
        <f>LOWER(LEFT(Table1[[#This Row],[Canto]],1))</f>
        <v>a</v>
      </c>
      <c r="F11" t="s">
        <v>288</v>
      </c>
      <c r="G11" t="str">
        <f>IFERROR(IF(VLOOKUP(C11,Adviento!A:C,3,FALSE)=Table1[[#Headers],[Adviento]],Table1[[#Headers],[Adviento]],""),"")</f>
        <v/>
      </c>
      <c r="H11" t="str">
        <f>IFERROR(IF(VLOOKUP(C11,Navidad!A:C,3,FALSE)=Table1[[#Headers],[Navidad]],Table1[[#Headers],[Navidad]],""),"")</f>
        <v/>
      </c>
      <c r="I11" t="str">
        <f>IFERROR(IF(VLOOKUP(C11,Cuaresma!A:C,3,FALSE)=Table1[[#Headers],[Cuaresma]],Table1[[#Headers],[Cuaresma]],""),"")</f>
        <v/>
      </c>
      <c r="J11" t="str">
        <f>IFERROR(IF(VLOOKUP(C11,Pascua!A:C,3,FALSE)=Table1[[#Headers],[Pascua]],Table1[[#Headers],[Pascua]],""),"")</f>
        <v/>
      </c>
      <c r="K11" t="str">
        <f>IFERROR(IF(VLOOKUP(C11,Pentecostés!A:C,3,FALSE)=Table1[[#Headers],[Pentecostés]],Table1[[#Headers],[Pentecostés]],""),"")</f>
        <v/>
      </c>
      <c r="L11" t="str">
        <f>IFERROR(IF(VLOOKUP(C11,Entrada!A:C,3,FALSE)=Table1[[#Headers],[Entrada]],Table1[[#Headers],[Entrada]],""),"")</f>
        <v>Entrada</v>
      </c>
      <c r="M11" t="str">
        <f>IFERROR(IF(VLOOKUP(C11,Virgen!A:C,3,FALSE)=Table1[[#Headers],[Virgen]],Table1[[#Headers],[Virgen]],""),"")</f>
        <v/>
      </c>
      <c r="N11" t="str">
        <f>IFERROR(IF(VLOOKUP(C11,Paz!A:C,3,FALSE)=Table1[[#Headers],[Paz]],Table1[[#Headers],[Paz]],""),"")</f>
        <v/>
      </c>
      <c r="O11" t="str">
        <f>IFERROR(IF(VLOOKUP(C11,Pan!A:C,3,FALSE)=Table1[[#Headers],[Pan]],Table1[[#Headers],[Pan]],""),"")</f>
        <v/>
      </c>
      <c r="P11" t="str">
        <f>IFERROR(IF(VLOOKUP(C11,Comunión!A:C,3,FALSE)=Table1[[#Headers],[Comunión]],Table1[[#Headers],[Comunión]],""),"")</f>
        <v/>
      </c>
      <c r="Q11" t="str">
        <f>IFERROR(IF(VLOOKUP(C11,Niños!A:C,3,FALSE)=Table1[[#Headers],[Niños]],Table1[[#Headers],[Niños]],""),"")</f>
        <v/>
      </c>
      <c r="R11" t="str">
        <f>IFERROR(IF(VLOOKUP(C11,Laudes!A:C,3,FALSE)=Table1[[#Headers],[Laudes]],Table1[[#Headers],[Laudes]],""),"")</f>
        <v>Laudes</v>
      </c>
      <c r="S11" t="str">
        <f>IFERROR(IF(VLOOKUP(C11,'Nuevo Testamento'!A:C,3,FALSE)=Table1[[#Headers],[Nuevo Testamento]],Table1[[#Headers],[Nuevo Testamento]],""),"")</f>
        <v/>
      </c>
      <c r="T11" t="str">
        <f>IFERROR(IF(VLOOKUP(C11,'Antiguo Testamento'!A:C,3,FALSE)=Table1[[#Headers],[Antiguo Testamento]],Table1[[#Headers],[Antiguo Testamento]],""),"")</f>
        <v>Antiguo Testamento</v>
      </c>
      <c r="U11" t="str">
        <f>IFERROR(IF(VLOOKUP(C11,Final!A:C,3,FALSE)=Table1[[#Headers],[Final]],Table1[[#Headers],[Final]],""),"")</f>
        <v/>
      </c>
      <c r="V11" t="str" cm="1">
        <f t="array" ref="V1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/cantos/src/chtml/a/abraham.html</v>
      </c>
      <c r="W1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{id:9,title: "Abraham", subtitle: "Génesis 18,1–5 – Teofanía de Mambré", category: "Precatecumenado", moments: ["","","","","","Entrada","","","","","","Laudes","","Antiguo Testamento",""], url: "/cantos/src/chtml/a/abraham.html"},</v>
      </c>
    </row>
    <row r="12" spans="1:39" x14ac:dyDescent="0.25">
      <c r="A12">
        <v>179</v>
      </c>
      <c r="B12">
        <v>10</v>
      </c>
      <c r="C12" s="3" t="s">
        <v>108</v>
      </c>
      <c r="D12" t="s">
        <v>300</v>
      </c>
      <c r="E12" t="str">
        <f>LOWER(LEFT(Table1[[#This Row],[Canto]],1))</f>
        <v>a</v>
      </c>
      <c r="F12" s="12" t="s">
        <v>289</v>
      </c>
      <c r="G12" t="str">
        <f>IFERROR(IF(VLOOKUP(C12,Adviento!A:C,3,FALSE)=Table1[[#Headers],[Adviento]],Table1[[#Headers],[Adviento]],""),"")</f>
        <v/>
      </c>
      <c r="H12" t="str">
        <f>IFERROR(IF(VLOOKUP(C12,Navidad!A:C,3,FALSE)=Table1[[#Headers],[Navidad]],Table1[[#Headers],[Navidad]],""),"")</f>
        <v/>
      </c>
      <c r="I12" t="str">
        <f>IFERROR(IF(VLOOKUP(C12,Cuaresma!A:C,3,FALSE)=Table1[[#Headers],[Cuaresma]],Table1[[#Headers],[Cuaresma]],""),"")</f>
        <v/>
      </c>
      <c r="J12" t="str">
        <f>IFERROR(IF(VLOOKUP(C12,Pascua!A:C,3,FALSE)=Table1[[#Headers],[Pascua]],Table1[[#Headers],[Pascua]],""),"")</f>
        <v/>
      </c>
      <c r="K12" t="str">
        <f>IFERROR(IF(VLOOKUP(C12,Pentecostés!A:C,3,FALSE)=Table1[[#Headers],[Pentecostés]],Table1[[#Headers],[Pentecostés]],""),"")</f>
        <v/>
      </c>
      <c r="L12" t="str">
        <f>IFERROR(IF(VLOOKUP(C12,Entrada!A:C,3,FALSE)=Table1[[#Headers],[Entrada]],Table1[[#Headers],[Entrada]],""),"")</f>
        <v/>
      </c>
      <c r="M12" t="str">
        <f>IFERROR(IF(VLOOKUP(C12,Virgen!A:C,3,FALSE)=Table1[[#Headers],[Virgen]],Table1[[#Headers],[Virgen]],""),"")</f>
        <v/>
      </c>
      <c r="N12" t="str">
        <f>IFERROR(IF(VLOOKUP(C12,Paz!A:C,3,FALSE)=Table1[[#Headers],[Paz]],Table1[[#Headers],[Paz]],""),"")</f>
        <v/>
      </c>
      <c r="O12" t="str">
        <f>IFERROR(IF(VLOOKUP(C12,Pan!A:C,3,FALSE)=Table1[[#Headers],[Pan]],Table1[[#Headers],[Pan]],""),"")</f>
        <v/>
      </c>
      <c r="P12" t="str">
        <f>IFERROR(IF(VLOOKUP(C12,Comunión!A:C,3,FALSE)=Table1[[#Headers],[Comunión]],Table1[[#Headers],[Comunión]],""),"")</f>
        <v/>
      </c>
      <c r="Q12" t="str">
        <f>IFERROR(IF(VLOOKUP(C12,Niños!A:C,3,FALSE)=Table1[[#Headers],[Niños]],Table1[[#Headers],[Niños]],""),"")</f>
        <v/>
      </c>
      <c r="R12" t="str">
        <f>IFERROR(IF(VLOOKUP(C12,Laudes!A:C,3,FALSE)=Table1[[#Headers],[Laudes]],Table1[[#Headers],[Laudes]],""),"")</f>
        <v/>
      </c>
      <c r="S12" t="str">
        <f>IFERROR(IF(VLOOKUP(C12,'Nuevo Testamento'!A:C,3,FALSE)=Table1[[#Headers],[Nuevo Testamento]],Table1[[#Headers],[Nuevo Testamento]],""),"")</f>
        <v/>
      </c>
      <c r="T12" t="str">
        <f>IFERROR(IF(VLOOKUP(C12,'Antiguo Testamento'!A:C,3,FALSE)=Table1[[#Headers],[Antiguo Testamento]],Table1[[#Headers],[Antiguo Testamento]],""),"")</f>
        <v/>
      </c>
      <c r="U12" t="str">
        <f>IFERROR(IF(VLOOKUP(C12,Final!A:C,3,FALSE)=Table1[[#Headers],[Final]],Table1[[#Headers],[Final]],""),"")</f>
        <v/>
      </c>
      <c r="V12" t="str" cm="1">
        <f t="array" ref="V1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/cantos/src/chtml/a/aclamacionesalaoraciondelosfieles.html</v>
      </c>
      <c r="W1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{id:10,title: "Aclamaciones a la oración de los fieles", subtitle: "Respuestas a las oraciones de los fieles, Modelo I, II, III, IV", category: "Liturgia", moments: ["","","","","","","","","","","","","","",""], url: "/cantos/src/chtml/a/aclamacionesalaoraciondelosfieles.html"},</v>
      </c>
    </row>
    <row r="13" spans="1:39" x14ac:dyDescent="0.25">
      <c r="A13">
        <v>9</v>
      </c>
      <c r="B13">
        <v>11</v>
      </c>
      <c r="C13" t="s">
        <v>6</v>
      </c>
      <c r="D13" t="s">
        <v>301</v>
      </c>
      <c r="E13" t="str">
        <f>LOWER(LEFT(Table1[[#This Row],[Canto]],1))</f>
        <v>a</v>
      </c>
      <c r="F13" t="s">
        <v>288</v>
      </c>
      <c r="G13" t="str">
        <f>IFERROR(IF(VLOOKUP(C13,Adviento!A:C,3,FALSE)=Table1[[#Headers],[Adviento]],Table1[[#Headers],[Adviento]],""),"")</f>
        <v/>
      </c>
      <c r="H13" t="str">
        <f>IFERROR(IF(VLOOKUP(C13,Navidad!A:C,3,FALSE)=Table1[[#Headers],[Navidad]],Table1[[#Headers],[Navidad]],""),"")</f>
        <v/>
      </c>
      <c r="I13" t="str">
        <f>IFERROR(IF(VLOOKUP(C13,Cuaresma!A:C,3,FALSE)=Table1[[#Headers],[Cuaresma]],Table1[[#Headers],[Cuaresma]],""),"")</f>
        <v/>
      </c>
      <c r="J13" t="str">
        <f>IFERROR(IF(VLOOKUP(C13,Pascua!A:C,3,FALSE)=Table1[[#Headers],[Pascua]],Table1[[#Headers],[Pascua]],""),"")</f>
        <v/>
      </c>
      <c r="K13" t="str">
        <f>IFERROR(IF(VLOOKUP(C13,Pentecostés!A:C,3,FALSE)=Table1[[#Headers],[Pentecostés]],Table1[[#Headers],[Pentecostés]],""),"")</f>
        <v/>
      </c>
      <c r="L13" t="str">
        <f>IFERROR(IF(VLOOKUP(C13,Entrada!A:C,3,FALSE)=Table1[[#Headers],[Entrada]],Table1[[#Headers],[Entrada]],""),"")</f>
        <v>Entrada</v>
      </c>
      <c r="M13" t="str">
        <f>IFERROR(IF(VLOOKUP(C13,Virgen!A:C,3,FALSE)=Table1[[#Headers],[Virgen]],Table1[[#Headers],[Virgen]],""),"")</f>
        <v/>
      </c>
      <c r="N13" t="str">
        <f>IFERROR(IF(VLOOKUP(C13,Paz!A:C,3,FALSE)=Table1[[#Headers],[Paz]],Table1[[#Headers],[Paz]],""),"")</f>
        <v/>
      </c>
      <c r="O13" t="str">
        <f>IFERROR(IF(VLOOKUP(C13,Pan!A:C,3,FALSE)=Table1[[#Headers],[Pan]],Table1[[#Headers],[Pan]],""),"")</f>
        <v/>
      </c>
      <c r="P13" t="str">
        <f>IFERROR(IF(VLOOKUP(C13,Comunión!A:C,3,FALSE)=Table1[[#Headers],[Comunión]],Table1[[#Headers],[Comunión]],""),"")</f>
        <v/>
      </c>
      <c r="Q13" t="str">
        <f>IFERROR(IF(VLOOKUP(C13,Niños!A:C,3,FALSE)=Table1[[#Headers],[Niños]],Table1[[#Headers],[Niños]],""),"")</f>
        <v/>
      </c>
      <c r="R13" t="str">
        <f>IFERROR(IF(VLOOKUP(C13,Laudes!A:C,3,FALSE)=Table1[[#Headers],[Laudes]],Table1[[#Headers],[Laudes]],""),"")</f>
        <v>Laudes</v>
      </c>
      <c r="S13" t="str">
        <f>IFERROR(IF(VLOOKUP(C13,'Nuevo Testamento'!A:C,3,FALSE)=Table1[[#Headers],[Nuevo Testamento]],Table1[[#Headers],[Nuevo Testamento]],""),"")</f>
        <v/>
      </c>
      <c r="T13" t="str">
        <f>IFERROR(IF(VLOOKUP(C13,'Antiguo Testamento'!A:C,3,FALSE)=Table1[[#Headers],[Antiguo Testamento]],Table1[[#Headers],[Antiguo Testamento]],""),"")</f>
        <v>Antiguo Testamento</v>
      </c>
      <c r="U13" t="str">
        <f>IFERROR(IF(VLOOKUP(C13,Final!A:C,3,FALSE)=Table1[[#Headers],[Final]],Table1[[#Headers],[Final]],""),"")</f>
        <v/>
      </c>
      <c r="V13" t="str" cm="1">
        <f t="array" ref="V1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/cantos/src/chtml/a/aclamadalsenor.html</v>
      </c>
      <c r="W1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{id:11,title: "Aclamad al Señor", subtitle: "Salmo 100 (99)", category: "Precatecumenado", moments: ["","","","","","Entrada","","","","","","Laudes","","Antiguo Testamento",""], url: "/cantos/src/chtml/a/aclamadalsenor.html"},</v>
      </c>
    </row>
    <row r="14" spans="1:39" x14ac:dyDescent="0.25">
      <c r="A14">
        <v>238</v>
      </c>
      <c r="B14">
        <v>12</v>
      </c>
      <c r="C14" t="s">
        <v>109</v>
      </c>
      <c r="D14" t="s">
        <v>302</v>
      </c>
      <c r="E14" t="str">
        <f>LOWER(LEFT(Table1[[#This Row],[Canto]],1))</f>
        <v>a</v>
      </c>
      <c r="F14" s="11" t="s">
        <v>287</v>
      </c>
      <c r="G14" t="str">
        <f>IFERROR(IF(VLOOKUP(C14,Adviento!A:C,3,FALSE)=Table1[[#Headers],[Adviento]],Table1[[#Headers],[Adviento]],""),"")</f>
        <v/>
      </c>
      <c r="H14" t="str">
        <f>IFERROR(IF(VLOOKUP(C14,Navidad!A:C,3,FALSE)=Table1[[#Headers],[Navidad]],Table1[[#Headers],[Navidad]],""),"")</f>
        <v/>
      </c>
      <c r="I14" t="str">
        <f>IFERROR(IF(VLOOKUP(C14,Cuaresma!A:C,3,FALSE)=Table1[[#Headers],[Cuaresma]],Table1[[#Headers],[Cuaresma]],""),"")</f>
        <v/>
      </c>
      <c r="J14" t="str">
        <f>IFERROR(IF(VLOOKUP(C14,Pascua!A:C,3,FALSE)=Table1[[#Headers],[Pascua]],Table1[[#Headers],[Pascua]],""),"")</f>
        <v/>
      </c>
      <c r="K14" t="str">
        <f>IFERROR(IF(VLOOKUP(C14,Pentecostés!A:C,3,FALSE)=Table1[[#Headers],[Pentecostés]],Table1[[#Headers],[Pentecostés]],""),"")</f>
        <v/>
      </c>
      <c r="L14" t="str">
        <f>IFERROR(IF(VLOOKUP(C14,Entrada!A:C,3,FALSE)=Table1[[#Headers],[Entrada]],Table1[[#Headers],[Entrada]],""),"")</f>
        <v/>
      </c>
      <c r="M14" t="str">
        <f>IFERROR(IF(VLOOKUP(C14,Virgen!A:C,3,FALSE)=Table1[[#Headers],[Virgen]],Table1[[#Headers],[Virgen]],""),"")</f>
        <v/>
      </c>
      <c r="N14" t="str">
        <f>IFERROR(IF(VLOOKUP(C14,Paz!A:C,3,FALSE)=Table1[[#Headers],[Paz]],Table1[[#Headers],[Paz]],""),"")</f>
        <v/>
      </c>
      <c r="O14" t="str">
        <f>IFERROR(IF(VLOOKUP(C14,Pan!A:C,3,FALSE)=Table1[[#Headers],[Pan]],Table1[[#Headers],[Pan]],""),"")</f>
        <v/>
      </c>
      <c r="P14" t="str">
        <f>IFERROR(IF(VLOOKUP(C14,Comunión!A:C,3,FALSE)=Table1[[#Headers],[Comunión]],Table1[[#Headers],[Comunión]],""),"")</f>
        <v/>
      </c>
      <c r="Q14" t="str">
        <f>IFERROR(IF(VLOOKUP(C14,Niños!A:C,3,FALSE)=Table1[[#Headers],[Niños]],Table1[[#Headers],[Niños]],""),"")</f>
        <v/>
      </c>
      <c r="R14" t="str">
        <f>IFERROR(IF(VLOOKUP(C14,Laudes!A:C,3,FALSE)=Table1[[#Headers],[Laudes]],Table1[[#Headers],[Laudes]],""),"")</f>
        <v/>
      </c>
      <c r="S14" t="str">
        <f>IFERROR(IF(VLOOKUP(C14,'Nuevo Testamento'!A:C,3,FALSE)=Table1[[#Headers],[Nuevo Testamento]],Table1[[#Headers],[Nuevo Testamento]],""),"")</f>
        <v/>
      </c>
      <c r="T14" t="str">
        <f>IFERROR(IF(VLOOKUP(C14,'Antiguo Testamento'!A:C,3,FALSE)=Table1[[#Headers],[Antiguo Testamento]],Table1[[#Headers],[Antiguo Testamento]],""),"")</f>
        <v/>
      </c>
      <c r="U14" t="str">
        <f>IFERROR(IF(VLOOKUP(C14,Final!A:C,3,FALSE)=Table1[[#Headers],[Final]],Table1[[#Headers],[Final]],""),"")</f>
        <v/>
      </c>
      <c r="V14" t="str" cm="1">
        <f t="array" ref="V1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/cantos/src/chtml/a/adondeteescondisteamado.html</v>
      </c>
      <c r="W1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{id:12,title: "Adónde te escondiste, Amado", subtitle: "Cántico espiritual (San Juan de la Cruz) ", category: "Eleccion", moments: ["","","","","","","","","","","","","","",""], url: "/cantos/src/chtml/a/adondeteescondisteamado.html"},</v>
      </c>
    </row>
    <row r="15" spans="1:39" x14ac:dyDescent="0.25">
      <c r="A15">
        <v>10</v>
      </c>
      <c r="B15">
        <v>13</v>
      </c>
      <c r="C15" t="s">
        <v>7</v>
      </c>
      <c r="D15" t="s">
        <v>303</v>
      </c>
      <c r="E15" t="str">
        <f>LOWER(LEFT(Table1[[#This Row],[Canto]],1))</f>
        <v>a</v>
      </c>
      <c r="F15" t="s">
        <v>288</v>
      </c>
      <c r="G15" t="str">
        <f>IFERROR(IF(VLOOKUP(C15,Adviento!A:C,3,FALSE)=Table1[[#Headers],[Adviento]],Table1[[#Headers],[Adviento]],""),"")</f>
        <v/>
      </c>
      <c r="H15" t="str">
        <f>IFERROR(IF(VLOOKUP(C15,Navidad!A:C,3,FALSE)=Table1[[#Headers],[Navidad]],Table1[[#Headers],[Navidad]],""),"")</f>
        <v/>
      </c>
      <c r="I15" t="str">
        <f>IFERROR(IF(VLOOKUP(C15,Cuaresma!A:C,3,FALSE)=Table1[[#Headers],[Cuaresma]],Table1[[#Headers],[Cuaresma]],""),"")</f>
        <v>Cuaresma</v>
      </c>
      <c r="J15" t="str">
        <f>IFERROR(IF(VLOOKUP(C15,Pascua!A:C,3,FALSE)=Table1[[#Headers],[Pascua]],Table1[[#Headers],[Pascua]],""),"")</f>
        <v/>
      </c>
      <c r="K15" t="str">
        <f>IFERROR(IF(VLOOKUP(C15,Pentecostés!A:C,3,FALSE)=Table1[[#Headers],[Pentecostés]],Table1[[#Headers],[Pentecostés]],""),"")</f>
        <v/>
      </c>
      <c r="L15" t="str">
        <f>IFERROR(IF(VLOOKUP(C15,Entrada!A:C,3,FALSE)=Table1[[#Headers],[Entrada]],Table1[[#Headers],[Entrada]],""),"")</f>
        <v/>
      </c>
      <c r="M15" t="str">
        <f>IFERROR(IF(VLOOKUP(C15,Virgen!A:C,3,FALSE)=Table1[[#Headers],[Virgen]],Table1[[#Headers],[Virgen]],""),"")</f>
        <v/>
      </c>
      <c r="N15" t="str">
        <f>IFERROR(IF(VLOOKUP(C15,Paz!A:C,3,FALSE)=Table1[[#Headers],[Paz]],Table1[[#Headers],[Paz]],""),"")</f>
        <v/>
      </c>
      <c r="O15" t="str">
        <f>IFERROR(IF(VLOOKUP(C15,Pan!A:C,3,FALSE)=Table1[[#Headers],[Pan]],Table1[[#Headers],[Pan]],""),"")</f>
        <v/>
      </c>
      <c r="P15" t="str">
        <f>IFERROR(IF(VLOOKUP(C15,Comunión!A:C,3,FALSE)=Table1[[#Headers],[Comunión]],Table1[[#Headers],[Comunión]],""),"")</f>
        <v/>
      </c>
      <c r="Q15" t="str">
        <f>IFERROR(IF(VLOOKUP(C15,Niños!A:C,3,FALSE)=Table1[[#Headers],[Niños]],Table1[[#Headers],[Niños]],""),"")</f>
        <v/>
      </c>
      <c r="R15" t="str">
        <f>IFERROR(IF(VLOOKUP(C15,Laudes!A:C,3,FALSE)=Table1[[#Headers],[Laudes]],Table1[[#Headers],[Laudes]],""),"")</f>
        <v>Laudes</v>
      </c>
      <c r="S15" t="str">
        <f>IFERROR(IF(VLOOKUP(C15,'Nuevo Testamento'!A:C,3,FALSE)=Table1[[#Headers],[Nuevo Testamento]],Table1[[#Headers],[Nuevo Testamento]],""),"")</f>
        <v/>
      </c>
      <c r="T15" t="str">
        <f>IFERROR(IF(VLOOKUP(C15,'Antiguo Testamento'!A:C,3,FALSE)=Table1[[#Headers],[Antiguo Testamento]],Table1[[#Headers],[Antiguo Testamento]],""),"")</f>
        <v>Antiguo Testamento</v>
      </c>
      <c r="U15" t="str">
        <f>IFERROR(IF(VLOOKUP(C15,Final!A:C,3,FALSE)=Table1[[#Headers],[Final]],Table1[[#Headers],[Final]],""),"")</f>
        <v/>
      </c>
      <c r="V15" t="str" cm="1">
        <f t="array" ref="V1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/cantos/src/chtml/a/aldespertar.html</v>
      </c>
      <c r="W1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{id:13,title: "Al despertar", subtitle: "Salmo 17 (16) ", category: "Precatecumenado", moments: ["","","Cuaresma","","","","","","","","","Laudes","","Antiguo Testamento",""], url: "/cantos/src/chtml/a/aldespertar.html"},</v>
      </c>
    </row>
    <row r="16" spans="1:39" x14ac:dyDescent="0.25">
      <c r="A16">
        <v>11</v>
      </c>
      <c r="B16">
        <v>14</v>
      </c>
      <c r="C16" t="s">
        <v>8</v>
      </c>
      <c r="D16" t="s">
        <v>304</v>
      </c>
      <c r="E16" t="str">
        <f>LOWER(LEFT(Table1[[#This Row],[Canto]],1))</f>
        <v>a</v>
      </c>
      <c r="F16" t="s">
        <v>288</v>
      </c>
      <c r="G16" t="str">
        <f>IFERROR(IF(VLOOKUP(C16,Adviento!A:C,3,FALSE)=Table1[[#Headers],[Adviento]],Table1[[#Headers],[Adviento]],""),"")</f>
        <v/>
      </c>
      <c r="H16" t="str">
        <f>IFERROR(IF(VLOOKUP(C16,Navidad!A:C,3,FALSE)=Table1[[#Headers],[Navidad]],Table1[[#Headers],[Navidad]],""),"")</f>
        <v/>
      </c>
      <c r="I16" t="str">
        <f>IFERROR(IF(VLOOKUP(C16,Cuaresma!A:C,3,FALSE)=Table1[[#Headers],[Cuaresma]],Table1[[#Headers],[Cuaresma]],""),"")</f>
        <v/>
      </c>
      <c r="J16" t="str">
        <f>IFERROR(IF(VLOOKUP(C16,Pascua!A:C,3,FALSE)=Table1[[#Headers],[Pascua]],Table1[[#Headers],[Pascua]],""),"")</f>
        <v/>
      </c>
      <c r="K16" t="str">
        <f>IFERROR(IF(VLOOKUP(C16,Pentecostés!A:C,3,FALSE)=Table1[[#Headers],[Pentecostés]],Table1[[#Headers],[Pentecostés]],""),"")</f>
        <v/>
      </c>
      <c r="L16" t="str">
        <f>IFERROR(IF(VLOOKUP(C16,Entrada!A:C,3,FALSE)=Table1[[#Headers],[Entrada]],Table1[[#Headers],[Entrada]],""),"")</f>
        <v/>
      </c>
      <c r="M16" t="str">
        <f>IFERROR(IF(VLOOKUP(C16,Virgen!A:C,3,FALSE)=Table1[[#Headers],[Virgen]],Table1[[#Headers],[Virgen]],""),"")</f>
        <v/>
      </c>
      <c r="N16" t="str">
        <f>IFERROR(IF(VLOOKUP(C16,Paz!A:C,3,FALSE)=Table1[[#Headers],[Paz]],Table1[[#Headers],[Paz]],""),"")</f>
        <v/>
      </c>
      <c r="O16" t="str">
        <f>IFERROR(IF(VLOOKUP(C16,Pan!A:C,3,FALSE)=Table1[[#Headers],[Pan]],Table1[[#Headers],[Pan]],""),"")</f>
        <v/>
      </c>
      <c r="P16" t="str">
        <f>IFERROR(IF(VLOOKUP(C16,Comunión!A:C,3,FALSE)=Table1[[#Headers],[Comunión]],Table1[[#Headers],[Comunión]],""),"")</f>
        <v/>
      </c>
      <c r="Q16" t="str">
        <f>IFERROR(IF(VLOOKUP(C16,Niños!A:C,3,FALSE)=Table1[[#Headers],[Niños]],Table1[[#Headers],[Niños]],""),"")</f>
        <v/>
      </c>
      <c r="R16" t="str">
        <f>IFERROR(IF(VLOOKUP(C16,Laudes!A:C,3,FALSE)=Table1[[#Headers],[Laudes]],Table1[[#Headers],[Laudes]],""),"")</f>
        <v>Laudes</v>
      </c>
      <c r="S16" t="str">
        <f>IFERROR(IF(VLOOKUP(C16,'Nuevo Testamento'!A:C,3,FALSE)=Table1[[#Headers],[Nuevo Testamento]],Table1[[#Headers],[Nuevo Testamento]],""),"")</f>
        <v/>
      </c>
      <c r="T16" t="str">
        <f>IFERROR(IF(VLOOKUP(C16,'Antiguo Testamento'!A:C,3,FALSE)=Table1[[#Headers],[Antiguo Testamento]],Table1[[#Headers],[Antiguo Testamento]],""),"")</f>
        <v>Antiguo Testamento</v>
      </c>
      <c r="U16" t="str">
        <f>IFERROR(IF(VLOOKUP(C16,Final!A:C,3,FALSE)=Table1[[#Headers],[Final]],Table1[[#Headers],[Final]],""),"")</f>
        <v/>
      </c>
      <c r="V16" t="str" cm="1">
        <f t="array" ref="V1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/cantos/src/chtml/a/alabadalsenorenelcielo.html</v>
      </c>
      <c r="W1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{id:14,title: "Alabad al Señor en el cielo", subtitle: "Salmo 148 ", category: "Precatecumenado", moments: ["","","","","","","","","","","","Laudes","","Antiguo Testamento",""], url: "/cantos/src/chtml/a/alabadalsenorenelcielo.html"},</v>
      </c>
    </row>
    <row r="17" spans="1:23" x14ac:dyDescent="0.25">
      <c r="A17">
        <v>12</v>
      </c>
      <c r="B17">
        <v>15</v>
      </c>
      <c r="C17" t="s">
        <v>110</v>
      </c>
      <c r="D17" t="s">
        <v>305</v>
      </c>
      <c r="E17" t="str">
        <f>LOWER(LEFT(Table1[[#This Row],[Canto]],1))</f>
        <v>a</v>
      </c>
      <c r="F17" t="s">
        <v>288</v>
      </c>
      <c r="G17" t="str">
        <f>IFERROR(IF(VLOOKUP(C17,Adviento!A:C,3,FALSE)=Table1[[#Headers],[Adviento]],Table1[[#Headers],[Adviento]],""),"")</f>
        <v>Adviento</v>
      </c>
      <c r="H17" t="str">
        <f>IFERROR(IF(VLOOKUP(C17,Navidad!A:C,3,FALSE)=Table1[[#Headers],[Navidad]],Table1[[#Headers],[Navidad]],""),"")</f>
        <v>Navidad</v>
      </c>
      <c r="I17" t="str">
        <f>IFERROR(IF(VLOOKUP(C17,Cuaresma!A:C,3,FALSE)=Table1[[#Headers],[Cuaresma]],Table1[[#Headers],[Cuaresma]],""),"")</f>
        <v/>
      </c>
      <c r="J17" t="str">
        <f>IFERROR(IF(VLOOKUP(C17,Pascua!A:C,3,FALSE)=Table1[[#Headers],[Pascua]],Table1[[#Headers],[Pascua]],""),"")</f>
        <v/>
      </c>
      <c r="K17" t="str">
        <f>IFERROR(IF(VLOOKUP(C17,Pentecostés!A:C,3,FALSE)=Table1[[#Headers],[Pentecostés]],Table1[[#Headers],[Pentecostés]],""),"")</f>
        <v/>
      </c>
      <c r="L17" t="str">
        <f>IFERROR(IF(VLOOKUP(C17,Entrada!A:C,3,FALSE)=Table1[[#Headers],[Entrada]],Table1[[#Headers],[Entrada]],""),"")</f>
        <v/>
      </c>
      <c r="M17" t="str">
        <f>IFERROR(IF(VLOOKUP(C17,Virgen!A:C,3,FALSE)=Table1[[#Headers],[Virgen]],Table1[[#Headers],[Virgen]],""),"")</f>
        <v/>
      </c>
      <c r="N17" t="str">
        <f>IFERROR(IF(VLOOKUP(C17,Paz!A:C,3,FALSE)=Table1[[#Headers],[Paz]],Table1[[#Headers],[Paz]],""),"")</f>
        <v/>
      </c>
      <c r="O17" t="str">
        <f>IFERROR(IF(VLOOKUP(C17,Pan!A:C,3,FALSE)=Table1[[#Headers],[Pan]],Table1[[#Headers],[Pan]],""),"")</f>
        <v/>
      </c>
      <c r="P17" t="str">
        <f>IFERROR(IF(VLOOKUP(C17,Comunión!A:C,3,FALSE)=Table1[[#Headers],[Comunión]],Table1[[#Headers],[Comunión]],""),"")</f>
        <v/>
      </c>
      <c r="Q17" t="str">
        <f>IFERROR(IF(VLOOKUP(C17,Niños!A:C,3,FALSE)=Table1[[#Headers],[Niños]],Table1[[#Headers],[Niños]],""),"")</f>
        <v>Niños</v>
      </c>
      <c r="R17" t="str">
        <f>IFERROR(IF(VLOOKUP(C17,Laudes!A:C,3,FALSE)=Table1[[#Headers],[Laudes]],Table1[[#Headers],[Laudes]],""),"")</f>
        <v/>
      </c>
      <c r="S17" t="str">
        <f>IFERROR(IF(VLOOKUP(C17,'Nuevo Testamento'!A:C,3,FALSE)=Table1[[#Headers],[Nuevo Testamento]],Table1[[#Headers],[Nuevo Testamento]],""),"")</f>
        <v/>
      </c>
      <c r="T17" t="str">
        <f>IFERROR(IF(VLOOKUP(C17,'Antiguo Testamento'!A:C,3,FALSE)=Table1[[#Headers],[Antiguo Testamento]],Table1[[#Headers],[Antiguo Testamento]],""),"")</f>
        <v/>
      </c>
      <c r="U17" t="str">
        <f>IFERROR(IF(VLOOKUP(C17,Final!A:C,3,FALSE)=Table1[[#Headers],[Final]],Table1[[#Headers],[Final]],""),"")</f>
        <v/>
      </c>
      <c r="V17" t="str" cm="1">
        <f t="array" ref="V1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/cantos/src/chtml/a/alegriahanacidoelsalvador.html</v>
      </c>
      <c r="W1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{id:15,title: "Alegría, ha nacido el salvador", subtitle: "Villancico (Kiko Argüello)", category: "Precatecumenado", moments: ["Adviento","Navidad","","","","","","","","","Niños","","","",""], url: "/cantos/src/chtml/a/alegriahanacidoelsalvador.html"},</v>
      </c>
    </row>
    <row r="18" spans="1:23" x14ac:dyDescent="0.25">
      <c r="A18">
        <v>180</v>
      </c>
      <c r="B18">
        <v>16</v>
      </c>
      <c r="C18" t="s">
        <v>9</v>
      </c>
      <c r="D18" t="s">
        <v>306</v>
      </c>
      <c r="E18" t="str">
        <f>LOWER(LEFT(Table1[[#This Row],[Canto]],1))</f>
        <v>a</v>
      </c>
      <c r="F18" s="12" t="s">
        <v>289</v>
      </c>
      <c r="G18" t="str">
        <f>IFERROR(IF(VLOOKUP(C18,Adviento!A:C,3,FALSE)=Table1[[#Headers],[Adviento]],Table1[[#Headers],[Adviento]],""),"")</f>
        <v/>
      </c>
      <c r="H18" t="str">
        <f>IFERROR(IF(VLOOKUP(C18,Navidad!A:C,3,FALSE)=Table1[[#Headers],[Navidad]],Table1[[#Headers],[Navidad]],""),"")</f>
        <v/>
      </c>
      <c r="I18" t="str">
        <f>IFERROR(IF(VLOOKUP(C18,Cuaresma!A:C,3,FALSE)=Table1[[#Headers],[Cuaresma]],Table1[[#Headers],[Cuaresma]],""),"")</f>
        <v/>
      </c>
      <c r="J18" t="str">
        <f>IFERROR(IF(VLOOKUP(C18,Pascua!A:C,3,FALSE)=Table1[[#Headers],[Pascua]],Table1[[#Headers],[Pascua]],""),"")</f>
        <v/>
      </c>
      <c r="K18" t="str">
        <f>IFERROR(IF(VLOOKUP(C18,Pentecostés!A:C,3,FALSE)=Table1[[#Headers],[Pentecostés]],Table1[[#Headers],[Pentecostés]],""),"")</f>
        <v/>
      </c>
      <c r="L18" t="str">
        <f>IFERROR(IF(VLOOKUP(C18,Entrada!A:C,3,FALSE)=Table1[[#Headers],[Entrada]],Table1[[#Headers],[Entrada]],""),"")</f>
        <v/>
      </c>
      <c r="M18" t="str">
        <f>IFERROR(IF(VLOOKUP(C18,Virgen!A:C,3,FALSE)=Table1[[#Headers],[Virgen]],Table1[[#Headers],[Virgen]],""),"")</f>
        <v/>
      </c>
      <c r="N18" t="str">
        <f>IFERROR(IF(VLOOKUP(C18,Paz!A:C,3,FALSE)=Table1[[#Headers],[Paz]],Table1[[#Headers],[Paz]],""),"")</f>
        <v/>
      </c>
      <c r="O18" t="str">
        <f>IFERROR(IF(VLOOKUP(C18,Pan!A:C,3,FALSE)=Table1[[#Headers],[Pan]],Table1[[#Headers],[Pan]],""),"")</f>
        <v/>
      </c>
      <c r="P18" t="str">
        <f>IFERROR(IF(VLOOKUP(C18,Comunión!A:C,3,FALSE)=Table1[[#Headers],[Comunión]],Table1[[#Headers],[Comunión]],""),"")</f>
        <v/>
      </c>
      <c r="Q18" t="str">
        <f>IFERROR(IF(VLOOKUP(C18,Niños!A:C,3,FALSE)=Table1[[#Headers],[Niños]],Table1[[#Headers],[Niños]],""),"")</f>
        <v/>
      </c>
      <c r="R18" t="str">
        <f>IFERROR(IF(VLOOKUP(C18,Laudes!A:C,3,FALSE)=Table1[[#Headers],[Laudes]],Table1[[#Headers],[Laudes]],""),"")</f>
        <v/>
      </c>
      <c r="S18" t="str">
        <f>IFERROR(IF(VLOOKUP(C18,'Nuevo Testamento'!A:C,3,FALSE)=Table1[[#Headers],[Nuevo Testamento]],Table1[[#Headers],[Nuevo Testamento]],""),"")</f>
        <v/>
      </c>
      <c r="T18" t="str">
        <f>IFERROR(IF(VLOOKUP(C18,'Antiguo Testamento'!A:C,3,FALSE)=Table1[[#Headers],[Antiguo Testamento]],Table1[[#Headers],[Antiguo Testamento]],""),"")</f>
        <v/>
      </c>
      <c r="U18" t="str">
        <f>IFERROR(IF(VLOOKUP(C18,Final!A:C,3,FALSE)=Table1[[#Headers],[Final]],Table1[[#Headers],[Final]],""),"")</f>
        <v/>
      </c>
      <c r="V18" t="str" cm="1">
        <f t="array" ref="V1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/cantos/src/chtml/a/aleluyainterleccional.html</v>
      </c>
      <c r="W1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{id:16,title: "Aleluya interleccional", subtitle: "Modelo I, II, III", category: "Liturgia", moments: ["","","","","","","","","","","","","","",""], url: "/cantos/src/chtml/a/aleluyainterleccional.html"},</v>
      </c>
    </row>
    <row r="19" spans="1:23" x14ac:dyDescent="0.25">
      <c r="A19">
        <v>181</v>
      </c>
      <c r="B19">
        <v>17</v>
      </c>
      <c r="C19" t="s">
        <v>111</v>
      </c>
      <c r="D19" t="s">
        <v>307</v>
      </c>
      <c r="E19" t="str">
        <f>LOWER(LEFT(Table1[[#This Row],[Canto]],1))</f>
        <v>a</v>
      </c>
      <c r="F19" s="12" t="s">
        <v>289</v>
      </c>
      <c r="G19" t="str">
        <f>IFERROR(IF(VLOOKUP(C19,Adviento!A:C,3,FALSE)=Table1[[#Headers],[Adviento]],Table1[[#Headers],[Adviento]],""),"")</f>
        <v/>
      </c>
      <c r="H19" t="str">
        <f>IFERROR(IF(VLOOKUP(C19,Navidad!A:C,3,FALSE)=Table1[[#Headers],[Navidad]],Table1[[#Headers],[Navidad]],""),"")</f>
        <v/>
      </c>
      <c r="I19" t="str">
        <f>IFERROR(IF(VLOOKUP(C19,Cuaresma!A:C,3,FALSE)=Table1[[#Headers],[Cuaresma]],Table1[[#Headers],[Cuaresma]],""),"")</f>
        <v/>
      </c>
      <c r="J19" t="str">
        <f>IFERROR(IF(VLOOKUP(C19,Pascua!A:C,3,FALSE)=Table1[[#Headers],[Pascua]],Table1[[#Headers],[Pascua]],""),"")</f>
        <v/>
      </c>
      <c r="K19" t="str">
        <f>IFERROR(IF(VLOOKUP(C19,Pentecostés!A:C,3,FALSE)=Table1[[#Headers],[Pentecostés]],Table1[[#Headers],[Pentecostés]],""),"")</f>
        <v/>
      </c>
      <c r="L19" t="str">
        <f>IFERROR(IF(VLOOKUP(C19,Entrada!A:C,3,FALSE)=Table1[[#Headers],[Entrada]],Table1[[#Headers],[Entrada]],""),"")</f>
        <v/>
      </c>
      <c r="M19" t="str">
        <f>IFERROR(IF(VLOOKUP(C19,Virgen!A:C,3,FALSE)=Table1[[#Headers],[Virgen]],Table1[[#Headers],[Virgen]],""),"")</f>
        <v/>
      </c>
      <c r="N19" t="str">
        <f>IFERROR(IF(VLOOKUP(C19,Paz!A:C,3,FALSE)=Table1[[#Headers],[Paz]],Table1[[#Headers],[Paz]],""),"")</f>
        <v/>
      </c>
      <c r="O19" t="str">
        <f>IFERROR(IF(VLOOKUP(C19,Pan!A:C,3,FALSE)=Table1[[#Headers],[Pan]],Table1[[#Headers],[Pan]],""),"")</f>
        <v/>
      </c>
      <c r="P19" t="str">
        <f>IFERROR(IF(VLOOKUP(C19,Comunión!A:C,3,FALSE)=Table1[[#Headers],[Comunión]],Table1[[#Headers],[Comunión]],""),"")</f>
        <v/>
      </c>
      <c r="Q19" t="str">
        <f>IFERROR(IF(VLOOKUP(C19,Niños!A:C,3,FALSE)=Table1[[#Headers],[Niños]],Table1[[#Headers],[Niños]],""),"")</f>
        <v/>
      </c>
      <c r="R19" t="str">
        <f>IFERROR(IF(VLOOKUP(C19,Laudes!A:C,3,FALSE)=Table1[[#Headers],[Laudes]],Table1[[#Headers],[Laudes]],""),"")</f>
        <v/>
      </c>
      <c r="S19" t="str">
        <f>IFERROR(IF(VLOOKUP(C19,'Nuevo Testamento'!A:C,3,FALSE)=Table1[[#Headers],[Nuevo Testamento]],Table1[[#Headers],[Nuevo Testamento]],""),"")</f>
        <v/>
      </c>
      <c r="T19" t="str">
        <f>IFERROR(IF(VLOOKUP(C19,'Antiguo Testamento'!A:C,3,FALSE)=Table1[[#Headers],[Antiguo Testamento]],Table1[[#Headers],[Antiguo Testamento]],""),"")</f>
        <v/>
      </c>
      <c r="U19" t="str">
        <f>IFERROR(IF(VLOOKUP(C19,Final!A:C,3,FALSE)=Table1[[#Headers],[Final]],Table1[[#Headers],[Final]],""),"")</f>
        <v/>
      </c>
      <c r="V19" t="str" cm="1">
        <f t="array" ref="V1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/cantos/src/chtml/a/aleluyapascual.html</v>
      </c>
      <c r="W1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{id:17,title: "Aleluya pascual", subtitle: "Apropiado para el tiempo Pascual", category: "Liturgia", moments: ["","","","","","","","","","","","","","",""], url: "/cantos/src/chtml/a/aleluyapascual.html"},</v>
      </c>
    </row>
    <row r="20" spans="1:23" x14ac:dyDescent="0.25">
      <c r="A20">
        <v>13</v>
      </c>
      <c r="B20">
        <v>18</v>
      </c>
      <c r="C20" t="s">
        <v>10</v>
      </c>
      <c r="D20" t="s">
        <v>308</v>
      </c>
      <c r="E20" t="str">
        <f>LOWER(LEFT(Table1[[#This Row],[Canto]],1))</f>
        <v>a</v>
      </c>
      <c r="F20" t="s">
        <v>288</v>
      </c>
      <c r="G20" t="str">
        <f>IFERROR(IF(VLOOKUP(C20,Adviento!A:C,3,FALSE)=Table1[[#Headers],[Adviento]],Table1[[#Headers],[Adviento]],""),"")</f>
        <v/>
      </c>
      <c r="H20" t="str">
        <f>IFERROR(IF(VLOOKUP(C20,Navidad!A:C,3,FALSE)=Table1[[#Headers],[Navidad]],Table1[[#Headers],[Navidad]],""),"")</f>
        <v/>
      </c>
      <c r="I20" t="str">
        <f>IFERROR(IF(VLOOKUP(C20,Cuaresma!A:C,3,FALSE)=Table1[[#Headers],[Cuaresma]],Table1[[#Headers],[Cuaresma]],""),"")</f>
        <v/>
      </c>
      <c r="J20" t="str">
        <f>IFERROR(IF(VLOOKUP(C20,Pascua!A:C,3,FALSE)=Table1[[#Headers],[Pascua]],Table1[[#Headers],[Pascua]],""),"")</f>
        <v/>
      </c>
      <c r="K20" t="str">
        <f>IFERROR(IF(VLOOKUP(C20,Pentecostés!A:C,3,FALSE)=Table1[[#Headers],[Pentecostés]],Table1[[#Headers],[Pentecostés]],""),"")</f>
        <v/>
      </c>
      <c r="L20" t="str">
        <f>IFERROR(IF(VLOOKUP(C20,Entrada!A:C,3,FALSE)=Table1[[#Headers],[Entrada]],Table1[[#Headers],[Entrada]],""),"")</f>
        <v/>
      </c>
      <c r="M20" t="str">
        <f>IFERROR(IF(VLOOKUP(C20,Virgen!A:C,3,FALSE)=Table1[[#Headers],[Virgen]],Table1[[#Headers],[Virgen]],""),"")</f>
        <v/>
      </c>
      <c r="N20" t="str">
        <f>IFERROR(IF(VLOOKUP(C20,Paz!A:C,3,FALSE)=Table1[[#Headers],[Paz]],Table1[[#Headers],[Paz]],""),"")</f>
        <v/>
      </c>
      <c r="O20" t="str">
        <f>IFERROR(IF(VLOOKUP(C20,Pan!A:C,3,FALSE)=Table1[[#Headers],[Pan]],Table1[[#Headers],[Pan]],""),"")</f>
        <v/>
      </c>
      <c r="P20" t="str">
        <f>IFERROR(IF(VLOOKUP(C20,Comunión!A:C,3,FALSE)=Table1[[#Headers],[Comunión]],Table1[[#Headers],[Comunión]],""),"")</f>
        <v/>
      </c>
      <c r="Q20" t="str">
        <f>IFERROR(IF(VLOOKUP(C20,Niños!A:C,3,FALSE)=Table1[[#Headers],[Niños]],Table1[[#Headers],[Niños]],""),"")</f>
        <v/>
      </c>
      <c r="R20" t="str">
        <f>IFERROR(IF(VLOOKUP(C20,Laudes!A:C,3,FALSE)=Table1[[#Headers],[Laudes]],Table1[[#Headers],[Laudes]],""),"")</f>
        <v>Laudes</v>
      </c>
      <c r="S20" t="str">
        <f>IFERROR(IF(VLOOKUP(C20,'Nuevo Testamento'!A:C,3,FALSE)=Table1[[#Headers],[Nuevo Testamento]],Table1[[#Headers],[Nuevo Testamento]],""),"")</f>
        <v/>
      </c>
      <c r="T20" t="str">
        <f>IFERROR(IF(VLOOKUP(C20,'Antiguo Testamento'!A:C,3,FALSE)=Table1[[#Headers],[Antiguo Testamento]],Table1[[#Headers],[Antiguo Testamento]],""),"")</f>
        <v>Antiguo Testamento</v>
      </c>
      <c r="U20" t="str">
        <f>IFERROR(IF(VLOOKUP(C20,Final!A:C,3,FALSE)=Table1[[#Headers],[Final]],Table1[[#Headers],[Final]],""),"")</f>
        <v/>
      </c>
      <c r="V20" t="str" cm="1">
        <f t="array" ref="V2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/cantos/src/chtml/a/aleluyaalabadalsenor.html</v>
      </c>
      <c r="W2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{id:18,title: "Aleluya, alabad al Señor", subtitle: "Salmo 150", category: "Precatecumenado", moments: ["","","","","","","","","","","","Laudes","","Antiguo Testamento",""], url: "/cantos/src/chtml/a/aleluyaalabadalsenor.html"},</v>
      </c>
    </row>
    <row r="21" spans="1:23" x14ac:dyDescent="0.25">
      <c r="A21">
        <v>14</v>
      </c>
      <c r="B21">
        <v>19</v>
      </c>
      <c r="C21" t="s">
        <v>11</v>
      </c>
      <c r="D21" t="s">
        <v>309</v>
      </c>
      <c r="E21" t="str">
        <f>LOWER(LEFT(Table1[[#This Row],[Canto]],1))</f>
        <v>a</v>
      </c>
      <c r="F21" t="s">
        <v>288</v>
      </c>
      <c r="G21" t="str">
        <f>IFERROR(IF(VLOOKUP(C21,Adviento!A:C,3,FALSE)=Table1[[#Headers],[Adviento]],Table1[[#Headers],[Adviento]],""),"")</f>
        <v/>
      </c>
      <c r="H21" t="str">
        <f>IFERROR(IF(VLOOKUP(C21,Navidad!A:C,3,FALSE)=Table1[[#Headers],[Navidad]],Table1[[#Headers],[Navidad]],""),"")</f>
        <v/>
      </c>
      <c r="I21" t="str">
        <f>IFERROR(IF(VLOOKUP(C21,Cuaresma!A:C,3,FALSE)=Table1[[#Headers],[Cuaresma]],Table1[[#Headers],[Cuaresma]],""),"")</f>
        <v/>
      </c>
      <c r="J21" t="str">
        <f>IFERROR(IF(VLOOKUP(C21,Pascua!A:C,3,FALSE)=Table1[[#Headers],[Pascua]],Table1[[#Headers],[Pascua]],""),"")</f>
        <v>Pascua</v>
      </c>
      <c r="K21" t="str">
        <f>IFERROR(IF(VLOOKUP(C21,Pentecostés!A:C,3,FALSE)=Table1[[#Headers],[Pentecostés]],Table1[[#Headers],[Pentecostés]],""),"")</f>
        <v>Pentecostés</v>
      </c>
      <c r="L21" t="str">
        <f>IFERROR(IF(VLOOKUP(C21,Entrada!A:C,3,FALSE)=Table1[[#Headers],[Entrada]],Table1[[#Headers],[Entrada]],""),"")</f>
        <v/>
      </c>
      <c r="M21" t="str">
        <f>IFERROR(IF(VLOOKUP(C21,Virgen!A:C,3,FALSE)=Table1[[#Headers],[Virgen]],Table1[[#Headers],[Virgen]],""),"")</f>
        <v/>
      </c>
      <c r="N21" t="str">
        <f>IFERROR(IF(VLOOKUP(C21,Paz!A:C,3,FALSE)=Table1[[#Headers],[Paz]],Table1[[#Headers],[Paz]],""),"")</f>
        <v>Paz</v>
      </c>
      <c r="O21" t="str">
        <f>IFERROR(IF(VLOOKUP(C21,Pan!A:C,3,FALSE)=Table1[[#Headers],[Pan]],Table1[[#Headers],[Pan]],""),"")</f>
        <v/>
      </c>
      <c r="P21" t="str">
        <f>IFERROR(IF(VLOOKUP(C21,Comunión!A:C,3,FALSE)=Table1[[#Headers],[Comunión]],Table1[[#Headers],[Comunión]],""),"")</f>
        <v/>
      </c>
      <c r="Q21" t="str">
        <f>IFERROR(IF(VLOOKUP(C21,Niños!A:C,3,FALSE)=Table1[[#Headers],[Niños]],Table1[[#Headers],[Niños]],""),"")</f>
        <v>Niños</v>
      </c>
      <c r="R21" t="str">
        <f>IFERROR(IF(VLOOKUP(C21,Laudes!A:C,3,FALSE)=Table1[[#Headers],[Laudes]],Table1[[#Headers],[Laudes]],""),"")</f>
        <v/>
      </c>
      <c r="S21" t="str">
        <f>IFERROR(IF(VLOOKUP(C21,'Nuevo Testamento'!A:C,3,FALSE)=Table1[[#Headers],[Nuevo Testamento]],Table1[[#Headers],[Nuevo Testamento]],""),"")</f>
        <v/>
      </c>
      <c r="T21" t="str">
        <f>IFERROR(IF(VLOOKUP(C21,'Antiguo Testamento'!A:C,3,FALSE)=Table1[[#Headers],[Antiguo Testamento]],Table1[[#Headers],[Antiguo Testamento]],""),"")</f>
        <v>Antiguo Testamento</v>
      </c>
      <c r="U21" t="str">
        <f>IFERROR(IF(VLOOKUP(C21,Final!A:C,3,FALSE)=Table1[[#Headers],[Final]],Table1[[#Headers],[Final]],""),"")</f>
        <v/>
      </c>
      <c r="V21" t="str" cm="1">
        <f t="array" ref="V2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/cantos/src/chtml/a/aleluyabendecidalsenor.html</v>
      </c>
      <c r="W2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{id:19,title: "Aleluya, bendecid al Señor", subtitle: "Salmo 1.34 (1.33) - Melodía hebraica", category: "Precatecumenado", moments: ["","","","Pascua","Pentecostés","","","Paz","","","Niños","","","Antiguo Testamento",""], url: "/cantos/src/chtml/a/aleluyabendecidalsenor.html"},</v>
      </c>
    </row>
    <row r="22" spans="1:23" x14ac:dyDescent="0.25">
      <c r="A22">
        <v>15</v>
      </c>
      <c r="B22">
        <v>20</v>
      </c>
      <c r="C22" t="s">
        <v>12</v>
      </c>
      <c r="D22" t="s">
        <v>310</v>
      </c>
      <c r="E22" t="str">
        <f>LOWER(LEFT(Table1[[#This Row],[Canto]],1))</f>
        <v>a</v>
      </c>
      <c r="F22" t="s">
        <v>288</v>
      </c>
      <c r="G22" t="str">
        <f>IFERROR(IF(VLOOKUP(C22,Adviento!A:C,3,FALSE)=Table1[[#Headers],[Adviento]],Table1[[#Headers],[Adviento]],""),"")</f>
        <v/>
      </c>
      <c r="H22" t="str">
        <f>IFERROR(IF(VLOOKUP(C22,Navidad!A:C,3,FALSE)=Table1[[#Headers],[Navidad]],Table1[[#Headers],[Navidad]],""),"")</f>
        <v/>
      </c>
      <c r="I22" t="str">
        <f>IFERROR(IF(VLOOKUP(C22,Cuaresma!A:C,3,FALSE)=Table1[[#Headers],[Cuaresma]],Table1[[#Headers],[Cuaresma]],""),"")</f>
        <v/>
      </c>
      <c r="J22" t="str">
        <f>IFERROR(IF(VLOOKUP(C22,Pascua!A:C,3,FALSE)=Table1[[#Headers],[Pascua]],Table1[[#Headers],[Pascua]],""),"")</f>
        <v>Pascua</v>
      </c>
      <c r="K22" t="str">
        <f>IFERROR(IF(VLOOKUP(C22,Pentecostés!A:C,3,FALSE)=Table1[[#Headers],[Pentecostés]],Table1[[#Headers],[Pentecostés]],""),"")</f>
        <v>Pentecostés</v>
      </c>
      <c r="L22" t="str">
        <f>IFERROR(IF(VLOOKUP(C22,Entrada!A:C,3,FALSE)=Table1[[#Headers],[Entrada]],Table1[[#Headers],[Entrada]],""),"")</f>
        <v/>
      </c>
      <c r="M22" t="str">
        <f>IFERROR(IF(VLOOKUP(C22,Virgen!A:C,3,FALSE)=Table1[[#Headers],[Virgen]],Table1[[#Headers],[Virgen]],""),"")</f>
        <v/>
      </c>
      <c r="N22" t="str">
        <f>IFERROR(IF(VLOOKUP(C22,Paz!A:C,3,FALSE)=Table1[[#Headers],[Paz]],Table1[[#Headers],[Paz]],""),"")</f>
        <v/>
      </c>
      <c r="O22" t="str">
        <f>IFERROR(IF(VLOOKUP(C22,Pan!A:C,3,FALSE)=Table1[[#Headers],[Pan]],Table1[[#Headers],[Pan]],""),"")</f>
        <v/>
      </c>
      <c r="P22" t="str">
        <f>IFERROR(IF(VLOOKUP(C22,Comunión!A:C,3,FALSE)=Table1[[#Headers],[Comunión]],Table1[[#Headers],[Comunión]],""),"")</f>
        <v/>
      </c>
      <c r="Q22" t="str">
        <f>IFERROR(IF(VLOOKUP(C22,Niños!A:C,3,FALSE)=Table1[[#Headers],[Niños]],Table1[[#Headers],[Niños]],""),"")</f>
        <v/>
      </c>
      <c r="R22" t="str">
        <f>IFERROR(IF(VLOOKUP(C22,Laudes!A:C,3,FALSE)=Table1[[#Headers],[Laudes]],Table1[[#Headers],[Laudes]],""),"")</f>
        <v>Laudes</v>
      </c>
      <c r="S22" t="str">
        <f>IFERROR(IF(VLOOKUP(C22,'Nuevo Testamento'!A:C,3,FALSE)=Table1[[#Headers],[Nuevo Testamento]],Table1[[#Headers],[Nuevo Testamento]],""),"")</f>
        <v>Nuevo Testamento</v>
      </c>
      <c r="T22" t="str">
        <f>IFERROR(IF(VLOOKUP(C22,'Antiguo Testamento'!A:C,3,FALSE)=Table1[[#Headers],[Antiguo Testamento]],Table1[[#Headers],[Antiguo Testamento]],""),"")</f>
        <v/>
      </c>
      <c r="U22" t="str">
        <f>IFERROR(IF(VLOOKUP(C22,Final!A:C,3,FALSE)=Table1[[#Headers],[Final]],Table1[[#Headers],[Final]],""),"")</f>
        <v/>
      </c>
      <c r="V22" t="str" cm="1">
        <f t="array" ref="V2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/cantos/src/chtml/a/aleluyayallegoelreino.html</v>
      </c>
      <c r="W2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{id:20,title: "Aleluya, ya llegó el reino", subtitle: "Apocalipsis 19,6-9", category: "Precatecumenado", moments: ["","","","Pascua","Pentecostés","","","","","","","Laudes","Nuevo Testamento","",""], url: "/cantos/src/chtml/a/aleluyayallegoelreino.html"},</v>
      </c>
    </row>
    <row r="23" spans="1:23" x14ac:dyDescent="0.25">
      <c r="A23">
        <v>16</v>
      </c>
      <c r="B23">
        <v>21</v>
      </c>
      <c r="C23" t="s">
        <v>112</v>
      </c>
      <c r="D23" t="s">
        <v>311</v>
      </c>
      <c r="E23" t="str">
        <f>LOWER(LEFT(Table1[[#This Row],[Canto]],1))</f>
        <v>a</v>
      </c>
      <c r="F23" t="s">
        <v>288</v>
      </c>
      <c r="G23" t="str">
        <f>IFERROR(IF(VLOOKUP(C23,Adviento!A:C,3,FALSE)=Table1[[#Headers],[Adviento]],Table1[[#Headers],[Adviento]],""),"")</f>
        <v/>
      </c>
      <c r="H23" t="str">
        <f>IFERROR(IF(VLOOKUP(C23,Navidad!A:C,3,FALSE)=Table1[[#Headers],[Navidad]],Table1[[#Headers],[Navidad]],""),"")</f>
        <v/>
      </c>
      <c r="I23" t="str">
        <f>IFERROR(IF(VLOOKUP(C23,Cuaresma!A:C,3,FALSE)=Table1[[#Headers],[Cuaresma]],Table1[[#Headers],[Cuaresma]],""),"")</f>
        <v/>
      </c>
      <c r="J23" t="str">
        <f>IFERROR(IF(VLOOKUP(C23,Pascua!A:C,3,FALSE)=Table1[[#Headers],[Pascua]],Table1[[#Headers],[Pascua]],""),"")</f>
        <v/>
      </c>
      <c r="K23" t="str">
        <f>IFERROR(IF(VLOOKUP(C23,Pentecostés!A:C,3,FALSE)=Table1[[#Headers],[Pentecostés]],Table1[[#Headers],[Pentecostés]],""),"")</f>
        <v/>
      </c>
      <c r="L23" t="str">
        <f>IFERROR(IF(VLOOKUP(C23,Entrada!A:C,3,FALSE)=Table1[[#Headers],[Entrada]],Table1[[#Headers],[Entrada]],""),"")</f>
        <v>Entrada</v>
      </c>
      <c r="M23" t="str">
        <f>IFERROR(IF(VLOOKUP(C23,Virgen!A:C,3,FALSE)=Table1[[#Headers],[Virgen]],Table1[[#Headers],[Virgen]],""),"")</f>
        <v/>
      </c>
      <c r="N23" t="str">
        <f>IFERROR(IF(VLOOKUP(C23,Paz!A:C,3,FALSE)=Table1[[#Headers],[Paz]],Table1[[#Headers],[Paz]],""),"")</f>
        <v/>
      </c>
      <c r="O23" t="str">
        <f>IFERROR(IF(VLOOKUP(C23,Pan!A:C,3,FALSE)=Table1[[#Headers],[Pan]],Table1[[#Headers],[Pan]],""),"")</f>
        <v/>
      </c>
      <c r="P23" t="str">
        <f>IFERROR(IF(VLOOKUP(C23,Comunión!A:C,3,FALSE)=Table1[[#Headers],[Comunión]],Table1[[#Headers],[Comunión]],""),"")</f>
        <v/>
      </c>
      <c r="Q23" t="str">
        <f>IFERROR(IF(VLOOKUP(C23,Niños!A:C,3,FALSE)=Table1[[#Headers],[Niños]],Table1[[#Headers],[Niños]],""),"")</f>
        <v/>
      </c>
      <c r="R23" t="str">
        <f>IFERROR(IF(VLOOKUP(C23,Laudes!A:C,3,FALSE)=Table1[[#Headers],[Laudes]],Table1[[#Headers],[Laudes]],""),"")</f>
        <v/>
      </c>
      <c r="S23" t="str">
        <f>IFERROR(IF(VLOOKUP(C23,'Nuevo Testamento'!A:C,3,FALSE)=Table1[[#Headers],[Nuevo Testamento]],Table1[[#Headers],[Nuevo Testamento]],""),"")</f>
        <v/>
      </c>
      <c r="T23" t="str">
        <f>IFERROR(IF(VLOOKUP(C23,'Antiguo Testamento'!A:C,3,FALSE)=Table1[[#Headers],[Antiguo Testamento]],Table1[[#Headers],[Antiguo Testamento]],""),"")</f>
        <v>Antiguo Testamento</v>
      </c>
      <c r="U23" t="str">
        <f>IFERROR(IF(VLOOKUP(C23,Final!A:C,3,FALSE)=Table1[[#Headers],[Final]],Table1[[#Headers],[Final]],""),"")</f>
        <v/>
      </c>
      <c r="V23" t="str" cm="1">
        <f t="array" ref="V2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/cantos/src/chtml/a/alzaospuertas.html</v>
      </c>
      <c r="W2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{id:21,title: "Alzaos, puertas", subtitle: "Salmo 24 (23)", category: "Precatecumenado", moments: ["","","","","","Entrada","","","","","","","","Antiguo Testamento",""], url: "/cantos/src/chtml/a/alzaospuertas.html"},</v>
      </c>
    </row>
    <row r="24" spans="1:23" x14ac:dyDescent="0.25">
      <c r="A24">
        <v>17</v>
      </c>
      <c r="B24">
        <v>22</v>
      </c>
      <c r="C24" t="s">
        <v>13</v>
      </c>
      <c r="D24" t="s">
        <v>312</v>
      </c>
      <c r="E24" t="str">
        <f>LOWER(LEFT(Table1[[#This Row],[Canto]],1))</f>
        <v>a</v>
      </c>
      <c r="F24" t="s">
        <v>288</v>
      </c>
      <c r="G24" t="str">
        <f>IFERROR(IF(VLOOKUP(C24,Adviento!A:C,3,FALSE)=Table1[[#Headers],[Adviento]],Table1[[#Headers],[Adviento]],""),"")</f>
        <v/>
      </c>
      <c r="H24" t="str">
        <f>IFERROR(IF(VLOOKUP(C24,Navidad!A:C,3,FALSE)=Table1[[#Headers],[Navidad]],Table1[[#Headers],[Navidad]],""),"")</f>
        <v/>
      </c>
      <c r="I24" t="str">
        <f>IFERROR(IF(VLOOKUP(C24,Cuaresma!A:C,3,FALSE)=Table1[[#Headers],[Cuaresma]],Table1[[#Headers],[Cuaresma]],""),"")</f>
        <v/>
      </c>
      <c r="J24" t="str">
        <f>IFERROR(IF(VLOOKUP(C24,Pascua!A:C,3,FALSE)=Table1[[#Headers],[Pascua]],Table1[[#Headers],[Pascua]],""),"")</f>
        <v/>
      </c>
      <c r="K24" t="str">
        <f>IFERROR(IF(VLOOKUP(C24,Pentecostés!A:C,3,FALSE)=Table1[[#Headers],[Pentecostés]],Table1[[#Headers],[Pentecostés]],""),"")</f>
        <v/>
      </c>
      <c r="L24" t="str">
        <f>IFERROR(IF(VLOOKUP(C24,Entrada!A:C,3,FALSE)=Table1[[#Headers],[Entrada]],Table1[[#Headers],[Entrada]],""),"")</f>
        <v>Entrada</v>
      </c>
      <c r="M24" t="str">
        <f>IFERROR(IF(VLOOKUP(C24,Virgen!A:C,3,FALSE)=Table1[[#Headers],[Virgen]],Table1[[#Headers],[Virgen]],""),"")</f>
        <v/>
      </c>
      <c r="N24" t="str">
        <f>IFERROR(IF(VLOOKUP(C24,Paz!A:C,3,FALSE)=Table1[[#Headers],[Paz]],Table1[[#Headers],[Paz]],""),"")</f>
        <v/>
      </c>
      <c r="O24" t="str">
        <f>IFERROR(IF(VLOOKUP(C24,Pan!A:C,3,FALSE)=Table1[[#Headers],[Pan]],Table1[[#Headers],[Pan]],""),"")</f>
        <v/>
      </c>
      <c r="P24" t="str">
        <f>IFERROR(IF(VLOOKUP(C24,Comunión!A:C,3,FALSE)=Table1[[#Headers],[Comunión]],Table1[[#Headers],[Comunión]],""),"")</f>
        <v/>
      </c>
      <c r="Q24" t="str">
        <f>IFERROR(IF(VLOOKUP(C24,Niños!A:C,3,FALSE)=Table1[[#Headers],[Niños]],Table1[[#Headers],[Niños]],""),"")</f>
        <v/>
      </c>
      <c r="R24" t="str">
        <f>IFERROR(IF(VLOOKUP(C24,Laudes!A:C,3,FALSE)=Table1[[#Headers],[Laudes]],Table1[[#Headers],[Laudes]],""),"")</f>
        <v/>
      </c>
      <c r="S24" t="str">
        <f>IFERROR(IF(VLOOKUP(C24,'Nuevo Testamento'!A:C,3,FALSE)=Table1[[#Headers],[Nuevo Testamento]],Table1[[#Headers],[Nuevo Testamento]],""),"")</f>
        <v>Nuevo Testamento</v>
      </c>
      <c r="T24" t="str">
        <f>IFERROR(IF(VLOOKUP(C24,'Antiguo Testamento'!A:C,3,FALSE)=Table1[[#Headers],[Antiguo Testamento]],Table1[[#Headers],[Antiguo Testamento]],""),"")</f>
        <v/>
      </c>
      <c r="U24" t="str">
        <f>IFERROR(IF(VLOOKUP(C24,Final!A:C,3,FALSE)=Table1[[#Headers],[Final]],Table1[[#Headers],[Final]],""),"")</f>
        <v/>
      </c>
      <c r="V24" t="str" cm="1">
        <f t="array" ref="V2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/cantos/src/chtml/a/amenamenamen.html</v>
      </c>
      <c r="W2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{id:22,title: "Amén, amén, amén", subtitle: "Apocalipsis 7,12-14 ", category: "Precatecumenado", moments: ["","","","","","Entrada","","","","","","","Nuevo Testamento","",""], url: "/cantos/src/chtml/a/amenamenamen.html"},</v>
      </c>
    </row>
    <row r="25" spans="1:23" x14ac:dyDescent="0.25">
      <c r="A25">
        <v>18</v>
      </c>
      <c r="B25">
        <v>23</v>
      </c>
      <c r="C25" t="s">
        <v>113</v>
      </c>
      <c r="D25" t="s">
        <v>313</v>
      </c>
      <c r="E25" t="str">
        <f>LOWER(LEFT(Table1[[#This Row],[Canto]],1))</f>
        <v>a</v>
      </c>
      <c r="F25" t="s">
        <v>288</v>
      </c>
      <c r="G25" t="str">
        <f>IFERROR(IF(VLOOKUP(C25,Adviento!A:C,3,FALSE)=Table1[[#Headers],[Adviento]],Table1[[#Headers],[Adviento]],""),"")</f>
        <v/>
      </c>
      <c r="H25" t="str">
        <f>IFERROR(IF(VLOOKUP(C25,Navidad!A:C,3,FALSE)=Table1[[#Headers],[Navidad]],Table1[[#Headers],[Navidad]],""),"")</f>
        <v/>
      </c>
      <c r="I25" t="str">
        <f>IFERROR(IF(VLOOKUP(C25,Cuaresma!A:C,3,FALSE)=Table1[[#Headers],[Cuaresma]],Table1[[#Headers],[Cuaresma]],""),"")</f>
        <v>Cuaresma</v>
      </c>
      <c r="J25" t="str">
        <f>IFERROR(IF(VLOOKUP(C25,Pascua!A:C,3,FALSE)=Table1[[#Headers],[Pascua]],Table1[[#Headers],[Pascua]],""),"")</f>
        <v/>
      </c>
      <c r="K25" t="str">
        <f>IFERROR(IF(VLOOKUP(C25,Pentecostés!A:C,3,FALSE)=Table1[[#Headers],[Pentecostés]],Table1[[#Headers],[Pentecostés]],""),"")</f>
        <v/>
      </c>
      <c r="L25" t="str">
        <f>IFERROR(IF(VLOOKUP(C25,Entrada!A:C,3,FALSE)=Table1[[#Headers],[Entrada]],Table1[[#Headers],[Entrada]],""),"")</f>
        <v/>
      </c>
      <c r="M25" t="str">
        <f>IFERROR(IF(VLOOKUP(C25,Virgen!A:C,3,FALSE)=Table1[[#Headers],[Virgen]],Table1[[#Headers],[Virgen]],""),"")</f>
        <v/>
      </c>
      <c r="N25" t="str">
        <f>IFERROR(IF(VLOOKUP(C25,Paz!A:C,3,FALSE)=Table1[[#Headers],[Paz]],Table1[[#Headers],[Paz]],""),"")</f>
        <v/>
      </c>
      <c r="O25" t="str">
        <f>IFERROR(IF(VLOOKUP(C25,Pan!A:C,3,FALSE)=Table1[[#Headers],[Pan]],Table1[[#Headers],[Pan]],""),"")</f>
        <v/>
      </c>
      <c r="P25" t="str">
        <f>IFERROR(IF(VLOOKUP(C25,Comunión!A:C,3,FALSE)=Table1[[#Headers],[Comunión]],Table1[[#Headers],[Comunión]],""),"")</f>
        <v/>
      </c>
      <c r="Q25" t="str">
        <f>IFERROR(IF(VLOOKUP(C25,Niños!A:C,3,FALSE)=Table1[[#Headers],[Niños]],Table1[[#Headers],[Niños]],""),"")</f>
        <v/>
      </c>
      <c r="R25" t="str">
        <f>IFERROR(IF(VLOOKUP(C25,Laudes!A:C,3,FALSE)=Table1[[#Headers],[Laudes]],Table1[[#Headers],[Laudes]],""),"")</f>
        <v>Laudes</v>
      </c>
      <c r="S25" t="str">
        <f>IFERROR(IF(VLOOKUP(C25,'Nuevo Testamento'!A:C,3,FALSE)=Table1[[#Headers],[Nuevo Testamento]],Table1[[#Headers],[Nuevo Testamento]],""),"")</f>
        <v/>
      </c>
      <c r="T25" t="str">
        <f>IFERROR(IF(VLOOKUP(C25,'Antiguo Testamento'!A:C,3,FALSE)=Table1[[#Headers],[Antiguo Testamento]],Table1[[#Headers],[Antiguo Testamento]],""),"")</f>
        <v>Antiguo Testamento</v>
      </c>
      <c r="U25" t="str">
        <f>IFERROR(IF(VLOOKUP(C25,Final!A:C,3,FALSE)=Table1[[#Headers],[Final]],Table1[[#Headers],[Final]],""),"")</f>
        <v/>
      </c>
      <c r="V25" t="str" cm="1">
        <f t="array" ref="V2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/cantos/src/chtml/a/amoalsenor.html</v>
      </c>
      <c r="W2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{id:23,title: "Amo al Señor", subtitle: "Salmo 116 (114-115)", category: "Precatecumenado", moments: ["","","Cuaresma","","","","","","","","","Laudes","","Antiguo Testamento",""], url: "/cantos/src/chtml/a/amoalsenor.html"},</v>
      </c>
    </row>
    <row r="26" spans="1:23" x14ac:dyDescent="0.25">
      <c r="A26">
        <v>182</v>
      </c>
      <c r="B26">
        <v>24</v>
      </c>
      <c r="C26" t="s">
        <v>114</v>
      </c>
      <c r="D26" t="s">
        <v>314</v>
      </c>
      <c r="E26" t="str">
        <f>LOWER(LEFT(Table1[[#This Row],[Canto]],1))</f>
        <v>a</v>
      </c>
      <c r="F26" s="12" t="s">
        <v>289</v>
      </c>
      <c r="G26" t="str">
        <f>IFERROR(IF(VLOOKUP(C26,Adviento!A:C,3,FALSE)=Table1[[#Headers],[Adviento]],Table1[[#Headers],[Adviento]],""),"")</f>
        <v/>
      </c>
      <c r="H26" t="str">
        <f>IFERROR(IF(VLOOKUP(C26,Navidad!A:C,3,FALSE)=Table1[[#Headers],[Navidad]],Table1[[#Headers],[Navidad]],""),"")</f>
        <v/>
      </c>
      <c r="I26" t="str">
        <f>IFERROR(IF(VLOOKUP(C26,Cuaresma!A:C,3,FALSE)=Table1[[#Headers],[Cuaresma]],Table1[[#Headers],[Cuaresma]],""),"")</f>
        <v/>
      </c>
      <c r="J26" t="str">
        <f>IFERROR(IF(VLOOKUP(C26,Pascua!A:C,3,FALSE)=Table1[[#Headers],[Pascua]],Table1[[#Headers],[Pascua]],""),"")</f>
        <v/>
      </c>
      <c r="K26" t="str">
        <f>IFERROR(IF(VLOOKUP(C26,Pentecostés!A:C,3,FALSE)=Table1[[#Headers],[Pentecostés]],Table1[[#Headers],[Pentecostés]],""),"")</f>
        <v/>
      </c>
      <c r="L26" t="str">
        <f>IFERROR(IF(VLOOKUP(C26,Entrada!A:C,3,FALSE)=Table1[[#Headers],[Entrada]],Table1[[#Headers],[Entrada]],""),"")</f>
        <v/>
      </c>
      <c r="M26" t="str">
        <f>IFERROR(IF(VLOOKUP(C26,Virgen!A:C,3,FALSE)=Table1[[#Headers],[Virgen]],Table1[[#Headers],[Virgen]],""),"")</f>
        <v/>
      </c>
      <c r="N26" t="str">
        <f>IFERROR(IF(VLOOKUP(C26,Paz!A:C,3,FALSE)=Table1[[#Headers],[Paz]],Table1[[#Headers],[Paz]],""),"")</f>
        <v/>
      </c>
      <c r="O26" t="str">
        <f>IFERROR(IF(VLOOKUP(C26,Pan!A:C,3,FALSE)=Table1[[#Headers],[Pan]],Table1[[#Headers],[Pan]],""),"")</f>
        <v/>
      </c>
      <c r="P26" t="str">
        <f>IFERROR(IF(VLOOKUP(C26,Comunión!A:C,3,FALSE)=Table1[[#Headers],[Comunión]],Table1[[#Headers],[Comunión]],""),"")</f>
        <v/>
      </c>
      <c r="Q26" t="str">
        <f>IFERROR(IF(VLOOKUP(C26,Niños!A:C,3,FALSE)=Table1[[#Headers],[Niños]],Table1[[#Headers],[Niños]],""),"")</f>
        <v/>
      </c>
      <c r="R26" t="str">
        <f>IFERROR(IF(VLOOKUP(C26,Laudes!A:C,3,FALSE)=Table1[[#Headers],[Laudes]],Table1[[#Headers],[Laudes]],""),"")</f>
        <v/>
      </c>
      <c r="S26" t="str">
        <f>IFERROR(IF(VLOOKUP(C26,'Nuevo Testamento'!A:C,3,FALSE)=Table1[[#Headers],[Nuevo Testamento]],Table1[[#Headers],[Nuevo Testamento]],""),"")</f>
        <v/>
      </c>
      <c r="T26" t="str">
        <f>IFERROR(IF(VLOOKUP(C26,'Antiguo Testamento'!A:C,3,FALSE)=Table1[[#Headers],[Antiguo Testamento]],Table1[[#Headers],[Antiguo Testamento]],""),"")</f>
        <v/>
      </c>
      <c r="U26" t="str">
        <f>IFERROR(IF(VLOOKUP(C26,Final!A:C,3,FALSE)=Table1[[#Headers],[Final]],Table1[[#Headers],[Final]],""),"")</f>
        <v/>
      </c>
      <c r="V26" t="str" cm="1">
        <f t="array" ref="V2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/cantos/src/chtml/a/antifonaparaelevangelio.html</v>
      </c>
      <c r="W2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{id:24,title: "Antífona para el Evangelio", subtitle: "Tiempo de Cuaresma", category: "Liturgia", moments: ["","","","","","","","","","","","","","",""], url: "/cantos/src/chtml/a/antifonaparaelevangelio.html"},</v>
      </c>
    </row>
    <row r="27" spans="1:23" x14ac:dyDescent="0.25">
      <c r="A27">
        <v>19</v>
      </c>
      <c r="B27">
        <v>25</v>
      </c>
      <c r="C27" t="s">
        <v>14</v>
      </c>
      <c r="D27" t="s">
        <v>315</v>
      </c>
      <c r="E27" t="str">
        <f>LOWER(LEFT(Table1[[#This Row],[Canto]],1))</f>
        <v>a</v>
      </c>
      <c r="F27" t="s">
        <v>288</v>
      </c>
      <c r="G27" t="str">
        <f>IFERROR(IF(VLOOKUP(C27,Adviento!A:C,3,FALSE)=Table1[[#Headers],[Adviento]],Table1[[#Headers],[Adviento]],""),"")</f>
        <v/>
      </c>
      <c r="H27" t="str">
        <f>IFERROR(IF(VLOOKUP(C27,Navidad!A:C,3,FALSE)=Table1[[#Headers],[Navidad]],Table1[[#Headers],[Navidad]],""),"")</f>
        <v/>
      </c>
      <c r="I27" t="str">
        <f>IFERROR(IF(VLOOKUP(C27,Cuaresma!A:C,3,FALSE)=Table1[[#Headers],[Cuaresma]],Table1[[#Headers],[Cuaresma]],""),"")</f>
        <v/>
      </c>
      <c r="J27" t="str">
        <f>IFERROR(IF(VLOOKUP(C27,Pascua!A:C,3,FALSE)=Table1[[#Headers],[Pascua]],Table1[[#Headers],[Pascua]],""),"")</f>
        <v>Pascua</v>
      </c>
      <c r="K27" t="str">
        <f>IFERROR(IF(VLOOKUP(C27,Pentecostés!A:C,3,FALSE)=Table1[[#Headers],[Pentecostés]],Table1[[#Headers],[Pentecostés]],""),"")</f>
        <v>Pentecostés</v>
      </c>
      <c r="L27" t="str">
        <f>IFERROR(IF(VLOOKUP(C27,Entrada!A:C,3,FALSE)=Table1[[#Headers],[Entrada]],Table1[[#Headers],[Entrada]],""),"")</f>
        <v/>
      </c>
      <c r="M27" t="str">
        <f>IFERROR(IF(VLOOKUP(C27,Virgen!A:C,3,FALSE)=Table1[[#Headers],[Virgen]],Table1[[#Headers],[Virgen]],""),"")</f>
        <v/>
      </c>
      <c r="N27" t="str">
        <f>IFERROR(IF(VLOOKUP(C27,Paz!A:C,3,FALSE)=Table1[[#Headers],[Paz]],Table1[[#Headers],[Paz]],""),"")</f>
        <v/>
      </c>
      <c r="O27" t="str">
        <f>IFERROR(IF(VLOOKUP(C27,Pan!A:C,3,FALSE)=Table1[[#Headers],[Pan]],Table1[[#Headers],[Pan]],""),"")</f>
        <v/>
      </c>
      <c r="P27" t="str">
        <f>IFERROR(IF(VLOOKUP(C27,Comunión!A:C,3,FALSE)=Table1[[#Headers],[Comunión]],Table1[[#Headers],[Comunión]],""),"")</f>
        <v/>
      </c>
      <c r="Q27" t="str">
        <f>IFERROR(IF(VLOOKUP(C27,Niños!A:C,3,FALSE)=Table1[[#Headers],[Niños]],Table1[[#Headers],[Niños]],""),"")</f>
        <v/>
      </c>
      <c r="R27" t="str">
        <f>IFERROR(IF(VLOOKUP(C27,Laudes!A:C,3,FALSE)=Table1[[#Headers],[Laudes]],Table1[[#Headers],[Laudes]],""),"")</f>
        <v/>
      </c>
      <c r="S27" t="str">
        <f>IFERROR(IF(VLOOKUP(C27,'Nuevo Testamento'!A:C,3,FALSE)=Table1[[#Headers],[Nuevo Testamento]],Table1[[#Headers],[Nuevo Testamento]],""),"")</f>
        <v/>
      </c>
      <c r="T27" t="str">
        <f>IFERROR(IF(VLOOKUP(C27,'Antiguo Testamento'!A:C,3,FALSE)=Table1[[#Headers],[Antiguo Testamento]],Table1[[#Headers],[Antiguo Testamento]],""),"")</f>
        <v>Antiguo Testamento</v>
      </c>
      <c r="U27" t="str">
        <f>IFERROR(IF(VLOOKUP(C27,Final!A:C,3,FALSE)=Table1[[#Headers],[Final]],Table1[[#Headers],[Final]],""),"")</f>
        <v/>
      </c>
      <c r="V27" t="str" cm="1">
        <f t="array" ref="V2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/cantos/src/chtml/a/aquedah.html</v>
      </c>
      <c r="W2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{id:25,title: "Aquedah", subtitle: "Gn 22,1-19 - Del Targum Neofiti sobre el sacrificio de Isaac", category: "Precatecumenado", moments: ["","","","Pascua","Pentecostés","","","","","","","","","Antiguo Testamento",""], url: "/cantos/src/chtml/a/aquedah.html"},</v>
      </c>
    </row>
    <row r="28" spans="1:23" x14ac:dyDescent="0.25">
      <c r="A28">
        <v>20</v>
      </c>
      <c r="B28">
        <v>26</v>
      </c>
      <c r="C28" t="s">
        <v>115</v>
      </c>
      <c r="D28" t="s">
        <v>316</v>
      </c>
      <c r="E28" t="str">
        <f>LOWER(LEFT(Table1[[#This Row],[Canto]],1))</f>
        <v>a</v>
      </c>
      <c r="F28" t="s">
        <v>288</v>
      </c>
      <c r="G28" t="str">
        <f>IFERROR(IF(VLOOKUP(C28,Adviento!A:C,3,FALSE)=Table1[[#Headers],[Adviento]],Table1[[#Headers],[Adviento]],""),"")</f>
        <v/>
      </c>
      <c r="H28" t="str">
        <f>IFERROR(IF(VLOOKUP(C28,Navidad!A:C,3,FALSE)=Table1[[#Headers],[Navidad]],Table1[[#Headers],[Navidad]],""),"")</f>
        <v/>
      </c>
      <c r="I28" t="str">
        <f>IFERROR(IF(VLOOKUP(C28,Cuaresma!A:C,3,FALSE)=Table1[[#Headers],[Cuaresma]],Table1[[#Headers],[Cuaresma]],""),"")</f>
        <v>Cuaresma</v>
      </c>
      <c r="J28" t="str">
        <f>IFERROR(IF(VLOOKUP(C28,Pascua!A:C,3,FALSE)=Table1[[#Headers],[Pascua]],Table1[[#Headers],[Pascua]],""),"")</f>
        <v/>
      </c>
      <c r="K28" t="str">
        <f>IFERROR(IF(VLOOKUP(C28,Pentecostés!A:C,3,FALSE)=Table1[[#Headers],[Pentecostés]],Table1[[#Headers],[Pentecostés]],""),"")</f>
        <v/>
      </c>
      <c r="L28" t="str">
        <f>IFERROR(IF(VLOOKUP(C28,Entrada!A:C,3,FALSE)=Table1[[#Headers],[Entrada]],Table1[[#Headers],[Entrada]],""),"")</f>
        <v/>
      </c>
      <c r="M28" t="str">
        <f>IFERROR(IF(VLOOKUP(C28,Virgen!A:C,3,FALSE)=Table1[[#Headers],[Virgen]],Table1[[#Headers],[Virgen]],""),"")</f>
        <v/>
      </c>
      <c r="N28" t="str">
        <f>IFERROR(IF(VLOOKUP(C28,Paz!A:C,3,FALSE)=Table1[[#Headers],[Paz]],Table1[[#Headers],[Paz]],""),"")</f>
        <v/>
      </c>
      <c r="O28" t="str">
        <f>IFERROR(IF(VLOOKUP(C28,Pan!A:C,3,FALSE)=Table1[[#Headers],[Pan]],Table1[[#Headers],[Pan]],""),"")</f>
        <v/>
      </c>
      <c r="P28" t="str">
        <f>IFERROR(IF(VLOOKUP(C28,Comunión!A:C,3,FALSE)=Table1[[#Headers],[Comunión]],Table1[[#Headers],[Comunión]],""),"")</f>
        <v/>
      </c>
      <c r="Q28" t="str">
        <f>IFERROR(IF(VLOOKUP(C28,Niños!A:C,3,FALSE)=Table1[[#Headers],[Niños]],Table1[[#Headers],[Niños]],""),"")</f>
        <v/>
      </c>
      <c r="R28" t="str">
        <f>IFERROR(IF(VLOOKUP(C28,Laudes!A:C,3,FALSE)=Table1[[#Headers],[Laudes]],Table1[[#Headers],[Laudes]],""),"")</f>
        <v/>
      </c>
      <c r="S28" t="str">
        <f>IFERROR(IF(VLOOKUP(C28,'Nuevo Testamento'!A:C,3,FALSE)=Table1[[#Headers],[Nuevo Testamento]],Table1[[#Headers],[Nuevo Testamento]],""),"")</f>
        <v/>
      </c>
      <c r="T28" t="str">
        <f>IFERROR(IF(VLOOKUP(C28,'Antiguo Testamento'!A:C,3,FALSE)=Table1[[#Headers],[Antiguo Testamento]],Table1[[#Headers],[Antiguo Testamento]],""),"")</f>
        <v/>
      </c>
      <c r="U28" t="str">
        <f>IFERROR(IF(VLOOKUP(C28,Final!A:C,3,FALSE)=Table1[[#Headers],[Final]],Table1[[#Headers],[Final]],""),"")</f>
        <v/>
      </c>
      <c r="V28" t="str" cm="1">
        <f t="array" ref="V2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/cantos/src/chtml/a/asihablaelamen.html</v>
      </c>
      <c r="W2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{id:26,title: "Así habla el amén", subtitle: "Ap 3,14-20", category: "Precatecumenado", moments: ["","","Cuaresma","","","","","","","","","","","",""], url: "/cantos/src/chtml/a/asihablaelamen.html"},</v>
      </c>
    </row>
    <row r="29" spans="1:23" x14ac:dyDescent="0.25">
      <c r="A29">
        <v>21</v>
      </c>
      <c r="B29">
        <v>27</v>
      </c>
      <c r="C29" t="s">
        <v>231</v>
      </c>
      <c r="D29" t="s">
        <v>317</v>
      </c>
      <c r="E29" t="str">
        <f>LOWER(LEFT(Table1[[#This Row],[Canto]],1))</f>
        <v>a</v>
      </c>
      <c r="F29" t="s">
        <v>288</v>
      </c>
      <c r="G29" t="str">
        <f>IFERROR(IF(VLOOKUP(C29,Adviento!A:C,3,FALSE)=Table1[[#Headers],[Adviento]],Table1[[#Headers],[Adviento]],""),"")</f>
        <v/>
      </c>
      <c r="H29" t="str">
        <f>IFERROR(IF(VLOOKUP(C29,Navidad!A:C,3,FALSE)=Table1[[#Headers],[Navidad]],Table1[[#Headers],[Navidad]],""),"")</f>
        <v/>
      </c>
      <c r="I29" t="str">
        <f>IFERROR(IF(VLOOKUP(C29,Cuaresma!A:C,3,FALSE)=Table1[[#Headers],[Cuaresma]],Table1[[#Headers],[Cuaresma]],""),"")</f>
        <v/>
      </c>
      <c r="J29" t="str">
        <f>IFERROR(IF(VLOOKUP(C29,Pascua!A:C,3,FALSE)=Table1[[#Headers],[Pascua]],Table1[[#Headers],[Pascua]],""),"")</f>
        <v/>
      </c>
      <c r="K29" t="str">
        <f>IFERROR(IF(VLOOKUP(C29,Pentecostés!A:C,3,FALSE)=Table1[[#Headers],[Pentecostés]],Table1[[#Headers],[Pentecostés]],""),"")</f>
        <v/>
      </c>
      <c r="L29" t="str">
        <f>IFERROR(IF(VLOOKUP(C29,Entrada!A:C,3,FALSE)=Table1[[#Headers],[Entrada]],Table1[[#Headers],[Entrada]],""),"")</f>
        <v/>
      </c>
      <c r="M29" t="str">
        <f>IFERROR(IF(VLOOKUP(C29,Virgen!A:C,3,FALSE)=Table1[[#Headers],[Virgen]],Table1[[#Headers],[Virgen]],""),"")</f>
        <v>Virgen</v>
      </c>
      <c r="N29" t="str">
        <f>IFERROR(IF(VLOOKUP(C29,Paz!A:C,3,FALSE)=Table1[[#Headers],[Paz]],Table1[[#Headers],[Paz]],""),"")</f>
        <v/>
      </c>
      <c r="O29" t="str">
        <f>IFERROR(IF(VLOOKUP(C29,Pan!A:C,3,FALSE)=Table1[[#Headers],[Pan]],Table1[[#Headers],[Pan]],""),"")</f>
        <v/>
      </c>
      <c r="P29" t="str">
        <f>IFERROR(IF(VLOOKUP(C29,Comunión!A:C,3,FALSE)=Table1[[#Headers],[Comunión]],Table1[[#Headers],[Comunión]],""),"")</f>
        <v/>
      </c>
      <c r="Q29" t="str">
        <f>IFERROR(IF(VLOOKUP(C29,Niños!A:C,3,FALSE)=Table1[[#Headers],[Niños]],Table1[[#Headers],[Niños]],""),"")</f>
        <v/>
      </c>
      <c r="R29" t="str">
        <f>IFERROR(IF(VLOOKUP(C29,Laudes!A:C,3,FALSE)=Table1[[#Headers],[Laudes]],Table1[[#Headers],[Laudes]],""),"")</f>
        <v/>
      </c>
      <c r="S29" t="str">
        <f>IFERROR(IF(VLOOKUP(C29,'Nuevo Testamento'!A:C,3,FALSE)=Table1[[#Headers],[Nuevo Testamento]],Table1[[#Headers],[Nuevo Testamento]],""),"")</f>
        <v>Nuevo Testamento</v>
      </c>
      <c r="T29" t="str">
        <f>IFERROR(IF(VLOOKUP(C29,'Antiguo Testamento'!A:C,3,FALSE)=Table1[[#Headers],[Antiguo Testamento]],Table1[[#Headers],[Antiguo Testamento]],""),"")</f>
        <v/>
      </c>
      <c r="U29" t="str">
        <f>IFERROR(IF(VLOOKUP(C29,Final!A:C,3,FALSE)=Table1[[#Headers],[Final]],Table1[[#Headers],[Final]],""),"")</f>
        <v/>
      </c>
      <c r="V29" t="str" cm="1">
        <f t="array" ref="V2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/cantos/src/chtml/a/avemariai.html</v>
      </c>
      <c r="W2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{id:27,title: "Ave María I", subtitle: "Lc 1,28ss", category: "Precatecumenado", moments: ["","","","","","","Virgen","","","","","","Nuevo Testamento","",""], url: "/cantos/src/chtml/a/avemariai.html"},</v>
      </c>
    </row>
    <row r="30" spans="1:23" x14ac:dyDescent="0.25">
      <c r="A30">
        <v>22</v>
      </c>
      <c r="B30">
        <v>28</v>
      </c>
      <c r="C30" t="s">
        <v>15</v>
      </c>
      <c r="D30" t="s">
        <v>318</v>
      </c>
      <c r="E30" t="str">
        <f>LOWER(LEFT(Table1[[#This Row],[Canto]],1))</f>
        <v>a</v>
      </c>
      <c r="F30" t="s">
        <v>288</v>
      </c>
      <c r="G30" t="str">
        <f>IFERROR(IF(VLOOKUP(C30,Adviento!A:C,3,FALSE)=Table1[[#Headers],[Adviento]],Table1[[#Headers],[Adviento]],""),"")</f>
        <v/>
      </c>
      <c r="H30" t="str">
        <f>IFERROR(IF(VLOOKUP(C30,Navidad!A:C,3,FALSE)=Table1[[#Headers],[Navidad]],Table1[[#Headers],[Navidad]],""),"")</f>
        <v/>
      </c>
      <c r="I30" t="str">
        <f>IFERROR(IF(VLOOKUP(C30,Cuaresma!A:C,3,FALSE)=Table1[[#Headers],[Cuaresma]],Table1[[#Headers],[Cuaresma]],""),"")</f>
        <v/>
      </c>
      <c r="J30" t="str">
        <f>IFERROR(IF(VLOOKUP(C30,Pascua!A:C,3,FALSE)=Table1[[#Headers],[Pascua]],Table1[[#Headers],[Pascua]],""),"")</f>
        <v/>
      </c>
      <c r="K30" t="str">
        <f>IFERROR(IF(VLOOKUP(C30,Pentecostés!A:C,3,FALSE)=Table1[[#Headers],[Pentecostés]],Table1[[#Headers],[Pentecostés]],""),"")</f>
        <v/>
      </c>
      <c r="L30" t="str">
        <f>IFERROR(IF(VLOOKUP(C30,Entrada!A:C,3,FALSE)=Table1[[#Headers],[Entrada]],Table1[[#Headers],[Entrada]],""),"")</f>
        <v/>
      </c>
      <c r="M30" t="str">
        <f>IFERROR(IF(VLOOKUP(C30,Virgen!A:C,3,FALSE)=Table1[[#Headers],[Virgen]],Table1[[#Headers],[Virgen]],""),"")</f>
        <v>Virgen</v>
      </c>
      <c r="N30" t="str">
        <f>IFERROR(IF(VLOOKUP(C30,Paz!A:C,3,FALSE)=Table1[[#Headers],[Paz]],Table1[[#Headers],[Paz]],""),"")</f>
        <v/>
      </c>
      <c r="O30" t="str">
        <f>IFERROR(IF(VLOOKUP(C30,Pan!A:C,3,FALSE)=Table1[[#Headers],[Pan]],Table1[[#Headers],[Pan]],""),"")</f>
        <v/>
      </c>
      <c r="P30" t="str">
        <f>IFERROR(IF(VLOOKUP(C30,Comunión!A:C,3,FALSE)=Table1[[#Headers],[Comunión]],Table1[[#Headers],[Comunión]],""),"")</f>
        <v/>
      </c>
      <c r="Q30" t="str">
        <f>IFERROR(IF(VLOOKUP(C30,Niños!A:C,3,FALSE)=Table1[[#Headers],[Niños]],Table1[[#Headers],[Niños]],""),"")</f>
        <v/>
      </c>
      <c r="R30" t="str">
        <f>IFERROR(IF(VLOOKUP(C30,Laudes!A:C,3,FALSE)=Table1[[#Headers],[Laudes]],Table1[[#Headers],[Laudes]],""),"")</f>
        <v/>
      </c>
      <c r="S30" t="str">
        <f>IFERROR(IF(VLOOKUP(C30,'Nuevo Testamento'!A:C,3,FALSE)=Table1[[#Headers],[Nuevo Testamento]],Table1[[#Headers],[Nuevo Testamento]],""),"")</f>
        <v>Nuevo Testamento</v>
      </c>
      <c r="T30" t="str">
        <f>IFERROR(IF(VLOOKUP(C30,'Antiguo Testamento'!A:C,3,FALSE)=Table1[[#Headers],[Antiguo Testamento]],Table1[[#Headers],[Antiguo Testamento]],""),"")</f>
        <v/>
      </c>
      <c r="U30" t="str">
        <f>IFERROR(IF(VLOOKUP(C30,Final!A:C,3,FALSE)=Table1[[#Headers],[Final]],Table1[[#Headers],[Final]],""),"")</f>
        <v/>
      </c>
      <c r="V30" t="str" cm="1">
        <f t="array" ref="V3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/cantos/src/chtml/a/avemariaii(1984).html</v>
      </c>
      <c r="W3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{id:28,title: "Ave María II (1984)", subtitle: "Lc 1,28ss - 1984 ", category: "Precatecumenado", moments: ["","","","","","","Virgen","","","","","","Nuevo Testamento","",""], url: "/cantos/src/chtml/a/avemariaii(1984).html"},</v>
      </c>
    </row>
    <row r="31" spans="1:23" x14ac:dyDescent="0.25">
      <c r="A31">
        <v>23</v>
      </c>
      <c r="B31">
        <v>29</v>
      </c>
      <c r="C31" t="s">
        <v>116</v>
      </c>
      <c r="D31" t="s">
        <v>319</v>
      </c>
      <c r="E31" t="str">
        <f>LOWER(LEFT(Table1[[#This Row],[Canto]],1))</f>
        <v>b</v>
      </c>
      <c r="F31" t="s">
        <v>288</v>
      </c>
      <c r="G31" t="str">
        <f>IFERROR(IF(VLOOKUP(C31,Adviento!A:C,3,FALSE)=Table1[[#Headers],[Adviento]],Table1[[#Headers],[Adviento]],""),"")</f>
        <v/>
      </c>
      <c r="H31" t="str">
        <f>IFERROR(IF(VLOOKUP(C31,Navidad!A:C,3,FALSE)=Table1[[#Headers],[Navidad]],Table1[[#Headers],[Navidad]],""),"")</f>
        <v/>
      </c>
      <c r="I31" t="str">
        <f>IFERROR(IF(VLOOKUP(C31,Cuaresma!A:C,3,FALSE)=Table1[[#Headers],[Cuaresma]],Table1[[#Headers],[Cuaresma]],""),"")</f>
        <v>Cuaresma</v>
      </c>
      <c r="J31" t="str">
        <f>IFERROR(IF(VLOOKUP(C31,Pascua!A:C,3,FALSE)=Table1[[#Headers],[Pascua]],Table1[[#Headers],[Pascua]],""),"")</f>
        <v/>
      </c>
      <c r="K31" t="str">
        <f>IFERROR(IF(VLOOKUP(C31,Pentecostés!A:C,3,FALSE)=Table1[[#Headers],[Pentecostés]],Table1[[#Headers],[Pentecostés]],""),"")</f>
        <v/>
      </c>
      <c r="L31" t="str">
        <f>IFERROR(IF(VLOOKUP(C31,Entrada!A:C,3,FALSE)=Table1[[#Headers],[Entrada]],Table1[[#Headers],[Entrada]],""),"")</f>
        <v/>
      </c>
      <c r="M31" t="str">
        <f>IFERROR(IF(VLOOKUP(C31,Virgen!A:C,3,FALSE)=Table1[[#Headers],[Virgen]],Table1[[#Headers],[Virgen]],""),"")</f>
        <v/>
      </c>
      <c r="N31" t="str">
        <f>IFERROR(IF(VLOOKUP(C31,Paz!A:C,3,FALSE)=Table1[[#Headers],[Paz]],Table1[[#Headers],[Paz]],""),"")</f>
        <v/>
      </c>
      <c r="O31" t="str">
        <f>IFERROR(IF(VLOOKUP(C31,Pan!A:C,3,FALSE)=Table1[[#Headers],[Pan]],Table1[[#Headers],[Pan]],""),"")</f>
        <v/>
      </c>
      <c r="P31" t="str">
        <f>IFERROR(IF(VLOOKUP(C31,Comunión!A:C,3,FALSE)=Table1[[#Headers],[Comunión]],Table1[[#Headers],[Comunión]],""),"")</f>
        <v/>
      </c>
      <c r="Q31" t="str">
        <f>IFERROR(IF(VLOOKUP(C31,Niños!A:C,3,FALSE)=Table1[[#Headers],[Niños]],Table1[[#Headers],[Niños]],""),"")</f>
        <v/>
      </c>
      <c r="R31" t="str">
        <f>IFERROR(IF(VLOOKUP(C31,Laudes!A:C,3,FALSE)=Table1[[#Headers],[Laudes]],Table1[[#Headers],[Laudes]],""),"")</f>
        <v>Laudes</v>
      </c>
      <c r="S31" t="str">
        <f>IFERROR(IF(VLOOKUP(C31,'Nuevo Testamento'!A:C,3,FALSE)=Table1[[#Headers],[Nuevo Testamento]],Table1[[#Headers],[Nuevo Testamento]],""),"")</f>
        <v/>
      </c>
      <c r="T31" t="str">
        <f>IFERROR(IF(VLOOKUP(C31,'Antiguo Testamento'!A:C,3,FALSE)=Table1[[#Headers],[Antiguo Testamento]],Table1[[#Headers],[Antiguo Testamento]],""),"")</f>
        <v>Antiguo Testamento</v>
      </c>
      <c r="U31" t="str">
        <f>IFERROR(IF(VLOOKUP(C31,Final!A:C,3,FALSE)=Table1[[#Headers],[Final]],Table1[[#Headers],[Final]],""),"")</f>
        <v/>
      </c>
      <c r="V31" t="str" cm="1">
        <f t="array" ref="V3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/cantos/src/chtml/b/babiloniacriminal.html</v>
      </c>
      <c r="W3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{id:29,title: "Babilonia criminal", subtitle: "Sal 137 (136)", category: "Precatecumenado", moments: ["","","Cuaresma","","","","","","","","","Laudes","","Antiguo Testamento",""], url: "/cantos/src/chtml/b/babiloniacriminal.html"},</v>
      </c>
    </row>
    <row r="32" spans="1:23" x14ac:dyDescent="0.25">
      <c r="A32">
        <v>24</v>
      </c>
      <c r="B32">
        <v>30</v>
      </c>
      <c r="C32" t="s">
        <v>16</v>
      </c>
      <c r="D32" t="s">
        <v>320</v>
      </c>
      <c r="E32" t="str">
        <f>LOWER(LEFT(Table1[[#This Row],[Canto]],1))</f>
        <v>b</v>
      </c>
      <c r="F32" t="s">
        <v>288</v>
      </c>
      <c r="G32" t="str">
        <f>IFERROR(IF(VLOOKUP(C32,Adviento!A:C,3,FALSE)=Table1[[#Headers],[Adviento]],Table1[[#Headers],[Adviento]],""),"")</f>
        <v/>
      </c>
      <c r="H32" t="str">
        <f>IFERROR(IF(VLOOKUP(C32,Navidad!A:C,3,FALSE)=Table1[[#Headers],[Navidad]],Table1[[#Headers],[Navidad]],""),"")</f>
        <v/>
      </c>
      <c r="I32" t="str">
        <f>IFERROR(IF(VLOOKUP(C32,Cuaresma!A:C,3,FALSE)=Table1[[#Headers],[Cuaresma]],Table1[[#Headers],[Cuaresma]],""),"")</f>
        <v/>
      </c>
      <c r="J32" t="str">
        <f>IFERROR(IF(VLOOKUP(C32,Pascua!A:C,3,FALSE)=Table1[[#Headers],[Pascua]],Table1[[#Headers],[Pascua]],""),"")</f>
        <v/>
      </c>
      <c r="K32" t="str">
        <f>IFERROR(IF(VLOOKUP(C32,Pentecostés!A:C,3,FALSE)=Table1[[#Headers],[Pentecostés]],Table1[[#Headers],[Pentecostés]],""),"")</f>
        <v/>
      </c>
      <c r="L32" t="str">
        <f>IFERROR(IF(VLOOKUP(C32,Entrada!A:C,3,FALSE)=Table1[[#Headers],[Entrada]],Table1[[#Headers],[Entrada]],""),"")</f>
        <v/>
      </c>
      <c r="M32" t="str">
        <f>IFERROR(IF(VLOOKUP(C32,Virgen!A:C,3,FALSE)=Table1[[#Headers],[Virgen]],Table1[[#Headers],[Virgen]],""),"")</f>
        <v/>
      </c>
      <c r="N32" t="str">
        <f>IFERROR(IF(VLOOKUP(C32,Paz!A:C,3,FALSE)=Table1[[#Headers],[Paz]],Table1[[#Headers],[Paz]],""),"")</f>
        <v>Paz</v>
      </c>
      <c r="O32" t="str">
        <f>IFERROR(IF(VLOOKUP(C32,Pan!A:C,3,FALSE)=Table1[[#Headers],[Pan]],Table1[[#Headers],[Pan]],""),"")</f>
        <v/>
      </c>
      <c r="P32" t="str">
        <f>IFERROR(IF(VLOOKUP(C32,Comunión!A:C,3,FALSE)=Table1[[#Headers],[Comunión]],Table1[[#Headers],[Comunión]],""),"")</f>
        <v/>
      </c>
      <c r="Q32" t="str">
        <f>IFERROR(IF(VLOOKUP(C32,Niños!A:C,3,FALSE)=Table1[[#Headers],[Niños]],Table1[[#Headers],[Niños]],""),"")</f>
        <v/>
      </c>
      <c r="R32" t="str">
        <f>IFERROR(IF(VLOOKUP(C32,Laudes!A:C,3,FALSE)=Table1[[#Headers],[Laudes]],Table1[[#Headers],[Laudes]],""),"")</f>
        <v/>
      </c>
      <c r="S32" t="str">
        <f>IFERROR(IF(VLOOKUP(C32,'Nuevo Testamento'!A:C,3,FALSE)=Table1[[#Headers],[Nuevo Testamento]],Table1[[#Headers],[Nuevo Testamento]],""),"")</f>
        <v/>
      </c>
      <c r="T32" t="str">
        <f>IFERROR(IF(VLOOKUP(C32,'Antiguo Testamento'!A:C,3,FALSE)=Table1[[#Headers],[Antiguo Testamento]],Table1[[#Headers],[Antiguo Testamento]],""),"")</f>
        <v>Antiguo Testamento</v>
      </c>
      <c r="U32" t="str">
        <f>IFERROR(IF(VLOOKUP(C32,Final!A:C,3,FALSE)=Table1[[#Headers],[Final]],Table1[[#Headers],[Final]],""),"")</f>
        <v>Final</v>
      </c>
      <c r="V32" t="str" cm="1">
        <f t="array" ref="V3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/cantos/src/chtml/b/balaam.html</v>
      </c>
      <c r="W3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{id:30,title: "Balaam", subtitle: "Nm 23,7-24", category: "Precatecumenado", moments: ["","","","","","","","Paz","","","","","","Antiguo Testamento","Final"], url: "/cantos/src/chtml/b/balaam.html"},</v>
      </c>
    </row>
    <row r="33" spans="1:23" x14ac:dyDescent="0.25">
      <c r="A33">
        <v>25</v>
      </c>
      <c r="B33">
        <v>31</v>
      </c>
      <c r="C33" t="s">
        <v>17</v>
      </c>
      <c r="D33" t="s">
        <v>321</v>
      </c>
      <c r="E33" t="str">
        <f>LOWER(LEFT(Table1[[#This Row],[Canto]],1))</f>
        <v>b</v>
      </c>
      <c r="F33" t="s">
        <v>288</v>
      </c>
      <c r="G33" t="str">
        <f>IFERROR(IF(VLOOKUP(C33,Adviento!A:C,3,FALSE)=Table1[[#Headers],[Adviento]],Table1[[#Headers],[Adviento]],""),"")</f>
        <v/>
      </c>
      <c r="H33" t="str">
        <f>IFERROR(IF(VLOOKUP(C33,Navidad!A:C,3,FALSE)=Table1[[#Headers],[Navidad]],Table1[[#Headers],[Navidad]],""),"")</f>
        <v/>
      </c>
      <c r="I33" t="str">
        <f>IFERROR(IF(VLOOKUP(C33,Cuaresma!A:C,3,FALSE)=Table1[[#Headers],[Cuaresma]],Table1[[#Headers],[Cuaresma]],""),"")</f>
        <v>Cuaresma</v>
      </c>
      <c r="J33" t="str">
        <f>IFERROR(IF(VLOOKUP(C33,Pascua!A:C,3,FALSE)=Table1[[#Headers],[Pascua]],Table1[[#Headers],[Pascua]],""),"")</f>
        <v/>
      </c>
      <c r="K33" t="str">
        <f>IFERROR(IF(VLOOKUP(C33,Pentecostés!A:C,3,FALSE)=Table1[[#Headers],[Pentecostés]],Table1[[#Headers],[Pentecostés]],""),"")</f>
        <v/>
      </c>
      <c r="L33" t="str">
        <f>IFERROR(IF(VLOOKUP(C33,Entrada!A:C,3,FALSE)=Table1[[#Headers],[Entrada]],Table1[[#Headers],[Entrada]],""),"")</f>
        <v/>
      </c>
      <c r="M33" t="str">
        <f>IFERROR(IF(VLOOKUP(C33,Virgen!A:C,3,FALSE)=Table1[[#Headers],[Virgen]],Table1[[#Headers],[Virgen]],""),"")</f>
        <v/>
      </c>
      <c r="N33" t="str">
        <f>IFERROR(IF(VLOOKUP(C33,Paz!A:C,3,FALSE)=Table1[[#Headers],[Paz]],Table1[[#Headers],[Paz]],""),"")</f>
        <v/>
      </c>
      <c r="O33" t="str">
        <f>IFERROR(IF(VLOOKUP(C33,Pan!A:C,3,FALSE)=Table1[[#Headers],[Pan]],Table1[[#Headers],[Pan]],""),"")</f>
        <v/>
      </c>
      <c r="P33" t="str">
        <f>IFERROR(IF(VLOOKUP(C33,Comunión!A:C,3,FALSE)=Table1[[#Headers],[Comunión]],Table1[[#Headers],[Comunión]],""),"")</f>
        <v>Comunión</v>
      </c>
      <c r="Q33" t="str">
        <f>IFERROR(IF(VLOOKUP(C33,Niños!A:C,3,FALSE)=Table1[[#Headers],[Niños]],Table1[[#Headers],[Niños]],""),"")</f>
        <v/>
      </c>
      <c r="R33" t="str">
        <f>IFERROR(IF(VLOOKUP(C33,Laudes!A:C,3,FALSE)=Table1[[#Headers],[Laudes]],Table1[[#Headers],[Laudes]],""),"")</f>
        <v>Laudes</v>
      </c>
      <c r="S33" t="str">
        <f>IFERROR(IF(VLOOKUP(C33,'Nuevo Testamento'!A:C,3,FALSE)=Table1[[#Headers],[Nuevo Testamento]],Table1[[#Headers],[Nuevo Testamento]],""),"")</f>
        <v/>
      </c>
      <c r="T33" t="str">
        <f>IFERROR(IF(VLOOKUP(C33,'Antiguo Testamento'!A:C,3,FALSE)=Table1[[#Headers],[Antiguo Testamento]],Table1[[#Headers],[Antiguo Testamento]],""),"")</f>
        <v>Antiguo Testamento</v>
      </c>
      <c r="U33" t="str">
        <f>IFERROR(IF(VLOOKUP(C33,Final!A:C,3,FALSE)=Table1[[#Headers],[Final]],Table1[[#Headers],[Final]],""),"")</f>
        <v/>
      </c>
      <c r="V33" t="str" cm="1">
        <f t="array" ref="V3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/cantos/src/chtml/b/bendecirealsenorentodotiempo.html</v>
      </c>
      <c r="W3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{id:31,title: "Bendeciré al Señor en todo tiempo", subtitle: "Sal 34 (33)", category: "Precatecumenado", moments: ["","","Cuaresma","","","","","","","Comunión","","Laudes","","Antiguo Testamento",""], url: "/cantos/src/chtml/b/bendecirealsenorentodotiempo.html"},</v>
      </c>
    </row>
    <row r="34" spans="1:23" x14ac:dyDescent="0.25">
      <c r="A34">
        <v>26</v>
      </c>
      <c r="B34">
        <v>32</v>
      </c>
      <c r="C34" t="s">
        <v>232</v>
      </c>
      <c r="D34" t="s">
        <v>322</v>
      </c>
      <c r="E34" t="str">
        <f>LOWER(LEFT(Table1[[#This Row],[Canto]],1))</f>
        <v>b</v>
      </c>
      <c r="F34" t="s">
        <v>288</v>
      </c>
      <c r="G34" t="str">
        <f>IFERROR(IF(VLOOKUP(C34,Adviento!A:C,3,FALSE)=Table1[[#Headers],[Adviento]],Table1[[#Headers],[Adviento]],""),"")</f>
        <v/>
      </c>
      <c r="H34" t="str">
        <f>IFERROR(IF(VLOOKUP(C34,Navidad!A:C,3,FALSE)=Table1[[#Headers],[Navidad]],Table1[[#Headers],[Navidad]],""),"")</f>
        <v/>
      </c>
      <c r="I34" t="str">
        <f>IFERROR(IF(VLOOKUP(C34,Cuaresma!A:C,3,FALSE)=Table1[[#Headers],[Cuaresma]],Table1[[#Headers],[Cuaresma]],""),"")</f>
        <v>Cuaresma</v>
      </c>
      <c r="J34" t="str">
        <f>IFERROR(IF(VLOOKUP(C34,Pascua!A:C,3,FALSE)=Table1[[#Headers],[Pascua]],Table1[[#Headers],[Pascua]],""),"")</f>
        <v/>
      </c>
      <c r="K34" t="str">
        <f>IFERROR(IF(VLOOKUP(C34,Pentecostés!A:C,3,FALSE)=Table1[[#Headers],[Pentecostés]],Table1[[#Headers],[Pentecostés]],""),"")</f>
        <v/>
      </c>
      <c r="L34" t="str">
        <f>IFERROR(IF(VLOOKUP(C34,Entrada!A:C,3,FALSE)=Table1[[#Headers],[Entrada]],Table1[[#Headers],[Entrada]],""),"")</f>
        <v/>
      </c>
      <c r="M34" t="str">
        <f>IFERROR(IF(VLOOKUP(C34,Virgen!A:C,3,FALSE)=Table1[[#Headers],[Virgen]],Table1[[#Headers],[Virgen]],""),"")</f>
        <v/>
      </c>
      <c r="N34" t="str">
        <f>IFERROR(IF(VLOOKUP(C34,Paz!A:C,3,FALSE)=Table1[[#Headers],[Paz]],Table1[[#Headers],[Paz]],""),"")</f>
        <v/>
      </c>
      <c r="O34" t="str">
        <f>IFERROR(IF(VLOOKUP(C34,Pan!A:C,3,FALSE)=Table1[[#Headers],[Pan]],Table1[[#Headers],[Pan]],""),"")</f>
        <v/>
      </c>
      <c r="P34" t="str">
        <f>IFERROR(IF(VLOOKUP(C34,Comunión!A:C,3,FALSE)=Table1[[#Headers],[Comunión]],Table1[[#Headers],[Comunión]],""),"")</f>
        <v/>
      </c>
      <c r="Q34" t="str">
        <f>IFERROR(IF(VLOOKUP(C34,Niños!A:C,3,FALSE)=Table1[[#Headers],[Niños]],Table1[[#Headers],[Niños]],""),"")</f>
        <v/>
      </c>
      <c r="R34" t="str">
        <f>IFERROR(IF(VLOOKUP(C34,Laudes!A:C,3,FALSE)=Table1[[#Headers],[Laudes]],Table1[[#Headers],[Laudes]],""),"")</f>
        <v>Laudes</v>
      </c>
      <c r="S34" t="str">
        <f>IFERROR(IF(VLOOKUP(C34,'Nuevo Testamento'!A:C,3,FALSE)=Table1[[#Headers],[Nuevo Testamento]],Table1[[#Headers],[Nuevo Testamento]],""),"")</f>
        <v/>
      </c>
      <c r="T34" t="str">
        <f>IFERROR(IF(VLOOKUP(C34,'Antiguo Testamento'!A:C,3,FALSE)=Table1[[#Headers],[Antiguo Testamento]],Table1[[#Headers],[Antiguo Testamento]],""),"")</f>
        <v>Antiguo Testamento</v>
      </c>
      <c r="U34" t="str">
        <f>IFERROR(IF(VLOOKUP(C34,Final!A:C,3,FALSE)=Table1[[#Headers],[Final]],Table1[[#Headers],[Final]],""),"")</f>
        <v/>
      </c>
      <c r="V34" t="str" cm="1">
        <f t="array" ref="V3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/cantos/src/chtml/b/bendicealmamiaayahveh.html</v>
      </c>
      <c r="W3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{id:32,title: "Bendice, alma mía, a Yahveh", subtitle: "Sal 103 (102)", category: "Precatecumenado", moments: ["","","Cuaresma","","","","","","","","","Laudes","","Antiguo Testamento",""], url: "/cantos/src/chtml/b/bendicealmamiaayahveh.html"},</v>
      </c>
    </row>
    <row r="35" spans="1:23" x14ac:dyDescent="0.25">
      <c r="A35">
        <v>183</v>
      </c>
      <c r="B35">
        <v>33</v>
      </c>
      <c r="C35" t="s">
        <v>18</v>
      </c>
      <c r="D35" t="s">
        <v>323</v>
      </c>
      <c r="E35" t="str">
        <f>LOWER(LEFT(Table1[[#This Row],[Canto]],1))</f>
        <v>b</v>
      </c>
      <c r="F35" s="12" t="s">
        <v>289</v>
      </c>
      <c r="G35" t="str">
        <f>IFERROR(IF(VLOOKUP(C35,Adviento!A:C,3,FALSE)=Table1[[#Headers],[Adviento]],Table1[[#Headers],[Adviento]],""),"")</f>
        <v/>
      </c>
      <c r="H35" t="str">
        <f>IFERROR(IF(VLOOKUP(C35,Navidad!A:C,3,FALSE)=Table1[[#Headers],[Navidad]],Table1[[#Headers],[Navidad]],""),"")</f>
        <v/>
      </c>
      <c r="I35" t="str">
        <f>IFERROR(IF(VLOOKUP(C35,Cuaresma!A:C,3,FALSE)=Table1[[#Headers],[Cuaresma]],Table1[[#Headers],[Cuaresma]],""),"")</f>
        <v/>
      </c>
      <c r="J35" t="str">
        <f>IFERROR(IF(VLOOKUP(C35,Pascua!A:C,3,FALSE)=Table1[[#Headers],[Pascua]],Table1[[#Headers],[Pascua]],""),"")</f>
        <v/>
      </c>
      <c r="K35" t="str">
        <f>IFERROR(IF(VLOOKUP(C35,Pentecostés!A:C,3,FALSE)=Table1[[#Headers],[Pentecostés]],Table1[[#Headers],[Pentecostés]],""),"")</f>
        <v/>
      </c>
      <c r="L35" t="str">
        <f>IFERROR(IF(VLOOKUP(C35,Entrada!A:C,3,FALSE)=Table1[[#Headers],[Entrada]],Table1[[#Headers],[Entrada]],""),"")</f>
        <v/>
      </c>
      <c r="M35" t="str">
        <f>IFERROR(IF(VLOOKUP(C35,Virgen!A:C,3,FALSE)=Table1[[#Headers],[Virgen]],Table1[[#Headers],[Virgen]],""),"")</f>
        <v/>
      </c>
      <c r="N35" t="str">
        <f>IFERROR(IF(VLOOKUP(C35,Paz!A:C,3,FALSE)=Table1[[#Headers],[Paz]],Table1[[#Headers],[Paz]],""),"")</f>
        <v/>
      </c>
      <c r="O35" t="str">
        <f>IFERROR(IF(VLOOKUP(C35,Pan!A:C,3,FALSE)=Table1[[#Headers],[Pan]],Table1[[#Headers],[Pan]],""),"")</f>
        <v/>
      </c>
      <c r="P35" t="str">
        <f>IFERROR(IF(VLOOKUP(C35,Comunión!A:C,3,FALSE)=Table1[[#Headers],[Comunión]],Table1[[#Headers],[Comunión]],""),"")</f>
        <v/>
      </c>
      <c r="Q35" t="str">
        <f>IFERROR(IF(VLOOKUP(C35,Niños!A:C,3,FALSE)=Table1[[#Headers],[Niños]],Table1[[#Headers],[Niños]],""),"")</f>
        <v/>
      </c>
      <c r="R35" t="str">
        <f>IFERROR(IF(VLOOKUP(C35,Laudes!A:C,3,FALSE)=Table1[[#Headers],[Laudes]],Table1[[#Headers],[Laudes]],""),"")</f>
        <v/>
      </c>
      <c r="S35" t="str">
        <f>IFERROR(IF(VLOOKUP(C35,'Nuevo Testamento'!A:C,3,FALSE)=Table1[[#Headers],[Nuevo Testamento]],Table1[[#Headers],[Nuevo Testamento]],""),"")</f>
        <v/>
      </c>
      <c r="T35" t="str">
        <f>IFERROR(IF(VLOOKUP(C35,'Antiguo Testamento'!A:C,3,FALSE)=Table1[[#Headers],[Antiguo Testamento]],Table1[[#Headers],[Antiguo Testamento]],""),"")</f>
        <v/>
      </c>
      <c r="U35" t="str">
        <f>IFERROR(IF(VLOOKUP(C35,Final!A:C,3,FALSE)=Table1[[#Headers],[Final]],Table1[[#Headers],[Final]],""),"")</f>
        <v/>
      </c>
      <c r="V35" t="str" cm="1">
        <f t="array" ref="V3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/cantos/src/chtml/b/bendiciondelagua.html</v>
      </c>
      <c r="W3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{id:33,title: "Bendición del agua", subtitle: "De la liturgia bautismal de la Vigilia pascual", category: "Liturgia", moments: ["","","","","","","","","","","","","","",""], url: "/cantos/src/chtml/b/bendiciondelagua.html"},</v>
      </c>
    </row>
    <row r="36" spans="1:23" x14ac:dyDescent="0.25">
      <c r="A36">
        <v>27</v>
      </c>
      <c r="B36">
        <v>34</v>
      </c>
      <c r="C36" t="s">
        <v>19</v>
      </c>
      <c r="D36" t="s">
        <v>324</v>
      </c>
      <c r="E36" t="str">
        <f>LOWER(LEFT(Table1[[#This Row],[Canto]],1))</f>
        <v>b</v>
      </c>
      <c r="F36" t="s">
        <v>288</v>
      </c>
      <c r="G36" t="str">
        <f>IFERROR(IF(VLOOKUP(C36,Adviento!A:C,3,FALSE)=Table1[[#Headers],[Adviento]],Table1[[#Headers],[Adviento]],""),"")</f>
        <v/>
      </c>
      <c r="H36" t="str">
        <f>IFERROR(IF(VLOOKUP(C36,Navidad!A:C,3,FALSE)=Table1[[#Headers],[Navidad]],Table1[[#Headers],[Navidad]],""),"")</f>
        <v/>
      </c>
      <c r="I36" t="str">
        <f>IFERROR(IF(VLOOKUP(C36,Cuaresma!A:C,3,FALSE)=Table1[[#Headers],[Cuaresma]],Table1[[#Headers],[Cuaresma]],""),"")</f>
        <v/>
      </c>
      <c r="J36" t="str">
        <f>IFERROR(IF(VLOOKUP(C36,Pascua!A:C,3,FALSE)=Table1[[#Headers],[Pascua]],Table1[[#Headers],[Pascua]],""),"")</f>
        <v/>
      </c>
      <c r="K36" t="str">
        <f>IFERROR(IF(VLOOKUP(C36,Pentecostés!A:C,3,FALSE)=Table1[[#Headers],[Pentecostés]],Table1[[#Headers],[Pentecostés]],""),"")</f>
        <v/>
      </c>
      <c r="L36" t="str">
        <f>IFERROR(IF(VLOOKUP(C36,Entrada!A:C,3,FALSE)=Table1[[#Headers],[Entrada]],Table1[[#Headers],[Entrada]],""),"")</f>
        <v>Entrada</v>
      </c>
      <c r="M36" t="str">
        <f>IFERROR(IF(VLOOKUP(C36,Virgen!A:C,3,FALSE)=Table1[[#Headers],[Virgen]],Table1[[#Headers],[Virgen]],""),"")</f>
        <v>Virgen</v>
      </c>
      <c r="N36" t="str">
        <f>IFERROR(IF(VLOOKUP(C36,Paz!A:C,3,FALSE)=Table1[[#Headers],[Paz]],Table1[[#Headers],[Paz]],""),"")</f>
        <v/>
      </c>
      <c r="O36" t="str">
        <f>IFERROR(IF(VLOOKUP(C36,Pan!A:C,3,FALSE)=Table1[[#Headers],[Pan]],Table1[[#Headers],[Pan]],""),"")</f>
        <v/>
      </c>
      <c r="P36" t="str">
        <f>IFERROR(IF(VLOOKUP(C36,Comunión!A:C,3,FALSE)=Table1[[#Headers],[Comunión]],Table1[[#Headers],[Comunión]],""),"")</f>
        <v/>
      </c>
      <c r="Q36" t="str">
        <f>IFERROR(IF(VLOOKUP(C36,Niños!A:C,3,FALSE)=Table1[[#Headers],[Niños]],Table1[[#Headers],[Niños]],""),"")</f>
        <v/>
      </c>
      <c r="R36" t="str">
        <f>IFERROR(IF(VLOOKUP(C36,Laudes!A:C,3,FALSE)=Table1[[#Headers],[Laudes]],Table1[[#Headers],[Laudes]],""),"")</f>
        <v/>
      </c>
      <c r="S36" t="str">
        <f>IFERROR(IF(VLOOKUP(C36,'Nuevo Testamento'!A:C,3,FALSE)=Table1[[#Headers],[Nuevo Testamento]],Table1[[#Headers],[Nuevo Testamento]],""),"")</f>
        <v>Nuevo Testamento</v>
      </c>
      <c r="T36" t="str">
        <f>IFERROR(IF(VLOOKUP(C36,'Antiguo Testamento'!A:C,3,FALSE)=Table1[[#Headers],[Antiguo Testamento]],Table1[[#Headers],[Antiguo Testamento]],""),"")</f>
        <v/>
      </c>
      <c r="U36" t="str">
        <f>IFERROR(IF(VLOOKUP(C36,Final!A:C,3,FALSE)=Table1[[#Headers],[Final]],Table1[[#Headers],[Final]],""),"")</f>
        <v/>
      </c>
      <c r="V36" t="str" cm="1">
        <f t="array" ref="V3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/cantos/src/chtml/b/benditaerestumaria.html</v>
      </c>
      <c r="W3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{id:34,title: "Bendita eres tú, María", subtitle: "Lucas 1,42-45", category: "Precatecumenado", moments: ["","","","","","Entrada","Virgen","","","","","","Nuevo Testamento","",""], url: "/cantos/src/chtml/b/benditaerestumaria.html"},</v>
      </c>
    </row>
    <row r="37" spans="1:23" x14ac:dyDescent="0.25">
      <c r="A37">
        <v>28</v>
      </c>
      <c r="B37">
        <v>35</v>
      </c>
      <c r="C37" t="s">
        <v>117</v>
      </c>
      <c r="D37" t="s">
        <v>325</v>
      </c>
      <c r="E37" t="str">
        <f>LOWER(LEFT(Table1[[#This Row],[Canto]],1))</f>
        <v>b</v>
      </c>
      <c r="F37" t="s">
        <v>288</v>
      </c>
      <c r="G37" t="str">
        <f>IFERROR(IF(VLOOKUP(C37,Adviento!A:C,3,FALSE)=Table1[[#Headers],[Adviento]],Table1[[#Headers],[Adviento]],""),"")</f>
        <v/>
      </c>
      <c r="H37" t="str">
        <f>IFERROR(IF(VLOOKUP(C37,Navidad!A:C,3,FALSE)=Table1[[#Headers],[Navidad]],Table1[[#Headers],[Navidad]],""),"")</f>
        <v/>
      </c>
      <c r="I37" t="str">
        <f>IFERROR(IF(VLOOKUP(C37,Cuaresma!A:C,3,FALSE)=Table1[[#Headers],[Cuaresma]],Table1[[#Headers],[Cuaresma]],""),"")</f>
        <v/>
      </c>
      <c r="J37" t="str">
        <f>IFERROR(IF(VLOOKUP(C37,Pascua!A:C,3,FALSE)=Table1[[#Headers],[Pascua]],Table1[[#Headers],[Pascua]],""),"")</f>
        <v/>
      </c>
      <c r="K37" t="str">
        <f>IFERROR(IF(VLOOKUP(C37,Pentecostés!A:C,3,FALSE)=Table1[[#Headers],[Pentecostés]],Table1[[#Headers],[Pentecostés]],""),"")</f>
        <v/>
      </c>
      <c r="L37" t="str">
        <f>IFERROR(IF(VLOOKUP(C37,Entrada!A:C,3,FALSE)=Table1[[#Headers],[Entrada]],Table1[[#Headers],[Entrada]],""),"")</f>
        <v/>
      </c>
      <c r="M37" t="str">
        <f>IFERROR(IF(VLOOKUP(C37,Virgen!A:C,3,FALSE)=Table1[[#Headers],[Virgen]],Table1[[#Headers],[Virgen]],""),"")</f>
        <v/>
      </c>
      <c r="N37" t="str">
        <f>IFERROR(IF(VLOOKUP(C37,Paz!A:C,3,FALSE)=Table1[[#Headers],[Paz]],Table1[[#Headers],[Paz]],""),"")</f>
        <v/>
      </c>
      <c r="O37" t="str">
        <f>IFERROR(IF(VLOOKUP(C37,Pan!A:C,3,FALSE)=Table1[[#Headers],[Pan]],Table1[[#Headers],[Pan]],""),"")</f>
        <v/>
      </c>
      <c r="P37" t="str">
        <f>IFERROR(IF(VLOOKUP(C37,Comunión!A:C,3,FALSE)=Table1[[#Headers],[Comunión]],Table1[[#Headers],[Comunión]],""),"")</f>
        <v/>
      </c>
      <c r="Q37" t="str">
        <f>IFERROR(IF(VLOOKUP(C37,Niños!A:C,3,FALSE)=Table1[[#Headers],[Niños]],Table1[[#Headers],[Niños]],""),"")</f>
        <v/>
      </c>
      <c r="R37" t="str">
        <f>IFERROR(IF(VLOOKUP(C37,Laudes!A:C,3,FALSE)=Table1[[#Headers],[Laudes]],Table1[[#Headers],[Laudes]],""),"")</f>
        <v>Laudes</v>
      </c>
      <c r="S37" t="str">
        <f>IFERROR(IF(VLOOKUP(C37,'Nuevo Testamento'!A:C,3,FALSE)=Table1[[#Headers],[Nuevo Testamento]],Table1[[#Headers],[Nuevo Testamento]],""),"")</f>
        <v/>
      </c>
      <c r="T37" t="str">
        <f>IFERROR(IF(VLOOKUP(C37,'Antiguo Testamento'!A:C,3,FALSE)=Table1[[#Headers],[Antiguo Testamento]],Table1[[#Headers],[Antiguo Testamento]],""),"")</f>
        <v>Antiguo Testamento</v>
      </c>
      <c r="U37" t="str">
        <f>IFERROR(IF(VLOOKUP(C37,Final!A:C,3,FALSE)=Table1[[#Headers],[Final]],Table1[[#Headers],[Final]],""),"")</f>
        <v/>
      </c>
      <c r="V37" t="str" cm="1">
        <f t="array" ref="V3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/cantos/src/chtml/b/benditoeressenor.html</v>
      </c>
      <c r="W3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{id:35,title: "Bendito eres, Señor", subtitle: "Daniel 3,52-57", category: "Precatecumenado", moments: ["","","","","","","","","","","","Laudes","","Antiguo Testamento",""], url: "/cantos/src/chtml/b/benditoeressenor.html"},</v>
      </c>
    </row>
    <row r="38" spans="1:23" x14ac:dyDescent="0.25">
      <c r="A38">
        <v>29</v>
      </c>
      <c r="B38">
        <v>36</v>
      </c>
      <c r="C38" t="s">
        <v>118</v>
      </c>
      <c r="D38" t="s">
        <v>326</v>
      </c>
      <c r="E38" t="str">
        <f>LOWER(LEFT(Table1[[#This Row],[Canto]],1))</f>
        <v>b</v>
      </c>
      <c r="F38" t="s">
        <v>288</v>
      </c>
      <c r="G38" t="str">
        <f>IFERROR(IF(VLOOKUP(C38,Adviento!A:C,3,FALSE)=Table1[[#Headers],[Adviento]],Table1[[#Headers],[Adviento]],""),"")</f>
        <v>Adviento</v>
      </c>
      <c r="H38" t="str">
        <f>IFERROR(IF(VLOOKUP(C38,Navidad!A:C,3,FALSE)=Table1[[#Headers],[Navidad]],Table1[[#Headers],[Navidad]],""),"")</f>
        <v>Navidad</v>
      </c>
      <c r="I38" t="str">
        <f>IFERROR(IF(VLOOKUP(C38,Cuaresma!A:C,3,FALSE)=Table1[[#Headers],[Cuaresma]],Table1[[#Headers],[Cuaresma]],""),"")</f>
        <v/>
      </c>
      <c r="J38" t="str">
        <f>IFERROR(IF(VLOOKUP(C38,Pascua!A:C,3,FALSE)=Table1[[#Headers],[Pascua]],Table1[[#Headers],[Pascua]],""),"")</f>
        <v/>
      </c>
      <c r="K38" t="str">
        <f>IFERROR(IF(VLOOKUP(C38,Pentecostés!A:C,3,FALSE)=Table1[[#Headers],[Pentecostés]],Table1[[#Headers],[Pentecostés]],""),"")</f>
        <v/>
      </c>
      <c r="L38" t="str">
        <f>IFERROR(IF(VLOOKUP(C38,Entrada!A:C,3,FALSE)=Table1[[#Headers],[Entrada]],Table1[[#Headers],[Entrada]],""),"")</f>
        <v/>
      </c>
      <c r="M38" t="str">
        <f>IFERROR(IF(VLOOKUP(C38,Virgen!A:C,3,FALSE)=Table1[[#Headers],[Virgen]],Table1[[#Headers],[Virgen]],""),"")</f>
        <v/>
      </c>
      <c r="N38" t="str">
        <f>IFERROR(IF(VLOOKUP(C38,Paz!A:C,3,FALSE)=Table1[[#Headers],[Paz]],Table1[[#Headers],[Paz]],""),"")</f>
        <v/>
      </c>
      <c r="O38" t="str">
        <f>IFERROR(IF(VLOOKUP(C38,Pan!A:C,3,FALSE)=Table1[[#Headers],[Pan]],Table1[[#Headers],[Pan]],""),"")</f>
        <v/>
      </c>
      <c r="P38" t="str">
        <f>IFERROR(IF(VLOOKUP(C38,Comunión!A:C,3,FALSE)=Table1[[#Headers],[Comunión]],Table1[[#Headers],[Comunión]],""),"")</f>
        <v/>
      </c>
      <c r="Q38" t="str">
        <f>IFERROR(IF(VLOOKUP(C38,Niños!A:C,3,FALSE)=Table1[[#Headers],[Niños]],Table1[[#Headers],[Niños]],""),"")</f>
        <v/>
      </c>
      <c r="R38" t="str">
        <f>IFERROR(IF(VLOOKUP(C38,Laudes!A:C,3,FALSE)=Table1[[#Headers],[Laudes]],Table1[[#Headers],[Laudes]],""),"")</f>
        <v/>
      </c>
      <c r="S38" t="str">
        <f>IFERROR(IF(VLOOKUP(C38,'Nuevo Testamento'!A:C,3,FALSE)=Table1[[#Headers],[Nuevo Testamento]],Table1[[#Headers],[Nuevo Testamento]],""),"")</f>
        <v/>
      </c>
      <c r="T38" t="str">
        <f>IFERROR(IF(VLOOKUP(C38,'Antiguo Testamento'!A:C,3,FALSE)=Table1[[#Headers],[Antiguo Testamento]],Table1[[#Headers],[Antiguo Testamento]],""),"")</f>
        <v/>
      </c>
      <c r="U38" t="str">
        <f>IFERROR(IF(VLOOKUP(C38,Final!A:C,3,FALSE)=Table1[[#Headers],[Final]],Table1[[#Headers],[Final]],""),"")</f>
        <v/>
      </c>
      <c r="V38" t="str" cm="1">
        <f t="array" ref="V3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/cantos/src/chtml/b/benditoseadios.html</v>
      </c>
      <c r="W3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{id:36,title: "Bendito sea Dios", subtitle: "Efesios 1,3-13", category: "Precatecumenado", moments: ["Adviento","Navidad","","","","","","","","","","","","",""], url: "/cantos/src/chtml/b/benditoseadios.html"},</v>
      </c>
    </row>
    <row r="39" spans="1:23" x14ac:dyDescent="0.25">
      <c r="A39">
        <v>30</v>
      </c>
      <c r="B39">
        <v>37</v>
      </c>
      <c r="C39" t="s">
        <v>20</v>
      </c>
      <c r="D39" t="s">
        <v>327</v>
      </c>
      <c r="E39" t="str">
        <f>LOWER(LEFT(Table1[[#This Row],[Canto]],1))</f>
        <v>b</v>
      </c>
      <c r="F39" t="s">
        <v>288</v>
      </c>
      <c r="G39" t="str">
        <f>IFERROR(IF(VLOOKUP(C39,Adviento!A:C,3,FALSE)=Table1[[#Headers],[Adviento]],Table1[[#Headers],[Adviento]],""),"")</f>
        <v/>
      </c>
      <c r="H39" t="str">
        <f>IFERROR(IF(VLOOKUP(C39,Navidad!A:C,3,FALSE)=Table1[[#Headers],[Navidad]],Table1[[#Headers],[Navidad]],""),"")</f>
        <v/>
      </c>
      <c r="I39" t="str">
        <f>IFERROR(IF(VLOOKUP(C39,Cuaresma!A:C,3,FALSE)=Table1[[#Headers],[Cuaresma]],Table1[[#Headers],[Cuaresma]],""),"")</f>
        <v/>
      </c>
      <c r="J39" t="str">
        <f>IFERROR(IF(VLOOKUP(C39,Pascua!A:C,3,FALSE)=Table1[[#Headers],[Pascua]],Table1[[#Headers],[Pascua]],""),"")</f>
        <v/>
      </c>
      <c r="K39" t="str">
        <f>IFERROR(IF(VLOOKUP(C39,Pentecostés!A:C,3,FALSE)=Table1[[#Headers],[Pentecostés]],Table1[[#Headers],[Pentecostés]],""),"")</f>
        <v/>
      </c>
      <c r="L39" t="str">
        <f>IFERROR(IF(VLOOKUP(C39,Entrada!A:C,3,FALSE)=Table1[[#Headers],[Entrada]],Table1[[#Headers],[Entrada]],""),"")</f>
        <v/>
      </c>
      <c r="M39" t="str">
        <f>IFERROR(IF(VLOOKUP(C39,Virgen!A:C,3,FALSE)=Table1[[#Headers],[Virgen]],Table1[[#Headers],[Virgen]],""),"")</f>
        <v/>
      </c>
      <c r="N39" t="str">
        <f>IFERROR(IF(VLOOKUP(C39,Paz!A:C,3,FALSE)=Table1[[#Headers],[Paz]],Table1[[#Headers],[Paz]],""),"")</f>
        <v/>
      </c>
      <c r="O39" t="str">
        <f>IFERROR(IF(VLOOKUP(C39,Pan!A:C,3,FALSE)=Table1[[#Headers],[Pan]],Table1[[#Headers],[Pan]],""),"")</f>
        <v/>
      </c>
      <c r="P39" t="str">
        <f>IFERROR(IF(VLOOKUP(C39,Comunión!A:C,3,FALSE)=Table1[[#Headers],[Comunión]],Table1[[#Headers],[Comunión]],""),"")</f>
        <v/>
      </c>
      <c r="Q39" t="str">
        <f>IFERROR(IF(VLOOKUP(C39,Niños!A:C,3,FALSE)=Table1[[#Headers],[Niños]],Table1[[#Headers],[Niños]],""),"")</f>
        <v/>
      </c>
      <c r="R39" t="str">
        <f>IFERROR(IF(VLOOKUP(C39,Laudes!A:C,3,FALSE)=Table1[[#Headers],[Laudes]],Table1[[#Headers],[Laudes]],""),"")</f>
        <v>Laudes</v>
      </c>
      <c r="S39" t="str">
        <f>IFERROR(IF(VLOOKUP(C39,'Nuevo Testamento'!A:C,3,FALSE)=Table1[[#Headers],[Nuevo Testamento]],Table1[[#Headers],[Nuevo Testamento]],""),"")</f>
        <v>Nuevo Testamento</v>
      </c>
      <c r="T39" t="str">
        <f>IFERROR(IF(VLOOKUP(C39,'Antiguo Testamento'!A:C,3,FALSE)=Table1[[#Headers],[Antiguo Testamento]],Table1[[#Headers],[Antiguo Testamento]],""),"")</f>
        <v/>
      </c>
      <c r="U39" t="str">
        <f>IFERROR(IF(VLOOKUP(C39,Final!A:C,3,FALSE)=Table1[[#Headers],[Final]],Table1[[#Headers],[Final]],""),"")</f>
        <v/>
      </c>
      <c r="V39" t="str" cm="1">
        <f t="array" ref="V3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/cantos/src/chtml/b/benedictus.html</v>
      </c>
      <c r="W3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{id:37,title: "Benedictus", subtitle: "Lucas 1,67-80", category: "Precatecumenado", moments: ["","","","","","","","","","","","Laudes","Nuevo Testamento","",""], url: "/cantos/src/chtml/b/benedictus.html"},</v>
      </c>
    </row>
    <row r="40" spans="1:23" x14ac:dyDescent="0.25">
      <c r="A40">
        <v>31</v>
      </c>
      <c r="B40">
        <v>38</v>
      </c>
      <c r="C40" t="s">
        <v>119</v>
      </c>
      <c r="D40" t="s">
        <v>328</v>
      </c>
      <c r="E40" t="str">
        <f>LOWER(LEFT(Table1[[#This Row],[Canto]],1))</f>
        <v>c</v>
      </c>
      <c r="F40" t="s">
        <v>288</v>
      </c>
      <c r="G40" t="str">
        <f>IFERROR(IF(VLOOKUP(C40,Adviento!A:C,3,FALSE)=Table1[[#Headers],[Adviento]],Table1[[#Headers],[Adviento]],""),"")</f>
        <v/>
      </c>
      <c r="H40" t="str">
        <f>IFERROR(IF(VLOOKUP(C40,Navidad!A:C,3,FALSE)=Table1[[#Headers],[Navidad]],Table1[[#Headers],[Navidad]],""),"")</f>
        <v/>
      </c>
      <c r="I40" t="str">
        <f>IFERROR(IF(VLOOKUP(C40,Cuaresma!A:C,3,FALSE)=Table1[[#Headers],[Cuaresma]],Table1[[#Headers],[Cuaresma]],""),"")</f>
        <v/>
      </c>
      <c r="J40" t="str">
        <f>IFERROR(IF(VLOOKUP(C40,Pascua!A:C,3,FALSE)=Table1[[#Headers],[Pascua]],Table1[[#Headers],[Pascua]],""),"")</f>
        <v/>
      </c>
      <c r="K40" t="str">
        <f>IFERROR(IF(VLOOKUP(C40,Pentecostés!A:C,3,FALSE)=Table1[[#Headers],[Pentecostés]],Table1[[#Headers],[Pentecostés]],""),"")</f>
        <v/>
      </c>
      <c r="L40" t="str">
        <f>IFERROR(IF(VLOOKUP(C40,Entrada!A:C,3,FALSE)=Table1[[#Headers],[Entrada]],Table1[[#Headers],[Entrada]],""),"")</f>
        <v/>
      </c>
      <c r="M40" t="str">
        <f>IFERROR(IF(VLOOKUP(C40,Virgen!A:C,3,FALSE)=Table1[[#Headers],[Virgen]],Table1[[#Headers],[Virgen]],""),"")</f>
        <v/>
      </c>
      <c r="N40" t="str">
        <f>IFERROR(IF(VLOOKUP(C40,Paz!A:C,3,FALSE)=Table1[[#Headers],[Paz]],Table1[[#Headers],[Paz]],""),"")</f>
        <v/>
      </c>
      <c r="O40" t="str">
        <f>IFERROR(IF(VLOOKUP(C40,Pan!A:C,3,FALSE)=Table1[[#Headers],[Pan]],Table1[[#Headers],[Pan]],""),"")</f>
        <v/>
      </c>
      <c r="P40" t="str">
        <f>IFERROR(IF(VLOOKUP(C40,Comunión!A:C,3,FALSE)=Table1[[#Headers],[Comunión]],Table1[[#Headers],[Comunión]],""),"")</f>
        <v/>
      </c>
      <c r="Q40" t="str">
        <f>IFERROR(IF(VLOOKUP(C40,Niños!A:C,3,FALSE)=Table1[[#Headers],[Niños]],Table1[[#Headers],[Niños]],""),"")</f>
        <v/>
      </c>
      <c r="R40" t="str">
        <f>IFERROR(IF(VLOOKUP(C40,Laudes!A:C,3,FALSE)=Table1[[#Headers],[Laudes]],Table1[[#Headers],[Laudes]],""),"")</f>
        <v>Laudes</v>
      </c>
      <c r="S40" t="str">
        <f>IFERROR(IF(VLOOKUP(C40,'Nuevo Testamento'!A:C,3,FALSE)=Table1[[#Headers],[Nuevo Testamento]],Table1[[#Headers],[Nuevo Testamento]],""),"")</f>
        <v/>
      </c>
      <c r="T40" t="str">
        <f>IFERROR(IF(VLOOKUP(C40,'Antiguo Testamento'!A:C,3,FALSE)=Table1[[#Headers],[Antiguo Testamento]],Table1[[#Headers],[Antiguo Testamento]],""),"")</f>
        <v>Antiguo Testamento</v>
      </c>
      <c r="U40" t="str">
        <f>IFERROR(IF(VLOOKUP(C40,Final!A:C,3,FALSE)=Table1[[#Headers],[Final]],Table1[[#Headers],[Final]],""),"")</f>
        <v/>
      </c>
      <c r="V40" t="str" cm="1">
        <f t="array" ref="V4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/cantos/src/chtml/c/cantadadios.html</v>
      </c>
      <c r="W4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{id:38,title: "Cantad a Dios", subtitle: "Salmo 67 (68) 2.4-7", category: "Precatecumenado", moments: ["","","","","","","","","","","","Laudes","","Antiguo Testamento",""], url: "/cantos/src/chtml/c/cantadadios.html"},</v>
      </c>
    </row>
    <row r="41" spans="1:23" x14ac:dyDescent="0.25">
      <c r="A41">
        <v>32</v>
      </c>
      <c r="B41">
        <v>39</v>
      </c>
      <c r="C41" t="s">
        <v>21</v>
      </c>
      <c r="D41" t="s">
        <v>329</v>
      </c>
      <c r="E41" t="str">
        <f>LOWER(LEFT(Table1[[#This Row],[Canto]],1))</f>
        <v>c</v>
      </c>
      <c r="F41" t="s">
        <v>288</v>
      </c>
      <c r="G41" t="str">
        <f>IFERROR(IF(VLOOKUP(C41,Adviento!A:C,3,FALSE)=Table1[[#Headers],[Adviento]],Table1[[#Headers],[Adviento]],""),"")</f>
        <v/>
      </c>
      <c r="H41" t="str">
        <f>IFERROR(IF(VLOOKUP(C41,Navidad!A:C,3,FALSE)=Table1[[#Headers],[Navidad]],Table1[[#Headers],[Navidad]],""),"")</f>
        <v/>
      </c>
      <c r="I41" t="str">
        <f>IFERROR(IF(VLOOKUP(C41,Cuaresma!A:C,3,FALSE)=Table1[[#Headers],[Cuaresma]],Table1[[#Headers],[Cuaresma]],""),"")</f>
        <v/>
      </c>
      <c r="J41" t="str">
        <f>IFERROR(IF(VLOOKUP(C41,Pascua!A:C,3,FALSE)=Table1[[#Headers],[Pascua]],Table1[[#Headers],[Pascua]],""),"")</f>
        <v/>
      </c>
      <c r="K41" t="str">
        <f>IFERROR(IF(VLOOKUP(C41,Pentecostés!A:C,3,FALSE)=Table1[[#Headers],[Pentecostés]],Table1[[#Headers],[Pentecostés]],""),"")</f>
        <v/>
      </c>
      <c r="L41" t="str">
        <f>IFERROR(IF(VLOOKUP(C41,Entrada!A:C,3,FALSE)=Table1[[#Headers],[Entrada]],Table1[[#Headers],[Entrada]],""),"")</f>
        <v>Entrada</v>
      </c>
      <c r="M41" t="str">
        <f>IFERROR(IF(VLOOKUP(C41,Virgen!A:C,3,FALSE)=Table1[[#Headers],[Virgen]],Table1[[#Headers],[Virgen]],""),"")</f>
        <v/>
      </c>
      <c r="N41" t="str">
        <f>IFERROR(IF(VLOOKUP(C41,Paz!A:C,3,FALSE)=Table1[[#Headers],[Paz]],Table1[[#Headers],[Paz]],""),"")</f>
        <v/>
      </c>
      <c r="O41" t="str">
        <f>IFERROR(IF(VLOOKUP(C41,Pan!A:C,3,FALSE)=Table1[[#Headers],[Pan]],Table1[[#Headers],[Pan]],""),"")</f>
        <v/>
      </c>
      <c r="P41" t="str">
        <f>IFERROR(IF(VLOOKUP(C41,Comunión!A:C,3,FALSE)=Table1[[#Headers],[Comunión]],Table1[[#Headers],[Comunión]],""),"")</f>
        <v/>
      </c>
      <c r="Q41" t="str">
        <f>IFERROR(IF(VLOOKUP(C41,Niños!A:C,3,FALSE)=Table1[[#Headers],[Niños]],Table1[[#Headers],[Niños]],""),"")</f>
        <v/>
      </c>
      <c r="R41" t="str">
        <f>IFERROR(IF(VLOOKUP(C41,Laudes!A:C,3,FALSE)=Table1[[#Headers],[Laudes]],Table1[[#Headers],[Laudes]],""),"")</f>
        <v>Laudes</v>
      </c>
      <c r="S41" t="str">
        <f>IFERROR(IF(VLOOKUP(C41,'Nuevo Testamento'!A:C,3,FALSE)=Table1[[#Headers],[Nuevo Testamento]],Table1[[#Headers],[Nuevo Testamento]],""),"")</f>
        <v/>
      </c>
      <c r="T41" t="str">
        <f>IFERROR(IF(VLOOKUP(C41,'Antiguo Testamento'!A:C,3,FALSE)=Table1[[#Headers],[Antiguo Testamento]],Table1[[#Headers],[Antiguo Testamento]],""),"")</f>
        <v>Antiguo Testamento</v>
      </c>
      <c r="U41" t="str">
        <f>IFERROR(IF(VLOOKUP(C41,Final!A:C,3,FALSE)=Table1[[#Headers],[Final]],Table1[[#Headers],[Final]],""),"")</f>
        <v/>
      </c>
      <c r="V41" t="str" cm="1">
        <f t="array" ref="V4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/cantos/src/chtml/c/cantadalsenor.html</v>
      </c>
      <c r="W4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{id:39,title: "Cantad al Señor", subtitle: "Salmo 117 (116)", category: "Precatecumenado", moments: ["","","","","","Entrada","","","","","","Laudes","","Antiguo Testamento",""], url: "/cantos/src/chtml/c/cantadalsenor.html"},</v>
      </c>
    </row>
    <row r="42" spans="1:23" x14ac:dyDescent="0.25">
      <c r="A42">
        <v>33</v>
      </c>
      <c r="B42">
        <v>40</v>
      </c>
      <c r="C42" t="s">
        <v>120</v>
      </c>
      <c r="D42" t="s">
        <v>330</v>
      </c>
      <c r="E42" t="str">
        <f>LOWER(LEFT(Table1[[#This Row],[Canto]],1))</f>
        <v>c</v>
      </c>
      <c r="F42" t="s">
        <v>288</v>
      </c>
      <c r="G42" t="str">
        <f>IFERROR(IF(VLOOKUP(C42,Adviento!A:C,3,FALSE)=Table1[[#Headers],[Adviento]],Table1[[#Headers],[Adviento]],""),"")</f>
        <v/>
      </c>
      <c r="H42" t="str">
        <f>IFERROR(IF(VLOOKUP(C42,Navidad!A:C,3,FALSE)=Table1[[#Headers],[Navidad]],Table1[[#Headers],[Navidad]],""),"")</f>
        <v/>
      </c>
      <c r="I42" t="str">
        <f>IFERROR(IF(VLOOKUP(C42,Cuaresma!A:C,3,FALSE)=Table1[[#Headers],[Cuaresma]],Table1[[#Headers],[Cuaresma]],""),"")</f>
        <v/>
      </c>
      <c r="J42" t="str">
        <f>IFERROR(IF(VLOOKUP(C42,Pascua!A:C,3,FALSE)=Table1[[#Headers],[Pascua]],Table1[[#Headers],[Pascua]],""),"")</f>
        <v/>
      </c>
      <c r="K42" t="str">
        <f>IFERROR(IF(VLOOKUP(C42,Pentecostés!A:C,3,FALSE)=Table1[[#Headers],[Pentecostés]],Table1[[#Headers],[Pentecostés]],""),"")</f>
        <v/>
      </c>
      <c r="L42" t="str">
        <f>IFERROR(IF(VLOOKUP(C42,Entrada!A:C,3,FALSE)=Table1[[#Headers],[Entrada]],Table1[[#Headers],[Entrada]],""),"")</f>
        <v/>
      </c>
      <c r="M42" t="str">
        <f>IFERROR(IF(VLOOKUP(C42,Virgen!A:C,3,FALSE)=Table1[[#Headers],[Virgen]],Table1[[#Headers],[Virgen]],""),"")</f>
        <v/>
      </c>
      <c r="N42" t="str">
        <f>IFERROR(IF(VLOOKUP(C42,Paz!A:C,3,FALSE)=Table1[[#Headers],[Paz]],Table1[[#Headers],[Paz]],""),"")</f>
        <v/>
      </c>
      <c r="O42" t="str">
        <f>IFERROR(IF(VLOOKUP(C42,Pan!A:C,3,FALSE)=Table1[[#Headers],[Pan]],Table1[[#Headers],[Pan]],""),"")</f>
        <v/>
      </c>
      <c r="P42" t="str">
        <f>IFERROR(IF(VLOOKUP(C42,Comunión!A:C,3,FALSE)=Table1[[#Headers],[Comunión]],Table1[[#Headers],[Comunión]],""),"")</f>
        <v/>
      </c>
      <c r="Q42" t="str">
        <f>IFERROR(IF(VLOOKUP(C42,Niños!A:C,3,FALSE)=Table1[[#Headers],[Niños]],Table1[[#Headers],[Niños]],""),"")</f>
        <v/>
      </c>
      <c r="R42" t="str">
        <f>IFERROR(IF(VLOOKUP(C42,Laudes!A:C,3,FALSE)=Table1[[#Headers],[Laudes]],Table1[[#Headers],[Laudes]],""),"")</f>
        <v>Laudes</v>
      </c>
      <c r="S42" t="str">
        <f>IFERROR(IF(VLOOKUP(C42,'Nuevo Testamento'!A:C,3,FALSE)=Table1[[#Headers],[Nuevo Testamento]],Table1[[#Headers],[Nuevo Testamento]],""),"")</f>
        <v/>
      </c>
      <c r="T42" t="str">
        <f>IFERROR(IF(VLOOKUP(C42,'Antiguo Testamento'!A:C,3,FALSE)=Table1[[#Headers],[Antiguo Testamento]],Table1[[#Headers],[Antiguo Testamento]],""),"")</f>
        <v>Antiguo Testamento</v>
      </c>
      <c r="U42" t="str">
        <f>IFERROR(IF(VLOOKUP(C42,Final!A:C,3,FALSE)=Table1[[#Headers],[Final]],Table1[[#Headers],[Final]],""),"")</f>
        <v/>
      </c>
      <c r="V42" t="str" cm="1">
        <f t="array" ref="V4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/cantos/src/chtml/c/canticodelostresjovenes.html</v>
      </c>
      <c r="W4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{id:40,title: "Cántico de los tres jóvenes", subtitle: "Daniel 3,57-58", category: "Precatecumenado", moments: ["","","","","","","","","","","","Laudes","","Antiguo Testamento",""], url: "/cantos/src/chtml/c/canticodelostresjovenes.html"},</v>
      </c>
    </row>
    <row r="43" spans="1:23" x14ac:dyDescent="0.25">
      <c r="A43">
        <v>246</v>
      </c>
      <c r="B43" s="14">
        <v>41</v>
      </c>
      <c r="C43" s="15" t="s">
        <v>517</v>
      </c>
      <c r="D43" s="15" t="s">
        <v>518</v>
      </c>
      <c r="E43" s="16" t="str">
        <f>LOWER(LEFT(Table1[[#This Row],[Canto]],1))</f>
        <v>c</v>
      </c>
      <c r="F43" t="s">
        <v>288</v>
      </c>
      <c r="G43" s="14" t="str">
        <f>IFERROR(IF(VLOOKUP(C43,Adviento!A:C,3,FALSE)=Table1[[#Headers],[Adviento]],Table1[[#Headers],[Adviento]],""),"")</f>
        <v/>
      </c>
      <c r="H43" s="14" t="str">
        <f>IFERROR(IF(VLOOKUP(C43,Navidad!A:C,3,FALSE)=Table1[[#Headers],[Navidad]],Table1[[#Headers],[Navidad]],""),"")</f>
        <v/>
      </c>
      <c r="I43" s="14" t="str">
        <f>IFERROR(IF(VLOOKUP(C43,Cuaresma!A:C,3,FALSE)=Table1[[#Headers],[Cuaresma]],Table1[[#Headers],[Cuaresma]],""),"")</f>
        <v/>
      </c>
      <c r="J43" s="14" t="str">
        <f>IFERROR(IF(VLOOKUP(C43,Pascua!A:C,3,FALSE)=Table1[[#Headers],[Pascua]],Table1[[#Headers],[Pascua]],""),"")</f>
        <v>Pascua</v>
      </c>
      <c r="K43" s="14" t="str">
        <f>IFERROR(IF(VLOOKUP(C43,Pentecostés!A:C,3,FALSE)=Table1[[#Headers],[Pentecostés]],Table1[[#Headers],[Pentecostés]],""),"")</f>
        <v/>
      </c>
      <c r="L43" s="14" t="str">
        <f>IFERROR(IF(VLOOKUP(C43,Entrada!A:C,3,FALSE)=Table1[[#Headers],[Entrada]],Table1[[#Headers],[Entrada]],""),"")</f>
        <v/>
      </c>
      <c r="M43" s="14" t="str">
        <f>IFERROR(IF(VLOOKUP(C43,Virgen!A:C,3,FALSE)=Table1[[#Headers],[Virgen]],Table1[[#Headers],[Virgen]],""),"")</f>
        <v/>
      </c>
      <c r="N43" s="14" t="str">
        <f>IFERROR(IF(VLOOKUP(C43,Paz!A:C,3,FALSE)=Table1[[#Headers],[Paz]],Table1[[#Headers],[Paz]],""),"")</f>
        <v/>
      </c>
      <c r="O43" s="14" t="str">
        <f>IFERROR(IF(VLOOKUP(C43,Pan!A:C,3,FALSE)=Table1[[#Headers],[Pan]],Table1[[#Headers],[Pan]],""),"")</f>
        <v/>
      </c>
      <c r="P43" s="14" t="str">
        <f>IFERROR(IF(VLOOKUP(C43,Comunión!A:C,3,FALSE)=Table1[[#Headers],[Comunión]],Table1[[#Headers],[Comunión]],""),"")</f>
        <v/>
      </c>
      <c r="Q43" s="14" t="str">
        <f>IFERROR(IF(VLOOKUP(C43,Niños!A:C,3,FALSE)=Table1[[#Headers],[Niños]],Table1[[#Headers],[Niños]],""),"")</f>
        <v>Niños</v>
      </c>
      <c r="R43" s="14" t="str">
        <f>IFERROR(IF(VLOOKUP(C43,Laudes!A:C,3,FALSE)=Table1[[#Headers],[Laudes]],Table1[[#Headers],[Laudes]],""),"")</f>
        <v/>
      </c>
      <c r="S43" s="14" t="str">
        <f>IFERROR(IF(VLOOKUP(C43,'Nuevo Testamento'!A:C,3,FALSE)=Table1[[#Headers],[Nuevo Testamento]],Table1[[#Headers],[Nuevo Testamento]],""),"")</f>
        <v/>
      </c>
      <c r="T43" s="14" t="str">
        <f>IFERROR(IF(VLOOKUP(C43,'Antiguo Testamento'!A:C,3,FALSE)=Table1[[#Headers],[Antiguo Testamento]],Table1[[#Headers],[Antiguo Testamento]],""),"")</f>
        <v/>
      </c>
      <c r="U43" s="14" t="str">
        <f>IFERROR(IF(VLOOKUP(C43,Final!A:C,3,FALSE)=Table1[[#Headers],[Final]],Table1[[#Headers],[Final]],""),"")</f>
        <v/>
      </c>
      <c r="V43" s="14" t="str" cm="1">
        <f t="array" ref="V4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/cantos/src/chtml/c/cantodelosnumeros.html</v>
      </c>
      <c r="W43" s="1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{id:41,title: "Canto de los números", subtitle: "Tradición Hebrea", category: "Precatecumenado", moments: ["","","","Pascua","","","","","","","Niños","","","",""], url: "/cantos/src/chtml/c/cantodelosnumeros.html"},</v>
      </c>
    </row>
    <row r="44" spans="1:23" x14ac:dyDescent="0.25">
      <c r="A44">
        <v>34</v>
      </c>
      <c r="B44" s="14">
        <v>42</v>
      </c>
      <c r="C44" t="s">
        <v>22</v>
      </c>
      <c r="D44" t="s">
        <v>331</v>
      </c>
      <c r="E44" t="str">
        <f>LOWER(LEFT(Table1[[#This Row],[Canto]],1))</f>
        <v>c</v>
      </c>
      <c r="F44" t="s">
        <v>288</v>
      </c>
      <c r="G44" t="str">
        <f>IFERROR(IF(VLOOKUP(C44,Adviento!A:C,3,FALSE)=Table1[[#Headers],[Adviento]],Table1[[#Headers],[Adviento]],""),"")</f>
        <v/>
      </c>
      <c r="H44" t="str">
        <f>IFERROR(IF(VLOOKUP(C44,Navidad!A:C,3,FALSE)=Table1[[#Headers],[Navidad]],Table1[[#Headers],[Navidad]],""),"")</f>
        <v/>
      </c>
      <c r="I44" t="str">
        <f>IFERROR(IF(VLOOKUP(C44,Cuaresma!A:C,3,FALSE)=Table1[[#Headers],[Cuaresma]],Table1[[#Headers],[Cuaresma]],""),"")</f>
        <v/>
      </c>
      <c r="J44" t="str">
        <f>IFERROR(IF(VLOOKUP(C44,Pascua!A:C,3,FALSE)=Table1[[#Headers],[Pascua]],Table1[[#Headers],[Pascua]],""),"")</f>
        <v>Pascua</v>
      </c>
      <c r="K44" t="str">
        <f>IFERROR(IF(VLOOKUP(C44,Pentecostés!A:C,3,FALSE)=Table1[[#Headers],[Pentecostés]],Table1[[#Headers],[Pentecostés]],""),"")</f>
        <v>Pentecostés</v>
      </c>
      <c r="L44" t="str">
        <f>IFERROR(IF(VLOOKUP(C44,Entrada!A:C,3,FALSE)=Table1[[#Headers],[Entrada]],Table1[[#Headers],[Entrada]],""),"")</f>
        <v/>
      </c>
      <c r="M44" t="str">
        <f>IFERROR(IF(VLOOKUP(C44,Virgen!A:C,3,FALSE)=Table1[[#Headers],[Virgen]],Table1[[#Headers],[Virgen]],""),"")</f>
        <v/>
      </c>
      <c r="N44" t="str">
        <f>IFERROR(IF(VLOOKUP(C44,Paz!A:C,3,FALSE)=Table1[[#Headers],[Paz]],Table1[[#Headers],[Paz]],""),"")</f>
        <v/>
      </c>
      <c r="O44" t="str">
        <f>IFERROR(IF(VLOOKUP(C44,Pan!A:C,3,FALSE)=Table1[[#Headers],[Pan]],Table1[[#Headers],[Pan]],""),"")</f>
        <v/>
      </c>
      <c r="P44" t="str">
        <f>IFERROR(IF(VLOOKUP(C44,Comunión!A:C,3,FALSE)=Table1[[#Headers],[Comunión]],Table1[[#Headers],[Comunión]],""),"")</f>
        <v/>
      </c>
      <c r="Q44" t="str">
        <f>IFERROR(IF(VLOOKUP(C44,Niños!A:C,3,FALSE)=Table1[[#Headers],[Niños]],Table1[[#Headers],[Niños]],""),"")</f>
        <v/>
      </c>
      <c r="R44" t="str">
        <f>IFERROR(IF(VLOOKUP(C44,Laudes!A:C,3,FALSE)=Table1[[#Headers],[Laudes]],Table1[[#Headers],[Laudes]],""),"")</f>
        <v/>
      </c>
      <c r="S44" t="str">
        <f>IFERROR(IF(VLOOKUP(C44,'Nuevo Testamento'!A:C,3,FALSE)=Table1[[#Headers],[Nuevo Testamento]],Table1[[#Headers],[Nuevo Testamento]],""),"")</f>
        <v/>
      </c>
      <c r="T44" t="str">
        <f>IFERROR(IF(VLOOKUP(C44,'Antiguo Testamento'!A:C,3,FALSE)=Table1[[#Headers],[Antiguo Testamento]],Table1[[#Headers],[Antiguo Testamento]],""),"")</f>
        <v>Antiguo Testamento</v>
      </c>
      <c r="U44" t="str">
        <f>IFERROR(IF(VLOOKUP(C44,Final!A:C,3,FALSE)=Table1[[#Headers],[Final]],Table1[[#Headers],[Final]],""),"")</f>
        <v/>
      </c>
      <c r="V44" t="str" cm="1">
        <f t="array" ref="V4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/cantos/src/chtml/c/cantodemoises.html</v>
      </c>
      <c r="W4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{id:42,title: "Canto de Moisés", subtitle: "Éxodo 15,1-18", category: "Precatecumenado", moments: ["","","","Pascua","Pentecostés","","","","","","","","","Antiguo Testamento",""], url: "/cantos/src/chtml/c/cantodemoises.html"},</v>
      </c>
    </row>
    <row r="45" spans="1:23" x14ac:dyDescent="0.25">
      <c r="A45">
        <v>35</v>
      </c>
      <c r="B45" s="14">
        <v>43</v>
      </c>
      <c r="C45" t="s">
        <v>121</v>
      </c>
      <c r="D45" t="s">
        <v>332</v>
      </c>
      <c r="E45" t="str">
        <f>LOWER(LEFT(Table1[[#This Row],[Canto]],1))</f>
        <v>c</v>
      </c>
      <c r="F45" t="s">
        <v>288</v>
      </c>
      <c r="G45" t="str">
        <f>IFERROR(IF(VLOOKUP(C45,Adviento!A:C,3,FALSE)=Table1[[#Headers],[Adviento]],Table1[[#Headers],[Adviento]],""),"")</f>
        <v/>
      </c>
      <c r="H45" t="str">
        <f>IFERROR(IF(VLOOKUP(C45,Navidad!A:C,3,FALSE)=Table1[[#Headers],[Navidad]],Table1[[#Headers],[Navidad]],""),"")</f>
        <v/>
      </c>
      <c r="I45" t="str">
        <f>IFERROR(IF(VLOOKUP(C45,Cuaresma!A:C,3,FALSE)=Table1[[#Headers],[Cuaresma]],Table1[[#Headers],[Cuaresma]],""),"")</f>
        <v>Cuaresma</v>
      </c>
      <c r="J45" t="str">
        <f>IFERROR(IF(VLOOKUP(C45,Pascua!A:C,3,FALSE)=Table1[[#Headers],[Pascua]],Table1[[#Headers],[Pascua]],""),"")</f>
        <v/>
      </c>
      <c r="K45" t="str">
        <f>IFERROR(IF(VLOOKUP(C45,Pentecostés!A:C,3,FALSE)=Table1[[#Headers],[Pentecostés]],Table1[[#Headers],[Pentecostés]],""),"")</f>
        <v/>
      </c>
      <c r="L45" t="str">
        <f>IFERROR(IF(VLOOKUP(C45,Entrada!A:C,3,FALSE)=Table1[[#Headers],[Entrada]],Table1[[#Headers],[Entrada]],""),"")</f>
        <v/>
      </c>
      <c r="M45" t="str">
        <f>IFERROR(IF(VLOOKUP(C45,Virgen!A:C,3,FALSE)=Table1[[#Headers],[Virgen]],Table1[[#Headers],[Virgen]],""),"")</f>
        <v/>
      </c>
      <c r="N45" t="str">
        <f>IFERROR(IF(VLOOKUP(C45,Paz!A:C,3,FALSE)=Table1[[#Headers],[Paz]],Table1[[#Headers],[Paz]],""),"")</f>
        <v/>
      </c>
      <c r="O45" t="str">
        <f>IFERROR(IF(VLOOKUP(C45,Pan!A:C,3,FALSE)=Table1[[#Headers],[Pan]],Table1[[#Headers],[Pan]],""),"")</f>
        <v/>
      </c>
      <c r="P45" t="str">
        <f>IFERROR(IF(VLOOKUP(C45,Comunión!A:C,3,FALSE)=Table1[[#Headers],[Comunión]],Table1[[#Headers],[Comunión]],""),"")</f>
        <v/>
      </c>
      <c r="Q45" t="str">
        <f>IFERROR(IF(VLOOKUP(C45,Niños!A:C,3,FALSE)=Table1[[#Headers],[Niños]],Table1[[#Headers],[Niños]],""),"")</f>
        <v/>
      </c>
      <c r="R45" t="str">
        <f>IFERROR(IF(VLOOKUP(C45,Laudes!A:C,3,FALSE)=Table1[[#Headers],[Laudes]],Table1[[#Headers],[Laudes]],""),"")</f>
        <v/>
      </c>
      <c r="S45" t="str">
        <f>IFERROR(IF(VLOOKUP(C45,'Nuevo Testamento'!A:C,3,FALSE)=Table1[[#Headers],[Nuevo Testamento]],Table1[[#Headers],[Nuevo Testamento]],""),"")</f>
        <v>Nuevo Testamento</v>
      </c>
      <c r="T45" t="str">
        <f>IFERROR(IF(VLOOKUP(C45,'Antiguo Testamento'!A:C,3,FALSE)=Table1[[#Headers],[Antiguo Testamento]],Table1[[#Headers],[Antiguo Testamento]],""),"")</f>
        <v/>
      </c>
      <c r="U45" t="str">
        <f>IFERROR(IF(VLOOKUP(C45,Final!A:C,3,FALSE)=Table1[[#Headers],[Final]],Table1[[#Headers],[Final]],""),"")</f>
        <v/>
      </c>
      <c r="V45" t="str" cm="1">
        <f t="array" ref="V4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/cantos/src/chtml/c/caritaschristiurgetnos.html</v>
      </c>
      <c r="W4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{id:43,title: "Caritas Christi urget nos", subtitle: "2ª Corintios 5,14.15.17.21", category: "Precatecumenado", moments: ["","","Cuaresma","","","","","","","","","","Nuevo Testamento","",""], url: "/cantos/src/chtml/c/caritaschristiurgetnos.html"},</v>
      </c>
    </row>
    <row r="46" spans="1:23" x14ac:dyDescent="0.25">
      <c r="A46">
        <v>36</v>
      </c>
      <c r="B46" s="14">
        <v>44</v>
      </c>
      <c r="C46" t="s">
        <v>122</v>
      </c>
      <c r="D46" t="s">
        <v>333</v>
      </c>
      <c r="E46" t="str">
        <f>LOWER(LEFT(Table1[[#This Row],[Canto]],1))</f>
        <v>c</v>
      </c>
      <c r="F46" t="s">
        <v>288</v>
      </c>
      <c r="G46" t="str">
        <f>IFERROR(IF(VLOOKUP(C46,Adviento!A:C,3,FALSE)=Table1[[#Headers],[Adviento]],Table1[[#Headers],[Adviento]],""),"")</f>
        <v/>
      </c>
      <c r="H46" t="str">
        <f>IFERROR(IF(VLOOKUP(C46,Navidad!A:C,3,FALSE)=Table1[[#Headers],[Navidad]],Table1[[#Headers],[Navidad]],""),"")</f>
        <v/>
      </c>
      <c r="I46" t="str">
        <f>IFERROR(IF(VLOOKUP(C46,Cuaresma!A:C,3,FALSE)=Table1[[#Headers],[Cuaresma]],Table1[[#Headers],[Cuaresma]],""),"")</f>
        <v/>
      </c>
      <c r="J46" t="str">
        <f>IFERROR(IF(VLOOKUP(C46,Pascua!A:C,3,FALSE)=Table1[[#Headers],[Pascua]],Table1[[#Headers],[Pascua]],""),"")</f>
        <v/>
      </c>
      <c r="K46" t="str">
        <f>IFERROR(IF(VLOOKUP(C46,Pentecostés!A:C,3,FALSE)=Table1[[#Headers],[Pentecostés]],Table1[[#Headers],[Pentecostés]],""),"")</f>
        <v/>
      </c>
      <c r="L46" t="str">
        <f>IFERROR(IF(VLOOKUP(C46,Entrada!A:C,3,FALSE)=Table1[[#Headers],[Entrada]],Table1[[#Headers],[Entrada]],""),"")</f>
        <v/>
      </c>
      <c r="M46" t="str">
        <f>IFERROR(IF(VLOOKUP(C46,Virgen!A:C,3,FALSE)=Table1[[#Headers],[Virgen]],Table1[[#Headers],[Virgen]],""),"")</f>
        <v/>
      </c>
      <c r="N46" t="str">
        <f>IFERROR(IF(VLOOKUP(C46,Paz!A:C,3,FALSE)=Table1[[#Headers],[Paz]],Table1[[#Headers],[Paz]],""),"")</f>
        <v/>
      </c>
      <c r="O46" t="str">
        <f>IFERROR(IF(VLOOKUP(C46,Pan!A:C,3,FALSE)=Table1[[#Headers],[Pan]],Table1[[#Headers],[Pan]],""),"")</f>
        <v/>
      </c>
      <c r="P46" t="str">
        <f>IFERROR(IF(VLOOKUP(C46,Comunión!A:C,3,FALSE)=Table1[[#Headers],[Comunión]],Table1[[#Headers],[Comunión]],""),"")</f>
        <v>Comunión</v>
      </c>
      <c r="Q46" t="str">
        <f>IFERROR(IF(VLOOKUP(C46,Niños!A:C,3,FALSE)=Table1[[#Headers],[Niños]],Table1[[#Headers],[Niños]],""),"")</f>
        <v/>
      </c>
      <c r="R46" t="str">
        <f>IFERROR(IF(VLOOKUP(C46,Laudes!A:C,3,FALSE)=Table1[[#Headers],[Laudes]],Table1[[#Headers],[Laudes]],""),"")</f>
        <v/>
      </c>
      <c r="S46" t="str">
        <f>IFERROR(IF(VLOOKUP(C46,'Nuevo Testamento'!A:C,3,FALSE)=Table1[[#Headers],[Nuevo Testamento]],Table1[[#Headers],[Nuevo Testamento]],""),"")</f>
        <v/>
      </c>
      <c r="T46" t="str">
        <f>IFERROR(IF(VLOOKUP(C46,'Antiguo Testamento'!A:C,3,FALSE)=Table1[[#Headers],[Antiguo Testamento]],Table1[[#Headers],[Antiguo Testamento]],""),"")</f>
        <v/>
      </c>
      <c r="U46" t="str">
        <f>IFERROR(IF(VLOOKUP(C46,Final!A:C,3,FALSE)=Table1[[#Headers],[Final]],Table1[[#Headers],[Final]],""),"")</f>
        <v>Final</v>
      </c>
      <c r="V46" t="str" cm="1">
        <f t="array" ref="V4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/cantos/src/chtml/c/carmen63.html</v>
      </c>
      <c r="W4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{id:44,title: "Carmen 63", subtitle: "(Rabindranath Tagore)*", category: "Precatecumenado", moments: ["","","","","","","","","","Comunión","","","","","Final"], url: "/cantos/src/chtml/c/carmen63.html"},</v>
      </c>
    </row>
    <row r="47" spans="1:23" x14ac:dyDescent="0.25">
      <c r="A47">
        <v>185</v>
      </c>
      <c r="B47" s="14">
        <v>45</v>
      </c>
      <c r="C47" t="s">
        <v>233</v>
      </c>
      <c r="D47" t="s">
        <v>334</v>
      </c>
      <c r="E47" t="str">
        <f>LOWER(LEFT(Table1[[#This Row],[Canto]],1))</f>
        <v>c</v>
      </c>
      <c r="F47" s="12" t="s">
        <v>289</v>
      </c>
      <c r="G47" t="str">
        <f>IFERROR(IF(VLOOKUP(C47,Adviento!A:C,3,FALSE)=Table1[[#Headers],[Adviento]],Table1[[#Headers],[Adviento]],""),"")</f>
        <v/>
      </c>
      <c r="H47" t="str">
        <f>IFERROR(IF(VLOOKUP(C47,Navidad!A:C,3,FALSE)=Table1[[#Headers],[Navidad]],Table1[[#Headers],[Navidad]],""),"")</f>
        <v/>
      </c>
      <c r="I47" t="str">
        <f>IFERROR(IF(VLOOKUP(C47,Cuaresma!A:C,3,FALSE)=Table1[[#Headers],[Cuaresma]],Table1[[#Headers],[Cuaresma]],""),"")</f>
        <v/>
      </c>
      <c r="J47" t="str">
        <f>IFERROR(IF(VLOOKUP(C47,Pascua!A:C,3,FALSE)=Table1[[#Headers],[Pascua]],Table1[[#Headers],[Pascua]],""),"")</f>
        <v/>
      </c>
      <c r="K47" t="str">
        <f>IFERROR(IF(VLOOKUP(C47,Pentecostés!A:C,3,FALSE)=Table1[[#Headers],[Pentecostés]],Table1[[#Headers],[Pentecostés]],""),"")</f>
        <v/>
      </c>
      <c r="L47" t="str">
        <f>IFERROR(IF(VLOOKUP(C47,Entrada!A:C,3,FALSE)=Table1[[#Headers],[Entrada]],Table1[[#Headers],[Entrada]],""),"")</f>
        <v/>
      </c>
      <c r="M47" t="str">
        <f>IFERROR(IF(VLOOKUP(C47,Virgen!A:C,3,FALSE)=Table1[[#Headers],[Virgen]],Table1[[#Headers],[Virgen]],""),"")</f>
        <v/>
      </c>
      <c r="N47" t="str">
        <f>IFERROR(IF(VLOOKUP(C47,Paz!A:C,3,FALSE)=Table1[[#Headers],[Paz]],Table1[[#Headers],[Paz]],""),"")</f>
        <v/>
      </c>
      <c r="O47" t="str">
        <f>IFERROR(IF(VLOOKUP(C47,Pan!A:C,3,FALSE)=Table1[[#Headers],[Pan]],Table1[[#Headers],[Pan]],""),"")</f>
        <v/>
      </c>
      <c r="P47" t="str">
        <f>IFERROR(IF(VLOOKUP(C47,Comunión!A:C,3,FALSE)=Table1[[#Headers],[Comunión]],Table1[[#Headers],[Comunión]],""),"")</f>
        <v/>
      </c>
      <c r="Q47" t="str">
        <f>IFERROR(IF(VLOOKUP(C47,Niños!A:C,3,FALSE)=Table1[[#Headers],[Niños]],Table1[[#Headers],[Niños]],""),"")</f>
        <v/>
      </c>
      <c r="R47" t="str">
        <f>IFERROR(IF(VLOOKUP(C47,Laudes!A:C,3,FALSE)=Table1[[#Headers],[Laudes]],Table1[[#Headers],[Laudes]],""),"")</f>
        <v/>
      </c>
      <c r="S47" t="str">
        <f>IFERROR(IF(VLOOKUP(C47,'Nuevo Testamento'!A:C,3,FALSE)=Table1[[#Headers],[Nuevo Testamento]],Table1[[#Headers],[Nuevo Testamento]],""),"")</f>
        <v/>
      </c>
      <c r="T47" t="str">
        <f>IFERROR(IF(VLOOKUP(C47,'Antiguo Testamento'!A:C,3,FALSE)=Table1[[#Headers],[Antiguo Testamento]],Table1[[#Headers],[Antiguo Testamento]],""),"")</f>
        <v/>
      </c>
      <c r="U47" t="str">
        <f>IFERROR(IF(VLOOKUP(C47,Final!A:C,3,FALSE)=Table1[[#Headers],[Final]],Table1[[#Headers],[Final]],""),"")</f>
        <v/>
      </c>
      <c r="V47" t="str" cm="1">
        <f t="array" ref="V4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/cantos/src/chtml/c/celebracionpenitencial(bendicionpenitencial).html</v>
      </c>
      <c r="W4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{id:45,title: "Celebración penitencial (Bendición penitencial )", subtitle: "Acción de gracias", category: "Liturgia", moments: ["","","","","","","","","","","","","","",""], url: "/cantos/src/chtml/c/celebracionpenitencial(bendicionpenitencial).html"},</v>
      </c>
    </row>
    <row r="48" spans="1:23" x14ac:dyDescent="0.25">
      <c r="A48">
        <v>37</v>
      </c>
      <c r="B48" s="14">
        <v>46</v>
      </c>
      <c r="C48" t="s">
        <v>123</v>
      </c>
      <c r="D48" t="s">
        <v>335</v>
      </c>
      <c r="E48" t="str">
        <f>LOWER(LEFT(Table1[[#This Row],[Canto]],1))</f>
        <v>c</v>
      </c>
      <c r="F48" t="s">
        <v>288</v>
      </c>
      <c r="G48" t="str">
        <f>IFERROR(IF(VLOOKUP(C48,Adviento!A:C,3,FALSE)=Table1[[#Headers],[Adviento]],Table1[[#Headers],[Adviento]],""),"")</f>
        <v/>
      </c>
      <c r="H48" t="str">
        <f>IFERROR(IF(VLOOKUP(C48,Navidad!A:C,3,FALSE)=Table1[[#Headers],[Navidad]],Table1[[#Headers],[Navidad]],""),"")</f>
        <v/>
      </c>
      <c r="I48" t="str">
        <f>IFERROR(IF(VLOOKUP(C48,Cuaresma!A:C,3,FALSE)=Table1[[#Headers],[Cuaresma]],Table1[[#Headers],[Cuaresma]],""),"")</f>
        <v/>
      </c>
      <c r="J48" t="str">
        <f>IFERROR(IF(VLOOKUP(C48,Pascua!A:C,3,FALSE)=Table1[[#Headers],[Pascua]],Table1[[#Headers],[Pascua]],""),"")</f>
        <v/>
      </c>
      <c r="K48" t="str">
        <f>IFERROR(IF(VLOOKUP(C48,Pentecostés!A:C,3,FALSE)=Table1[[#Headers],[Pentecostés]],Table1[[#Headers],[Pentecostés]],""),"")</f>
        <v/>
      </c>
      <c r="L48" t="str">
        <f>IFERROR(IF(VLOOKUP(C48,Entrada!A:C,3,FALSE)=Table1[[#Headers],[Entrada]],Table1[[#Headers],[Entrada]],""),"")</f>
        <v/>
      </c>
      <c r="M48" t="str">
        <f>IFERROR(IF(VLOOKUP(C48,Virgen!A:C,3,FALSE)=Table1[[#Headers],[Virgen]],Table1[[#Headers],[Virgen]],""),"")</f>
        <v/>
      </c>
      <c r="N48" t="str">
        <f>IFERROR(IF(VLOOKUP(C48,Paz!A:C,3,FALSE)=Table1[[#Headers],[Paz]],Table1[[#Headers],[Paz]],""),"")</f>
        <v/>
      </c>
      <c r="O48" t="str">
        <f>IFERROR(IF(VLOOKUP(C48,Pan!A:C,3,FALSE)=Table1[[#Headers],[Pan]],Table1[[#Headers],[Pan]],""),"")</f>
        <v/>
      </c>
      <c r="P48" t="str">
        <f>IFERROR(IF(VLOOKUP(C48,Comunión!A:C,3,FALSE)=Table1[[#Headers],[Comunión]],Table1[[#Headers],[Comunión]],""),"")</f>
        <v/>
      </c>
      <c r="Q48" t="str">
        <f>IFERROR(IF(VLOOKUP(C48,Niños!A:C,3,FALSE)=Table1[[#Headers],[Niños]],Table1[[#Headers],[Niños]],""),"")</f>
        <v/>
      </c>
      <c r="R48" t="str">
        <f>IFERROR(IF(VLOOKUP(C48,Laudes!A:C,3,FALSE)=Table1[[#Headers],[Laudes]],Table1[[#Headers],[Laudes]],""),"")</f>
        <v/>
      </c>
      <c r="S48" t="str">
        <f>IFERROR(IF(VLOOKUP(C48,'Nuevo Testamento'!A:C,3,FALSE)=Table1[[#Headers],[Nuevo Testamento]],Table1[[#Headers],[Nuevo Testamento]],""),"")</f>
        <v>Nuevo Testamento</v>
      </c>
      <c r="T48" t="str">
        <f>IFERROR(IF(VLOOKUP(C48,'Antiguo Testamento'!A:C,3,FALSE)=Table1[[#Headers],[Antiguo Testamento]],Table1[[#Headers],[Antiguo Testamento]],""),"")</f>
        <v/>
      </c>
      <c r="U48" t="str">
        <f>IFERROR(IF(VLOOKUP(C48,Final!A:C,3,FALSE)=Table1[[#Headers],[Final]],Table1[[#Headers],[Final]],""),"")</f>
        <v/>
      </c>
      <c r="V48" t="str" cm="1">
        <f t="array" ref="V4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/cantos/src/chtml/c/comocondenadosamuerte.html</v>
      </c>
      <c r="W4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{id:46,title: "Como condenados a muerte", subtitle: "1ª Corintios 4,9-13", category: "Precatecumenado", moments: ["","","","","","","","","","","","","Nuevo Testamento","",""], url: "/cantos/src/chtml/c/comocondenadosamuerte.html"},</v>
      </c>
    </row>
    <row r="49" spans="1:23" x14ac:dyDescent="0.25">
      <c r="A49">
        <v>239</v>
      </c>
      <c r="B49" s="14">
        <v>47</v>
      </c>
      <c r="C49" t="s">
        <v>124</v>
      </c>
      <c r="D49" t="s">
        <v>336</v>
      </c>
      <c r="E49" t="str">
        <f>LOWER(LEFT(Table1[[#This Row],[Canto]],1))</f>
        <v>c</v>
      </c>
      <c r="F49" s="11" t="s">
        <v>287</v>
      </c>
      <c r="G49" t="str">
        <f>IFERROR(IF(VLOOKUP(C49,Adviento!A:C,3,FALSE)=Table1[[#Headers],[Adviento]],Table1[[#Headers],[Adviento]],""),"")</f>
        <v/>
      </c>
      <c r="H49" t="str">
        <f>IFERROR(IF(VLOOKUP(C49,Navidad!A:C,3,FALSE)=Table1[[#Headers],[Navidad]],Table1[[#Headers],[Navidad]],""),"")</f>
        <v/>
      </c>
      <c r="I49" t="str">
        <f>IFERROR(IF(VLOOKUP(C49,Cuaresma!A:C,3,FALSE)=Table1[[#Headers],[Cuaresma]],Table1[[#Headers],[Cuaresma]],""),"")</f>
        <v/>
      </c>
      <c r="J49" t="str">
        <f>IFERROR(IF(VLOOKUP(C49,Pascua!A:C,3,FALSE)=Table1[[#Headers],[Pascua]],Table1[[#Headers],[Pascua]],""),"")</f>
        <v/>
      </c>
      <c r="K49" t="str">
        <f>IFERROR(IF(VLOOKUP(C49,Pentecostés!A:C,3,FALSE)=Table1[[#Headers],[Pentecostés]],Table1[[#Headers],[Pentecostés]],""),"")</f>
        <v/>
      </c>
      <c r="L49" t="str">
        <f>IFERROR(IF(VLOOKUP(C49,Entrada!A:C,3,FALSE)=Table1[[#Headers],[Entrada]],Table1[[#Headers],[Entrada]],""),"")</f>
        <v/>
      </c>
      <c r="M49" t="str">
        <f>IFERROR(IF(VLOOKUP(C49,Virgen!A:C,3,FALSE)=Table1[[#Headers],[Virgen]],Table1[[#Headers],[Virgen]],""),"")</f>
        <v/>
      </c>
      <c r="N49" t="str">
        <f>IFERROR(IF(VLOOKUP(C49,Paz!A:C,3,FALSE)=Table1[[#Headers],[Paz]],Table1[[#Headers],[Paz]],""),"")</f>
        <v/>
      </c>
      <c r="O49" t="str">
        <f>IFERROR(IF(VLOOKUP(C49,Pan!A:C,3,FALSE)=Table1[[#Headers],[Pan]],Table1[[#Headers],[Pan]],""),"")</f>
        <v/>
      </c>
      <c r="P49" t="str">
        <f>IFERROR(IF(VLOOKUP(C49,Comunión!A:C,3,FALSE)=Table1[[#Headers],[Comunión]],Table1[[#Headers],[Comunión]],""),"")</f>
        <v/>
      </c>
      <c r="Q49" t="str">
        <f>IFERROR(IF(VLOOKUP(C49,Niños!A:C,3,FALSE)=Table1[[#Headers],[Niños]],Table1[[#Headers],[Niños]],""),"")</f>
        <v/>
      </c>
      <c r="R49" t="str">
        <f>IFERROR(IF(VLOOKUP(C49,Laudes!A:C,3,FALSE)=Table1[[#Headers],[Laudes]],Table1[[#Headers],[Laudes]],""),"")</f>
        <v/>
      </c>
      <c r="S49" t="str">
        <f>IFERROR(IF(VLOOKUP(C49,'Nuevo Testamento'!A:C,3,FALSE)=Table1[[#Headers],[Nuevo Testamento]],Table1[[#Headers],[Nuevo Testamento]],""),"")</f>
        <v/>
      </c>
      <c r="T49" t="str">
        <f>IFERROR(IF(VLOOKUP(C49,'Antiguo Testamento'!A:C,3,FALSE)=Table1[[#Headers],[Antiguo Testamento]],Table1[[#Headers],[Antiguo Testamento]],""),"")</f>
        <v/>
      </c>
      <c r="U49" t="str">
        <f>IFERROR(IF(VLOOKUP(C49,Final!A:C,3,FALSE)=Table1[[#Headers],[Final]],Table1[[#Headers],[Final]],""),"")</f>
        <v/>
      </c>
      <c r="V49" t="str" cm="1">
        <f t="array" ref="V4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/cantos/src/chtml/c/comodestilalamiel.html</v>
      </c>
      <c r="W4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{id:47,title: "Como destila la miel", subtitle: "Oda XL de Salomón", category: "Eleccion", moments: ["","","","","","","","","","","","","","",""], url: "/cantos/src/chtml/c/comodestilalamiel.html"},</v>
      </c>
    </row>
    <row r="50" spans="1:23" x14ac:dyDescent="0.25">
      <c r="A50">
        <v>221</v>
      </c>
      <c r="B50" s="14">
        <v>48</v>
      </c>
      <c r="C50" t="s">
        <v>125</v>
      </c>
      <c r="D50" t="s">
        <v>337</v>
      </c>
      <c r="E50" t="str">
        <f>LOWER(LEFT(Table1[[#This Row],[Canto]],1))</f>
        <v>c</v>
      </c>
      <c r="F50" s="13" t="s">
        <v>290</v>
      </c>
      <c r="G50" t="str">
        <f>IFERROR(IF(VLOOKUP(C50,Adviento!A:C,3,FALSE)=Table1[[#Headers],[Adviento]],Table1[[#Headers],[Adviento]],""),"")</f>
        <v/>
      </c>
      <c r="H50" t="str">
        <f>IFERROR(IF(VLOOKUP(C50,Navidad!A:C,3,FALSE)=Table1[[#Headers],[Navidad]],Table1[[#Headers],[Navidad]],""),"")</f>
        <v/>
      </c>
      <c r="I50" t="str">
        <f>IFERROR(IF(VLOOKUP(C50,Cuaresma!A:C,3,FALSE)=Table1[[#Headers],[Cuaresma]],Table1[[#Headers],[Cuaresma]],""),"")</f>
        <v/>
      </c>
      <c r="J50" t="str">
        <f>IFERROR(IF(VLOOKUP(C50,Pascua!A:C,3,FALSE)=Table1[[#Headers],[Pascua]],Table1[[#Headers],[Pascua]],""),"")</f>
        <v/>
      </c>
      <c r="K50" t="str">
        <f>IFERROR(IF(VLOOKUP(C50,Pentecostés!A:C,3,FALSE)=Table1[[#Headers],[Pentecostés]],Table1[[#Headers],[Pentecostés]],""),"")</f>
        <v/>
      </c>
      <c r="L50" t="str">
        <f>IFERROR(IF(VLOOKUP(C50,Entrada!A:C,3,FALSE)=Table1[[#Headers],[Entrada]],Table1[[#Headers],[Entrada]],""),"")</f>
        <v/>
      </c>
      <c r="M50" t="str">
        <f>IFERROR(IF(VLOOKUP(C50,Virgen!A:C,3,FALSE)=Table1[[#Headers],[Virgen]],Table1[[#Headers],[Virgen]],""),"")</f>
        <v/>
      </c>
      <c r="N50" t="str">
        <f>IFERROR(IF(VLOOKUP(C50,Paz!A:C,3,FALSE)=Table1[[#Headers],[Paz]],Table1[[#Headers],[Paz]],""),"")</f>
        <v/>
      </c>
      <c r="O50" t="str">
        <f>IFERROR(IF(VLOOKUP(C50,Pan!A:C,3,FALSE)=Table1[[#Headers],[Pan]],Table1[[#Headers],[Pan]],""),"")</f>
        <v/>
      </c>
      <c r="P50" t="str">
        <f>IFERROR(IF(VLOOKUP(C50,Comunión!A:C,3,FALSE)=Table1[[#Headers],[Comunión]],Table1[[#Headers],[Comunión]],""),"")</f>
        <v/>
      </c>
      <c r="Q50" t="str">
        <f>IFERROR(IF(VLOOKUP(C50,Niños!A:C,3,FALSE)=Table1[[#Headers],[Niños]],Table1[[#Headers],[Niños]],""),"")</f>
        <v/>
      </c>
      <c r="R50" t="str">
        <f>IFERROR(IF(VLOOKUP(C50,Laudes!A:C,3,FALSE)=Table1[[#Headers],[Laudes]],Table1[[#Headers],[Laudes]],""),"")</f>
        <v>Laudes</v>
      </c>
      <c r="S50" t="str">
        <f>IFERROR(IF(VLOOKUP(C50,'Nuevo Testamento'!A:C,3,FALSE)=Table1[[#Headers],[Nuevo Testamento]],Table1[[#Headers],[Nuevo Testamento]],""),"")</f>
        <v/>
      </c>
      <c r="T50" t="str">
        <f>IFERROR(IF(VLOOKUP(C50,'Antiguo Testamento'!A:C,3,FALSE)=Table1[[#Headers],[Antiguo Testamento]],Table1[[#Headers],[Antiguo Testamento]],""),"")</f>
        <v/>
      </c>
      <c r="U50" t="str">
        <f>IFERROR(IF(VLOOKUP(C50,Final!A:C,3,FALSE)=Table1[[#Headers],[Final]],Table1[[#Headers],[Final]],""),"")</f>
        <v/>
      </c>
      <c r="V50" t="str" cm="1">
        <f t="array" ref="V5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/cantos/src/chtml/c/comoelimpulsoquesientelaira.html</v>
      </c>
      <c r="W5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{id:48,title: "Como el impulso que siente la ira", subtitle: "Oda VII de Salomón", category: "Catecumenado", moments: ["","","","","","","","","","","","Laudes","","",""], url: "/cantos/src/chtml/c/comoelimpulsoquesientelaira.html"},</v>
      </c>
    </row>
    <row r="51" spans="1:23" x14ac:dyDescent="0.25">
      <c r="A51">
        <v>38</v>
      </c>
      <c r="B51" s="14">
        <v>49</v>
      </c>
      <c r="C51" t="s">
        <v>23</v>
      </c>
      <c r="D51" t="s">
        <v>338</v>
      </c>
      <c r="E51" t="str">
        <f>LOWER(LEFT(Table1[[#This Row],[Canto]],1))</f>
        <v>c</v>
      </c>
      <c r="F51" t="s">
        <v>288</v>
      </c>
      <c r="G51" t="str">
        <f>IFERROR(IF(VLOOKUP(C51,Adviento!A:C,3,FALSE)=Table1[[#Headers],[Adviento]],Table1[[#Headers],[Adviento]],""),"")</f>
        <v/>
      </c>
      <c r="H51" t="str">
        <f>IFERROR(IF(VLOOKUP(C51,Navidad!A:C,3,FALSE)=Table1[[#Headers],[Navidad]],Table1[[#Headers],[Navidad]],""),"")</f>
        <v/>
      </c>
      <c r="I51" t="str">
        <f>IFERROR(IF(VLOOKUP(C51,Cuaresma!A:C,3,FALSE)=Table1[[#Headers],[Cuaresma]],Table1[[#Headers],[Cuaresma]],""),"")</f>
        <v/>
      </c>
      <c r="J51" t="str">
        <f>IFERROR(IF(VLOOKUP(C51,Pascua!A:C,3,FALSE)=Table1[[#Headers],[Pascua]],Table1[[#Headers],[Pascua]],""),"")</f>
        <v/>
      </c>
      <c r="K51" t="str">
        <f>IFERROR(IF(VLOOKUP(C51,Pentecostés!A:C,3,FALSE)=Table1[[#Headers],[Pentecostés]],Table1[[#Headers],[Pentecostés]],""),"")</f>
        <v/>
      </c>
      <c r="L51" t="str">
        <f>IFERROR(IF(VLOOKUP(C51,Entrada!A:C,3,FALSE)=Table1[[#Headers],[Entrada]],Table1[[#Headers],[Entrada]],""),"")</f>
        <v/>
      </c>
      <c r="M51" t="str">
        <f>IFERROR(IF(VLOOKUP(C51,Virgen!A:C,3,FALSE)=Table1[[#Headers],[Virgen]],Table1[[#Headers],[Virgen]],""),"")</f>
        <v/>
      </c>
      <c r="N51" t="str">
        <f>IFERROR(IF(VLOOKUP(C51,Paz!A:C,3,FALSE)=Table1[[#Headers],[Paz]],Table1[[#Headers],[Paz]],""),"")</f>
        <v>Paz</v>
      </c>
      <c r="O51" t="str">
        <f>IFERROR(IF(VLOOKUP(C51,Pan!A:C,3,FALSE)=Table1[[#Headers],[Pan]],Table1[[#Headers],[Pan]],""),"")</f>
        <v/>
      </c>
      <c r="P51" t="str">
        <f>IFERROR(IF(VLOOKUP(C51,Comunión!A:C,3,FALSE)=Table1[[#Headers],[Comunión]],Table1[[#Headers],[Comunión]],""),"")</f>
        <v/>
      </c>
      <c r="Q51" t="str">
        <f>IFERROR(IF(VLOOKUP(C51,Niños!A:C,3,FALSE)=Table1[[#Headers],[Niños]],Table1[[#Headers],[Niños]],""),"")</f>
        <v/>
      </c>
      <c r="R51" t="str">
        <f>IFERROR(IF(VLOOKUP(C51,Laudes!A:C,3,FALSE)=Table1[[#Headers],[Laudes]],Table1[[#Headers],[Laudes]],""),"")</f>
        <v/>
      </c>
      <c r="S51" t="str">
        <f>IFERROR(IF(VLOOKUP(C51,'Nuevo Testamento'!A:C,3,FALSE)=Table1[[#Headers],[Nuevo Testamento]],Table1[[#Headers],[Nuevo Testamento]],""),"")</f>
        <v/>
      </c>
      <c r="T51" t="str">
        <f>IFERROR(IF(VLOOKUP(C51,'Antiguo Testamento'!A:C,3,FALSE)=Table1[[#Headers],[Antiguo Testamento]],Table1[[#Headers],[Antiguo Testamento]],""),"")</f>
        <v>Antiguo Testamento</v>
      </c>
      <c r="U51" t="str">
        <f>IFERROR(IF(VLOOKUP(C51,Final!A:C,3,FALSE)=Table1[[#Headers],[Final]],Table1[[#Headers],[Final]],""),"")</f>
        <v/>
      </c>
      <c r="V51" t="str" cm="1">
        <f t="array" ref="V5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/cantos/src/chtml/c/comoesmaravilloso.html</v>
      </c>
      <c r="W5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{id:49,title: "Cómo es maravilloso", subtitle: "Salmo 133 (132)", category: "Precatecumenado", moments: ["","","","","","","","Paz","","","","","","Antiguo Testamento",""], url: "/cantos/src/chtml/c/comoesmaravilloso.html"},</v>
      </c>
    </row>
    <row r="52" spans="1:23" x14ac:dyDescent="0.25">
      <c r="A52">
        <v>39</v>
      </c>
      <c r="B52" s="14">
        <v>50</v>
      </c>
      <c r="C52" t="s">
        <v>24</v>
      </c>
      <c r="D52" t="s">
        <v>339</v>
      </c>
      <c r="E52" t="str">
        <f>LOWER(LEFT(Table1[[#This Row],[Canto]],1))</f>
        <v>c</v>
      </c>
      <c r="F52" t="s">
        <v>288</v>
      </c>
      <c r="G52" t="str">
        <f>IFERROR(IF(VLOOKUP(C52,Adviento!A:C,3,FALSE)=Table1[[#Headers],[Adviento]],Table1[[#Headers],[Adviento]],""),"")</f>
        <v/>
      </c>
      <c r="H52" t="str">
        <f>IFERROR(IF(VLOOKUP(C52,Navidad!A:C,3,FALSE)=Table1[[#Headers],[Navidad]],Table1[[#Headers],[Navidad]],""),"")</f>
        <v/>
      </c>
      <c r="I52" t="str">
        <f>IFERROR(IF(VLOOKUP(C52,Cuaresma!A:C,3,FALSE)=Table1[[#Headers],[Cuaresma]],Table1[[#Headers],[Cuaresma]],""),"")</f>
        <v>Cuaresma</v>
      </c>
      <c r="J52" t="str">
        <f>IFERROR(IF(VLOOKUP(C52,Pascua!A:C,3,FALSE)=Table1[[#Headers],[Pascua]],Table1[[#Headers],[Pascua]],""),"")</f>
        <v/>
      </c>
      <c r="K52" t="str">
        <f>IFERROR(IF(VLOOKUP(C52,Pentecostés!A:C,3,FALSE)=Table1[[#Headers],[Pentecostés]],Table1[[#Headers],[Pentecostés]],""),"")</f>
        <v/>
      </c>
      <c r="L52" t="str">
        <f>IFERROR(IF(VLOOKUP(C52,Entrada!A:C,3,FALSE)=Table1[[#Headers],[Entrada]],Table1[[#Headers],[Entrada]],""),"")</f>
        <v/>
      </c>
      <c r="M52" t="str">
        <f>IFERROR(IF(VLOOKUP(C52,Virgen!A:C,3,FALSE)=Table1[[#Headers],[Virgen]],Table1[[#Headers],[Virgen]],""),"")</f>
        <v/>
      </c>
      <c r="N52" t="str">
        <f>IFERROR(IF(VLOOKUP(C52,Paz!A:C,3,FALSE)=Table1[[#Headers],[Paz]],Table1[[#Headers],[Paz]],""),"")</f>
        <v/>
      </c>
      <c r="O52" t="str">
        <f>IFERROR(IF(VLOOKUP(C52,Pan!A:C,3,FALSE)=Table1[[#Headers],[Pan]],Table1[[#Headers],[Pan]],""),"")</f>
        <v/>
      </c>
      <c r="P52" t="str">
        <f>IFERROR(IF(VLOOKUP(C52,Comunión!A:C,3,FALSE)=Table1[[#Headers],[Comunión]],Table1[[#Headers],[Comunión]],""),"")</f>
        <v/>
      </c>
      <c r="Q52" t="str">
        <f>IFERROR(IF(VLOOKUP(C52,Niños!A:C,3,FALSE)=Table1[[#Headers],[Niños]],Table1[[#Headers],[Niños]],""),"")</f>
        <v/>
      </c>
      <c r="R52" t="str">
        <f>IFERROR(IF(VLOOKUP(C52,Laudes!A:C,3,FALSE)=Table1[[#Headers],[Laudes]],Table1[[#Headers],[Laudes]],""),"")</f>
        <v>Laudes</v>
      </c>
      <c r="S52" t="str">
        <f>IFERROR(IF(VLOOKUP(C52,'Nuevo Testamento'!A:C,3,FALSE)=Table1[[#Headers],[Nuevo Testamento]],Table1[[#Headers],[Nuevo Testamento]],""),"")</f>
        <v/>
      </c>
      <c r="T52" t="str">
        <f>IFERROR(IF(VLOOKUP(C52,'Antiguo Testamento'!A:C,3,FALSE)=Table1[[#Headers],[Antiguo Testamento]],Table1[[#Headers],[Antiguo Testamento]],""),"")</f>
        <v>Antiguo Testamento</v>
      </c>
      <c r="U52" t="str">
        <f>IFERROR(IF(VLOOKUP(C52,Final!A:C,3,FALSE)=Table1[[#Headers],[Final]],Table1[[#Headers],[Final]],""),"")</f>
        <v/>
      </c>
      <c r="V52" t="str" cm="1">
        <f t="array" ref="V5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/cantos/src/chtml/c/comolacierva.html</v>
      </c>
      <c r="W5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{id:50,title: "Como la cierva", subtitle: "Salmo 42-43 (41-42)", category: "Precatecumenado", moments: ["","","Cuaresma","","","","","","","","","Laudes","","Antiguo Testamento",""], url: "/cantos/src/chtml/c/comolacierva.html"},</v>
      </c>
    </row>
    <row r="53" spans="1:23" x14ac:dyDescent="0.25">
      <c r="A53">
        <v>240</v>
      </c>
      <c r="B53" s="14">
        <v>51</v>
      </c>
      <c r="C53" t="s">
        <v>126</v>
      </c>
      <c r="D53" t="s">
        <v>340</v>
      </c>
      <c r="E53" t="str">
        <f>LOWER(LEFT(Table1[[#This Row],[Canto]],1))</f>
        <v>c</v>
      </c>
      <c r="F53" s="11" t="s">
        <v>287</v>
      </c>
      <c r="G53" t="str">
        <f>IFERROR(IF(VLOOKUP(C53,Adviento!A:C,3,FALSE)=Table1[[#Headers],[Adviento]],Table1[[#Headers],[Adviento]],""),"")</f>
        <v/>
      </c>
      <c r="H53" t="str">
        <f>IFERROR(IF(VLOOKUP(C53,Navidad!A:C,3,FALSE)=Table1[[#Headers],[Navidad]],Table1[[#Headers],[Navidad]],""),"")</f>
        <v/>
      </c>
      <c r="I53" t="str">
        <f>IFERROR(IF(VLOOKUP(C53,Cuaresma!A:C,3,FALSE)=Table1[[#Headers],[Cuaresma]],Table1[[#Headers],[Cuaresma]],""),"")</f>
        <v/>
      </c>
      <c r="J53" t="str">
        <f>IFERROR(IF(VLOOKUP(C53,Pascua!A:C,3,FALSE)=Table1[[#Headers],[Pascua]],Table1[[#Headers],[Pascua]],""),"")</f>
        <v/>
      </c>
      <c r="K53" t="str">
        <f>IFERROR(IF(VLOOKUP(C53,Pentecostés!A:C,3,FALSE)=Table1[[#Headers],[Pentecostés]],Table1[[#Headers],[Pentecostés]],""),"")</f>
        <v/>
      </c>
      <c r="L53" t="str">
        <f>IFERROR(IF(VLOOKUP(C53,Entrada!A:C,3,FALSE)=Table1[[#Headers],[Entrada]],Table1[[#Headers],[Entrada]],""),"")</f>
        <v/>
      </c>
      <c r="M53" t="str">
        <f>IFERROR(IF(VLOOKUP(C53,Virgen!A:C,3,FALSE)=Table1[[#Headers],[Virgen]],Table1[[#Headers],[Virgen]],""),"")</f>
        <v/>
      </c>
      <c r="N53" t="str">
        <f>IFERROR(IF(VLOOKUP(C53,Paz!A:C,3,FALSE)=Table1[[#Headers],[Paz]],Table1[[#Headers],[Paz]],""),"")</f>
        <v/>
      </c>
      <c r="O53" t="str">
        <f>IFERROR(IF(VLOOKUP(C53,Pan!A:C,3,FALSE)=Table1[[#Headers],[Pan]],Table1[[#Headers],[Pan]],""),"")</f>
        <v/>
      </c>
      <c r="P53" t="str">
        <f>IFERROR(IF(VLOOKUP(C53,Comunión!A:C,3,FALSE)=Table1[[#Headers],[Comunión]],Table1[[#Headers],[Comunión]],""),"")</f>
        <v/>
      </c>
      <c r="Q53" t="str">
        <f>IFERROR(IF(VLOOKUP(C53,Niños!A:C,3,FALSE)=Table1[[#Headers],[Niños]],Table1[[#Headers],[Niños]],""),"")</f>
        <v/>
      </c>
      <c r="R53" t="str">
        <f>IFERROR(IF(VLOOKUP(C53,Laudes!A:C,3,FALSE)=Table1[[#Headers],[Laudes]],Table1[[#Headers],[Laudes]],""),"")</f>
        <v/>
      </c>
      <c r="S53" t="str">
        <f>IFERROR(IF(VLOOKUP(C53,'Nuevo Testamento'!A:C,3,FALSE)=Table1[[#Headers],[Nuevo Testamento]],Table1[[#Headers],[Nuevo Testamento]],""),"")</f>
        <v/>
      </c>
      <c r="T53" t="str">
        <f>IFERROR(IF(VLOOKUP(C53,'Antiguo Testamento'!A:C,3,FALSE)=Table1[[#Headers],[Antiguo Testamento]],Table1[[#Headers],[Antiguo Testamento]],""),"")</f>
        <v>Antiguo Testamento</v>
      </c>
      <c r="U53" t="str">
        <f>IFERROR(IF(VLOOKUP(C53,Final!A:C,3,FALSE)=Table1[[#Headers],[Final]],Table1[[#Headers],[Final]],""),"")</f>
        <v/>
      </c>
      <c r="V53" t="str" cm="1">
        <f t="array" ref="V5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/cantos/src/chtml/c/comolirioentreloscardos.html</v>
      </c>
      <c r="W5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{id:51,title: "Como lirio entre los cardos", subtitle: "Cantar de los cantares 1,13ss ", category: "Eleccion", moments: ["","","","","","","","","","","","","","Antiguo Testamento",""], url: "/cantos/src/chtml/c/comolirioentreloscardos.html"},</v>
      </c>
    </row>
    <row r="54" spans="1:23" x14ac:dyDescent="0.25">
      <c r="A54">
        <v>40</v>
      </c>
      <c r="B54" s="14">
        <v>52</v>
      </c>
      <c r="C54" t="s">
        <v>127</v>
      </c>
      <c r="D54" t="s">
        <v>341</v>
      </c>
      <c r="E54" t="str">
        <f>LOWER(LEFT(Table1[[#This Row],[Canto]],1))</f>
        <v>c</v>
      </c>
      <c r="F54" t="s">
        <v>288</v>
      </c>
      <c r="G54" t="str">
        <f>IFERROR(IF(VLOOKUP(C54,Adviento!A:C,3,FALSE)=Table1[[#Headers],[Adviento]],Table1[[#Headers],[Adviento]],""),"")</f>
        <v/>
      </c>
      <c r="H54" t="str">
        <f>IFERROR(IF(VLOOKUP(C54,Navidad!A:C,3,FALSE)=Table1[[#Headers],[Navidad]],Table1[[#Headers],[Navidad]],""),"")</f>
        <v/>
      </c>
      <c r="I54" t="str">
        <f>IFERROR(IF(VLOOKUP(C54,Cuaresma!A:C,3,FALSE)=Table1[[#Headers],[Cuaresma]],Table1[[#Headers],[Cuaresma]],""),"")</f>
        <v>Cuaresma</v>
      </c>
      <c r="J54" t="str">
        <f>IFERROR(IF(VLOOKUP(C54,Pascua!A:C,3,FALSE)=Table1[[#Headers],[Pascua]],Table1[[#Headers],[Pascua]],""),"")</f>
        <v>Pascua</v>
      </c>
      <c r="K54" t="str">
        <f>IFERROR(IF(VLOOKUP(C54,Pentecostés!A:C,3,FALSE)=Table1[[#Headers],[Pentecostés]],Table1[[#Headers],[Pentecostés]],""),"")</f>
        <v>Pentecostés</v>
      </c>
      <c r="L54" t="str">
        <f>IFERROR(IF(VLOOKUP(C54,Entrada!A:C,3,FALSE)=Table1[[#Headers],[Entrada]],Table1[[#Headers],[Entrada]],""),"")</f>
        <v/>
      </c>
      <c r="M54" t="str">
        <f>IFERROR(IF(VLOOKUP(C54,Virgen!A:C,3,FALSE)=Table1[[#Headers],[Virgen]],Table1[[#Headers],[Virgen]],""),"")</f>
        <v>Virgen</v>
      </c>
      <c r="N54" t="str">
        <f>IFERROR(IF(VLOOKUP(C54,Paz!A:C,3,FALSE)=Table1[[#Headers],[Paz]],Table1[[#Headers],[Paz]],""),"")</f>
        <v/>
      </c>
      <c r="O54" t="str">
        <f>IFERROR(IF(VLOOKUP(C54,Pan!A:C,3,FALSE)=Table1[[#Headers],[Pan]],Table1[[#Headers],[Pan]],""),"")</f>
        <v>Pan</v>
      </c>
      <c r="P54" t="str">
        <f>IFERROR(IF(VLOOKUP(C54,Comunión!A:C,3,FALSE)=Table1[[#Headers],[Comunión]],Table1[[#Headers],[Comunión]],""),"")</f>
        <v/>
      </c>
      <c r="Q54" t="str">
        <f>IFERROR(IF(VLOOKUP(C54,Niños!A:C,3,FALSE)=Table1[[#Headers],[Niños]],Table1[[#Headers],[Niños]],""),"")</f>
        <v/>
      </c>
      <c r="R54" t="str">
        <f>IFERROR(IF(VLOOKUP(C54,Laudes!A:C,3,FALSE)=Table1[[#Headers],[Laudes]],Table1[[#Headers],[Laudes]],""),"")</f>
        <v/>
      </c>
      <c r="S54" t="str">
        <f>IFERROR(IF(VLOOKUP(C54,'Nuevo Testamento'!A:C,3,FALSE)=Table1[[#Headers],[Nuevo Testamento]],Table1[[#Headers],[Nuevo Testamento]],""),"")</f>
        <v/>
      </c>
      <c r="T54" t="str">
        <f>IFERROR(IF(VLOOKUP(C54,'Antiguo Testamento'!A:C,3,FALSE)=Table1[[#Headers],[Antiguo Testamento]],Table1[[#Headers],[Antiguo Testamento]],""),"")</f>
        <v/>
      </c>
      <c r="U54" t="str">
        <f>IFERROR(IF(VLOOKUP(C54,Final!A:C,3,FALSE)=Table1[[#Headers],[Final]],Table1[[#Headers],[Final]],""),"")</f>
        <v/>
      </c>
      <c r="V54" t="str" cm="1">
        <f t="array" ref="V5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/cantos/src/chtml/c/comoovejaqueve.html</v>
      </c>
      <c r="W5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{id:52,title: "Como oveja que ve", subtitle: "Kontáklon (Romano el Meloda)", category: "Precatecumenado", moments: ["","","Cuaresma","Pascua","Pentecostés","","Virgen","","Pan","","","","","",""], url: "/cantos/src/chtml/c/comoovejaqueve.html"},</v>
      </c>
    </row>
    <row r="55" spans="1:23" x14ac:dyDescent="0.25">
      <c r="A55">
        <v>41</v>
      </c>
      <c r="B55" s="14">
        <v>53</v>
      </c>
      <c r="C55" t="s">
        <v>128</v>
      </c>
      <c r="D55" t="s">
        <v>342</v>
      </c>
      <c r="E55" t="str">
        <f>LOWER(LEFT(Table1[[#This Row],[Canto]],1))</f>
        <v>c</v>
      </c>
      <c r="F55" t="s">
        <v>288</v>
      </c>
      <c r="G55" t="str">
        <f>IFERROR(IF(VLOOKUP(C55,Adviento!A:C,3,FALSE)=Table1[[#Headers],[Adviento]],Table1[[#Headers],[Adviento]],""),"")</f>
        <v>Adviento</v>
      </c>
      <c r="H55" t="str">
        <f>IFERROR(IF(VLOOKUP(C55,Navidad!A:C,3,FALSE)=Table1[[#Headers],[Navidad]],Table1[[#Headers],[Navidad]],""),"")</f>
        <v>Navidad</v>
      </c>
      <c r="I55" t="str">
        <f>IFERROR(IF(VLOOKUP(C55,Cuaresma!A:C,3,FALSE)=Table1[[#Headers],[Cuaresma]],Table1[[#Headers],[Cuaresma]],""),"")</f>
        <v/>
      </c>
      <c r="J55" t="str">
        <f>IFERROR(IF(VLOOKUP(C55,Pascua!A:C,3,FALSE)=Table1[[#Headers],[Pascua]],Table1[[#Headers],[Pascua]],""),"")</f>
        <v/>
      </c>
      <c r="K55" t="str">
        <f>IFERROR(IF(VLOOKUP(C55,Pentecostés!A:C,3,FALSE)=Table1[[#Headers],[Pentecostés]],Table1[[#Headers],[Pentecostés]],""),"")</f>
        <v/>
      </c>
      <c r="L55" t="str">
        <f>IFERROR(IF(VLOOKUP(C55,Entrada!A:C,3,FALSE)=Table1[[#Headers],[Entrada]],Table1[[#Headers],[Entrada]],""),"")</f>
        <v>Entrada</v>
      </c>
      <c r="M55" t="str">
        <f>IFERROR(IF(VLOOKUP(C55,Virgen!A:C,3,FALSE)=Table1[[#Headers],[Virgen]],Table1[[#Headers],[Virgen]],""),"")</f>
        <v/>
      </c>
      <c r="N55" t="str">
        <f>IFERROR(IF(VLOOKUP(C55,Paz!A:C,3,FALSE)=Table1[[#Headers],[Paz]],Table1[[#Headers],[Paz]],""),"")</f>
        <v>Paz</v>
      </c>
      <c r="O55" t="str">
        <f>IFERROR(IF(VLOOKUP(C55,Pan!A:C,3,FALSE)=Table1[[#Headers],[Pan]],Table1[[#Headers],[Pan]],""),"")</f>
        <v/>
      </c>
      <c r="P55" t="str">
        <f>IFERROR(IF(VLOOKUP(C55,Comunión!A:C,3,FALSE)=Table1[[#Headers],[Comunión]],Table1[[#Headers],[Comunión]],""),"")</f>
        <v/>
      </c>
      <c r="Q55" t="str">
        <f>IFERROR(IF(VLOOKUP(C55,Niños!A:C,3,FALSE)=Table1[[#Headers],[Niños]],Table1[[#Headers],[Niños]],""),"")</f>
        <v/>
      </c>
      <c r="R55" t="str">
        <f>IFERROR(IF(VLOOKUP(C55,Laudes!A:C,3,FALSE)=Table1[[#Headers],[Laudes]],Table1[[#Headers],[Laudes]],""),"")</f>
        <v/>
      </c>
      <c r="S55" t="str">
        <f>IFERROR(IF(VLOOKUP(C55,'Nuevo Testamento'!A:C,3,FALSE)=Table1[[#Headers],[Nuevo Testamento]],Table1[[#Headers],[Nuevo Testamento]],""),"")</f>
        <v/>
      </c>
      <c r="T55" t="str">
        <f>IFERROR(IF(VLOOKUP(C55,'Antiguo Testamento'!A:C,3,FALSE)=Table1[[#Headers],[Antiguo Testamento]],Table1[[#Headers],[Antiguo Testamento]],""),"")</f>
        <v>Antiguo Testamento</v>
      </c>
      <c r="U55" t="str">
        <f>IFERROR(IF(VLOOKUP(C55,Final!A:C,3,FALSE)=Table1[[#Headers],[Final]],Table1[[#Headers],[Final]],""),"")</f>
        <v>Final</v>
      </c>
      <c r="V55" t="str" cm="1">
        <f t="array" ref="V5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/cantos/src/chtml/c/consoladamipueblo.html</v>
      </c>
      <c r="W5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{id:53,title: "Consolad a mi pueblo", subtitle: "Isaías 40,1-11 - Melodía hebraica ", category: "Precatecumenado", moments: ["Adviento","Navidad","","","","Entrada","","Paz","","","","","","Antiguo Testamento","Final"], url: "/cantos/src/chtml/c/consoladamipueblo.html"},</v>
      </c>
    </row>
    <row r="56" spans="1:23" x14ac:dyDescent="0.25">
      <c r="A56">
        <v>186</v>
      </c>
      <c r="B56" s="14">
        <v>54</v>
      </c>
      <c r="C56" t="s">
        <v>25</v>
      </c>
      <c r="D56" t="s">
        <v>343</v>
      </c>
      <c r="E56" t="str">
        <f>LOWER(LEFT(Table1[[#This Row],[Canto]],1))</f>
        <v>c</v>
      </c>
      <c r="F56" s="12" t="s">
        <v>289</v>
      </c>
      <c r="G56" t="str">
        <f>IFERROR(IF(VLOOKUP(C56,Adviento!A:C,3,FALSE)=Table1[[#Headers],[Adviento]],Table1[[#Headers],[Adviento]],""),"")</f>
        <v/>
      </c>
      <c r="H56" t="str">
        <f>IFERROR(IF(VLOOKUP(C56,Navidad!A:C,3,FALSE)=Table1[[#Headers],[Navidad]],Table1[[#Headers],[Navidad]],""),"")</f>
        <v/>
      </c>
      <c r="I56" t="str">
        <f>IFERROR(IF(VLOOKUP(C56,Cuaresma!A:C,3,FALSE)=Table1[[#Headers],[Cuaresma]],Table1[[#Headers],[Cuaresma]],""),"")</f>
        <v/>
      </c>
      <c r="J56" t="str">
        <f>IFERROR(IF(VLOOKUP(C56,Pascua!A:C,3,FALSE)=Table1[[#Headers],[Pascua]],Table1[[#Headers],[Pascua]],""),"")</f>
        <v/>
      </c>
      <c r="K56" t="str">
        <f>IFERROR(IF(VLOOKUP(C56,Pentecostés!A:C,3,FALSE)=Table1[[#Headers],[Pentecostés]],Table1[[#Headers],[Pentecostés]],""),"")</f>
        <v/>
      </c>
      <c r="L56" t="str">
        <f>IFERROR(IF(VLOOKUP(C56,Entrada!A:C,3,FALSE)=Table1[[#Headers],[Entrada]],Table1[[#Headers],[Entrada]],""),"")</f>
        <v/>
      </c>
      <c r="M56" t="str">
        <f>IFERROR(IF(VLOOKUP(C56,Virgen!A:C,3,FALSE)=Table1[[#Headers],[Virgen]],Table1[[#Headers],[Virgen]],""),"")</f>
        <v/>
      </c>
      <c r="N56" t="str">
        <f>IFERROR(IF(VLOOKUP(C56,Paz!A:C,3,FALSE)=Table1[[#Headers],[Paz]],Table1[[#Headers],[Paz]],""),"")</f>
        <v/>
      </c>
      <c r="O56" t="str">
        <f>IFERROR(IF(VLOOKUP(C56,Pan!A:C,3,FALSE)=Table1[[#Headers],[Pan]],Table1[[#Headers],[Pan]],""),"")</f>
        <v/>
      </c>
      <c r="P56" t="str">
        <f>IFERROR(IF(VLOOKUP(C56,Comunión!A:C,3,FALSE)=Table1[[#Headers],[Comunión]],Table1[[#Headers],[Comunión]],""),"")</f>
        <v/>
      </c>
      <c r="Q56" t="str">
        <f>IFERROR(IF(VLOOKUP(C56,Niños!A:C,3,FALSE)=Table1[[#Headers],[Niños]],Table1[[#Headers],[Niños]],""),"")</f>
        <v/>
      </c>
      <c r="R56" t="str">
        <f>IFERROR(IF(VLOOKUP(C56,Laudes!A:C,3,FALSE)=Table1[[#Headers],[Laudes]],Table1[[#Headers],[Laudes]],""),"")</f>
        <v/>
      </c>
      <c r="S56" t="str">
        <f>IFERROR(IF(VLOOKUP(C56,'Nuevo Testamento'!A:C,3,FALSE)=Table1[[#Headers],[Nuevo Testamento]],Table1[[#Headers],[Nuevo Testamento]],""),"")</f>
        <v/>
      </c>
      <c r="T56" t="str">
        <f>IFERROR(IF(VLOOKUP(C56,'Antiguo Testamento'!A:C,3,FALSE)=Table1[[#Headers],[Antiguo Testamento]],Table1[[#Headers],[Antiguo Testamento]],""),"")</f>
        <v/>
      </c>
      <c r="U56" t="str">
        <f>IFERROR(IF(VLOOKUP(C56,Final!A:C,3,FALSE)=Table1[[#Headers],[Final]],Table1[[#Headers],[Final]],""),"")</f>
        <v/>
      </c>
      <c r="V56" t="str" cm="1">
        <f t="array" ref="V5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/cantos/src/chtml/c/corderodedios.html</v>
      </c>
      <c r="W5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{id:54,title: "Cordero de Dios", subtitle: "Después de la consagración", category: "Liturgia", moments: ["","","","","","","","","","","","","","",""], url: "/cantos/src/chtml/c/corderodedios.html"},</v>
      </c>
    </row>
    <row r="57" spans="1:23" x14ac:dyDescent="0.25">
      <c r="A57">
        <v>187</v>
      </c>
      <c r="B57" s="14">
        <v>55</v>
      </c>
      <c r="C57" t="s">
        <v>26</v>
      </c>
      <c r="D57" t="s">
        <v>344</v>
      </c>
      <c r="E57" t="str">
        <f>LOWER(LEFT(Table1[[#This Row],[Canto]],1))</f>
        <v>c</v>
      </c>
      <c r="F57" s="12" t="s">
        <v>289</v>
      </c>
      <c r="G57" t="str">
        <f>IFERROR(IF(VLOOKUP(C57,Adviento!A:C,3,FALSE)=Table1[[#Headers],[Adviento]],Table1[[#Headers],[Adviento]],""),"")</f>
        <v/>
      </c>
      <c r="H57" t="str">
        <f>IFERROR(IF(VLOOKUP(C57,Navidad!A:C,3,FALSE)=Table1[[#Headers],[Navidad]],Table1[[#Headers],[Navidad]],""),"")</f>
        <v/>
      </c>
      <c r="I57" t="str">
        <f>IFERROR(IF(VLOOKUP(C57,Cuaresma!A:C,3,FALSE)=Table1[[#Headers],[Cuaresma]],Table1[[#Headers],[Cuaresma]],""),"")</f>
        <v/>
      </c>
      <c r="J57" t="str">
        <f>IFERROR(IF(VLOOKUP(C57,Pascua!A:C,3,FALSE)=Table1[[#Headers],[Pascua]],Table1[[#Headers],[Pascua]],""),"")</f>
        <v/>
      </c>
      <c r="K57" t="str">
        <f>IFERROR(IF(VLOOKUP(C57,Pentecostés!A:C,3,FALSE)=Table1[[#Headers],[Pentecostés]],Table1[[#Headers],[Pentecostés]],""),"")</f>
        <v/>
      </c>
      <c r="L57" t="str">
        <f>IFERROR(IF(VLOOKUP(C57,Entrada!A:C,3,FALSE)=Table1[[#Headers],[Entrada]],Table1[[#Headers],[Entrada]],""),"")</f>
        <v/>
      </c>
      <c r="M57" t="str">
        <f>IFERROR(IF(VLOOKUP(C57,Virgen!A:C,3,FALSE)=Table1[[#Headers],[Virgen]],Table1[[#Headers],[Virgen]],""),"")</f>
        <v/>
      </c>
      <c r="N57" t="str">
        <f>IFERROR(IF(VLOOKUP(C57,Paz!A:C,3,FALSE)=Table1[[#Headers],[Paz]],Table1[[#Headers],[Paz]],""),"")</f>
        <v/>
      </c>
      <c r="O57" t="str">
        <f>IFERROR(IF(VLOOKUP(C57,Pan!A:C,3,FALSE)=Table1[[#Headers],[Pan]],Table1[[#Headers],[Pan]],""),"")</f>
        <v/>
      </c>
      <c r="P57" t="str">
        <f>IFERROR(IF(VLOOKUP(C57,Comunión!A:C,3,FALSE)=Table1[[#Headers],[Comunión]],Table1[[#Headers],[Comunión]],""),"")</f>
        <v/>
      </c>
      <c r="Q57" t="str">
        <f>IFERROR(IF(VLOOKUP(C57,Niños!A:C,3,FALSE)=Table1[[#Headers],[Niños]],Table1[[#Headers],[Niños]],""),"")</f>
        <v/>
      </c>
      <c r="R57" t="str">
        <f>IFERROR(IF(VLOOKUP(C57,Laudes!A:C,3,FALSE)=Table1[[#Headers],[Laudes]],Table1[[#Headers],[Laudes]],""),"")</f>
        <v/>
      </c>
      <c r="S57" t="str">
        <f>IFERROR(IF(VLOOKUP(C57,'Nuevo Testamento'!A:C,3,FALSE)=Table1[[#Headers],[Nuevo Testamento]],Table1[[#Headers],[Nuevo Testamento]],""),"")</f>
        <v/>
      </c>
      <c r="T57" t="str">
        <f>IFERROR(IF(VLOOKUP(C57,'Antiguo Testamento'!A:C,3,FALSE)=Table1[[#Headers],[Antiguo Testamento]],Table1[[#Headers],[Antiguo Testamento]],""),"")</f>
        <v/>
      </c>
      <c r="U57" t="str">
        <f>IFERROR(IF(VLOOKUP(C57,Final!A:C,3,FALSE)=Table1[[#Headers],[Final]],Table1[[#Headers],[Final]],""),"")</f>
        <v/>
      </c>
      <c r="V57" t="str" cm="1">
        <f t="array" ref="V5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/cantos/src/chtml/c/credo.html</v>
      </c>
      <c r="W5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{id:55,title: "Credo", subtitle: "Símbolo Apostólico", category: "Liturgia", moments: ["","","","","","","","","","","","","","",""], url: "/cantos/src/chtml/c/credo.html"},</v>
      </c>
    </row>
    <row r="58" spans="1:23" x14ac:dyDescent="0.25">
      <c r="A58">
        <v>42</v>
      </c>
      <c r="B58" s="14">
        <v>56</v>
      </c>
      <c r="C58" t="s">
        <v>27</v>
      </c>
      <c r="D58" t="s">
        <v>345</v>
      </c>
      <c r="E58" t="str">
        <f>LOWER(LEFT(Table1[[#This Row],[Canto]],1))</f>
        <v>c</v>
      </c>
      <c r="F58" t="s">
        <v>288</v>
      </c>
      <c r="G58" t="str">
        <f>IFERROR(IF(VLOOKUP(C58,Adviento!A:C,3,FALSE)=Table1[[#Headers],[Adviento]],Table1[[#Headers],[Adviento]],""),"")</f>
        <v/>
      </c>
      <c r="H58" t="str">
        <f>IFERROR(IF(VLOOKUP(C58,Navidad!A:C,3,FALSE)=Table1[[#Headers],[Navidad]],Table1[[#Headers],[Navidad]],""),"")</f>
        <v/>
      </c>
      <c r="I58" t="str">
        <f>IFERROR(IF(VLOOKUP(C58,Cuaresma!A:C,3,FALSE)=Table1[[#Headers],[Cuaresma]],Table1[[#Headers],[Cuaresma]],""),"")</f>
        <v/>
      </c>
      <c r="J58" t="str">
        <f>IFERROR(IF(VLOOKUP(C58,Pascua!A:C,3,FALSE)=Table1[[#Headers],[Pascua]],Table1[[#Headers],[Pascua]],""),"")</f>
        <v>Pascua</v>
      </c>
      <c r="K58" t="str">
        <f>IFERROR(IF(VLOOKUP(C58,Pentecostés!A:C,3,FALSE)=Table1[[#Headers],[Pentecostés]],Table1[[#Headers],[Pentecostés]],""),"")</f>
        <v>Pentecostés</v>
      </c>
      <c r="L58" t="str">
        <f>IFERROR(IF(VLOOKUP(C58,Entrada!A:C,3,FALSE)=Table1[[#Headers],[Entrada]],Table1[[#Headers],[Entrada]],""),"")</f>
        <v/>
      </c>
      <c r="M58" t="str">
        <f>IFERROR(IF(VLOOKUP(C58,Virgen!A:C,3,FALSE)=Table1[[#Headers],[Virgen]],Table1[[#Headers],[Virgen]],""),"")</f>
        <v/>
      </c>
      <c r="N58" t="str">
        <f>IFERROR(IF(VLOOKUP(C58,Paz!A:C,3,FALSE)=Table1[[#Headers],[Paz]],Table1[[#Headers],[Paz]],""),"")</f>
        <v/>
      </c>
      <c r="O58" t="str">
        <f>IFERROR(IF(VLOOKUP(C58,Pan!A:C,3,FALSE)=Table1[[#Headers],[Pan]],Table1[[#Headers],[Pan]],""),"")</f>
        <v/>
      </c>
      <c r="P58" t="str">
        <f>IFERROR(IF(VLOOKUP(C58,Comunión!A:C,3,FALSE)=Table1[[#Headers],[Comunión]],Table1[[#Headers],[Comunión]],""),"")</f>
        <v/>
      </c>
      <c r="Q58" t="str">
        <f>IFERROR(IF(VLOOKUP(C58,Niños!A:C,3,FALSE)=Table1[[#Headers],[Niños]],Table1[[#Headers],[Niños]],""),"")</f>
        <v/>
      </c>
      <c r="R58" t="str">
        <f>IFERROR(IF(VLOOKUP(C58,Laudes!A:C,3,FALSE)=Table1[[#Headers],[Laudes]],Table1[[#Headers],[Laudes]],""),"")</f>
        <v/>
      </c>
      <c r="S58" t="str">
        <f>IFERROR(IF(VLOOKUP(C58,'Nuevo Testamento'!A:C,3,FALSE)=Table1[[#Headers],[Nuevo Testamento]],Table1[[#Headers],[Nuevo Testamento]],""),"")</f>
        <v/>
      </c>
      <c r="T58" t="str">
        <f>IFERROR(IF(VLOOKUP(C58,'Antiguo Testamento'!A:C,3,FALSE)=Table1[[#Headers],[Antiguo Testamento]],Table1[[#Headers],[Antiguo Testamento]],""),"")</f>
        <v/>
      </c>
      <c r="U58" t="str">
        <f>IFERROR(IF(VLOOKUP(C58,Final!A:C,3,FALSE)=Table1[[#Headers],[Final]],Table1[[#Headers],[Final]],""),"")</f>
        <v/>
      </c>
      <c r="V58" t="str" cm="1">
        <f t="array" ref="V5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/cantos/src/chtml/c/cristoeslaluz.html</v>
      </c>
      <c r="W5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{id:56,title: "Cristo es la luz", subtitle: "Himno - Juan 8,12; 14,6", category: "Precatecumenado", moments: ["","","","Pascua","Pentecostés","","","","","","","","","",""], url: "/cantos/src/chtml/c/cristoeslaluz.html"},</v>
      </c>
    </row>
    <row r="59" spans="1:23" x14ac:dyDescent="0.25">
      <c r="A59">
        <v>222</v>
      </c>
      <c r="B59" s="14">
        <v>57</v>
      </c>
      <c r="C59" t="s">
        <v>28</v>
      </c>
      <c r="D59" t="s">
        <v>346</v>
      </c>
      <c r="E59" t="str">
        <f>LOWER(LEFT(Table1[[#This Row],[Canto]],1))</f>
        <v>c</v>
      </c>
      <c r="F59" s="13" t="s">
        <v>290</v>
      </c>
      <c r="G59" t="str">
        <f>IFERROR(IF(VLOOKUP(C59,Adviento!A:C,3,FALSE)=Table1[[#Headers],[Adviento]],Table1[[#Headers],[Adviento]],""),"")</f>
        <v/>
      </c>
      <c r="H59" t="str">
        <f>IFERROR(IF(VLOOKUP(C59,Navidad!A:C,3,FALSE)=Table1[[#Headers],[Navidad]],Table1[[#Headers],[Navidad]],""),"")</f>
        <v/>
      </c>
      <c r="I59" t="str">
        <f>IFERROR(IF(VLOOKUP(C59,Cuaresma!A:C,3,FALSE)=Table1[[#Headers],[Cuaresma]],Table1[[#Headers],[Cuaresma]],""),"")</f>
        <v/>
      </c>
      <c r="J59" t="str">
        <f>IFERROR(IF(VLOOKUP(C59,Pascua!A:C,3,FALSE)=Table1[[#Headers],[Pascua]],Table1[[#Headers],[Pascua]],""),"")</f>
        <v/>
      </c>
      <c r="K59" t="str">
        <f>IFERROR(IF(VLOOKUP(C59,Pentecostés!A:C,3,FALSE)=Table1[[#Headers],[Pentecostés]],Table1[[#Headers],[Pentecostés]],""),"")</f>
        <v/>
      </c>
      <c r="L59" t="str">
        <f>IFERROR(IF(VLOOKUP(C59,Entrada!A:C,3,FALSE)=Table1[[#Headers],[Entrada]],Table1[[#Headers],[Entrada]],""),"")</f>
        <v/>
      </c>
      <c r="M59" t="str">
        <f>IFERROR(IF(VLOOKUP(C59,Virgen!A:C,3,FALSE)=Table1[[#Headers],[Virgen]],Table1[[#Headers],[Virgen]],""),"")</f>
        <v/>
      </c>
      <c r="N59" t="str">
        <f>IFERROR(IF(VLOOKUP(C59,Paz!A:C,3,FALSE)=Table1[[#Headers],[Paz]],Table1[[#Headers],[Paz]],""),"")</f>
        <v/>
      </c>
      <c r="O59" t="str">
        <f>IFERROR(IF(VLOOKUP(C59,Pan!A:C,3,FALSE)=Table1[[#Headers],[Pan]],Table1[[#Headers],[Pan]],""),"")</f>
        <v/>
      </c>
      <c r="P59" t="str">
        <f>IFERROR(IF(VLOOKUP(C59,Comunión!A:C,3,FALSE)=Table1[[#Headers],[Comunión]],Table1[[#Headers],[Comunión]],""),"")</f>
        <v>Comunión</v>
      </c>
      <c r="Q59" t="str">
        <f>IFERROR(IF(VLOOKUP(C59,Niños!A:C,3,FALSE)=Table1[[#Headers],[Niños]],Table1[[#Headers],[Niños]],""),"")</f>
        <v/>
      </c>
      <c r="R59" t="str">
        <f>IFERROR(IF(VLOOKUP(C59,Laudes!A:C,3,FALSE)=Table1[[#Headers],[Laudes]],Table1[[#Headers],[Laudes]],""),"")</f>
        <v>Laudes</v>
      </c>
      <c r="S59" t="str">
        <f>IFERROR(IF(VLOOKUP(C59,'Nuevo Testamento'!A:C,3,FALSE)=Table1[[#Headers],[Nuevo Testamento]],Table1[[#Headers],[Nuevo Testamento]],""),"")</f>
        <v/>
      </c>
      <c r="T59" t="str">
        <f>IFERROR(IF(VLOOKUP(C59,'Antiguo Testamento'!A:C,3,FALSE)=Table1[[#Headers],[Antiguo Testamento]],Table1[[#Headers],[Antiguo Testamento]],""),"")</f>
        <v>Antiguo Testamento</v>
      </c>
      <c r="U59" t="str">
        <f>IFERROR(IF(VLOOKUP(C59,Final!A:C,3,FALSE)=Table1[[#Headers],[Final]],Table1[[#Headers],[Final]],""),"")</f>
        <v/>
      </c>
      <c r="V59" t="str" cm="1">
        <f t="array" ref="V5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/cantos/src/chtml/c/cuandodormia.html</v>
      </c>
      <c r="W5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{id:57,title: "Cuando dormía", subtitle: "Cantar de los Cantares 5,2ss ", category: "Catecumenado", moments: ["","","","","","","","","","Comunión","","Laudes","","Antiguo Testamento",""], url: "/cantos/src/chtml/c/cuandodormia.html"},</v>
      </c>
    </row>
    <row r="60" spans="1:23" x14ac:dyDescent="0.25">
      <c r="A60">
        <v>43</v>
      </c>
      <c r="B60" s="14">
        <v>58</v>
      </c>
      <c r="C60" t="s">
        <v>29</v>
      </c>
      <c r="D60" t="s">
        <v>347</v>
      </c>
      <c r="E60" t="str">
        <f>LOWER(LEFT(Table1[[#This Row],[Canto]],1))</f>
        <v>c</v>
      </c>
      <c r="F60" t="s">
        <v>288</v>
      </c>
      <c r="G60" t="str">
        <f>IFERROR(IF(VLOOKUP(C60,Adviento!A:C,3,FALSE)=Table1[[#Headers],[Adviento]],Table1[[#Headers],[Adviento]],""),"")</f>
        <v>Adviento</v>
      </c>
      <c r="H60" t="str">
        <f>IFERROR(IF(VLOOKUP(C60,Navidad!A:C,3,FALSE)=Table1[[#Headers],[Navidad]],Table1[[#Headers],[Navidad]],""),"")</f>
        <v>Navidad</v>
      </c>
      <c r="I60" t="str">
        <f>IFERROR(IF(VLOOKUP(C60,Cuaresma!A:C,3,FALSE)=Table1[[#Headers],[Cuaresma]],Table1[[#Headers],[Cuaresma]],""),"")</f>
        <v>Cuaresma</v>
      </c>
      <c r="J60" t="str">
        <f>IFERROR(IF(VLOOKUP(C60,Pascua!A:C,3,FALSE)=Table1[[#Headers],[Pascua]],Table1[[#Headers],[Pascua]],""),"")</f>
        <v/>
      </c>
      <c r="K60" t="str">
        <f>IFERROR(IF(VLOOKUP(C60,Pentecostés!A:C,3,FALSE)=Table1[[#Headers],[Pentecostés]],Table1[[#Headers],[Pentecostés]],""),"")</f>
        <v/>
      </c>
      <c r="L60" t="str">
        <f>IFERROR(IF(VLOOKUP(C60,Entrada!A:C,3,FALSE)=Table1[[#Headers],[Entrada]],Table1[[#Headers],[Entrada]],""),"")</f>
        <v>Entrada</v>
      </c>
      <c r="M60" t="str">
        <f>IFERROR(IF(VLOOKUP(C60,Virgen!A:C,3,FALSE)=Table1[[#Headers],[Virgen]],Table1[[#Headers],[Virgen]],""),"")</f>
        <v/>
      </c>
      <c r="N60" t="str">
        <f>IFERROR(IF(VLOOKUP(C60,Paz!A:C,3,FALSE)=Table1[[#Headers],[Paz]],Table1[[#Headers],[Paz]],""),"")</f>
        <v/>
      </c>
      <c r="O60" t="str">
        <f>IFERROR(IF(VLOOKUP(C60,Pan!A:C,3,FALSE)=Table1[[#Headers],[Pan]],Table1[[#Headers],[Pan]],""),"")</f>
        <v/>
      </c>
      <c r="P60" t="str">
        <f>IFERROR(IF(VLOOKUP(C60,Comunión!A:C,3,FALSE)=Table1[[#Headers],[Comunión]],Table1[[#Headers],[Comunión]],""),"")</f>
        <v/>
      </c>
      <c r="Q60" t="str">
        <f>IFERROR(IF(VLOOKUP(C60,Niños!A:C,3,FALSE)=Table1[[#Headers],[Niños]],Table1[[#Headers],[Niños]],""),"")</f>
        <v/>
      </c>
      <c r="R60" t="str">
        <f>IFERROR(IF(VLOOKUP(C60,Laudes!A:C,3,FALSE)=Table1[[#Headers],[Laudes]],Table1[[#Headers],[Laudes]],""),"")</f>
        <v/>
      </c>
      <c r="S60" t="str">
        <f>IFERROR(IF(VLOOKUP(C60,'Nuevo Testamento'!A:C,3,FALSE)=Table1[[#Headers],[Nuevo Testamento]],Table1[[#Headers],[Nuevo Testamento]],""),"")</f>
        <v/>
      </c>
      <c r="T60" t="str">
        <f>IFERROR(IF(VLOOKUP(C60,'Antiguo Testamento'!A:C,3,FALSE)=Table1[[#Headers],[Antiguo Testamento]],Table1[[#Headers],[Antiguo Testamento]],""),"")</f>
        <v>Antiguo Testamento</v>
      </c>
      <c r="U60" t="str">
        <f>IFERROR(IF(VLOOKUP(C60,Final!A:C,3,FALSE)=Table1[[#Headers],[Final]],Table1[[#Headers],[Final]],""),"")</f>
        <v/>
      </c>
      <c r="V60" t="str" cm="1">
        <f t="array" ref="V6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/cantos/src/chtml/c/cuandoelsenor.html</v>
      </c>
      <c r="W6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{id:58,title: "Cuando el Señor", subtitle: "Salmo 126 (125)", category: "Precatecumenado", moments: ["Adviento","Navidad","Cuaresma","","","Entrada","","","","","","","","Antiguo Testamento",""], url: "/cantos/src/chtml/c/cuandoelsenor.html"},</v>
      </c>
    </row>
    <row r="61" spans="1:23" x14ac:dyDescent="0.25">
      <c r="A61">
        <v>44</v>
      </c>
      <c r="B61" s="14">
        <v>59</v>
      </c>
      <c r="C61" t="s">
        <v>129</v>
      </c>
      <c r="D61" t="s">
        <v>348</v>
      </c>
      <c r="E61" t="str">
        <f>LOWER(LEFT(Table1[[#This Row],[Canto]],1))</f>
        <v>c</v>
      </c>
      <c r="F61" t="s">
        <v>288</v>
      </c>
      <c r="G61" t="str">
        <f>IFERROR(IF(VLOOKUP(C61,Adviento!A:C,3,FALSE)=Table1[[#Headers],[Adviento]],Table1[[#Headers],[Adviento]],""),"")</f>
        <v/>
      </c>
      <c r="H61" t="str">
        <f>IFERROR(IF(VLOOKUP(C61,Navidad!A:C,3,FALSE)=Table1[[#Headers],[Navidad]],Table1[[#Headers],[Navidad]],""),"")</f>
        <v/>
      </c>
      <c r="I61" t="str">
        <f>IFERROR(IF(VLOOKUP(C61,Cuaresma!A:C,3,FALSE)=Table1[[#Headers],[Cuaresma]],Table1[[#Headers],[Cuaresma]],""),"")</f>
        <v/>
      </c>
      <c r="J61" t="str">
        <f>IFERROR(IF(VLOOKUP(C61,Pascua!A:C,3,FALSE)=Table1[[#Headers],[Pascua]],Table1[[#Headers],[Pascua]],""),"")</f>
        <v>Pascua</v>
      </c>
      <c r="K61" t="str">
        <f>IFERROR(IF(VLOOKUP(C61,Pentecostés!A:C,3,FALSE)=Table1[[#Headers],[Pentecostés]],Table1[[#Headers],[Pentecostés]],""),"")</f>
        <v>Pentecostés</v>
      </c>
      <c r="L61" t="str">
        <f>IFERROR(IF(VLOOKUP(C61,Entrada!A:C,3,FALSE)=Table1[[#Headers],[Entrada]],Table1[[#Headers],[Entrada]],""),"")</f>
        <v/>
      </c>
      <c r="M61" t="str">
        <f>IFERROR(IF(VLOOKUP(C61,Virgen!A:C,3,FALSE)=Table1[[#Headers],[Virgen]],Table1[[#Headers],[Virgen]],""),"")</f>
        <v/>
      </c>
      <c r="N61" t="str">
        <f>IFERROR(IF(VLOOKUP(C61,Paz!A:C,3,FALSE)=Table1[[#Headers],[Paz]],Table1[[#Headers],[Paz]],""),"")</f>
        <v/>
      </c>
      <c r="O61" t="str">
        <f>IFERROR(IF(VLOOKUP(C61,Pan!A:C,3,FALSE)=Table1[[#Headers],[Pan]],Table1[[#Headers],[Pan]],""),"")</f>
        <v/>
      </c>
      <c r="P61" t="str">
        <f>IFERROR(IF(VLOOKUP(C61,Comunión!A:C,3,FALSE)=Table1[[#Headers],[Comunión]],Table1[[#Headers],[Comunión]],""),"")</f>
        <v/>
      </c>
      <c r="Q61" t="str">
        <f>IFERROR(IF(VLOOKUP(C61,Niños!A:C,3,FALSE)=Table1[[#Headers],[Niños]],Table1[[#Headers],[Niños]],""),"")</f>
        <v/>
      </c>
      <c r="R61" t="str">
        <f>IFERROR(IF(VLOOKUP(C61,Laudes!A:C,3,FALSE)=Table1[[#Headers],[Laudes]],Table1[[#Headers],[Laudes]],""),"")</f>
        <v>Laudes</v>
      </c>
      <c r="S61" t="str">
        <f>IFERROR(IF(VLOOKUP(C61,'Nuevo Testamento'!A:C,3,FALSE)=Table1[[#Headers],[Nuevo Testamento]],Table1[[#Headers],[Nuevo Testamento]],""),"")</f>
        <v/>
      </c>
      <c r="T61" t="str">
        <f>IFERROR(IF(VLOOKUP(C61,'Antiguo Testamento'!A:C,3,FALSE)=Table1[[#Headers],[Antiguo Testamento]],Table1[[#Headers],[Antiguo Testamento]],""),"")</f>
        <v>Antiguo Testamento</v>
      </c>
      <c r="U61" t="str">
        <f>IFERROR(IF(VLOOKUP(C61,Final!A:C,3,FALSE)=Table1[[#Headers],[Final]],Table1[[#Headers],[Final]],""),"")</f>
        <v/>
      </c>
      <c r="V61" t="str" cm="1">
        <f t="array" ref="V6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/cantos/src/chtml/c/cuandoisraelsaliodeegipto.html</v>
      </c>
      <c r="W6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{id:59,title: "Cuando Israel salió de Egipto", subtitle: "Salmo 114 (113)", category: "Precatecumenado", moments: ["","","","Pascua","Pentecostés","","","","","","","Laudes","","Antiguo Testamento",""], url: "/cantos/src/chtml/c/cuandoisraelsaliodeegipto.html"},</v>
      </c>
    </row>
    <row r="62" spans="1:23" x14ac:dyDescent="0.25">
      <c r="A62">
        <v>45</v>
      </c>
      <c r="B62" s="14">
        <v>60</v>
      </c>
      <c r="C62" t="s">
        <v>130</v>
      </c>
      <c r="D62" t="s">
        <v>349</v>
      </c>
      <c r="E62" t="str">
        <f>LOWER(LEFT(Table1[[#This Row],[Canto]],1))</f>
        <v>d</v>
      </c>
      <c r="F62" t="s">
        <v>288</v>
      </c>
      <c r="G62" t="str">
        <f>IFERROR(IF(VLOOKUP(C62,Adviento!A:C,3,FALSE)=Table1[[#Headers],[Adviento]],Table1[[#Headers],[Adviento]],""),"")</f>
        <v/>
      </c>
      <c r="H62" t="str">
        <f>IFERROR(IF(VLOOKUP(C62,Navidad!A:C,3,FALSE)=Table1[[#Headers],[Navidad]],Table1[[#Headers],[Navidad]],""),"")</f>
        <v/>
      </c>
      <c r="I62" t="str">
        <f>IFERROR(IF(VLOOKUP(C62,Cuaresma!A:C,3,FALSE)=Table1[[#Headers],[Cuaresma]],Table1[[#Headers],[Cuaresma]],""),"")</f>
        <v/>
      </c>
      <c r="J62" t="str">
        <f>IFERROR(IF(VLOOKUP(C62,Pascua!A:C,3,FALSE)=Table1[[#Headers],[Pascua]],Table1[[#Headers],[Pascua]],""),"")</f>
        <v>Pascua</v>
      </c>
      <c r="K62" t="str">
        <f>IFERROR(IF(VLOOKUP(C62,Pentecostés!A:C,3,FALSE)=Table1[[#Headers],[Pentecostés]],Table1[[#Headers],[Pentecostés]],""),"")</f>
        <v>Pentecostés</v>
      </c>
      <c r="L62" t="str">
        <f>IFERROR(IF(VLOOKUP(C62,Entrada!A:C,3,FALSE)=Table1[[#Headers],[Entrada]],Table1[[#Headers],[Entrada]],""),"")</f>
        <v/>
      </c>
      <c r="M62" t="str">
        <f>IFERROR(IF(VLOOKUP(C62,Virgen!A:C,3,FALSE)=Table1[[#Headers],[Virgen]],Table1[[#Headers],[Virgen]],""),"")</f>
        <v/>
      </c>
      <c r="N62" t="str">
        <f>IFERROR(IF(VLOOKUP(C62,Paz!A:C,3,FALSE)=Table1[[#Headers],[Paz]],Table1[[#Headers],[Paz]],""),"")</f>
        <v>Paz</v>
      </c>
      <c r="O62" t="str">
        <f>IFERROR(IF(VLOOKUP(C62,Pan!A:C,3,FALSE)=Table1[[#Headers],[Pan]],Table1[[#Headers],[Pan]],""),"")</f>
        <v/>
      </c>
      <c r="P62" t="str">
        <f>IFERROR(IF(VLOOKUP(C62,Comunión!A:C,3,FALSE)=Table1[[#Headers],[Comunión]],Table1[[#Headers],[Comunión]],""),"")</f>
        <v/>
      </c>
      <c r="Q62" t="str">
        <f>IFERROR(IF(VLOOKUP(C62,Niños!A:C,3,FALSE)=Table1[[#Headers],[Niños]],Table1[[#Headers],[Niños]],""),"")</f>
        <v/>
      </c>
      <c r="R62" t="str">
        <f>IFERROR(IF(VLOOKUP(C62,Laudes!A:C,3,FALSE)=Table1[[#Headers],[Laudes]],Table1[[#Headers],[Laudes]],""),"")</f>
        <v/>
      </c>
      <c r="S62" t="str">
        <f>IFERROR(IF(VLOOKUP(C62,'Nuevo Testamento'!A:C,3,FALSE)=Table1[[#Headers],[Nuevo Testamento]],Table1[[#Headers],[Nuevo Testamento]],""),"")</f>
        <v/>
      </c>
      <c r="T62" t="str">
        <f>IFERROR(IF(VLOOKUP(C62,'Antiguo Testamento'!A:C,3,FALSE)=Table1[[#Headers],[Antiguo Testamento]],Table1[[#Headers],[Antiguo Testamento]],""),"")</f>
        <v/>
      </c>
      <c r="U62" t="str">
        <f>IFERROR(IF(VLOOKUP(C62,Final!A:C,3,FALSE)=Table1[[#Headers],[Final]],Table1[[#Headers],[Final]],""),"")</f>
        <v/>
      </c>
      <c r="V62" t="str" cm="1">
        <f t="array" ref="V6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/cantos/src/chtml/d/dayenu.html</v>
      </c>
      <c r="W6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{id:60,title: "Dayenú", subtitle: "De la Hagadá de Pésaj hebrea", category: "Precatecumenado", moments: ["","","","Pascua","Pentecostés","","","Paz","","","","","","",""], url: "/cantos/src/chtml/d/dayenu.html"},</v>
      </c>
    </row>
    <row r="63" spans="1:23" x14ac:dyDescent="0.25">
      <c r="A63">
        <v>47</v>
      </c>
      <c r="B63" s="14">
        <v>61</v>
      </c>
      <c r="C63" t="s">
        <v>131</v>
      </c>
      <c r="D63" t="s">
        <v>350</v>
      </c>
      <c r="E63" t="str">
        <f>LOWER(LEFT(Table1[[#This Row],[Canto]],1))</f>
        <v>d</v>
      </c>
      <c r="F63" t="s">
        <v>288</v>
      </c>
      <c r="G63" t="str">
        <f>IFERROR(IF(VLOOKUP(C63,Adviento!A:C,3,FALSE)=Table1[[#Headers],[Adviento]],Table1[[#Headers],[Adviento]],""),"")</f>
        <v>Adviento</v>
      </c>
      <c r="H63" t="str">
        <f>IFERROR(IF(VLOOKUP(C63,Navidad!A:C,3,FALSE)=Table1[[#Headers],[Navidad]],Table1[[#Headers],[Navidad]],""),"")</f>
        <v>Navidad</v>
      </c>
      <c r="I63" t="str">
        <f>IFERROR(IF(VLOOKUP(C63,Cuaresma!A:C,3,FALSE)=Table1[[#Headers],[Cuaresma]],Table1[[#Headers],[Cuaresma]],""),"")</f>
        <v>Cuaresma</v>
      </c>
      <c r="J63" t="str">
        <f>IFERROR(IF(VLOOKUP(C63,Pascua!A:C,3,FALSE)=Table1[[#Headers],[Pascua]],Table1[[#Headers],[Pascua]],""),"")</f>
        <v/>
      </c>
      <c r="K63" t="str">
        <f>IFERROR(IF(VLOOKUP(C63,Pentecostés!A:C,3,FALSE)=Table1[[#Headers],[Pentecostés]],Table1[[#Headers],[Pentecostés]],""),"")</f>
        <v/>
      </c>
      <c r="L63" t="str">
        <f>IFERROR(IF(VLOOKUP(C63,Entrada!A:C,3,FALSE)=Table1[[#Headers],[Entrada]],Table1[[#Headers],[Entrada]],""),"")</f>
        <v/>
      </c>
      <c r="M63" t="str">
        <f>IFERROR(IF(VLOOKUP(C63,Virgen!A:C,3,FALSE)=Table1[[#Headers],[Virgen]],Table1[[#Headers],[Virgen]],""),"")</f>
        <v/>
      </c>
      <c r="N63" t="str">
        <f>IFERROR(IF(VLOOKUP(C63,Paz!A:C,3,FALSE)=Table1[[#Headers],[Paz]],Table1[[#Headers],[Paz]],""),"")</f>
        <v/>
      </c>
      <c r="O63" t="str">
        <f>IFERROR(IF(VLOOKUP(C63,Pan!A:C,3,FALSE)=Table1[[#Headers],[Pan]],Table1[[#Headers],[Pan]],""),"")</f>
        <v/>
      </c>
      <c r="P63" t="str">
        <f>IFERROR(IF(VLOOKUP(C63,Comunión!A:C,3,FALSE)=Table1[[#Headers],[Comunión]],Table1[[#Headers],[Comunión]],""),"")</f>
        <v/>
      </c>
      <c r="Q63" t="str">
        <f>IFERROR(IF(VLOOKUP(C63,Niños!A:C,3,FALSE)=Table1[[#Headers],[Niños]],Table1[[#Headers],[Niños]],""),"")</f>
        <v/>
      </c>
      <c r="R63" t="str">
        <f>IFERROR(IF(VLOOKUP(C63,Laudes!A:C,3,FALSE)=Table1[[#Headers],[Laudes]],Table1[[#Headers],[Laudes]],""),"")</f>
        <v/>
      </c>
      <c r="S63" t="str">
        <f>IFERROR(IF(VLOOKUP(C63,'Nuevo Testamento'!A:C,3,FALSE)=Table1[[#Headers],[Nuevo Testamento]],Table1[[#Headers],[Nuevo Testamento]],""),"")</f>
        <v/>
      </c>
      <c r="T63" t="str">
        <f>IFERROR(IF(VLOOKUP(C63,'Antiguo Testamento'!A:C,3,FALSE)=Table1[[#Headers],[Antiguo Testamento]],Table1[[#Headers],[Antiguo Testamento]],""),"")</f>
        <v>Antiguo Testamento</v>
      </c>
      <c r="U63" t="str">
        <f>IFERROR(IF(VLOOKUP(C63,Final!A:C,3,FALSE)=Table1[[#Headers],[Final]],Table1[[#Headers],[Final]],""),"")</f>
        <v/>
      </c>
      <c r="V63" t="str" cm="1">
        <f t="array" ref="V6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/cantos/src/chtml/d/deprofundis.html</v>
      </c>
      <c r="W6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{id:61,title: "De Profundis", subtitle: "Salmo 130 (129)", category: "Precatecumenado", moments: ["Adviento","Navidad","Cuaresma","","","","","","","","","","","Antiguo Testamento",""], url: "/cantos/src/chtml/d/deprofundis.html"},</v>
      </c>
    </row>
    <row r="64" spans="1:23" x14ac:dyDescent="0.25">
      <c r="A64">
        <v>223</v>
      </c>
      <c r="B64" s="14">
        <v>62</v>
      </c>
      <c r="C64" t="s">
        <v>30</v>
      </c>
      <c r="D64" t="s">
        <v>351</v>
      </c>
      <c r="E64" t="str">
        <f>LOWER(LEFT(Table1[[#This Row],[Canto]],1))</f>
        <v>d</v>
      </c>
      <c r="F64" s="13" t="s">
        <v>290</v>
      </c>
      <c r="G64" t="str">
        <f>IFERROR(IF(VLOOKUP(C64,Adviento!A:C,3,FALSE)=Table1[[#Headers],[Adviento]],Table1[[#Headers],[Adviento]],""),"")</f>
        <v/>
      </c>
      <c r="H64" t="str">
        <f>IFERROR(IF(VLOOKUP(C64,Navidad!A:C,3,FALSE)=Table1[[#Headers],[Navidad]],Table1[[#Headers],[Navidad]],""),"")</f>
        <v/>
      </c>
      <c r="I64" t="str">
        <f>IFERROR(IF(VLOOKUP(C64,Cuaresma!A:C,3,FALSE)=Table1[[#Headers],[Cuaresma]],Table1[[#Headers],[Cuaresma]],""),"")</f>
        <v/>
      </c>
      <c r="J64" t="str">
        <f>IFERROR(IF(VLOOKUP(C64,Pascua!A:C,3,FALSE)=Table1[[#Headers],[Pascua]],Table1[[#Headers],[Pascua]],""),"")</f>
        <v/>
      </c>
      <c r="K64" t="str">
        <f>IFERROR(IF(VLOOKUP(C64,Pentecostés!A:C,3,FALSE)=Table1[[#Headers],[Pentecostés]],Table1[[#Headers],[Pentecostés]],""),"")</f>
        <v/>
      </c>
      <c r="L64" t="str">
        <f>IFERROR(IF(VLOOKUP(C64,Entrada!A:C,3,FALSE)=Table1[[#Headers],[Entrada]],Table1[[#Headers],[Entrada]],""),"")</f>
        <v/>
      </c>
      <c r="M64" t="str">
        <f>IFERROR(IF(VLOOKUP(C64,Virgen!A:C,3,FALSE)=Table1[[#Headers],[Virgen]],Table1[[#Headers],[Virgen]],""),"")</f>
        <v>Virgen</v>
      </c>
      <c r="N64" t="str">
        <f>IFERROR(IF(VLOOKUP(C64,Paz!A:C,3,FALSE)=Table1[[#Headers],[Paz]],Table1[[#Headers],[Paz]],""),"")</f>
        <v/>
      </c>
      <c r="O64" t="str">
        <f>IFERROR(IF(VLOOKUP(C64,Pan!A:C,3,FALSE)=Table1[[#Headers],[Pan]],Table1[[#Headers],[Pan]],""),"")</f>
        <v/>
      </c>
      <c r="P64" t="str">
        <f>IFERROR(IF(VLOOKUP(C64,Comunión!A:C,3,FALSE)=Table1[[#Headers],[Comunión]],Table1[[#Headers],[Comunión]],""),"")</f>
        <v/>
      </c>
      <c r="Q64" t="str">
        <f>IFERROR(IF(VLOOKUP(C64,Niños!A:C,3,FALSE)=Table1[[#Headers],[Niños]],Table1[[#Headers],[Niños]],""),"")</f>
        <v/>
      </c>
      <c r="R64" t="str">
        <f>IFERROR(IF(VLOOKUP(C64,Laudes!A:C,3,FALSE)=Table1[[#Headers],[Laudes]],Table1[[#Headers],[Laudes]],""),"")</f>
        <v/>
      </c>
      <c r="S64" t="str">
        <f>IFERROR(IF(VLOOKUP(C64,'Nuevo Testamento'!A:C,3,FALSE)=Table1[[#Headers],[Nuevo Testamento]],Table1[[#Headers],[Nuevo Testamento]],""),"")</f>
        <v/>
      </c>
      <c r="T64" t="str">
        <f>IFERROR(IF(VLOOKUP(C64,'Antiguo Testamento'!A:C,3,FALSE)=Table1[[#Headers],[Antiguo Testamento]],Table1[[#Headers],[Antiguo Testamento]],""),"")</f>
        <v>Antiguo Testamento</v>
      </c>
      <c r="U64" t="str">
        <f>IFERROR(IF(VLOOKUP(C64,Final!A:C,3,FALSE)=Table1[[#Headers],[Final]],Table1[[#Headers],[Final]],""),"")</f>
        <v/>
      </c>
      <c r="V64" t="str" cm="1">
        <f t="array" ref="V6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/cantos/src/chtml/d/debora.html</v>
      </c>
      <c r="W6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{id:62,title: "Débora", subtitle: "Jueces 5", category: "Catecumenado", moments: ["","","","","","","Virgen","","","","","","","Antiguo Testamento",""], url: "/cantos/src/chtml/d/debora.html"},</v>
      </c>
    </row>
    <row r="65" spans="1:23" x14ac:dyDescent="0.25">
      <c r="A65">
        <v>48</v>
      </c>
      <c r="B65" s="14">
        <v>63</v>
      </c>
      <c r="C65" t="s">
        <v>132</v>
      </c>
      <c r="D65" t="s">
        <v>352</v>
      </c>
      <c r="E65" t="str">
        <f>LOWER(LEFT(Table1[[#This Row],[Canto]],1))</f>
        <v>d</v>
      </c>
      <c r="F65" t="s">
        <v>288</v>
      </c>
      <c r="G65" t="str">
        <f>IFERROR(IF(VLOOKUP(C65,Adviento!A:C,3,FALSE)=Table1[[#Headers],[Adviento]],Table1[[#Headers],[Adviento]],""),"")</f>
        <v>Adviento</v>
      </c>
      <c r="H65" t="str">
        <f>IFERROR(IF(VLOOKUP(C65,Navidad!A:C,3,FALSE)=Table1[[#Headers],[Navidad]],Table1[[#Headers],[Navidad]],""),"")</f>
        <v>Navidad</v>
      </c>
      <c r="I65" t="str">
        <f>IFERROR(IF(VLOOKUP(C65,Cuaresma!A:C,3,FALSE)=Table1[[#Headers],[Cuaresma]],Table1[[#Headers],[Cuaresma]],""),"")</f>
        <v>Cuaresma</v>
      </c>
      <c r="J65" t="str">
        <f>IFERROR(IF(VLOOKUP(C65,Pascua!A:C,3,FALSE)=Table1[[#Headers],[Pascua]],Table1[[#Headers],[Pascua]],""),"")</f>
        <v/>
      </c>
      <c r="K65" t="str">
        <f>IFERROR(IF(VLOOKUP(C65,Pentecostés!A:C,3,FALSE)=Table1[[#Headers],[Pentecostés]],Table1[[#Headers],[Pentecostés]],""),"")</f>
        <v/>
      </c>
      <c r="L65" t="str">
        <f>IFERROR(IF(VLOOKUP(C65,Entrada!A:C,3,FALSE)=Table1[[#Headers],[Entrada]],Table1[[#Headers],[Entrada]],""),"")</f>
        <v>Entrada</v>
      </c>
      <c r="M65" t="str">
        <f>IFERROR(IF(VLOOKUP(C65,Virgen!A:C,3,FALSE)=Table1[[#Headers],[Virgen]],Table1[[#Headers],[Virgen]],""),"")</f>
        <v/>
      </c>
      <c r="N65" t="str">
        <f>IFERROR(IF(VLOOKUP(C65,Paz!A:C,3,FALSE)=Table1[[#Headers],[Paz]],Table1[[#Headers],[Paz]],""),"")</f>
        <v/>
      </c>
      <c r="O65" t="str">
        <f>IFERROR(IF(VLOOKUP(C65,Pan!A:C,3,FALSE)=Table1[[#Headers],[Pan]],Table1[[#Headers],[Pan]],""),"")</f>
        <v/>
      </c>
      <c r="P65" t="str">
        <f>IFERROR(IF(VLOOKUP(C65,Comunión!A:C,3,FALSE)=Table1[[#Headers],[Comunión]],Table1[[#Headers],[Comunión]],""),"")</f>
        <v/>
      </c>
      <c r="Q65" t="str">
        <f>IFERROR(IF(VLOOKUP(C65,Niños!A:C,3,FALSE)=Table1[[#Headers],[Niños]],Table1[[#Headers],[Niños]],""),"")</f>
        <v/>
      </c>
      <c r="R65" t="str">
        <f>IFERROR(IF(VLOOKUP(C65,Laudes!A:C,3,FALSE)=Table1[[#Headers],[Laudes]],Table1[[#Headers],[Laudes]],""),"")</f>
        <v/>
      </c>
      <c r="S65" t="str">
        <f>IFERROR(IF(VLOOKUP(C65,'Nuevo Testamento'!A:C,3,FALSE)=Table1[[#Headers],[Nuevo Testamento]],Table1[[#Headers],[Nuevo Testamento]],""),"")</f>
        <v/>
      </c>
      <c r="T65" t="str">
        <f>IFERROR(IF(VLOOKUP(C65,'Antiguo Testamento'!A:C,3,FALSE)=Table1[[#Headers],[Antiguo Testamento]],Table1[[#Headers],[Antiguo Testamento]],""),"")</f>
        <v>Antiguo Testamento</v>
      </c>
      <c r="U65" t="str">
        <f>IFERROR(IF(VLOOKUP(C65,Final!A:C,3,FALSE)=Table1[[#Headers],[Final]],Table1[[#Headers],[Final]],""),"")</f>
        <v/>
      </c>
      <c r="V65" t="str" cm="1">
        <f t="array" ref="V6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/cantos/src/chtml/d/decidlealosdecorazoncansado.html</v>
      </c>
      <c r="W6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{id:63,title: "Decidle a los de corazón cansado", subtitle: "Isaías 35,4ss", category: "Precatecumenado", moments: ["Adviento","Navidad","Cuaresma","","","Entrada","","","","","","","","Antiguo Testamento",""], url: "/cantos/src/chtml/d/decidlealosdecorazoncansado.html"},</v>
      </c>
    </row>
    <row r="66" spans="1:23" x14ac:dyDescent="0.25">
      <c r="A66">
        <v>49</v>
      </c>
      <c r="B66" s="14">
        <v>64</v>
      </c>
      <c r="C66" t="s">
        <v>133</v>
      </c>
      <c r="D66" t="s">
        <v>353</v>
      </c>
      <c r="E66" t="str">
        <f>LOWER(LEFT(Table1[[#This Row],[Canto]],1))</f>
        <v>d</v>
      </c>
      <c r="F66" t="s">
        <v>288</v>
      </c>
      <c r="G66" t="str">
        <f>IFERROR(IF(VLOOKUP(C66,Adviento!A:C,3,FALSE)=Table1[[#Headers],[Adviento]],Table1[[#Headers],[Adviento]],""),"")</f>
        <v/>
      </c>
      <c r="H66" t="str">
        <f>IFERROR(IF(VLOOKUP(C66,Navidad!A:C,3,FALSE)=Table1[[#Headers],[Navidad]],Table1[[#Headers],[Navidad]],""),"")</f>
        <v/>
      </c>
      <c r="I66" t="str">
        <f>IFERROR(IF(VLOOKUP(C66,Cuaresma!A:C,3,FALSE)=Table1[[#Headers],[Cuaresma]],Table1[[#Headers],[Cuaresma]],""),"")</f>
        <v/>
      </c>
      <c r="J66" t="str">
        <f>IFERROR(IF(VLOOKUP(C66,Pascua!A:C,3,FALSE)=Table1[[#Headers],[Pascua]],Table1[[#Headers],[Pascua]],""),"")</f>
        <v/>
      </c>
      <c r="K66" t="str">
        <f>IFERROR(IF(VLOOKUP(C66,Pentecostés!A:C,3,FALSE)=Table1[[#Headers],[Pentecostés]],Table1[[#Headers],[Pentecostés]],""),"")</f>
        <v/>
      </c>
      <c r="L66" t="str">
        <f>IFERROR(IF(VLOOKUP(C66,Entrada!A:C,3,FALSE)=Table1[[#Headers],[Entrada]],Table1[[#Headers],[Entrada]],""),"")</f>
        <v/>
      </c>
      <c r="M66" t="str">
        <f>IFERROR(IF(VLOOKUP(C66,Virgen!A:C,3,FALSE)=Table1[[#Headers],[Virgen]],Table1[[#Headers],[Virgen]],""),"")</f>
        <v/>
      </c>
      <c r="N66" t="str">
        <f>IFERROR(IF(VLOOKUP(C66,Paz!A:C,3,FALSE)=Table1[[#Headers],[Paz]],Table1[[#Headers],[Paz]],""),"")</f>
        <v/>
      </c>
      <c r="O66" t="str">
        <f>IFERROR(IF(VLOOKUP(C66,Pan!A:C,3,FALSE)=Table1[[#Headers],[Pan]],Table1[[#Headers],[Pan]],""),"")</f>
        <v/>
      </c>
      <c r="P66" t="str">
        <f>IFERROR(IF(VLOOKUP(C66,Comunión!A:C,3,FALSE)=Table1[[#Headers],[Comunión]],Table1[[#Headers],[Comunión]],""),"")</f>
        <v/>
      </c>
      <c r="Q66" t="str">
        <f>IFERROR(IF(VLOOKUP(C66,Niños!A:C,3,FALSE)=Table1[[#Headers],[Niños]],Table1[[#Headers],[Niños]],""),"")</f>
        <v/>
      </c>
      <c r="R66" t="str">
        <f>IFERROR(IF(VLOOKUP(C66,Laudes!A:C,3,FALSE)=Table1[[#Headers],[Laudes]],Table1[[#Headers],[Laudes]],""),"")</f>
        <v>Laudes</v>
      </c>
      <c r="S66" t="str">
        <f>IFERROR(IF(VLOOKUP(C66,'Nuevo Testamento'!A:C,3,FALSE)=Table1[[#Headers],[Nuevo Testamento]],Table1[[#Headers],[Nuevo Testamento]],""),"")</f>
        <v/>
      </c>
      <c r="T66" t="str">
        <f>IFERROR(IF(VLOOKUP(C66,'Antiguo Testamento'!A:C,3,FALSE)=Table1[[#Headers],[Antiguo Testamento]],Table1[[#Headers],[Antiguo Testamento]],""),"")</f>
        <v>Antiguo Testamento</v>
      </c>
      <c r="U66" t="str">
        <f>IFERROR(IF(VLOOKUP(C66,Final!A:C,3,FALSE)=Table1[[#Headers],[Final]],Table1[[#Headers],[Final]],""),"")</f>
        <v/>
      </c>
      <c r="V66" t="str" cm="1">
        <f t="array" ref="V6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/cantos/src/chtml/d/delantedelosangeles.html</v>
      </c>
      <c r="W6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{id:64,title: "Delante de los ángeles", subtitle: "Salmo 138 (137)", category: "Precatecumenado", moments: ["","","","","","","","","","","","Laudes","","Antiguo Testamento",""], url: "/cantos/src/chtml/d/delantedelosangeles.html"},</v>
      </c>
    </row>
    <row r="67" spans="1:23" x14ac:dyDescent="0.25">
      <c r="A67">
        <v>50</v>
      </c>
      <c r="B67" s="14">
        <v>65</v>
      </c>
      <c r="C67" t="s">
        <v>134</v>
      </c>
      <c r="D67" t="s">
        <v>354</v>
      </c>
      <c r="E67" t="str">
        <f>LOWER(LEFT(Table1[[#This Row],[Canto]],1))</f>
        <v>d</v>
      </c>
      <c r="F67" t="s">
        <v>288</v>
      </c>
      <c r="G67" t="str">
        <f>IFERROR(IF(VLOOKUP(C67,Adviento!A:C,3,FALSE)=Table1[[#Headers],[Adviento]],Table1[[#Headers],[Adviento]],""),"")</f>
        <v/>
      </c>
      <c r="H67" t="str">
        <f>IFERROR(IF(VLOOKUP(C67,Navidad!A:C,3,FALSE)=Table1[[#Headers],[Navidad]],Table1[[#Headers],[Navidad]],""),"")</f>
        <v/>
      </c>
      <c r="I67" t="str">
        <f>IFERROR(IF(VLOOKUP(C67,Cuaresma!A:C,3,FALSE)=Table1[[#Headers],[Cuaresma]],Table1[[#Headers],[Cuaresma]],""),"")</f>
        <v/>
      </c>
      <c r="J67" t="str">
        <f>IFERROR(IF(VLOOKUP(C67,Pascua!A:C,3,FALSE)=Table1[[#Headers],[Pascua]],Table1[[#Headers],[Pascua]],""),"")</f>
        <v/>
      </c>
      <c r="K67" t="str">
        <f>IFERROR(IF(VLOOKUP(C67,Pentecostés!A:C,3,FALSE)=Table1[[#Headers],[Pentecostés]],Table1[[#Headers],[Pentecostés]],""),"")</f>
        <v/>
      </c>
      <c r="L67" t="str">
        <f>IFERROR(IF(VLOOKUP(C67,Entrada!A:C,3,FALSE)=Table1[[#Headers],[Entrada]],Table1[[#Headers],[Entrada]],""),"")</f>
        <v/>
      </c>
      <c r="M67" t="str">
        <f>IFERROR(IF(VLOOKUP(C67,Virgen!A:C,3,FALSE)=Table1[[#Headers],[Virgen]],Table1[[#Headers],[Virgen]],""),"")</f>
        <v/>
      </c>
      <c r="N67" t="str">
        <f>IFERROR(IF(VLOOKUP(C67,Paz!A:C,3,FALSE)=Table1[[#Headers],[Paz]],Table1[[#Headers],[Paz]],""),"")</f>
        <v/>
      </c>
      <c r="O67" t="str">
        <f>IFERROR(IF(VLOOKUP(C67,Pan!A:C,3,FALSE)=Table1[[#Headers],[Pan]],Table1[[#Headers],[Pan]],""),"")</f>
        <v/>
      </c>
      <c r="P67" t="str">
        <f>IFERROR(IF(VLOOKUP(C67,Comunión!A:C,3,FALSE)=Table1[[#Headers],[Comunión]],Table1[[#Headers],[Comunión]],""),"")</f>
        <v/>
      </c>
      <c r="Q67" t="str">
        <f>IFERROR(IF(VLOOKUP(C67,Niños!A:C,3,FALSE)=Table1[[#Headers],[Niños]],Table1[[#Headers],[Niños]],""),"")</f>
        <v/>
      </c>
      <c r="R67" t="str">
        <f>IFERROR(IF(VLOOKUP(C67,Laudes!A:C,3,FALSE)=Table1[[#Headers],[Laudes]],Table1[[#Headers],[Laudes]],""),"")</f>
        <v/>
      </c>
      <c r="S67" t="str">
        <f>IFERROR(IF(VLOOKUP(C67,'Nuevo Testamento'!A:C,3,FALSE)=Table1[[#Headers],[Nuevo Testamento]],Table1[[#Headers],[Nuevo Testamento]],""),"")</f>
        <v>Nuevo Testamento</v>
      </c>
      <c r="T67" t="str">
        <f>IFERROR(IF(VLOOKUP(C67,'Antiguo Testamento'!A:C,3,FALSE)=Table1[[#Headers],[Antiguo Testamento]],Table1[[#Headers],[Antiguo Testamento]],""),"")</f>
        <v/>
      </c>
      <c r="U67" t="str">
        <f>IFERROR(IF(VLOOKUP(C67,Final!A:C,3,FALSE)=Table1[[#Headers],[Final]],Table1[[#Headers],[Final]],""),"")</f>
        <v>Final</v>
      </c>
      <c r="V67" t="str" cm="1">
        <f t="array" ref="V6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/cantos/src/chtml/d/diadereposo.html</v>
      </c>
      <c r="W6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{id:65,title: "Día de reposo", subtitle: "Juan 8,52", category: "Precatecumenado", moments: ["","","","","","","","","","","","","Nuevo Testamento","","Final"], url: "/cantos/src/chtml/d/diadereposo.html"},</v>
      </c>
    </row>
    <row r="68" spans="1:23" x14ac:dyDescent="0.25">
      <c r="A68">
        <v>51</v>
      </c>
      <c r="B68" s="14">
        <v>66</v>
      </c>
      <c r="C68" t="s">
        <v>31</v>
      </c>
      <c r="D68" t="s">
        <v>355</v>
      </c>
      <c r="E68" t="str">
        <f>LOWER(LEFT(Table1[[#This Row],[Canto]],1))</f>
        <v>d</v>
      </c>
      <c r="F68" t="s">
        <v>288</v>
      </c>
      <c r="G68" t="str">
        <f>IFERROR(IF(VLOOKUP(C68,Adviento!A:C,3,FALSE)=Table1[[#Headers],[Adviento]],Table1[[#Headers],[Adviento]],""),"")</f>
        <v/>
      </c>
      <c r="H68" t="str">
        <f>IFERROR(IF(VLOOKUP(C68,Navidad!A:C,3,FALSE)=Table1[[#Headers],[Navidad]],Table1[[#Headers],[Navidad]],""),"")</f>
        <v/>
      </c>
      <c r="I68" t="str">
        <f>IFERROR(IF(VLOOKUP(C68,Cuaresma!A:C,3,FALSE)=Table1[[#Headers],[Cuaresma]],Table1[[#Headers],[Cuaresma]],""),"")</f>
        <v/>
      </c>
      <c r="J68" t="str">
        <f>IFERROR(IF(VLOOKUP(C68,Pascua!A:C,3,FALSE)=Table1[[#Headers],[Pascua]],Table1[[#Headers],[Pascua]],""),"")</f>
        <v>Pascua</v>
      </c>
      <c r="K68" t="str">
        <f>IFERROR(IF(VLOOKUP(C68,Pentecostés!A:C,3,FALSE)=Table1[[#Headers],[Pentecostés]],Table1[[#Headers],[Pentecostés]],""),"")</f>
        <v>Pentecostés</v>
      </c>
      <c r="L68" t="str">
        <f>IFERROR(IF(VLOOKUP(C68,Entrada!A:C,3,FALSE)=Table1[[#Headers],[Entrada]],Table1[[#Headers],[Entrada]],""),"")</f>
        <v/>
      </c>
      <c r="M68" t="str">
        <f>IFERROR(IF(VLOOKUP(C68,Virgen!A:C,3,FALSE)=Table1[[#Headers],[Virgen]],Table1[[#Headers],[Virgen]],""),"")</f>
        <v/>
      </c>
      <c r="N68" t="str">
        <f>IFERROR(IF(VLOOKUP(C68,Paz!A:C,3,FALSE)=Table1[[#Headers],[Paz]],Table1[[#Headers],[Paz]],""),"")</f>
        <v/>
      </c>
      <c r="O68" t="str">
        <f>IFERROR(IF(VLOOKUP(C68,Pan!A:C,3,FALSE)=Table1[[#Headers],[Pan]],Table1[[#Headers],[Pan]],""),"")</f>
        <v/>
      </c>
      <c r="P68" t="str">
        <f>IFERROR(IF(VLOOKUP(C68,Comunión!A:C,3,FALSE)=Table1[[#Headers],[Comunión]],Table1[[#Headers],[Comunión]],""),"")</f>
        <v/>
      </c>
      <c r="Q68" t="str">
        <f>IFERROR(IF(VLOOKUP(C68,Niños!A:C,3,FALSE)=Table1[[#Headers],[Niños]],Table1[[#Headers],[Niños]],""),"")</f>
        <v/>
      </c>
      <c r="R68" t="str">
        <f>IFERROR(IF(VLOOKUP(C68,Laudes!A:C,3,FALSE)=Table1[[#Headers],[Laudes]],Table1[[#Headers],[Laudes]],""),"")</f>
        <v>Laudes</v>
      </c>
      <c r="S68" t="str">
        <f>IFERROR(IF(VLOOKUP(C68,'Nuevo Testamento'!A:C,3,FALSE)=Table1[[#Headers],[Nuevo Testamento]],Table1[[#Headers],[Nuevo Testamento]],""),"")</f>
        <v/>
      </c>
      <c r="T68" t="str">
        <f>IFERROR(IF(VLOOKUP(C68,'Antiguo Testamento'!A:C,3,FALSE)=Table1[[#Headers],[Antiguo Testamento]],Table1[[#Headers],[Antiguo Testamento]],""),"")</f>
        <v>Antiguo Testamento</v>
      </c>
      <c r="U68" t="str">
        <f>IFERROR(IF(VLOOKUP(C68,Final!A:C,3,FALSE)=Table1[[#Headers],[Final]],Table1[[#Headers],[Final]],""),"")</f>
        <v/>
      </c>
      <c r="V68" t="str" cm="1">
        <f t="array" ref="V6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/cantos/src/chtml/d/diceelsenoramisenor.html</v>
      </c>
      <c r="W6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{id:66,title: "Dice el Señor a mi Señor", subtitle: "Salmo 110 (109)", category: "Precatecumenado", moments: ["","","","Pascua","Pentecostés","","","","","","","Laudes","","Antiguo Testamento",""], url: "/cantos/src/chtml/d/diceelsenoramisenor.html"},</v>
      </c>
    </row>
    <row r="69" spans="1:23" x14ac:dyDescent="0.25">
      <c r="A69">
        <v>52</v>
      </c>
      <c r="B69" s="14">
        <v>67</v>
      </c>
      <c r="C69" t="s">
        <v>135</v>
      </c>
      <c r="D69" t="s">
        <v>356</v>
      </c>
      <c r="E69" t="str">
        <f>LOWER(LEFT(Table1[[#This Row],[Canto]],1))</f>
        <v>d</v>
      </c>
      <c r="F69" t="s">
        <v>288</v>
      </c>
      <c r="G69" t="str">
        <f>IFERROR(IF(VLOOKUP(C69,Adviento!A:C,3,FALSE)=Table1[[#Headers],[Adviento]],Table1[[#Headers],[Adviento]],""),"")</f>
        <v/>
      </c>
      <c r="H69" t="str">
        <f>IFERROR(IF(VLOOKUP(C69,Navidad!A:C,3,FALSE)=Table1[[#Headers],[Navidad]],Table1[[#Headers],[Navidad]],""),"")</f>
        <v/>
      </c>
      <c r="I69" t="str">
        <f>IFERROR(IF(VLOOKUP(C69,Cuaresma!A:C,3,FALSE)=Table1[[#Headers],[Cuaresma]],Table1[[#Headers],[Cuaresma]],""),"")</f>
        <v/>
      </c>
      <c r="J69" t="str">
        <f>IFERROR(IF(VLOOKUP(C69,Pascua!A:C,3,FALSE)=Table1[[#Headers],[Pascua]],Table1[[#Headers],[Pascua]],""),"")</f>
        <v/>
      </c>
      <c r="K69" t="str">
        <f>IFERROR(IF(VLOOKUP(C69,Pentecostés!A:C,3,FALSE)=Table1[[#Headers],[Pentecostés]],Table1[[#Headers],[Pentecostés]],""),"")</f>
        <v/>
      </c>
      <c r="L69" t="str">
        <f>IFERROR(IF(VLOOKUP(C69,Entrada!A:C,3,FALSE)=Table1[[#Headers],[Entrada]],Table1[[#Headers],[Entrada]],""),"")</f>
        <v/>
      </c>
      <c r="M69" t="str">
        <f>IFERROR(IF(VLOOKUP(C69,Virgen!A:C,3,FALSE)=Table1[[#Headers],[Virgen]],Table1[[#Headers],[Virgen]],""),"")</f>
        <v/>
      </c>
      <c r="N69" t="str">
        <f>IFERROR(IF(VLOOKUP(C69,Paz!A:C,3,FALSE)=Table1[[#Headers],[Paz]],Table1[[#Headers],[Paz]],""),"")</f>
        <v/>
      </c>
      <c r="O69" t="str">
        <f>IFERROR(IF(VLOOKUP(C69,Pan!A:C,3,FALSE)=Table1[[#Headers],[Pan]],Table1[[#Headers],[Pan]],""),"")</f>
        <v/>
      </c>
      <c r="P69" t="str">
        <f>IFERROR(IF(VLOOKUP(C69,Comunión!A:C,3,FALSE)=Table1[[#Headers],[Comunión]],Table1[[#Headers],[Comunión]],""),"")</f>
        <v/>
      </c>
      <c r="Q69" t="str">
        <f>IFERROR(IF(VLOOKUP(C69,Niños!A:C,3,FALSE)=Table1[[#Headers],[Niños]],Table1[[#Headers],[Niños]],""),"")</f>
        <v/>
      </c>
      <c r="R69" t="str">
        <f>IFERROR(IF(VLOOKUP(C69,Laudes!A:C,3,FALSE)=Table1[[#Headers],[Laudes]],Table1[[#Headers],[Laudes]],""),"")</f>
        <v/>
      </c>
      <c r="S69" t="str">
        <f>IFERROR(IF(VLOOKUP(C69,'Nuevo Testamento'!A:C,3,FALSE)=Table1[[#Headers],[Nuevo Testamento]],Table1[[#Headers],[Nuevo Testamento]],""),"")</f>
        <v/>
      </c>
      <c r="T69" t="str">
        <f>IFERROR(IF(VLOOKUP(C69,'Antiguo Testamento'!A:C,3,FALSE)=Table1[[#Headers],[Antiguo Testamento]],Table1[[#Headers],[Antiguo Testamento]],""),"")</f>
        <v>Antiguo Testamento</v>
      </c>
      <c r="U69" t="str">
        <f>IFERROR(IF(VLOOKUP(C69,Final!A:C,3,FALSE)=Table1[[#Headers],[Final]],Table1[[#Headers],[Final]],""),"")</f>
        <v/>
      </c>
      <c r="V69" t="str" cm="1">
        <f t="array" ref="V6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/cantos/src/chtml/d/dichosoelhombre.html</v>
      </c>
      <c r="W6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{id:67,title: "Dichoso el hombre", subtitle: "Salmo 1", category: "Precatecumenado", moments: ["","","","","","","","","","","","","","Antiguo Testamento",""], url: "/cantos/src/chtml/d/dichosoelhombre.html"},</v>
      </c>
    </row>
    <row r="70" spans="1:23" x14ac:dyDescent="0.25">
      <c r="A70">
        <v>53</v>
      </c>
      <c r="B70" s="14">
        <v>68</v>
      </c>
      <c r="C70" t="s">
        <v>32</v>
      </c>
      <c r="D70" t="s">
        <v>357</v>
      </c>
      <c r="E70" t="str">
        <f>LOWER(LEFT(Table1[[#This Row],[Canto]],1))</f>
        <v>e</v>
      </c>
      <c r="F70" t="s">
        <v>288</v>
      </c>
      <c r="G70" t="str">
        <f>IFERROR(IF(VLOOKUP(C70,Adviento!A:C,3,FALSE)=Table1[[#Headers],[Adviento]],Table1[[#Headers],[Adviento]],""),"")</f>
        <v/>
      </c>
      <c r="H70" t="str">
        <f>IFERROR(IF(VLOOKUP(C70,Navidad!A:C,3,FALSE)=Table1[[#Headers],[Navidad]],Table1[[#Headers],[Navidad]],""),"")</f>
        <v/>
      </c>
      <c r="I70" t="str">
        <f>IFERROR(IF(VLOOKUP(C70,Cuaresma!A:C,3,FALSE)=Table1[[#Headers],[Cuaresma]],Table1[[#Headers],[Cuaresma]],""),"")</f>
        <v/>
      </c>
      <c r="J70" t="str">
        <f>IFERROR(IF(VLOOKUP(C70,Pascua!A:C,3,FALSE)=Table1[[#Headers],[Pascua]],Table1[[#Headers],[Pascua]],""),"")</f>
        <v>Pascua</v>
      </c>
      <c r="K70" t="str">
        <f>IFERROR(IF(VLOOKUP(C70,Pentecostés!A:C,3,FALSE)=Table1[[#Headers],[Pentecostés]],Table1[[#Headers],[Pentecostés]],""),"")</f>
        <v>Pentecostés</v>
      </c>
      <c r="L70" t="str">
        <f>IFERROR(IF(VLOOKUP(C70,Entrada!A:C,3,FALSE)=Table1[[#Headers],[Entrada]],Table1[[#Headers],[Entrada]],""),"")</f>
        <v>Entrada</v>
      </c>
      <c r="M70" t="str">
        <f>IFERROR(IF(VLOOKUP(C70,Virgen!A:C,3,FALSE)=Table1[[#Headers],[Virgen]],Table1[[#Headers],[Virgen]],""),"")</f>
        <v/>
      </c>
      <c r="N70" t="str">
        <f>IFERROR(IF(VLOOKUP(C70,Paz!A:C,3,FALSE)=Table1[[#Headers],[Paz]],Table1[[#Headers],[Paz]],""),"")</f>
        <v/>
      </c>
      <c r="O70" t="str">
        <f>IFERROR(IF(VLOOKUP(C70,Pan!A:C,3,FALSE)=Table1[[#Headers],[Pan]],Table1[[#Headers],[Pan]],""),"")</f>
        <v/>
      </c>
      <c r="P70" t="str">
        <f>IFERROR(IF(VLOOKUP(C70,Comunión!A:C,3,FALSE)=Table1[[#Headers],[Comunión]],Table1[[#Headers],[Comunión]],""),"")</f>
        <v/>
      </c>
      <c r="Q70" t="str">
        <f>IFERROR(IF(VLOOKUP(C70,Niños!A:C,3,FALSE)=Table1[[#Headers],[Niños]],Table1[[#Headers],[Niños]],""),"")</f>
        <v/>
      </c>
      <c r="R70" t="str">
        <f>IFERROR(IF(VLOOKUP(C70,Laudes!A:C,3,FALSE)=Table1[[#Headers],[Laudes]],Table1[[#Headers],[Laudes]],""),"")</f>
        <v/>
      </c>
      <c r="S70" t="str">
        <f>IFERROR(IF(VLOOKUP(C70,'Nuevo Testamento'!A:C,3,FALSE)=Table1[[#Headers],[Nuevo Testamento]],Table1[[#Headers],[Nuevo Testamento]],""),"")</f>
        <v>Nuevo Testamento</v>
      </c>
      <c r="T70" t="str">
        <f>IFERROR(IF(VLOOKUP(C70,'Antiguo Testamento'!A:C,3,FALSE)=Table1[[#Headers],[Antiguo Testamento]],Table1[[#Headers],[Antiguo Testamento]],""),"")</f>
        <v/>
      </c>
      <c r="U70" t="str">
        <f>IFERROR(IF(VLOOKUP(C70,Final!A:C,3,FALSE)=Table1[[#Headers],[Final]],Table1[[#Headers],[Final]],""),"")</f>
        <v/>
      </c>
      <c r="V70" t="str" cm="1">
        <f t="array" ref="V7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/cantos/src/chtml/e/elcombateescatologico.html</v>
      </c>
      <c r="W7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{id:68,title: "El combate escatológico", subtitle: "Apocalipsis 19,11-20", category: "Precatecumenado", moments: ["","","","Pascua","Pentecostés","Entrada","","","","","","","Nuevo Testamento","",""], url: "/cantos/src/chtml/e/elcombateescatologico.html"},</v>
      </c>
    </row>
    <row r="71" spans="1:23" x14ac:dyDescent="0.25">
      <c r="A71">
        <v>54</v>
      </c>
      <c r="B71" s="14">
        <v>69</v>
      </c>
      <c r="C71" t="s">
        <v>136</v>
      </c>
      <c r="D71" t="s">
        <v>358</v>
      </c>
      <c r="E71" t="str">
        <f>LOWER(LEFT(Table1[[#This Row],[Canto]],1))</f>
        <v>e</v>
      </c>
      <c r="F71" t="s">
        <v>288</v>
      </c>
      <c r="G71" t="str">
        <f>IFERROR(IF(VLOOKUP(C71,Adviento!A:C,3,FALSE)=Table1[[#Headers],[Adviento]],Table1[[#Headers],[Adviento]],""),"")</f>
        <v/>
      </c>
      <c r="H71" t="str">
        <f>IFERROR(IF(VLOOKUP(C71,Navidad!A:C,3,FALSE)=Table1[[#Headers],[Navidad]],Table1[[#Headers],[Navidad]],""),"")</f>
        <v/>
      </c>
      <c r="I71" t="str">
        <f>IFERROR(IF(VLOOKUP(C71,Cuaresma!A:C,3,FALSE)=Table1[[#Headers],[Cuaresma]],Table1[[#Headers],[Cuaresma]],""),"")</f>
        <v/>
      </c>
      <c r="J71" t="str">
        <f>IFERROR(IF(VLOOKUP(C71,Pascua!A:C,3,FALSE)=Table1[[#Headers],[Pascua]],Table1[[#Headers],[Pascua]],""),"")</f>
        <v>Pascua</v>
      </c>
      <c r="K71" t="str">
        <f>IFERROR(IF(VLOOKUP(C71,Pentecostés!A:C,3,FALSE)=Table1[[#Headers],[Pentecostés]],Table1[[#Headers],[Pentecostés]],""),"")</f>
        <v>Pentecostés</v>
      </c>
      <c r="L71" t="str">
        <f>IFERROR(IF(VLOOKUP(C71,Entrada!A:C,3,FALSE)=Table1[[#Headers],[Entrada]],Table1[[#Headers],[Entrada]],""),"")</f>
        <v>Entrada</v>
      </c>
      <c r="M71" t="str">
        <f>IFERROR(IF(VLOOKUP(C71,Virgen!A:C,3,FALSE)=Table1[[#Headers],[Virgen]],Table1[[#Headers],[Virgen]],""),"")</f>
        <v/>
      </c>
      <c r="N71" t="str">
        <f>IFERROR(IF(VLOOKUP(C71,Paz!A:C,3,FALSE)=Table1[[#Headers],[Paz]],Table1[[#Headers],[Paz]],""),"")</f>
        <v/>
      </c>
      <c r="O71" t="str">
        <f>IFERROR(IF(VLOOKUP(C71,Pan!A:C,3,FALSE)=Table1[[#Headers],[Pan]],Table1[[#Headers],[Pan]],""),"")</f>
        <v/>
      </c>
      <c r="P71" t="str">
        <f>IFERROR(IF(VLOOKUP(C71,Comunión!A:C,3,FALSE)=Table1[[#Headers],[Comunión]],Table1[[#Headers],[Comunión]],""),"")</f>
        <v>Comunión</v>
      </c>
      <c r="Q71" t="str">
        <f>IFERROR(IF(VLOOKUP(C71,Niños!A:C,3,FALSE)=Table1[[#Headers],[Niños]],Table1[[#Headers],[Niños]],""),"")</f>
        <v/>
      </c>
      <c r="R71" t="str">
        <f>IFERROR(IF(VLOOKUP(C71,Laudes!A:C,3,FALSE)=Table1[[#Headers],[Laudes]],Table1[[#Headers],[Laudes]],""),"")</f>
        <v>Laudes</v>
      </c>
      <c r="S71" t="str">
        <f>IFERROR(IF(VLOOKUP(C71,'Nuevo Testamento'!A:C,3,FALSE)=Table1[[#Headers],[Nuevo Testamento]],Table1[[#Headers],[Nuevo Testamento]],""),"")</f>
        <v>Nuevo Testamento</v>
      </c>
      <c r="T71" t="str">
        <f>IFERROR(IF(VLOOKUP(C71,'Antiguo Testamento'!A:C,3,FALSE)=Table1[[#Headers],[Antiguo Testamento]],Table1[[#Headers],[Antiguo Testamento]],""),"")</f>
        <v>Antiguo Testamento</v>
      </c>
      <c r="U71" t="str">
        <f>IFERROR(IF(VLOOKUP(C71,Final!A:C,3,FALSE)=Table1[[#Headers],[Final]],Table1[[#Headers],[Final]],""),"")</f>
        <v/>
      </c>
      <c r="V71" t="str" cm="1">
        <f t="array" ref="V7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/cantos/src/chtml/e/elespiritudelsenorestasobremi.html</v>
      </c>
      <c r="W7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{id:69,title: "El Espíritu del Señor está sobre mí", subtitle: "Lucas 4,18 – Isaías 61,1-3", category: "Precatecumenado", moments: ["","","","Pascua","Pentecostés","Entrada","","","","Comunión","","Laudes","Nuevo Testamento","Antiguo Testamento",""], url: "/cantos/src/chtml/e/elespiritudelsenorestasobremi.html"},</v>
      </c>
    </row>
    <row r="72" spans="1:23" x14ac:dyDescent="0.25">
      <c r="A72">
        <v>55</v>
      </c>
      <c r="B72" s="14">
        <v>70</v>
      </c>
      <c r="C72" t="s">
        <v>33</v>
      </c>
      <c r="D72" t="s">
        <v>359</v>
      </c>
      <c r="E72" t="str">
        <f>LOWER(LEFT(Table1[[#This Row],[Canto]],1))</f>
        <v>e</v>
      </c>
      <c r="F72" t="s">
        <v>288</v>
      </c>
      <c r="G72" t="str">
        <f>IFERROR(IF(VLOOKUP(C72,Adviento!A:C,3,FALSE)=Table1[[#Headers],[Adviento]],Table1[[#Headers],[Adviento]],""),"")</f>
        <v/>
      </c>
      <c r="H72" t="str">
        <f>IFERROR(IF(VLOOKUP(C72,Navidad!A:C,3,FALSE)=Table1[[#Headers],[Navidad]],Table1[[#Headers],[Navidad]],""),"")</f>
        <v/>
      </c>
      <c r="I72" t="str">
        <f>IFERROR(IF(VLOOKUP(C72,Cuaresma!A:C,3,FALSE)=Table1[[#Headers],[Cuaresma]],Table1[[#Headers],[Cuaresma]],""),"")</f>
        <v/>
      </c>
      <c r="J72" t="str">
        <f>IFERROR(IF(VLOOKUP(C72,Pascua!A:C,3,FALSE)=Table1[[#Headers],[Pascua]],Table1[[#Headers],[Pascua]],""),"")</f>
        <v>Pascua</v>
      </c>
      <c r="K72" t="str">
        <f>IFERROR(IF(VLOOKUP(C72,Pentecostés!A:C,3,FALSE)=Table1[[#Headers],[Pentecostés]],Table1[[#Headers],[Pentecostés]],""),"")</f>
        <v>Pentecostés</v>
      </c>
      <c r="L72" t="str">
        <f>IFERROR(IF(VLOOKUP(C72,Entrada!A:C,3,FALSE)=Table1[[#Headers],[Entrada]],Table1[[#Headers],[Entrada]],""),"")</f>
        <v/>
      </c>
      <c r="M72" t="str">
        <f>IFERROR(IF(VLOOKUP(C72,Virgen!A:C,3,FALSE)=Table1[[#Headers],[Virgen]],Table1[[#Headers],[Virgen]],""),"")</f>
        <v/>
      </c>
      <c r="N72" t="str">
        <f>IFERROR(IF(VLOOKUP(C72,Paz!A:C,3,FALSE)=Table1[[#Headers],[Paz]],Table1[[#Headers],[Paz]],""),"")</f>
        <v/>
      </c>
      <c r="O72" t="str">
        <f>IFERROR(IF(VLOOKUP(C72,Pan!A:C,3,FALSE)=Table1[[#Headers],[Pan]],Table1[[#Headers],[Pan]],""),"")</f>
        <v/>
      </c>
      <c r="P72" t="str">
        <f>IFERROR(IF(VLOOKUP(C72,Comunión!A:C,3,FALSE)=Table1[[#Headers],[Comunión]],Table1[[#Headers],[Comunión]],""),"")</f>
        <v>Comunión</v>
      </c>
      <c r="Q72" t="str">
        <f>IFERROR(IF(VLOOKUP(C72,Niños!A:C,3,FALSE)=Table1[[#Headers],[Niños]],Table1[[#Headers],[Niños]],""),"")</f>
        <v/>
      </c>
      <c r="R72" t="str">
        <f>IFERROR(IF(VLOOKUP(C72,Laudes!A:C,3,FALSE)=Table1[[#Headers],[Laudes]],Table1[[#Headers],[Laudes]],""),"")</f>
        <v/>
      </c>
      <c r="S72" t="str">
        <f>IFERROR(IF(VLOOKUP(C72,'Nuevo Testamento'!A:C,3,FALSE)=Table1[[#Headers],[Nuevo Testamento]],Table1[[#Headers],[Nuevo Testamento]],""),"")</f>
        <v/>
      </c>
      <c r="T72" t="str">
        <f>IFERROR(IF(VLOOKUP(C72,'Antiguo Testamento'!A:C,3,FALSE)=Table1[[#Headers],[Antiguo Testamento]],Table1[[#Headers],[Antiguo Testamento]],""),"")</f>
        <v>Antiguo Testamento</v>
      </c>
      <c r="U72" t="str">
        <f>IFERROR(IF(VLOOKUP(C72,Final!A:C,3,FALSE)=Table1[[#Headers],[Final]],Table1[[#Headers],[Final]],""),"")</f>
        <v/>
      </c>
      <c r="V72" t="str" cm="1">
        <f t="array" ref="V7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/cantos/src/chtml/e/eljacaldelospastores.html</v>
      </c>
      <c r="W7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{id:70,title: "El jacal de los pastores", subtitle: "Cantar de los Cantares 1,2-8", category: "Precatecumenado", moments: ["","","","Pascua","Pentecostés","","","","","Comunión","","","","Antiguo Testamento",""], url: "/cantos/src/chtml/e/eljacaldelospastores.html"},</v>
      </c>
    </row>
    <row r="73" spans="1:23" x14ac:dyDescent="0.25">
      <c r="A73">
        <v>56</v>
      </c>
      <c r="B73" s="14">
        <v>71</v>
      </c>
      <c r="C73" t="s">
        <v>137</v>
      </c>
      <c r="D73" t="s">
        <v>360</v>
      </c>
      <c r="E73" t="str">
        <f>LOWER(LEFT(Table1[[#This Row],[Canto]],1))</f>
        <v>e</v>
      </c>
      <c r="F73" t="s">
        <v>288</v>
      </c>
      <c r="G73" t="str">
        <f>IFERROR(IF(VLOOKUP(C73,Adviento!A:C,3,FALSE)=Table1[[#Headers],[Adviento]],Table1[[#Headers],[Adviento]],""),"")</f>
        <v/>
      </c>
      <c r="H73" t="str">
        <f>IFERROR(IF(VLOOKUP(C73,Navidad!A:C,3,FALSE)=Table1[[#Headers],[Navidad]],Table1[[#Headers],[Navidad]],""),"")</f>
        <v/>
      </c>
      <c r="I73" t="str">
        <f>IFERROR(IF(VLOOKUP(C73,Cuaresma!A:C,3,FALSE)=Table1[[#Headers],[Cuaresma]],Table1[[#Headers],[Cuaresma]],""),"")</f>
        <v/>
      </c>
      <c r="J73" t="str">
        <f>IFERROR(IF(VLOOKUP(C73,Pascua!A:C,3,FALSE)=Table1[[#Headers],[Pascua]],Table1[[#Headers],[Pascua]],""),"")</f>
        <v/>
      </c>
      <c r="K73" t="str">
        <f>IFERROR(IF(VLOOKUP(C73,Pentecostés!A:C,3,FALSE)=Table1[[#Headers],[Pentecostés]],Table1[[#Headers],[Pentecostés]],""),"")</f>
        <v/>
      </c>
      <c r="L73" t="str">
        <f>IFERROR(IF(VLOOKUP(C73,Entrada!A:C,3,FALSE)=Table1[[#Headers],[Entrada]],Table1[[#Headers],[Entrada]],""),"")</f>
        <v/>
      </c>
      <c r="M73" t="str">
        <f>IFERROR(IF(VLOOKUP(C73,Virgen!A:C,3,FALSE)=Table1[[#Headers],[Virgen]],Table1[[#Headers],[Virgen]],""),"")</f>
        <v/>
      </c>
      <c r="N73" t="str">
        <f>IFERROR(IF(VLOOKUP(C73,Paz!A:C,3,FALSE)=Table1[[#Headers],[Paz]],Table1[[#Headers],[Paz]],""),"")</f>
        <v/>
      </c>
      <c r="O73" t="str">
        <f>IFERROR(IF(VLOOKUP(C73,Pan!A:C,3,FALSE)=Table1[[#Headers],[Pan]],Table1[[#Headers],[Pan]],""),"")</f>
        <v>Pan</v>
      </c>
      <c r="P73" t="str">
        <f>IFERROR(IF(VLOOKUP(C73,Comunión!A:C,3,FALSE)=Table1[[#Headers],[Comunión]],Table1[[#Headers],[Comunión]],""),"")</f>
        <v/>
      </c>
      <c r="Q73" t="str">
        <f>IFERROR(IF(VLOOKUP(C73,Niños!A:C,3,FALSE)=Table1[[#Headers],[Niños]],Table1[[#Headers],[Niños]],""),"")</f>
        <v/>
      </c>
      <c r="R73" t="str">
        <f>IFERROR(IF(VLOOKUP(C73,Laudes!A:C,3,FALSE)=Table1[[#Headers],[Laudes]],Table1[[#Headers],[Laudes]],""),"")</f>
        <v/>
      </c>
      <c r="S73" t="str">
        <f>IFERROR(IF(VLOOKUP(C73,'Nuevo Testamento'!A:C,3,FALSE)=Table1[[#Headers],[Nuevo Testamento]],Table1[[#Headers],[Nuevo Testamento]],""),"")</f>
        <v/>
      </c>
      <c r="T73" t="str">
        <f>IFERROR(IF(VLOOKUP(C73,'Antiguo Testamento'!A:C,3,FALSE)=Table1[[#Headers],[Antiguo Testamento]],Table1[[#Headers],[Antiguo Testamento]],""),"")</f>
        <v>Antiguo Testamento</v>
      </c>
      <c r="U73" t="str">
        <f>IFERROR(IF(VLOOKUP(C73,Final!A:C,3,FALSE)=Table1[[#Headers],[Final]],Table1[[#Headers],[Final]],""),"")</f>
        <v/>
      </c>
      <c r="V73" t="str" cm="1">
        <f t="array" ref="V7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/cantos/src/chtml/e/ellagarero.html</v>
      </c>
      <c r="W7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{id:71,title: "El lagarero", subtitle: "Isaías 63,1-6", category: "Precatecumenado", moments: ["","","","","","","","","Pan","","","","","Antiguo Testamento",""], url: "/cantos/src/chtml/e/ellagarero.html"},</v>
      </c>
    </row>
    <row r="74" spans="1:23" x14ac:dyDescent="0.25">
      <c r="A74">
        <v>57</v>
      </c>
      <c r="B74" s="14">
        <v>72</v>
      </c>
      <c r="C74" t="s">
        <v>138</v>
      </c>
      <c r="D74" t="s">
        <v>361</v>
      </c>
      <c r="E74" t="str">
        <f>LOWER(LEFT(Table1[[#This Row],[Canto]],1))</f>
        <v>e</v>
      </c>
      <c r="F74" t="s">
        <v>288</v>
      </c>
      <c r="G74" t="str">
        <f>IFERROR(IF(VLOOKUP(C74,Adviento!A:C,3,FALSE)=Table1[[#Headers],[Adviento]],Table1[[#Headers],[Adviento]],""),"")</f>
        <v/>
      </c>
      <c r="H74" t="str">
        <f>IFERROR(IF(VLOOKUP(C74,Navidad!A:C,3,FALSE)=Table1[[#Headers],[Navidad]],Table1[[#Headers],[Navidad]],""),"")</f>
        <v/>
      </c>
      <c r="I74" t="str">
        <f>IFERROR(IF(VLOOKUP(C74,Cuaresma!A:C,3,FALSE)=Table1[[#Headers],[Cuaresma]],Table1[[#Headers],[Cuaresma]],""),"")</f>
        <v/>
      </c>
      <c r="J74" t="str">
        <f>IFERROR(IF(VLOOKUP(C74,Pascua!A:C,3,FALSE)=Table1[[#Headers],[Pascua]],Table1[[#Headers],[Pascua]],""),"")</f>
        <v>Pascua</v>
      </c>
      <c r="K74" t="str">
        <f>IFERROR(IF(VLOOKUP(C74,Pentecostés!A:C,3,FALSE)=Table1[[#Headers],[Pentecostés]],Table1[[#Headers],[Pentecostés]],""),"")</f>
        <v>Pentecostés</v>
      </c>
      <c r="L74" t="str">
        <f>IFERROR(IF(VLOOKUP(C74,Entrada!A:C,3,FALSE)=Table1[[#Headers],[Entrada]],Table1[[#Headers],[Entrada]],""),"")</f>
        <v/>
      </c>
      <c r="M74" t="str">
        <f>IFERROR(IF(VLOOKUP(C74,Virgen!A:C,3,FALSE)=Table1[[#Headers],[Virgen]],Table1[[#Headers],[Virgen]],""),"")</f>
        <v/>
      </c>
      <c r="N74" t="str">
        <f>IFERROR(IF(VLOOKUP(C74,Paz!A:C,3,FALSE)=Table1[[#Headers],[Paz]],Table1[[#Headers],[Paz]],""),"")</f>
        <v/>
      </c>
      <c r="O74" t="str">
        <f>IFERROR(IF(VLOOKUP(C74,Pan!A:C,3,FALSE)=Table1[[#Headers],[Pan]],Table1[[#Headers],[Pan]],""),"")</f>
        <v>Pan</v>
      </c>
      <c r="P74" t="str">
        <f>IFERROR(IF(VLOOKUP(C74,Comunión!A:C,3,FALSE)=Table1[[#Headers],[Comunión]],Table1[[#Headers],[Comunión]],""),"")</f>
        <v/>
      </c>
      <c r="Q74" t="str">
        <f>IFERROR(IF(VLOOKUP(C74,Niños!A:C,3,FALSE)=Table1[[#Headers],[Niños]],Table1[[#Headers],[Niños]],""),"")</f>
        <v/>
      </c>
      <c r="R74" t="str">
        <f>IFERROR(IF(VLOOKUP(C74,Laudes!A:C,3,FALSE)=Table1[[#Headers],[Laudes]],Table1[[#Headers],[Laudes]],""),"")</f>
        <v/>
      </c>
      <c r="S74" t="str">
        <f>IFERROR(IF(VLOOKUP(C74,'Nuevo Testamento'!A:C,3,FALSE)=Table1[[#Headers],[Nuevo Testamento]],Table1[[#Headers],[Nuevo Testamento]],""),"")</f>
        <v/>
      </c>
      <c r="T74" t="str">
        <f>IFERROR(IF(VLOOKUP(C74,'Antiguo Testamento'!A:C,3,FALSE)=Table1[[#Headers],[Antiguo Testamento]],Table1[[#Headers],[Antiguo Testamento]],""),"")</f>
        <v/>
      </c>
      <c r="U74" t="str">
        <f>IFERROR(IF(VLOOKUP(C74,Final!A:C,3,FALSE)=Table1[[#Headers],[Final]],Table1[[#Headers],[Final]],""),"")</f>
        <v/>
      </c>
      <c r="V74" t="str" cm="1">
        <f t="array" ref="V7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/cantos/src/chtml/e/elmesiasleon.html</v>
      </c>
      <c r="W7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{id:72,title: "El Mesías león", subtitle: "Comentario al Apocalipsis (Victorino de Pettau)", category: "Precatecumenado", moments: ["","","","Pascua","Pentecostés","","","","Pan","","","","","",""], url: "/cantos/src/chtml/e/elmesiasleon.html"},</v>
      </c>
    </row>
    <row r="75" spans="1:23" x14ac:dyDescent="0.25">
      <c r="A75">
        <v>224</v>
      </c>
      <c r="B75" s="14">
        <v>73</v>
      </c>
      <c r="C75" t="s">
        <v>34</v>
      </c>
      <c r="D75" t="s">
        <v>362</v>
      </c>
      <c r="E75" t="str">
        <f>LOWER(LEFT(Table1[[#This Row],[Canto]],1))</f>
        <v>e</v>
      </c>
      <c r="F75" s="13" t="s">
        <v>290</v>
      </c>
      <c r="G75" t="str">
        <f>IFERROR(IF(VLOOKUP(C75,Adviento!A:C,3,FALSE)=Table1[[#Headers],[Adviento]],Table1[[#Headers],[Adviento]],""),"")</f>
        <v/>
      </c>
      <c r="H75" t="str">
        <f>IFERROR(IF(VLOOKUP(C75,Navidad!A:C,3,FALSE)=Table1[[#Headers],[Navidad]],Table1[[#Headers],[Navidad]],""),"")</f>
        <v/>
      </c>
      <c r="I75" t="str">
        <f>IFERROR(IF(VLOOKUP(C75,Cuaresma!A:C,3,FALSE)=Table1[[#Headers],[Cuaresma]],Table1[[#Headers],[Cuaresma]],""),"")</f>
        <v/>
      </c>
      <c r="J75" t="str">
        <f>IFERROR(IF(VLOOKUP(C75,Pascua!A:C,3,FALSE)=Table1[[#Headers],[Pascua]],Table1[[#Headers],[Pascua]],""),"")</f>
        <v/>
      </c>
      <c r="K75" t="str">
        <f>IFERROR(IF(VLOOKUP(C75,Pentecostés!A:C,3,FALSE)=Table1[[#Headers],[Pentecostés]],Table1[[#Headers],[Pentecostés]],""),"")</f>
        <v/>
      </c>
      <c r="L75" t="str">
        <f>IFERROR(IF(VLOOKUP(C75,Entrada!A:C,3,FALSE)=Table1[[#Headers],[Entrada]],Table1[[#Headers],[Entrada]],""),"")</f>
        <v/>
      </c>
      <c r="M75" t="str">
        <f>IFERROR(IF(VLOOKUP(C75,Virgen!A:C,3,FALSE)=Table1[[#Headers],[Virgen]],Table1[[#Headers],[Virgen]],""),"")</f>
        <v/>
      </c>
      <c r="N75" t="str">
        <f>IFERROR(IF(VLOOKUP(C75,Paz!A:C,3,FALSE)=Table1[[#Headers],[Paz]],Table1[[#Headers],[Paz]],""),"")</f>
        <v/>
      </c>
      <c r="O75" t="str">
        <f>IFERROR(IF(VLOOKUP(C75,Pan!A:C,3,FALSE)=Table1[[#Headers],[Pan]],Table1[[#Headers],[Pan]],""),"")</f>
        <v/>
      </c>
      <c r="P75" t="str">
        <f>IFERROR(IF(VLOOKUP(C75,Comunión!A:C,3,FALSE)=Table1[[#Headers],[Comunión]],Table1[[#Headers],[Comunión]],""),"")</f>
        <v>Comunión</v>
      </c>
      <c r="Q75" t="str">
        <f>IFERROR(IF(VLOOKUP(C75,Niños!A:C,3,FALSE)=Table1[[#Headers],[Niños]],Table1[[#Headers],[Niños]],""),"")</f>
        <v/>
      </c>
      <c r="R75" t="str">
        <f>IFERROR(IF(VLOOKUP(C75,Laudes!A:C,3,FALSE)=Table1[[#Headers],[Laudes]],Table1[[#Headers],[Laudes]],""),"")</f>
        <v/>
      </c>
      <c r="S75" t="str">
        <f>IFERROR(IF(VLOOKUP(C75,'Nuevo Testamento'!A:C,3,FALSE)=Table1[[#Headers],[Nuevo Testamento]],Table1[[#Headers],[Nuevo Testamento]],""),"")</f>
        <v>Nuevo Testamento</v>
      </c>
      <c r="T75" t="str">
        <f>IFERROR(IF(VLOOKUP(C75,'Antiguo Testamento'!A:C,3,FALSE)=Table1[[#Headers],[Antiguo Testamento]],Table1[[#Headers],[Antiguo Testamento]],""),"")</f>
        <v/>
      </c>
      <c r="U75" t="str">
        <f>IFERROR(IF(VLOOKUP(C75,Final!A:C,3,FALSE)=Table1[[#Headers],[Final]],Table1[[#Headers],[Final]],""),"")</f>
        <v/>
      </c>
      <c r="V75" t="str" cm="1">
        <f t="array" ref="V7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/cantos/src/chtml/e/elmismodios.html</v>
      </c>
      <c r="W7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{id:73,title: "El mismo Dios", subtitle: "2 Corintios 4,6-12", category: "Catecumenado", moments: ["","","","","","","","","","Comunión","","","Nuevo Testamento","",""], url: "/cantos/src/chtml/e/elmismodios.html"},</v>
      </c>
    </row>
    <row r="76" spans="1:23" x14ac:dyDescent="0.25">
      <c r="A76">
        <v>58</v>
      </c>
      <c r="B76" s="14">
        <v>74</v>
      </c>
      <c r="C76" t="s">
        <v>35</v>
      </c>
      <c r="D76" t="s">
        <v>363</v>
      </c>
      <c r="E76" t="str">
        <f>LOWER(LEFT(Table1[[#This Row],[Canto]],1))</f>
        <v>e</v>
      </c>
      <c r="F76" t="s">
        <v>288</v>
      </c>
      <c r="G76" t="str">
        <f>IFERROR(IF(VLOOKUP(C76,Adviento!A:C,3,FALSE)=Table1[[#Headers],[Adviento]],Table1[[#Headers],[Adviento]],""),"")</f>
        <v/>
      </c>
      <c r="H76" t="str">
        <f>IFERROR(IF(VLOOKUP(C76,Navidad!A:C,3,FALSE)=Table1[[#Headers],[Navidad]],Table1[[#Headers],[Navidad]],""),"")</f>
        <v/>
      </c>
      <c r="I76" t="str">
        <f>IFERROR(IF(VLOOKUP(C76,Cuaresma!A:C,3,FALSE)=Table1[[#Headers],[Cuaresma]],Table1[[#Headers],[Cuaresma]],""),"")</f>
        <v/>
      </c>
      <c r="J76" t="str">
        <f>IFERROR(IF(VLOOKUP(C76,Pascua!A:C,3,FALSE)=Table1[[#Headers],[Pascua]],Table1[[#Headers],[Pascua]],""),"")</f>
        <v/>
      </c>
      <c r="K76" t="str">
        <f>IFERROR(IF(VLOOKUP(C76,Pentecostés!A:C,3,FALSE)=Table1[[#Headers],[Pentecostés]],Table1[[#Headers],[Pentecostés]],""),"")</f>
        <v/>
      </c>
      <c r="L76" t="str">
        <f>IFERROR(IF(VLOOKUP(C76,Entrada!A:C,3,FALSE)=Table1[[#Headers],[Entrada]],Table1[[#Headers],[Entrada]],""),"")</f>
        <v/>
      </c>
      <c r="M76" t="str">
        <f>IFERROR(IF(VLOOKUP(C76,Virgen!A:C,3,FALSE)=Table1[[#Headers],[Virgen]],Table1[[#Headers],[Virgen]],""),"")</f>
        <v/>
      </c>
      <c r="N76" t="str">
        <f>IFERROR(IF(VLOOKUP(C76,Paz!A:C,3,FALSE)=Table1[[#Headers],[Paz]],Table1[[#Headers],[Paz]],""),"")</f>
        <v/>
      </c>
      <c r="O76" t="str">
        <f>IFERROR(IF(VLOOKUP(C76,Pan!A:C,3,FALSE)=Table1[[#Headers],[Pan]],Table1[[#Headers],[Pan]],""),"")</f>
        <v/>
      </c>
      <c r="P76" t="str">
        <f>IFERROR(IF(VLOOKUP(C76,Comunión!A:C,3,FALSE)=Table1[[#Headers],[Comunión]],Table1[[#Headers],[Comunión]],""),"")</f>
        <v/>
      </c>
      <c r="Q76" t="str">
        <f>IFERROR(IF(VLOOKUP(C76,Niños!A:C,3,FALSE)=Table1[[#Headers],[Niños]],Table1[[#Headers],[Niños]],""),"")</f>
        <v/>
      </c>
      <c r="R76" t="str">
        <f>IFERROR(IF(VLOOKUP(C76,Laudes!A:C,3,FALSE)=Table1[[#Headers],[Laudes]],Table1[[#Headers],[Laudes]],""),"")</f>
        <v/>
      </c>
      <c r="S76" t="str">
        <f>IFERROR(IF(VLOOKUP(C76,'Nuevo Testamento'!A:C,3,FALSE)=Table1[[#Headers],[Nuevo Testamento]],Table1[[#Headers],[Nuevo Testamento]],""),"")</f>
        <v/>
      </c>
      <c r="T76" t="str">
        <f>IFERROR(IF(VLOOKUP(C76,'Antiguo Testamento'!A:C,3,FALSE)=Table1[[#Headers],[Antiguo Testamento]],Table1[[#Headers],[Antiguo Testamento]],""),"")</f>
        <v>Antiguo Testamento</v>
      </c>
      <c r="U76" t="str">
        <f>IFERROR(IF(VLOOKUP(C76,Final!A:C,3,FALSE)=Table1[[#Headers],[Final]],Table1[[#Headers],[Final]],""),"")</f>
        <v/>
      </c>
      <c r="V76" t="str" cm="1">
        <f t="array" ref="V7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/cantos/src/chtml/e/elneciopiensaquediosnoexiste.html</v>
      </c>
      <c r="W7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{id:74,title: "El necio piensa que Dios no existe", subtitle: "Salmo 14 (13)", category: "Precatecumenado", moments: ["","","","","","","","","","","","","","Antiguo Testamento",""], url: "/cantos/src/chtml/e/elneciopiensaquediosnoexiste.html"},</v>
      </c>
    </row>
    <row r="77" spans="1:23" x14ac:dyDescent="0.25">
      <c r="A77">
        <v>59</v>
      </c>
      <c r="B77" s="14">
        <v>75</v>
      </c>
      <c r="C77" t="s">
        <v>139</v>
      </c>
      <c r="D77" t="s">
        <v>364</v>
      </c>
      <c r="E77" t="str">
        <f>LOWER(LEFT(Table1[[#This Row],[Canto]],1))</f>
        <v>e</v>
      </c>
      <c r="F77" t="s">
        <v>288</v>
      </c>
      <c r="G77" t="str">
        <f>IFERROR(IF(VLOOKUP(C77,Adviento!A:C,3,FALSE)=Table1[[#Headers],[Adviento]],Table1[[#Headers],[Adviento]],""),"")</f>
        <v>Adviento</v>
      </c>
      <c r="H77" t="str">
        <f>IFERROR(IF(VLOOKUP(C77,Navidad!A:C,3,FALSE)=Table1[[#Headers],[Navidad]],Table1[[#Headers],[Navidad]],""),"")</f>
        <v>Navidad</v>
      </c>
      <c r="I77" t="str">
        <f>IFERROR(IF(VLOOKUP(C77,Cuaresma!A:C,3,FALSE)=Table1[[#Headers],[Cuaresma]],Table1[[#Headers],[Cuaresma]],""),"")</f>
        <v/>
      </c>
      <c r="J77" t="str">
        <f>IFERROR(IF(VLOOKUP(C77,Pascua!A:C,3,FALSE)=Table1[[#Headers],[Pascua]],Table1[[#Headers],[Pascua]],""),"")</f>
        <v/>
      </c>
      <c r="K77" t="str">
        <f>IFERROR(IF(VLOOKUP(C77,Pentecostés!A:C,3,FALSE)=Table1[[#Headers],[Pentecostés]],Table1[[#Headers],[Pentecostés]],""),"")</f>
        <v/>
      </c>
      <c r="L77" t="str">
        <f>IFERROR(IF(VLOOKUP(C77,Entrada!A:C,3,FALSE)=Table1[[#Headers],[Entrada]],Table1[[#Headers],[Entrada]],""),"")</f>
        <v/>
      </c>
      <c r="M77" t="str">
        <f>IFERROR(IF(VLOOKUP(C77,Virgen!A:C,3,FALSE)=Table1[[#Headers],[Virgen]],Table1[[#Headers],[Virgen]],""),"")</f>
        <v/>
      </c>
      <c r="N77" t="str">
        <f>IFERROR(IF(VLOOKUP(C77,Paz!A:C,3,FALSE)=Table1[[#Headers],[Paz]],Table1[[#Headers],[Paz]],""),"")</f>
        <v/>
      </c>
      <c r="O77" t="str">
        <f>IFERROR(IF(VLOOKUP(C77,Pan!A:C,3,FALSE)=Table1[[#Headers],[Pan]],Table1[[#Headers],[Pan]],""),"")</f>
        <v/>
      </c>
      <c r="P77" t="str">
        <f>IFERROR(IF(VLOOKUP(C77,Comunión!A:C,3,FALSE)=Table1[[#Headers],[Comunión]],Table1[[#Headers],[Comunión]],""),"")</f>
        <v/>
      </c>
      <c r="Q77" t="str">
        <f>IFERROR(IF(VLOOKUP(C77,Niños!A:C,3,FALSE)=Table1[[#Headers],[Niños]],Table1[[#Headers],[Niños]],""),"")</f>
        <v/>
      </c>
      <c r="R77" t="str">
        <f>IFERROR(IF(VLOOKUP(C77,Laudes!A:C,3,FALSE)=Table1[[#Headers],[Laudes]],Table1[[#Headers],[Laudes]],""),"")</f>
        <v/>
      </c>
      <c r="S77" t="str">
        <f>IFERROR(IF(VLOOKUP(C77,'Nuevo Testamento'!A:C,3,FALSE)=Table1[[#Headers],[Nuevo Testamento]],Table1[[#Headers],[Nuevo Testamento]],""),"")</f>
        <v/>
      </c>
      <c r="T77" t="str">
        <f>IFERROR(IF(VLOOKUP(C77,'Antiguo Testamento'!A:C,3,FALSE)=Table1[[#Headers],[Antiguo Testamento]],Table1[[#Headers],[Antiguo Testamento]],""),"")</f>
        <v>Antiguo Testamento</v>
      </c>
      <c r="U77" t="str">
        <f>IFERROR(IF(VLOOKUP(C77,Final!A:C,3,FALSE)=Table1[[#Headers],[Final]],Table1[[#Headers],[Final]],""),"")</f>
        <v/>
      </c>
      <c r="V77" t="str" cm="1">
        <f t="array" ref="V7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/cantos/src/chtml/e/elpuebloquecaminabaenlastinieblas.html</v>
      </c>
      <c r="W7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{id:75,title: "El pueblo que caminaba en las tinieblas", subtitle: "Isaías 9,1-5", category: "Precatecumenado", moments: ["Adviento","Navidad","","","","","","","","","","","","Antiguo Testamento",""], url: "/cantos/src/chtml/e/elpuebloquecaminabaenlastinieblas.html"},</v>
      </c>
    </row>
    <row r="78" spans="1:23" x14ac:dyDescent="0.25">
      <c r="A78">
        <v>225</v>
      </c>
      <c r="B78" s="14">
        <v>76</v>
      </c>
      <c r="C78" t="s">
        <v>36</v>
      </c>
      <c r="D78" t="s">
        <v>365</v>
      </c>
      <c r="E78" t="str">
        <f>LOWER(LEFT(Table1[[#This Row],[Canto]],1))</f>
        <v>e</v>
      </c>
      <c r="F78" s="13" t="s">
        <v>290</v>
      </c>
      <c r="G78" t="str">
        <f>IFERROR(IF(VLOOKUP(C78,Adviento!A:C,3,FALSE)=Table1[[#Headers],[Adviento]],Table1[[#Headers],[Adviento]],""),"")</f>
        <v/>
      </c>
      <c r="H78" t="str">
        <f>IFERROR(IF(VLOOKUP(C78,Navidad!A:C,3,FALSE)=Table1[[#Headers],[Navidad]],Table1[[#Headers],[Navidad]],""),"")</f>
        <v/>
      </c>
      <c r="I78" t="str">
        <f>IFERROR(IF(VLOOKUP(C78,Cuaresma!A:C,3,FALSE)=Table1[[#Headers],[Cuaresma]],Table1[[#Headers],[Cuaresma]],""),"")</f>
        <v/>
      </c>
      <c r="J78" t="str">
        <f>IFERROR(IF(VLOOKUP(C78,Pascua!A:C,3,FALSE)=Table1[[#Headers],[Pascua]],Table1[[#Headers],[Pascua]],""),"")</f>
        <v/>
      </c>
      <c r="K78" t="str">
        <f>IFERROR(IF(VLOOKUP(C78,Pentecostés!A:C,3,FALSE)=Table1[[#Headers],[Pentecostés]],Table1[[#Headers],[Pentecostés]],""),"")</f>
        <v/>
      </c>
      <c r="L78" t="str">
        <f>IFERROR(IF(VLOOKUP(C78,Entrada!A:C,3,FALSE)=Table1[[#Headers],[Entrada]],Table1[[#Headers],[Entrada]],""),"")</f>
        <v/>
      </c>
      <c r="M78" t="str">
        <f>IFERROR(IF(VLOOKUP(C78,Virgen!A:C,3,FALSE)=Table1[[#Headers],[Virgen]],Table1[[#Headers],[Virgen]],""),"")</f>
        <v/>
      </c>
      <c r="N78" t="str">
        <f>IFERROR(IF(VLOOKUP(C78,Paz!A:C,3,FALSE)=Table1[[#Headers],[Paz]],Table1[[#Headers],[Paz]],""),"")</f>
        <v/>
      </c>
      <c r="O78" t="str">
        <f>IFERROR(IF(VLOOKUP(C78,Pan!A:C,3,FALSE)=Table1[[#Headers],[Pan]],Table1[[#Headers],[Pan]],""),"")</f>
        <v/>
      </c>
      <c r="P78" t="str">
        <f>IFERROR(IF(VLOOKUP(C78,Comunión!A:C,3,FALSE)=Table1[[#Headers],[Comunión]],Table1[[#Headers],[Comunión]],""),"")</f>
        <v/>
      </c>
      <c r="Q78" t="str">
        <f>IFERROR(IF(VLOOKUP(C78,Niños!A:C,3,FALSE)=Table1[[#Headers],[Niños]],Table1[[#Headers],[Niños]],""),"")</f>
        <v/>
      </c>
      <c r="R78" t="str">
        <f>IFERROR(IF(VLOOKUP(C78,Laudes!A:C,3,FALSE)=Table1[[#Headers],[Laudes]],Table1[[#Headers],[Laudes]],""),"")</f>
        <v/>
      </c>
      <c r="S78" t="str">
        <f>IFERROR(IF(VLOOKUP(C78,'Nuevo Testamento'!A:C,3,FALSE)=Table1[[#Headers],[Nuevo Testamento]],Table1[[#Headers],[Nuevo Testamento]],""),"")</f>
        <v>Nuevo Testamento</v>
      </c>
      <c r="T78" t="str">
        <f>IFERROR(IF(VLOOKUP(C78,'Antiguo Testamento'!A:C,3,FALSE)=Table1[[#Headers],[Antiguo Testamento]],Table1[[#Headers],[Antiguo Testamento]],""),"")</f>
        <v/>
      </c>
      <c r="U78" t="str">
        <f>IFERROR(IF(VLOOKUP(C78,Final!A:C,3,FALSE)=Table1[[#Headers],[Final]],Table1[[#Headers],[Final]],""),"")</f>
        <v/>
      </c>
      <c r="V78" t="str" cm="1">
        <f t="array" ref="V7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/cantos/src/chtml/e/elsembrador.html</v>
      </c>
      <c r="W7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{id:76,title: "El sembrador", subtitle: "Marcos 4,3ss", category: "Catecumenado", moments: ["","","","","","","","","","","","","Nuevo Testamento","",""], url: "/cantos/src/chtml/e/elsembrador.html"},</v>
      </c>
    </row>
    <row r="79" spans="1:23" x14ac:dyDescent="0.25">
      <c r="A79">
        <v>60</v>
      </c>
      <c r="B79" s="14">
        <v>77</v>
      </c>
      <c r="C79" t="s">
        <v>37</v>
      </c>
      <c r="D79" t="s">
        <v>366</v>
      </c>
      <c r="E79" t="str">
        <f>LOWER(LEFT(Table1[[#This Row],[Canto]],1))</f>
        <v>e</v>
      </c>
      <c r="F79" t="s">
        <v>288</v>
      </c>
      <c r="G79" t="str">
        <f>IFERROR(IF(VLOOKUP(C79,Adviento!A:C,3,FALSE)=Table1[[#Headers],[Adviento]],Table1[[#Headers],[Adviento]],""),"")</f>
        <v/>
      </c>
      <c r="H79" t="str">
        <f>IFERROR(IF(VLOOKUP(C79,Navidad!A:C,3,FALSE)=Table1[[#Headers],[Navidad]],Table1[[#Headers],[Navidad]],""),"")</f>
        <v/>
      </c>
      <c r="I79" t="str">
        <f>IFERROR(IF(VLOOKUP(C79,Cuaresma!A:C,3,FALSE)=Table1[[#Headers],[Cuaresma]],Table1[[#Headers],[Cuaresma]],""),"")</f>
        <v/>
      </c>
      <c r="J79" t="str">
        <f>IFERROR(IF(VLOOKUP(C79,Pascua!A:C,3,FALSE)=Table1[[#Headers],[Pascua]],Table1[[#Headers],[Pascua]],""),"")</f>
        <v/>
      </c>
      <c r="K79" t="str">
        <f>IFERROR(IF(VLOOKUP(C79,Pentecostés!A:C,3,FALSE)=Table1[[#Headers],[Pentecostés]],Table1[[#Headers],[Pentecostés]],""),"")</f>
        <v/>
      </c>
      <c r="L79" t="str">
        <f>IFERROR(IF(VLOOKUP(C79,Entrada!A:C,3,FALSE)=Table1[[#Headers],[Entrada]],Table1[[#Headers],[Entrada]],""),"")</f>
        <v>Entrada</v>
      </c>
      <c r="M79" t="str">
        <f>IFERROR(IF(VLOOKUP(C79,Virgen!A:C,3,FALSE)=Table1[[#Headers],[Virgen]],Table1[[#Headers],[Virgen]],""),"")</f>
        <v/>
      </c>
      <c r="N79" t="str">
        <f>IFERROR(IF(VLOOKUP(C79,Paz!A:C,3,FALSE)=Table1[[#Headers],[Paz]],Table1[[#Headers],[Paz]],""),"")</f>
        <v/>
      </c>
      <c r="O79" t="str">
        <f>IFERROR(IF(VLOOKUP(C79,Pan!A:C,3,FALSE)=Table1[[#Headers],[Pan]],Table1[[#Headers],[Pan]],""),"")</f>
        <v/>
      </c>
      <c r="P79" t="str">
        <f>IFERROR(IF(VLOOKUP(C79,Comunión!A:C,3,FALSE)=Table1[[#Headers],[Comunión]],Table1[[#Headers],[Comunión]],""),"")</f>
        <v/>
      </c>
      <c r="Q79" t="str">
        <f>IFERROR(IF(VLOOKUP(C79,Niños!A:C,3,FALSE)=Table1[[#Headers],[Niños]],Table1[[#Headers],[Niños]],""),"")</f>
        <v/>
      </c>
      <c r="R79" t="str">
        <f>IFERROR(IF(VLOOKUP(C79,Laudes!A:C,3,FALSE)=Table1[[#Headers],[Laudes]],Table1[[#Headers],[Laudes]],""),"")</f>
        <v/>
      </c>
      <c r="S79" t="str">
        <f>IFERROR(IF(VLOOKUP(C79,'Nuevo Testamento'!A:C,3,FALSE)=Table1[[#Headers],[Nuevo Testamento]],Table1[[#Headers],[Nuevo Testamento]],""),"")</f>
        <v/>
      </c>
      <c r="T79" t="str">
        <f>IFERROR(IF(VLOOKUP(C79,'Antiguo Testamento'!A:C,3,FALSE)=Table1[[#Headers],[Antiguo Testamento]],Table1[[#Headers],[Antiguo Testamento]],""),"")</f>
        <v>Antiguo Testamento</v>
      </c>
      <c r="U79" t="str">
        <f>IFERROR(IF(VLOOKUP(C79,Final!A:C,3,FALSE)=Table1[[#Headers],[Final]],Table1[[#Headers],[Final]],""),"")</f>
        <v/>
      </c>
      <c r="V79" t="str" cm="1">
        <f t="array" ref="V7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/cantos/src/chtml/e/elsenoranunciaunanoticia.html</v>
      </c>
      <c r="W7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{id:77,title: "El Señor anuncia una noticia", subtitle: "Salmo 68 (67)", category: "Precatecumenado", moments: ["","","","","","Entrada","","","","","","","","Antiguo Testamento",""], url: "/cantos/src/chtml/e/elsenoranunciaunanoticia.html"},</v>
      </c>
    </row>
    <row r="80" spans="1:23" x14ac:dyDescent="0.25">
      <c r="A80">
        <v>61</v>
      </c>
      <c r="B80" s="14">
        <v>78</v>
      </c>
      <c r="C80" t="s">
        <v>38</v>
      </c>
      <c r="D80" t="s">
        <v>367</v>
      </c>
      <c r="E80" t="str">
        <f>LOWER(LEFT(Table1[[#This Row],[Canto]],1))</f>
        <v>e</v>
      </c>
      <c r="F80" t="s">
        <v>288</v>
      </c>
      <c r="G80" t="str">
        <f>IFERROR(IF(VLOOKUP(C80,Adviento!A:C,3,FALSE)=Table1[[#Headers],[Adviento]],Table1[[#Headers],[Adviento]],""),"")</f>
        <v/>
      </c>
      <c r="H80" t="str">
        <f>IFERROR(IF(VLOOKUP(C80,Navidad!A:C,3,FALSE)=Table1[[#Headers],[Navidad]],Table1[[#Headers],[Navidad]],""),"")</f>
        <v/>
      </c>
      <c r="I80" t="str">
        <f>IFERROR(IF(VLOOKUP(C80,Cuaresma!A:C,3,FALSE)=Table1[[#Headers],[Cuaresma]],Table1[[#Headers],[Cuaresma]],""),"")</f>
        <v/>
      </c>
      <c r="J80" t="str">
        <f>IFERROR(IF(VLOOKUP(C80,Pascua!A:C,3,FALSE)=Table1[[#Headers],[Pascua]],Table1[[#Headers],[Pascua]],""),"")</f>
        <v>Pascua</v>
      </c>
      <c r="K80" t="str">
        <f>IFERROR(IF(VLOOKUP(C80,Pentecostés!A:C,3,FALSE)=Table1[[#Headers],[Pentecostés]],Table1[[#Headers],[Pentecostés]],""),"")</f>
        <v>Pentecostés</v>
      </c>
      <c r="L80" t="str">
        <f>IFERROR(IF(VLOOKUP(C80,Entrada!A:C,3,FALSE)=Table1[[#Headers],[Entrada]],Table1[[#Headers],[Entrada]],""),"")</f>
        <v/>
      </c>
      <c r="M80" t="str">
        <f>IFERROR(IF(VLOOKUP(C80,Virgen!A:C,3,FALSE)=Table1[[#Headers],[Virgen]],Table1[[#Headers],[Virgen]],""),"")</f>
        <v/>
      </c>
      <c r="N80" t="str">
        <f>IFERROR(IF(VLOOKUP(C80,Paz!A:C,3,FALSE)=Table1[[#Headers],[Paz]],Table1[[#Headers],[Paz]],""),"")</f>
        <v/>
      </c>
      <c r="O80" t="str">
        <f>IFERROR(IF(VLOOKUP(C80,Pan!A:C,3,FALSE)=Table1[[#Headers],[Pan]],Table1[[#Headers],[Pan]],""),"")</f>
        <v/>
      </c>
      <c r="P80" t="str">
        <f>IFERROR(IF(VLOOKUP(C80,Comunión!A:C,3,FALSE)=Table1[[#Headers],[Comunión]],Table1[[#Headers],[Comunión]],""),"")</f>
        <v>Comunión</v>
      </c>
      <c r="Q80" t="str">
        <f>IFERROR(IF(VLOOKUP(C80,Niños!A:C,3,FALSE)=Table1[[#Headers],[Niños]],Table1[[#Headers],[Niños]],""),"")</f>
        <v/>
      </c>
      <c r="R80" t="str">
        <f>IFERROR(IF(VLOOKUP(C80,Laudes!A:C,3,FALSE)=Table1[[#Headers],[Laudes]],Table1[[#Headers],[Laudes]],""),"")</f>
        <v/>
      </c>
      <c r="S80" t="str">
        <f>IFERROR(IF(VLOOKUP(C80,'Nuevo Testamento'!A:C,3,FALSE)=Table1[[#Headers],[Nuevo Testamento]],Table1[[#Headers],[Nuevo Testamento]],""),"")</f>
        <v/>
      </c>
      <c r="T80" t="str">
        <f>IFERROR(IF(VLOOKUP(C80,'Antiguo Testamento'!A:C,3,FALSE)=Table1[[#Headers],[Antiguo Testamento]],Table1[[#Headers],[Antiguo Testamento]],""),"")</f>
        <v>Antiguo Testamento</v>
      </c>
      <c r="U80" t="str">
        <f>IFERROR(IF(VLOOKUP(C80,Final!A:C,3,FALSE)=Table1[[#Headers],[Final]],Table1[[#Headers],[Final]],""),"")</f>
        <v/>
      </c>
      <c r="V80" t="str" cm="1">
        <f t="array" ref="V8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/cantos/src/chtml/e/elsenoresmipastor.html</v>
      </c>
      <c r="W8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{id:78,title: "El Señor es mi pastor", subtitle: "Salmo 23 (22)", category: "Precatecumenado", moments: ["","","","Pascua","Pentecostés","","","","","Comunión","","","","Antiguo Testamento",""], url: "/cantos/src/chtml/e/elsenoresmipastor.html"},</v>
      </c>
    </row>
    <row r="81" spans="1:23" x14ac:dyDescent="0.25">
      <c r="A81">
        <v>62</v>
      </c>
      <c r="B81" s="14">
        <v>79</v>
      </c>
      <c r="C81" t="s">
        <v>140</v>
      </c>
      <c r="D81" t="s">
        <v>368</v>
      </c>
      <c r="E81" t="str">
        <f>LOWER(LEFT(Table1[[#This Row],[Canto]],1))</f>
        <v>e</v>
      </c>
      <c r="F81" t="s">
        <v>288</v>
      </c>
      <c r="G81" t="str">
        <f>IFERROR(IF(VLOOKUP(C81,Adviento!A:C,3,FALSE)=Table1[[#Headers],[Adviento]],Table1[[#Headers],[Adviento]],""),"")</f>
        <v/>
      </c>
      <c r="H81" t="str">
        <f>IFERROR(IF(VLOOKUP(C81,Navidad!A:C,3,FALSE)=Table1[[#Headers],[Navidad]],Table1[[#Headers],[Navidad]],""),"")</f>
        <v/>
      </c>
      <c r="I81" t="str">
        <f>IFERROR(IF(VLOOKUP(C81,Cuaresma!A:C,3,FALSE)=Table1[[#Headers],[Cuaresma]],Table1[[#Headers],[Cuaresma]],""),"")</f>
        <v/>
      </c>
      <c r="J81" t="str">
        <f>IFERROR(IF(VLOOKUP(C81,Pascua!A:C,3,FALSE)=Table1[[#Headers],[Pascua]],Table1[[#Headers],[Pascua]],""),"")</f>
        <v/>
      </c>
      <c r="K81" t="str">
        <f>IFERROR(IF(VLOOKUP(C81,Pentecostés!A:C,3,FALSE)=Table1[[#Headers],[Pentecostés]],Table1[[#Headers],[Pentecostés]],""),"")</f>
        <v/>
      </c>
      <c r="L81" t="str">
        <f>IFERROR(IF(VLOOKUP(C81,Entrada!A:C,3,FALSE)=Table1[[#Headers],[Entrada]],Table1[[#Headers],[Entrada]],""),"")</f>
        <v/>
      </c>
      <c r="M81" t="str">
        <f>IFERROR(IF(VLOOKUP(C81,Virgen!A:C,3,FALSE)=Table1[[#Headers],[Virgen]],Table1[[#Headers],[Virgen]],""),"")</f>
        <v/>
      </c>
      <c r="N81" t="str">
        <f>IFERROR(IF(VLOOKUP(C81,Paz!A:C,3,FALSE)=Table1[[#Headers],[Paz]],Table1[[#Headers],[Paz]],""),"")</f>
        <v/>
      </c>
      <c r="O81" t="str">
        <f>IFERROR(IF(VLOOKUP(C81,Pan!A:C,3,FALSE)=Table1[[#Headers],[Pan]],Table1[[#Headers],[Pan]],""),"")</f>
        <v>Pan</v>
      </c>
      <c r="P81" t="str">
        <f>IFERROR(IF(VLOOKUP(C81,Comunión!A:C,3,FALSE)=Table1[[#Headers],[Comunión]],Table1[[#Headers],[Comunión]],""),"")</f>
        <v/>
      </c>
      <c r="Q81" t="str">
        <f>IFERROR(IF(VLOOKUP(C81,Niños!A:C,3,FALSE)=Table1[[#Headers],[Niños]],Table1[[#Headers],[Niños]],""),"")</f>
        <v/>
      </c>
      <c r="R81" t="str">
        <f>IFERROR(IF(VLOOKUP(C81,Laudes!A:C,3,FALSE)=Table1[[#Headers],[Laudes]],Table1[[#Headers],[Laudes]],""),"")</f>
        <v/>
      </c>
      <c r="S81" t="str">
        <f>IFERROR(IF(VLOOKUP(C81,'Nuevo Testamento'!A:C,3,FALSE)=Table1[[#Headers],[Nuevo Testamento]],Table1[[#Headers],[Nuevo Testamento]],""),"")</f>
        <v/>
      </c>
      <c r="T81" t="str">
        <f>IFERROR(IF(VLOOKUP(C81,'Antiguo Testamento'!A:C,3,FALSE)=Table1[[#Headers],[Antiguo Testamento]],Table1[[#Headers],[Antiguo Testamento]],""),"")</f>
        <v>Antiguo Testamento</v>
      </c>
      <c r="U81" t="str">
        <f>IFERROR(IF(VLOOKUP(C81,Final!A:C,3,FALSE)=Table1[[#Headers],[Final]],Table1[[#Headers],[Final]],""),"")</f>
        <v/>
      </c>
      <c r="V81" t="str" cm="1">
        <f t="array" ref="V8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/cantos/src/chtml/e/elsenormehadado.html</v>
      </c>
      <c r="W8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{id:79,title: "El Señor me ha dado", subtitle: "Isaías 50,4-10  - Tercer canto del Siervo de Yahveh", category: "Precatecumenado", moments: ["","","","","","","","","Pan","","","","","Antiguo Testamento",""], url: "/cantos/src/chtml/e/elsenormehadado.html"},</v>
      </c>
    </row>
    <row r="82" spans="1:23" x14ac:dyDescent="0.25">
      <c r="A82">
        <v>63</v>
      </c>
      <c r="B82" s="14">
        <v>80</v>
      </c>
      <c r="C82" t="s">
        <v>141</v>
      </c>
      <c r="D82" t="s">
        <v>369</v>
      </c>
      <c r="E82" t="str">
        <f>LOWER(LEFT(Table1[[#This Row],[Canto]],1))</f>
        <v>e</v>
      </c>
      <c r="F82" t="s">
        <v>288</v>
      </c>
      <c r="G82" t="str">
        <f>IFERROR(IF(VLOOKUP(C82,Adviento!A:C,3,FALSE)=Table1[[#Headers],[Adviento]],Table1[[#Headers],[Adviento]],""),"")</f>
        <v>Adviento</v>
      </c>
      <c r="H82" t="str">
        <f>IFERROR(IF(VLOOKUP(C82,Navidad!A:C,3,FALSE)=Table1[[#Headers],[Navidad]],Table1[[#Headers],[Navidad]],""),"")</f>
        <v>Navidad</v>
      </c>
      <c r="I82" t="str">
        <f>IFERROR(IF(VLOOKUP(C82,Cuaresma!A:C,3,FALSE)=Table1[[#Headers],[Cuaresma]],Table1[[#Headers],[Cuaresma]],""),"")</f>
        <v>Cuaresma</v>
      </c>
      <c r="J82" t="str">
        <f>IFERROR(IF(VLOOKUP(C82,Pascua!A:C,3,FALSE)=Table1[[#Headers],[Pascua]],Table1[[#Headers],[Pascua]],""),"")</f>
        <v/>
      </c>
      <c r="K82" t="str">
        <f>IFERROR(IF(VLOOKUP(C82,Pentecostés!A:C,3,FALSE)=Table1[[#Headers],[Pentecostés]],Table1[[#Headers],[Pentecostés]],""),"")</f>
        <v/>
      </c>
      <c r="L82" t="str">
        <f>IFERROR(IF(VLOOKUP(C82,Entrada!A:C,3,FALSE)=Table1[[#Headers],[Entrada]],Table1[[#Headers],[Entrada]],""),"")</f>
        <v/>
      </c>
      <c r="M82" t="str">
        <f>IFERROR(IF(VLOOKUP(C82,Virgen!A:C,3,FALSE)=Table1[[#Headers],[Virgen]],Table1[[#Headers],[Virgen]],""),"")</f>
        <v/>
      </c>
      <c r="N82" t="str">
        <f>IFERROR(IF(VLOOKUP(C82,Paz!A:C,3,FALSE)=Table1[[#Headers],[Paz]],Table1[[#Headers],[Paz]],""),"")</f>
        <v/>
      </c>
      <c r="O82" t="str">
        <f>IFERROR(IF(VLOOKUP(C82,Pan!A:C,3,FALSE)=Table1[[#Headers],[Pan]],Table1[[#Headers],[Pan]],""),"")</f>
        <v/>
      </c>
      <c r="P82" t="str">
        <f>IFERROR(IF(VLOOKUP(C82,Comunión!A:C,3,FALSE)=Table1[[#Headers],[Comunión]],Table1[[#Headers],[Comunión]],""),"")</f>
        <v/>
      </c>
      <c r="Q82" t="str">
        <f>IFERROR(IF(VLOOKUP(C82,Niños!A:C,3,FALSE)=Table1[[#Headers],[Niños]],Table1[[#Headers],[Niños]],""),"")</f>
        <v/>
      </c>
      <c r="R82" t="str">
        <f>IFERROR(IF(VLOOKUP(C82,Laudes!A:C,3,FALSE)=Table1[[#Headers],[Laudes]],Table1[[#Headers],[Laudes]],""),"")</f>
        <v/>
      </c>
      <c r="S82" t="str">
        <f>IFERROR(IF(VLOOKUP(C82,'Nuevo Testamento'!A:C,3,FALSE)=Table1[[#Headers],[Nuevo Testamento]],Table1[[#Headers],[Nuevo Testamento]],""),"")</f>
        <v/>
      </c>
      <c r="T82" t="str">
        <f>IFERROR(IF(VLOOKUP(C82,'Antiguo Testamento'!A:C,3,FALSE)=Table1[[#Headers],[Antiguo Testamento]],Table1[[#Headers],[Antiguo Testamento]],""),"")</f>
        <v>Antiguo Testamento</v>
      </c>
      <c r="U82" t="str">
        <f>IFERROR(IF(VLOOKUP(C82,Final!A:C,3,FALSE)=Table1[[#Headers],[Final]],Table1[[#Headers],[Final]],""),"")</f>
        <v/>
      </c>
      <c r="V82" t="str" cm="1">
        <f t="array" ref="V8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/cantos/src/chtml/e/elielilamasabactani.html</v>
      </c>
      <c r="W8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{id:80,title: "Elí, Elí, lamá sabactaní", subtitle: "Salmo 22 (21)", category: "Precatecumenado", moments: ["Adviento","Navidad","Cuaresma","","","","","","","","","","","Antiguo Testamento",""], url: "/cantos/src/chtml/e/elielilamasabactani.html"},</v>
      </c>
    </row>
    <row r="83" spans="1:23" x14ac:dyDescent="0.25">
      <c r="A83">
        <v>64</v>
      </c>
      <c r="B83" s="14">
        <v>81</v>
      </c>
      <c r="C83" t="s">
        <v>142</v>
      </c>
      <c r="D83" t="s">
        <v>370</v>
      </c>
      <c r="E83" t="str">
        <f>LOWER(LEFT(Table1[[#This Row],[Canto]],1))</f>
        <v>e</v>
      </c>
      <c r="F83" t="s">
        <v>288</v>
      </c>
      <c r="G83" t="str">
        <f>IFERROR(IF(VLOOKUP(C83,Adviento!A:C,3,FALSE)=Table1[[#Headers],[Adviento]],Table1[[#Headers],[Adviento]],""),"")</f>
        <v/>
      </c>
      <c r="H83" t="str">
        <f>IFERROR(IF(VLOOKUP(C83,Navidad!A:C,3,FALSE)=Table1[[#Headers],[Navidad]],Table1[[#Headers],[Navidad]],""),"")</f>
        <v/>
      </c>
      <c r="I83" t="str">
        <f>IFERROR(IF(VLOOKUP(C83,Cuaresma!A:C,3,FALSE)=Table1[[#Headers],[Cuaresma]],Table1[[#Headers],[Cuaresma]],""),"")</f>
        <v/>
      </c>
      <c r="J83" t="str">
        <f>IFERROR(IF(VLOOKUP(C83,Pascua!A:C,3,FALSE)=Table1[[#Headers],[Pascua]],Table1[[#Headers],[Pascua]],""),"")</f>
        <v/>
      </c>
      <c r="K83" t="str">
        <f>IFERROR(IF(VLOOKUP(C83,Pentecostés!A:C,3,FALSE)=Table1[[#Headers],[Pentecostés]],Table1[[#Headers],[Pentecostés]],""),"")</f>
        <v/>
      </c>
      <c r="L83" t="str">
        <f>IFERROR(IF(VLOOKUP(C83,Entrada!A:C,3,FALSE)=Table1[[#Headers],[Entrada]],Table1[[#Headers],[Entrada]],""),"")</f>
        <v/>
      </c>
      <c r="M83" t="str">
        <f>IFERROR(IF(VLOOKUP(C83,Virgen!A:C,3,FALSE)=Table1[[#Headers],[Virgen]],Table1[[#Headers],[Virgen]],""),"")</f>
        <v/>
      </c>
      <c r="N83" t="str">
        <f>IFERROR(IF(VLOOKUP(C83,Paz!A:C,3,FALSE)=Table1[[#Headers],[Paz]],Table1[[#Headers],[Paz]],""),"")</f>
        <v/>
      </c>
      <c r="O83" t="str">
        <f>IFERROR(IF(VLOOKUP(C83,Pan!A:C,3,FALSE)=Table1[[#Headers],[Pan]],Table1[[#Headers],[Pan]],""),"")</f>
        <v/>
      </c>
      <c r="P83" t="str">
        <f>IFERROR(IF(VLOOKUP(C83,Comunión!A:C,3,FALSE)=Table1[[#Headers],[Comunión]],Table1[[#Headers],[Comunión]],""),"")</f>
        <v>Comunión</v>
      </c>
      <c r="Q83" t="str">
        <f>IFERROR(IF(VLOOKUP(C83,Niños!A:C,3,FALSE)=Table1[[#Headers],[Niños]],Table1[[#Headers],[Niños]],""),"")</f>
        <v/>
      </c>
      <c r="R83" t="str">
        <f>IFERROR(IF(VLOOKUP(C83,Laudes!A:C,3,FALSE)=Table1[[#Headers],[Laudes]],Table1[[#Headers],[Laudes]],""),"")</f>
        <v/>
      </c>
      <c r="S83" t="str">
        <f>IFERROR(IF(VLOOKUP(C83,'Nuevo Testamento'!A:C,3,FALSE)=Table1[[#Headers],[Nuevo Testamento]],Table1[[#Headers],[Nuevo Testamento]],""),"")</f>
        <v>Nuevo Testamento</v>
      </c>
      <c r="T83" t="str">
        <f>IFERROR(IF(VLOOKUP(C83,'Antiguo Testamento'!A:C,3,FALSE)=Table1[[#Headers],[Antiguo Testamento]],Table1[[#Headers],[Antiguo Testamento]],""),"")</f>
        <v/>
      </c>
      <c r="U83" t="str">
        <f>IFERROR(IF(VLOOKUP(C83,Final!A:C,3,FALSE)=Table1[[#Headers],[Final]],Table1[[#Headers],[Final]],""),"")</f>
        <v/>
      </c>
      <c r="V83" t="str" cm="1">
        <f t="array" ref="V8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/cantos/src/chtml/e/enmediodeaquelgentio.html</v>
      </c>
      <c r="W8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{id:81,title: "En medio de aquel gentío", subtitle: "Lucas 8,42b-48", category: "Precatecumenado", moments: ["","","","","","","","","","Comunión","","","Nuevo Testamento","",""], url: "/cantos/src/chtml/e/enmediodeaquelgentio.html"},</v>
      </c>
    </row>
    <row r="84" spans="1:23" x14ac:dyDescent="0.25">
      <c r="A84">
        <v>65</v>
      </c>
      <c r="B84" s="14">
        <v>82</v>
      </c>
      <c r="C84" t="s">
        <v>39</v>
      </c>
      <c r="D84" t="s">
        <v>371</v>
      </c>
      <c r="E84" t="str">
        <f>LOWER(LEFT(Table1[[#This Row],[Canto]],1))</f>
        <v>e</v>
      </c>
      <c r="F84" t="s">
        <v>288</v>
      </c>
      <c r="G84" t="str">
        <f>IFERROR(IF(VLOOKUP(C84,Adviento!A:C,3,FALSE)=Table1[[#Headers],[Adviento]],Table1[[#Headers],[Adviento]],""),"")</f>
        <v/>
      </c>
      <c r="H84" t="str">
        <f>IFERROR(IF(VLOOKUP(C84,Navidad!A:C,3,FALSE)=Table1[[#Headers],[Navidad]],Table1[[#Headers],[Navidad]],""),"")</f>
        <v/>
      </c>
      <c r="I84" t="str">
        <f>IFERROR(IF(VLOOKUP(C84,Cuaresma!A:C,3,FALSE)=Table1[[#Headers],[Cuaresma]],Table1[[#Headers],[Cuaresma]],""),"")</f>
        <v/>
      </c>
      <c r="J84" t="str">
        <f>IFERROR(IF(VLOOKUP(C84,Pascua!A:C,3,FALSE)=Table1[[#Headers],[Pascua]],Table1[[#Headers],[Pascua]],""),"")</f>
        <v/>
      </c>
      <c r="K84" t="str">
        <f>IFERROR(IF(VLOOKUP(C84,Pentecostés!A:C,3,FALSE)=Table1[[#Headers],[Pentecostés]],Table1[[#Headers],[Pentecostés]],""),"")</f>
        <v/>
      </c>
      <c r="L84" t="str">
        <f>IFERROR(IF(VLOOKUP(C84,Entrada!A:C,3,FALSE)=Table1[[#Headers],[Entrada]],Table1[[#Headers],[Entrada]],""),"")</f>
        <v/>
      </c>
      <c r="M84" t="str">
        <f>IFERROR(IF(VLOOKUP(C84,Virgen!A:C,3,FALSE)=Table1[[#Headers],[Virgen]],Table1[[#Headers],[Virgen]],""),"")</f>
        <v/>
      </c>
      <c r="N84" t="str">
        <f>IFERROR(IF(VLOOKUP(C84,Paz!A:C,3,FALSE)=Table1[[#Headers],[Paz]],Table1[[#Headers],[Paz]],""),"")</f>
        <v/>
      </c>
      <c r="O84" t="str">
        <f>IFERROR(IF(VLOOKUP(C84,Pan!A:C,3,FALSE)=Table1[[#Headers],[Pan]],Table1[[#Headers],[Pan]],""),"")</f>
        <v/>
      </c>
      <c r="P84" t="str">
        <f>IFERROR(IF(VLOOKUP(C84,Comunión!A:C,3,FALSE)=Table1[[#Headers],[Comunión]],Table1[[#Headers],[Comunión]],""),"")</f>
        <v/>
      </c>
      <c r="Q84" t="str">
        <f>IFERROR(IF(VLOOKUP(C84,Niños!A:C,3,FALSE)=Table1[[#Headers],[Niños]],Table1[[#Headers],[Niños]],""),"")</f>
        <v/>
      </c>
      <c r="R84" t="str">
        <f>IFERROR(IF(VLOOKUP(C84,Laudes!A:C,3,FALSE)=Table1[[#Headers],[Laudes]],Table1[[#Headers],[Laudes]],""),"")</f>
        <v/>
      </c>
      <c r="S84" t="str">
        <f>IFERROR(IF(VLOOKUP(C84,'Nuevo Testamento'!A:C,3,FALSE)=Table1[[#Headers],[Nuevo Testamento]],Table1[[#Headers],[Nuevo Testamento]],""),"")</f>
        <v/>
      </c>
      <c r="T84" t="str">
        <f>IFERROR(IF(VLOOKUP(C84,'Antiguo Testamento'!A:C,3,FALSE)=Table1[[#Headers],[Antiguo Testamento]],Table1[[#Headers],[Antiguo Testamento]],""),"")</f>
        <v/>
      </c>
      <c r="U84" t="str">
        <f>IFERROR(IF(VLOOKUP(C84,Final!A:C,3,FALSE)=Table1[[#Headers],[Final]],Table1[[#Headers],[Final]],""),"")</f>
        <v/>
      </c>
      <c r="V84" t="str" cm="1">
        <f t="array" ref="V8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/cantos/src/chtml/e/enunanocheoscura.html</v>
      </c>
      <c r="W8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{id:82,title: "En una noche oscura", subtitle: "Subida al Monte Carmelo – San Juan de la Cruz", category: "Precatecumenado", moments: ["","","","","","","","","","","","","","",""], url: "/cantos/src/chtml/e/enunanocheoscura.html"},</v>
      </c>
    </row>
    <row r="85" spans="1:23" x14ac:dyDescent="0.25">
      <c r="A85">
        <v>66</v>
      </c>
      <c r="B85" s="14">
        <v>83</v>
      </c>
      <c r="C85" t="s">
        <v>40</v>
      </c>
      <c r="D85" t="s">
        <v>372</v>
      </c>
      <c r="E85" t="str">
        <f>LOWER(LEFT(Table1[[#This Row],[Canto]],1))</f>
        <v>e</v>
      </c>
      <c r="F85" t="s">
        <v>288</v>
      </c>
      <c r="G85" t="str">
        <f>IFERROR(IF(VLOOKUP(C85,Adviento!A:C,3,FALSE)=Table1[[#Headers],[Adviento]],Table1[[#Headers],[Adviento]],""),"")</f>
        <v/>
      </c>
      <c r="H85" t="str">
        <f>IFERROR(IF(VLOOKUP(C85,Navidad!A:C,3,FALSE)=Table1[[#Headers],[Navidad]],Table1[[#Headers],[Navidad]],""),"")</f>
        <v/>
      </c>
      <c r="I85" t="str">
        <f>IFERROR(IF(VLOOKUP(C85,Cuaresma!A:C,3,FALSE)=Table1[[#Headers],[Cuaresma]],Table1[[#Headers],[Cuaresma]],""),"")</f>
        <v/>
      </c>
      <c r="J85" t="str">
        <f>IFERROR(IF(VLOOKUP(C85,Pascua!A:C,3,FALSE)=Table1[[#Headers],[Pascua]],Table1[[#Headers],[Pascua]],""),"")</f>
        <v>Pascua</v>
      </c>
      <c r="K85" t="str">
        <f>IFERROR(IF(VLOOKUP(C85,Pentecostés!A:C,3,FALSE)=Table1[[#Headers],[Pentecostés]],Table1[[#Headers],[Pentecostés]],""),"")</f>
        <v>Pentecostés</v>
      </c>
      <c r="L85" t="str">
        <f>IFERROR(IF(VLOOKUP(C85,Entrada!A:C,3,FALSE)=Table1[[#Headers],[Entrada]],Table1[[#Headers],[Entrada]],""),"")</f>
        <v/>
      </c>
      <c r="M85" t="str">
        <f>IFERROR(IF(VLOOKUP(C85,Virgen!A:C,3,FALSE)=Table1[[#Headers],[Virgen]],Table1[[#Headers],[Virgen]],""),"")</f>
        <v/>
      </c>
      <c r="N85" t="str">
        <f>IFERROR(IF(VLOOKUP(C85,Paz!A:C,3,FALSE)=Table1[[#Headers],[Paz]],Table1[[#Headers],[Paz]],""),"")</f>
        <v/>
      </c>
      <c r="O85" t="str">
        <f>IFERROR(IF(VLOOKUP(C85,Pan!A:C,3,FALSE)=Table1[[#Headers],[Pan]],Table1[[#Headers],[Pan]],""),"")</f>
        <v>Pan</v>
      </c>
      <c r="P85" t="str">
        <f>IFERROR(IF(VLOOKUP(C85,Comunión!A:C,3,FALSE)=Table1[[#Headers],[Comunión]],Table1[[#Headers],[Comunión]],""),"")</f>
        <v/>
      </c>
      <c r="Q85" t="str">
        <f>IFERROR(IF(VLOOKUP(C85,Niños!A:C,3,FALSE)=Table1[[#Headers],[Niños]],Table1[[#Headers],[Niños]],""),"")</f>
        <v/>
      </c>
      <c r="R85" t="str">
        <f>IFERROR(IF(VLOOKUP(C85,Laudes!A:C,3,FALSE)=Table1[[#Headers],[Laudes]],Table1[[#Headers],[Laudes]],""),"")</f>
        <v>Laudes</v>
      </c>
      <c r="S85" t="str">
        <f>IFERROR(IF(VLOOKUP(C85,'Nuevo Testamento'!A:C,3,FALSE)=Table1[[#Headers],[Nuevo Testamento]],Table1[[#Headers],[Nuevo Testamento]],""),"")</f>
        <v>Nuevo Testamento</v>
      </c>
      <c r="T85" t="str">
        <f>IFERROR(IF(VLOOKUP(C85,'Antiguo Testamento'!A:C,3,FALSE)=Table1[[#Headers],[Antiguo Testamento]],Table1[[#Headers],[Antiguo Testamento]],""),"")</f>
        <v/>
      </c>
      <c r="U85" t="str">
        <f>IFERROR(IF(VLOOKUP(C85,Final!A:C,3,FALSE)=Table1[[#Headers],[Final]],Table1[[#Headers],[Final]],""),"")</f>
        <v/>
      </c>
      <c r="V85" t="str" cm="1">
        <f t="array" ref="V8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/cantos/src/chtml/e/eresdignodetomarellibro.html</v>
      </c>
      <c r="W8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{id:83,title: "Eres digno de tomar el libro", subtitle: "Apocalipsis 5,9ss", category: "Precatecumenado", moments: ["","","","Pascua","Pentecostés","","","","Pan","","","Laudes","Nuevo Testamento","",""], url: "/cantos/src/chtml/e/eresdignodetomarellibro.html"},</v>
      </c>
    </row>
    <row r="86" spans="1:23" x14ac:dyDescent="0.25">
      <c r="A86">
        <v>67</v>
      </c>
      <c r="B86" s="14">
        <v>84</v>
      </c>
      <c r="C86" t="s">
        <v>41</v>
      </c>
      <c r="D86" t="s">
        <v>373</v>
      </c>
      <c r="E86" t="str">
        <f>LOWER(LEFT(Table1[[#This Row],[Canto]],1))</f>
        <v>e</v>
      </c>
      <c r="F86" t="s">
        <v>288</v>
      </c>
      <c r="G86" t="str">
        <f>IFERROR(IF(VLOOKUP(C86,Adviento!A:C,3,FALSE)=Table1[[#Headers],[Adviento]],Table1[[#Headers],[Adviento]],""),"")</f>
        <v/>
      </c>
      <c r="H86" t="str">
        <f>IFERROR(IF(VLOOKUP(C86,Navidad!A:C,3,FALSE)=Table1[[#Headers],[Navidad]],Table1[[#Headers],[Navidad]],""),"")</f>
        <v/>
      </c>
      <c r="I86" t="str">
        <f>IFERROR(IF(VLOOKUP(C86,Cuaresma!A:C,3,FALSE)=Table1[[#Headers],[Cuaresma]],Table1[[#Headers],[Cuaresma]],""),"")</f>
        <v/>
      </c>
      <c r="J86" t="str">
        <f>IFERROR(IF(VLOOKUP(C86,Pascua!A:C,3,FALSE)=Table1[[#Headers],[Pascua]],Table1[[#Headers],[Pascua]],""),"")</f>
        <v/>
      </c>
      <c r="K86" t="str">
        <f>IFERROR(IF(VLOOKUP(C86,Pentecostés!A:C,3,FALSE)=Table1[[#Headers],[Pentecostés]],Table1[[#Headers],[Pentecostés]],""),"")</f>
        <v/>
      </c>
      <c r="L86" t="str">
        <f>IFERROR(IF(VLOOKUP(C86,Entrada!A:C,3,FALSE)=Table1[[#Headers],[Entrada]],Table1[[#Headers],[Entrada]],""),"")</f>
        <v/>
      </c>
      <c r="M86" t="str">
        <f>IFERROR(IF(VLOOKUP(C86,Virgen!A:C,3,FALSE)=Table1[[#Headers],[Virgen]],Table1[[#Headers],[Virgen]],""),"")</f>
        <v/>
      </c>
      <c r="N86" t="str">
        <f>IFERROR(IF(VLOOKUP(C86,Paz!A:C,3,FALSE)=Table1[[#Headers],[Paz]],Table1[[#Headers],[Paz]],""),"")</f>
        <v/>
      </c>
      <c r="O86" t="str">
        <f>IFERROR(IF(VLOOKUP(C86,Pan!A:C,3,FALSE)=Table1[[#Headers],[Pan]],Table1[[#Headers],[Pan]],""),"")</f>
        <v/>
      </c>
      <c r="P86" t="str">
        <f>IFERROR(IF(VLOOKUP(C86,Comunión!A:C,3,FALSE)=Table1[[#Headers],[Comunión]],Table1[[#Headers],[Comunión]],""),"")</f>
        <v>Comunión</v>
      </c>
      <c r="Q86" t="str">
        <f>IFERROR(IF(VLOOKUP(C86,Niños!A:C,3,FALSE)=Table1[[#Headers],[Niños]],Table1[[#Headers],[Niños]],""),"")</f>
        <v/>
      </c>
      <c r="R86" t="str">
        <f>IFERROR(IF(VLOOKUP(C86,Laudes!A:C,3,FALSE)=Table1[[#Headers],[Laudes]],Table1[[#Headers],[Laudes]],""),"")</f>
        <v/>
      </c>
      <c r="S86" t="str">
        <f>IFERROR(IF(VLOOKUP(C86,'Nuevo Testamento'!A:C,3,FALSE)=Table1[[#Headers],[Nuevo Testamento]],Table1[[#Headers],[Nuevo Testamento]],""),"")</f>
        <v/>
      </c>
      <c r="T86" t="str">
        <f>IFERROR(IF(VLOOKUP(C86,'Antiguo Testamento'!A:C,3,FALSE)=Table1[[#Headers],[Antiguo Testamento]],Table1[[#Headers],[Antiguo Testamento]],""),"")</f>
        <v>Antiguo Testamento</v>
      </c>
      <c r="U86" t="str">
        <f>IFERROR(IF(VLOOKUP(C86,Final!A:C,3,FALSE)=Table1[[#Headers],[Final]],Table1[[#Headers],[Final]],""),"")</f>
        <v>Final</v>
      </c>
      <c r="V86" t="str" cm="1">
        <f t="array" ref="V8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/cantos/src/chtml/e/ereshermoso.html</v>
      </c>
      <c r="W8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{id:84,title: "Eres hermoso", subtitle: "Salmo 45 (44) ", category: "Precatecumenado", moments: ["","","","","","","","","","Comunión","","","","Antiguo Testamento","Final"], url: "/cantos/src/chtml/e/ereshermoso.html"},</v>
      </c>
    </row>
    <row r="87" spans="1:23" x14ac:dyDescent="0.25">
      <c r="A87">
        <v>68</v>
      </c>
      <c r="B87" s="14">
        <v>85</v>
      </c>
      <c r="C87" t="s">
        <v>143</v>
      </c>
      <c r="D87" t="s">
        <v>374</v>
      </c>
      <c r="E87" t="str">
        <f>LOWER(LEFT(Table1[[#This Row],[Canto]],1))</f>
        <v>e</v>
      </c>
      <c r="F87" t="s">
        <v>288</v>
      </c>
      <c r="G87" t="str">
        <f>IFERROR(IF(VLOOKUP(C87,Adviento!A:C,3,FALSE)=Table1[[#Headers],[Adviento]],Table1[[#Headers],[Adviento]],""),"")</f>
        <v/>
      </c>
      <c r="H87" t="str">
        <f>IFERROR(IF(VLOOKUP(C87,Navidad!A:C,3,FALSE)=Table1[[#Headers],[Navidad]],Table1[[#Headers],[Navidad]],""),"")</f>
        <v/>
      </c>
      <c r="I87" t="str">
        <f>IFERROR(IF(VLOOKUP(C87,Cuaresma!A:C,3,FALSE)=Table1[[#Headers],[Cuaresma]],Table1[[#Headers],[Cuaresma]],""),"")</f>
        <v/>
      </c>
      <c r="J87" t="str">
        <f>IFERROR(IF(VLOOKUP(C87,Pascua!A:C,3,FALSE)=Table1[[#Headers],[Pascua]],Table1[[#Headers],[Pascua]],""),"")</f>
        <v>Pascua</v>
      </c>
      <c r="K87" t="str">
        <f>IFERROR(IF(VLOOKUP(C87,Pentecostés!A:C,3,FALSE)=Table1[[#Headers],[Pentecostés]],Table1[[#Headers],[Pentecostés]],""),"")</f>
        <v>Pentecostés</v>
      </c>
      <c r="L87" t="str">
        <f>IFERROR(IF(VLOOKUP(C87,Entrada!A:C,3,FALSE)=Table1[[#Headers],[Entrada]],Table1[[#Headers],[Entrada]],""),"")</f>
        <v>Entrada</v>
      </c>
      <c r="M87" t="str">
        <f>IFERROR(IF(VLOOKUP(C87,Virgen!A:C,3,FALSE)=Table1[[#Headers],[Virgen]],Table1[[#Headers],[Virgen]],""),"")</f>
        <v/>
      </c>
      <c r="N87" t="str">
        <f>IFERROR(IF(VLOOKUP(C87,Paz!A:C,3,FALSE)=Table1[[#Headers],[Paz]],Table1[[#Headers],[Paz]],""),"")</f>
        <v/>
      </c>
      <c r="O87" t="str">
        <f>IFERROR(IF(VLOOKUP(C87,Pan!A:C,3,FALSE)=Table1[[#Headers],[Pan]],Table1[[#Headers],[Pan]],""),"")</f>
        <v/>
      </c>
      <c r="P87" t="str">
        <f>IFERROR(IF(VLOOKUP(C87,Comunión!A:C,3,FALSE)=Table1[[#Headers],[Comunión]],Table1[[#Headers],[Comunión]],""),"")</f>
        <v>Comunión</v>
      </c>
      <c r="Q87" t="str">
        <f>IFERROR(IF(VLOOKUP(C87,Niños!A:C,3,FALSE)=Table1[[#Headers],[Niños]],Table1[[#Headers],[Niños]],""),"")</f>
        <v/>
      </c>
      <c r="R87" t="str">
        <f>IFERROR(IF(VLOOKUP(C87,Laudes!A:C,3,FALSE)=Table1[[#Headers],[Laudes]],Table1[[#Headers],[Laudes]],""),"")</f>
        <v/>
      </c>
      <c r="S87" t="str">
        <f>IFERROR(IF(VLOOKUP(C87,'Nuevo Testamento'!A:C,3,FALSE)=Table1[[#Headers],[Nuevo Testamento]],Table1[[#Headers],[Nuevo Testamento]],""),"")</f>
        <v/>
      </c>
      <c r="T87" t="str">
        <f>IFERROR(IF(VLOOKUP(C87,'Antiguo Testamento'!A:C,3,FALSE)=Table1[[#Headers],[Antiguo Testamento]],Table1[[#Headers],[Antiguo Testamento]],""),"")</f>
        <v/>
      </c>
      <c r="U87" t="str">
        <f>IFERROR(IF(VLOOKUP(C87,Final!A:C,3,FALSE)=Table1[[#Headers],[Final]],Table1[[#Headers],[Final]],""),"")</f>
        <v/>
      </c>
      <c r="V87" t="str" cm="1">
        <f t="array" ref="V8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/cantos/src/chtml/e/espaciente.html</v>
      </c>
      <c r="W8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{id:85,title: "Es paciente", subtitle: "Himno al Espíritu Santo (Kiko Argüello) ", category: "Precatecumenado", moments: ["","","","Pascua","Pentecostés","Entrada","","","","Comunión","","","","",""], url: "/cantos/src/chtml/e/espaciente.html"},</v>
      </c>
    </row>
    <row r="88" spans="1:23" x14ac:dyDescent="0.25">
      <c r="A88">
        <v>69</v>
      </c>
      <c r="B88" s="14">
        <v>86</v>
      </c>
      <c r="C88" t="s">
        <v>144</v>
      </c>
      <c r="D88" t="s">
        <v>375</v>
      </c>
      <c r="E88" t="str">
        <f>LOWER(LEFT(Table1[[#This Row],[Canto]],1))</f>
        <v>e</v>
      </c>
      <c r="F88" t="s">
        <v>288</v>
      </c>
      <c r="G88" t="str">
        <f>IFERROR(IF(VLOOKUP(C88,Adviento!A:C,3,FALSE)=Table1[[#Headers],[Adviento]],Table1[[#Headers],[Adviento]],""),"")</f>
        <v/>
      </c>
      <c r="H88" t="str">
        <f>IFERROR(IF(VLOOKUP(C88,Navidad!A:C,3,FALSE)=Table1[[#Headers],[Navidad]],Table1[[#Headers],[Navidad]],""),"")</f>
        <v/>
      </c>
      <c r="I88" t="str">
        <f>IFERROR(IF(VLOOKUP(C88,Cuaresma!A:C,3,FALSE)=Table1[[#Headers],[Cuaresma]],Table1[[#Headers],[Cuaresma]],""),"")</f>
        <v/>
      </c>
      <c r="J88" t="str">
        <f>IFERROR(IF(VLOOKUP(C88,Pascua!A:C,3,FALSE)=Table1[[#Headers],[Pascua]],Table1[[#Headers],[Pascua]],""),"")</f>
        <v/>
      </c>
      <c r="K88" t="str">
        <f>IFERROR(IF(VLOOKUP(C88,Pentecostés!A:C,3,FALSE)=Table1[[#Headers],[Pentecostés]],Table1[[#Headers],[Pentecostés]],""),"")</f>
        <v/>
      </c>
      <c r="L88" t="str">
        <f>IFERROR(IF(VLOOKUP(C88,Entrada!A:C,3,FALSE)=Table1[[#Headers],[Entrada]],Table1[[#Headers],[Entrada]],""),"")</f>
        <v/>
      </c>
      <c r="M88" t="str">
        <f>IFERROR(IF(VLOOKUP(C88,Virgen!A:C,3,FALSE)=Table1[[#Headers],[Virgen]],Table1[[#Headers],[Virgen]],""),"")</f>
        <v/>
      </c>
      <c r="N88" t="str">
        <f>IFERROR(IF(VLOOKUP(C88,Paz!A:C,3,FALSE)=Table1[[#Headers],[Paz]],Table1[[#Headers],[Paz]],""),"")</f>
        <v/>
      </c>
      <c r="O88" t="str">
        <f>IFERROR(IF(VLOOKUP(C88,Pan!A:C,3,FALSE)=Table1[[#Headers],[Pan]],Table1[[#Headers],[Pan]],""),"")</f>
        <v/>
      </c>
      <c r="P88" t="str">
        <f>IFERROR(IF(VLOOKUP(C88,Comunión!A:C,3,FALSE)=Table1[[#Headers],[Comunión]],Table1[[#Headers],[Comunión]],""),"")</f>
        <v/>
      </c>
      <c r="Q88" t="str">
        <f>IFERROR(IF(VLOOKUP(C88,Niños!A:C,3,FALSE)=Table1[[#Headers],[Niños]],Table1[[#Headers],[Niños]],""),"")</f>
        <v/>
      </c>
      <c r="R88" t="str">
        <f>IFERROR(IF(VLOOKUP(C88,Laudes!A:C,3,FALSE)=Table1[[#Headers],[Laudes]],Table1[[#Headers],[Laudes]],""),"")</f>
        <v>Laudes</v>
      </c>
      <c r="S88" t="str">
        <f>IFERROR(IF(VLOOKUP(C88,'Nuevo Testamento'!A:C,3,FALSE)=Table1[[#Headers],[Nuevo Testamento]],Table1[[#Headers],[Nuevo Testamento]],""),"")</f>
        <v/>
      </c>
      <c r="T88" t="str">
        <f>IFERROR(IF(VLOOKUP(C88,'Antiguo Testamento'!A:C,3,FALSE)=Table1[[#Headers],[Antiguo Testamento]],Table1[[#Headers],[Antiguo Testamento]],""),"")</f>
        <v>Antiguo Testamento</v>
      </c>
      <c r="U88" t="str">
        <f>IFERROR(IF(VLOOKUP(C88,Final!A:C,3,FALSE)=Table1[[#Headers],[Final]],Table1[[#Headers],[Final]],""),"")</f>
        <v/>
      </c>
      <c r="V88" t="str" cm="1">
        <f t="array" ref="V8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/cantos/src/chtml/e/escondemeenloocultodetutienda.html</v>
      </c>
      <c r="W8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{id:86,title: "Escóndeme en lo oculto de tu tienda", subtitle: "Salmo 27 (26)", category: "Precatecumenado", moments: ["","","","","","","","","","","","Laudes","","Antiguo Testamento",""], url: "/cantos/src/chtml/e/escondemeenloocultodetutienda.html"},</v>
      </c>
    </row>
    <row r="89" spans="1:23" x14ac:dyDescent="0.25">
      <c r="A89">
        <v>70</v>
      </c>
      <c r="B89" s="14">
        <v>87</v>
      </c>
      <c r="C89" t="s">
        <v>145</v>
      </c>
      <c r="D89" t="s">
        <v>376</v>
      </c>
      <c r="E89" t="str">
        <f>LOWER(LEFT(Table1[[#This Row],[Canto]],1))</f>
        <v>e</v>
      </c>
      <c r="F89" t="s">
        <v>288</v>
      </c>
      <c r="G89" t="str">
        <f>IFERROR(IF(VLOOKUP(C89,Adviento!A:C,3,FALSE)=Table1[[#Headers],[Adviento]],Table1[[#Headers],[Adviento]],""),"")</f>
        <v>Adviento</v>
      </c>
      <c r="H89" t="str">
        <f>IFERROR(IF(VLOOKUP(C89,Navidad!A:C,3,FALSE)=Table1[[#Headers],[Navidad]],Table1[[#Headers],[Navidad]],""),"")</f>
        <v>Navidad</v>
      </c>
      <c r="I89" t="str">
        <f>IFERROR(IF(VLOOKUP(C89,Cuaresma!A:C,3,FALSE)=Table1[[#Headers],[Cuaresma]],Table1[[#Headers],[Cuaresma]],""),"")</f>
        <v/>
      </c>
      <c r="J89" t="str">
        <f>IFERROR(IF(VLOOKUP(C89,Pascua!A:C,3,FALSE)=Table1[[#Headers],[Pascua]],Table1[[#Headers],[Pascua]],""),"")</f>
        <v/>
      </c>
      <c r="K89" t="str">
        <f>IFERROR(IF(VLOOKUP(C89,Pentecostés!A:C,3,FALSE)=Table1[[#Headers],[Pentecostés]],Table1[[#Headers],[Pentecostés]],""),"")</f>
        <v/>
      </c>
      <c r="L89" t="str">
        <f>IFERROR(IF(VLOOKUP(C89,Entrada!A:C,3,FALSE)=Table1[[#Headers],[Entrada]],Table1[[#Headers],[Entrada]],""),"")</f>
        <v>Entrada</v>
      </c>
      <c r="M89" t="str">
        <f>IFERROR(IF(VLOOKUP(C89,Virgen!A:C,3,FALSE)=Table1[[#Headers],[Virgen]],Table1[[#Headers],[Virgen]],""),"")</f>
        <v/>
      </c>
      <c r="N89" t="str">
        <f>IFERROR(IF(VLOOKUP(C89,Paz!A:C,3,FALSE)=Table1[[#Headers],[Paz]],Table1[[#Headers],[Paz]],""),"")</f>
        <v/>
      </c>
      <c r="O89" t="str">
        <f>IFERROR(IF(VLOOKUP(C89,Pan!A:C,3,FALSE)=Table1[[#Headers],[Pan]],Table1[[#Headers],[Pan]],""),"")</f>
        <v/>
      </c>
      <c r="P89" t="str">
        <f>IFERROR(IF(VLOOKUP(C89,Comunión!A:C,3,FALSE)=Table1[[#Headers],[Comunión]],Table1[[#Headers],[Comunión]],""),"")</f>
        <v>Comunión</v>
      </c>
      <c r="Q89" t="str">
        <f>IFERROR(IF(VLOOKUP(C89,Niños!A:C,3,FALSE)=Table1[[#Headers],[Niños]],Table1[[#Headers],[Niños]],""),"")</f>
        <v/>
      </c>
      <c r="R89" t="str">
        <f>IFERROR(IF(VLOOKUP(C89,Laudes!A:C,3,FALSE)=Table1[[#Headers],[Laudes]],Table1[[#Headers],[Laudes]],""),"")</f>
        <v/>
      </c>
      <c r="S89" t="str">
        <f>IFERROR(IF(VLOOKUP(C89,'Nuevo Testamento'!A:C,3,FALSE)=Table1[[#Headers],[Nuevo Testamento]],Table1[[#Headers],[Nuevo Testamento]],""),"")</f>
        <v/>
      </c>
      <c r="T89" t="str">
        <f>IFERROR(IF(VLOOKUP(C89,'Antiguo Testamento'!A:C,3,FALSE)=Table1[[#Headers],[Antiguo Testamento]],Table1[[#Headers],[Antiguo Testamento]],""),"")</f>
        <v>Antiguo Testamento</v>
      </c>
      <c r="U89" t="str">
        <f>IFERROR(IF(VLOOKUP(C89,Final!A:C,3,FALSE)=Table1[[#Headers],[Final]],Table1[[#Headers],[Final]],""),"")</f>
        <v/>
      </c>
      <c r="V89" t="str" cm="1">
        <f t="array" ref="V8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/cantos/src/chtml/e/escuchadislaslejanas.html</v>
      </c>
      <c r="W8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{id:87,title: "Escuchad, islas lejanas", subtitle: "Isaias 49,1-16 - Segundo canto de Siervo de Yahveh", category: "Precatecumenado", moments: ["Adviento","Navidad","","","","Entrada","","","","Comunión","","","","Antiguo Testamento",""], url: "/cantos/src/chtml/e/escuchadislaslejanas.html"},</v>
      </c>
    </row>
    <row r="90" spans="1:23" x14ac:dyDescent="0.25">
      <c r="A90">
        <v>71</v>
      </c>
      <c r="B90" s="14">
        <v>88</v>
      </c>
      <c r="C90" t="s">
        <v>42</v>
      </c>
      <c r="D90" t="s">
        <v>377</v>
      </c>
      <c r="E90" t="str">
        <f>LOWER(LEFT(Table1[[#This Row],[Canto]],1))</f>
        <v>é</v>
      </c>
      <c r="F90" t="s">
        <v>288</v>
      </c>
      <c r="G90" t="str">
        <f>IFERROR(IF(VLOOKUP(C90,Adviento!A:C,3,FALSE)=Table1[[#Headers],[Adviento]],Table1[[#Headers],[Adviento]],""),"")</f>
        <v/>
      </c>
      <c r="H90" t="str">
        <f>IFERROR(IF(VLOOKUP(C90,Navidad!A:C,3,FALSE)=Table1[[#Headers],[Navidad]],Table1[[#Headers],[Navidad]],""),"")</f>
        <v/>
      </c>
      <c r="I90" t="str">
        <f>IFERROR(IF(VLOOKUP(C90,Cuaresma!A:C,3,FALSE)=Table1[[#Headers],[Cuaresma]],Table1[[#Headers],[Cuaresma]],""),"")</f>
        <v/>
      </c>
      <c r="J90" t="str">
        <f>IFERROR(IF(VLOOKUP(C90,Pascua!A:C,3,FALSE)=Table1[[#Headers],[Pascua]],Table1[[#Headers],[Pascua]],""),"")</f>
        <v/>
      </c>
      <c r="K90" t="str">
        <f>IFERROR(IF(VLOOKUP(C90,Pentecostés!A:C,3,FALSE)=Table1[[#Headers],[Pentecostés]],Table1[[#Headers],[Pentecostés]],""),"")</f>
        <v/>
      </c>
      <c r="L90" t="str">
        <f>IFERROR(IF(VLOOKUP(C90,Entrada!A:C,3,FALSE)=Table1[[#Headers],[Entrada]],Table1[[#Headers],[Entrada]],""),"")</f>
        <v/>
      </c>
      <c r="M90" t="str">
        <f>IFERROR(IF(VLOOKUP(C90,Virgen!A:C,3,FALSE)=Table1[[#Headers],[Virgen]],Table1[[#Headers],[Virgen]],""),"")</f>
        <v/>
      </c>
      <c r="N90" t="str">
        <f>IFERROR(IF(VLOOKUP(C90,Paz!A:C,3,FALSE)=Table1[[#Headers],[Paz]],Table1[[#Headers],[Paz]],""),"")</f>
        <v/>
      </c>
      <c r="O90" t="str">
        <f>IFERROR(IF(VLOOKUP(C90,Pan!A:C,3,FALSE)=Table1[[#Headers],[Pan]],Table1[[#Headers],[Pan]],""),"")</f>
        <v/>
      </c>
      <c r="P90" t="str">
        <f>IFERROR(IF(VLOOKUP(C90,Comunión!A:C,3,FALSE)=Table1[[#Headers],[Comunión]],Table1[[#Headers],[Comunión]],""),"")</f>
        <v/>
      </c>
      <c r="Q90" t="str">
        <f>IFERROR(IF(VLOOKUP(C90,Niños!A:C,3,FALSE)=Table1[[#Headers],[Niños]],Table1[[#Headers],[Niños]],""),"")</f>
        <v/>
      </c>
      <c r="R90" t="str">
        <f>IFERROR(IF(VLOOKUP(C90,Laudes!A:C,3,FALSE)=Table1[[#Headers],[Laudes]],Table1[[#Headers],[Laudes]],""),"")</f>
        <v/>
      </c>
      <c r="S90" t="str">
        <f>IFERROR(IF(VLOOKUP(C90,'Nuevo Testamento'!A:C,3,FALSE)=Table1[[#Headers],[Nuevo Testamento]],Table1[[#Headers],[Nuevo Testamento]],""),"")</f>
        <v/>
      </c>
      <c r="T90" t="str">
        <f>IFERROR(IF(VLOOKUP(C90,'Antiguo Testamento'!A:C,3,FALSE)=Table1[[#Headers],[Antiguo Testamento]],Table1[[#Headers],[Antiguo Testamento]],""),"")</f>
        <v>Antiguo Testamento</v>
      </c>
      <c r="U90" t="str">
        <f>IFERROR(IF(VLOOKUP(C90,Final!A:C,3,FALSE)=Table1[[#Headers],[Final]],Table1[[#Headers],[Final]],""),"")</f>
        <v/>
      </c>
      <c r="V90" t="str" cm="1">
        <f t="array" ref="V9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/cantos/src/chtml/é/esteeseldiaenqueactuoelsenor.html</v>
      </c>
      <c r="W9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{id:88,title: "Éste es el día en que actuó el Señor", subtitle: "Sal 118 (117)", category: "Precatecumenado", moments: ["","","","","","","","","","","","","","Antiguo Testamento",""], url: "/cantos/src/chtml/é/esteeseldiaenqueactuoelsenor.html"},</v>
      </c>
    </row>
    <row r="91" spans="1:23" x14ac:dyDescent="0.25">
      <c r="A91">
        <v>72</v>
      </c>
      <c r="B91" s="14">
        <v>89</v>
      </c>
      <c r="C91" t="s">
        <v>146</v>
      </c>
      <c r="D91" t="s">
        <v>378</v>
      </c>
      <c r="E91" t="str">
        <f>LOWER(LEFT(Table1[[#This Row],[Canto]],1))</f>
        <v>e</v>
      </c>
      <c r="F91" t="s">
        <v>288</v>
      </c>
      <c r="G91" t="str">
        <f>IFERROR(IF(VLOOKUP(C91,Adviento!A:C,3,FALSE)=Table1[[#Headers],[Adviento]],Table1[[#Headers],[Adviento]],""),"")</f>
        <v/>
      </c>
      <c r="H91" t="str">
        <f>IFERROR(IF(VLOOKUP(C91,Navidad!A:C,3,FALSE)=Table1[[#Headers],[Navidad]],Table1[[#Headers],[Navidad]],""),"")</f>
        <v/>
      </c>
      <c r="I91" t="str">
        <f>IFERROR(IF(VLOOKUP(C91,Cuaresma!A:C,3,FALSE)=Table1[[#Headers],[Cuaresma]],Table1[[#Headers],[Cuaresma]],""),"")</f>
        <v/>
      </c>
      <c r="J91" t="str">
        <f>IFERROR(IF(VLOOKUP(C91,Pascua!A:C,3,FALSE)=Table1[[#Headers],[Pascua]],Table1[[#Headers],[Pascua]],""),"")</f>
        <v>Pascua</v>
      </c>
      <c r="K91" t="str">
        <f>IFERROR(IF(VLOOKUP(C91,Pentecostés!A:C,3,FALSE)=Table1[[#Headers],[Pentecostés]],Table1[[#Headers],[Pentecostés]],""),"")</f>
        <v>Pentecostés</v>
      </c>
      <c r="L91" t="str">
        <f>IFERROR(IF(VLOOKUP(C91,Entrada!A:C,3,FALSE)=Table1[[#Headers],[Entrada]],Table1[[#Headers],[Entrada]],""),"")</f>
        <v/>
      </c>
      <c r="M91" t="str">
        <f>IFERROR(IF(VLOOKUP(C91,Virgen!A:C,3,FALSE)=Table1[[#Headers],[Virgen]],Table1[[#Headers],[Virgen]],""),"")</f>
        <v/>
      </c>
      <c r="N91" t="str">
        <f>IFERROR(IF(VLOOKUP(C91,Paz!A:C,3,FALSE)=Table1[[#Headers],[Paz]],Table1[[#Headers],[Paz]],""),"")</f>
        <v/>
      </c>
      <c r="O91" t="str">
        <f>IFERROR(IF(VLOOKUP(C91,Pan!A:C,3,FALSE)=Table1[[#Headers],[Pan]],Table1[[#Headers],[Pan]],""),"")</f>
        <v/>
      </c>
      <c r="P91" t="str">
        <f>IFERROR(IF(VLOOKUP(C91,Comunión!A:C,3,FALSE)=Table1[[#Headers],[Comunión]],Table1[[#Headers],[Comunión]],""),"")</f>
        <v/>
      </c>
      <c r="Q91" t="str">
        <f>IFERROR(IF(VLOOKUP(C91,Niños!A:C,3,FALSE)=Table1[[#Headers],[Niños]],Table1[[#Headers],[Niños]],""),"")</f>
        <v/>
      </c>
      <c r="R91" t="str">
        <f>IFERROR(IF(VLOOKUP(C91,Laudes!A:C,3,FALSE)=Table1[[#Headers],[Laudes]],Table1[[#Headers],[Laudes]],""),"")</f>
        <v/>
      </c>
      <c r="S91" t="str">
        <f>IFERROR(IF(VLOOKUP(C91,'Nuevo Testamento'!A:C,3,FALSE)=Table1[[#Headers],[Nuevo Testamento]],Table1[[#Headers],[Nuevo Testamento]],""),"")</f>
        <v>Nuevo Testamento</v>
      </c>
      <c r="T91" t="str">
        <f>IFERROR(IF(VLOOKUP(C91,'Antiguo Testamento'!A:C,3,FALSE)=Table1[[#Headers],[Antiguo Testamento]],Table1[[#Headers],[Antiguo Testamento]],""),"")</f>
        <v/>
      </c>
      <c r="U91" t="str">
        <f>IFERROR(IF(VLOOKUP(C91,Final!A:C,3,FALSE)=Table1[[#Headers],[Final]],Table1[[#Headers],[Final]],""),"")</f>
        <v/>
      </c>
      <c r="V91" t="str" cm="1">
        <f t="array" ref="V9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/cantos/src/chtml/e/esteeselmandamientomio.html</v>
      </c>
      <c r="W9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{id:89,title: "Este es el mandamiento mío", subtitle: "Jn 15,12ss", category: "Precatecumenado", moments: ["","","","Pascua","Pentecostés","","","","","","","","Nuevo Testamento","",""], url: "/cantos/src/chtml/e/esteeselmandamientomio.html"},</v>
      </c>
    </row>
    <row r="92" spans="1:23" x14ac:dyDescent="0.25">
      <c r="A92">
        <v>73</v>
      </c>
      <c r="B92" s="14">
        <v>90</v>
      </c>
      <c r="C92" t="s">
        <v>147</v>
      </c>
      <c r="D92" t="s">
        <v>379</v>
      </c>
      <c r="E92" t="str">
        <f>LOWER(LEFT(Table1[[#This Row],[Canto]],1))</f>
        <v>e</v>
      </c>
      <c r="F92" t="s">
        <v>288</v>
      </c>
      <c r="G92" t="str">
        <f>IFERROR(IF(VLOOKUP(C92,Adviento!A:C,3,FALSE)=Table1[[#Headers],[Adviento]],Table1[[#Headers],[Adviento]],""),"")</f>
        <v/>
      </c>
      <c r="H92" t="str">
        <f>IFERROR(IF(VLOOKUP(C92,Navidad!A:C,3,FALSE)=Table1[[#Headers],[Navidad]],Table1[[#Headers],[Navidad]],""),"")</f>
        <v/>
      </c>
      <c r="I92" t="str">
        <f>IFERROR(IF(VLOOKUP(C92,Cuaresma!A:C,3,FALSE)=Table1[[#Headers],[Cuaresma]],Table1[[#Headers],[Cuaresma]],""),"")</f>
        <v/>
      </c>
      <c r="J92" t="str">
        <f>IFERROR(IF(VLOOKUP(C92,Pascua!A:C,3,FALSE)=Table1[[#Headers],[Pascua]],Table1[[#Headers],[Pascua]],""),"")</f>
        <v/>
      </c>
      <c r="K92" t="str">
        <f>IFERROR(IF(VLOOKUP(C92,Pentecostés!A:C,3,FALSE)=Table1[[#Headers],[Pentecostés]],Table1[[#Headers],[Pentecostés]],""),"")</f>
        <v/>
      </c>
      <c r="L92" t="str">
        <f>IFERROR(IF(VLOOKUP(C92,Entrada!A:C,3,FALSE)=Table1[[#Headers],[Entrada]],Table1[[#Headers],[Entrada]],""),"")</f>
        <v/>
      </c>
      <c r="M92" t="str">
        <f>IFERROR(IF(VLOOKUP(C92,Virgen!A:C,3,FALSE)=Table1[[#Headers],[Virgen]],Table1[[#Headers],[Virgen]],""),"")</f>
        <v/>
      </c>
      <c r="N92" t="str">
        <f>IFERROR(IF(VLOOKUP(C92,Paz!A:C,3,FALSE)=Table1[[#Headers],[Paz]],Table1[[#Headers],[Paz]],""),"")</f>
        <v>Paz</v>
      </c>
      <c r="O92" t="str">
        <f>IFERROR(IF(VLOOKUP(C92,Pan!A:C,3,FALSE)=Table1[[#Headers],[Pan]],Table1[[#Headers],[Pan]],""),"")</f>
        <v/>
      </c>
      <c r="P92" t="str">
        <f>IFERROR(IF(VLOOKUP(C92,Comunión!A:C,3,FALSE)=Table1[[#Headers],[Comunión]],Table1[[#Headers],[Comunión]],""),"")</f>
        <v/>
      </c>
      <c r="Q92" t="str">
        <f>IFERROR(IF(VLOOKUP(C92,Niños!A:C,3,FALSE)=Table1[[#Headers],[Niños]],Table1[[#Headers],[Niños]],""),"")</f>
        <v/>
      </c>
      <c r="R92" t="str">
        <f>IFERROR(IF(VLOOKUP(C92,Laudes!A:C,3,FALSE)=Table1[[#Headers],[Laudes]],Table1[[#Headers],[Laudes]],""),"")</f>
        <v/>
      </c>
      <c r="S92" t="str">
        <f>IFERROR(IF(VLOOKUP(C92,'Nuevo Testamento'!A:C,3,FALSE)=Table1[[#Headers],[Nuevo Testamento]],Table1[[#Headers],[Nuevo Testamento]],""),"")</f>
        <v/>
      </c>
      <c r="T92" t="str">
        <f>IFERROR(IF(VLOOKUP(C92,'Antiguo Testamento'!A:C,3,FALSE)=Table1[[#Headers],[Antiguo Testamento]],Table1[[#Headers],[Antiguo Testamento]],""),"")</f>
        <v/>
      </c>
      <c r="U92" t="str">
        <f>IFERROR(IF(VLOOKUP(C92,Final!A:C,3,FALSE)=Table1[[#Headers],[Final]],Table1[[#Headers],[Final]],""),"")</f>
        <v/>
      </c>
      <c r="V92" t="str" cm="1">
        <f t="array" ref="V9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/cantos/src/chtml/e/evenushalomalejem.html</v>
      </c>
      <c r="W9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{id:90,title: "Evenu shalom alejem", subtitle: "Melodía hebraica", category: "Precatecumenado", moments: ["","","","","","","","Paz","","","","","","",""], url: "/cantos/src/chtml/e/evenushalomalejem.html"},</v>
      </c>
    </row>
    <row r="93" spans="1:23" x14ac:dyDescent="0.25">
      <c r="A93">
        <v>74</v>
      </c>
      <c r="B93" s="14">
        <v>91</v>
      </c>
      <c r="C93" t="s">
        <v>43</v>
      </c>
      <c r="D93" t="s">
        <v>380</v>
      </c>
      <c r="E93" t="str">
        <f>LOWER(LEFT(Table1[[#This Row],[Canto]],1))</f>
        <v>e</v>
      </c>
      <c r="F93" t="s">
        <v>288</v>
      </c>
      <c r="G93" t="str">
        <f>IFERROR(IF(VLOOKUP(C93,Adviento!A:C,3,FALSE)=Table1[[#Headers],[Adviento]],Table1[[#Headers],[Adviento]],""),"")</f>
        <v>Adviento</v>
      </c>
      <c r="H93" t="str">
        <f>IFERROR(IF(VLOOKUP(C93,Navidad!A:C,3,FALSE)=Table1[[#Headers],[Navidad]],Table1[[#Headers],[Navidad]],""),"")</f>
        <v>Navidad</v>
      </c>
      <c r="I93" t="str">
        <f>IFERROR(IF(VLOOKUP(C93,Cuaresma!A:C,3,FALSE)=Table1[[#Headers],[Cuaresma]],Table1[[#Headers],[Cuaresma]],""),"")</f>
        <v>Cuaresma</v>
      </c>
      <c r="J93" t="str">
        <f>IFERROR(IF(VLOOKUP(C93,Pascua!A:C,3,FALSE)=Table1[[#Headers],[Pascua]],Table1[[#Headers],[Pascua]],""),"")</f>
        <v/>
      </c>
      <c r="K93" t="str">
        <f>IFERROR(IF(VLOOKUP(C93,Pentecostés!A:C,3,FALSE)=Table1[[#Headers],[Pentecostés]],Table1[[#Headers],[Pentecostés]],""),"")</f>
        <v/>
      </c>
      <c r="L93" t="str">
        <f>IFERROR(IF(VLOOKUP(C93,Entrada!A:C,3,FALSE)=Table1[[#Headers],[Entrada]],Table1[[#Headers],[Entrada]],""),"")</f>
        <v/>
      </c>
      <c r="M93" t="str">
        <f>IFERROR(IF(VLOOKUP(C93,Virgen!A:C,3,FALSE)=Table1[[#Headers],[Virgen]],Table1[[#Headers],[Virgen]],""),"")</f>
        <v/>
      </c>
      <c r="N93" t="str">
        <f>IFERROR(IF(VLOOKUP(C93,Paz!A:C,3,FALSE)=Table1[[#Headers],[Paz]],Table1[[#Headers],[Paz]],""),"")</f>
        <v/>
      </c>
      <c r="O93" t="str">
        <f>IFERROR(IF(VLOOKUP(C93,Pan!A:C,3,FALSE)=Table1[[#Headers],[Pan]],Table1[[#Headers],[Pan]],""),"")</f>
        <v>Pan</v>
      </c>
      <c r="P93" t="str">
        <f>IFERROR(IF(VLOOKUP(C93,Comunión!A:C,3,FALSE)=Table1[[#Headers],[Comunión]],Table1[[#Headers],[Comunión]],""),"")</f>
        <v/>
      </c>
      <c r="Q93" t="str">
        <f>IFERROR(IF(VLOOKUP(C93,Niños!A:C,3,FALSE)=Table1[[#Headers],[Niños]],Table1[[#Headers],[Niños]],""),"")</f>
        <v/>
      </c>
      <c r="R93" t="str">
        <f>IFERROR(IF(VLOOKUP(C93,Laudes!A:C,3,FALSE)=Table1[[#Headers],[Laudes]],Table1[[#Headers],[Laudes]],""),"")</f>
        <v/>
      </c>
      <c r="S93" t="str">
        <f>IFERROR(IF(VLOOKUP(C93,'Nuevo Testamento'!A:C,3,FALSE)=Table1[[#Headers],[Nuevo Testamento]],Table1[[#Headers],[Nuevo Testamento]],""),"")</f>
        <v/>
      </c>
      <c r="T93" t="str">
        <f>IFERROR(IF(VLOOKUP(C93,'Antiguo Testamento'!A:C,3,FALSE)=Table1[[#Headers],[Antiguo Testamento]],Table1[[#Headers],[Antiguo Testamento]],""),"")</f>
        <v/>
      </c>
      <c r="U93" t="str">
        <f>IFERROR(IF(VLOOKUP(C93,Final!A:C,3,FALSE)=Table1[[#Headers],[Final]],Table1[[#Headers],[Final]],""),"")</f>
        <v/>
      </c>
      <c r="V93" t="str" cm="1">
        <f t="array" ref="V9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/cantos/src/chtml/e/extiendomismanos.html</v>
      </c>
      <c r="W9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{id:91,title: "Extiendo mis manos", subtitle: "Oda XXVII de Salomón", category: "Precatecumenado", moments: ["Adviento","Navidad","Cuaresma","","","","","","Pan","","","","","",""], url: "/cantos/src/chtml/e/extiendomismanos.html"},</v>
      </c>
    </row>
    <row r="94" spans="1:23" x14ac:dyDescent="0.25">
      <c r="A94">
        <v>75</v>
      </c>
      <c r="B94" s="14">
        <v>92</v>
      </c>
      <c r="C94" t="s">
        <v>44</v>
      </c>
      <c r="D94" t="s">
        <v>381</v>
      </c>
      <c r="E94" t="str">
        <f>LOWER(LEFT(Table1[[#This Row],[Canto]],1))</f>
        <v>e</v>
      </c>
      <c r="F94" t="s">
        <v>288</v>
      </c>
      <c r="G94" t="str">
        <f>IFERROR(IF(VLOOKUP(C94,Adviento!A:C,3,FALSE)=Table1[[#Headers],[Adviento]],Table1[[#Headers],[Adviento]],""),"")</f>
        <v/>
      </c>
      <c r="H94" t="str">
        <f>IFERROR(IF(VLOOKUP(C94,Navidad!A:C,3,FALSE)=Table1[[#Headers],[Navidad]],Table1[[#Headers],[Navidad]],""),"")</f>
        <v/>
      </c>
      <c r="I94" t="str">
        <f>IFERROR(IF(VLOOKUP(C94,Cuaresma!A:C,3,FALSE)=Table1[[#Headers],[Cuaresma]],Table1[[#Headers],[Cuaresma]],""),"")</f>
        <v/>
      </c>
      <c r="J94" t="str">
        <f>IFERROR(IF(VLOOKUP(C94,Pascua!A:C,3,FALSE)=Table1[[#Headers],[Pascua]],Table1[[#Headers],[Pascua]],""),"")</f>
        <v>Pascua</v>
      </c>
      <c r="K94" t="str">
        <f>IFERROR(IF(VLOOKUP(C94,Pentecostés!A:C,3,FALSE)=Table1[[#Headers],[Pentecostés]],Table1[[#Headers],[Pentecostés]],""),"")</f>
        <v>Pentecostés</v>
      </c>
      <c r="L94" t="str">
        <f>IFERROR(IF(VLOOKUP(C94,Entrada!A:C,3,FALSE)=Table1[[#Headers],[Entrada]],Table1[[#Headers],[Entrada]],""),"")</f>
        <v>Entrada</v>
      </c>
      <c r="M94" t="str">
        <f>IFERROR(IF(VLOOKUP(C94,Virgen!A:C,3,FALSE)=Table1[[#Headers],[Virgen]],Table1[[#Headers],[Virgen]],""),"")</f>
        <v/>
      </c>
      <c r="N94" t="str">
        <f>IFERROR(IF(VLOOKUP(C94,Paz!A:C,3,FALSE)=Table1[[#Headers],[Paz]],Table1[[#Headers],[Paz]],""),"")</f>
        <v/>
      </c>
      <c r="O94" t="str">
        <f>IFERROR(IF(VLOOKUP(C94,Pan!A:C,3,FALSE)=Table1[[#Headers],[Pan]],Table1[[#Headers],[Pan]],""),"")</f>
        <v/>
      </c>
      <c r="P94" t="str">
        <f>IFERROR(IF(VLOOKUP(C94,Comunión!A:C,3,FALSE)=Table1[[#Headers],[Comunión]],Table1[[#Headers],[Comunión]],""),"")</f>
        <v>Comunión</v>
      </c>
      <c r="Q94" t="str">
        <f>IFERROR(IF(VLOOKUP(C94,Niños!A:C,3,FALSE)=Table1[[#Headers],[Niños]],Table1[[#Headers],[Niños]],""),"")</f>
        <v/>
      </c>
      <c r="R94" t="str">
        <f>IFERROR(IF(VLOOKUP(C94,Laudes!A:C,3,FALSE)=Table1[[#Headers],[Laudes]],Table1[[#Headers],[Laudes]],""),"")</f>
        <v/>
      </c>
      <c r="S94" t="str">
        <f>IFERROR(IF(VLOOKUP(C94,'Nuevo Testamento'!A:C,3,FALSE)=Table1[[#Headers],[Nuevo Testamento]],Table1[[#Headers],[Nuevo Testamento]],""),"")</f>
        <v/>
      </c>
      <c r="T94" t="str">
        <f>IFERROR(IF(VLOOKUP(C94,'Antiguo Testamento'!A:C,3,FALSE)=Table1[[#Headers],[Antiguo Testamento]],Table1[[#Headers],[Antiguo Testamento]],""),"")</f>
        <v>Antiguo Testamento</v>
      </c>
      <c r="U94" t="str">
        <f>IFERROR(IF(VLOOKUP(C94,Final!A:C,3,FALSE)=Table1[[#Headers],[Final]],Table1[[#Headers],[Final]],""),"")</f>
        <v/>
      </c>
      <c r="V94" t="str" cm="1">
        <f t="array" ref="V9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/cantos/src/chtml/e/exultadjustosenelsenor.html</v>
      </c>
      <c r="W9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{id:92,title: "Exultad, justos, en el Señor", subtitle: "Sal 33 (32)", category: "Precatecumenado", moments: ["","","","Pascua","Pentecostés","Entrada","","","","Comunión","","","","Antiguo Testamento",""], url: "/cantos/src/chtml/e/exultadjustosenelsenor.html"},</v>
      </c>
    </row>
    <row r="95" spans="1:23" x14ac:dyDescent="0.25">
      <c r="A95">
        <v>76</v>
      </c>
      <c r="B95" s="14">
        <v>93</v>
      </c>
      <c r="C95" t="s">
        <v>148</v>
      </c>
      <c r="D95" t="s">
        <v>382</v>
      </c>
      <c r="E95" t="str">
        <f>LOWER(LEFT(Table1[[#This Row],[Canto]],1))</f>
        <v>f</v>
      </c>
      <c r="F95" t="s">
        <v>288</v>
      </c>
      <c r="G95" t="str">
        <f>IFERROR(IF(VLOOKUP(C95,Adviento!A:C,3,FALSE)=Table1[[#Headers],[Adviento]],Table1[[#Headers],[Adviento]],""),"")</f>
        <v/>
      </c>
      <c r="H95" t="str">
        <f>IFERROR(IF(VLOOKUP(C95,Navidad!A:C,3,FALSE)=Table1[[#Headers],[Navidad]],Table1[[#Headers],[Navidad]],""),"")</f>
        <v/>
      </c>
      <c r="I95" t="str">
        <f>IFERROR(IF(VLOOKUP(C95,Cuaresma!A:C,3,FALSE)=Table1[[#Headers],[Cuaresma]],Table1[[#Headers],[Cuaresma]],""),"")</f>
        <v/>
      </c>
      <c r="J95" t="str">
        <f>IFERROR(IF(VLOOKUP(C95,Pascua!A:C,3,FALSE)=Table1[[#Headers],[Pascua]],Table1[[#Headers],[Pascua]],""),"")</f>
        <v/>
      </c>
      <c r="K95" t="str">
        <f>IFERROR(IF(VLOOKUP(C95,Pentecostés!A:C,3,FALSE)=Table1[[#Headers],[Pentecostés]],Table1[[#Headers],[Pentecostés]],""),"")</f>
        <v/>
      </c>
      <c r="L95" t="str">
        <f>IFERROR(IF(VLOOKUP(C95,Entrada!A:C,3,FALSE)=Table1[[#Headers],[Entrada]],Table1[[#Headers],[Entrada]],""),"")</f>
        <v/>
      </c>
      <c r="M95" t="str">
        <f>IFERROR(IF(VLOOKUP(C95,Virgen!A:C,3,FALSE)=Table1[[#Headers],[Virgen]],Table1[[#Headers],[Virgen]],""),"")</f>
        <v/>
      </c>
      <c r="N95" t="str">
        <f>IFERROR(IF(VLOOKUP(C95,Paz!A:C,3,FALSE)=Table1[[#Headers],[Paz]],Table1[[#Headers],[Paz]],""),"")</f>
        <v/>
      </c>
      <c r="O95" t="str">
        <f>IFERROR(IF(VLOOKUP(C95,Pan!A:C,3,FALSE)=Table1[[#Headers],[Pan]],Table1[[#Headers],[Pan]],""),"")</f>
        <v/>
      </c>
      <c r="P95" t="str">
        <f>IFERROR(IF(VLOOKUP(C95,Comunión!A:C,3,FALSE)=Table1[[#Headers],[Comunión]],Table1[[#Headers],[Comunión]],""),"")</f>
        <v/>
      </c>
      <c r="Q95" t="str">
        <f>IFERROR(IF(VLOOKUP(C95,Niños!A:C,3,FALSE)=Table1[[#Headers],[Niños]],Table1[[#Headers],[Niños]],""),"")</f>
        <v/>
      </c>
      <c r="R95" t="str">
        <f>IFERROR(IF(VLOOKUP(C95,Laudes!A:C,3,FALSE)=Table1[[#Headers],[Laudes]],Table1[[#Headers],[Laudes]],""),"")</f>
        <v/>
      </c>
      <c r="S95" t="str">
        <f>IFERROR(IF(VLOOKUP(C95,'Nuevo Testamento'!A:C,3,FALSE)=Table1[[#Headers],[Nuevo Testamento]],Table1[[#Headers],[Nuevo Testamento]],""),"")</f>
        <v/>
      </c>
      <c r="T95" t="str">
        <f>IFERROR(IF(VLOOKUP(C95,'Antiguo Testamento'!A:C,3,FALSE)=Table1[[#Headers],[Antiguo Testamento]],Table1[[#Headers],[Antiguo Testamento]],""),"")</f>
        <v>Antiguo Testamento</v>
      </c>
      <c r="U95" t="str">
        <f>IFERROR(IF(VLOOKUP(C95,Final!A:C,3,FALSE)=Table1[[#Headers],[Final]],Table1[[#Headers],[Final]],""),"")</f>
        <v/>
      </c>
      <c r="V95" t="str" cm="1">
        <f t="array" ref="V9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/cantos/src/chtml/f/felicidadparaelhombre.html</v>
      </c>
      <c r="W9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{id:93,title: "Felicidad para el hombre", subtitle: "Sal 128 (127)", category: "Precatecumenado", moments: ["","","","","","","","","","","","","","Antiguo Testamento",""], url: "/cantos/src/chtml/f/felicidadparaelhombre.html"},</v>
      </c>
    </row>
    <row r="96" spans="1:23" x14ac:dyDescent="0.25">
      <c r="A96">
        <v>188</v>
      </c>
      <c r="B96" s="14">
        <v>94</v>
      </c>
      <c r="C96" t="s">
        <v>149</v>
      </c>
      <c r="D96" t="s">
        <v>383</v>
      </c>
      <c r="E96" t="str">
        <f>LOWER(LEFT(Table1[[#This Row],[Canto]],1))</f>
        <v>g</v>
      </c>
      <c r="F96" s="12" t="s">
        <v>289</v>
      </c>
      <c r="G96" t="str">
        <f>IFERROR(IF(VLOOKUP(C96,Adviento!A:C,3,FALSE)=Table1[[#Headers],[Adviento]],Table1[[#Headers],[Adviento]],""),"")</f>
        <v/>
      </c>
      <c r="H96" t="str">
        <f>IFERROR(IF(VLOOKUP(C96,Navidad!A:C,3,FALSE)=Table1[[#Headers],[Navidad]],Table1[[#Headers],[Navidad]],""),"")</f>
        <v/>
      </c>
      <c r="I96" t="str">
        <f>IFERROR(IF(VLOOKUP(C96,Cuaresma!A:C,3,FALSE)=Table1[[#Headers],[Cuaresma]],Table1[[#Headers],[Cuaresma]],""),"")</f>
        <v/>
      </c>
      <c r="J96" t="str">
        <f>IFERROR(IF(VLOOKUP(C96,Pascua!A:C,3,FALSE)=Table1[[#Headers],[Pascua]],Table1[[#Headers],[Pascua]],""),"")</f>
        <v/>
      </c>
      <c r="K96" t="str">
        <f>IFERROR(IF(VLOOKUP(C96,Pentecostés!A:C,3,FALSE)=Table1[[#Headers],[Pentecostés]],Table1[[#Headers],[Pentecostés]],""),"")</f>
        <v/>
      </c>
      <c r="L96" t="str">
        <f>IFERROR(IF(VLOOKUP(C96,Entrada!A:C,3,FALSE)=Table1[[#Headers],[Entrada]],Table1[[#Headers],[Entrada]],""),"")</f>
        <v/>
      </c>
      <c r="M96" t="str">
        <f>IFERROR(IF(VLOOKUP(C96,Virgen!A:C,3,FALSE)=Table1[[#Headers],[Virgen]],Table1[[#Headers],[Virgen]],""),"")</f>
        <v/>
      </c>
      <c r="N96" t="str">
        <f>IFERROR(IF(VLOOKUP(C96,Paz!A:C,3,FALSE)=Table1[[#Headers],[Paz]],Table1[[#Headers],[Paz]],""),"")</f>
        <v/>
      </c>
      <c r="O96" t="str">
        <f>IFERROR(IF(VLOOKUP(C96,Pan!A:C,3,FALSE)=Table1[[#Headers],[Pan]],Table1[[#Headers],[Pan]],""),"")</f>
        <v/>
      </c>
      <c r="P96" t="str">
        <f>IFERROR(IF(VLOOKUP(C96,Comunión!A:C,3,FALSE)=Table1[[#Headers],[Comunión]],Table1[[#Headers],[Comunión]],""),"")</f>
        <v/>
      </c>
      <c r="Q96" t="str">
        <f>IFERROR(IF(VLOOKUP(C96,Niños!A:C,3,FALSE)=Table1[[#Headers],[Niños]],Table1[[#Headers],[Niños]],""),"")</f>
        <v/>
      </c>
      <c r="R96" t="str">
        <f>IFERROR(IF(VLOOKUP(C96,Laudes!A:C,3,FALSE)=Table1[[#Headers],[Laudes]],Table1[[#Headers],[Laudes]],""),"")</f>
        <v/>
      </c>
      <c r="S96" t="str">
        <f>IFERROR(IF(VLOOKUP(C96,'Nuevo Testamento'!A:C,3,FALSE)=Table1[[#Headers],[Nuevo Testamento]],Table1[[#Headers],[Nuevo Testamento]],""),"")</f>
        <v/>
      </c>
      <c r="T96" t="str">
        <f>IFERROR(IF(VLOOKUP(C96,'Antiguo Testamento'!A:C,3,FALSE)=Table1[[#Headers],[Antiguo Testamento]],Table1[[#Headers],[Antiguo Testamento]],""),"")</f>
        <v/>
      </c>
      <c r="U96" t="str">
        <f>IFERROR(IF(VLOOKUP(C96,Final!A:C,3,FALSE)=Table1[[#Headers],[Final]],Table1[[#Headers],[Final]],""),"")</f>
        <v/>
      </c>
      <c r="V96" t="str" cm="1">
        <f t="array" ref="V9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/cantos/src/chtml/g/gloriaadiosenloaltodelcielo.html</v>
      </c>
      <c r="W9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{id:94,title: "Gloria a Dios en lo alto del cielo", subtitle: "Himno Litúrgico", category: "Liturgia", moments: ["","","","","","","","","","","","","","",""], url: "/cantos/src/chtml/g/gloriaadiosenloaltodelcielo.html"},</v>
      </c>
    </row>
    <row r="97" spans="1:23" x14ac:dyDescent="0.25">
      <c r="A97">
        <v>77</v>
      </c>
      <c r="B97" s="14">
        <v>95</v>
      </c>
      <c r="C97" t="s">
        <v>150</v>
      </c>
      <c r="D97" t="s">
        <v>384</v>
      </c>
      <c r="E97" t="str">
        <f>LOWER(LEFT(Table1[[#This Row],[Canto]],1))</f>
        <v>g</v>
      </c>
      <c r="F97" t="s">
        <v>288</v>
      </c>
      <c r="G97" t="str">
        <f>IFERROR(IF(VLOOKUP(C97,Adviento!A:C,3,FALSE)=Table1[[#Headers],[Adviento]],Table1[[#Headers],[Adviento]],""),"")</f>
        <v/>
      </c>
      <c r="H97" t="str">
        <f>IFERROR(IF(VLOOKUP(C97,Navidad!A:C,3,FALSE)=Table1[[#Headers],[Navidad]],Table1[[#Headers],[Navidad]],""),"")</f>
        <v/>
      </c>
      <c r="I97" t="str">
        <f>IFERROR(IF(VLOOKUP(C97,Cuaresma!A:C,3,FALSE)=Table1[[#Headers],[Cuaresma]],Table1[[#Headers],[Cuaresma]],""),"")</f>
        <v/>
      </c>
      <c r="J97" t="str">
        <f>IFERROR(IF(VLOOKUP(C97,Pascua!A:C,3,FALSE)=Table1[[#Headers],[Pascua]],Table1[[#Headers],[Pascua]],""),"")</f>
        <v>Pascua</v>
      </c>
      <c r="K97" t="str">
        <f>IFERROR(IF(VLOOKUP(C97,Pentecostés!A:C,3,FALSE)=Table1[[#Headers],[Pentecostés]],Table1[[#Headers],[Pentecostés]],""),"")</f>
        <v>Pentecostés</v>
      </c>
      <c r="L97" t="str">
        <f>IFERROR(IF(VLOOKUP(C97,Entrada!A:C,3,FALSE)=Table1[[#Headers],[Entrada]],Table1[[#Headers],[Entrada]],""),"")</f>
        <v/>
      </c>
      <c r="M97" t="str">
        <f>IFERROR(IF(VLOOKUP(C97,Virgen!A:C,3,FALSE)=Table1[[#Headers],[Virgen]],Table1[[#Headers],[Virgen]],""),"")</f>
        <v/>
      </c>
      <c r="N97" t="str">
        <f>IFERROR(IF(VLOOKUP(C97,Paz!A:C,3,FALSE)=Table1[[#Headers],[Paz]],Table1[[#Headers],[Paz]],""),"")</f>
        <v>Paz</v>
      </c>
      <c r="O97" t="str">
        <f>IFERROR(IF(VLOOKUP(C97,Pan!A:C,3,FALSE)=Table1[[#Headers],[Pan]],Table1[[#Headers],[Pan]],""),"")</f>
        <v/>
      </c>
      <c r="P97" t="str">
        <f>IFERROR(IF(VLOOKUP(C97,Comunión!A:C,3,FALSE)=Table1[[#Headers],[Comunión]],Table1[[#Headers],[Comunión]],""),"")</f>
        <v>Comunión</v>
      </c>
      <c r="Q97" t="str">
        <f>IFERROR(IF(VLOOKUP(C97,Niños!A:C,3,FALSE)=Table1[[#Headers],[Niños]],Table1[[#Headers],[Niños]],""),"")</f>
        <v/>
      </c>
      <c r="R97" t="str">
        <f>IFERROR(IF(VLOOKUP(C97,Laudes!A:C,3,FALSE)=Table1[[#Headers],[Laudes]],Table1[[#Headers],[Laudes]],""),"")</f>
        <v/>
      </c>
      <c r="S97" t="str">
        <f>IFERROR(IF(VLOOKUP(C97,'Nuevo Testamento'!A:C,3,FALSE)=Table1[[#Headers],[Nuevo Testamento]],Table1[[#Headers],[Nuevo Testamento]],""),"")</f>
        <v/>
      </c>
      <c r="T97" t="str">
        <f>IFERROR(IF(VLOOKUP(C97,'Antiguo Testamento'!A:C,3,FALSE)=Table1[[#Headers],[Antiguo Testamento]],Table1[[#Headers],[Antiguo Testamento]],""),"")</f>
        <v>Antiguo Testamento</v>
      </c>
      <c r="U97" t="str">
        <f>IFERROR(IF(VLOOKUP(C97,Final!A:C,3,FALSE)=Table1[[#Headers],[Final]],Table1[[#Headers],[Final]],""),"")</f>
        <v>Final</v>
      </c>
      <c r="V97" t="str" cm="1">
        <f t="array" ref="V9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/cantos/src/chtml/g/graciasayahveh.html</v>
      </c>
      <c r="W9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{id:95,title: "Gracias a Yahveh", subtitle: "Sal 136 (135) - Melodía hebraica", category: "Precatecumenado", moments: ["","","","Pascua","Pentecostés","","","Paz","","Comunión","","","","Antiguo Testamento","Final"], url: "/cantos/src/chtml/g/graciasayahveh.html"},</v>
      </c>
    </row>
    <row r="98" spans="1:23" x14ac:dyDescent="0.25">
      <c r="A98">
        <v>78</v>
      </c>
      <c r="B98" s="14">
        <v>96</v>
      </c>
      <c r="C98" t="s">
        <v>151</v>
      </c>
      <c r="D98" t="s">
        <v>385</v>
      </c>
      <c r="E98" t="str">
        <f>LOWER(LEFT(Table1[[#This Row],[Canto]],1))</f>
        <v>g</v>
      </c>
      <c r="F98" t="s">
        <v>288</v>
      </c>
      <c r="G98" t="str">
        <f>IFERROR(IF(VLOOKUP(C98,Adviento!A:C,3,FALSE)=Table1[[#Headers],[Adviento]],Table1[[#Headers],[Adviento]],""),"")</f>
        <v/>
      </c>
      <c r="H98" t="str">
        <f>IFERROR(IF(VLOOKUP(C98,Navidad!A:C,3,FALSE)=Table1[[#Headers],[Navidad]],Table1[[#Headers],[Navidad]],""),"")</f>
        <v/>
      </c>
      <c r="I98" t="str">
        <f>IFERROR(IF(VLOOKUP(C98,Cuaresma!A:C,3,FALSE)=Table1[[#Headers],[Cuaresma]],Table1[[#Headers],[Cuaresma]],""),"")</f>
        <v/>
      </c>
      <c r="J98" t="str">
        <f>IFERROR(IF(VLOOKUP(C98,Pascua!A:C,3,FALSE)=Table1[[#Headers],[Pascua]],Table1[[#Headers],[Pascua]],""),"")</f>
        <v>Pascua</v>
      </c>
      <c r="K98" t="str">
        <f>IFERROR(IF(VLOOKUP(C98,Pentecostés!A:C,3,FALSE)=Table1[[#Headers],[Pentecostés]],Table1[[#Headers],[Pentecostés]],""),"")</f>
        <v>Pentecostés</v>
      </c>
      <c r="L98" t="str">
        <f>IFERROR(IF(VLOOKUP(C98,Entrada!A:C,3,FALSE)=Table1[[#Headers],[Entrada]],Table1[[#Headers],[Entrada]],""),"")</f>
        <v/>
      </c>
      <c r="M98" t="str">
        <f>IFERROR(IF(VLOOKUP(C98,Virgen!A:C,3,FALSE)=Table1[[#Headers],[Virgen]],Table1[[#Headers],[Virgen]],""),"")</f>
        <v/>
      </c>
      <c r="N98" t="str">
        <f>IFERROR(IF(VLOOKUP(C98,Paz!A:C,3,FALSE)=Table1[[#Headers],[Paz]],Table1[[#Headers],[Paz]],""),"")</f>
        <v/>
      </c>
      <c r="O98" t="str">
        <f>IFERROR(IF(VLOOKUP(C98,Pan!A:C,3,FALSE)=Table1[[#Headers],[Pan]],Table1[[#Headers],[Pan]],""),"")</f>
        <v/>
      </c>
      <c r="P98" t="str">
        <f>IFERROR(IF(VLOOKUP(C98,Comunión!A:C,3,FALSE)=Table1[[#Headers],[Comunión]],Table1[[#Headers],[Comunión]],""),"")</f>
        <v>Comunión</v>
      </c>
      <c r="Q98" t="str">
        <f>IFERROR(IF(VLOOKUP(C98,Niños!A:C,3,FALSE)=Table1[[#Headers],[Niños]],Table1[[#Headers],[Niños]],""),"")</f>
        <v/>
      </c>
      <c r="R98" t="str">
        <f>IFERROR(IF(VLOOKUP(C98,Laudes!A:C,3,FALSE)=Table1[[#Headers],[Laudes]],Table1[[#Headers],[Laudes]],""),"")</f>
        <v/>
      </c>
      <c r="S98" t="str">
        <f>IFERROR(IF(VLOOKUP(C98,'Nuevo Testamento'!A:C,3,FALSE)=Table1[[#Headers],[Nuevo Testamento]],Table1[[#Headers],[Nuevo Testamento]],""),"")</f>
        <v/>
      </c>
      <c r="T98" t="str">
        <f>IFERROR(IF(VLOOKUP(C98,'Antiguo Testamento'!A:C,3,FALSE)=Table1[[#Headers],[Antiguo Testamento]],Table1[[#Headers],[Antiguo Testamento]],""),"")</f>
        <v>Antiguo Testamento</v>
      </c>
      <c r="U98" t="str">
        <f>IFERROR(IF(VLOOKUP(C98,Final!A:C,3,FALSE)=Table1[[#Headers],[Final]],Table1[[#Headers],[Final]],""),"")</f>
        <v>Final</v>
      </c>
      <c r="V98" t="str" cm="1">
        <f t="array" ref="V9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/cantos/src/chtml/g/gritadjubilosos.html</v>
      </c>
      <c r="W9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{id:96,title: "Gritad jubilosos", subtitle: "Isaías 12,1ss", category: "Precatecumenado", moments: ["","","","Pascua","Pentecostés","","","","","Comunión","","","","Antiguo Testamento","Final"], url: "/cantos/src/chtml/g/gritadjubilosos.html"},</v>
      </c>
    </row>
    <row r="99" spans="1:23" x14ac:dyDescent="0.25">
      <c r="A99">
        <v>79</v>
      </c>
      <c r="B99" s="14">
        <v>97</v>
      </c>
      <c r="C99" t="s">
        <v>152</v>
      </c>
      <c r="D99" t="s">
        <v>386</v>
      </c>
      <c r="E99" t="str">
        <f>LOWER(LEFT(Table1[[#This Row],[Canto]],1))</f>
        <v>h</v>
      </c>
      <c r="F99" t="s">
        <v>288</v>
      </c>
      <c r="G99" t="str">
        <f>IFERROR(IF(VLOOKUP(C99,Adviento!A:C,3,FALSE)=Table1[[#Headers],[Adviento]],Table1[[#Headers],[Adviento]],""),"")</f>
        <v/>
      </c>
      <c r="H99" t="str">
        <f>IFERROR(IF(VLOOKUP(C99,Navidad!A:C,3,FALSE)=Table1[[#Headers],[Navidad]],Table1[[#Headers],[Navidad]],""),"")</f>
        <v/>
      </c>
      <c r="I99" t="str">
        <f>IFERROR(IF(VLOOKUP(C99,Cuaresma!A:C,3,FALSE)=Table1[[#Headers],[Cuaresma]],Table1[[#Headers],[Cuaresma]],""),"")</f>
        <v/>
      </c>
      <c r="J99" t="str">
        <f>IFERROR(IF(VLOOKUP(C99,Pascua!A:C,3,FALSE)=Table1[[#Headers],[Pascua]],Table1[[#Headers],[Pascua]],""),"")</f>
        <v/>
      </c>
      <c r="K99" t="str">
        <f>IFERROR(IF(VLOOKUP(C99,Pentecostés!A:C,3,FALSE)=Table1[[#Headers],[Pentecostés]],Table1[[#Headers],[Pentecostés]],""),"")</f>
        <v/>
      </c>
      <c r="L99" t="str">
        <f>IFERROR(IF(VLOOKUP(C99,Entrada!A:C,3,FALSE)=Table1[[#Headers],[Entrada]],Table1[[#Headers],[Entrada]],""),"")</f>
        <v>Entrada</v>
      </c>
      <c r="M99" t="str">
        <f>IFERROR(IF(VLOOKUP(C99,Virgen!A:C,3,FALSE)=Table1[[#Headers],[Virgen]],Table1[[#Headers],[Virgen]],""),"")</f>
        <v/>
      </c>
      <c r="N99" t="str">
        <f>IFERROR(IF(VLOOKUP(C99,Paz!A:C,3,FALSE)=Table1[[#Headers],[Paz]],Table1[[#Headers],[Paz]],""),"")</f>
        <v/>
      </c>
      <c r="O99" t="str">
        <f>IFERROR(IF(VLOOKUP(C99,Pan!A:C,3,FALSE)=Table1[[#Headers],[Pan]],Table1[[#Headers],[Pan]],""),"")</f>
        <v/>
      </c>
      <c r="P99" t="str">
        <f>IFERROR(IF(VLOOKUP(C99,Comunión!A:C,3,FALSE)=Table1[[#Headers],[Comunión]],Table1[[#Headers],[Comunión]],""),"")</f>
        <v/>
      </c>
      <c r="Q99" t="str">
        <f>IFERROR(IF(VLOOKUP(C99,Niños!A:C,3,FALSE)=Table1[[#Headers],[Niños]],Table1[[#Headers],[Niños]],""),"")</f>
        <v/>
      </c>
      <c r="R99" t="str">
        <f>IFERROR(IF(VLOOKUP(C99,Laudes!A:C,3,FALSE)=Table1[[#Headers],[Laudes]],Table1[[#Headers],[Laudes]],""),"")</f>
        <v/>
      </c>
      <c r="S99" t="str">
        <f>IFERROR(IF(VLOOKUP(C99,'Nuevo Testamento'!A:C,3,FALSE)=Table1[[#Headers],[Nuevo Testamento]],Table1[[#Headers],[Nuevo Testamento]],""),"")</f>
        <v/>
      </c>
      <c r="T99" t="str">
        <f>IFERROR(IF(VLOOKUP(C99,'Antiguo Testamento'!A:C,3,FALSE)=Table1[[#Headers],[Antiguo Testamento]],Table1[[#Headers],[Antiguo Testamento]],""),"")</f>
        <v/>
      </c>
      <c r="U99" t="str">
        <f>IFERROR(IF(VLOOKUP(C99,Final!A:C,3,FALSE)=Table1[[#Headers],[Final]],Table1[[#Headers],[Final]],""),"")</f>
        <v/>
      </c>
      <c r="V99" t="str" cm="1">
        <f t="array" ref="V9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/cantos/src/chtml/h/haciatimoradasanta.html</v>
      </c>
      <c r="W9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{id:97,title: "Hacia ti, morada santa", subtitle: "Himno procesional eucarístico (Kiko Argüello)", category: "Precatecumenado", moments: ["","","","","","Entrada","","","","","","","","",""], url: "/cantos/src/chtml/h/haciatimoradasanta.html"},</v>
      </c>
    </row>
    <row r="100" spans="1:23" x14ac:dyDescent="0.25">
      <c r="A100">
        <v>80</v>
      </c>
      <c r="B100" s="14">
        <v>98</v>
      </c>
      <c r="C100" t="s">
        <v>153</v>
      </c>
      <c r="D100" t="s">
        <v>387</v>
      </c>
      <c r="E100" t="str">
        <f>LOWER(LEFT(Table1[[#This Row],[Canto]],1))</f>
        <v>h</v>
      </c>
      <c r="F100" t="s">
        <v>288</v>
      </c>
      <c r="G100" t="str">
        <f>IFERROR(IF(VLOOKUP(C100,Adviento!A:C,3,FALSE)=Table1[[#Headers],[Adviento]],Table1[[#Headers],[Adviento]],""),"")</f>
        <v/>
      </c>
      <c r="H100" t="str">
        <f>IFERROR(IF(VLOOKUP(C100,Navidad!A:C,3,FALSE)=Table1[[#Headers],[Navidad]],Table1[[#Headers],[Navidad]],""),"")</f>
        <v/>
      </c>
      <c r="I100" t="str">
        <f>IFERROR(IF(VLOOKUP(C100,Cuaresma!A:C,3,FALSE)=Table1[[#Headers],[Cuaresma]],Table1[[#Headers],[Cuaresma]],""),"")</f>
        <v>Cuaresma</v>
      </c>
      <c r="J100" t="str">
        <f>IFERROR(IF(VLOOKUP(C100,Pascua!A:C,3,FALSE)=Table1[[#Headers],[Pascua]],Table1[[#Headers],[Pascua]],""),"")</f>
        <v/>
      </c>
      <c r="K100" t="str">
        <f>IFERROR(IF(VLOOKUP(C100,Pentecostés!A:C,3,FALSE)=Table1[[#Headers],[Pentecostés]],Table1[[#Headers],[Pentecostés]],""),"")</f>
        <v/>
      </c>
      <c r="L100" t="str">
        <f>IFERROR(IF(VLOOKUP(C100,Entrada!A:C,3,FALSE)=Table1[[#Headers],[Entrada]],Table1[[#Headers],[Entrada]],""),"")</f>
        <v/>
      </c>
      <c r="M100" t="str">
        <f>IFERROR(IF(VLOOKUP(C100,Virgen!A:C,3,FALSE)=Table1[[#Headers],[Virgen]],Table1[[#Headers],[Virgen]],""),"")</f>
        <v/>
      </c>
      <c r="N100" t="str">
        <f>IFERROR(IF(VLOOKUP(C100,Paz!A:C,3,FALSE)=Table1[[#Headers],[Paz]],Table1[[#Headers],[Paz]],""),"")</f>
        <v/>
      </c>
      <c r="O100" t="str">
        <f>IFERROR(IF(VLOOKUP(C100,Pan!A:C,3,FALSE)=Table1[[#Headers],[Pan]],Table1[[#Headers],[Pan]],""),"")</f>
        <v/>
      </c>
      <c r="P100" t="str">
        <f>IFERROR(IF(VLOOKUP(C100,Comunión!A:C,3,FALSE)=Table1[[#Headers],[Comunión]],Table1[[#Headers],[Comunión]],""),"")</f>
        <v/>
      </c>
      <c r="Q100" t="str">
        <f>IFERROR(IF(VLOOKUP(C100,Niños!A:C,3,FALSE)=Table1[[#Headers],[Niños]],Table1[[#Headers],[Niños]],""),"")</f>
        <v/>
      </c>
      <c r="R100" t="str">
        <f>IFERROR(IF(VLOOKUP(C100,Laudes!A:C,3,FALSE)=Table1[[#Headers],[Laudes]],Table1[[#Headers],[Laudes]],""),"")</f>
        <v/>
      </c>
      <c r="S100" t="str">
        <f>IFERROR(IF(VLOOKUP(C100,'Nuevo Testamento'!A:C,3,FALSE)=Table1[[#Headers],[Nuevo Testamento]],Table1[[#Headers],[Nuevo Testamento]],""),"")</f>
        <v/>
      </c>
      <c r="T100" t="str">
        <f>IFERROR(IF(VLOOKUP(C100,'Antiguo Testamento'!A:C,3,FALSE)=Table1[[#Headers],[Antiguo Testamento]],Table1[[#Headers],[Antiguo Testamento]],""),"")</f>
        <v>Antiguo Testamento</v>
      </c>
      <c r="U100" t="str">
        <f>IFERROR(IF(VLOOKUP(C100,Final!A:C,3,FALSE)=Table1[[#Headers],[Final]],Table1[[#Headers],[Final]],""),"")</f>
        <v/>
      </c>
      <c r="V100" t="str" cm="1">
        <f t="array" ref="V10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/cantos/src/chtml/h/hastacuando.html</v>
      </c>
      <c r="W10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{id:98,title: "Hasta cuándo", subtitle: "Sal 13 (12)", category: "Precatecumenado", moments: ["","","Cuaresma","","","","","","","","","","","Antiguo Testamento",""], url: "/cantos/src/chtml/h/hastacuando.html"},</v>
      </c>
    </row>
    <row r="101" spans="1:23" x14ac:dyDescent="0.25">
      <c r="A101">
        <v>81</v>
      </c>
      <c r="B101" s="14">
        <v>99</v>
      </c>
      <c r="C101" t="s">
        <v>154</v>
      </c>
      <c r="D101" t="s">
        <v>388</v>
      </c>
      <c r="E101" t="str">
        <f>LOWER(LEFT(Table1[[#This Row],[Canto]],1))</f>
        <v>h</v>
      </c>
      <c r="F101" t="s">
        <v>288</v>
      </c>
      <c r="G101" t="str">
        <f>IFERROR(IF(VLOOKUP(C101,Adviento!A:C,3,FALSE)=Table1[[#Headers],[Adviento]],Table1[[#Headers],[Adviento]],""),"")</f>
        <v/>
      </c>
      <c r="H101" t="str">
        <f>IFERROR(IF(VLOOKUP(C101,Navidad!A:C,3,FALSE)=Table1[[#Headers],[Navidad]],Table1[[#Headers],[Navidad]],""),"")</f>
        <v/>
      </c>
      <c r="I101" t="str">
        <f>IFERROR(IF(VLOOKUP(C101,Cuaresma!A:C,3,FALSE)=Table1[[#Headers],[Cuaresma]],Table1[[#Headers],[Cuaresma]],""),"")</f>
        <v>Cuaresma</v>
      </c>
      <c r="J101" t="str">
        <f>IFERROR(IF(VLOOKUP(C101,Pascua!A:C,3,FALSE)=Table1[[#Headers],[Pascua]],Table1[[#Headers],[Pascua]],""),"")</f>
        <v/>
      </c>
      <c r="K101" t="str">
        <f>IFERROR(IF(VLOOKUP(C101,Pentecostés!A:C,3,FALSE)=Table1[[#Headers],[Pentecostés]],Table1[[#Headers],[Pentecostés]],""),"")</f>
        <v/>
      </c>
      <c r="L101" t="str">
        <f>IFERROR(IF(VLOOKUP(C101,Entrada!A:C,3,FALSE)=Table1[[#Headers],[Entrada]],Table1[[#Headers],[Entrada]],""),"")</f>
        <v/>
      </c>
      <c r="M101" t="str">
        <f>IFERROR(IF(VLOOKUP(C101,Virgen!A:C,3,FALSE)=Table1[[#Headers],[Virgen]],Table1[[#Headers],[Virgen]],""),"")</f>
        <v/>
      </c>
      <c r="N101" t="str">
        <f>IFERROR(IF(VLOOKUP(C101,Paz!A:C,3,FALSE)=Table1[[#Headers],[Paz]],Table1[[#Headers],[Paz]],""),"")</f>
        <v/>
      </c>
      <c r="O101" t="str">
        <f>IFERROR(IF(VLOOKUP(C101,Pan!A:C,3,FALSE)=Table1[[#Headers],[Pan]],Table1[[#Headers],[Pan]],""),"")</f>
        <v>Pan</v>
      </c>
      <c r="P101" t="str">
        <f>IFERROR(IF(VLOOKUP(C101,Comunión!A:C,3,FALSE)=Table1[[#Headers],[Comunión]],Table1[[#Headers],[Comunión]],""),"")</f>
        <v/>
      </c>
      <c r="Q101" t="str">
        <f>IFERROR(IF(VLOOKUP(C101,Niños!A:C,3,FALSE)=Table1[[#Headers],[Niños]],Table1[[#Headers],[Niños]],""),"")</f>
        <v/>
      </c>
      <c r="R101" t="str">
        <f>IFERROR(IF(VLOOKUP(C101,Laudes!A:C,3,FALSE)=Table1[[#Headers],[Laudes]],Table1[[#Headers],[Laudes]],""),"")</f>
        <v/>
      </c>
      <c r="S101" t="str">
        <f>IFERROR(IF(VLOOKUP(C101,'Nuevo Testamento'!A:C,3,FALSE)=Table1[[#Headers],[Nuevo Testamento]],Table1[[#Headers],[Nuevo Testamento]],""),"")</f>
        <v/>
      </c>
      <c r="T101" t="str">
        <f>IFERROR(IF(VLOOKUP(C101,'Antiguo Testamento'!A:C,3,FALSE)=Table1[[#Headers],[Antiguo Testamento]],Table1[[#Headers],[Antiguo Testamento]],""),"")</f>
        <v>Antiguo Testamento</v>
      </c>
      <c r="U101" t="str">
        <f>IFERROR(IF(VLOOKUP(C101,Final!A:C,3,FALSE)=Table1[[#Headers],[Final]],Table1[[#Headers],[Final]],""),"")</f>
        <v/>
      </c>
      <c r="V101" t="str" cm="1">
        <f t="array" ref="V10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/cantos/src/chtml/h/heaquimisiervo.html</v>
      </c>
      <c r="W10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{id:99,title: "He aquí mi siervo", subtitle: "Isaías 42,1-4; Mateo 12,18-21 - Primer canto de Siervo de Yahveh", category: "Precatecumenado", moments: ["","","Cuaresma","","","","","","Pan","","","","","Antiguo Testamento",""], url: "/cantos/src/chtml/h/heaquimisiervo.html"},</v>
      </c>
    </row>
    <row r="102" spans="1:23" x14ac:dyDescent="0.25">
      <c r="A102">
        <v>226</v>
      </c>
      <c r="B102" s="14">
        <v>100</v>
      </c>
      <c r="C102" t="s">
        <v>45</v>
      </c>
      <c r="D102" t="s">
        <v>389</v>
      </c>
      <c r="E102" t="str">
        <f>LOWER(LEFT(Table1[[#This Row],[Canto]],1))</f>
        <v>h</v>
      </c>
      <c r="F102" s="13" t="s">
        <v>290</v>
      </c>
      <c r="G102" t="str">
        <f>IFERROR(IF(VLOOKUP(C102,Adviento!A:C,3,FALSE)=Table1[[#Headers],[Adviento]],Table1[[#Headers],[Adviento]],""),"")</f>
        <v/>
      </c>
      <c r="H102" t="str">
        <f>IFERROR(IF(VLOOKUP(C102,Navidad!A:C,3,FALSE)=Table1[[#Headers],[Navidad]],Table1[[#Headers],[Navidad]],""),"")</f>
        <v/>
      </c>
      <c r="I102" t="str">
        <f>IFERROR(IF(VLOOKUP(C102,Cuaresma!A:C,3,FALSE)=Table1[[#Headers],[Cuaresma]],Table1[[#Headers],[Cuaresma]],""),"")</f>
        <v>Cuaresma</v>
      </c>
      <c r="J102" t="str">
        <f>IFERROR(IF(VLOOKUP(C102,Pascua!A:C,3,FALSE)=Table1[[#Headers],[Pascua]],Table1[[#Headers],[Pascua]],""),"")</f>
        <v/>
      </c>
      <c r="K102" t="str">
        <f>IFERROR(IF(VLOOKUP(C102,Pentecostés!A:C,3,FALSE)=Table1[[#Headers],[Pentecostés]],Table1[[#Headers],[Pentecostés]],""),"")</f>
        <v/>
      </c>
      <c r="L102" t="str">
        <f>IFERROR(IF(VLOOKUP(C102,Entrada!A:C,3,FALSE)=Table1[[#Headers],[Entrada]],Table1[[#Headers],[Entrada]],""),"")</f>
        <v/>
      </c>
      <c r="M102" t="str">
        <f>IFERROR(IF(VLOOKUP(C102,Virgen!A:C,3,FALSE)=Table1[[#Headers],[Virgen]],Table1[[#Headers],[Virgen]],""),"")</f>
        <v/>
      </c>
      <c r="N102" t="str">
        <f>IFERROR(IF(VLOOKUP(C102,Paz!A:C,3,FALSE)=Table1[[#Headers],[Paz]],Table1[[#Headers],[Paz]],""),"")</f>
        <v/>
      </c>
      <c r="O102" t="str">
        <f>IFERROR(IF(VLOOKUP(C102,Pan!A:C,3,FALSE)=Table1[[#Headers],[Pan]],Table1[[#Headers],[Pan]],""),"")</f>
        <v/>
      </c>
      <c r="P102" t="str">
        <f>IFERROR(IF(VLOOKUP(C102,Comunión!A:C,3,FALSE)=Table1[[#Headers],[Comunión]],Table1[[#Headers],[Comunión]],""),"")</f>
        <v/>
      </c>
      <c r="Q102" t="str">
        <f>IFERROR(IF(VLOOKUP(C102,Niños!A:C,3,FALSE)=Table1[[#Headers],[Niños]],Table1[[#Headers],[Niños]],""),"")</f>
        <v/>
      </c>
      <c r="R102" t="str">
        <f>IFERROR(IF(VLOOKUP(C102,Laudes!A:C,3,FALSE)=Table1[[#Headers],[Laudes]],Table1[[#Headers],[Laudes]],""),"")</f>
        <v>Laudes</v>
      </c>
      <c r="S102" t="str">
        <f>IFERROR(IF(VLOOKUP(C102,'Nuevo Testamento'!A:C,3,FALSE)=Table1[[#Headers],[Nuevo Testamento]],Table1[[#Headers],[Nuevo Testamento]],""),"")</f>
        <v/>
      </c>
      <c r="T102" t="str">
        <f>IFERROR(IF(VLOOKUP(C102,'Antiguo Testamento'!A:C,3,FALSE)=Table1[[#Headers],[Antiguo Testamento]],Table1[[#Headers],[Antiguo Testamento]],""),"")</f>
        <v/>
      </c>
      <c r="U102" t="str">
        <f>IFERROR(IF(VLOOKUP(C102,Final!A:C,3,FALSE)=Table1[[#Headers],[Final]],Table1[[#Headers],[Final]],""),"")</f>
        <v/>
      </c>
      <c r="V102" t="str" cm="1">
        <f t="array" ref="V10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/cantos/src/chtml/h/heaquiquenuestroespejoeselsenor.html</v>
      </c>
      <c r="W10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{id:100,title: "He aquí que nuestro espejo es el Señor", subtitle: "Oda XIII de Salomón", category: "Catecumenado", moments: ["","","Cuaresma","","","","","","","","","Laudes","","",""], url: "/cantos/src/chtml/h/heaquiquenuestroespejoeselsenor.html"},</v>
      </c>
    </row>
    <row r="103" spans="1:23" x14ac:dyDescent="0.25">
      <c r="A103">
        <v>82</v>
      </c>
      <c r="B103" s="14">
        <v>101</v>
      </c>
      <c r="C103" t="s">
        <v>155</v>
      </c>
      <c r="D103" t="s">
        <v>390</v>
      </c>
      <c r="E103" t="str">
        <f>LOWER(LEFT(Table1[[#This Row],[Canto]],1))</f>
        <v>h</v>
      </c>
      <c r="F103" t="s">
        <v>288</v>
      </c>
      <c r="G103" t="str">
        <f>IFERROR(IF(VLOOKUP(C103,Adviento!A:C,3,FALSE)=Table1[[#Headers],[Adviento]],Table1[[#Headers],[Adviento]],""),"")</f>
        <v>Adviento</v>
      </c>
      <c r="H103" t="str">
        <f>IFERROR(IF(VLOOKUP(C103,Navidad!A:C,3,FALSE)=Table1[[#Headers],[Navidad]],Table1[[#Headers],[Navidad]],""),"")</f>
        <v>Navidad</v>
      </c>
      <c r="I103" t="str">
        <f>IFERROR(IF(VLOOKUP(C103,Cuaresma!A:C,3,FALSE)=Table1[[#Headers],[Cuaresma]],Table1[[#Headers],[Cuaresma]],""),"")</f>
        <v/>
      </c>
      <c r="J103" t="str">
        <f>IFERROR(IF(VLOOKUP(C103,Pascua!A:C,3,FALSE)=Table1[[#Headers],[Pascua]],Table1[[#Headers],[Pascua]],""),"")</f>
        <v/>
      </c>
      <c r="K103" t="str">
        <f>IFERROR(IF(VLOOKUP(C103,Pentecostés!A:C,3,FALSE)=Table1[[#Headers],[Pentecostés]],Table1[[#Headers],[Pentecostés]],""),"")</f>
        <v/>
      </c>
      <c r="L103" t="str">
        <f>IFERROR(IF(VLOOKUP(C103,Entrada!A:C,3,FALSE)=Table1[[#Headers],[Entrada]],Table1[[#Headers],[Entrada]],""),"")</f>
        <v>Entrada</v>
      </c>
      <c r="M103" t="str">
        <f>IFERROR(IF(VLOOKUP(C103,Virgen!A:C,3,FALSE)=Table1[[#Headers],[Virgen]],Table1[[#Headers],[Virgen]],""),"")</f>
        <v/>
      </c>
      <c r="N103" t="str">
        <f>IFERROR(IF(VLOOKUP(C103,Paz!A:C,3,FALSE)=Table1[[#Headers],[Paz]],Table1[[#Headers],[Paz]],""),"")</f>
        <v/>
      </c>
      <c r="O103" t="str">
        <f>IFERROR(IF(VLOOKUP(C103,Pan!A:C,3,FALSE)=Table1[[#Headers],[Pan]],Table1[[#Headers],[Pan]],""),"")</f>
        <v/>
      </c>
      <c r="P103" t="str">
        <f>IFERROR(IF(VLOOKUP(C103,Comunión!A:C,3,FALSE)=Table1[[#Headers],[Comunión]],Table1[[#Headers],[Comunión]],""),"")</f>
        <v/>
      </c>
      <c r="Q103" t="str">
        <f>IFERROR(IF(VLOOKUP(C103,Niños!A:C,3,FALSE)=Table1[[#Headers],[Niños]],Table1[[#Headers],[Niños]],""),"")</f>
        <v/>
      </c>
      <c r="R103" t="str">
        <f>IFERROR(IF(VLOOKUP(C103,Laudes!A:C,3,FALSE)=Table1[[#Headers],[Laudes]],Table1[[#Headers],[Laudes]],""),"")</f>
        <v/>
      </c>
      <c r="S103" t="str">
        <f>IFERROR(IF(VLOOKUP(C103,'Nuevo Testamento'!A:C,3,FALSE)=Table1[[#Headers],[Nuevo Testamento]],Table1[[#Headers],[Nuevo Testamento]],""),"")</f>
        <v>Nuevo Testamento</v>
      </c>
      <c r="T103" t="str">
        <f>IFERROR(IF(VLOOKUP(C103,'Antiguo Testamento'!A:C,3,FALSE)=Table1[[#Headers],[Antiguo Testamento]],Table1[[#Headers],[Antiguo Testamento]],""),"")</f>
        <v/>
      </c>
      <c r="U103" t="str">
        <f>IFERROR(IF(VLOOKUP(C103,Final!A:C,3,FALSE)=Table1[[#Headers],[Final]],Table1[[#Headers],[Final]],""),"")</f>
        <v/>
      </c>
      <c r="V103" t="str" cm="1">
        <f t="array" ref="V10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/cantos/src/chtml/h/heaquiquevengopresto.html</v>
      </c>
      <c r="W10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{id:101,title: "He aquí que vengo presto", subtitle: "Apocalipsis 22,12-16", category: "Precatecumenado", moments: ["Adviento","Navidad","","","","Entrada","","","","","","","Nuevo Testamento","",""], url: "/cantos/src/chtml/h/heaquiquevengopresto.html"},</v>
      </c>
    </row>
    <row r="104" spans="1:23" x14ac:dyDescent="0.25">
      <c r="A104">
        <v>83</v>
      </c>
      <c r="B104" s="14">
        <v>102</v>
      </c>
      <c r="C104" t="s">
        <v>46</v>
      </c>
      <c r="D104" t="s">
        <v>391</v>
      </c>
      <c r="E104" t="str">
        <f>LOWER(LEFT(Table1[[#This Row],[Canto]],1))</f>
        <v>h</v>
      </c>
      <c r="F104" t="s">
        <v>288</v>
      </c>
      <c r="G104" t="str">
        <f>IFERROR(IF(VLOOKUP(C104,Adviento!A:C,3,FALSE)=Table1[[#Headers],[Adviento]],Table1[[#Headers],[Adviento]],""),"")</f>
        <v/>
      </c>
      <c r="H104" t="str">
        <f>IFERROR(IF(VLOOKUP(C104,Navidad!A:C,3,FALSE)=Table1[[#Headers],[Navidad]],Table1[[#Headers],[Navidad]],""),"")</f>
        <v/>
      </c>
      <c r="I104" t="str">
        <f>IFERROR(IF(VLOOKUP(C104,Cuaresma!A:C,3,FALSE)=Table1[[#Headers],[Cuaresma]],Table1[[#Headers],[Cuaresma]],""),"")</f>
        <v>Cuaresma</v>
      </c>
      <c r="J104" t="str">
        <f>IFERROR(IF(VLOOKUP(C104,Pascua!A:C,3,FALSE)=Table1[[#Headers],[Pascua]],Table1[[#Headers],[Pascua]],""),"")</f>
        <v/>
      </c>
      <c r="K104" t="str">
        <f>IFERROR(IF(VLOOKUP(C104,Pentecostés!A:C,3,FALSE)=Table1[[#Headers],[Pentecostés]],Table1[[#Headers],[Pentecostés]],""),"")</f>
        <v/>
      </c>
      <c r="L104" t="str">
        <f>IFERROR(IF(VLOOKUP(C104,Entrada!A:C,3,FALSE)=Table1[[#Headers],[Entrada]],Table1[[#Headers],[Entrada]],""),"")</f>
        <v/>
      </c>
      <c r="M104" t="str">
        <f>IFERROR(IF(VLOOKUP(C104,Virgen!A:C,3,FALSE)=Table1[[#Headers],[Virgen]],Table1[[#Headers],[Virgen]],""),"")</f>
        <v/>
      </c>
      <c r="N104" t="str">
        <f>IFERROR(IF(VLOOKUP(C104,Paz!A:C,3,FALSE)=Table1[[#Headers],[Paz]],Table1[[#Headers],[Paz]],""),"")</f>
        <v/>
      </c>
      <c r="O104" t="str">
        <f>IFERROR(IF(VLOOKUP(C104,Pan!A:C,3,FALSE)=Table1[[#Headers],[Pan]],Table1[[#Headers],[Pan]],""),"")</f>
        <v/>
      </c>
      <c r="P104" t="str">
        <f>IFERROR(IF(VLOOKUP(C104,Comunión!A:C,3,FALSE)=Table1[[#Headers],[Comunión]],Table1[[#Headers],[Comunión]],""),"")</f>
        <v/>
      </c>
      <c r="Q104" t="str">
        <f>IFERROR(IF(VLOOKUP(C104,Niños!A:C,3,FALSE)=Table1[[#Headers],[Niños]],Table1[[#Headers],[Niños]],""),"")</f>
        <v/>
      </c>
      <c r="R104" t="str">
        <f>IFERROR(IF(VLOOKUP(C104,Laudes!A:C,3,FALSE)=Table1[[#Headers],[Laudes]],Table1[[#Headers],[Laudes]],""),"")</f>
        <v/>
      </c>
      <c r="S104" t="str">
        <f>IFERROR(IF(VLOOKUP(C104,'Nuevo Testamento'!A:C,3,FALSE)=Table1[[#Headers],[Nuevo Testamento]],Table1[[#Headers],[Nuevo Testamento]],""),"")</f>
        <v/>
      </c>
      <c r="T104" t="str">
        <f>IFERROR(IF(VLOOKUP(C104,'Antiguo Testamento'!A:C,3,FALSE)=Table1[[#Headers],[Antiguo Testamento]],Table1[[#Headers],[Antiguo Testamento]],""),"")</f>
        <v>Antiguo Testamento</v>
      </c>
      <c r="U104" t="str">
        <f>IFERROR(IF(VLOOKUP(C104,Final!A:C,3,FALSE)=Table1[[#Headers],[Final]],Table1[[#Headers],[Final]],""),"")</f>
        <v/>
      </c>
      <c r="V104" t="str" cm="1">
        <f t="array" ref="V10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/cantos/src/chtml/h/heesperadoenelsenor.html</v>
      </c>
      <c r="W10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{id:102,title: "He esperado en el Señor", subtitle: "Salmo 40 (39)", category: "Precatecumenado", moments: ["","","Cuaresma","","","","","","","","","","","Antiguo Testamento",""], url: "/cantos/src/chtml/h/heesperadoenelsenor.html"},</v>
      </c>
    </row>
    <row r="105" spans="1:23" x14ac:dyDescent="0.25">
      <c r="A105">
        <v>241</v>
      </c>
      <c r="B105" s="14">
        <v>103</v>
      </c>
      <c r="C105" t="s">
        <v>156</v>
      </c>
      <c r="D105" t="s">
        <v>392</v>
      </c>
      <c r="E105" t="str">
        <f>LOWER(LEFT(Table1[[#This Row],[Canto]],1))</f>
        <v>h</v>
      </c>
      <c r="F105" s="11" t="s">
        <v>287</v>
      </c>
      <c r="G105" t="str">
        <f>IFERROR(IF(VLOOKUP(C105,Adviento!A:C,3,FALSE)=Table1[[#Headers],[Adviento]],Table1[[#Headers],[Adviento]],""),"")</f>
        <v/>
      </c>
      <c r="H105" t="str">
        <f>IFERROR(IF(VLOOKUP(C105,Navidad!A:C,3,FALSE)=Table1[[#Headers],[Navidad]],Table1[[#Headers],[Navidad]],""),"")</f>
        <v/>
      </c>
      <c r="I105" t="str">
        <f>IFERROR(IF(VLOOKUP(C105,Cuaresma!A:C,3,FALSE)=Table1[[#Headers],[Cuaresma]],Table1[[#Headers],[Cuaresma]],""),"")</f>
        <v/>
      </c>
      <c r="J105" t="str">
        <f>IFERROR(IF(VLOOKUP(C105,Pascua!A:C,3,FALSE)=Table1[[#Headers],[Pascua]],Table1[[#Headers],[Pascua]],""),"")</f>
        <v>Pascua</v>
      </c>
      <c r="K105" t="str">
        <f>IFERROR(IF(VLOOKUP(C105,Pentecostés!A:C,3,FALSE)=Table1[[#Headers],[Pentecostés]],Table1[[#Headers],[Pentecostés]],""),"")</f>
        <v>Pentecostés</v>
      </c>
      <c r="L105" t="str">
        <f>IFERROR(IF(VLOOKUP(C105,Entrada!A:C,3,FALSE)=Table1[[#Headers],[Entrada]],Table1[[#Headers],[Entrada]],""),"")</f>
        <v/>
      </c>
      <c r="M105" t="str">
        <f>IFERROR(IF(VLOOKUP(C105,Virgen!A:C,3,FALSE)=Table1[[#Headers],[Virgen]],Table1[[#Headers],[Virgen]],""),"")</f>
        <v/>
      </c>
      <c r="N105" t="str">
        <f>IFERROR(IF(VLOOKUP(C105,Paz!A:C,3,FALSE)=Table1[[#Headers],[Paz]],Table1[[#Headers],[Paz]],""),"")</f>
        <v/>
      </c>
      <c r="O105" t="str">
        <f>IFERROR(IF(VLOOKUP(C105,Pan!A:C,3,FALSE)=Table1[[#Headers],[Pan]],Table1[[#Headers],[Pan]],""),"")</f>
        <v/>
      </c>
      <c r="P105" t="str">
        <f>IFERROR(IF(VLOOKUP(C105,Comunión!A:C,3,FALSE)=Table1[[#Headers],[Comunión]],Table1[[#Headers],[Comunión]],""),"")</f>
        <v/>
      </c>
      <c r="Q105" t="str">
        <f>IFERROR(IF(VLOOKUP(C105,Niños!A:C,3,FALSE)=Table1[[#Headers],[Niños]],Table1[[#Headers],[Niños]],""),"")</f>
        <v/>
      </c>
      <c r="R105" t="str">
        <f>IFERROR(IF(VLOOKUP(C105,Laudes!A:C,3,FALSE)=Table1[[#Headers],[Laudes]],Table1[[#Headers],[Laudes]],""),"")</f>
        <v/>
      </c>
      <c r="S105" t="str">
        <f>IFERROR(IF(VLOOKUP(C105,'Nuevo Testamento'!A:C,3,FALSE)=Table1[[#Headers],[Nuevo Testamento]],Table1[[#Headers],[Nuevo Testamento]],""),"")</f>
        <v/>
      </c>
      <c r="T105" t="str">
        <f>IFERROR(IF(VLOOKUP(C105,'Antiguo Testamento'!A:C,3,FALSE)=Table1[[#Headers],[Antiguo Testamento]],Table1[[#Headers],[Antiguo Testamento]],""),"")</f>
        <v>Antiguo Testamento</v>
      </c>
      <c r="U105" t="str">
        <f>IFERROR(IF(VLOOKUP(C105,Final!A:C,3,FALSE)=Table1[[#Headers],[Final]],Table1[[#Headers],[Final]],""),"")</f>
        <v/>
      </c>
      <c r="V105" t="str" cm="1">
        <f t="array" ref="V10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/cantos/src/chtml/h/hermosaeresamigamia.html</v>
      </c>
      <c r="W10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{id:103,title: "Hermosa eres, amiga mía", subtitle: "Cantar de los cantares 6-7", category: "Eleccion", moments: ["","","","Pascua","Pentecostés","","","","","","","","","Antiguo Testamento",""], url: "/cantos/src/chtml/h/hermosaeresamigamia.html"},</v>
      </c>
    </row>
    <row r="106" spans="1:23" x14ac:dyDescent="0.25">
      <c r="A106">
        <v>84</v>
      </c>
      <c r="B106" s="14">
        <v>104</v>
      </c>
      <c r="C106" t="s">
        <v>47</v>
      </c>
      <c r="D106" t="s">
        <v>393</v>
      </c>
      <c r="E106" t="str">
        <f>LOWER(LEFT(Table1[[#This Row],[Canto]],1))</f>
        <v>h</v>
      </c>
      <c r="F106" t="s">
        <v>288</v>
      </c>
      <c r="G106" t="str">
        <f>IFERROR(IF(VLOOKUP(C106,Adviento!A:C,3,FALSE)=Table1[[#Headers],[Adviento]],Table1[[#Headers],[Adviento]],""),"")</f>
        <v/>
      </c>
      <c r="H106" t="str">
        <f>IFERROR(IF(VLOOKUP(C106,Navidad!A:C,3,FALSE)=Table1[[#Headers],[Navidad]],Table1[[#Headers],[Navidad]],""),"")</f>
        <v/>
      </c>
      <c r="I106" t="str">
        <f>IFERROR(IF(VLOOKUP(C106,Cuaresma!A:C,3,FALSE)=Table1[[#Headers],[Cuaresma]],Table1[[#Headers],[Cuaresma]],""),"")</f>
        <v>Cuaresma</v>
      </c>
      <c r="J106" t="str">
        <f>IFERROR(IF(VLOOKUP(C106,Pascua!A:C,3,FALSE)=Table1[[#Headers],[Pascua]],Table1[[#Headers],[Pascua]],""),"")</f>
        <v/>
      </c>
      <c r="K106" t="str">
        <f>IFERROR(IF(VLOOKUP(C106,Pentecostés!A:C,3,FALSE)=Table1[[#Headers],[Pentecostés]],Table1[[#Headers],[Pentecostés]],""),"")</f>
        <v/>
      </c>
      <c r="L106" t="str">
        <f>IFERROR(IF(VLOOKUP(C106,Entrada!A:C,3,FALSE)=Table1[[#Headers],[Entrada]],Table1[[#Headers],[Entrada]],""),"")</f>
        <v/>
      </c>
      <c r="M106" t="str">
        <f>IFERROR(IF(VLOOKUP(C106,Virgen!A:C,3,FALSE)=Table1[[#Headers],[Virgen]],Table1[[#Headers],[Virgen]],""),"")</f>
        <v/>
      </c>
      <c r="N106" t="str">
        <f>IFERROR(IF(VLOOKUP(C106,Paz!A:C,3,FALSE)=Table1[[#Headers],[Paz]],Table1[[#Headers],[Paz]],""),"")</f>
        <v/>
      </c>
      <c r="O106" t="str">
        <f>IFERROR(IF(VLOOKUP(C106,Pan!A:C,3,FALSE)=Table1[[#Headers],[Pan]],Table1[[#Headers],[Pan]],""),"")</f>
        <v>Pan</v>
      </c>
      <c r="P106" t="str">
        <f>IFERROR(IF(VLOOKUP(C106,Comunión!A:C,3,FALSE)=Table1[[#Headers],[Comunión]],Table1[[#Headers],[Comunión]],""),"")</f>
        <v/>
      </c>
      <c r="Q106" t="str">
        <f>IFERROR(IF(VLOOKUP(C106,Niños!A:C,3,FALSE)=Table1[[#Headers],[Niños]],Table1[[#Headers],[Niños]],""),"")</f>
        <v/>
      </c>
      <c r="R106" t="str">
        <f>IFERROR(IF(VLOOKUP(C106,Laudes!A:C,3,FALSE)=Table1[[#Headers],[Laudes]],Table1[[#Headers],[Laudes]],""),"")</f>
        <v/>
      </c>
      <c r="S106" t="str">
        <f>IFERROR(IF(VLOOKUP(C106,'Nuevo Testamento'!A:C,3,FALSE)=Table1[[#Headers],[Nuevo Testamento]],Table1[[#Headers],[Nuevo Testamento]],""),"")</f>
        <v>Nuevo Testamento</v>
      </c>
      <c r="T106" t="str">
        <f>IFERROR(IF(VLOOKUP(C106,'Antiguo Testamento'!A:C,3,FALSE)=Table1[[#Headers],[Antiguo Testamento]],Table1[[#Headers],[Antiguo Testamento]],""),"")</f>
        <v/>
      </c>
      <c r="U106" t="str">
        <f>IFERROR(IF(VLOOKUP(C106,Final!A:C,3,FALSE)=Table1[[#Headers],[Final]],Table1[[#Headers],[Final]],""),"")</f>
        <v/>
      </c>
      <c r="V106" t="str" cm="1">
        <f t="array" ref="V10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/cantos/src/chtml/h/hijasdejerusalen.html</v>
      </c>
      <c r="W10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{id:104,title: "Hijas de Jerusalén", subtitle: "Lucas 23,28-46", category: "Precatecumenado", moments: ["","","Cuaresma","","","","","","Pan","","","","Nuevo Testamento","",""], url: "/cantos/src/chtml/h/hijasdejerusalen.html"},</v>
      </c>
    </row>
    <row r="107" spans="1:23" x14ac:dyDescent="0.25">
      <c r="A107">
        <v>85</v>
      </c>
      <c r="B107" s="14">
        <v>105</v>
      </c>
      <c r="C107" t="s">
        <v>157</v>
      </c>
      <c r="D107" t="s">
        <v>394</v>
      </c>
      <c r="E107" t="str">
        <f>LOWER(LEFT(Table1[[#This Row],[Canto]],1))</f>
        <v>h</v>
      </c>
      <c r="F107" t="s">
        <v>288</v>
      </c>
      <c r="G107" t="str">
        <f>IFERROR(IF(VLOOKUP(C107,Adviento!A:C,3,FALSE)=Table1[[#Headers],[Adviento]],Table1[[#Headers],[Adviento]],""),"")</f>
        <v/>
      </c>
      <c r="H107" t="str">
        <f>IFERROR(IF(VLOOKUP(C107,Navidad!A:C,3,FALSE)=Table1[[#Headers],[Navidad]],Table1[[#Headers],[Navidad]],""),"")</f>
        <v/>
      </c>
      <c r="I107" t="str">
        <f>IFERROR(IF(VLOOKUP(C107,Cuaresma!A:C,3,FALSE)=Table1[[#Headers],[Cuaresma]],Table1[[#Headers],[Cuaresma]],""),"")</f>
        <v/>
      </c>
      <c r="J107" t="str">
        <f>IFERROR(IF(VLOOKUP(C107,Pascua!A:C,3,FALSE)=Table1[[#Headers],[Pascua]],Table1[[#Headers],[Pascua]],""),"")</f>
        <v>Pascua</v>
      </c>
      <c r="K107" t="str">
        <f>IFERROR(IF(VLOOKUP(C107,Pentecostés!A:C,3,FALSE)=Table1[[#Headers],[Pentecostés]],Table1[[#Headers],[Pentecostés]],""),"")</f>
        <v>Pentecostés</v>
      </c>
      <c r="L107" t="str">
        <f>IFERROR(IF(VLOOKUP(C107,Entrada!A:C,3,FALSE)=Table1[[#Headers],[Entrada]],Table1[[#Headers],[Entrada]],""),"")</f>
        <v/>
      </c>
      <c r="M107" t="str">
        <f>IFERROR(IF(VLOOKUP(C107,Virgen!A:C,3,FALSE)=Table1[[#Headers],[Virgen]],Table1[[#Headers],[Virgen]],""),"")</f>
        <v/>
      </c>
      <c r="N107" t="str">
        <f>IFERROR(IF(VLOOKUP(C107,Paz!A:C,3,FALSE)=Table1[[#Headers],[Paz]],Table1[[#Headers],[Paz]],""),"")</f>
        <v/>
      </c>
      <c r="O107" t="str">
        <f>IFERROR(IF(VLOOKUP(C107,Pan!A:C,3,FALSE)=Table1[[#Headers],[Pan]],Table1[[#Headers],[Pan]],""),"")</f>
        <v/>
      </c>
      <c r="P107" t="str">
        <f>IFERROR(IF(VLOOKUP(C107,Comunión!A:C,3,FALSE)=Table1[[#Headers],[Comunión]],Table1[[#Headers],[Comunión]],""),"")</f>
        <v/>
      </c>
      <c r="Q107" t="str">
        <f>IFERROR(IF(VLOOKUP(C107,Niños!A:C,3,FALSE)=Table1[[#Headers],[Niños]],Table1[[#Headers],[Niños]],""),"")</f>
        <v/>
      </c>
      <c r="R107" t="str">
        <f>IFERROR(IF(VLOOKUP(C107,Laudes!A:C,3,FALSE)=Table1[[#Headers],[Laudes]],Table1[[#Headers],[Laudes]],""),"")</f>
        <v/>
      </c>
      <c r="S107" t="str">
        <f>IFERROR(IF(VLOOKUP(C107,'Nuevo Testamento'!A:C,3,FALSE)=Table1[[#Headers],[Nuevo Testamento]],Table1[[#Headers],[Nuevo Testamento]],""),"")</f>
        <v/>
      </c>
      <c r="T107" t="str">
        <f>IFERROR(IF(VLOOKUP(C107,'Antiguo Testamento'!A:C,3,FALSE)=Table1[[#Headers],[Antiguo Testamento]],Table1[[#Headers],[Antiguo Testamento]],""),"")</f>
        <v/>
      </c>
      <c r="U107" t="str">
        <f>IFERROR(IF(VLOOKUP(C107,Final!A:C,3,FALSE)=Table1[[#Headers],[Final]],Table1[[#Headers],[Final]],""),"")</f>
        <v/>
      </c>
      <c r="V107" t="str" cm="1">
        <f t="array" ref="V10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/cantos/src/chtml/h/himnoacristoluz.html</v>
      </c>
      <c r="W10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{id:105,title: "Himno a Cristo luz", subtitle: "Himno vespertino (San Gregorio Nacianceno)", category: "Precatecumenado", moments: ["","","","Pascua","Pentecostés","","","","","","","","","",""], url: "/cantos/src/chtml/h/himnoacristoluz.html"},</v>
      </c>
    </row>
    <row r="108" spans="1:23" x14ac:dyDescent="0.25">
      <c r="A108">
        <v>86</v>
      </c>
      <c r="B108" s="14">
        <v>106</v>
      </c>
      <c r="C108" t="s">
        <v>158</v>
      </c>
      <c r="D108" t="s">
        <v>395</v>
      </c>
      <c r="E108" t="str">
        <f>LOWER(LEFT(Table1[[#This Row],[Canto]],1))</f>
        <v>h</v>
      </c>
      <c r="F108" t="s">
        <v>288</v>
      </c>
      <c r="G108" t="str">
        <f>IFERROR(IF(VLOOKUP(C108,Adviento!A:C,3,FALSE)=Table1[[#Headers],[Adviento]],Table1[[#Headers],[Adviento]],""),"")</f>
        <v/>
      </c>
      <c r="H108" t="str">
        <f>IFERROR(IF(VLOOKUP(C108,Navidad!A:C,3,FALSE)=Table1[[#Headers],[Navidad]],Table1[[#Headers],[Navidad]],""),"")</f>
        <v/>
      </c>
      <c r="I108" t="str">
        <f>IFERROR(IF(VLOOKUP(C108,Cuaresma!A:C,3,FALSE)=Table1[[#Headers],[Cuaresma]],Table1[[#Headers],[Cuaresma]],""),"")</f>
        <v/>
      </c>
      <c r="J108" t="str">
        <f>IFERROR(IF(VLOOKUP(C108,Pascua!A:C,3,FALSE)=Table1[[#Headers],[Pascua]],Table1[[#Headers],[Pascua]],""),"")</f>
        <v>Pascua</v>
      </c>
      <c r="K108" t="str">
        <f>IFERROR(IF(VLOOKUP(C108,Pentecostés!A:C,3,FALSE)=Table1[[#Headers],[Pentecostés]],Table1[[#Headers],[Pentecostés]],""),"")</f>
        <v>Pentecostés</v>
      </c>
      <c r="L108" t="str">
        <f>IFERROR(IF(VLOOKUP(C108,Entrada!A:C,3,FALSE)=Table1[[#Headers],[Entrada]],Table1[[#Headers],[Entrada]],""),"")</f>
        <v/>
      </c>
      <c r="M108" t="str">
        <f>IFERROR(IF(VLOOKUP(C108,Virgen!A:C,3,FALSE)=Table1[[#Headers],[Virgen]],Table1[[#Headers],[Virgen]],""),"")</f>
        <v/>
      </c>
      <c r="N108" t="str">
        <f>IFERROR(IF(VLOOKUP(C108,Paz!A:C,3,FALSE)=Table1[[#Headers],[Paz]],Table1[[#Headers],[Paz]],""),"")</f>
        <v/>
      </c>
      <c r="O108" t="str">
        <f>IFERROR(IF(VLOOKUP(C108,Pan!A:C,3,FALSE)=Table1[[#Headers],[Pan]],Table1[[#Headers],[Pan]],""),"")</f>
        <v/>
      </c>
      <c r="P108" t="str">
        <f>IFERROR(IF(VLOOKUP(C108,Comunión!A:C,3,FALSE)=Table1[[#Headers],[Comunión]],Table1[[#Headers],[Comunión]],""),"")</f>
        <v>Comunión</v>
      </c>
      <c r="Q108" t="str">
        <f>IFERROR(IF(VLOOKUP(C108,Niños!A:C,3,FALSE)=Table1[[#Headers],[Niños]],Table1[[#Headers],[Niños]],""),"")</f>
        <v/>
      </c>
      <c r="R108" t="str">
        <f>IFERROR(IF(VLOOKUP(C108,Laudes!A:C,3,FALSE)=Table1[[#Headers],[Laudes]],Table1[[#Headers],[Laudes]],""),"")</f>
        <v/>
      </c>
      <c r="S108" t="str">
        <f>IFERROR(IF(VLOOKUP(C108,'Nuevo Testamento'!A:C,3,FALSE)=Table1[[#Headers],[Nuevo Testamento]],Table1[[#Headers],[Nuevo Testamento]],""),"")</f>
        <v>Nuevo Testamento</v>
      </c>
      <c r="T108" t="str">
        <f>IFERROR(IF(VLOOKUP(C108,'Antiguo Testamento'!A:C,3,FALSE)=Table1[[#Headers],[Antiguo Testamento]],Table1[[#Headers],[Antiguo Testamento]],""),"")</f>
        <v/>
      </c>
      <c r="U108" t="str">
        <f>IFERROR(IF(VLOOKUP(C108,Final!A:C,3,FALSE)=Table1[[#Headers],[Final]],Table1[[#Headers],[Final]],""),"")</f>
        <v/>
      </c>
      <c r="V108" t="str" cm="1">
        <f t="array" ref="V10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/cantos/src/chtml/h/himnoalacaridad.html</v>
      </c>
      <c r="W10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{id:106,title: "Himno a la caridad", subtitle: "1 Corintios 13,1-7", category: "Precatecumenado", moments: ["","","","Pascua","Pentecostés","","","","","Comunión","","","Nuevo Testamento","",""], url: "/cantos/src/chtml/h/himnoalacaridad.html"},</v>
      </c>
    </row>
    <row r="109" spans="1:23" x14ac:dyDescent="0.25">
      <c r="A109">
        <v>227</v>
      </c>
      <c r="B109" s="14">
        <v>107</v>
      </c>
      <c r="C109" t="s">
        <v>159</v>
      </c>
      <c r="D109" t="s">
        <v>396</v>
      </c>
      <c r="E109" t="str">
        <f>LOWER(LEFT(Table1[[#This Row],[Canto]],1))</f>
        <v>h</v>
      </c>
      <c r="F109" s="13" t="s">
        <v>290</v>
      </c>
      <c r="G109" t="str">
        <f>IFERROR(IF(VLOOKUP(C109,Adviento!A:C,3,FALSE)=Table1[[#Headers],[Adviento]],Table1[[#Headers],[Adviento]],""),"")</f>
        <v/>
      </c>
      <c r="H109" t="str">
        <f>IFERROR(IF(VLOOKUP(C109,Navidad!A:C,3,FALSE)=Table1[[#Headers],[Navidad]],Table1[[#Headers],[Navidad]],""),"")</f>
        <v/>
      </c>
      <c r="I109" t="str">
        <f>IFERROR(IF(VLOOKUP(C109,Cuaresma!A:C,3,FALSE)=Table1[[#Headers],[Cuaresma]],Table1[[#Headers],[Cuaresma]],""),"")</f>
        <v/>
      </c>
      <c r="J109" t="str">
        <f>IFERROR(IF(VLOOKUP(C109,Pascua!A:C,3,FALSE)=Table1[[#Headers],[Pascua]],Table1[[#Headers],[Pascua]],""),"")</f>
        <v/>
      </c>
      <c r="K109" t="str">
        <f>IFERROR(IF(VLOOKUP(C109,Pentecostés!A:C,3,FALSE)=Table1[[#Headers],[Pentecostés]],Table1[[#Headers],[Pentecostés]],""),"")</f>
        <v/>
      </c>
      <c r="L109" t="str">
        <f>IFERROR(IF(VLOOKUP(C109,Entrada!A:C,3,FALSE)=Table1[[#Headers],[Entrada]],Table1[[#Headers],[Entrada]],""),"")</f>
        <v/>
      </c>
      <c r="M109" t="str">
        <f>IFERROR(IF(VLOOKUP(C109,Virgen!A:C,3,FALSE)=Table1[[#Headers],[Virgen]],Table1[[#Headers],[Virgen]],""),"")</f>
        <v/>
      </c>
      <c r="N109" t="str">
        <f>IFERROR(IF(VLOOKUP(C109,Paz!A:C,3,FALSE)=Table1[[#Headers],[Paz]],Table1[[#Headers],[Paz]],""),"")</f>
        <v/>
      </c>
      <c r="O109" t="str">
        <f>IFERROR(IF(VLOOKUP(C109,Pan!A:C,3,FALSE)=Table1[[#Headers],[Pan]],Table1[[#Headers],[Pan]],""),"")</f>
        <v/>
      </c>
      <c r="P109" t="str">
        <f>IFERROR(IF(VLOOKUP(C109,Comunión!A:C,3,FALSE)=Table1[[#Headers],[Comunión]],Table1[[#Headers],[Comunión]],""),"")</f>
        <v/>
      </c>
      <c r="Q109" t="str">
        <f>IFERROR(IF(VLOOKUP(C109,Niños!A:C,3,FALSE)=Table1[[#Headers],[Niños]],Table1[[#Headers],[Niños]],""),"")</f>
        <v/>
      </c>
      <c r="R109" t="str">
        <f>IFERROR(IF(VLOOKUP(C109,Laudes!A:C,3,FALSE)=Table1[[#Headers],[Laudes]],Table1[[#Headers],[Laudes]],""),"")</f>
        <v>Laudes</v>
      </c>
      <c r="S109" t="str">
        <f>IFERROR(IF(VLOOKUP(C109,'Nuevo Testamento'!A:C,3,FALSE)=Table1[[#Headers],[Nuevo Testamento]],Table1[[#Headers],[Nuevo Testamento]],""),"")</f>
        <v/>
      </c>
      <c r="T109" t="str">
        <f>IFERROR(IF(VLOOKUP(C109,'Antiguo Testamento'!A:C,3,FALSE)=Table1[[#Headers],[Antiguo Testamento]],Table1[[#Headers],[Antiguo Testamento]],""),"")</f>
        <v/>
      </c>
      <c r="U109" t="str">
        <f>IFERROR(IF(VLOOKUP(C109,Final!A:C,3,FALSE)=Table1[[#Headers],[Final]],Table1[[#Headers],[Final]],""),"")</f>
        <v/>
      </c>
      <c r="V109" t="str" cm="1">
        <f t="array" ref="V10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/cantos/src/chtml/h/himnoalacruzgloriosa.html</v>
      </c>
      <c r="W10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{id:107,title: "Himno a la cruz gloriosa", subtitle: "Homilía La Santa Pascua (Anónimo s. II)", category: "Catecumenado", moments: ["","","","","","","","","","","","Laudes","","",""], url: "/cantos/src/chtml/h/himnoalacruzgloriosa.html"},</v>
      </c>
    </row>
    <row r="110" spans="1:23" x14ac:dyDescent="0.25">
      <c r="A110">
        <v>87</v>
      </c>
      <c r="B110" s="14">
        <v>108</v>
      </c>
      <c r="C110" t="s">
        <v>48</v>
      </c>
      <c r="D110" t="s">
        <v>397</v>
      </c>
      <c r="E110" t="str">
        <f>LOWER(LEFT(Table1[[#This Row],[Canto]],1))</f>
        <v>h</v>
      </c>
      <c r="F110" t="s">
        <v>288</v>
      </c>
      <c r="G110" t="str">
        <f>IFERROR(IF(VLOOKUP(C110,Adviento!A:C,3,FALSE)=Table1[[#Headers],[Adviento]],Table1[[#Headers],[Adviento]],""),"")</f>
        <v/>
      </c>
      <c r="H110" t="str">
        <f>IFERROR(IF(VLOOKUP(C110,Navidad!A:C,3,FALSE)=Table1[[#Headers],[Navidad]],Table1[[#Headers],[Navidad]],""),"")</f>
        <v/>
      </c>
      <c r="I110" t="str">
        <f>IFERROR(IF(VLOOKUP(C110,Cuaresma!A:C,3,FALSE)=Table1[[#Headers],[Cuaresma]],Table1[[#Headers],[Cuaresma]],""),"")</f>
        <v/>
      </c>
      <c r="J110" t="str">
        <f>IFERROR(IF(VLOOKUP(C110,Pascua!A:C,3,FALSE)=Table1[[#Headers],[Pascua]],Table1[[#Headers],[Pascua]],""),"")</f>
        <v>Pascua</v>
      </c>
      <c r="K110" t="str">
        <f>IFERROR(IF(VLOOKUP(C110,Pentecostés!A:C,3,FALSE)=Table1[[#Headers],[Pentecostés]],Table1[[#Headers],[Pentecostés]],""),"")</f>
        <v>Pentecostés</v>
      </c>
      <c r="L110" t="str">
        <f>IFERROR(IF(VLOOKUP(C110,Entrada!A:C,3,FALSE)=Table1[[#Headers],[Entrada]],Table1[[#Headers],[Entrada]],""),"")</f>
        <v/>
      </c>
      <c r="M110" t="str">
        <f>IFERROR(IF(VLOOKUP(C110,Virgen!A:C,3,FALSE)=Table1[[#Headers],[Virgen]],Table1[[#Headers],[Virgen]],""),"")</f>
        <v/>
      </c>
      <c r="N110" t="str">
        <f>IFERROR(IF(VLOOKUP(C110,Paz!A:C,3,FALSE)=Table1[[#Headers],[Paz]],Table1[[#Headers],[Paz]],""),"")</f>
        <v/>
      </c>
      <c r="O110" t="str">
        <f>IFERROR(IF(VLOOKUP(C110,Pan!A:C,3,FALSE)=Table1[[#Headers],[Pan]],Table1[[#Headers],[Pan]],""),"")</f>
        <v>Pan</v>
      </c>
      <c r="P110" t="str">
        <f>IFERROR(IF(VLOOKUP(C110,Comunión!A:C,3,FALSE)=Table1[[#Headers],[Comunión]],Table1[[#Headers],[Comunión]],""),"")</f>
        <v/>
      </c>
      <c r="Q110" t="str">
        <f>IFERROR(IF(VLOOKUP(C110,Niños!A:C,3,FALSE)=Table1[[#Headers],[Niños]],Table1[[#Headers],[Niños]],""),"")</f>
        <v/>
      </c>
      <c r="R110" t="str">
        <f>IFERROR(IF(VLOOKUP(C110,Laudes!A:C,3,FALSE)=Table1[[#Headers],[Laudes]],Table1[[#Headers],[Laudes]],""),"")</f>
        <v/>
      </c>
      <c r="S110" t="str">
        <f>IFERROR(IF(VLOOKUP(C110,'Nuevo Testamento'!A:C,3,FALSE)=Table1[[#Headers],[Nuevo Testamento]],Table1[[#Headers],[Nuevo Testamento]],""),"")</f>
        <v>Nuevo Testamento</v>
      </c>
      <c r="T110" t="str">
        <f>IFERROR(IF(VLOOKUP(C110,'Antiguo Testamento'!A:C,3,FALSE)=Table1[[#Headers],[Antiguo Testamento]],Table1[[#Headers],[Antiguo Testamento]],""),"")</f>
        <v/>
      </c>
      <c r="U110" t="str">
        <f>IFERROR(IF(VLOOKUP(C110,Final!A:C,3,FALSE)=Table1[[#Headers],[Final]],Table1[[#Headers],[Final]],""),"")</f>
        <v/>
      </c>
      <c r="V110" t="str" cm="1">
        <f t="array" ref="V11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/cantos/src/chtml/h/himnoalakenosis.html</v>
      </c>
      <c r="W11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{id:108,title: "Himno a la kenosis", subtitle: "Filipenses 2,1-11", category: "Precatecumenado", moments: ["","","","Pascua","Pentecostés","","","","Pan","","","","Nuevo Testamento","",""], url: "/cantos/src/chtml/h/himnoalakenosis.html"},</v>
      </c>
    </row>
    <row r="111" spans="1:23" x14ac:dyDescent="0.25">
      <c r="A111">
        <v>88</v>
      </c>
      <c r="B111" s="14">
        <v>109</v>
      </c>
      <c r="C111" t="s">
        <v>49</v>
      </c>
      <c r="D111" t="s">
        <v>398</v>
      </c>
      <c r="E111" t="str">
        <f>LOWER(LEFT(Table1[[#This Row],[Canto]],1))</f>
        <v>h</v>
      </c>
      <c r="F111" t="s">
        <v>288</v>
      </c>
      <c r="G111" t="str">
        <f>IFERROR(IF(VLOOKUP(C111,Adviento!A:C,3,FALSE)=Table1[[#Headers],[Adviento]],Table1[[#Headers],[Adviento]],""),"")</f>
        <v>Adviento</v>
      </c>
      <c r="H111" t="str">
        <f>IFERROR(IF(VLOOKUP(C111,Navidad!A:C,3,FALSE)=Table1[[#Headers],[Navidad]],Table1[[#Headers],[Navidad]],""),"")</f>
        <v>Navidad</v>
      </c>
      <c r="I111" t="str">
        <f>IFERROR(IF(VLOOKUP(C111,Cuaresma!A:C,3,FALSE)=Table1[[#Headers],[Cuaresma]],Table1[[#Headers],[Cuaresma]],""),"")</f>
        <v/>
      </c>
      <c r="J111" t="str">
        <f>IFERROR(IF(VLOOKUP(C111,Pascua!A:C,3,FALSE)=Table1[[#Headers],[Pascua]],Table1[[#Headers],[Pascua]],""),"")</f>
        <v/>
      </c>
      <c r="K111" t="str">
        <f>IFERROR(IF(VLOOKUP(C111,Pentecostés!A:C,3,FALSE)=Table1[[#Headers],[Pentecostés]],Table1[[#Headers],[Pentecostés]],""),"")</f>
        <v/>
      </c>
      <c r="L111" t="str">
        <f>IFERROR(IF(VLOOKUP(C111,Entrada!A:C,3,FALSE)=Table1[[#Headers],[Entrada]],Table1[[#Headers],[Entrada]],""),"")</f>
        <v/>
      </c>
      <c r="M111" t="str">
        <f>IFERROR(IF(VLOOKUP(C111,Virgen!A:C,3,FALSE)=Table1[[#Headers],[Virgen]],Table1[[#Headers],[Virgen]],""),"")</f>
        <v/>
      </c>
      <c r="N111" t="str">
        <f>IFERROR(IF(VLOOKUP(C111,Paz!A:C,3,FALSE)=Table1[[#Headers],[Paz]],Table1[[#Headers],[Paz]],""),"")</f>
        <v/>
      </c>
      <c r="O111" t="str">
        <f>IFERROR(IF(VLOOKUP(C111,Pan!A:C,3,FALSE)=Table1[[#Headers],[Pan]],Table1[[#Headers],[Pan]],""),"")</f>
        <v/>
      </c>
      <c r="P111" t="str">
        <f>IFERROR(IF(VLOOKUP(C111,Comunión!A:C,3,FALSE)=Table1[[#Headers],[Comunión]],Table1[[#Headers],[Comunión]],""),"")</f>
        <v/>
      </c>
      <c r="Q111" t="str">
        <f>IFERROR(IF(VLOOKUP(C111,Niños!A:C,3,FALSE)=Table1[[#Headers],[Niños]],Table1[[#Headers],[Niños]],""),"")</f>
        <v/>
      </c>
      <c r="R111" t="str">
        <f>IFERROR(IF(VLOOKUP(C111,Laudes!A:C,3,FALSE)=Table1[[#Headers],[Laudes]],Table1[[#Headers],[Laudes]],""),"")</f>
        <v/>
      </c>
      <c r="S111" t="str">
        <f>IFERROR(IF(VLOOKUP(C111,'Nuevo Testamento'!A:C,3,FALSE)=Table1[[#Headers],[Nuevo Testamento]],Table1[[#Headers],[Nuevo Testamento]],""),"")</f>
        <v/>
      </c>
      <c r="T111" t="str">
        <f>IFERROR(IF(VLOOKUP(C111,'Antiguo Testamento'!A:C,3,FALSE)=Table1[[#Headers],[Antiguo Testamento]],Table1[[#Headers],[Antiguo Testamento]],""),"")</f>
        <v/>
      </c>
      <c r="U111" t="str">
        <f>IFERROR(IF(VLOOKUP(C111,Final!A:C,3,FALSE)=Table1[[#Headers],[Final]],Table1[[#Headers],[Final]],""),"")</f>
        <v/>
      </c>
      <c r="V111" t="str" cm="1">
        <f t="array" ref="V11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/cantos/src/chtml/h/himnodeadviento.html</v>
      </c>
      <c r="W11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{id:109,title: "Himno de Adviento", subtitle: "Himno lat. «Vox clara ecce Intonat»", category: "Precatecumenado", moments: ["Adviento","Navidad","","","","","","","","","","","","",""], url: "/cantos/src/chtml/h/himnodeadviento.html"},</v>
      </c>
    </row>
    <row r="112" spans="1:23" x14ac:dyDescent="0.25">
      <c r="A112">
        <v>89</v>
      </c>
      <c r="B112" s="14">
        <v>110</v>
      </c>
      <c r="C112" t="s">
        <v>50</v>
      </c>
      <c r="D112" t="s">
        <v>399</v>
      </c>
      <c r="E112" t="str">
        <f>LOWER(LEFT(Table1[[#This Row],[Canto]],1))</f>
        <v>h</v>
      </c>
      <c r="F112" t="s">
        <v>288</v>
      </c>
      <c r="G112" t="str">
        <f>IFERROR(IF(VLOOKUP(C112,Adviento!A:C,3,FALSE)=Table1[[#Headers],[Adviento]],Table1[[#Headers],[Adviento]],""),"")</f>
        <v/>
      </c>
      <c r="H112" t="str">
        <f>IFERROR(IF(VLOOKUP(C112,Navidad!A:C,3,FALSE)=Table1[[#Headers],[Navidad]],Table1[[#Headers],[Navidad]],""),"")</f>
        <v/>
      </c>
      <c r="I112" t="str">
        <f>IFERROR(IF(VLOOKUP(C112,Cuaresma!A:C,3,FALSE)=Table1[[#Headers],[Cuaresma]],Table1[[#Headers],[Cuaresma]],""),"")</f>
        <v/>
      </c>
      <c r="J112" t="str">
        <f>IFERROR(IF(VLOOKUP(C112,Pascua!A:C,3,FALSE)=Table1[[#Headers],[Pascua]],Table1[[#Headers],[Pascua]],""),"")</f>
        <v>Pascua</v>
      </c>
      <c r="K112" t="str">
        <f>IFERROR(IF(VLOOKUP(C112,Pentecostés!A:C,3,FALSE)=Table1[[#Headers],[Pentecostés]],Table1[[#Headers],[Pentecostés]],""),"")</f>
        <v>Pentecostés</v>
      </c>
      <c r="L112" t="str">
        <f>IFERROR(IF(VLOOKUP(C112,Entrada!A:C,3,FALSE)=Table1[[#Headers],[Entrada]],Table1[[#Headers],[Entrada]],""),"")</f>
        <v/>
      </c>
      <c r="M112" t="str">
        <f>IFERROR(IF(VLOOKUP(C112,Virgen!A:C,3,FALSE)=Table1[[#Headers],[Virgen]],Table1[[#Headers],[Virgen]],""),"")</f>
        <v/>
      </c>
      <c r="N112" t="str">
        <f>IFERROR(IF(VLOOKUP(C112,Paz!A:C,3,FALSE)=Table1[[#Headers],[Paz]],Table1[[#Headers],[Paz]],""),"")</f>
        <v/>
      </c>
      <c r="O112" t="str">
        <f>IFERROR(IF(VLOOKUP(C112,Pan!A:C,3,FALSE)=Table1[[#Headers],[Pan]],Table1[[#Headers],[Pan]],""),"")</f>
        <v/>
      </c>
      <c r="P112" t="str">
        <f>IFERROR(IF(VLOOKUP(C112,Comunión!A:C,3,FALSE)=Table1[[#Headers],[Comunión]],Table1[[#Headers],[Comunión]],""),"")</f>
        <v/>
      </c>
      <c r="Q112" t="str">
        <f>IFERROR(IF(VLOOKUP(C112,Niños!A:C,3,FALSE)=Table1[[#Headers],[Niños]],Table1[[#Headers],[Niños]],""),"")</f>
        <v/>
      </c>
      <c r="R112" t="str">
        <f>IFERROR(IF(VLOOKUP(C112,Laudes!A:C,3,FALSE)=Table1[[#Headers],[Laudes]],Table1[[#Headers],[Laudes]],""),"")</f>
        <v>Laudes</v>
      </c>
      <c r="S112" t="str">
        <f>IFERROR(IF(VLOOKUP(C112,'Nuevo Testamento'!A:C,3,FALSE)=Table1[[#Headers],[Nuevo Testamento]],Table1[[#Headers],[Nuevo Testamento]],""),"")</f>
        <v/>
      </c>
      <c r="T112" t="str">
        <f>IFERROR(IF(VLOOKUP(C112,'Antiguo Testamento'!A:C,3,FALSE)=Table1[[#Headers],[Antiguo Testamento]],Table1[[#Headers],[Antiguo Testamento]],""),"")</f>
        <v/>
      </c>
      <c r="U112" t="str">
        <f>IFERROR(IF(VLOOKUP(C112,Final!A:C,3,FALSE)=Table1[[#Headers],[Final]],Table1[[#Headers],[Final]],""),"")</f>
        <v/>
      </c>
      <c r="V112" t="str" cm="1">
        <f t="array" ref="V11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/cantos/src/chtml/h/himnodelaascension.html</v>
      </c>
      <c r="W11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{id:110,title: "Himno de la Ascensión", subtitle: "Himno de Laudes del tiempo Pascual, de la Ascensión a Pentecostés  / Himno de la liturgia de las horas ", category: "Precatecumenado", moments: ["","","","Pascua","Pentecostés","","","","","","","Laudes","","",""], url: "/cantos/src/chtml/h/himnodelaascension.html"},</v>
      </c>
    </row>
    <row r="113" spans="1:23" x14ac:dyDescent="0.25">
      <c r="A113">
        <v>90</v>
      </c>
      <c r="B113" s="14">
        <v>111</v>
      </c>
      <c r="C113" t="s">
        <v>160</v>
      </c>
      <c r="D113" t="s">
        <v>400</v>
      </c>
      <c r="E113" t="str">
        <f>LOWER(LEFT(Table1[[#This Row],[Canto]],1))</f>
        <v>h</v>
      </c>
      <c r="F113" t="s">
        <v>288</v>
      </c>
      <c r="G113" t="str">
        <f>IFERROR(IF(VLOOKUP(C113,Adviento!A:C,3,FALSE)=Table1[[#Headers],[Adviento]],Table1[[#Headers],[Adviento]],""),"")</f>
        <v/>
      </c>
      <c r="H113" t="str">
        <f>IFERROR(IF(VLOOKUP(C113,Navidad!A:C,3,FALSE)=Table1[[#Headers],[Navidad]],Table1[[#Headers],[Navidad]],""),"")</f>
        <v/>
      </c>
      <c r="I113" t="str">
        <f>IFERROR(IF(VLOOKUP(C113,Cuaresma!A:C,3,FALSE)=Table1[[#Headers],[Cuaresma]],Table1[[#Headers],[Cuaresma]],""),"")</f>
        <v/>
      </c>
      <c r="J113" t="str">
        <f>IFERROR(IF(VLOOKUP(C113,Pascua!A:C,3,FALSE)=Table1[[#Headers],[Pascua]],Table1[[#Headers],[Pascua]],""),"")</f>
        <v>Pascua</v>
      </c>
      <c r="K113" t="str">
        <f>IFERROR(IF(VLOOKUP(C113,Pentecostés!A:C,3,FALSE)=Table1[[#Headers],[Pentecostés]],Table1[[#Headers],[Pentecostés]],""),"")</f>
        <v>Pentecostés</v>
      </c>
      <c r="L113" t="str">
        <f>IFERROR(IF(VLOOKUP(C113,Entrada!A:C,3,FALSE)=Table1[[#Headers],[Entrada]],Table1[[#Headers],[Entrada]],""),"")</f>
        <v/>
      </c>
      <c r="M113" t="str">
        <f>IFERROR(IF(VLOOKUP(C113,Virgen!A:C,3,FALSE)=Table1[[#Headers],[Virgen]],Table1[[#Headers],[Virgen]],""),"")</f>
        <v/>
      </c>
      <c r="N113" t="str">
        <f>IFERROR(IF(VLOOKUP(C113,Paz!A:C,3,FALSE)=Table1[[#Headers],[Paz]],Table1[[#Headers],[Paz]],""),"")</f>
        <v/>
      </c>
      <c r="O113" t="str">
        <f>IFERROR(IF(VLOOKUP(C113,Pan!A:C,3,FALSE)=Table1[[#Headers],[Pan]],Table1[[#Headers],[Pan]],""),"")</f>
        <v/>
      </c>
      <c r="P113" t="str">
        <f>IFERROR(IF(VLOOKUP(C113,Comunión!A:C,3,FALSE)=Table1[[#Headers],[Comunión]],Table1[[#Headers],[Comunión]],""),"")</f>
        <v/>
      </c>
      <c r="Q113" t="str">
        <f>IFERROR(IF(VLOOKUP(C113,Niños!A:C,3,FALSE)=Table1[[#Headers],[Niños]],Table1[[#Headers],[Niños]],""),"")</f>
        <v/>
      </c>
      <c r="R113" t="str">
        <f>IFERROR(IF(VLOOKUP(C113,Laudes!A:C,3,FALSE)=Table1[[#Headers],[Laudes]],Table1[[#Headers],[Laudes]],""),"")</f>
        <v>Laudes</v>
      </c>
      <c r="S113" t="str">
        <f>IFERROR(IF(VLOOKUP(C113,'Nuevo Testamento'!A:C,3,FALSE)=Table1[[#Headers],[Nuevo Testamento]],Table1[[#Headers],[Nuevo Testamento]],""),"")</f>
        <v/>
      </c>
      <c r="T113" t="str">
        <f>IFERROR(IF(VLOOKUP(C113,'Antiguo Testamento'!A:C,3,FALSE)=Table1[[#Headers],[Antiguo Testamento]],Table1[[#Headers],[Antiguo Testamento]],""),"")</f>
        <v/>
      </c>
      <c r="U113" t="str">
        <f>IFERROR(IF(VLOOKUP(C113,Final!A:C,3,FALSE)=Table1[[#Headers],[Final]],Table1[[#Headers],[Final]],""),"")</f>
        <v/>
      </c>
      <c r="V113" t="str" cm="1">
        <f t="array" ref="V11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/cantos/src/chtml/h/himnodepascua.html</v>
      </c>
      <c r="W11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{id:111,title: "Himno de Pascua", subtitle: "Himno lat. «Aurora lucis rutiiat»", category: "Precatecumenado", moments: ["","","","Pascua","Pentecostés","","","","","","","Laudes","","",""], url: "/cantos/src/chtml/h/himnodepascua.html"},</v>
      </c>
    </row>
    <row r="114" spans="1:23" x14ac:dyDescent="0.25">
      <c r="A114">
        <v>91</v>
      </c>
      <c r="B114" s="14">
        <v>112</v>
      </c>
      <c r="C114" t="s">
        <v>161</v>
      </c>
      <c r="D114" t="s">
        <v>401</v>
      </c>
      <c r="E114" t="str">
        <f>LOWER(LEFT(Table1[[#This Row],[Canto]],1))</f>
        <v>h</v>
      </c>
      <c r="F114" t="s">
        <v>288</v>
      </c>
      <c r="G114" t="str">
        <f>IFERROR(IF(VLOOKUP(C114,Adviento!A:C,3,FALSE)=Table1[[#Headers],[Adviento]],Table1[[#Headers],[Adviento]],""),"")</f>
        <v/>
      </c>
      <c r="H114" t="str">
        <f>IFERROR(IF(VLOOKUP(C114,Navidad!A:C,3,FALSE)=Table1[[#Headers],[Navidad]],Table1[[#Headers],[Navidad]],""),"")</f>
        <v/>
      </c>
      <c r="I114" t="str">
        <f>IFERROR(IF(VLOOKUP(C114,Cuaresma!A:C,3,FALSE)=Table1[[#Headers],[Cuaresma]],Table1[[#Headers],[Cuaresma]],""),"")</f>
        <v/>
      </c>
      <c r="J114" t="str">
        <f>IFERROR(IF(VLOOKUP(C114,Pascua!A:C,3,FALSE)=Table1[[#Headers],[Pascua]],Table1[[#Headers],[Pascua]],""),"")</f>
        <v>Pascua</v>
      </c>
      <c r="K114" t="str">
        <f>IFERROR(IF(VLOOKUP(C114,Pentecostés!A:C,3,FALSE)=Table1[[#Headers],[Pentecostés]],Table1[[#Headers],[Pentecostés]],""),"")</f>
        <v>Pentecostés</v>
      </c>
      <c r="L114" t="str">
        <f>IFERROR(IF(VLOOKUP(C114,Entrada!A:C,3,FALSE)=Table1[[#Headers],[Entrada]],Table1[[#Headers],[Entrada]],""),"")</f>
        <v/>
      </c>
      <c r="M114" t="str">
        <f>IFERROR(IF(VLOOKUP(C114,Virgen!A:C,3,FALSE)=Table1[[#Headers],[Virgen]],Table1[[#Headers],[Virgen]],""),"")</f>
        <v/>
      </c>
      <c r="N114" t="str">
        <f>IFERROR(IF(VLOOKUP(C114,Paz!A:C,3,FALSE)=Table1[[#Headers],[Paz]],Table1[[#Headers],[Paz]],""),"")</f>
        <v/>
      </c>
      <c r="O114" t="str">
        <f>IFERROR(IF(VLOOKUP(C114,Pan!A:C,3,FALSE)=Table1[[#Headers],[Pan]],Table1[[#Headers],[Pan]],""),"")</f>
        <v/>
      </c>
      <c r="P114" t="str">
        <f>IFERROR(IF(VLOOKUP(C114,Comunión!A:C,3,FALSE)=Table1[[#Headers],[Comunión]],Table1[[#Headers],[Comunión]],""),"")</f>
        <v>Comunión</v>
      </c>
      <c r="Q114" t="str">
        <f>IFERROR(IF(VLOOKUP(C114,Niños!A:C,3,FALSE)=Table1[[#Headers],[Niños]],Table1[[#Headers],[Niños]],""),"")</f>
        <v/>
      </c>
      <c r="R114" t="str">
        <f>IFERROR(IF(VLOOKUP(C114,Laudes!A:C,3,FALSE)=Table1[[#Headers],[Laudes]],Table1[[#Headers],[Laudes]],""),"")</f>
        <v/>
      </c>
      <c r="S114" t="str">
        <f>IFERROR(IF(VLOOKUP(C114,'Nuevo Testamento'!A:C,3,FALSE)=Table1[[#Headers],[Nuevo Testamento]],Table1[[#Headers],[Nuevo Testamento]],""),"")</f>
        <v/>
      </c>
      <c r="T114" t="str">
        <f>IFERROR(IF(VLOOKUP(C114,'Antiguo Testamento'!A:C,3,FALSE)=Table1[[#Headers],[Antiguo Testamento]],Table1[[#Headers],[Antiguo Testamento]],""),"")</f>
        <v>Antiguo Testamento</v>
      </c>
      <c r="U114" t="str">
        <f>IFERROR(IF(VLOOKUP(C114,Final!A:C,3,FALSE)=Table1[[#Headers],[Final]],Table1[[#Headers],[Final]],""),"")</f>
        <v>Final</v>
      </c>
      <c r="V114" t="str" cm="1">
        <f t="array" ref="V11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/cantos/src/chtml/h/huyeamadomio.html</v>
      </c>
      <c r="W11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{id:112,title: "Huye, amado mío", subtitle: "Cantar de los Cantares 8,10-14", category: "Precatecumenado", moments: ["","","","Pascua","Pentecostés","","","","","Comunión","","","","Antiguo Testamento","Final"], url: "/cantos/src/chtml/h/huyeamadomio.html"},</v>
      </c>
    </row>
    <row r="115" spans="1:23" x14ac:dyDescent="0.25">
      <c r="A115">
        <v>92</v>
      </c>
      <c r="B115" s="14">
        <v>113</v>
      </c>
      <c r="C115" t="s">
        <v>51</v>
      </c>
      <c r="D115" t="s">
        <v>402</v>
      </c>
      <c r="E115" t="str">
        <f>LOWER(LEFT(Table1[[#This Row],[Canto]],1))</f>
        <v>i</v>
      </c>
      <c r="F115" t="s">
        <v>288</v>
      </c>
      <c r="G115" t="str">
        <f>IFERROR(IF(VLOOKUP(C115,Adviento!A:C,3,FALSE)=Table1[[#Headers],[Adviento]],Table1[[#Headers],[Adviento]],""),"")</f>
        <v/>
      </c>
      <c r="H115" t="str">
        <f>IFERROR(IF(VLOOKUP(C115,Navidad!A:C,3,FALSE)=Table1[[#Headers],[Navidad]],Table1[[#Headers],[Navidad]],""),"")</f>
        <v/>
      </c>
      <c r="I115" t="str">
        <f>IFERROR(IF(VLOOKUP(C115,Cuaresma!A:C,3,FALSE)=Table1[[#Headers],[Cuaresma]],Table1[[#Headers],[Cuaresma]],""),"")</f>
        <v/>
      </c>
      <c r="J115" t="str">
        <f>IFERROR(IF(VLOOKUP(C115,Pascua!A:C,3,FALSE)=Table1[[#Headers],[Pascua]],Table1[[#Headers],[Pascua]],""),"")</f>
        <v>Pascua</v>
      </c>
      <c r="K115" t="str">
        <f>IFERROR(IF(VLOOKUP(C115,Pentecostés!A:C,3,FALSE)=Table1[[#Headers],[Pentecostés]],Table1[[#Headers],[Pentecostés]],""),"")</f>
        <v>Pentecostés</v>
      </c>
      <c r="L115" t="str">
        <f>IFERROR(IF(VLOOKUP(C115,Entrada!A:C,3,FALSE)=Table1[[#Headers],[Entrada]],Table1[[#Headers],[Entrada]],""),"")</f>
        <v/>
      </c>
      <c r="M115" t="str">
        <f>IFERROR(IF(VLOOKUP(C115,Virgen!A:C,3,FALSE)=Table1[[#Headers],[Virgen]],Table1[[#Headers],[Virgen]],""),"")</f>
        <v/>
      </c>
      <c r="N115" t="str">
        <f>IFERROR(IF(VLOOKUP(C115,Paz!A:C,3,FALSE)=Table1[[#Headers],[Paz]],Table1[[#Headers],[Paz]],""),"")</f>
        <v/>
      </c>
      <c r="O115" t="str">
        <f>IFERROR(IF(VLOOKUP(C115,Pan!A:C,3,FALSE)=Table1[[#Headers],[Pan]],Table1[[#Headers],[Pan]],""),"")</f>
        <v/>
      </c>
      <c r="P115" t="str">
        <f>IFERROR(IF(VLOOKUP(C115,Comunión!A:C,3,FALSE)=Table1[[#Headers],[Comunión]],Table1[[#Headers],[Comunión]],""),"")</f>
        <v/>
      </c>
      <c r="Q115" t="str">
        <f>IFERROR(IF(VLOOKUP(C115,Niños!A:C,3,FALSE)=Table1[[#Headers],[Niños]],Table1[[#Headers],[Niños]],""),"")</f>
        <v/>
      </c>
      <c r="R115" t="str">
        <f>IFERROR(IF(VLOOKUP(C115,Laudes!A:C,3,FALSE)=Table1[[#Headers],[Laudes]],Table1[[#Headers],[Laudes]],""),"")</f>
        <v/>
      </c>
      <c r="S115" t="str">
        <f>IFERROR(IF(VLOOKUP(C115,'Nuevo Testamento'!A:C,3,FALSE)=Table1[[#Headers],[Nuevo Testamento]],Table1[[#Headers],[Nuevo Testamento]],""),"")</f>
        <v>Nuevo Testamento</v>
      </c>
      <c r="T115" t="str">
        <f>IFERROR(IF(VLOOKUP(C115,'Antiguo Testamento'!A:C,3,FALSE)=Table1[[#Headers],[Antiguo Testamento]],Table1[[#Headers],[Antiguo Testamento]],""),"")</f>
        <v/>
      </c>
      <c r="U115" t="str">
        <f>IFERROR(IF(VLOOKUP(C115,Final!A:C,3,FALSE)=Table1[[#Headers],[Final]],Table1[[#Headers],[Final]],""),"")</f>
        <v>Final</v>
      </c>
      <c r="V115" t="str" cm="1">
        <f t="array" ref="V11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/cantos/src/chtml/i/idyanunciadamishermanos.html</v>
      </c>
      <c r="W11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{id:113,title: "Id y anunciad a mis hermanos", subtitle: "Mateo 28,10.16-20", category: "Precatecumenado", moments: ["","","","Pascua","Pentecostés","","","","","","","","Nuevo Testamento","","Final"], url: "/cantos/src/chtml/i/idyanunciadamishermanos.html"},</v>
      </c>
    </row>
    <row r="116" spans="1:23" x14ac:dyDescent="0.25">
      <c r="A116">
        <v>93</v>
      </c>
      <c r="B116" s="14">
        <v>114</v>
      </c>
      <c r="C116" t="s">
        <v>52</v>
      </c>
      <c r="D116" t="s">
        <v>403</v>
      </c>
      <c r="E116" t="str">
        <f>LOWER(LEFT(Table1[[#This Row],[Canto]],1))</f>
        <v>i</v>
      </c>
      <c r="F116" t="s">
        <v>288</v>
      </c>
      <c r="G116" t="str">
        <f>IFERROR(IF(VLOOKUP(C116,Adviento!A:C,3,FALSE)=Table1[[#Headers],[Adviento]],Table1[[#Headers],[Adviento]],""),"")</f>
        <v/>
      </c>
      <c r="H116" t="str">
        <f>IFERROR(IF(VLOOKUP(C116,Navidad!A:C,3,FALSE)=Table1[[#Headers],[Navidad]],Table1[[#Headers],[Navidad]],""),"")</f>
        <v/>
      </c>
      <c r="I116" t="str">
        <f>IFERROR(IF(VLOOKUP(C116,Cuaresma!A:C,3,FALSE)=Table1[[#Headers],[Cuaresma]],Table1[[#Headers],[Cuaresma]],""),"")</f>
        <v>Cuaresma</v>
      </c>
      <c r="J116" t="str">
        <f>IFERROR(IF(VLOOKUP(C116,Pascua!A:C,3,FALSE)=Table1[[#Headers],[Pascua]],Table1[[#Headers],[Pascua]],""),"")</f>
        <v/>
      </c>
      <c r="K116" t="str">
        <f>IFERROR(IF(VLOOKUP(C116,Pentecostés!A:C,3,FALSE)=Table1[[#Headers],[Pentecostés]],Table1[[#Headers],[Pentecostés]],""),"")</f>
        <v/>
      </c>
      <c r="L116" t="str">
        <f>IFERROR(IF(VLOOKUP(C116,Entrada!A:C,3,FALSE)=Table1[[#Headers],[Entrada]],Table1[[#Headers],[Entrada]],""),"")</f>
        <v/>
      </c>
      <c r="M116" t="str">
        <f>IFERROR(IF(VLOOKUP(C116,Virgen!A:C,3,FALSE)=Table1[[#Headers],[Virgen]],Table1[[#Headers],[Virgen]],""),"")</f>
        <v/>
      </c>
      <c r="N116" t="str">
        <f>IFERROR(IF(VLOOKUP(C116,Paz!A:C,3,FALSE)=Table1[[#Headers],[Paz]],Table1[[#Headers],[Paz]],""),"")</f>
        <v/>
      </c>
      <c r="O116" t="str">
        <f>IFERROR(IF(VLOOKUP(C116,Pan!A:C,3,FALSE)=Table1[[#Headers],[Pan]],Table1[[#Headers],[Pan]],""),"")</f>
        <v>Pan</v>
      </c>
      <c r="P116" t="str">
        <f>IFERROR(IF(VLOOKUP(C116,Comunión!A:C,3,FALSE)=Table1[[#Headers],[Comunión]],Table1[[#Headers],[Comunión]],""),"")</f>
        <v/>
      </c>
      <c r="Q116" t="str">
        <f>IFERROR(IF(VLOOKUP(C116,Niños!A:C,3,FALSE)=Table1[[#Headers],[Niños]],Table1[[#Headers],[Niños]],""),"")</f>
        <v/>
      </c>
      <c r="R116" t="str">
        <f>IFERROR(IF(VLOOKUP(C116,Laudes!A:C,3,FALSE)=Table1[[#Headers],[Laudes]],Table1[[#Headers],[Laudes]],""),"")</f>
        <v/>
      </c>
      <c r="S116" t="str">
        <f>IFERROR(IF(VLOOKUP(C116,'Nuevo Testamento'!A:C,3,FALSE)=Table1[[#Headers],[Nuevo Testamento]],Table1[[#Headers],[Nuevo Testamento]],""),"")</f>
        <v/>
      </c>
      <c r="T116" t="str">
        <f>IFERROR(IF(VLOOKUP(C116,'Antiguo Testamento'!A:C,3,FALSE)=Table1[[#Headers],[Antiguo Testamento]],Table1[[#Headers],[Antiguo Testamento]],""),"")</f>
        <v/>
      </c>
      <c r="U116" t="str">
        <f>IFERROR(IF(VLOOKUP(C116,Final!A:C,3,FALSE)=Table1[[#Headers],[Final]],Table1[[#Headers],[Final]],""),"")</f>
        <v/>
      </c>
      <c r="V116" t="str" cm="1">
        <f t="array" ref="V11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/cantos/src/chtml/i/improperios.html</v>
      </c>
      <c r="W11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{id:114,title: "Improperios", subtitle: "Adoración de la santa Cruz el Viernes santo", category: "Precatecumenado", moments: ["","","Cuaresma","","","","","","Pan","","","","","",""], url: "/cantos/src/chtml/i/improperios.html"},</v>
      </c>
    </row>
    <row r="117" spans="1:23" x14ac:dyDescent="0.25">
      <c r="A117">
        <v>228</v>
      </c>
      <c r="B117" s="14">
        <v>115</v>
      </c>
      <c r="C117" t="s">
        <v>162</v>
      </c>
      <c r="D117" t="s">
        <v>404</v>
      </c>
      <c r="E117" t="str">
        <f>LOWER(LEFT(Table1[[#This Row],[Canto]],1))</f>
        <v>j</v>
      </c>
      <c r="F117" s="13" t="s">
        <v>290</v>
      </c>
      <c r="G117" t="str">
        <f>IFERROR(IF(VLOOKUP(C117,Adviento!A:C,3,FALSE)=Table1[[#Headers],[Adviento]],Table1[[#Headers],[Adviento]],""),"")</f>
        <v/>
      </c>
      <c r="H117" t="str">
        <f>IFERROR(IF(VLOOKUP(C117,Navidad!A:C,3,FALSE)=Table1[[#Headers],[Navidad]],Table1[[#Headers],[Navidad]],""),"")</f>
        <v/>
      </c>
      <c r="I117" t="str">
        <f>IFERROR(IF(VLOOKUP(C117,Cuaresma!A:C,3,FALSE)=Table1[[#Headers],[Cuaresma]],Table1[[#Headers],[Cuaresma]],""),"")</f>
        <v/>
      </c>
      <c r="J117" t="str">
        <f>IFERROR(IF(VLOOKUP(C117,Pascua!A:C,3,FALSE)=Table1[[#Headers],[Pascua]],Table1[[#Headers],[Pascua]],""),"")</f>
        <v/>
      </c>
      <c r="K117" t="str">
        <f>IFERROR(IF(VLOOKUP(C117,Pentecostés!A:C,3,FALSE)=Table1[[#Headers],[Pentecostés]],Table1[[#Headers],[Pentecostés]],""),"")</f>
        <v/>
      </c>
      <c r="L117" t="str">
        <f>IFERROR(IF(VLOOKUP(C117,Entrada!A:C,3,FALSE)=Table1[[#Headers],[Entrada]],Table1[[#Headers],[Entrada]],""),"")</f>
        <v/>
      </c>
      <c r="M117" t="str">
        <f>IFERROR(IF(VLOOKUP(C117,Virgen!A:C,3,FALSE)=Table1[[#Headers],[Virgen]],Table1[[#Headers],[Virgen]],""),"")</f>
        <v/>
      </c>
      <c r="N117" t="str">
        <f>IFERROR(IF(VLOOKUP(C117,Paz!A:C,3,FALSE)=Table1[[#Headers],[Paz]],Table1[[#Headers],[Paz]],""),"")</f>
        <v/>
      </c>
      <c r="O117" t="str">
        <f>IFERROR(IF(VLOOKUP(C117,Pan!A:C,3,FALSE)=Table1[[#Headers],[Pan]],Table1[[#Headers],[Pan]],""),"")</f>
        <v/>
      </c>
      <c r="P117" t="str">
        <f>IFERROR(IF(VLOOKUP(C117,Comunión!A:C,3,FALSE)=Table1[[#Headers],[Comunión]],Table1[[#Headers],[Comunión]],""),"")</f>
        <v/>
      </c>
      <c r="Q117" t="str">
        <f>IFERROR(IF(VLOOKUP(C117,Niños!A:C,3,FALSE)=Table1[[#Headers],[Niños]],Table1[[#Headers],[Niños]],""),"")</f>
        <v/>
      </c>
      <c r="R117" t="str">
        <f>IFERROR(IF(VLOOKUP(C117,Laudes!A:C,3,FALSE)=Table1[[#Headers],[Laudes]],Table1[[#Headers],[Laudes]],""),"")</f>
        <v/>
      </c>
      <c r="S117" t="str">
        <f>IFERROR(IF(VLOOKUP(C117,'Nuevo Testamento'!A:C,3,FALSE)=Table1[[#Headers],[Nuevo Testamento]],Table1[[#Headers],[Nuevo Testamento]],""),"")</f>
        <v/>
      </c>
      <c r="T117" t="str">
        <f>IFERROR(IF(VLOOKUP(C117,'Antiguo Testamento'!A:C,3,FALSE)=Table1[[#Headers],[Antiguo Testamento]],Table1[[#Headers],[Antiguo Testamento]],""),"")</f>
        <v>Antiguo Testamento</v>
      </c>
      <c r="U117" t="str">
        <f>IFERROR(IF(VLOOKUP(C117,Final!A:C,3,FALSE)=Table1[[#Headers],[Final]],Table1[[#Headers],[Final]],""),"")</f>
        <v/>
      </c>
      <c r="V117" t="str" cm="1">
        <f t="array" ref="V11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/cantos/src/chtml/j/jacob.html</v>
      </c>
      <c r="W11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{id:115,title: "Jacob", subtitle: "Genesis 32,23-29 ", category: "Catecumenado", moments: ["","","","","","","","","","","","","","Antiguo Testamento",""], url: "/cantos/src/chtml/j/jacob.html"},</v>
      </c>
    </row>
    <row r="118" spans="1:23" x14ac:dyDescent="0.25">
      <c r="A118">
        <v>94</v>
      </c>
      <c r="B118" s="14">
        <v>116</v>
      </c>
      <c r="C118" t="s">
        <v>163</v>
      </c>
      <c r="D118" t="s">
        <v>405</v>
      </c>
      <c r="E118" t="str">
        <f>LOWER(LEFT(Table1[[#This Row],[Canto]],1))</f>
        <v>j</v>
      </c>
      <c r="F118" t="s">
        <v>288</v>
      </c>
      <c r="G118" t="str">
        <f>IFERROR(IF(VLOOKUP(C118,Adviento!A:C,3,FALSE)=Table1[[#Headers],[Adviento]],Table1[[#Headers],[Adviento]],""),"")</f>
        <v/>
      </c>
      <c r="H118" t="str">
        <f>IFERROR(IF(VLOOKUP(C118,Navidad!A:C,3,FALSE)=Table1[[#Headers],[Navidad]],Table1[[#Headers],[Navidad]],""),"")</f>
        <v/>
      </c>
      <c r="I118" t="str">
        <f>IFERROR(IF(VLOOKUP(C118,Cuaresma!A:C,3,FALSE)=Table1[[#Headers],[Cuaresma]],Table1[[#Headers],[Cuaresma]],""),"")</f>
        <v/>
      </c>
      <c r="J118" t="str">
        <f>IFERROR(IF(VLOOKUP(C118,Pascua!A:C,3,FALSE)=Table1[[#Headers],[Pascua]],Table1[[#Headers],[Pascua]],""),"")</f>
        <v>Pascua</v>
      </c>
      <c r="K118" t="str">
        <f>IFERROR(IF(VLOOKUP(C118,Pentecostés!A:C,3,FALSE)=Table1[[#Headers],[Pentecostés]],Table1[[#Headers],[Pentecostés]],""),"")</f>
        <v>Pentecostés</v>
      </c>
      <c r="L118" t="str">
        <f>IFERROR(IF(VLOOKUP(C118,Entrada!A:C,3,FALSE)=Table1[[#Headers],[Entrada]],Table1[[#Headers],[Entrada]],""),"")</f>
        <v/>
      </c>
      <c r="M118" t="str">
        <f>IFERROR(IF(VLOOKUP(C118,Virgen!A:C,3,FALSE)=Table1[[#Headers],[Virgen]],Table1[[#Headers],[Virgen]],""),"")</f>
        <v/>
      </c>
      <c r="N118" t="str">
        <f>IFERROR(IF(VLOOKUP(C118,Paz!A:C,3,FALSE)=Table1[[#Headers],[Paz]],Table1[[#Headers],[Paz]],""),"")</f>
        <v>Paz</v>
      </c>
      <c r="O118" t="str">
        <f>IFERROR(IF(VLOOKUP(C118,Pan!A:C,3,FALSE)=Table1[[#Headers],[Pan]],Table1[[#Headers],[Pan]],""),"")</f>
        <v/>
      </c>
      <c r="P118" t="str">
        <f>IFERROR(IF(VLOOKUP(C118,Comunión!A:C,3,FALSE)=Table1[[#Headers],[Comunión]],Table1[[#Headers],[Comunión]],""),"")</f>
        <v/>
      </c>
      <c r="Q118" t="str">
        <f>IFERROR(IF(VLOOKUP(C118,Niños!A:C,3,FALSE)=Table1[[#Headers],[Niños]],Table1[[#Headers],[Niños]],""),"")</f>
        <v/>
      </c>
      <c r="R118" t="str">
        <f>IFERROR(IF(VLOOKUP(C118,Laudes!A:C,3,FALSE)=Table1[[#Headers],[Laudes]],Table1[[#Headers],[Laudes]],""),"")</f>
        <v/>
      </c>
      <c r="S118" t="str">
        <f>IFERROR(IF(VLOOKUP(C118,'Nuevo Testamento'!A:C,3,FALSE)=Table1[[#Headers],[Nuevo Testamento]],Table1[[#Headers],[Nuevo Testamento]],""),"")</f>
        <v/>
      </c>
      <c r="T118" t="str">
        <f>IFERROR(IF(VLOOKUP(C118,'Antiguo Testamento'!A:C,3,FALSE)=Table1[[#Headers],[Antiguo Testamento]],Table1[[#Headers],[Antiguo Testamento]],""),"")</f>
        <v>Antiguo Testamento</v>
      </c>
      <c r="U118" t="str">
        <f>IFERROR(IF(VLOOKUP(C118,Final!A:C,3,FALSE)=Table1[[#Headers],[Final]],Table1[[#Headers],[Final]],""),"")</f>
        <v/>
      </c>
      <c r="V118" t="str" cm="1">
        <f t="array" ref="V11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/cantos/src/chtml/j/jerusalenreconstruida.html</v>
      </c>
      <c r="W11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{id:116,title: "Jerusalén reconstruida", subtitle: "Tobias 13,11-17", category: "Precatecumenado", moments: ["","","","Pascua","Pentecostés","","","Paz","","","","","","Antiguo Testamento",""], url: "/cantos/src/chtml/j/jerusalenreconstruida.html"},</v>
      </c>
    </row>
    <row r="119" spans="1:23" x14ac:dyDescent="0.25">
      <c r="A119">
        <v>95</v>
      </c>
      <c r="B119" s="14">
        <v>117</v>
      </c>
      <c r="C119" t="s">
        <v>53</v>
      </c>
      <c r="D119" t="s">
        <v>406</v>
      </c>
      <c r="E119" t="str">
        <f>LOWER(LEFT(Table1[[#This Row],[Canto]],1))</f>
        <v>j</v>
      </c>
      <c r="F119" t="s">
        <v>288</v>
      </c>
      <c r="G119" t="str">
        <f>IFERROR(IF(VLOOKUP(C119,Adviento!A:C,3,FALSE)=Table1[[#Headers],[Adviento]],Table1[[#Headers],[Adviento]],""),"")</f>
        <v/>
      </c>
      <c r="H119" t="str">
        <f>IFERROR(IF(VLOOKUP(C119,Navidad!A:C,3,FALSE)=Table1[[#Headers],[Navidad]],Table1[[#Headers],[Navidad]],""),"")</f>
        <v/>
      </c>
      <c r="I119" t="str">
        <f>IFERROR(IF(VLOOKUP(C119,Cuaresma!A:C,3,FALSE)=Table1[[#Headers],[Cuaresma]],Table1[[#Headers],[Cuaresma]],""),"")</f>
        <v/>
      </c>
      <c r="J119" t="str">
        <f>IFERROR(IF(VLOOKUP(C119,Pascua!A:C,3,FALSE)=Table1[[#Headers],[Pascua]],Table1[[#Headers],[Pascua]],""),"")</f>
        <v/>
      </c>
      <c r="K119" t="str">
        <f>IFERROR(IF(VLOOKUP(C119,Pentecostés!A:C,3,FALSE)=Table1[[#Headers],[Pentecostés]],Table1[[#Headers],[Pentecostés]],""),"")</f>
        <v/>
      </c>
      <c r="L119" t="str">
        <f>IFERROR(IF(VLOOKUP(C119,Entrada!A:C,3,FALSE)=Table1[[#Headers],[Entrada]],Table1[[#Headers],[Entrada]],""),"")</f>
        <v/>
      </c>
      <c r="M119" t="str">
        <f>IFERROR(IF(VLOOKUP(C119,Virgen!A:C,3,FALSE)=Table1[[#Headers],[Virgen]],Table1[[#Headers],[Virgen]],""),"")</f>
        <v/>
      </c>
      <c r="N119" t="str">
        <f>IFERROR(IF(VLOOKUP(C119,Paz!A:C,3,FALSE)=Table1[[#Headers],[Paz]],Table1[[#Headers],[Paz]],""),"")</f>
        <v/>
      </c>
      <c r="O119" t="str">
        <f>IFERROR(IF(VLOOKUP(C119,Pan!A:C,3,FALSE)=Table1[[#Headers],[Pan]],Table1[[#Headers],[Pan]],""),"")</f>
        <v/>
      </c>
      <c r="P119" t="str">
        <f>IFERROR(IF(VLOOKUP(C119,Comunión!A:C,3,FALSE)=Table1[[#Headers],[Comunión]],Table1[[#Headers],[Comunión]],""),"")</f>
        <v/>
      </c>
      <c r="Q119" t="str">
        <f>IFERROR(IF(VLOOKUP(C119,Niños!A:C,3,FALSE)=Table1[[#Headers],[Niños]],Table1[[#Headers],[Niños]],""),"")</f>
        <v/>
      </c>
      <c r="R119" t="str">
        <f>IFERROR(IF(VLOOKUP(C119,Laudes!A:C,3,FALSE)=Table1[[#Headers],[Laudes]],Table1[[#Headers],[Laudes]],""),"")</f>
        <v/>
      </c>
      <c r="S119" t="str">
        <f>IFERROR(IF(VLOOKUP(C119,'Nuevo Testamento'!A:C,3,FALSE)=Table1[[#Headers],[Nuevo Testamento]],Table1[[#Headers],[Nuevo Testamento]],""),"")</f>
        <v>Nuevo Testamento</v>
      </c>
      <c r="T119" t="str">
        <f>IFERROR(IF(VLOOKUP(C119,'Antiguo Testamento'!A:C,3,FALSE)=Table1[[#Headers],[Antiguo Testamento]],Table1[[#Headers],[Antiguo Testamento]],""),"")</f>
        <v/>
      </c>
      <c r="U119" t="str">
        <f>IFERROR(IF(VLOOKUP(C119,Final!A:C,3,FALSE)=Table1[[#Headers],[Final]],Table1[[#Headers],[Final]],""),"")</f>
        <v/>
      </c>
      <c r="V119" t="str" cm="1">
        <f t="array" ref="V11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/cantos/src/chtml/j/jesusrecorriatodaslasciudades.html</v>
      </c>
      <c r="W11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{id:117,title: "Jesús recorría todas las ciudades", subtitle: "Mateo 9,35ss; 10 ", category: "Precatecumenado", moments: ["","","","","","","","","","","","","Nuevo Testamento","",""], url: "/cantos/src/chtml/j/jesusrecorriatodaslasciudades.html"},</v>
      </c>
    </row>
    <row r="120" spans="1:23" x14ac:dyDescent="0.25">
      <c r="A120">
        <v>96</v>
      </c>
      <c r="B120" s="14">
        <v>118</v>
      </c>
      <c r="C120" t="s">
        <v>54</v>
      </c>
      <c r="D120" t="s">
        <v>407</v>
      </c>
      <c r="E120" t="str">
        <f>LOWER(LEFT(Table1[[#This Row],[Canto]],1))</f>
        <v>l</v>
      </c>
      <c r="F120" t="s">
        <v>288</v>
      </c>
      <c r="G120" t="str">
        <f>IFERROR(IF(VLOOKUP(C120,Adviento!A:C,3,FALSE)=Table1[[#Headers],[Adviento]],Table1[[#Headers],[Adviento]],""),"")</f>
        <v>Adviento</v>
      </c>
      <c r="H120" t="str">
        <f>IFERROR(IF(VLOOKUP(C120,Navidad!A:C,3,FALSE)=Table1[[#Headers],[Navidad]],Table1[[#Headers],[Navidad]],""),"")</f>
        <v>Navidad</v>
      </c>
      <c r="I120" t="str">
        <f>IFERROR(IF(VLOOKUP(C120,Cuaresma!A:C,3,FALSE)=Table1[[#Headers],[Cuaresma]],Table1[[#Headers],[Cuaresma]],""),"")</f>
        <v/>
      </c>
      <c r="J120" t="str">
        <f>IFERROR(IF(VLOOKUP(C120,Pascua!A:C,3,FALSE)=Table1[[#Headers],[Pascua]],Table1[[#Headers],[Pascua]],""),"")</f>
        <v/>
      </c>
      <c r="K120" t="str">
        <f>IFERROR(IF(VLOOKUP(C120,Pentecostés!A:C,3,FALSE)=Table1[[#Headers],[Pentecostés]],Table1[[#Headers],[Pentecostés]],""),"")</f>
        <v/>
      </c>
      <c r="L120" t="str">
        <f>IFERROR(IF(VLOOKUP(C120,Entrada!A:C,3,FALSE)=Table1[[#Headers],[Entrada]],Table1[[#Headers],[Entrada]],""),"")</f>
        <v/>
      </c>
      <c r="M120" t="str">
        <f>IFERROR(IF(VLOOKUP(C120,Virgen!A:C,3,FALSE)=Table1[[#Headers],[Virgen]],Table1[[#Headers],[Virgen]],""),"")</f>
        <v>Virgen</v>
      </c>
      <c r="N120" t="str">
        <f>IFERROR(IF(VLOOKUP(C120,Paz!A:C,3,FALSE)=Table1[[#Headers],[Paz]],Table1[[#Headers],[Paz]],""),"")</f>
        <v/>
      </c>
      <c r="O120" t="str">
        <f>IFERROR(IF(VLOOKUP(C120,Pan!A:C,3,FALSE)=Table1[[#Headers],[Pan]],Table1[[#Headers],[Pan]],""),"")</f>
        <v/>
      </c>
      <c r="P120" t="str">
        <f>IFERROR(IF(VLOOKUP(C120,Comunión!A:C,3,FALSE)=Table1[[#Headers],[Comunión]],Table1[[#Headers],[Comunión]],""),"")</f>
        <v/>
      </c>
      <c r="Q120" t="str">
        <f>IFERROR(IF(VLOOKUP(C120,Niños!A:C,3,FALSE)=Table1[[#Headers],[Niños]],Table1[[#Headers],[Niños]],""),"")</f>
        <v/>
      </c>
      <c r="R120" t="str">
        <f>IFERROR(IF(VLOOKUP(C120,Laudes!A:C,3,FALSE)=Table1[[#Headers],[Laudes]],Table1[[#Headers],[Laudes]],""),"")</f>
        <v/>
      </c>
      <c r="S120" t="str">
        <f>IFERROR(IF(VLOOKUP(C120,'Nuevo Testamento'!A:C,3,FALSE)=Table1[[#Headers],[Nuevo Testamento]],Table1[[#Headers],[Nuevo Testamento]],""),"")</f>
        <v>Nuevo Testamento</v>
      </c>
      <c r="T120" t="str">
        <f>IFERROR(IF(VLOOKUP(C120,'Antiguo Testamento'!A:C,3,FALSE)=Table1[[#Headers],[Antiguo Testamento]],Table1[[#Headers],[Antiguo Testamento]],""),"")</f>
        <v/>
      </c>
      <c r="U120" t="str">
        <f>IFERROR(IF(VLOOKUP(C120,Final!A:C,3,FALSE)=Table1[[#Headers],[Final]],Table1[[#Headers],[Final]],""),"")</f>
        <v/>
      </c>
      <c r="V120" t="str" cm="1">
        <f t="array" ref="V12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/cantos/src/chtml/l/lacorderadedios.html</v>
      </c>
      <c r="W12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{id:118,title: "La cordera de Dios", subtitle: "Mateo 1,18s; 2,13s.18", category: "Precatecumenado", moments: ["Adviento","Navidad","","","","","Virgen","","","","","","Nuevo Testamento","",""], url: "/cantos/src/chtml/l/lacorderadedios.html"},</v>
      </c>
    </row>
    <row r="121" spans="1:23" x14ac:dyDescent="0.25">
      <c r="A121">
        <v>97</v>
      </c>
      <c r="B121" s="14">
        <v>119</v>
      </c>
      <c r="C121" t="s">
        <v>164</v>
      </c>
      <c r="D121" t="s">
        <v>408</v>
      </c>
      <c r="E121" t="str">
        <f>LOWER(LEFT(Table1[[#This Row],[Canto]],1))</f>
        <v>l</v>
      </c>
      <c r="F121" t="s">
        <v>288</v>
      </c>
      <c r="G121" t="str">
        <f>IFERROR(IF(VLOOKUP(C121,Adviento!A:C,3,FALSE)=Table1[[#Headers],[Adviento]],Table1[[#Headers],[Adviento]],""),"")</f>
        <v/>
      </c>
      <c r="H121" t="str">
        <f>IFERROR(IF(VLOOKUP(C121,Navidad!A:C,3,FALSE)=Table1[[#Headers],[Navidad]],Table1[[#Headers],[Navidad]],""),"")</f>
        <v/>
      </c>
      <c r="I121" t="str">
        <f>IFERROR(IF(VLOOKUP(C121,Cuaresma!A:C,3,FALSE)=Table1[[#Headers],[Cuaresma]],Table1[[#Headers],[Cuaresma]],""),"")</f>
        <v>Cuaresma</v>
      </c>
      <c r="J121" t="str">
        <f>IFERROR(IF(VLOOKUP(C121,Pascua!A:C,3,FALSE)=Table1[[#Headers],[Pascua]],Table1[[#Headers],[Pascua]],""),"")</f>
        <v/>
      </c>
      <c r="K121" t="str">
        <f>IFERROR(IF(VLOOKUP(C121,Pentecostés!A:C,3,FALSE)=Table1[[#Headers],[Pentecostés]],Table1[[#Headers],[Pentecostés]],""),"")</f>
        <v/>
      </c>
      <c r="L121" t="str">
        <f>IFERROR(IF(VLOOKUP(C121,Entrada!A:C,3,FALSE)=Table1[[#Headers],[Entrada]],Table1[[#Headers],[Entrada]],""),"")</f>
        <v/>
      </c>
      <c r="M121" t="str">
        <f>IFERROR(IF(VLOOKUP(C121,Virgen!A:C,3,FALSE)=Table1[[#Headers],[Virgen]],Table1[[#Headers],[Virgen]],""),"")</f>
        <v>Virgen</v>
      </c>
      <c r="N121" t="str">
        <f>IFERROR(IF(VLOOKUP(C121,Paz!A:C,3,FALSE)=Table1[[#Headers],[Paz]],Table1[[#Headers],[Paz]],""),"")</f>
        <v/>
      </c>
      <c r="O121" t="str">
        <f>IFERROR(IF(VLOOKUP(C121,Pan!A:C,3,FALSE)=Table1[[#Headers],[Pan]],Table1[[#Headers],[Pan]],""),"")</f>
        <v/>
      </c>
      <c r="P121" t="str">
        <f>IFERROR(IF(VLOOKUP(C121,Comunión!A:C,3,FALSE)=Table1[[#Headers],[Comunión]],Table1[[#Headers],[Comunión]],""),"")</f>
        <v/>
      </c>
      <c r="Q121" t="str">
        <f>IFERROR(IF(VLOOKUP(C121,Niños!A:C,3,FALSE)=Table1[[#Headers],[Niños]],Table1[[#Headers],[Niños]],""),"")</f>
        <v/>
      </c>
      <c r="R121" t="str">
        <f>IFERROR(IF(VLOOKUP(C121,Laudes!A:C,3,FALSE)=Table1[[#Headers],[Laudes]],Table1[[#Headers],[Laudes]],""),"")</f>
        <v/>
      </c>
      <c r="S121" t="str">
        <f>IFERROR(IF(VLOOKUP(C121,'Nuevo Testamento'!A:C,3,FALSE)=Table1[[#Headers],[Nuevo Testamento]],Table1[[#Headers],[Nuevo Testamento]],""),"")</f>
        <v/>
      </c>
      <c r="T121" t="str">
        <f>IFERROR(IF(VLOOKUP(C121,'Antiguo Testamento'!A:C,3,FALSE)=Table1[[#Headers],[Antiguo Testamento]],Table1[[#Headers],[Antiguo Testamento]],""),"")</f>
        <v/>
      </c>
      <c r="U121" t="str">
        <f>IFERROR(IF(VLOOKUP(C121,Final!A:C,3,FALSE)=Table1[[#Headers],[Final]],Table1[[#Headers],[Final]],""),"")</f>
        <v/>
      </c>
      <c r="V121" t="str" cm="1">
        <f t="array" ref="V12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/cantos/src/chtml/l/laespada.html</v>
      </c>
      <c r="W12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{id:119,title: "La espada", subtitle: "Ezequiel 21,14-22", category: "Precatecumenado", moments: ["","","Cuaresma","","","","Virgen","","","","","","","",""], url: "/cantos/src/chtml/l/laespada.html"},</v>
      </c>
    </row>
    <row r="122" spans="1:23" x14ac:dyDescent="0.25">
      <c r="A122">
        <v>98</v>
      </c>
      <c r="B122" s="14">
        <v>120</v>
      </c>
      <c r="C122" t="s">
        <v>165</v>
      </c>
      <c r="D122" t="s">
        <v>409</v>
      </c>
      <c r="E122" t="str">
        <f>LOWER(LEFT(Table1[[#This Row],[Canto]],1))</f>
        <v>l</v>
      </c>
      <c r="F122" t="s">
        <v>288</v>
      </c>
      <c r="G122" t="str">
        <f>IFERROR(IF(VLOOKUP(C122,Adviento!A:C,3,FALSE)=Table1[[#Headers],[Adviento]],Table1[[#Headers],[Adviento]],""),"")</f>
        <v/>
      </c>
      <c r="H122" t="str">
        <f>IFERROR(IF(VLOOKUP(C122,Navidad!A:C,3,FALSE)=Table1[[#Headers],[Navidad]],Table1[[#Headers],[Navidad]],""),"")</f>
        <v/>
      </c>
      <c r="I122" t="str">
        <f>IFERROR(IF(VLOOKUP(C122,Cuaresma!A:C,3,FALSE)=Table1[[#Headers],[Cuaresma]],Table1[[#Headers],[Cuaresma]],""),"")</f>
        <v>Cuaresma</v>
      </c>
      <c r="J122" t="str">
        <f>IFERROR(IF(VLOOKUP(C122,Pascua!A:C,3,FALSE)=Table1[[#Headers],[Pascua]],Table1[[#Headers],[Pascua]],""),"")</f>
        <v/>
      </c>
      <c r="K122" t="str">
        <f>IFERROR(IF(VLOOKUP(C122,Pentecostés!A:C,3,FALSE)=Table1[[#Headers],[Pentecostés]],Table1[[#Headers],[Pentecostés]],""),"")</f>
        <v/>
      </c>
      <c r="L122" t="str">
        <f>IFERROR(IF(VLOOKUP(C122,Entrada!A:C,3,FALSE)=Table1[[#Headers],[Entrada]],Table1[[#Headers],[Entrada]],""),"")</f>
        <v/>
      </c>
      <c r="M122" t="str">
        <f>IFERROR(IF(VLOOKUP(C122,Virgen!A:C,3,FALSE)=Table1[[#Headers],[Virgen]],Table1[[#Headers],[Virgen]],""),"")</f>
        <v/>
      </c>
      <c r="N122" t="str">
        <f>IFERROR(IF(VLOOKUP(C122,Paz!A:C,3,FALSE)=Table1[[#Headers],[Paz]],Table1[[#Headers],[Paz]],""),"")</f>
        <v/>
      </c>
      <c r="O122" t="str">
        <f>IFERROR(IF(VLOOKUP(C122,Pan!A:C,3,FALSE)=Table1[[#Headers],[Pan]],Table1[[#Headers],[Pan]],""),"")</f>
        <v/>
      </c>
      <c r="P122" t="str">
        <f>IFERROR(IF(VLOOKUP(C122,Comunión!A:C,3,FALSE)=Table1[[#Headers],[Comunión]],Table1[[#Headers],[Comunión]],""),"")</f>
        <v/>
      </c>
      <c r="Q122" t="str">
        <f>IFERROR(IF(VLOOKUP(C122,Niños!A:C,3,FALSE)=Table1[[#Headers],[Niños]],Table1[[#Headers],[Niños]],""),"")</f>
        <v/>
      </c>
      <c r="R122" t="str">
        <f>IFERROR(IF(VLOOKUP(C122,Laudes!A:C,3,FALSE)=Table1[[#Headers],[Laudes]],Table1[[#Headers],[Laudes]],""),"")</f>
        <v/>
      </c>
      <c r="S122" t="str">
        <f>IFERROR(IF(VLOOKUP(C122,'Nuevo Testamento'!A:C,3,FALSE)=Table1[[#Headers],[Nuevo Testamento]],Table1[[#Headers],[Nuevo Testamento]],""),"")</f>
        <v/>
      </c>
      <c r="T122" t="str">
        <f>IFERROR(IF(VLOOKUP(C122,'Antiguo Testamento'!A:C,3,FALSE)=Table1[[#Headers],[Antiguo Testamento]],Table1[[#Headers],[Antiguo Testamento]],""),"")</f>
        <v/>
      </c>
      <c r="U122" t="str">
        <f>IFERROR(IF(VLOOKUP(C122,Final!A:C,3,FALSE)=Table1[[#Headers],[Final]],Table1[[#Headers],[Final]],""),"")</f>
        <v/>
      </c>
      <c r="V122" t="str" cm="1">
        <f t="array" ref="V12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/cantos/src/chtml/l/lamarchaesdura.html</v>
      </c>
      <c r="W12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{id:120,title: "La marcha es dura", subtitle: "Espiritual negro «Go down, Moses»", category: "Precatecumenado", moments: ["","","Cuaresma","","","","","","","","","","","",""], url: "/cantos/src/chtml/l/lamarchaesdura.html"},</v>
      </c>
    </row>
    <row r="123" spans="1:23" x14ac:dyDescent="0.25">
      <c r="A123">
        <v>242</v>
      </c>
      <c r="B123" s="14">
        <v>121</v>
      </c>
      <c r="C123" t="s">
        <v>55</v>
      </c>
      <c r="D123" t="s">
        <v>410</v>
      </c>
      <c r="E123" t="str">
        <f>LOWER(LEFT(Table1[[#This Row],[Canto]],1))</f>
        <v>l</v>
      </c>
      <c r="F123" s="11" t="s">
        <v>287</v>
      </c>
      <c r="G123" t="str">
        <f>IFERROR(IF(VLOOKUP(C123,Adviento!A:C,3,FALSE)=Table1[[#Headers],[Adviento]],Table1[[#Headers],[Adviento]],""),"")</f>
        <v/>
      </c>
      <c r="H123" t="str">
        <f>IFERROR(IF(VLOOKUP(C123,Navidad!A:C,3,FALSE)=Table1[[#Headers],[Navidad]],Table1[[#Headers],[Navidad]],""),"")</f>
        <v/>
      </c>
      <c r="I123" t="str">
        <f>IFERROR(IF(VLOOKUP(C123,Cuaresma!A:C,3,FALSE)=Table1[[#Headers],[Cuaresma]],Table1[[#Headers],[Cuaresma]],""),"")</f>
        <v/>
      </c>
      <c r="J123" t="str">
        <f>IFERROR(IF(VLOOKUP(C123,Pascua!A:C,3,FALSE)=Table1[[#Headers],[Pascua]],Table1[[#Headers],[Pascua]],""),"")</f>
        <v/>
      </c>
      <c r="K123" t="str">
        <f>IFERROR(IF(VLOOKUP(C123,Pentecostés!A:C,3,FALSE)=Table1[[#Headers],[Pentecostés]],Table1[[#Headers],[Pentecostés]],""),"")</f>
        <v/>
      </c>
      <c r="L123" t="str">
        <f>IFERROR(IF(VLOOKUP(C123,Entrada!A:C,3,FALSE)=Table1[[#Headers],[Entrada]],Table1[[#Headers],[Entrada]],""),"")</f>
        <v/>
      </c>
      <c r="M123" t="str">
        <f>IFERROR(IF(VLOOKUP(C123,Virgen!A:C,3,FALSE)=Table1[[#Headers],[Virgen]],Table1[[#Headers],[Virgen]],""),"")</f>
        <v/>
      </c>
      <c r="N123" t="str">
        <f>IFERROR(IF(VLOOKUP(C123,Paz!A:C,3,FALSE)=Table1[[#Headers],[Paz]],Table1[[#Headers],[Paz]],""),"")</f>
        <v/>
      </c>
      <c r="O123" t="str">
        <f>IFERROR(IF(VLOOKUP(C123,Pan!A:C,3,FALSE)=Table1[[#Headers],[Pan]],Table1[[#Headers],[Pan]],""),"")</f>
        <v/>
      </c>
      <c r="P123" t="str">
        <f>IFERROR(IF(VLOOKUP(C123,Comunión!A:C,3,FALSE)=Table1[[#Headers],[Comunión]],Table1[[#Headers],[Comunión]],""),"")</f>
        <v/>
      </c>
      <c r="Q123" t="str">
        <f>IFERROR(IF(VLOOKUP(C123,Niños!A:C,3,FALSE)=Table1[[#Headers],[Niños]],Table1[[#Headers],[Niños]],""),"")</f>
        <v/>
      </c>
      <c r="R123" t="str">
        <f>IFERROR(IF(VLOOKUP(C123,Laudes!A:C,3,FALSE)=Table1[[#Headers],[Laudes]],Table1[[#Headers],[Laudes]],""),"")</f>
        <v>Laudes</v>
      </c>
      <c r="S123" t="str">
        <f>IFERROR(IF(VLOOKUP(C123,'Nuevo Testamento'!A:C,3,FALSE)=Table1[[#Headers],[Nuevo Testamento]],Table1[[#Headers],[Nuevo Testamento]],""),"")</f>
        <v/>
      </c>
      <c r="T123" t="str">
        <f>IFERROR(IF(VLOOKUP(C123,'Antiguo Testamento'!A:C,3,FALSE)=Table1[[#Headers],[Antiguo Testamento]],Table1[[#Headers],[Antiguo Testamento]],""),"")</f>
        <v/>
      </c>
      <c r="U123" t="str">
        <f>IFERROR(IF(VLOOKUP(C123,Final!A:C,3,FALSE)=Table1[[#Headers],[Final]],Table1[[#Headers],[Final]],""),"")</f>
        <v/>
      </c>
      <c r="V123" t="str" cm="1">
        <f t="array" ref="V12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/cantos/src/chtml/l/lapalomavolo.html</v>
      </c>
      <c r="W12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{id:121,title: "La paloma voló", subtitle: "Oda XXIV de Salomón", category: "Eleccion", moments: ["","","","","","","","","","","","Laudes","","",""], url: "/cantos/src/chtml/l/lapalomavolo.html"},</v>
      </c>
    </row>
    <row r="124" spans="1:23" x14ac:dyDescent="0.25">
      <c r="A124">
        <v>99</v>
      </c>
      <c r="B124" s="14">
        <v>122</v>
      </c>
      <c r="C124" t="s">
        <v>166</v>
      </c>
      <c r="D124" t="s">
        <v>411</v>
      </c>
      <c r="E124" t="str">
        <f>LOWER(LEFT(Table1[[#This Row],[Canto]],1))</f>
        <v>l</v>
      </c>
      <c r="F124" t="s">
        <v>288</v>
      </c>
      <c r="G124" t="str">
        <f>IFERROR(IF(VLOOKUP(C124,Adviento!A:C,3,FALSE)=Table1[[#Headers],[Adviento]],Table1[[#Headers],[Adviento]],""),"")</f>
        <v/>
      </c>
      <c r="H124" t="str">
        <f>IFERROR(IF(VLOOKUP(C124,Navidad!A:C,3,FALSE)=Table1[[#Headers],[Navidad]],Table1[[#Headers],[Navidad]],""),"")</f>
        <v/>
      </c>
      <c r="I124" t="str">
        <f>IFERROR(IF(VLOOKUP(C124,Cuaresma!A:C,3,FALSE)=Table1[[#Headers],[Cuaresma]],Table1[[#Headers],[Cuaresma]],""),"")</f>
        <v>Cuaresma</v>
      </c>
      <c r="J124" t="str">
        <f>IFERROR(IF(VLOOKUP(C124,Pascua!A:C,3,FALSE)=Table1[[#Headers],[Pascua]],Table1[[#Headers],[Pascua]],""),"")</f>
        <v/>
      </c>
      <c r="K124" t="str">
        <f>IFERROR(IF(VLOOKUP(C124,Pentecostés!A:C,3,FALSE)=Table1[[#Headers],[Pentecostés]],Table1[[#Headers],[Pentecostés]],""),"")</f>
        <v/>
      </c>
      <c r="L124" t="str">
        <f>IFERROR(IF(VLOOKUP(C124,Entrada!A:C,3,FALSE)=Table1[[#Headers],[Entrada]],Table1[[#Headers],[Entrada]],""),"")</f>
        <v/>
      </c>
      <c r="M124" t="str">
        <f>IFERROR(IF(VLOOKUP(C124,Virgen!A:C,3,FALSE)=Table1[[#Headers],[Virgen]],Table1[[#Headers],[Virgen]],""),"")</f>
        <v>Virgen</v>
      </c>
      <c r="N124" t="str">
        <f>IFERROR(IF(VLOOKUP(C124,Paz!A:C,3,FALSE)=Table1[[#Headers],[Paz]],Table1[[#Headers],[Paz]],""),"")</f>
        <v/>
      </c>
      <c r="O124" t="str">
        <f>IFERROR(IF(VLOOKUP(C124,Pan!A:C,3,FALSE)=Table1[[#Headers],[Pan]],Table1[[#Headers],[Pan]],""),"")</f>
        <v/>
      </c>
      <c r="P124" t="str">
        <f>IFERROR(IF(VLOOKUP(C124,Comunión!A:C,3,FALSE)=Table1[[#Headers],[Comunión]],Table1[[#Headers],[Comunión]],""),"")</f>
        <v/>
      </c>
      <c r="Q124" t="str">
        <f>IFERROR(IF(VLOOKUP(C124,Niños!A:C,3,FALSE)=Table1[[#Headers],[Niños]],Table1[[#Headers],[Niños]],""),"")</f>
        <v/>
      </c>
      <c r="R124" t="str">
        <f>IFERROR(IF(VLOOKUP(C124,Laudes!A:C,3,FALSE)=Table1[[#Headers],[Laudes]],Table1[[#Headers],[Laudes]],""),"")</f>
        <v/>
      </c>
      <c r="S124" t="str">
        <f>IFERROR(IF(VLOOKUP(C124,'Nuevo Testamento'!A:C,3,FALSE)=Table1[[#Headers],[Nuevo Testamento]],Table1[[#Headers],[Nuevo Testamento]],""),"")</f>
        <v/>
      </c>
      <c r="T124" t="str">
        <f>IFERROR(IF(VLOOKUP(C124,'Antiguo Testamento'!A:C,3,FALSE)=Table1[[#Headers],[Antiguo Testamento]],Table1[[#Headers],[Antiguo Testamento]],""),"")</f>
        <v/>
      </c>
      <c r="U124" t="str">
        <f>IFERROR(IF(VLOOKUP(C124,Final!A:C,3,FALSE)=Table1[[#Headers],[Final]],Table1[[#Headers],[Final]],""),"")</f>
        <v/>
      </c>
      <c r="V124" t="str" cm="1">
        <f t="array" ref="V12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/cantos/src/chtml/l/lasalve.html</v>
      </c>
      <c r="W12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{id:122,title: "La Salve", subtitle: "Himno lat. «Salve Regina»", category: "Precatecumenado", moments: ["","","Cuaresma","","","","Virgen","","","","","","","",""], url: "/cantos/src/chtml/l/lasalve.html"},</v>
      </c>
    </row>
    <row r="125" spans="1:23" x14ac:dyDescent="0.25">
      <c r="A125">
        <v>100</v>
      </c>
      <c r="B125" s="14">
        <v>123</v>
      </c>
      <c r="C125" t="s">
        <v>167</v>
      </c>
      <c r="D125" t="s">
        <v>412</v>
      </c>
      <c r="E125" t="str">
        <f>LOWER(LEFT(Table1[[#This Row],[Canto]],1))</f>
        <v>l</v>
      </c>
      <c r="F125" t="s">
        <v>288</v>
      </c>
      <c r="G125" t="str">
        <f>IFERROR(IF(VLOOKUP(C125,Adviento!A:C,3,FALSE)=Table1[[#Headers],[Adviento]],Table1[[#Headers],[Adviento]],""),"")</f>
        <v/>
      </c>
      <c r="H125" t="str">
        <f>IFERROR(IF(VLOOKUP(C125,Navidad!A:C,3,FALSE)=Table1[[#Headers],[Navidad]],Table1[[#Headers],[Navidad]],""),"")</f>
        <v/>
      </c>
      <c r="I125" t="str">
        <f>IFERROR(IF(VLOOKUP(C125,Cuaresma!A:C,3,FALSE)=Table1[[#Headers],[Cuaresma]],Table1[[#Headers],[Cuaresma]],""),"")</f>
        <v/>
      </c>
      <c r="J125" t="str">
        <f>IFERROR(IF(VLOOKUP(C125,Pascua!A:C,3,FALSE)=Table1[[#Headers],[Pascua]],Table1[[#Headers],[Pascua]],""),"")</f>
        <v/>
      </c>
      <c r="K125" t="str">
        <f>IFERROR(IF(VLOOKUP(C125,Pentecostés!A:C,3,FALSE)=Table1[[#Headers],[Pentecostés]],Table1[[#Headers],[Pentecostés]],""),"")</f>
        <v/>
      </c>
      <c r="L125" t="str">
        <f>IFERROR(IF(VLOOKUP(C125,Entrada!A:C,3,FALSE)=Table1[[#Headers],[Entrada]],Table1[[#Headers],[Entrada]],""),"")</f>
        <v/>
      </c>
      <c r="M125" t="str">
        <f>IFERROR(IF(VLOOKUP(C125,Virgen!A:C,3,FALSE)=Table1[[#Headers],[Virgen]],Table1[[#Headers],[Virgen]],""),"")</f>
        <v/>
      </c>
      <c r="N125" t="str">
        <f>IFERROR(IF(VLOOKUP(C125,Paz!A:C,3,FALSE)=Table1[[#Headers],[Paz]],Table1[[#Headers],[Paz]],""),"")</f>
        <v/>
      </c>
      <c r="O125" t="str">
        <f>IFERROR(IF(VLOOKUP(C125,Pan!A:C,3,FALSE)=Table1[[#Headers],[Pan]],Table1[[#Headers],[Pan]],""),"")</f>
        <v/>
      </c>
      <c r="P125" t="str">
        <f>IFERROR(IF(VLOOKUP(C125,Comunión!A:C,3,FALSE)=Table1[[#Headers],[Comunión]],Table1[[#Headers],[Comunión]],""),"")</f>
        <v/>
      </c>
      <c r="Q125" t="str">
        <f>IFERROR(IF(VLOOKUP(C125,Niños!A:C,3,FALSE)=Table1[[#Headers],[Niños]],Table1[[#Headers],[Niños]],""),"")</f>
        <v/>
      </c>
      <c r="R125" t="str">
        <f>IFERROR(IF(VLOOKUP(C125,Laudes!A:C,3,FALSE)=Table1[[#Headers],[Laudes]],Table1[[#Headers],[Laudes]],""),"")</f>
        <v/>
      </c>
      <c r="S125" t="str">
        <f>IFERROR(IF(VLOOKUP(C125,'Nuevo Testamento'!A:C,3,FALSE)=Table1[[#Headers],[Nuevo Testamento]],Table1[[#Headers],[Nuevo Testamento]],""),"")</f>
        <v>Nuevo Testamento</v>
      </c>
      <c r="T125" t="str">
        <f>IFERROR(IF(VLOOKUP(C125,'Antiguo Testamento'!A:C,3,FALSE)=Table1[[#Headers],[Antiguo Testamento]],Table1[[#Headers],[Antiguo Testamento]],""),"")</f>
        <v/>
      </c>
      <c r="U125" t="str">
        <f>IFERROR(IF(VLOOKUP(C125,Final!A:C,3,FALSE)=Table1[[#Headers],[Final]],Table1[[#Headers],[Final]],""),"")</f>
        <v>Final</v>
      </c>
      <c r="V125" t="str" cm="1">
        <f t="array" ref="V12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/cantos/src/chtml/l/lasiegadelasnaciones.html</v>
      </c>
      <c r="W12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{id:123,title: "La siega de las naciones", subtitle: "Juan 4,31-38", category: "Precatecumenado", moments: ["","","","","","","","","","","","","Nuevo Testamento","","Final"], url: "/cantos/src/chtml/l/lasiegadelasnaciones.html"},</v>
      </c>
    </row>
    <row r="126" spans="1:23" x14ac:dyDescent="0.25">
      <c r="A126">
        <v>101</v>
      </c>
      <c r="B126" s="14">
        <v>124</v>
      </c>
      <c r="C126" t="s">
        <v>56</v>
      </c>
      <c r="D126" t="s">
        <v>413</v>
      </c>
      <c r="E126" t="str">
        <f>LOWER(LEFT(Table1[[#This Row],[Canto]],1))</f>
        <v>l</v>
      </c>
      <c r="F126" t="s">
        <v>288</v>
      </c>
      <c r="G126" t="str">
        <f>IFERROR(IF(VLOOKUP(C126,Adviento!A:C,3,FALSE)=Table1[[#Headers],[Adviento]],Table1[[#Headers],[Adviento]],""),"")</f>
        <v/>
      </c>
      <c r="H126" t="str">
        <f>IFERROR(IF(VLOOKUP(C126,Navidad!A:C,3,FALSE)=Table1[[#Headers],[Navidad]],Table1[[#Headers],[Navidad]],""),"")</f>
        <v/>
      </c>
      <c r="I126" t="str">
        <f>IFERROR(IF(VLOOKUP(C126,Cuaresma!A:C,3,FALSE)=Table1[[#Headers],[Cuaresma]],Table1[[#Headers],[Cuaresma]],""),"")</f>
        <v/>
      </c>
      <c r="J126" t="str">
        <f>IFERROR(IF(VLOOKUP(C126,Pascua!A:C,3,FALSE)=Table1[[#Headers],[Pascua]],Table1[[#Headers],[Pascua]],""),"")</f>
        <v>Pascua</v>
      </c>
      <c r="K126" t="str">
        <f>IFERROR(IF(VLOOKUP(C126,Pentecostés!A:C,3,FALSE)=Table1[[#Headers],[Pentecostés]],Table1[[#Headers],[Pentecostés]],""),"")</f>
        <v>Pentecostés</v>
      </c>
      <c r="L126" t="str">
        <f>IFERROR(IF(VLOOKUP(C126,Entrada!A:C,3,FALSE)=Table1[[#Headers],[Entrada]],Table1[[#Headers],[Entrada]],""),"")</f>
        <v/>
      </c>
      <c r="M126" t="str">
        <f>IFERROR(IF(VLOOKUP(C126,Virgen!A:C,3,FALSE)=Table1[[#Headers],[Virgen]],Table1[[#Headers],[Virgen]],""),"")</f>
        <v/>
      </c>
      <c r="N126" t="str">
        <f>IFERROR(IF(VLOOKUP(C126,Paz!A:C,3,FALSE)=Table1[[#Headers],[Paz]],Table1[[#Headers],[Paz]],""),"")</f>
        <v/>
      </c>
      <c r="O126" t="str">
        <f>IFERROR(IF(VLOOKUP(C126,Pan!A:C,3,FALSE)=Table1[[#Headers],[Pan]],Table1[[#Headers],[Pan]],""),"")</f>
        <v/>
      </c>
      <c r="P126" t="str">
        <f>IFERROR(IF(VLOOKUP(C126,Comunión!A:C,3,FALSE)=Table1[[#Headers],[Comunión]],Table1[[#Headers],[Comunión]],""),"")</f>
        <v>Comunión</v>
      </c>
      <c r="Q126" t="str">
        <f>IFERROR(IF(VLOOKUP(C126,Niños!A:C,3,FALSE)=Table1[[#Headers],[Niños]],Table1[[#Headers],[Niños]],""),"")</f>
        <v/>
      </c>
      <c r="R126" t="str">
        <f>IFERROR(IF(VLOOKUP(C126,Laudes!A:C,3,FALSE)=Table1[[#Headers],[Laudes]],Table1[[#Headers],[Laudes]],""),"")</f>
        <v/>
      </c>
      <c r="S126" t="str">
        <f>IFERROR(IF(VLOOKUP(C126,'Nuevo Testamento'!A:C,3,FALSE)=Table1[[#Headers],[Nuevo Testamento]],Table1[[#Headers],[Nuevo Testamento]],""),"")</f>
        <v/>
      </c>
      <c r="T126" t="str">
        <f>IFERROR(IF(VLOOKUP(C126,'Antiguo Testamento'!A:C,3,FALSE)=Table1[[#Headers],[Antiguo Testamento]],Table1[[#Headers],[Antiguo Testamento]],""),"")</f>
        <v>Antiguo Testamento</v>
      </c>
      <c r="U126" t="str">
        <f>IFERROR(IF(VLOOKUP(C126,Final!A:C,3,FALSE)=Table1[[#Headers],[Final]],Table1[[#Headers],[Final]],""),"")</f>
        <v/>
      </c>
      <c r="V126" t="str" cm="1">
        <f t="array" ref="V12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/cantos/src/chtml/l/lavozdemiamado.html</v>
      </c>
      <c r="W12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{id:124,title: "La voz de mi amado", subtitle: "Cantar de los Cantares 2,8-17", category: "Precatecumenado", moments: ["","","","Pascua","Pentecostés","","","","","Comunión","","","","Antiguo Testamento",""], url: "/cantos/src/chtml/l/lavozdemiamado.html"},</v>
      </c>
    </row>
    <row r="127" spans="1:23" x14ac:dyDescent="0.25">
      <c r="A127">
        <v>102</v>
      </c>
      <c r="B127" s="14">
        <v>125</v>
      </c>
      <c r="C127" t="s">
        <v>57</v>
      </c>
      <c r="D127" t="s">
        <v>414</v>
      </c>
      <c r="E127" t="str">
        <f>LOWER(LEFT(Table1[[#This Row],[Canto]],1))</f>
        <v>l</v>
      </c>
      <c r="F127" t="s">
        <v>288</v>
      </c>
      <c r="G127" t="str">
        <f>IFERROR(IF(VLOOKUP(C127,Adviento!A:C,3,FALSE)=Table1[[#Headers],[Adviento]],Table1[[#Headers],[Adviento]],""),"")</f>
        <v>Adviento</v>
      </c>
      <c r="H127" t="str">
        <f>IFERROR(IF(VLOOKUP(C127,Navidad!A:C,3,FALSE)=Table1[[#Headers],[Navidad]],Table1[[#Headers],[Navidad]],""),"")</f>
        <v>Navidad</v>
      </c>
      <c r="I127" t="str">
        <f>IFERROR(IF(VLOOKUP(C127,Cuaresma!A:C,3,FALSE)=Table1[[#Headers],[Cuaresma]],Table1[[#Headers],[Cuaresma]],""),"")</f>
        <v>Cuaresma</v>
      </c>
      <c r="J127" t="str">
        <f>IFERROR(IF(VLOOKUP(C127,Pascua!A:C,3,FALSE)=Table1[[#Headers],[Pascua]],Table1[[#Headers],[Pascua]],""),"")</f>
        <v/>
      </c>
      <c r="K127" t="str">
        <f>IFERROR(IF(VLOOKUP(C127,Pentecostés!A:C,3,FALSE)=Table1[[#Headers],[Pentecostés]],Table1[[#Headers],[Pentecostés]],""),"")</f>
        <v/>
      </c>
      <c r="L127" t="str">
        <f>IFERROR(IF(VLOOKUP(C127,Entrada!A:C,3,FALSE)=Table1[[#Headers],[Entrada]],Table1[[#Headers],[Entrada]],""),"")</f>
        <v/>
      </c>
      <c r="M127" t="str">
        <f>IFERROR(IF(VLOOKUP(C127,Virgen!A:C,3,FALSE)=Table1[[#Headers],[Virgen]],Table1[[#Headers],[Virgen]],""),"")</f>
        <v/>
      </c>
      <c r="N127" t="str">
        <f>IFERROR(IF(VLOOKUP(C127,Paz!A:C,3,FALSE)=Table1[[#Headers],[Paz]],Table1[[#Headers],[Paz]],""),"")</f>
        <v/>
      </c>
      <c r="O127" t="str">
        <f>IFERROR(IF(VLOOKUP(C127,Pan!A:C,3,FALSE)=Table1[[#Headers],[Pan]],Table1[[#Headers],[Pan]],""),"")</f>
        <v/>
      </c>
      <c r="P127" t="str">
        <f>IFERROR(IF(VLOOKUP(C127,Comunión!A:C,3,FALSE)=Table1[[#Headers],[Comunión]],Table1[[#Headers],[Comunión]],""),"")</f>
        <v/>
      </c>
      <c r="Q127" t="str">
        <f>IFERROR(IF(VLOOKUP(C127,Niños!A:C,3,FALSE)=Table1[[#Headers],[Niños]],Table1[[#Headers],[Niños]],""),"")</f>
        <v/>
      </c>
      <c r="R127" t="str">
        <f>IFERROR(IF(VLOOKUP(C127,Laudes!A:C,3,FALSE)=Table1[[#Headers],[Laudes]],Table1[[#Headers],[Laudes]],""),"")</f>
        <v>Laudes</v>
      </c>
      <c r="S127" t="str">
        <f>IFERROR(IF(VLOOKUP(C127,'Nuevo Testamento'!A:C,3,FALSE)=Table1[[#Headers],[Nuevo Testamento]],Table1[[#Headers],[Nuevo Testamento]],""),"")</f>
        <v>Nuevo Testamento</v>
      </c>
      <c r="T127" t="str">
        <f>IFERROR(IF(VLOOKUP(C127,'Antiguo Testamento'!A:C,3,FALSE)=Table1[[#Headers],[Antiguo Testamento]],Table1[[#Headers],[Antiguo Testamento]],""),"")</f>
        <v/>
      </c>
      <c r="U127" t="str">
        <f>IFERROR(IF(VLOOKUP(C127,Final!A:C,3,FALSE)=Table1[[#Headers],[Final]],Table1[[#Headers],[Final]],""),"")</f>
        <v/>
      </c>
      <c r="V127" t="str" cm="1">
        <f t="array" ref="V12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/cantos/src/chtml/l/lasarmasdelaluz.html</v>
      </c>
      <c r="W12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{id:125,title: "Las armas de la luz", subtitle: "cf Efesios 6,11.ss", category: "Precatecumenado", moments: ["Adviento","Navidad","Cuaresma","","","","","","","","","Laudes","Nuevo Testamento","",""], url: "/cantos/src/chtml/l/lasarmasdelaluz.html"},</v>
      </c>
    </row>
    <row r="128" spans="1:23" x14ac:dyDescent="0.25">
      <c r="A128">
        <v>103</v>
      </c>
      <c r="B128" s="14">
        <v>126</v>
      </c>
      <c r="C128" t="s">
        <v>252</v>
      </c>
      <c r="D128" t="s">
        <v>415</v>
      </c>
      <c r="E128" t="str">
        <f>LOWER(LEFT(Table1[[#This Row],[Canto]],1))</f>
        <v>l</v>
      </c>
      <c r="F128" t="s">
        <v>288</v>
      </c>
      <c r="G128" t="str">
        <f>IFERROR(IF(VLOOKUP(C128,Adviento!A:C,3,FALSE)=Table1[[#Headers],[Adviento]],Table1[[#Headers],[Adviento]],""),"")</f>
        <v/>
      </c>
      <c r="H128" t="str">
        <f>IFERROR(IF(VLOOKUP(C128,Navidad!A:C,3,FALSE)=Table1[[#Headers],[Navidad]],Table1[[#Headers],[Navidad]],""),"")</f>
        <v/>
      </c>
      <c r="I128" t="str">
        <f>IFERROR(IF(VLOOKUP(C128,Cuaresma!A:C,3,FALSE)=Table1[[#Headers],[Cuaresma]],Table1[[#Headers],[Cuaresma]],""),"")</f>
        <v/>
      </c>
      <c r="J128" t="str">
        <f>IFERROR(IF(VLOOKUP(C128,Pascua!A:C,3,FALSE)=Table1[[#Headers],[Pascua]],Table1[[#Headers],[Pascua]],""),"")</f>
        <v>Pascua</v>
      </c>
      <c r="K128" t="str">
        <f>IFERROR(IF(VLOOKUP(C128,Pentecostés!A:C,3,FALSE)=Table1[[#Headers],[Pentecostés]],Table1[[#Headers],[Pentecostés]],""),"")</f>
        <v>Pentecostés</v>
      </c>
      <c r="L128" t="str">
        <f>IFERROR(IF(VLOOKUP(C128,Entrada!A:C,3,FALSE)=Table1[[#Headers],[Entrada]],Table1[[#Headers],[Entrada]],""),"")</f>
        <v/>
      </c>
      <c r="M128" t="str">
        <f>IFERROR(IF(VLOOKUP(C128,Virgen!A:C,3,FALSE)=Table1[[#Headers],[Virgen]],Table1[[#Headers],[Virgen]],""),"")</f>
        <v/>
      </c>
      <c r="N128" t="str">
        <f>IFERROR(IF(VLOOKUP(C128,Paz!A:C,3,FALSE)=Table1[[#Headers],[Paz]],Table1[[#Headers],[Paz]],""),"")</f>
        <v/>
      </c>
      <c r="O128" t="str">
        <f>IFERROR(IF(VLOOKUP(C128,Pan!A:C,3,FALSE)=Table1[[#Headers],[Pan]],Table1[[#Headers],[Pan]],""),"")</f>
        <v/>
      </c>
      <c r="P128" t="str">
        <f>IFERROR(IF(VLOOKUP(C128,Comunión!A:C,3,FALSE)=Table1[[#Headers],[Comunión]],Table1[[#Headers],[Comunión]],""),"")</f>
        <v/>
      </c>
      <c r="Q128" t="str">
        <f>IFERROR(IF(VLOOKUP(C128,Niños!A:C,3,FALSE)=Table1[[#Headers],[Niños]],Table1[[#Headers],[Niños]],""),"")</f>
        <v/>
      </c>
      <c r="R128" t="str">
        <f>IFERROR(IF(VLOOKUP(C128,Laudes!A:C,3,FALSE)=Table1[[#Headers],[Laudes]],Table1[[#Headers],[Laudes]],""),"")</f>
        <v/>
      </c>
      <c r="S128" t="str">
        <f>IFERROR(IF(VLOOKUP(C128,'Nuevo Testamento'!A:C,3,FALSE)=Table1[[#Headers],[Nuevo Testamento]],Table1[[#Headers],[Nuevo Testamento]],""),"")</f>
        <v/>
      </c>
      <c r="T128" t="str">
        <f>IFERROR(IF(VLOOKUP(C128,'Antiguo Testamento'!A:C,3,FALSE)=Table1[[#Headers],[Antiguo Testamento]],Table1[[#Headers],[Antiguo Testamento]],""),"")</f>
        <v/>
      </c>
      <c r="U128" t="str">
        <f>IFERROR(IF(VLOOKUP(C128,Final!A:C,3,FALSE)=Table1[[#Headers],[Final]],Table1[[#Headers],[Final]],""),"")</f>
        <v/>
      </c>
      <c r="V128" t="str" cm="1">
        <f t="array" ref="V12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/cantos/src/chtml/l/laudasion.html</v>
      </c>
      <c r="W12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{id:126,title: "Lauda Sión", subtitle: "Secuencia del Corpus Christi (Santo Tomas de Aquino) ", category: "Precatecumenado", moments: ["","","","Pascua","Pentecostés","","","","","","","","","",""], url: "/cantos/src/chtml/l/laudasion.html"},</v>
      </c>
    </row>
    <row r="129" spans="1:23" x14ac:dyDescent="0.25">
      <c r="A129">
        <v>189</v>
      </c>
      <c r="B129" s="14">
        <v>127</v>
      </c>
      <c r="C129" t="s">
        <v>58</v>
      </c>
      <c r="D129" t="s">
        <v>323</v>
      </c>
      <c r="E129" t="str">
        <f>LOWER(LEFT(Table1[[#This Row],[Canto]],1))</f>
        <v>l</v>
      </c>
      <c r="F129" s="12" t="s">
        <v>289</v>
      </c>
      <c r="G129" t="str">
        <f>IFERROR(IF(VLOOKUP(C129,Adviento!A:C,3,FALSE)=Table1[[#Headers],[Adviento]],Table1[[#Headers],[Adviento]],""),"")</f>
        <v/>
      </c>
      <c r="H129" t="str">
        <f>IFERROR(IF(VLOOKUP(C129,Navidad!A:C,3,FALSE)=Table1[[#Headers],[Navidad]],Table1[[#Headers],[Navidad]],""),"")</f>
        <v/>
      </c>
      <c r="I129" t="str">
        <f>IFERROR(IF(VLOOKUP(C129,Cuaresma!A:C,3,FALSE)=Table1[[#Headers],[Cuaresma]],Table1[[#Headers],[Cuaresma]],""),"")</f>
        <v/>
      </c>
      <c r="J129" t="str">
        <f>IFERROR(IF(VLOOKUP(C129,Pascua!A:C,3,FALSE)=Table1[[#Headers],[Pascua]],Table1[[#Headers],[Pascua]],""),"")</f>
        <v/>
      </c>
      <c r="K129" t="str">
        <f>IFERROR(IF(VLOOKUP(C129,Pentecostés!A:C,3,FALSE)=Table1[[#Headers],[Pentecostés]],Table1[[#Headers],[Pentecostés]],""),"")</f>
        <v/>
      </c>
      <c r="L129" t="str">
        <f>IFERROR(IF(VLOOKUP(C129,Entrada!A:C,3,FALSE)=Table1[[#Headers],[Entrada]],Table1[[#Headers],[Entrada]],""),"")</f>
        <v/>
      </c>
      <c r="M129" t="str">
        <f>IFERROR(IF(VLOOKUP(C129,Virgen!A:C,3,FALSE)=Table1[[#Headers],[Virgen]],Table1[[#Headers],[Virgen]],""),"")</f>
        <v/>
      </c>
      <c r="N129" t="str">
        <f>IFERROR(IF(VLOOKUP(C129,Paz!A:C,3,FALSE)=Table1[[#Headers],[Paz]],Table1[[#Headers],[Paz]],""),"")</f>
        <v/>
      </c>
      <c r="O129" t="str">
        <f>IFERROR(IF(VLOOKUP(C129,Pan!A:C,3,FALSE)=Table1[[#Headers],[Pan]],Table1[[#Headers],[Pan]],""),"")</f>
        <v/>
      </c>
      <c r="P129" t="str">
        <f>IFERROR(IF(VLOOKUP(C129,Comunión!A:C,3,FALSE)=Table1[[#Headers],[Comunión]],Table1[[#Headers],[Comunión]],""),"")</f>
        <v/>
      </c>
      <c r="Q129" t="str">
        <f>IFERROR(IF(VLOOKUP(C129,Niños!A:C,3,FALSE)=Table1[[#Headers],[Niños]],Table1[[#Headers],[Niños]],""),"")</f>
        <v/>
      </c>
      <c r="R129" t="str">
        <f>IFERROR(IF(VLOOKUP(C129,Laudes!A:C,3,FALSE)=Table1[[#Headers],[Laudes]],Table1[[#Headers],[Laudes]],""),"")</f>
        <v/>
      </c>
      <c r="S129" t="str">
        <f>IFERROR(IF(VLOOKUP(C129,'Nuevo Testamento'!A:C,3,FALSE)=Table1[[#Headers],[Nuevo Testamento]],Table1[[#Headers],[Nuevo Testamento]],""),"")</f>
        <v/>
      </c>
      <c r="T129" t="str">
        <f>IFERROR(IF(VLOOKUP(C129,'Antiguo Testamento'!A:C,3,FALSE)=Table1[[#Headers],[Antiguo Testamento]],Table1[[#Headers],[Antiguo Testamento]],""),"")</f>
        <v/>
      </c>
      <c r="U129" t="str">
        <f>IFERROR(IF(VLOOKUP(C129,Final!A:C,3,FALSE)=Table1[[#Headers],[Final]],Table1[[#Headers],[Final]],""),"")</f>
        <v/>
      </c>
      <c r="V129" t="str" cm="1">
        <f t="array" ref="V12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/cantos/src/chtml/l/letaniasdelossantos.html</v>
      </c>
      <c r="W12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{id:127,title: "Letanías de los santos", subtitle: "De la liturgia bautismal de la Vigilia pascual", category: "Liturgia", moments: ["","","","","","","","","","","","","","",""], url: "/cantos/src/chtml/l/letaniasdelossantos.html"},</v>
      </c>
    </row>
    <row r="130" spans="1:23" x14ac:dyDescent="0.25">
      <c r="A130">
        <v>191</v>
      </c>
      <c r="B130" s="14">
        <v>128</v>
      </c>
      <c r="C130" t="s">
        <v>237</v>
      </c>
      <c r="D130" t="s">
        <v>416</v>
      </c>
      <c r="E130" t="str">
        <f>LOWER(LEFT(Table1[[#This Row],[Canto]],1))</f>
        <v>l</v>
      </c>
      <c r="F130" s="12" t="s">
        <v>289</v>
      </c>
      <c r="G130" t="str">
        <f>IFERROR(IF(VLOOKUP(C130,Adviento!A:C,3,FALSE)=Table1[[#Headers],[Adviento]],Table1[[#Headers],[Adviento]],""),"")</f>
        <v/>
      </c>
      <c r="H130" t="str">
        <f>IFERROR(IF(VLOOKUP(C130,Navidad!A:C,3,FALSE)=Table1[[#Headers],[Navidad]],Table1[[#Headers],[Navidad]],""),"")</f>
        <v/>
      </c>
      <c r="I130" t="str">
        <f>IFERROR(IF(VLOOKUP(C130,Cuaresma!A:C,3,FALSE)=Table1[[#Headers],[Cuaresma]],Table1[[#Headers],[Cuaresma]],""),"")</f>
        <v/>
      </c>
      <c r="J130" t="str">
        <f>IFERROR(IF(VLOOKUP(C130,Pascua!A:C,3,FALSE)=Table1[[#Headers],[Pascua]],Table1[[#Headers],[Pascua]],""),"")</f>
        <v/>
      </c>
      <c r="K130" t="str">
        <f>IFERROR(IF(VLOOKUP(C130,Pentecostés!A:C,3,FALSE)=Table1[[#Headers],[Pentecostés]],Table1[[#Headers],[Pentecostés]],""),"")</f>
        <v/>
      </c>
      <c r="L130" t="str">
        <f>IFERROR(IF(VLOOKUP(C130,Entrada!A:C,3,FALSE)=Table1[[#Headers],[Entrada]],Table1[[#Headers],[Entrada]],""),"")</f>
        <v/>
      </c>
      <c r="M130" t="str">
        <f>IFERROR(IF(VLOOKUP(C130,Virgen!A:C,3,FALSE)=Table1[[#Headers],[Virgen]],Table1[[#Headers],[Virgen]],""),"")</f>
        <v/>
      </c>
      <c r="N130" t="str">
        <f>IFERROR(IF(VLOOKUP(C130,Paz!A:C,3,FALSE)=Table1[[#Headers],[Paz]],Table1[[#Headers],[Paz]],""),"")</f>
        <v/>
      </c>
      <c r="O130" t="str">
        <f>IFERROR(IF(VLOOKUP(C130,Pan!A:C,3,FALSE)=Table1[[#Headers],[Pan]],Table1[[#Headers],[Pan]],""),"")</f>
        <v/>
      </c>
      <c r="P130" t="str">
        <f>IFERROR(IF(VLOOKUP(C130,Comunión!A:C,3,FALSE)=Table1[[#Headers],[Comunión]],Table1[[#Headers],[Comunión]],""),"")</f>
        <v/>
      </c>
      <c r="Q130" t="str">
        <f>IFERROR(IF(VLOOKUP(C130,Niños!A:C,3,FALSE)=Table1[[#Headers],[Niños]],Table1[[#Headers],[Niños]],""),"")</f>
        <v/>
      </c>
      <c r="R130" t="str">
        <f>IFERROR(IF(VLOOKUP(C130,Laudes!A:C,3,FALSE)=Table1[[#Headers],[Laudes]],Table1[[#Headers],[Laudes]],""),"")</f>
        <v/>
      </c>
      <c r="S130" t="str">
        <f>IFERROR(IF(VLOOKUP(C130,'Nuevo Testamento'!A:C,3,FALSE)=Table1[[#Headers],[Nuevo Testamento]],Table1[[#Headers],[Nuevo Testamento]],""),"")</f>
        <v/>
      </c>
      <c r="T130" t="str">
        <f>IFERROR(IF(VLOOKUP(C130,'Antiguo Testamento'!A:C,3,FALSE)=Table1[[#Headers],[Antiguo Testamento]],Table1[[#Headers],[Antiguo Testamento]],""),"")</f>
        <v/>
      </c>
      <c r="U130" t="str">
        <f>IFERROR(IF(VLOOKUP(C130,Final!A:C,3,FALSE)=Table1[[#Headers],[Final]],Table1[[#Headers],[Final]],""),"")</f>
        <v/>
      </c>
      <c r="V130" t="str" cm="1">
        <f t="array" ref="V13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/cantos/src/chtml/l/letaniaspenitencialesi.html</v>
      </c>
      <c r="W13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{id:128,title: "Letanías penitenciales I", subtitle: "Letanía para la Celebración Penitencial – modelo abreviado", category: "Liturgia", moments: ["","","","","","","","","","","","","","",""], url: "/cantos/src/chtml/l/letaniaspenitencialesi.html"},</v>
      </c>
    </row>
    <row r="131" spans="1:23" x14ac:dyDescent="0.25">
      <c r="A131">
        <v>192</v>
      </c>
      <c r="B131" s="14">
        <v>129</v>
      </c>
      <c r="C131" t="s">
        <v>59</v>
      </c>
      <c r="D131" t="s">
        <v>417</v>
      </c>
      <c r="E131" t="str">
        <f>LOWER(LEFT(Table1[[#This Row],[Canto]],1))</f>
        <v>l</v>
      </c>
      <c r="F131" s="12" t="s">
        <v>289</v>
      </c>
      <c r="G131" t="str">
        <f>IFERROR(IF(VLOOKUP(C131,Adviento!A:C,3,FALSE)=Table1[[#Headers],[Adviento]],Table1[[#Headers],[Adviento]],""),"")</f>
        <v/>
      </c>
      <c r="H131" t="str">
        <f>IFERROR(IF(VLOOKUP(C131,Navidad!A:C,3,FALSE)=Table1[[#Headers],[Navidad]],Table1[[#Headers],[Navidad]],""),"")</f>
        <v/>
      </c>
      <c r="I131" t="str">
        <f>IFERROR(IF(VLOOKUP(C131,Cuaresma!A:C,3,FALSE)=Table1[[#Headers],[Cuaresma]],Table1[[#Headers],[Cuaresma]],""),"")</f>
        <v/>
      </c>
      <c r="J131" t="str">
        <f>IFERROR(IF(VLOOKUP(C131,Pascua!A:C,3,FALSE)=Table1[[#Headers],[Pascua]],Table1[[#Headers],[Pascua]],""),"")</f>
        <v/>
      </c>
      <c r="K131" t="str">
        <f>IFERROR(IF(VLOOKUP(C131,Pentecostés!A:C,3,FALSE)=Table1[[#Headers],[Pentecostés]],Table1[[#Headers],[Pentecostés]],""),"")</f>
        <v/>
      </c>
      <c r="L131" t="str">
        <f>IFERROR(IF(VLOOKUP(C131,Entrada!A:C,3,FALSE)=Table1[[#Headers],[Entrada]],Table1[[#Headers],[Entrada]],""),"")</f>
        <v/>
      </c>
      <c r="M131" t="str">
        <f>IFERROR(IF(VLOOKUP(C131,Virgen!A:C,3,FALSE)=Table1[[#Headers],[Virgen]],Table1[[#Headers],[Virgen]],""),"")</f>
        <v/>
      </c>
      <c r="N131" t="str">
        <f>IFERROR(IF(VLOOKUP(C131,Paz!A:C,3,FALSE)=Table1[[#Headers],[Paz]],Table1[[#Headers],[Paz]],""),"")</f>
        <v/>
      </c>
      <c r="O131" t="str">
        <f>IFERROR(IF(VLOOKUP(C131,Pan!A:C,3,FALSE)=Table1[[#Headers],[Pan]],Table1[[#Headers],[Pan]],""),"")</f>
        <v/>
      </c>
      <c r="P131" t="str">
        <f>IFERROR(IF(VLOOKUP(C131,Comunión!A:C,3,FALSE)=Table1[[#Headers],[Comunión]],Table1[[#Headers],[Comunión]],""),"")</f>
        <v/>
      </c>
      <c r="Q131" t="str">
        <f>IFERROR(IF(VLOOKUP(C131,Niños!A:C,3,FALSE)=Table1[[#Headers],[Niños]],Table1[[#Headers],[Niños]],""),"")</f>
        <v/>
      </c>
      <c r="R131" t="str">
        <f>IFERROR(IF(VLOOKUP(C131,Laudes!A:C,3,FALSE)=Table1[[#Headers],[Laudes]],Table1[[#Headers],[Laudes]],""),"")</f>
        <v/>
      </c>
      <c r="S131" t="str">
        <f>IFERROR(IF(VLOOKUP(C131,'Nuevo Testamento'!A:C,3,FALSE)=Table1[[#Headers],[Nuevo Testamento]],Table1[[#Headers],[Nuevo Testamento]],""),"")</f>
        <v/>
      </c>
      <c r="T131" t="str">
        <f>IFERROR(IF(VLOOKUP(C131,'Antiguo Testamento'!A:C,3,FALSE)=Table1[[#Headers],[Antiguo Testamento]],Table1[[#Headers],[Antiguo Testamento]],""),"")</f>
        <v/>
      </c>
      <c r="U131" t="str">
        <f>IFERROR(IF(VLOOKUP(C131,Final!A:C,3,FALSE)=Table1[[#Headers],[Final]],Table1[[#Headers],[Final]],""),"")</f>
        <v/>
      </c>
      <c r="V131" t="str" cm="1">
        <f t="array" ref="V13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/cantos/src/chtml/l/letaniaspenitencialesii.html</v>
      </c>
      <c r="W13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{id:129,title: "Letanías penitenciales II", subtitle: "Letanía para la Celebración Penitencial", category: "Liturgia", moments: ["","","","","","","","","","","","","","",""], url: "/cantos/src/chtml/l/letaniaspenitencialesii.html"},</v>
      </c>
    </row>
    <row r="132" spans="1:23" x14ac:dyDescent="0.25">
      <c r="A132">
        <v>105</v>
      </c>
      <c r="B132" s="14">
        <v>130</v>
      </c>
      <c r="C132" t="s">
        <v>168</v>
      </c>
      <c r="D132" t="s">
        <v>418</v>
      </c>
      <c r="E132" t="str">
        <f>LOWER(LEFT(Table1[[#This Row],[Canto]],1))</f>
        <v>l</v>
      </c>
      <c r="F132" t="s">
        <v>288</v>
      </c>
      <c r="G132" t="str">
        <f>IFERROR(IF(VLOOKUP(C132,Adviento!A:C,3,FALSE)=Table1[[#Headers],[Adviento]],Table1[[#Headers],[Adviento]],""),"")</f>
        <v/>
      </c>
      <c r="H132" t="str">
        <f>IFERROR(IF(VLOOKUP(C132,Navidad!A:C,3,FALSE)=Table1[[#Headers],[Navidad]],Table1[[#Headers],[Navidad]],""),"")</f>
        <v/>
      </c>
      <c r="I132" t="str">
        <f>IFERROR(IF(VLOOKUP(C132,Cuaresma!A:C,3,FALSE)=Table1[[#Headers],[Cuaresma]],Table1[[#Headers],[Cuaresma]],""),"")</f>
        <v>Cuaresma</v>
      </c>
      <c r="J132" t="str">
        <f>IFERROR(IF(VLOOKUP(C132,Pascua!A:C,3,FALSE)=Table1[[#Headers],[Pascua]],Table1[[#Headers],[Pascua]],""),"")</f>
        <v/>
      </c>
      <c r="K132" t="str">
        <f>IFERROR(IF(VLOOKUP(C132,Pentecostés!A:C,3,FALSE)=Table1[[#Headers],[Pentecostés]],Table1[[#Headers],[Pentecostés]],""),"")</f>
        <v/>
      </c>
      <c r="L132" t="str">
        <f>IFERROR(IF(VLOOKUP(C132,Entrada!A:C,3,FALSE)=Table1[[#Headers],[Entrada]],Table1[[#Headers],[Entrada]],""),"")</f>
        <v>Entrada</v>
      </c>
      <c r="M132" t="str">
        <f>IFERROR(IF(VLOOKUP(C132,Virgen!A:C,3,FALSE)=Table1[[#Headers],[Virgen]],Table1[[#Headers],[Virgen]],""),"")</f>
        <v/>
      </c>
      <c r="N132" t="str">
        <f>IFERROR(IF(VLOOKUP(C132,Paz!A:C,3,FALSE)=Table1[[#Headers],[Paz]],Table1[[#Headers],[Paz]],""),"")</f>
        <v/>
      </c>
      <c r="O132" t="str">
        <f>IFERROR(IF(VLOOKUP(C132,Pan!A:C,3,FALSE)=Table1[[#Headers],[Pan]],Table1[[#Headers],[Pan]],""),"")</f>
        <v/>
      </c>
      <c r="P132" t="str">
        <f>IFERROR(IF(VLOOKUP(C132,Comunión!A:C,3,FALSE)=Table1[[#Headers],[Comunión]],Table1[[#Headers],[Comunión]],""),"")</f>
        <v/>
      </c>
      <c r="Q132" t="str">
        <f>IFERROR(IF(VLOOKUP(C132,Niños!A:C,3,FALSE)=Table1[[#Headers],[Niños]],Table1[[#Headers],[Niños]],""),"")</f>
        <v/>
      </c>
      <c r="R132" t="str">
        <f>IFERROR(IF(VLOOKUP(C132,Laudes!A:C,3,FALSE)=Table1[[#Headers],[Laudes]],Table1[[#Headers],[Laudes]],""),"")</f>
        <v>Laudes</v>
      </c>
      <c r="S132" t="str">
        <f>IFERROR(IF(VLOOKUP(C132,'Nuevo Testamento'!A:C,3,FALSE)=Table1[[#Headers],[Nuevo Testamento]],Table1[[#Headers],[Nuevo Testamento]],""),"")</f>
        <v/>
      </c>
      <c r="T132" t="str">
        <f>IFERROR(IF(VLOOKUP(C132,'Antiguo Testamento'!A:C,3,FALSE)=Table1[[#Headers],[Antiguo Testamento]],Table1[[#Headers],[Antiguo Testamento]],""),"")</f>
        <v>Antiguo Testamento</v>
      </c>
      <c r="U132" t="str">
        <f>IFERROR(IF(VLOOKUP(C132,Final!A:C,3,FALSE)=Table1[[#Headers],[Final]],Table1[[#Headers],[Final]],""),"")</f>
        <v/>
      </c>
      <c r="V132" t="str" cm="1">
        <f t="array" ref="V13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/cantos/src/chtml/l/levantomisojosalosmontes.html</v>
      </c>
      <c r="W13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{id:130,title: "Levanto mis ojos a los montes", subtitle: "Sal 121 (120)", category: "Precatecumenado", moments: ["","","Cuaresma","","","Entrada","","","","","","Laudes","","Antiguo Testamento",""], url: "/cantos/src/chtml/l/levantomisojosalosmontes.html"},</v>
      </c>
    </row>
    <row r="133" spans="1:23" x14ac:dyDescent="0.25">
      <c r="A133">
        <v>106</v>
      </c>
      <c r="B133" s="14">
        <v>131</v>
      </c>
      <c r="C133" t="s">
        <v>169</v>
      </c>
      <c r="D133" t="s">
        <v>419</v>
      </c>
      <c r="E133" t="str">
        <f>LOWER(LEFT(Table1[[#This Row],[Canto]],1))</f>
        <v>l</v>
      </c>
      <c r="F133" t="s">
        <v>288</v>
      </c>
      <c r="G133" t="str">
        <f>IFERROR(IF(VLOOKUP(C133,Adviento!A:C,3,FALSE)=Table1[[#Headers],[Adviento]],Table1[[#Headers],[Adviento]],""),"")</f>
        <v>Adviento</v>
      </c>
      <c r="H133" t="str">
        <f>IFERROR(IF(VLOOKUP(C133,Navidad!A:C,3,FALSE)=Table1[[#Headers],[Navidad]],Table1[[#Headers],[Navidad]],""),"")</f>
        <v>Navidad</v>
      </c>
      <c r="I133" t="str">
        <f>IFERROR(IF(VLOOKUP(C133,Cuaresma!A:C,3,FALSE)=Table1[[#Headers],[Cuaresma]],Table1[[#Headers],[Cuaresma]],""),"")</f>
        <v>Cuaresma</v>
      </c>
      <c r="J133" t="str">
        <f>IFERROR(IF(VLOOKUP(C133,Pascua!A:C,3,FALSE)=Table1[[#Headers],[Pascua]],Table1[[#Headers],[Pascua]],""),"")</f>
        <v/>
      </c>
      <c r="K133" t="str">
        <f>IFERROR(IF(VLOOKUP(C133,Pentecostés!A:C,3,FALSE)=Table1[[#Headers],[Pentecostés]],Table1[[#Headers],[Pentecostés]],""),"")</f>
        <v/>
      </c>
      <c r="L133" t="str">
        <f>IFERROR(IF(VLOOKUP(C133,Entrada!A:C,3,FALSE)=Table1[[#Headers],[Entrada]],Table1[[#Headers],[Entrada]],""),"")</f>
        <v>Entrada</v>
      </c>
      <c r="M133" t="str">
        <f>IFERROR(IF(VLOOKUP(C133,Virgen!A:C,3,FALSE)=Table1[[#Headers],[Virgen]],Table1[[#Headers],[Virgen]],""),"")</f>
        <v/>
      </c>
      <c r="N133" t="str">
        <f>IFERROR(IF(VLOOKUP(C133,Paz!A:C,3,FALSE)=Table1[[#Headers],[Paz]],Table1[[#Headers],[Paz]],""),"")</f>
        <v/>
      </c>
      <c r="O133" t="str">
        <f>IFERROR(IF(VLOOKUP(C133,Pan!A:C,3,FALSE)=Table1[[#Headers],[Pan]],Table1[[#Headers],[Pan]],""),"")</f>
        <v/>
      </c>
      <c r="P133" t="str">
        <f>IFERROR(IF(VLOOKUP(C133,Comunión!A:C,3,FALSE)=Table1[[#Headers],[Comunión]],Table1[[#Headers],[Comunión]],""),"")</f>
        <v/>
      </c>
      <c r="Q133" t="str">
        <f>IFERROR(IF(VLOOKUP(C133,Niños!A:C,3,FALSE)=Table1[[#Headers],[Niños]],Table1[[#Headers],[Niños]],""),"")</f>
        <v/>
      </c>
      <c r="R133" t="str">
        <f>IFERROR(IF(VLOOKUP(C133,Laudes!A:C,3,FALSE)=Table1[[#Headers],[Laudes]],Table1[[#Headers],[Laudes]],""),"")</f>
        <v>Laudes</v>
      </c>
      <c r="S133" t="str">
        <f>IFERROR(IF(VLOOKUP(C133,'Nuevo Testamento'!A:C,3,FALSE)=Table1[[#Headers],[Nuevo Testamento]],Table1[[#Headers],[Nuevo Testamento]],""),"")</f>
        <v/>
      </c>
      <c r="T133" t="str">
        <f>IFERROR(IF(VLOOKUP(C133,'Antiguo Testamento'!A:C,3,FALSE)=Table1[[#Headers],[Antiguo Testamento]],Table1[[#Headers],[Antiguo Testamento]],""),"")</f>
        <v/>
      </c>
      <c r="U133" t="str">
        <f>IFERROR(IF(VLOOKUP(C133,Final!A:C,3,FALSE)=Table1[[#Headers],[Final]],Table1[[#Headers],[Final]],""),"")</f>
        <v/>
      </c>
      <c r="V133" t="str" cm="1">
        <f t="array" ref="V13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/cantos/src/chtml/l/lleguehastatupresenciamiclamor.html</v>
      </c>
      <c r="W13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{id:131,title: "Llegue hasta tu presencia mi clamor", subtitle: "Sal 119 (118)", category: "Precatecumenado", moments: ["Adviento","Navidad","Cuaresma","","","Entrada","","","","","","Laudes","","",""], url: "/cantos/src/chtml/l/lleguehastatupresenciamiclamor.html"},</v>
      </c>
    </row>
    <row r="134" spans="1:23" x14ac:dyDescent="0.25">
      <c r="A134">
        <v>107</v>
      </c>
      <c r="B134" s="14">
        <v>132</v>
      </c>
      <c r="C134" t="s">
        <v>170</v>
      </c>
      <c r="D134" t="s">
        <v>420</v>
      </c>
      <c r="E134" t="str">
        <f>LOWER(LEFT(Table1[[#This Row],[Canto]],1))</f>
        <v>l</v>
      </c>
      <c r="F134" t="s">
        <v>288</v>
      </c>
      <c r="G134" t="str">
        <f>IFERROR(IF(VLOOKUP(C134,Adviento!A:C,3,FALSE)=Table1[[#Headers],[Adviento]],Table1[[#Headers],[Adviento]],""),"")</f>
        <v>Adviento</v>
      </c>
      <c r="H134" t="str">
        <f>IFERROR(IF(VLOOKUP(C134,Navidad!A:C,3,FALSE)=Table1[[#Headers],[Navidad]],Table1[[#Headers],[Navidad]],""),"")</f>
        <v>Navidad</v>
      </c>
      <c r="I134" t="str">
        <f>IFERROR(IF(VLOOKUP(C134,Cuaresma!A:C,3,FALSE)=Table1[[#Headers],[Cuaresma]],Table1[[#Headers],[Cuaresma]],""),"")</f>
        <v/>
      </c>
      <c r="J134" t="str">
        <f>IFERROR(IF(VLOOKUP(C134,Pascua!A:C,3,FALSE)=Table1[[#Headers],[Pascua]],Table1[[#Headers],[Pascua]],""),"")</f>
        <v>Pascua</v>
      </c>
      <c r="K134" t="str">
        <f>IFERROR(IF(VLOOKUP(C134,Pentecostés!A:C,3,FALSE)=Table1[[#Headers],[Pentecostés]],Table1[[#Headers],[Pentecostés]],""),"")</f>
        <v>Pentecostés</v>
      </c>
      <c r="L134" t="str">
        <f>IFERROR(IF(VLOOKUP(C134,Entrada!A:C,3,FALSE)=Table1[[#Headers],[Entrada]],Table1[[#Headers],[Entrada]],""),"")</f>
        <v/>
      </c>
      <c r="M134" t="str">
        <f>IFERROR(IF(VLOOKUP(C134,Virgen!A:C,3,FALSE)=Table1[[#Headers],[Virgen]],Table1[[#Headers],[Virgen]],""),"")</f>
        <v/>
      </c>
      <c r="N134" t="str">
        <f>IFERROR(IF(VLOOKUP(C134,Paz!A:C,3,FALSE)=Table1[[#Headers],[Paz]],Table1[[#Headers],[Paz]],""),"")</f>
        <v/>
      </c>
      <c r="O134" t="str">
        <f>IFERROR(IF(VLOOKUP(C134,Pan!A:C,3,FALSE)=Table1[[#Headers],[Pan]],Table1[[#Headers],[Pan]],""),"")</f>
        <v/>
      </c>
      <c r="P134" t="str">
        <f>IFERROR(IF(VLOOKUP(C134,Comunión!A:C,3,FALSE)=Table1[[#Headers],[Comunión]],Table1[[#Headers],[Comunión]],""),"")</f>
        <v/>
      </c>
      <c r="Q134" t="str">
        <f>IFERROR(IF(VLOOKUP(C134,Niños!A:C,3,FALSE)=Table1[[#Headers],[Niños]],Table1[[#Headers],[Niños]],""),"")</f>
        <v/>
      </c>
      <c r="R134" t="str">
        <f>IFERROR(IF(VLOOKUP(C134,Laudes!A:C,3,FALSE)=Table1[[#Headers],[Laudes]],Table1[[#Headers],[Laudes]],""),"")</f>
        <v/>
      </c>
      <c r="S134" t="str">
        <f>IFERROR(IF(VLOOKUP(C134,'Nuevo Testamento'!A:C,3,FALSE)=Table1[[#Headers],[Nuevo Testamento]],Table1[[#Headers],[Nuevo Testamento]],""),"")</f>
        <v>Nuevo Testamento</v>
      </c>
      <c r="T134" t="str">
        <f>IFERROR(IF(VLOOKUP(C134,'Antiguo Testamento'!A:C,3,FALSE)=Table1[[#Headers],[Antiguo Testamento]],Table1[[#Headers],[Antiguo Testamento]],""),"")</f>
        <v/>
      </c>
      <c r="U134" t="str">
        <f>IFERROR(IF(VLOOKUP(C134,Final!A:C,3,FALSE)=Table1[[#Headers],[Final]],Table1[[#Headers],[Final]],""),"")</f>
        <v>Final</v>
      </c>
      <c r="V134" t="str" cm="1">
        <f t="array" ref="V13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/cantos/src/chtml/l/llevamealcielo.html</v>
      </c>
      <c r="W13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{id:132,title: "Llévame al cielo", subtitle: "Filipenses 1,23", category: "Precatecumenado", moments: ["Adviento","Navidad","","Pascua","Pentecostés","","","","","","","","Nuevo Testamento","","Final"], url: "/cantos/src/chtml/l/llevamealcielo.html"},</v>
      </c>
    </row>
    <row r="135" spans="1:23" x14ac:dyDescent="0.25">
      <c r="A135">
        <v>108</v>
      </c>
      <c r="B135" s="14">
        <v>133</v>
      </c>
      <c r="C135" t="s">
        <v>60</v>
      </c>
      <c r="D135" t="s">
        <v>421</v>
      </c>
      <c r="E135" t="str">
        <f>LOWER(LEFT(Table1[[#This Row],[Canto]],1))</f>
        <v>m</v>
      </c>
      <c r="F135" t="s">
        <v>288</v>
      </c>
      <c r="G135" t="str">
        <f>IFERROR(IF(VLOOKUP(C135,Adviento!A:C,3,FALSE)=Table1[[#Headers],[Adviento]],Table1[[#Headers],[Adviento]],""),"")</f>
        <v/>
      </c>
      <c r="H135" t="str">
        <f>IFERROR(IF(VLOOKUP(C135,Navidad!A:C,3,FALSE)=Table1[[#Headers],[Navidad]],Table1[[#Headers],[Navidad]],""),"")</f>
        <v/>
      </c>
      <c r="I135" t="str">
        <f>IFERROR(IF(VLOOKUP(C135,Cuaresma!A:C,3,FALSE)=Table1[[#Headers],[Cuaresma]],Table1[[#Headers],[Cuaresma]],""),"")</f>
        <v/>
      </c>
      <c r="J135" t="str">
        <f>IFERROR(IF(VLOOKUP(C135,Pascua!A:C,3,FALSE)=Table1[[#Headers],[Pascua]],Table1[[#Headers],[Pascua]],""),"")</f>
        <v/>
      </c>
      <c r="K135" t="str">
        <f>IFERROR(IF(VLOOKUP(C135,Pentecostés!A:C,3,FALSE)=Table1[[#Headers],[Pentecostés]],Table1[[#Headers],[Pentecostés]],""),"")</f>
        <v/>
      </c>
      <c r="L135" t="str">
        <f>IFERROR(IF(VLOOKUP(C135,Entrada!A:C,3,FALSE)=Table1[[#Headers],[Entrada]],Table1[[#Headers],[Entrada]],""),"")</f>
        <v/>
      </c>
      <c r="M135" t="str">
        <f>IFERROR(IF(VLOOKUP(C135,Virgen!A:C,3,FALSE)=Table1[[#Headers],[Virgen]],Table1[[#Headers],[Virgen]],""),"")</f>
        <v>Virgen</v>
      </c>
      <c r="N135" t="str">
        <f>IFERROR(IF(VLOOKUP(C135,Paz!A:C,3,FALSE)=Table1[[#Headers],[Paz]],Table1[[#Headers],[Paz]],""),"")</f>
        <v/>
      </c>
      <c r="O135" t="str">
        <f>IFERROR(IF(VLOOKUP(C135,Pan!A:C,3,FALSE)=Table1[[#Headers],[Pan]],Table1[[#Headers],[Pan]],""),"")</f>
        <v/>
      </c>
      <c r="P135" t="str">
        <f>IFERROR(IF(VLOOKUP(C135,Comunión!A:C,3,FALSE)=Table1[[#Headers],[Comunión]],Table1[[#Headers],[Comunión]],""),"")</f>
        <v/>
      </c>
      <c r="Q135" t="str">
        <f>IFERROR(IF(VLOOKUP(C135,Niños!A:C,3,FALSE)=Table1[[#Headers],[Niños]],Table1[[#Headers],[Niños]],""),"")</f>
        <v/>
      </c>
      <c r="R135" t="str">
        <f>IFERROR(IF(VLOOKUP(C135,Laudes!A:C,3,FALSE)=Table1[[#Headers],[Laudes]],Table1[[#Headers],[Laudes]],""),"")</f>
        <v>Laudes</v>
      </c>
      <c r="S135" t="str">
        <f>IFERROR(IF(VLOOKUP(C135,'Nuevo Testamento'!A:C,3,FALSE)=Table1[[#Headers],[Nuevo Testamento]],Table1[[#Headers],[Nuevo Testamento]],""),"")</f>
        <v>Nuevo Testamento</v>
      </c>
      <c r="T135" t="str">
        <f>IFERROR(IF(VLOOKUP(C135,'Antiguo Testamento'!A:C,3,FALSE)=Table1[[#Headers],[Antiguo Testamento]],Table1[[#Headers],[Antiguo Testamento]],""),"")</f>
        <v/>
      </c>
      <c r="U135" t="str">
        <f>IFERROR(IF(VLOOKUP(C135,Final!A:C,3,FALSE)=Table1[[#Headers],[Final]],Table1[[#Headers],[Final]],""),"")</f>
        <v/>
      </c>
      <c r="V135" t="str" cm="1">
        <f t="array" ref="V13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/cantos/src/chtml/m/magnificat.html</v>
      </c>
      <c r="W13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{id:133,title: "Magníficat", subtitle: "Lucas 1,46-55", category: "Precatecumenado", moments: ["","","","","","","Virgen","","","","","Laudes","Nuevo Testamento","",""], url: "/cantos/src/chtml/m/magnificat.html"},</v>
      </c>
    </row>
    <row r="136" spans="1:23" x14ac:dyDescent="0.25">
      <c r="A136">
        <v>110</v>
      </c>
      <c r="B136" s="14">
        <v>134</v>
      </c>
      <c r="C136" t="s">
        <v>61</v>
      </c>
      <c r="D136" t="s">
        <v>422</v>
      </c>
      <c r="E136" t="str">
        <f>LOWER(LEFT(Table1[[#This Row],[Canto]],1))</f>
        <v>m</v>
      </c>
      <c r="F136" t="s">
        <v>288</v>
      </c>
      <c r="G136" t="str">
        <f>IFERROR(IF(VLOOKUP(C136,Adviento!A:C,3,FALSE)=Table1[[#Headers],[Adviento]],Table1[[#Headers],[Adviento]],""),"")</f>
        <v/>
      </c>
      <c r="H136" t="str">
        <f>IFERROR(IF(VLOOKUP(C136,Navidad!A:C,3,FALSE)=Table1[[#Headers],[Navidad]],Table1[[#Headers],[Navidad]],""),"")</f>
        <v/>
      </c>
      <c r="I136" t="str">
        <f>IFERROR(IF(VLOOKUP(C136,Cuaresma!A:C,3,FALSE)=Table1[[#Headers],[Cuaresma]],Table1[[#Headers],[Cuaresma]],""),"")</f>
        <v/>
      </c>
      <c r="J136" t="str">
        <f>IFERROR(IF(VLOOKUP(C136,Pascua!A:C,3,FALSE)=Table1[[#Headers],[Pascua]],Table1[[#Headers],[Pascua]],""),"")</f>
        <v/>
      </c>
      <c r="K136" t="str">
        <f>IFERROR(IF(VLOOKUP(C136,Pentecostés!A:C,3,FALSE)=Table1[[#Headers],[Pentecostés]],Table1[[#Headers],[Pentecostés]],""),"")</f>
        <v/>
      </c>
      <c r="L136" t="str">
        <f>IFERROR(IF(VLOOKUP(C136,Entrada!A:C,3,FALSE)=Table1[[#Headers],[Entrada]],Table1[[#Headers],[Entrada]],""),"")</f>
        <v/>
      </c>
      <c r="M136" t="str">
        <f>IFERROR(IF(VLOOKUP(C136,Virgen!A:C,3,FALSE)=Table1[[#Headers],[Virgen]],Table1[[#Headers],[Virgen]],""),"")</f>
        <v>Virgen</v>
      </c>
      <c r="N136" t="str">
        <f>IFERROR(IF(VLOOKUP(C136,Paz!A:C,3,FALSE)=Table1[[#Headers],[Paz]],Table1[[#Headers],[Paz]],""),"")</f>
        <v/>
      </c>
      <c r="O136" t="str">
        <f>IFERROR(IF(VLOOKUP(C136,Pan!A:C,3,FALSE)=Table1[[#Headers],[Pan]],Table1[[#Headers],[Pan]],""),"")</f>
        <v/>
      </c>
      <c r="P136" t="str">
        <f>IFERROR(IF(VLOOKUP(C136,Comunión!A:C,3,FALSE)=Table1[[#Headers],[Comunión]],Table1[[#Headers],[Comunión]],""),"")</f>
        <v/>
      </c>
      <c r="Q136" t="str">
        <f>IFERROR(IF(VLOOKUP(C136,Niños!A:C,3,FALSE)=Table1[[#Headers],[Niños]],Table1[[#Headers],[Niños]],""),"")</f>
        <v/>
      </c>
      <c r="R136" t="str">
        <f>IFERROR(IF(VLOOKUP(C136,Laudes!A:C,3,FALSE)=Table1[[#Headers],[Laudes]],Table1[[#Headers],[Laudes]],""),"")</f>
        <v/>
      </c>
      <c r="S136" t="str">
        <f>IFERROR(IF(VLOOKUP(C136,'Nuevo Testamento'!A:C,3,FALSE)=Table1[[#Headers],[Nuevo Testamento]],Table1[[#Headers],[Nuevo Testamento]],""),"")</f>
        <v/>
      </c>
      <c r="T136" t="str">
        <f>IFERROR(IF(VLOOKUP(C136,'Antiguo Testamento'!A:C,3,FALSE)=Table1[[#Headers],[Antiguo Testamento]],Table1[[#Headers],[Antiguo Testamento]],""),"")</f>
        <v/>
      </c>
      <c r="U136" t="str">
        <f>IFERROR(IF(VLOOKUP(C136,Final!A:C,3,FALSE)=Table1[[#Headers],[Final]],Table1[[#Headers],[Final]],""),"")</f>
        <v/>
      </c>
      <c r="V136" t="str" cm="1">
        <f t="array" ref="V13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/cantos/src/chtml/m/mariadejasnagöra.html</v>
      </c>
      <c r="W13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{id:134,title: "María de Jasna Göra", subtitle: "Himno a la Virgen de Jasna Göra, Częstochowa Polonia (Kiko Argüello) ", category: "Precatecumenado", moments: ["","","","","","","Virgen","","","","","","","",""], url: "/cantos/src/chtml/m/mariadejasnagöra.html"},</v>
      </c>
    </row>
    <row r="137" spans="1:23" x14ac:dyDescent="0.25">
      <c r="A137">
        <v>109</v>
      </c>
      <c r="B137" s="14">
        <v>135</v>
      </c>
      <c r="C137" t="s">
        <v>62</v>
      </c>
      <c r="D137" t="s">
        <v>423</v>
      </c>
      <c r="E137" t="str">
        <f>LOWER(LEFT(Table1[[#This Row],[Canto]],1))</f>
        <v>m</v>
      </c>
      <c r="F137" t="s">
        <v>288</v>
      </c>
      <c r="G137" t="str">
        <f>IFERROR(IF(VLOOKUP(C137,Adviento!A:C,3,FALSE)=Table1[[#Headers],[Adviento]],Table1[[#Headers],[Adviento]],""),"")</f>
        <v/>
      </c>
      <c r="H137" t="str">
        <f>IFERROR(IF(VLOOKUP(C137,Navidad!A:C,3,FALSE)=Table1[[#Headers],[Navidad]],Table1[[#Headers],[Navidad]],""),"")</f>
        <v/>
      </c>
      <c r="I137" t="str">
        <f>IFERROR(IF(VLOOKUP(C137,Cuaresma!A:C,3,FALSE)=Table1[[#Headers],[Cuaresma]],Table1[[#Headers],[Cuaresma]],""),"")</f>
        <v/>
      </c>
      <c r="J137" t="str">
        <f>IFERROR(IF(VLOOKUP(C137,Pascua!A:C,3,FALSE)=Table1[[#Headers],[Pascua]],Table1[[#Headers],[Pascua]],""),"")</f>
        <v>Pascua</v>
      </c>
      <c r="K137" t="str">
        <f>IFERROR(IF(VLOOKUP(C137,Pentecostés!A:C,3,FALSE)=Table1[[#Headers],[Pentecostés]],Table1[[#Headers],[Pentecostés]],""),"")</f>
        <v>Pentecostés</v>
      </c>
      <c r="L137" t="str">
        <f>IFERROR(IF(VLOOKUP(C137,Entrada!A:C,3,FALSE)=Table1[[#Headers],[Entrada]],Table1[[#Headers],[Entrada]],""),"")</f>
        <v/>
      </c>
      <c r="M137" t="str">
        <f>IFERROR(IF(VLOOKUP(C137,Virgen!A:C,3,FALSE)=Table1[[#Headers],[Virgen]],Table1[[#Headers],[Virgen]],""),"")</f>
        <v>Virgen</v>
      </c>
      <c r="N137" t="str">
        <f>IFERROR(IF(VLOOKUP(C137,Paz!A:C,3,FALSE)=Table1[[#Headers],[Paz]],Table1[[#Headers],[Paz]],""),"")</f>
        <v/>
      </c>
      <c r="O137" t="str">
        <f>IFERROR(IF(VLOOKUP(C137,Pan!A:C,3,FALSE)=Table1[[#Headers],[Pan]],Table1[[#Headers],[Pan]],""),"")</f>
        <v/>
      </c>
      <c r="P137" t="str">
        <f>IFERROR(IF(VLOOKUP(C137,Comunión!A:C,3,FALSE)=Table1[[#Headers],[Comunión]],Table1[[#Headers],[Comunión]],""),"")</f>
        <v>Comunión</v>
      </c>
      <c r="Q137" t="str">
        <f>IFERROR(IF(VLOOKUP(C137,Niños!A:C,3,FALSE)=Table1[[#Headers],[Niños]],Table1[[#Headers],[Niños]],""),"")</f>
        <v/>
      </c>
      <c r="R137" t="str">
        <f>IFERROR(IF(VLOOKUP(C137,Laudes!A:C,3,FALSE)=Table1[[#Headers],[Laudes]],Table1[[#Headers],[Laudes]],""),"")</f>
        <v/>
      </c>
      <c r="S137" t="str">
        <f>IFERROR(IF(VLOOKUP(C137,'Nuevo Testamento'!A:C,3,FALSE)=Table1[[#Headers],[Nuevo Testamento]],Table1[[#Headers],[Nuevo Testamento]],""),"")</f>
        <v>Nuevo Testamento</v>
      </c>
      <c r="T137" t="str">
        <f>IFERROR(IF(VLOOKUP(C137,'Antiguo Testamento'!A:C,3,FALSE)=Table1[[#Headers],[Antiguo Testamento]],Table1[[#Headers],[Antiguo Testamento]],""),"")</f>
        <v/>
      </c>
      <c r="U137" t="str">
        <f>IFERROR(IF(VLOOKUP(C137,Final!A:C,3,FALSE)=Table1[[#Headers],[Final]],Table1[[#Headers],[Final]],""),"")</f>
        <v/>
      </c>
      <c r="V137" t="str" cm="1">
        <f t="array" ref="V13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/cantos/src/chtml/m/mariacasadebendicion.html</v>
      </c>
      <c r="W13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{id:135,title: "María, casa de bendición", subtitle: "Juan 2,1–11 – Las Bodas de Caná", category: "Precatecumenado", moments: ["","","","Pascua","Pentecostés","","Virgen","","","Comunión","","","Nuevo Testamento","",""], url: "/cantos/src/chtml/m/mariacasadebendicion.html"},</v>
      </c>
    </row>
    <row r="138" spans="1:23" x14ac:dyDescent="0.25">
      <c r="A138">
        <v>111</v>
      </c>
      <c r="B138" s="14">
        <v>136</v>
      </c>
      <c r="C138" t="s">
        <v>63</v>
      </c>
      <c r="D138" t="s">
        <v>424</v>
      </c>
      <c r="E138" t="str">
        <f>LOWER(LEFT(Table1[[#This Row],[Canto]],1))</f>
        <v>m</v>
      </c>
      <c r="F138" t="s">
        <v>288</v>
      </c>
      <c r="G138" t="str">
        <f>IFERROR(IF(VLOOKUP(C138,Adviento!A:C,3,FALSE)=Table1[[#Headers],[Adviento]],Table1[[#Headers],[Adviento]],""),"")</f>
        <v/>
      </c>
      <c r="H138" t="str">
        <f>IFERROR(IF(VLOOKUP(C138,Navidad!A:C,3,FALSE)=Table1[[#Headers],[Navidad]],Table1[[#Headers],[Navidad]],""),"")</f>
        <v/>
      </c>
      <c r="I138" t="str">
        <f>IFERROR(IF(VLOOKUP(C138,Cuaresma!A:C,3,FALSE)=Table1[[#Headers],[Cuaresma]],Table1[[#Headers],[Cuaresma]],""),"")</f>
        <v>Cuaresma</v>
      </c>
      <c r="J138" t="str">
        <f>IFERROR(IF(VLOOKUP(C138,Pascua!A:C,3,FALSE)=Table1[[#Headers],[Pascua]],Table1[[#Headers],[Pascua]],""),"")</f>
        <v/>
      </c>
      <c r="K138" t="str">
        <f>IFERROR(IF(VLOOKUP(C138,Pentecostés!A:C,3,FALSE)=Table1[[#Headers],[Pentecostés]],Table1[[#Headers],[Pentecostés]],""),"")</f>
        <v/>
      </c>
      <c r="L138" t="str">
        <f>IFERROR(IF(VLOOKUP(C138,Entrada!A:C,3,FALSE)=Table1[[#Headers],[Entrada]],Table1[[#Headers],[Entrada]],""),"")</f>
        <v/>
      </c>
      <c r="M138" t="str">
        <f>IFERROR(IF(VLOOKUP(C138,Virgen!A:C,3,FALSE)=Table1[[#Headers],[Virgen]],Table1[[#Headers],[Virgen]],""),"")</f>
        <v>Virgen</v>
      </c>
      <c r="N138" t="str">
        <f>IFERROR(IF(VLOOKUP(C138,Paz!A:C,3,FALSE)=Table1[[#Headers],[Paz]],Table1[[#Headers],[Paz]],""),"")</f>
        <v/>
      </c>
      <c r="O138" t="str">
        <f>IFERROR(IF(VLOOKUP(C138,Pan!A:C,3,FALSE)=Table1[[#Headers],[Pan]],Table1[[#Headers],[Pan]],""),"")</f>
        <v>Pan</v>
      </c>
      <c r="P138" t="str">
        <f>IFERROR(IF(VLOOKUP(C138,Comunión!A:C,3,FALSE)=Table1[[#Headers],[Comunión]],Table1[[#Headers],[Comunión]],""),"")</f>
        <v/>
      </c>
      <c r="Q138" t="str">
        <f>IFERROR(IF(VLOOKUP(C138,Niños!A:C,3,FALSE)=Table1[[#Headers],[Niños]],Table1[[#Headers],[Niños]],""),"")</f>
        <v/>
      </c>
      <c r="R138" t="str">
        <f>IFERROR(IF(VLOOKUP(C138,Laudes!A:C,3,FALSE)=Table1[[#Headers],[Laudes]],Table1[[#Headers],[Laudes]],""),"")</f>
        <v/>
      </c>
      <c r="S138" t="str">
        <f>IFERROR(IF(VLOOKUP(C138,'Nuevo Testamento'!A:C,3,FALSE)=Table1[[#Headers],[Nuevo Testamento]],Table1[[#Headers],[Nuevo Testamento]],""),"")</f>
        <v>Nuevo Testamento</v>
      </c>
      <c r="T138" t="str">
        <f>IFERROR(IF(VLOOKUP(C138,'Antiguo Testamento'!A:C,3,FALSE)=Table1[[#Headers],[Antiguo Testamento]],Table1[[#Headers],[Antiguo Testamento]],""),"")</f>
        <v/>
      </c>
      <c r="U138" t="str">
        <f>IFERROR(IF(VLOOKUP(C138,Final!A:C,3,FALSE)=Table1[[#Headers],[Final]],Table1[[#Headers],[Final]],""),"")</f>
        <v/>
      </c>
      <c r="V138" t="str" cm="1">
        <f t="array" ref="V13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/cantos/src/chtml/m/mariamadredelaiglesia.html</v>
      </c>
      <c r="W13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{id:136,title: "María, madre de la Iglesia", subtitle: "Juan 19,26-34", category: "Precatecumenado", moments: ["","","Cuaresma","","","","Virgen","","Pan","","","","Nuevo Testamento","",""], url: "/cantos/src/chtml/m/mariamadredelaiglesia.html"},</v>
      </c>
    </row>
    <row r="139" spans="1:23" x14ac:dyDescent="0.25">
      <c r="A139">
        <v>112</v>
      </c>
      <c r="B139" s="14">
        <v>137</v>
      </c>
      <c r="C139" t="s">
        <v>64</v>
      </c>
      <c r="D139" t="s">
        <v>425</v>
      </c>
      <c r="E139" t="str">
        <f>LOWER(LEFT(Table1[[#This Row],[Canto]],1))</f>
        <v>m</v>
      </c>
      <c r="F139" t="s">
        <v>288</v>
      </c>
      <c r="G139" t="str">
        <f>IFERROR(IF(VLOOKUP(C139,Adviento!A:C,3,FALSE)=Table1[[#Headers],[Adviento]],Table1[[#Headers],[Adviento]],""),"")</f>
        <v>Adviento</v>
      </c>
      <c r="H139" t="str">
        <f>IFERROR(IF(VLOOKUP(C139,Navidad!A:C,3,FALSE)=Table1[[#Headers],[Navidad]],Table1[[#Headers],[Navidad]],""),"")</f>
        <v>Navidad</v>
      </c>
      <c r="I139" t="str">
        <f>IFERROR(IF(VLOOKUP(C139,Cuaresma!A:C,3,FALSE)=Table1[[#Headers],[Cuaresma]],Table1[[#Headers],[Cuaresma]],""),"")</f>
        <v/>
      </c>
      <c r="J139" t="str">
        <f>IFERROR(IF(VLOOKUP(C139,Pascua!A:C,3,FALSE)=Table1[[#Headers],[Pascua]],Table1[[#Headers],[Pascua]],""),"")</f>
        <v/>
      </c>
      <c r="K139" t="str">
        <f>IFERROR(IF(VLOOKUP(C139,Pentecostés!A:C,3,FALSE)=Table1[[#Headers],[Pentecostés]],Table1[[#Headers],[Pentecostés]],""),"")</f>
        <v/>
      </c>
      <c r="L139" t="str">
        <f>IFERROR(IF(VLOOKUP(C139,Entrada!A:C,3,FALSE)=Table1[[#Headers],[Entrada]],Table1[[#Headers],[Entrada]],""),"")</f>
        <v/>
      </c>
      <c r="M139" t="str">
        <f>IFERROR(IF(VLOOKUP(C139,Virgen!A:C,3,FALSE)=Table1[[#Headers],[Virgen]],Table1[[#Headers],[Virgen]],""),"")</f>
        <v>Virgen</v>
      </c>
      <c r="N139" t="str">
        <f>IFERROR(IF(VLOOKUP(C139,Paz!A:C,3,FALSE)=Table1[[#Headers],[Paz]],Table1[[#Headers],[Paz]],""),"")</f>
        <v/>
      </c>
      <c r="O139" t="str">
        <f>IFERROR(IF(VLOOKUP(C139,Pan!A:C,3,FALSE)=Table1[[#Headers],[Pan]],Table1[[#Headers],[Pan]],""),"")</f>
        <v/>
      </c>
      <c r="P139" t="str">
        <f>IFERROR(IF(VLOOKUP(C139,Comunión!A:C,3,FALSE)=Table1[[#Headers],[Comunión]],Table1[[#Headers],[Comunión]],""),"")</f>
        <v/>
      </c>
      <c r="Q139" t="str">
        <f>IFERROR(IF(VLOOKUP(C139,Niños!A:C,3,FALSE)=Table1[[#Headers],[Niños]],Table1[[#Headers],[Niños]],""),"")</f>
        <v/>
      </c>
      <c r="R139" t="str">
        <f>IFERROR(IF(VLOOKUP(C139,Laudes!A:C,3,FALSE)=Table1[[#Headers],[Laudes]],Table1[[#Headers],[Laudes]],""),"")</f>
        <v/>
      </c>
      <c r="S139" t="str">
        <f>IFERROR(IF(VLOOKUP(C139,'Nuevo Testamento'!A:C,3,FALSE)=Table1[[#Headers],[Nuevo Testamento]],Table1[[#Headers],[Nuevo Testamento]],""),"")</f>
        <v/>
      </c>
      <c r="T139" t="str">
        <f>IFERROR(IF(VLOOKUP(C139,'Antiguo Testamento'!A:C,3,FALSE)=Table1[[#Headers],[Antiguo Testamento]],Table1[[#Headers],[Antiguo Testamento]],""),"")</f>
        <v/>
      </c>
      <c r="U139" t="str">
        <f>IFERROR(IF(VLOOKUP(C139,Final!A:C,3,FALSE)=Table1[[#Headers],[Final]],Table1[[#Headers],[Final]],""),"")</f>
        <v/>
      </c>
      <c r="V139" t="str" cm="1">
        <f t="array" ref="V13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/cantos/src/chtml/m/mariamadredelcaminoardiente.html</v>
      </c>
      <c r="W13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{id:137,title: "María, madre del camino ardiente", subtitle: "Himno a la Virgen del Tercer Milenio (Kiko Argüello)", category: "Precatecumenado", moments: ["Adviento","Navidad","","","","","Virgen","","","","","","","",""], url: "/cantos/src/chtml/m/mariamadredelcaminoardiente.html"},</v>
      </c>
    </row>
    <row r="140" spans="1:23" x14ac:dyDescent="0.25">
      <c r="A140">
        <v>113</v>
      </c>
      <c r="B140" s="14">
        <v>138</v>
      </c>
      <c r="C140" t="s">
        <v>65</v>
      </c>
      <c r="D140" t="s">
        <v>426</v>
      </c>
      <c r="E140" t="str">
        <f>LOWER(LEFT(Table1[[#This Row],[Canto]],1))</f>
        <v>m</v>
      </c>
      <c r="F140" t="s">
        <v>288</v>
      </c>
      <c r="G140" t="str">
        <f>IFERROR(IF(VLOOKUP(C140,Adviento!A:C,3,FALSE)=Table1[[#Headers],[Adviento]],Table1[[#Headers],[Adviento]],""),"")</f>
        <v/>
      </c>
      <c r="H140" t="str">
        <f>IFERROR(IF(VLOOKUP(C140,Navidad!A:C,3,FALSE)=Table1[[#Headers],[Navidad]],Table1[[#Headers],[Navidad]],""),"")</f>
        <v/>
      </c>
      <c r="I140" t="str">
        <f>IFERROR(IF(VLOOKUP(C140,Cuaresma!A:C,3,FALSE)=Table1[[#Headers],[Cuaresma]],Table1[[#Headers],[Cuaresma]],""),"")</f>
        <v>Cuaresma</v>
      </c>
      <c r="J140" t="str">
        <f>IFERROR(IF(VLOOKUP(C140,Pascua!A:C,3,FALSE)=Table1[[#Headers],[Pascua]],Table1[[#Headers],[Pascua]],""),"")</f>
        <v/>
      </c>
      <c r="K140" t="str">
        <f>IFERROR(IF(VLOOKUP(C140,Pentecostés!A:C,3,FALSE)=Table1[[#Headers],[Pentecostés]],Table1[[#Headers],[Pentecostés]],""),"")</f>
        <v/>
      </c>
      <c r="L140" t="str">
        <f>IFERROR(IF(VLOOKUP(C140,Entrada!A:C,3,FALSE)=Table1[[#Headers],[Entrada]],Table1[[#Headers],[Entrada]],""),"")</f>
        <v/>
      </c>
      <c r="M140" t="str">
        <f>IFERROR(IF(VLOOKUP(C140,Virgen!A:C,3,FALSE)=Table1[[#Headers],[Virgen]],Table1[[#Headers],[Virgen]],""),"")</f>
        <v>Virgen</v>
      </c>
      <c r="N140" t="str">
        <f>IFERROR(IF(VLOOKUP(C140,Paz!A:C,3,FALSE)=Table1[[#Headers],[Paz]],Table1[[#Headers],[Paz]],""),"")</f>
        <v/>
      </c>
      <c r="O140" t="str">
        <f>IFERROR(IF(VLOOKUP(C140,Pan!A:C,3,FALSE)=Table1[[#Headers],[Pan]],Table1[[#Headers],[Pan]],""),"")</f>
        <v/>
      </c>
      <c r="P140" t="str">
        <f>IFERROR(IF(VLOOKUP(C140,Comunión!A:C,3,FALSE)=Table1[[#Headers],[Comunión]],Table1[[#Headers],[Comunión]],""),"")</f>
        <v/>
      </c>
      <c r="Q140" t="str">
        <f>IFERROR(IF(VLOOKUP(C140,Niños!A:C,3,FALSE)=Table1[[#Headers],[Niños]],Table1[[#Headers],[Niños]],""),"")</f>
        <v/>
      </c>
      <c r="R140" t="str">
        <f>IFERROR(IF(VLOOKUP(C140,Laudes!A:C,3,FALSE)=Table1[[#Headers],[Laudes]],Table1[[#Headers],[Laudes]],""),"")</f>
        <v/>
      </c>
      <c r="S140" t="str">
        <f>IFERROR(IF(VLOOKUP(C140,'Nuevo Testamento'!A:C,3,FALSE)=Table1[[#Headers],[Nuevo Testamento]],Table1[[#Headers],[Nuevo Testamento]],""),"")</f>
        <v/>
      </c>
      <c r="T140" t="str">
        <f>IFERROR(IF(VLOOKUP(C140,'Antiguo Testamento'!A:C,3,FALSE)=Table1[[#Headers],[Antiguo Testamento]],Table1[[#Headers],[Antiguo Testamento]],""),"")</f>
        <v/>
      </c>
      <c r="U140" t="str">
        <f>IFERROR(IF(VLOOKUP(C140,Final!A:C,3,FALSE)=Table1[[#Headers],[Final]],Table1[[#Headers],[Final]],""),"")</f>
        <v/>
      </c>
      <c r="V140" t="str" cm="1">
        <f t="array" ref="V14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/cantos/src/chtml/m/mariapequenamaria.html</v>
      </c>
      <c r="W14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{id:138,title: "María, pequeña María", subtitle: "Himno a la Virgen María (Kiko Argüello)", category: "Precatecumenado", moments: ["","","Cuaresma","","","","Virgen","","","","","","","",""], url: "/cantos/src/chtml/m/mariapequenamaria.html"},</v>
      </c>
    </row>
    <row r="141" spans="1:23" x14ac:dyDescent="0.25">
      <c r="A141">
        <v>114</v>
      </c>
      <c r="B141" s="14">
        <v>139</v>
      </c>
      <c r="C141" t="s">
        <v>66</v>
      </c>
      <c r="D141" t="s">
        <v>427</v>
      </c>
      <c r="E141" t="str">
        <f>LOWER(LEFT(Table1[[#This Row],[Canto]],1))</f>
        <v>m</v>
      </c>
      <c r="F141" t="s">
        <v>288</v>
      </c>
      <c r="G141" t="str">
        <f>IFERROR(IF(VLOOKUP(C141,Adviento!A:C,3,FALSE)=Table1[[#Headers],[Adviento]],Table1[[#Headers],[Adviento]],""),"")</f>
        <v/>
      </c>
      <c r="H141" t="str">
        <f>IFERROR(IF(VLOOKUP(C141,Navidad!A:C,3,FALSE)=Table1[[#Headers],[Navidad]],Table1[[#Headers],[Navidad]],""),"")</f>
        <v/>
      </c>
      <c r="I141" t="str">
        <f>IFERROR(IF(VLOOKUP(C141,Cuaresma!A:C,3,FALSE)=Table1[[#Headers],[Cuaresma]],Table1[[#Headers],[Cuaresma]],""),"")</f>
        <v/>
      </c>
      <c r="J141" t="str">
        <f>IFERROR(IF(VLOOKUP(C141,Pascua!A:C,3,FALSE)=Table1[[#Headers],[Pascua]],Table1[[#Headers],[Pascua]],""),"")</f>
        <v>Pascua</v>
      </c>
      <c r="K141" t="str">
        <f>IFERROR(IF(VLOOKUP(C141,Pentecostés!A:C,3,FALSE)=Table1[[#Headers],[Pentecostés]],Table1[[#Headers],[Pentecostés]],""),"")</f>
        <v>Pentecostés</v>
      </c>
      <c r="L141" t="str">
        <f>IFERROR(IF(VLOOKUP(C141,Entrada!A:C,3,FALSE)=Table1[[#Headers],[Entrada]],Table1[[#Headers],[Entrada]],""),"")</f>
        <v>Entrada</v>
      </c>
      <c r="M141" t="str">
        <f>IFERROR(IF(VLOOKUP(C141,Virgen!A:C,3,FALSE)=Table1[[#Headers],[Virgen]],Table1[[#Headers],[Virgen]],""),"")</f>
        <v/>
      </c>
      <c r="N141" t="str">
        <f>IFERROR(IF(VLOOKUP(C141,Paz!A:C,3,FALSE)=Table1[[#Headers],[Paz]],Table1[[#Headers],[Paz]],""),"")</f>
        <v/>
      </c>
      <c r="O141" t="str">
        <f>IFERROR(IF(VLOOKUP(C141,Pan!A:C,3,FALSE)=Table1[[#Headers],[Pan]],Table1[[#Headers],[Pan]],""),"")</f>
        <v/>
      </c>
      <c r="P141" t="str">
        <f>IFERROR(IF(VLOOKUP(C141,Comunión!A:C,3,FALSE)=Table1[[#Headers],[Comunión]],Table1[[#Headers],[Comunión]],""),"")</f>
        <v/>
      </c>
      <c r="Q141" t="str">
        <f>IFERROR(IF(VLOOKUP(C141,Niños!A:C,3,FALSE)=Table1[[#Headers],[Niños]],Table1[[#Headers],[Niños]],""),"")</f>
        <v/>
      </c>
      <c r="R141" t="str">
        <f>IFERROR(IF(VLOOKUP(C141,Laudes!A:C,3,FALSE)=Table1[[#Headers],[Laudes]],Table1[[#Headers],[Laudes]],""),"")</f>
        <v/>
      </c>
      <c r="S141" t="str">
        <f>IFERROR(IF(VLOOKUP(C141,'Nuevo Testamento'!A:C,3,FALSE)=Table1[[#Headers],[Nuevo Testamento]],Table1[[#Headers],[Nuevo Testamento]],""),"")</f>
        <v/>
      </c>
      <c r="T141" t="str">
        <f>IFERROR(IF(VLOOKUP(C141,'Antiguo Testamento'!A:C,3,FALSE)=Table1[[#Headers],[Antiguo Testamento]],Table1[[#Headers],[Antiguo Testamento]],""),"")</f>
        <v>Antiguo Testamento</v>
      </c>
      <c r="U141" t="str">
        <f>IFERROR(IF(VLOOKUP(C141,Final!A:C,3,FALSE)=Table1[[#Headers],[Final]],Table1[[#Headers],[Final]],""),"")</f>
        <v/>
      </c>
      <c r="V141" t="str" cm="1">
        <f t="array" ref="V14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/cantos/src/chtml/m/meensenaraselcaminodelavida.html</v>
      </c>
      <c r="W14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{id:139,title: "Me enseñarás el camino de la vida", subtitle: "Sal 16 (15)", category: "Precatecumenado", moments: ["","","","Pascua","Pentecostés","Entrada","","","","","","","","Antiguo Testamento",""], url: "/cantos/src/chtml/m/meensenaraselcaminodelavida.html"},</v>
      </c>
    </row>
    <row r="142" spans="1:23" x14ac:dyDescent="0.25">
      <c r="A142">
        <v>115</v>
      </c>
      <c r="B142" s="14">
        <v>140</v>
      </c>
      <c r="C142" t="s">
        <v>67</v>
      </c>
      <c r="D142" t="s">
        <v>428</v>
      </c>
      <c r="E142" t="str">
        <f>LOWER(LEFT(Table1[[#This Row],[Canto]],1))</f>
        <v>m</v>
      </c>
      <c r="F142" t="s">
        <v>288</v>
      </c>
      <c r="G142" t="str">
        <f>IFERROR(IF(VLOOKUP(C142,Adviento!A:C,3,FALSE)=Table1[[#Headers],[Adviento]],Table1[[#Headers],[Adviento]],""),"")</f>
        <v/>
      </c>
      <c r="H142" t="str">
        <f>IFERROR(IF(VLOOKUP(C142,Navidad!A:C,3,FALSE)=Table1[[#Headers],[Navidad]],Table1[[#Headers],[Navidad]],""),"")</f>
        <v/>
      </c>
      <c r="I142" t="str">
        <f>IFERROR(IF(VLOOKUP(C142,Cuaresma!A:C,3,FALSE)=Table1[[#Headers],[Cuaresma]],Table1[[#Headers],[Cuaresma]],""),"")</f>
        <v/>
      </c>
      <c r="J142" t="str">
        <f>IFERROR(IF(VLOOKUP(C142,Pascua!A:C,3,FALSE)=Table1[[#Headers],[Pascua]],Table1[[#Headers],[Pascua]],""),"")</f>
        <v/>
      </c>
      <c r="K142" t="str">
        <f>IFERROR(IF(VLOOKUP(C142,Pentecostés!A:C,3,FALSE)=Table1[[#Headers],[Pentecostés]],Table1[[#Headers],[Pentecostés]],""),"")</f>
        <v/>
      </c>
      <c r="L142" t="str">
        <f>IFERROR(IF(VLOOKUP(C142,Entrada!A:C,3,FALSE)=Table1[[#Headers],[Entrada]],Table1[[#Headers],[Entrada]],""),"")</f>
        <v/>
      </c>
      <c r="M142" t="str">
        <f>IFERROR(IF(VLOOKUP(C142,Virgen!A:C,3,FALSE)=Table1[[#Headers],[Virgen]],Table1[[#Headers],[Virgen]],""),"")</f>
        <v/>
      </c>
      <c r="N142" t="str">
        <f>IFERROR(IF(VLOOKUP(C142,Paz!A:C,3,FALSE)=Table1[[#Headers],[Paz]],Table1[[#Headers],[Paz]],""),"")</f>
        <v/>
      </c>
      <c r="O142" t="str">
        <f>IFERROR(IF(VLOOKUP(C142,Pan!A:C,3,FALSE)=Table1[[#Headers],[Pan]],Table1[[#Headers],[Pan]],""),"")</f>
        <v/>
      </c>
      <c r="P142" t="str">
        <f>IFERROR(IF(VLOOKUP(C142,Comunión!A:C,3,FALSE)=Table1[[#Headers],[Comunión]],Table1[[#Headers],[Comunión]],""),"")</f>
        <v/>
      </c>
      <c r="Q142" t="str">
        <f>IFERROR(IF(VLOOKUP(C142,Niños!A:C,3,FALSE)=Table1[[#Headers],[Niños]],Table1[[#Headers],[Niños]],""),"")</f>
        <v/>
      </c>
      <c r="R142" t="str">
        <f>IFERROR(IF(VLOOKUP(C142,Laudes!A:C,3,FALSE)=Table1[[#Headers],[Laudes]],Table1[[#Headers],[Laudes]],""),"")</f>
        <v/>
      </c>
      <c r="S142" t="str">
        <f>IFERROR(IF(VLOOKUP(C142,'Nuevo Testamento'!A:C,3,FALSE)=Table1[[#Headers],[Nuevo Testamento]],Table1[[#Headers],[Nuevo Testamento]],""),"")</f>
        <v/>
      </c>
      <c r="T142" t="str">
        <f>IFERROR(IF(VLOOKUP(C142,'Antiguo Testamento'!A:C,3,FALSE)=Table1[[#Headers],[Antiguo Testamento]],Table1[[#Headers],[Antiguo Testamento]],""),"")</f>
        <v>Antiguo Testamento</v>
      </c>
      <c r="U142" t="str">
        <f>IFERROR(IF(VLOOKUP(C142,Final!A:C,3,FALSE)=Table1[[#Headers],[Final]],Table1[[#Headers],[Final]],""),"")</f>
        <v/>
      </c>
      <c r="V142" t="str" cm="1">
        <f t="array" ref="V14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/cantos/src/chtml/m/mehasseducidosenor.html</v>
      </c>
      <c r="W14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{id:140,title: "Me has seducido, Señor", subtitle: "Jeremias 20,7-18", category: "Precatecumenado", moments: ["","","","","","","","","","","","","","Antiguo Testamento",""], url: "/cantos/src/chtml/m/mehasseducidosenor.html"},</v>
      </c>
    </row>
    <row r="143" spans="1:23" x14ac:dyDescent="0.25">
      <c r="A143">
        <v>243</v>
      </c>
      <c r="B143" s="14">
        <v>141</v>
      </c>
      <c r="C143" t="s">
        <v>172</v>
      </c>
      <c r="D143" t="s">
        <v>429</v>
      </c>
      <c r="E143" t="str">
        <f>LOWER(LEFT(Table1[[#This Row],[Canto]],1))</f>
        <v>m</v>
      </c>
      <c r="F143" s="11" t="s">
        <v>287</v>
      </c>
      <c r="G143" t="str">
        <f>IFERROR(IF(VLOOKUP(C143,Adviento!A:C,3,FALSE)=Table1[[#Headers],[Adviento]],Table1[[#Headers],[Adviento]],""),"")</f>
        <v/>
      </c>
      <c r="H143" t="str">
        <f>IFERROR(IF(VLOOKUP(C143,Navidad!A:C,3,FALSE)=Table1[[#Headers],[Navidad]],Table1[[#Headers],[Navidad]],""),"")</f>
        <v/>
      </c>
      <c r="I143" t="str">
        <f>IFERROR(IF(VLOOKUP(C143,Cuaresma!A:C,3,FALSE)=Table1[[#Headers],[Cuaresma]],Table1[[#Headers],[Cuaresma]],""),"")</f>
        <v/>
      </c>
      <c r="J143" t="str">
        <f>IFERROR(IF(VLOOKUP(C143,Pascua!A:C,3,FALSE)=Table1[[#Headers],[Pascua]],Table1[[#Headers],[Pascua]],""),"")</f>
        <v/>
      </c>
      <c r="K143" t="str">
        <f>IFERROR(IF(VLOOKUP(C143,Pentecostés!A:C,3,FALSE)=Table1[[#Headers],[Pentecostés]],Table1[[#Headers],[Pentecostés]],""),"")</f>
        <v/>
      </c>
      <c r="L143" t="str">
        <f>IFERROR(IF(VLOOKUP(C143,Entrada!A:C,3,FALSE)=Table1[[#Headers],[Entrada]],Table1[[#Headers],[Entrada]],""),"")</f>
        <v/>
      </c>
      <c r="M143" t="str">
        <f>IFERROR(IF(VLOOKUP(C143,Virgen!A:C,3,FALSE)=Table1[[#Headers],[Virgen]],Table1[[#Headers],[Virgen]],""),"")</f>
        <v/>
      </c>
      <c r="N143" t="str">
        <f>IFERROR(IF(VLOOKUP(C143,Paz!A:C,3,FALSE)=Table1[[#Headers],[Paz]],Table1[[#Headers],[Paz]],""),"")</f>
        <v/>
      </c>
      <c r="O143" t="str">
        <f>IFERROR(IF(VLOOKUP(C143,Pan!A:C,3,FALSE)=Table1[[#Headers],[Pan]],Table1[[#Headers],[Pan]],""),"")</f>
        <v/>
      </c>
      <c r="P143" t="str">
        <f>IFERROR(IF(VLOOKUP(C143,Comunión!A:C,3,FALSE)=Table1[[#Headers],[Comunión]],Table1[[#Headers],[Comunión]],""),"")</f>
        <v/>
      </c>
      <c r="Q143" t="str">
        <f>IFERROR(IF(VLOOKUP(C143,Niños!A:C,3,FALSE)=Table1[[#Headers],[Niños]],Table1[[#Headers],[Niños]],""),"")</f>
        <v/>
      </c>
      <c r="R143" t="str">
        <f>IFERROR(IF(VLOOKUP(C143,Laudes!A:C,3,FALSE)=Table1[[#Headers],[Laudes]],Table1[[#Headers],[Laudes]],""),"")</f>
        <v/>
      </c>
      <c r="S143" t="str">
        <f>IFERROR(IF(VLOOKUP(C143,'Nuevo Testamento'!A:C,3,FALSE)=Table1[[#Headers],[Nuevo Testamento]],Table1[[#Headers],[Nuevo Testamento]],""),"")</f>
        <v/>
      </c>
      <c r="T143" t="str">
        <f>IFERROR(IF(VLOOKUP(C143,'Antiguo Testamento'!A:C,3,FALSE)=Table1[[#Headers],[Antiguo Testamento]],Table1[[#Headers],[Antiguo Testamento]],""),"")</f>
        <v>Antiguo Testamento</v>
      </c>
      <c r="U143" t="str">
        <f>IFERROR(IF(VLOOKUP(C143,Final!A:C,3,FALSE)=Table1[[#Headers],[Final]],Table1[[#Headers],[Final]],""),"")</f>
        <v/>
      </c>
      <c r="V143" t="str" cm="1">
        <f t="array" ref="V14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/cantos/src/chtml/m/merobasteelcorazon.html</v>
      </c>
      <c r="W14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{id:141,title: "Me robaste el corazón", subtitle: "Cantar de los cantares 4,9 - 5,1", category: "Eleccion", moments: ["","","","","","","","","","","","","","Antiguo Testamento",""], url: "/cantos/src/chtml/m/merobasteelcorazon.html"},</v>
      </c>
    </row>
    <row r="144" spans="1:23" x14ac:dyDescent="0.25">
      <c r="A144">
        <v>116</v>
      </c>
      <c r="B144" s="14">
        <v>142</v>
      </c>
      <c r="C144" t="s">
        <v>173</v>
      </c>
      <c r="D144" t="s">
        <v>430</v>
      </c>
      <c r="E144" t="str">
        <f>LOWER(LEFT(Table1[[#This Row],[Canto]],1))</f>
        <v>m</v>
      </c>
      <c r="F144" t="s">
        <v>288</v>
      </c>
      <c r="G144" t="str">
        <f>IFERROR(IF(VLOOKUP(C144,Adviento!A:C,3,FALSE)=Table1[[#Headers],[Adviento]],Table1[[#Headers],[Adviento]],""),"")</f>
        <v/>
      </c>
      <c r="H144" t="str">
        <f>IFERROR(IF(VLOOKUP(C144,Navidad!A:C,3,FALSE)=Table1[[#Headers],[Navidad]],Table1[[#Headers],[Navidad]],""),"")</f>
        <v/>
      </c>
      <c r="I144" t="str">
        <f>IFERROR(IF(VLOOKUP(C144,Cuaresma!A:C,3,FALSE)=Table1[[#Headers],[Cuaresma]],Table1[[#Headers],[Cuaresma]],""),"")</f>
        <v/>
      </c>
      <c r="J144" t="str">
        <f>IFERROR(IF(VLOOKUP(C144,Pascua!A:C,3,FALSE)=Table1[[#Headers],[Pascua]],Table1[[#Headers],[Pascua]],""),"")</f>
        <v/>
      </c>
      <c r="K144" t="str">
        <f>IFERROR(IF(VLOOKUP(C144,Pentecostés!A:C,3,FALSE)=Table1[[#Headers],[Pentecostés]],Table1[[#Headers],[Pentecostés]],""),"")</f>
        <v/>
      </c>
      <c r="L144" t="str">
        <f>IFERROR(IF(VLOOKUP(C144,Entrada!A:C,3,FALSE)=Table1[[#Headers],[Entrada]],Table1[[#Headers],[Entrada]],""),"")</f>
        <v/>
      </c>
      <c r="M144" t="str">
        <f>IFERROR(IF(VLOOKUP(C144,Virgen!A:C,3,FALSE)=Table1[[#Headers],[Virgen]],Table1[[#Headers],[Virgen]],""),"")</f>
        <v/>
      </c>
      <c r="N144" t="str">
        <f>IFERROR(IF(VLOOKUP(C144,Paz!A:C,3,FALSE)=Table1[[#Headers],[Paz]],Table1[[#Headers],[Paz]],""),"")</f>
        <v>Paz</v>
      </c>
      <c r="O144" t="str">
        <f>IFERROR(IF(VLOOKUP(C144,Pan!A:C,3,FALSE)=Table1[[#Headers],[Pan]],Table1[[#Headers],[Pan]],""),"")</f>
        <v/>
      </c>
      <c r="P144" t="str">
        <f>IFERROR(IF(VLOOKUP(C144,Comunión!A:C,3,FALSE)=Table1[[#Headers],[Comunión]],Table1[[#Headers],[Comunión]],""),"")</f>
        <v/>
      </c>
      <c r="Q144" t="str">
        <f>IFERROR(IF(VLOOKUP(C144,Niños!A:C,3,FALSE)=Table1[[#Headers],[Niños]],Table1[[#Headers],[Niños]],""),"")</f>
        <v/>
      </c>
      <c r="R144" t="str">
        <f>IFERROR(IF(VLOOKUP(C144,Laudes!A:C,3,FALSE)=Table1[[#Headers],[Laudes]],Table1[[#Headers],[Laudes]],""),"")</f>
        <v/>
      </c>
      <c r="S144" t="str">
        <f>IFERROR(IF(VLOOKUP(C144,'Nuevo Testamento'!A:C,3,FALSE)=Table1[[#Headers],[Nuevo Testamento]],Table1[[#Headers],[Nuevo Testamento]],""),"")</f>
        <v/>
      </c>
      <c r="T144" t="str">
        <f>IFERROR(IF(VLOOKUP(C144,'Antiguo Testamento'!A:C,3,FALSE)=Table1[[#Headers],[Antiguo Testamento]],Table1[[#Headers],[Antiguo Testamento]],""),"")</f>
        <v>Antiguo Testamento</v>
      </c>
      <c r="U144" t="str">
        <f>IFERROR(IF(VLOOKUP(C144,Final!A:C,3,FALSE)=Table1[[#Headers],[Final]],Table1[[#Headers],[Final]],""),"")</f>
        <v/>
      </c>
      <c r="V144" t="str" cm="1">
        <f t="array" ref="V14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/cantos/src/chtml/m/miradqueestupendo.html</v>
      </c>
      <c r="W14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{id:142,title: "Mirad qué estupendo", subtitle: "Sal 133 (132)", category: "Precatecumenado", moments: ["","","","","","","","Paz","","","","","","Antiguo Testamento",""], url: "/cantos/src/chtml/m/miradqueestupendo.html"},</v>
      </c>
    </row>
    <row r="145" spans="1:23" x14ac:dyDescent="0.25">
      <c r="A145">
        <v>118</v>
      </c>
      <c r="B145" s="14">
        <v>143</v>
      </c>
      <c r="C145" t="s">
        <v>68</v>
      </c>
      <c r="D145" t="s">
        <v>431</v>
      </c>
      <c r="E145" t="str">
        <f>LOWER(LEFT(Table1[[#This Row],[Canto]],1))</f>
        <v>m</v>
      </c>
      <c r="F145" t="s">
        <v>288</v>
      </c>
      <c r="G145" t="str">
        <f>IFERROR(IF(VLOOKUP(C145,Adviento!A:C,3,FALSE)=Table1[[#Headers],[Adviento]],Table1[[#Headers],[Adviento]],""),"")</f>
        <v/>
      </c>
      <c r="H145" t="str">
        <f>IFERROR(IF(VLOOKUP(C145,Navidad!A:C,3,FALSE)=Table1[[#Headers],[Navidad]],Table1[[#Headers],[Navidad]],""),"")</f>
        <v/>
      </c>
      <c r="I145" t="str">
        <f>IFERROR(IF(VLOOKUP(C145,Cuaresma!A:C,3,FALSE)=Table1[[#Headers],[Cuaresma]],Table1[[#Headers],[Cuaresma]],""),"")</f>
        <v>Cuaresma</v>
      </c>
      <c r="J145" t="str">
        <f>IFERROR(IF(VLOOKUP(C145,Pascua!A:C,3,FALSE)=Table1[[#Headers],[Pascua]],Table1[[#Headers],[Pascua]],""),"")</f>
        <v/>
      </c>
      <c r="K145" t="str">
        <f>IFERROR(IF(VLOOKUP(C145,Pentecostés!A:C,3,FALSE)=Table1[[#Headers],[Pentecostés]],Table1[[#Headers],[Pentecostés]],""),"")</f>
        <v/>
      </c>
      <c r="L145" t="str">
        <f>IFERROR(IF(VLOOKUP(C145,Entrada!A:C,3,FALSE)=Table1[[#Headers],[Entrada]],Table1[[#Headers],[Entrada]],""),"")</f>
        <v/>
      </c>
      <c r="M145" t="str">
        <f>IFERROR(IF(VLOOKUP(C145,Virgen!A:C,3,FALSE)=Table1[[#Headers],[Virgen]],Table1[[#Headers],[Virgen]],""),"")</f>
        <v/>
      </c>
      <c r="N145" t="str">
        <f>IFERROR(IF(VLOOKUP(C145,Paz!A:C,3,FALSE)=Table1[[#Headers],[Paz]],Table1[[#Headers],[Paz]],""),"")</f>
        <v/>
      </c>
      <c r="O145" t="str">
        <f>IFERROR(IF(VLOOKUP(C145,Pan!A:C,3,FALSE)=Table1[[#Headers],[Pan]],Table1[[#Headers],[Pan]],""),"")</f>
        <v/>
      </c>
      <c r="P145" t="str">
        <f>IFERROR(IF(VLOOKUP(C145,Comunión!A:C,3,FALSE)=Table1[[#Headers],[Comunión]],Table1[[#Headers],[Comunión]],""),"")</f>
        <v/>
      </c>
      <c r="Q145" t="str">
        <f>IFERROR(IF(VLOOKUP(C145,Niños!A:C,3,FALSE)=Table1[[#Headers],[Niños]],Table1[[#Headers],[Niños]],""),"")</f>
        <v/>
      </c>
      <c r="R145" t="str">
        <f>IFERROR(IF(VLOOKUP(C145,Laudes!A:C,3,FALSE)=Table1[[#Headers],[Laudes]],Table1[[#Headers],[Laudes]],""),"")</f>
        <v>Laudes</v>
      </c>
      <c r="S145" t="str">
        <f>IFERROR(IF(VLOOKUP(C145,'Nuevo Testamento'!A:C,3,FALSE)=Table1[[#Headers],[Nuevo Testamento]],Table1[[#Headers],[Nuevo Testamento]],""),"")</f>
        <v/>
      </c>
      <c r="T145" t="str">
        <f>IFERROR(IF(VLOOKUP(C145,'Antiguo Testamento'!A:C,3,FALSE)=Table1[[#Headers],[Antiguo Testamento]],Table1[[#Headers],[Antiguo Testamento]],""),"")</f>
        <v>Antiguo Testamento</v>
      </c>
      <c r="U145" t="str">
        <f>IFERROR(IF(VLOOKUP(C145,Final!A:C,3,FALSE)=Table1[[#Headers],[Final]],Table1[[#Headers],[Final]],""),"")</f>
        <v/>
      </c>
      <c r="V145" t="str" cm="1">
        <f t="array" ref="V14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/cantos/src/chtml/m/misericordiamiamisericordia.html</v>
      </c>
      <c r="W14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{id:143,title: "Misericordia mía, misericordia", subtitle: "Sal 51 (50)", category: "Precatecumenado", moments: ["","","Cuaresma","","","","","","","","","Laudes","","Antiguo Testamento",""], url: "/cantos/src/chtml/m/misericordiamiamisericordia.html"},</v>
      </c>
    </row>
    <row r="146" spans="1:23" x14ac:dyDescent="0.25">
      <c r="A146">
        <v>117</v>
      </c>
      <c r="B146" s="14">
        <v>144</v>
      </c>
      <c r="C146" t="s">
        <v>174</v>
      </c>
      <c r="D146" t="s">
        <v>432</v>
      </c>
      <c r="E146" t="str">
        <f>LOWER(LEFT(Table1[[#This Row],[Canto]],1))</f>
        <v>m</v>
      </c>
      <c r="F146" t="s">
        <v>288</v>
      </c>
      <c r="G146" t="str">
        <f>IFERROR(IF(VLOOKUP(C146,Adviento!A:C,3,FALSE)=Table1[[#Headers],[Adviento]],Table1[[#Headers],[Adviento]],""),"")</f>
        <v/>
      </c>
      <c r="H146" t="str">
        <f>IFERROR(IF(VLOOKUP(C146,Navidad!A:C,3,FALSE)=Table1[[#Headers],[Navidad]],Table1[[#Headers],[Navidad]],""),"")</f>
        <v/>
      </c>
      <c r="I146" t="str">
        <f>IFERROR(IF(VLOOKUP(C146,Cuaresma!A:C,3,FALSE)=Table1[[#Headers],[Cuaresma]],Table1[[#Headers],[Cuaresma]],""),"")</f>
        <v>Cuaresma</v>
      </c>
      <c r="J146" t="str">
        <f>IFERROR(IF(VLOOKUP(C146,Pascua!A:C,3,FALSE)=Table1[[#Headers],[Pascua]],Table1[[#Headers],[Pascua]],""),"")</f>
        <v/>
      </c>
      <c r="K146" t="str">
        <f>IFERROR(IF(VLOOKUP(C146,Pentecostés!A:C,3,FALSE)=Table1[[#Headers],[Pentecostés]],Table1[[#Headers],[Pentecostés]],""),"")</f>
        <v/>
      </c>
      <c r="L146" t="str">
        <f>IFERROR(IF(VLOOKUP(C146,Entrada!A:C,3,FALSE)=Table1[[#Headers],[Entrada]],Table1[[#Headers],[Entrada]],""),"")</f>
        <v/>
      </c>
      <c r="M146" t="str">
        <f>IFERROR(IF(VLOOKUP(C146,Virgen!A:C,3,FALSE)=Table1[[#Headers],[Virgen]],Table1[[#Headers],[Virgen]],""),"")</f>
        <v/>
      </c>
      <c r="N146" t="str">
        <f>IFERROR(IF(VLOOKUP(C146,Paz!A:C,3,FALSE)=Table1[[#Headers],[Paz]],Table1[[#Headers],[Paz]],""),"")</f>
        <v/>
      </c>
      <c r="O146" t="str">
        <f>IFERROR(IF(VLOOKUP(C146,Pan!A:C,3,FALSE)=Table1[[#Headers],[Pan]],Table1[[#Headers],[Pan]],""),"")</f>
        <v/>
      </c>
      <c r="P146" t="str">
        <f>IFERROR(IF(VLOOKUP(C146,Comunión!A:C,3,FALSE)=Table1[[#Headers],[Comunión]],Table1[[#Headers],[Comunión]],""),"")</f>
        <v/>
      </c>
      <c r="Q146" t="str">
        <f>IFERROR(IF(VLOOKUP(C146,Niños!A:C,3,FALSE)=Table1[[#Headers],[Niños]],Table1[[#Headers],[Niños]],""),"")</f>
        <v/>
      </c>
      <c r="R146" t="str">
        <f>IFERROR(IF(VLOOKUP(C146,Laudes!A:C,3,FALSE)=Table1[[#Headers],[Laudes]],Table1[[#Headers],[Laudes]],""),"")</f>
        <v/>
      </c>
      <c r="S146" t="str">
        <f>IFERROR(IF(VLOOKUP(C146,'Nuevo Testamento'!A:C,3,FALSE)=Table1[[#Headers],[Nuevo Testamento]],Table1[[#Headers],[Nuevo Testamento]],""),"")</f>
        <v/>
      </c>
      <c r="T146" t="str">
        <f>IFERROR(IF(VLOOKUP(C146,'Antiguo Testamento'!A:C,3,FALSE)=Table1[[#Headers],[Antiguo Testamento]],Table1[[#Headers],[Antiguo Testamento]],""),"")</f>
        <v/>
      </c>
      <c r="U146" t="str">
        <f>IFERROR(IF(VLOOKUP(C146,Final!A:C,3,FALSE)=Table1[[#Headers],[Final]],Table1[[#Headers],[Final]],""),"")</f>
        <v/>
      </c>
      <c r="V146" t="str" cm="1">
        <f t="array" ref="V14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/cantos/src/chtml/m/misericordiadiosmio.html</v>
      </c>
      <c r="W14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{id:144,title: "Misericordia, Dios mío", subtitle: "Sal 51(50)", category: "Precatecumenado", moments: ["","","Cuaresma","","","","","","","","","","","",""], url: "/cantos/src/chtml/m/misericordiadiosmio.html"},</v>
      </c>
    </row>
    <row r="147" spans="1:23" x14ac:dyDescent="0.25">
      <c r="A147">
        <v>119</v>
      </c>
      <c r="B147" s="14">
        <v>145</v>
      </c>
      <c r="C147" t="s">
        <v>69</v>
      </c>
      <c r="D147" t="s">
        <v>433</v>
      </c>
      <c r="E147" t="str">
        <f>LOWER(LEFT(Table1[[#This Row],[Canto]],1))</f>
        <v>m</v>
      </c>
      <c r="F147" t="s">
        <v>288</v>
      </c>
      <c r="G147" t="str">
        <f>IFERROR(IF(VLOOKUP(C147,Adviento!A:C,3,FALSE)=Table1[[#Headers],[Adviento]],Table1[[#Headers],[Adviento]],""),"")</f>
        <v/>
      </c>
      <c r="H147" t="str">
        <f>IFERROR(IF(VLOOKUP(C147,Navidad!A:C,3,FALSE)=Table1[[#Headers],[Navidad]],Table1[[#Headers],[Navidad]],""),"")</f>
        <v/>
      </c>
      <c r="I147" t="str">
        <f>IFERROR(IF(VLOOKUP(C147,Cuaresma!A:C,3,FALSE)=Table1[[#Headers],[Cuaresma]],Table1[[#Headers],[Cuaresma]],""),"")</f>
        <v/>
      </c>
      <c r="J147" t="str">
        <f>IFERROR(IF(VLOOKUP(C147,Pascua!A:C,3,FALSE)=Table1[[#Headers],[Pascua]],Table1[[#Headers],[Pascua]],""),"")</f>
        <v/>
      </c>
      <c r="K147" t="str">
        <f>IFERROR(IF(VLOOKUP(C147,Pentecostés!A:C,3,FALSE)=Table1[[#Headers],[Pentecostés]],Table1[[#Headers],[Pentecostés]],""),"")</f>
        <v/>
      </c>
      <c r="L147" t="str">
        <f>IFERROR(IF(VLOOKUP(C147,Entrada!A:C,3,FALSE)=Table1[[#Headers],[Entrada]],Table1[[#Headers],[Entrada]],""),"")</f>
        <v/>
      </c>
      <c r="M147" t="str">
        <f>IFERROR(IF(VLOOKUP(C147,Virgen!A:C,3,FALSE)=Table1[[#Headers],[Virgen]],Table1[[#Headers],[Virgen]],""),"")</f>
        <v/>
      </c>
      <c r="N147" t="str">
        <f>IFERROR(IF(VLOOKUP(C147,Paz!A:C,3,FALSE)=Table1[[#Headers],[Paz]],Table1[[#Headers],[Paz]],""),"")</f>
        <v/>
      </c>
      <c r="O147" t="str">
        <f>IFERROR(IF(VLOOKUP(C147,Pan!A:C,3,FALSE)=Table1[[#Headers],[Pan]],Table1[[#Headers],[Pan]],""),"")</f>
        <v/>
      </c>
      <c r="P147" t="str">
        <f>IFERROR(IF(VLOOKUP(C147,Comunión!A:C,3,FALSE)=Table1[[#Headers],[Comunión]],Table1[[#Headers],[Comunión]],""),"")</f>
        <v/>
      </c>
      <c r="Q147" t="str">
        <f>IFERROR(IF(VLOOKUP(C147,Niños!A:C,3,FALSE)=Table1[[#Headers],[Niños]],Table1[[#Headers],[Niños]],""),"")</f>
        <v/>
      </c>
      <c r="R147" t="str">
        <f>IFERROR(IF(VLOOKUP(C147,Laudes!A:C,3,FALSE)=Table1[[#Headers],[Laudes]],Table1[[#Headers],[Laudes]],""),"")</f>
        <v/>
      </c>
      <c r="S147" t="str">
        <f>IFERROR(IF(VLOOKUP(C147,'Nuevo Testamento'!A:C,3,FALSE)=Table1[[#Headers],[Nuevo Testamento]],Table1[[#Headers],[Nuevo Testamento]],""),"")</f>
        <v/>
      </c>
      <c r="T147" t="str">
        <f>IFERROR(IF(VLOOKUP(C147,'Antiguo Testamento'!A:C,3,FALSE)=Table1[[#Headers],[Antiguo Testamento]],Table1[[#Headers],[Antiguo Testamento]],""),"")</f>
        <v>Antiguo Testamento</v>
      </c>
      <c r="U147" t="str">
        <f>IFERROR(IF(VLOOKUP(C147,Final!A:C,3,FALSE)=Table1[[#Headers],[Final]],Table1[[#Headers],[Final]],""),"")</f>
        <v/>
      </c>
      <c r="V147" t="str" cm="1">
        <f t="array" ref="V14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/cantos/src/chtml/m/muchomehanperseguido.html</v>
      </c>
      <c r="W14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{id:145,title: "Mucho me han perseguido", subtitle: "Sal 129 (128)", category: "Precatecumenado", moments: ["","","","","","","","","","","","","","Antiguo Testamento",""], url: "/cantos/src/chtml/m/muchomehanperseguido.html"},</v>
      </c>
    </row>
    <row r="148" spans="1:23" x14ac:dyDescent="0.25">
      <c r="A148">
        <v>229</v>
      </c>
      <c r="B148" s="14">
        <v>146</v>
      </c>
      <c r="C148" t="s">
        <v>175</v>
      </c>
      <c r="D148" t="s">
        <v>434</v>
      </c>
      <c r="E148" t="str">
        <f>LOWER(LEFT(Table1[[#This Row],[Canto]],1))</f>
        <v>n</v>
      </c>
      <c r="F148" s="13" t="s">
        <v>290</v>
      </c>
      <c r="G148" t="str">
        <f>IFERROR(IF(VLOOKUP(C148,Adviento!A:C,3,FALSE)=Table1[[#Headers],[Adviento]],Table1[[#Headers],[Adviento]],""),"")</f>
        <v/>
      </c>
      <c r="H148" t="str">
        <f>IFERROR(IF(VLOOKUP(C148,Navidad!A:C,3,FALSE)=Table1[[#Headers],[Navidad]],Table1[[#Headers],[Navidad]],""),"")</f>
        <v/>
      </c>
      <c r="I148" t="str">
        <f>IFERROR(IF(VLOOKUP(C148,Cuaresma!A:C,3,FALSE)=Table1[[#Headers],[Cuaresma]],Table1[[#Headers],[Cuaresma]],""),"")</f>
        <v/>
      </c>
      <c r="J148" t="str">
        <f>IFERROR(IF(VLOOKUP(C148,Pascua!A:C,3,FALSE)=Table1[[#Headers],[Pascua]],Table1[[#Headers],[Pascua]],""),"")</f>
        <v/>
      </c>
      <c r="K148" t="str">
        <f>IFERROR(IF(VLOOKUP(C148,Pentecostés!A:C,3,FALSE)=Table1[[#Headers],[Pentecostés]],Table1[[#Headers],[Pentecostés]],""),"")</f>
        <v/>
      </c>
      <c r="L148" t="str">
        <f>IFERROR(IF(VLOOKUP(C148,Entrada!A:C,3,FALSE)=Table1[[#Headers],[Entrada]],Table1[[#Headers],[Entrada]],""),"")</f>
        <v/>
      </c>
      <c r="M148" t="str">
        <f>IFERROR(IF(VLOOKUP(C148,Virgen!A:C,3,FALSE)=Table1[[#Headers],[Virgen]],Table1[[#Headers],[Virgen]],""),"")</f>
        <v/>
      </c>
      <c r="N148" t="str">
        <f>IFERROR(IF(VLOOKUP(C148,Paz!A:C,3,FALSE)=Table1[[#Headers],[Paz]],Table1[[#Headers],[Paz]],""),"")</f>
        <v/>
      </c>
      <c r="O148" t="str">
        <f>IFERROR(IF(VLOOKUP(C148,Pan!A:C,3,FALSE)=Table1[[#Headers],[Pan]],Table1[[#Headers],[Pan]],""),"")</f>
        <v/>
      </c>
      <c r="P148" t="str">
        <f>IFERROR(IF(VLOOKUP(C148,Comunión!A:C,3,FALSE)=Table1[[#Headers],[Comunión]],Table1[[#Headers],[Comunión]],""),"")</f>
        <v/>
      </c>
      <c r="Q148" t="str">
        <f>IFERROR(IF(VLOOKUP(C148,Niños!A:C,3,FALSE)=Table1[[#Headers],[Niños]],Table1[[#Headers],[Niños]],""),"")</f>
        <v/>
      </c>
      <c r="R148" t="str">
        <f>IFERROR(IF(VLOOKUP(C148,Laudes!A:C,3,FALSE)=Table1[[#Headers],[Laudes]],Table1[[#Headers],[Laudes]],""),"")</f>
        <v/>
      </c>
      <c r="S148" t="str">
        <f>IFERROR(IF(VLOOKUP(C148,'Nuevo Testamento'!A:C,3,FALSE)=Table1[[#Headers],[Nuevo Testamento]],Table1[[#Headers],[Nuevo Testamento]],""),"")</f>
        <v>Nuevo Testamento</v>
      </c>
      <c r="T148" t="str">
        <f>IFERROR(IF(VLOOKUP(C148,'Antiguo Testamento'!A:C,3,FALSE)=Table1[[#Headers],[Antiguo Testamento]],Table1[[#Headers],[Antiguo Testamento]],""),"")</f>
        <v/>
      </c>
      <c r="U148" t="str">
        <f>IFERROR(IF(VLOOKUP(C148,Final!A:C,3,FALSE)=Table1[[#Headers],[Final]],Table1[[#Headers],[Final]],""),"")</f>
        <v/>
      </c>
      <c r="V148" t="str" cm="1">
        <f t="array" ref="V14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/cantos/src/chtml/n/ningunopuedeserviradossenores.html</v>
      </c>
      <c r="W14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{id:146,title: "Ninguno puede servir a dos señores", subtitle: "Mateo 6,24-33 ", category: "Catecumenado", moments: ["","","","","","","","","","","","","Nuevo Testamento","",""], url: "/cantos/src/chtml/n/ningunopuedeserviradossenores.html"},</v>
      </c>
    </row>
    <row r="149" spans="1:23" x14ac:dyDescent="0.25">
      <c r="A149">
        <v>120</v>
      </c>
      <c r="B149" s="14">
        <v>147</v>
      </c>
      <c r="C149" t="s">
        <v>176</v>
      </c>
      <c r="D149" t="s">
        <v>435</v>
      </c>
      <c r="E149" t="str">
        <f>LOWER(LEFT(Table1[[#This Row],[Canto]],1))</f>
        <v>n</v>
      </c>
      <c r="F149" t="s">
        <v>288</v>
      </c>
      <c r="G149" t="str">
        <f>IFERROR(IF(VLOOKUP(C149,Adviento!A:C,3,FALSE)=Table1[[#Headers],[Adviento]],Table1[[#Headers],[Adviento]],""),"")</f>
        <v/>
      </c>
      <c r="H149" t="str">
        <f>IFERROR(IF(VLOOKUP(C149,Navidad!A:C,3,FALSE)=Table1[[#Headers],[Navidad]],Table1[[#Headers],[Navidad]],""),"")</f>
        <v/>
      </c>
      <c r="I149" t="str">
        <f>IFERROR(IF(VLOOKUP(C149,Cuaresma!A:C,3,FALSE)=Table1[[#Headers],[Cuaresma]],Table1[[#Headers],[Cuaresma]],""),"")</f>
        <v/>
      </c>
      <c r="J149" t="str">
        <f>IFERROR(IF(VLOOKUP(C149,Pascua!A:C,3,FALSE)=Table1[[#Headers],[Pascua]],Table1[[#Headers],[Pascua]],""),"")</f>
        <v>Pascua</v>
      </c>
      <c r="K149" t="str">
        <f>IFERROR(IF(VLOOKUP(C149,Pentecostés!A:C,3,FALSE)=Table1[[#Headers],[Pentecostés]],Table1[[#Headers],[Pentecostés]],""),"")</f>
        <v>Pentecostés</v>
      </c>
      <c r="L149" t="str">
        <f>IFERROR(IF(VLOOKUP(C149,Entrada!A:C,3,FALSE)=Table1[[#Headers],[Entrada]],Table1[[#Headers],[Entrada]],""),"")</f>
        <v/>
      </c>
      <c r="M149" t="str">
        <f>IFERROR(IF(VLOOKUP(C149,Virgen!A:C,3,FALSE)=Table1[[#Headers],[Virgen]],Table1[[#Headers],[Virgen]],""),"")</f>
        <v/>
      </c>
      <c r="N149" t="str">
        <f>IFERROR(IF(VLOOKUP(C149,Paz!A:C,3,FALSE)=Table1[[#Headers],[Paz]],Table1[[#Headers],[Paz]],""),"")</f>
        <v/>
      </c>
      <c r="O149" t="str">
        <f>IFERROR(IF(VLOOKUP(C149,Pan!A:C,3,FALSE)=Table1[[#Headers],[Pan]],Table1[[#Headers],[Pan]],""),"")</f>
        <v/>
      </c>
      <c r="P149" t="str">
        <f>IFERROR(IF(VLOOKUP(C149,Comunión!A:C,3,FALSE)=Table1[[#Headers],[Comunión]],Table1[[#Headers],[Comunión]],""),"")</f>
        <v/>
      </c>
      <c r="Q149" t="str">
        <f>IFERROR(IF(VLOOKUP(C149,Niños!A:C,3,FALSE)=Table1[[#Headers],[Niños]],Table1[[#Headers],[Niños]],""),"")</f>
        <v/>
      </c>
      <c r="R149" t="str">
        <f>IFERROR(IF(VLOOKUP(C149,Laudes!A:C,3,FALSE)=Table1[[#Headers],[Laudes]],Table1[[#Headers],[Laudes]],""),"")</f>
        <v/>
      </c>
      <c r="S149" t="str">
        <f>IFERROR(IF(VLOOKUP(C149,'Nuevo Testamento'!A:C,3,FALSE)=Table1[[#Headers],[Nuevo Testamento]],Table1[[#Headers],[Nuevo Testamento]],""),"")</f>
        <v>Nuevo Testamento</v>
      </c>
      <c r="T149" t="str">
        <f>IFERROR(IF(VLOOKUP(C149,'Antiguo Testamento'!A:C,3,FALSE)=Table1[[#Headers],[Antiguo Testamento]],Table1[[#Headers],[Antiguo Testamento]],""),"")</f>
        <v/>
      </c>
      <c r="U149" t="str">
        <f>IFERROR(IF(VLOOKUP(C149,Final!A:C,3,FALSE)=Table1[[#Headers],[Final]],Table1[[#Headers],[Final]],""),"")</f>
        <v/>
      </c>
      <c r="V149" t="str" cm="1">
        <f t="array" ref="V14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/cantos/src/chtml/n/noestaaquiresucito.html</v>
      </c>
      <c r="W14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{id:147,title: "No está aquí, resucitó", subtitle: "Mateo 28,1-8", category: "Precatecumenado", moments: ["","","","Pascua","Pentecostés","","","","","","","","Nuevo Testamento","",""], url: "/cantos/src/chtml/n/noestaaquiresucito.html"},</v>
      </c>
    </row>
    <row r="150" spans="1:23" x14ac:dyDescent="0.25">
      <c r="A150">
        <v>121</v>
      </c>
      <c r="B150" s="14">
        <v>148</v>
      </c>
      <c r="C150" t="s">
        <v>70</v>
      </c>
      <c r="D150" t="s">
        <v>436</v>
      </c>
      <c r="E150" t="str">
        <f>LOWER(LEFT(Table1[[#This Row],[Canto]],1))</f>
        <v>n</v>
      </c>
      <c r="F150" t="s">
        <v>288</v>
      </c>
      <c r="G150" t="str">
        <f>IFERROR(IF(VLOOKUP(C150,Adviento!A:C,3,FALSE)=Table1[[#Headers],[Adviento]],Table1[[#Headers],[Adviento]],""),"")</f>
        <v/>
      </c>
      <c r="H150" t="str">
        <f>IFERROR(IF(VLOOKUP(C150,Navidad!A:C,3,FALSE)=Table1[[#Headers],[Navidad]],Table1[[#Headers],[Navidad]],""),"")</f>
        <v/>
      </c>
      <c r="I150" t="str">
        <f>IFERROR(IF(VLOOKUP(C150,Cuaresma!A:C,3,FALSE)=Table1[[#Headers],[Cuaresma]],Table1[[#Headers],[Cuaresma]],""),"")</f>
        <v/>
      </c>
      <c r="J150" t="str">
        <f>IFERROR(IF(VLOOKUP(C150,Pascua!A:C,3,FALSE)=Table1[[#Headers],[Pascua]],Table1[[#Headers],[Pascua]],""),"")</f>
        <v/>
      </c>
      <c r="K150" t="str">
        <f>IFERROR(IF(VLOOKUP(C150,Pentecostés!A:C,3,FALSE)=Table1[[#Headers],[Pentecostés]],Table1[[#Headers],[Pentecostés]],""),"")</f>
        <v/>
      </c>
      <c r="L150" t="str">
        <f>IFERROR(IF(VLOOKUP(C150,Entrada!A:C,3,FALSE)=Table1[[#Headers],[Entrada]],Table1[[#Headers],[Entrada]],""),"")</f>
        <v/>
      </c>
      <c r="M150" t="str">
        <f>IFERROR(IF(VLOOKUP(C150,Virgen!A:C,3,FALSE)=Table1[[#Headers],[Virgen]],Table1[[#Headers],[Virgen]],""),"")</f>
        <v/>
      </c>
      <c r="N150" t="str">
        <f>IFERROR(IF(VLOOKUP(C150,Paz!A:C,3,FALSE)=Table1[[#Headers],[Paz]],Table1[[#Headers],[Paz]],""),"")</f>
        <v/>
      </c>
      <c r="O150" t="str">
        <f>IFERROR(IF(VLOOKUP(C150,Pan!A:C,3,FALSE)=Table1[[#Headers],[Pan]],Table1[[#Headers],[Pan]],""),"")</f>
        <v>Pan</v>
      </c>
      <c r="P150" t="str">
        <f>IFERROR(IF(VLOOKUP(C150,Comunión!A:C,3,FALSE)=Table1[[#Headers],[Comunión]],Table1[[#Headers],[Comunión]],""),"")</f>
        <v/>
      </c>
      <c r="Q150" t="str">
        <f>IFERROR(IF(VLOOKUP(C150,Niños!A:C,3,FALSE)=Table1[[#Headers],[Niños]],Table1[[#Headers],[Niños]],""),"")</f>
        <v/>
      </c>
      <c r="R150" t="str">
        <f>IFERROR(IF(VLOOKUP(C150,Laudes!A:C,3,FALSE)=Table1[[#Headers],[Laudes]],Table1[[#Headers],[Laudes]],""),"")</f>
        <v/>
      </c>
      <c r="S150" t="str">
        <f>IFERROR(IF(VLOOKUP(C150,'Nuevo Testamento'!A:C,3,FALSE)=Table1[[#Headers],[Nuevo Testamento]],Table1[[#Headers],[Nuevo Testamento]],""),"")</f>
        <v/>
      </c>
      <c r="T150" t="str">
        <f>IFERROR(IF(VLOOKUP(C150,'Antiguo Testamento'!A:C,3,FALSE)=Table1[[#Headers],[Antiguo Testamento]],Table1[[#Headers],[Antiguo Testamento]],""),"")</f>
        <v>Antiguo Testamento</v>
      </c>
      <c r="U150" t="str">
        <f>IFERROR(IF(VLOOKUP(C150,Final!A:C,3,FALSE)=Table1[[#Headers],[Final]],Table1[[#Headers],[Final]],""),"")</f>
        <v/>
      </c>
      <c r="V150" t="str" cm="1">
        <f t="array" ref="V15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/cantos/src/chtml/n/nohayenelparecer.html</v>
      </c>
      <c r="W15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{id:148,title: "No hay en él parecer", subtitle: "Isaías 53,2ss - Cuarto canto del Siervo de Yahveh", category: "Precatecumenado", moments: ["","","","","","","","","Pan","","","","","Antiguo Testamento",""], url: "/cantos/src/chtml/n/nohayenelparecer.html"},</v>
      </c>
    </row>
    <row r="151" spans="1:23" x14ac:dyDescent="0.25">
      <c r="A151">
        <v>230</v>
      </c>
      <c r="B151" s="14">
        <v>149</v>
      </c>
      <c r="C151" t="s">
        <v>71</v>
      </c>
      <c r="D151" t="s">
        <v>437</v>
      </c>
      <c r="E151" t="str">
        <f>LOWER(LEFT(Table1[[#This Row],[Canto]],1))</f>
        <v>n</v>
      </c>
      <c r="F151" s="13" t="s">
        <v>290</v>
      </c>
      <c r="G151" t="str">
        <f>IFERROR(IF(VLOOKUP(C151,Adviento!A:C,3,FALSE)=Table1[[#Headers],[Adviento]],Table1[[#Headers],[Adviento]],""),"")</f>
        <v/>
      </c>
      <c r="H151" t="str">
        <f>IFERROR(IF(VLOOKUP(C151,Navidad!A:C,3,FALSE)=Table1[[#Headers],[Navidad]],Table1[[#Headers],[Navidad]],""),"")</f>
        <v/>
      </c>
      <c r="I151" t="str">
        <f>IFERROR(IF(VLOOKUP(C151,Cuaresma!A:C,3,FALSE)=Table1[[#Headers],[Cuaresma]],Table1[[#Headers],[Cuaresma]],""),"")</f>
        <v/>
      </c>
      <c r="J151" t="str">
        <f>IFERROR(IF(VLOOKUP(C151,Pascua!A:C,3,FALSE)=Table1[[#Headers],[Pascua]],Table1[[#Headers],[Pascua]],""),"")</f>
        <v/>
      </c>
      <c r="K151" t="str">
        <f>IFERROR(IF(VLOOKUP(C151,Pentecostés!A:C,3,FALSE)=Table1[[#Headers],[Pentecostés]],Table1[[#Headers],[Pentecostés]],""),"")</f>
        <v/>
      </c>
      <c r="L151" t="str">
        <f>IFERROR(IF(VLOOKUP(C151,Entrada!A:C,3,FALSE)=Table1[[#Headers],[Entrada]],Table1[[#Headers],[Entrada]],""),"")</f>
        <v/>
      </c>
      <c r="M151" t="str">
        <f>IFERROR(IF(VLOOKUP(C151,Virgen!A:C,3,FALSE)=Table1[[#Headers],[Virgen]],Table1[[#Headers],[Virgen]],""),"")</f>
        <v/>
      </c>
      <c r="N151" t="str">
        <f>IFERROR(IF(VLOOKUP(C151,Paz!A:C,3,FALSE)=Table1[[#Headers],[Paz]],Table1[[#Headers],[Paz]],""),"")</f>
        <v/>
      </c>
      <c r="O151" t="str">
        <f>IFERROR(IF(VLOOKUP(C151,Pan!A:C,3,FALSE)=Table1[[#Headers],[Pan]],Table1[[#Headers],[Pan]],""),"")</f>
        <v/>
      </c>
      <c r="P151" t="str">
        <f>IFERROR(IF(VLOOKUP(C151,Comunión!A:C,3,FALSE)=Table1[[#Headers],[Comunión]],Table1[[#Headers],[Comunión]],""),"")</f>
        <v/>
      </c>
      <c r="Q151" t="str">
        <f>IFERROR(IF(VLOOKUP(C151,Niños!A:C,3,FALSE)=Table1[[#Headers],[Niños]],Table1[[#Headers],[Niños]],""),"")</f>
        <v/>
      </c>
      <c r="R151" t="str">
        <f>IFERROR(IF(VLOOKUP(C151,Laudes!A:C,3,FALSE)=Table1[[#Headers],[Laudes]],Table1[[#Headers],[Laudes]],""),"")</f>
        <v/>
      </c>
      <c r="S151" t="str">
        <f>IFERROR(IF(VLOOKUP(C151,'Nuevo Testamento'!A:C,3,FALSE)=Table1[[#Headers],[Nuevo Testamento]],Table1[[#Headers],[Nuevo Testamento]],""),"")</f>
        <v>Nuevo Testamento</v>
      </c>
      <c r="T151" t="str">
        <f>IFERROR(IF(VLOOKUP(C151,'Antiguo Testamento'!A:C,3,FALSE)=Table1[[#Headers],[Antiguo Testamento]],Table1[[#Headers],[Antiguo Testamento]],""),"")</f>
        <v/>
      </c>
      <c r="U151" t="str">
        <f>IFERROR(IF(VLOOKUP(C151,Final!A:C,3,FALSE)=Table1[[#Headers],[Final]],Table1[[#Headers],[Final]],""),"")</f>
        <v/>
      </c>
      <c r="V151" t="str" cm="1">
        <f t="array" ref="V15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/cantos/src/chtml/n/noresistaisalmal.html</v>
      </c>
      <c r="W15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{id:149,title: "No resistáis al mal", subtitle: "Mateo 5,38ss", category: "Catecumenado", moments: ["","","","","","","","","","","","","Nuevo Testamento","",""], url: "/cantos/src/chtml/n/noresistaisalmal.html"},</v>
      </c>
    </row>
    <row r="152" spans="1:23" x14ac:dyDescent="0.25">
      <c r="A152">
        <v>231</v>
      </c>
      <c r="B152" s="14">
        <v>150</v>
      </c>
      <c r="C152" t="s">
        <v>72</v>
      </c>
      <c r="D152" t="s">
        <v>438</v>
      </c>
      <c r="E152" t="str">
        <f>LOWER(LEFT(Table1[[#This Row],[Canto]],1))</f>
        <v>n</v>
      </c>
      <c r="F152" s="13" t="s">
        <v>290</v>
      </c>
      <c r="G152" t="str">
        <f>IFERROR(IF(VLOOKUP(C152,Adviento!A:C,3,FALSE)=Table1[[#Headers],[Adviento]],Table1[[#Headers],[Adviento]],""),"")</f>
        <v/>
      </c>
      <c r="H152" t="str">
        <f>IFERROR(IF(VLOOKUP(C152,Navidad!A:C,3,FALSE)=Table1[[#Headers],[Navidad]],Table1[[#Headers],[Navidad]],""),"")</f>
        <v/>
      </c>
      <c r="I152" t="str">
        <f>IFERROR(IF(VLOOKUP(C152,Cuaresma!A:C,3,FALSE)=Table1[[#Headers],[Cuaresma]],Table1[[#Headers],[Cuaresma]],""),"")</f>
        <v>Cuaresma</v>
      </c>
      <c r="J152" t="str">
        <f>IFERROR(IF(VLOOKUP(C152,Pascua!A:C,3,FALSE)=Table1[[#Headers],[Pascua]],Table1[[#Headers],[Pascua]],""),"")</f>
        <v/>
      </c>
      <c r="K152" t="str">
        <f>IFERROR(IF(VLOOKUP(C152,Pentecostés!A:C,3,FALSE)=Table1[[#Headers],[Pentecostés]],Table1[[#Headers],[Pentecostés]],""),"")</f>
        <v/>
      </c>
      <c r="L152" t="str">
        <f>IFERROR(IF(VLOOKUP(C152,Entrada!A:C,3,FALSE)=Table1[[#Headers],[Entrada]],Table1[[#Headers],[Entrada]],""),"")</f>
        <v/>
      </c>
      <c r="M152" t="str">
        <f>IFERROR(IF(VLOOKUP(C152,Virgen!A:C,3,FALSE)=Table1[[#Headers],[Virgen]],Table1[[#Headers],[Virgen]],""),"")</f>
        <v/>
      </c>
      <c r="N152" t="str">
        <f>IFERROR(IF(VLOOKUP(C152,Paz!A:C,3,FALSE)=Table1[[#Headers],[Paz]],Table1[[#Headers],[Paz]],""),"")</f>
        <v/>
      </c>
      <c r="O152" t="str">
        <f>IFERROR(IF(VLOOKUP(C152,Pan!A:C,3,FALSE)=Table1[[#Headers],[Pan]],Table1[[#Headers],[Pan]],""),"")</f>
        <v/>
      </c>
      <c r="P152" t="str">
        <f>IFERROR(IF(VLOOKUP(C152,Comunión!A:C,3,FALSE)=Table1[[#Headers],[Comunión]],Table1[[#Headers],[Comunión]],""),"")</f>
        <v/>
      </c>
      <c r="Q152" t="str">
        <f>IFERROR(IF(VLOOKUP(C152,Niños!A:C,3,FALSE)=Table1[[#Headers],[Niños]],Table1[[#Headers],[Niños]],""),"")</f>
        <v/>
      </c>
      <c r="R152" t="str">
        <f>IFERROR(IF(VLOOKUP(C152,Laudes!A:C,3,FALSE)=Table1[[#Headers],[Laudes]],Table1[[#Headers],[Laudes]],""),"")</f>
        <v/>
      </c>
      <c r="S152" t="str">
        <f>IFERROR(IF(VLOOKUP(C152,'Nuevo Testamento'!A:C,3,FALSE)=Table1[[#Headers],[Nuevo Testamento]],Table1[[#Headers],[Nuevo Testamento]],""),"")</f>
        <v/>
      </c>
      <c r="T152" t="str">
        <f>IFERROR(IF(VLOOKUP(C152,'Antiguo Testamento'!A:C,3,FALSE)=Table1[[#Headers],[Antiguo Testamento]],Table1[[#Headers],[Antiguo Testamento]],""),"")</f>
        <v>Antiguo Testamento</v>
      </c>
      <c r="U152" t="str">
        <f>IFERROR(IF(VLOOKUP(C152,Final!A:C,3,FALSE)=Table1[[#Headers],[Final]],Table1[[#Headers],[Final]],""),"")</f>
        <v/>
      </c>
      <c r="V152" t="str" cm="1">
        <f t="array" ref="V15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/cantos/src/chtml/n/nosufrasporlosmalvados.html</v>
      </c>
      <c r="W15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{id:150,title: "No sufras por los malvados", subtitle: "Sal 37 (36)", category: "Catecumenado", moments: ["","","Cuaresma","","","","","","","","","","","Antiguo Testamento",""], url: "/cantos/src/chtml/n/nosufrasporlosmalvados.html"},</v>
      </c>
    </row>
    <row r="153" spans="1:23" x14ac:dyDescent="0.25">
      <c r="A153">
        <v>122</v>
      </c>
      <c r="B153" s="14">
        <v>151</v>
      </c>
      <c r="C153" t="s">
        <v>177</v>
      </c>
      <c r="D153" t="s">
        <v>439</v>
      </c>
      <c r="E153" t="str">
        <f>LOWER(LEFT(Table1[[#This Row],[Canto]],1))</f>
        <v>n</v>
      </c>
      <c r="F153" t="s">
        <v>288</v>
      </c>
      <c r="G153" t="str">
        <f>IFERROR(IF(VLOOKUP(C153,Adviento!A:C,3,FALSE)=Table1[[#Headers],[Adviento]],Table1[[#Headers],[Adviento]],""),"")</f>
        <v/>
      </c>
      <c r="H153" t="str">
        <f>IFERROR(IF(VLOOKUP(C153,Navidad!A:C,3,FALSE)=Table1[[#Headers],[Navidad]],Table1[[#Headers],[Navidad]],""),"")</f>
        <v/>
      </c>
      <c r="I153" t="str">
        <f>IFERROR(IF(VLOOKUP(C153,Cuaresma!A:C,3,FALSE)=Table1[[#Headers],[Cuaresma]],Table1[[#Headers],[Cuaresma]],""),"")</f>
        <v/>
      </c>
      <c r="J153" t="str">
        <f>IFERROR(IF(VLOOKUP(C153,Pascua!A:C,3,FALSE)=Table1[[#Headers],[Pascua]],Table1[[#Headers],[Pascua]],""),"")</f>
        <v>Pascua</v>
      </c>
      <c r="K153" t="str">
        <f>IFERROR(IF(VLOOKUP(C153,Pentecostés!A:C,3,FALSE)=Table1[[#Headers],[Pentecostés]],Table1[[#Headers],[Pentecostés]],""),"")</f>
        <v>Pentecostés</v>
      </c>
      <c r="L153" t="str">
        <f>IFERROR(IF(VLOOKUP(C153,Entrada!A:C,3,FALSE)=Table1[[#Headers],[Entrada]],Table1[[#Headers],[Entrada]],""),"")</f>
        <v/>
      </c>
      <c r="M153" t="str">
        <f>IFERROR(IF(VLOOKUP(C153,Virgen!A:C,3,FALSE)=Table1[[#Headers],[Virgen]],Table1[[#Headers],[Virgen]],""),"")</f>
        <v/>
      </c>
      <c r="N153" t="str">
        <f>IFERROR(IF(VLOOKUP(C153,Paz!A:C,3,FALSE)=Table1[[#Headers],[Paz]],Table1[[#Headers],[Paz]],""),"")</f>
        <v/>
      </c>
      <c r="O153" t="str">
        <f>IFERROR(IF(VLOOKUP(C153,Pan!A:C,3,FALSE)=Table1[[#Headers],[Pan]],Table1[[#Headers],[Pan]],""),"")</f>
        <v/>
      </c>
      <c r="P153" t="str">
        <f>IFERROR(IF(VLOOKUP(C153,Comunión!A:C,3,FALSE)=Table1[[#Headers],[Comunión]],Table1[[#Headers],[Comunión]],""),"")</f>
        <v/>
      </c>
      <c r="Q153" t="str">
        <f>IFERROR(IF(VLOOKUP(C153,Niños!A:C,3,FALSE)=Table1[[#Headers],[Niños]],Table1[[#Headers],[Niños]],""),"")</f>
        <v/>
      </c>
      <c r="R153" t="str">
        <f>IFERROR(IF(VLOOKUP(C153,Laudes!A:C,3,FALSE)=Table1[[#Headers],[Laudes]],Table1[[#Headers],[Laudes]],""),"")</f>
        <v/>
      </c>
      <c r="S153" t="str">
        <f>IFERROR(IF(VLOOKUP(C153,'Nuevo Testamento'!A:C,3,FALSE)=Table1[[#Headers],[Nuevo Testamento]],Table1[[#Headers],[Nuevo Testamento]],""),"")</f>
        <v>Nuevo Testamento</v>
      </c>
      <c r="T153" t="str">
        <f>IFERROR(IF(VLOOKUP(C153,'Antiguo Testamento'!A:C,3,FALSE)=Table1[[#Headers],[Antiguo Testamento]],Table1[[#Headers],[Antiguo Testamento]],""),"")</f>
        <v/>
      </c>
      <c r="U153" t="str">
        <f>IFERROR(IF(VLOOKUP(C153,Final!A:C,3,FALSE)=Table1[[#Headers],[Final]],Table1[[#Headers],[Final]],""),"")</f>
        <v/>
      </c>
      <c r="V153" t="str" cm="1">
        <f t="array" ref="V15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/cantos/src/chtml/n/nolimetangere.html</v>
      </c>
      <c r="W15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{id:151,title: "Noli me tangere", subtitle: "Juan 20,15-17", category: "Precatecumenado", moments: ["","","","Pascua","Pentecostés","","","","","","","","Nuevo Testamento","",""], url: "/cantos/src/chtml/n/nolimetangere.html"},</v>
      </c>
    </row>
    <row r="154" spans="1:23" x14ac:dyDescent="0.25">
      <c r="A154">
        <v>123</v>
      </c>
      <c r="B154" s="14">
        <v>152</v>
      </c>
      <c r="C154" t="s">
        <v>73</v>
      </c>
      <c r="D154" t="s">
        <v>440</v>
      </c>
      <c r="E154" t="str">
        <f>LOWER(LEFT(Table1[[#This Row],[Canto]],1))</f>
        <v>o</v>
      </c>
      <c r="F154" t="s">
        <v>288</v>
      </c>
      <c r="G154" t="str">
        <f>IFERROR(IF(VLOOKUP(C154,Adviento!A:C,3,FALSE)=Table1[[#Headers],[Adviento]],Table1[[#Headers],[Adviento]],""),"")</f>
        <v>Adviento</v>
      </c>
      <c r="H154" t="str">
        <f>IFERROR(IF(VLOOKUP(C154,Navidad!A:C,3,FALSE)=Table1[[#Headers],[Navidad]],Table1[[#Headers],[Navidad]],""),"")</f>
        <v>Navidad</v>
      </c>
      <c r="I154" t="str">
        <f>IFERROR(IF(VLOOKUP(C154,Cuaresma!A:C,3,FALSE)=Table1[[#Headers],[Cuaresma]],Table1[[#Headers],[Cuaresma]],""),"")</f>
        <v/>
      </c>
      <c r="J154" t="str">
        <f>IFERROR(IF(VLOOKUP(C154,Pascua!A:C,3,FALSE)=Table1[[#Headers],[Pascua]],Table1[[#Headers],[Pascua]],""),"")</f>
        <v/>
      </c>
      <c r="K154" t="str">
        <f>IFERROR(IF(VLOOKUP(C154,Pentecostés!A:C,3,FALSE)=Table1[[#Headers],[Pentecostés]],Table1[[#Headers],[Pentecostés]],""),"")</f>
        <v/>
      </c>
      <c r="L154" t="str">
        <f>IFERROR(IF(VLOOKUP(C154,Entrada!A:C,3,FALSE)=Table1[[#Headers],[Entrada]],Table1[[#Headers],[Entrada]],""),"")</f>
        <v/>
      </c>
      <c r="M154" t="str">
        <f>IFERROR(IF(VLOOKUP(C154,Virgen!A:C,3,FALSE)=Table1[[#Headers],[Virgen]],Table1[[#Headers],[Virgen]],""),"")</f>
        <v/>
      </c>
      <c r="N154" t="str">
        <f>IFERROR(IF(VLOOKUP(C154,Paz!A:C,3,FALSE)=Table1[[#Headers],[Paz]],Table1[[#Headers],[Paz]],""),"")</f>
        <v/>
      </c>
      <c r="O154" t="str">
        <f>IFERROR(IF(VLOOKUP(C154,Pan!A:C,3,FALSE)=Table1[[#Headers],[Pan]],Table1[[#Headers],[Pan]],""),"")</f>
        <v/>
      </c>
      <c r="P154" t="str">
        <f>IFERROR(IF(VLOOKUP(C154,Comunión!A:C,3,FALSE)=Table1[[#Headers],[Comunión]],Table1[[#Headers],[Comunión]],""),"")</f>
        <v/>
      </c>
      <c r="Q154" t="str">
        <f>IFERROR(IF(VLOOKUP(C154,Niños!A:C,3,FALSE)=Table1[[#Headers],[Niños]],Table1[[#Headers],[Niños]],""),"")</f>
        <v/>
      </c>
      <c r="R154" t="str">
        <f>IFERROR(IF(VLOOKUP(C154,Laudes!A:C,3,FALSE)=Table1[[#Headers],[Laudes]],Table1[[#Headers],[Laudes]],""),"")</f>
        <v/>
      </c>
      <c r="S154" t="str">
        <f>IFERROR(IF(VLOOKUP(C154,'Nuevo Testamento'!A:C,3,FALSE)=Table1[[#Headers],[Nuevo Testamento]],Table1[[#Headers],[Nuevo Testamento]],""),"")</f>
        <v/>
      </c>
      <c r="T154" t="str">
        <f>IFERROR(IF(VLOOKUP(C154,'Antiguo Testamento'!A:C,3,FALSE)=Table1[[#Headers],[Antiguo Testamento]],Table1[[#Headers],[Antiguo Testamento]],""),"")</f>
        <v/>
      </c>
      <c r="U154" t="str">
        <f>IFERROR(IF(VLOOKUP(C154,Final!A:C,3,FALSE)=Table1[[#Headers],[Final]],Table1[[#Headers],[Final]],""),"")</f>
        <v/>
      </c>
      <c r="V154" t="str" cm="1">
        <f t="array" ref="V15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/cantos/src/chtml/o/ohcieloslloveddeloalto.html</v>
      </c>
      <c r="W15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{id:152,title: "Oh cielos, lloved de lo alto", subtitle: "Isaías 45,8", category: "Precatecumenado", moments: ["Adviento","Navidad","","","","","","","","","","","","",""], url: "/cantos/src/chtml/o/ohcieloslloveddeloalto.html"},</v>
      </c>
    </row>
    <row r="155" spans="1:23" x14ac:dyDescent="0.25">
      <c r="A155">
        <v>124</v>
      </c>
      <c r="B155" s="14">
        <v>153</v>
      </c>
      <c r="C155" t="s">
        <v>178</v>
      </c>
      <c r="D155" t="s">
        <v>441</v>
      </c>
      <c r="E155" t="str">
        <f>LOWER(LEFT(Table1[[#This Row],[Canto]],1))</f>
        <v>o</v>
      </c>
      <c r="F155" t="s">
        <v>288</v>
      </c>
      <c r="G155" t="str">
        <f>IFERROR(IF(VLOOKUP(C155,Adviento!A:C,3,FALSE)=Table1[[#Headers],[Adviento]],Table1[[#Headers],[Adviento]],""),"")</f>
        <v/>
      </c>
      <c r="H155" t="str">
        <f>IFERROR(IF(VLOOKUP(C155,Navidad!A:C,3,FALSE)=Table1[[#Headers],[Navidad]],Table1[[#Headers],[Navidad]],""),"")</f>
        <v/>
      </c>
      <c r="I155" t="str">
        <f>IFERROR(IF(VLOOKUP(C155,Cuaresma!A:C,3,FALSE)=Table1[[#Headers],[Cuaresma]],Table1[[#Headers],[Cuaresma]],""),"")</f>
        <v/>
      </c>
      <c r="J155" t="str">
        <f>IFERROR(IF(VLOOKUP(C155,Pascua!A:C,3,FALSE)=Table1[[#Headers],[Pascua]],Table1[[#Headers],[Pascua]],""),"")</f>
        <v/>
      </c>
      <c r="K155" t="str">
        <f>IFERROR(IF(VLOOKUP(C155,Pentecostés!A:C,3,FALSE)=Table1[[#Headers],[Pentecostés]],Table1[[#Headers],[Pentecostés]],""),"")</f>
        <v/>
      </c>
      <c r="L155" t="str">
        <f>IFERROR(IF(VLOOKUP(C155,Entrada!A:C,3,FALSE)=Table1[[#Headers],[Entrada]],Table1[[#Headers],[Entrada]],""),"")</f>
        <v/>
      </c>
      <c r="M155" t="str">
        <f>IFERROR(IF(VLOOKUP(C155,Virgen!A:C,3,FALSE)=Table1[[#Headers],[Virgen]],Table1[[#Headers],[Virgen]],""),"")</f>
        <v/>
      </c>
      <c r="N155" t="str">
        <f>IFERROR(IF(VLOOKUP(C155,Paz!A:C,3,FALSE)=Table1[[#Headers],[Paz]],Table1[[#Headers],[Paz]],""),"")</f>
        <v/>
      </c>
      <c r="O155" t="str">
        <f>IFERROR(IF(VLOOKUP(C155,Pan!A:C,3,FALSE)=Table1[[#Headers],[Pan]],Table1[[#Headers],[Pan]],""),"")</f>
        <v/>
      </c>
      <c r="P155" t="str">
        <f>IFERROR(IF(VLOOKUP(C155,Comunión!A:C,3,FALSE)=Table1[[#Headers],[Comunión]],Table1[[#Headers],[Comunión]],""),"")</f>
        <v/>
      </c>
      <c r="Q155" t="str">
        <f>IFERROR(IF(VLOOKUP(C155,Niños!A:C,3,FALSE)=Table1[[#Headers],[Niños]],Table1[[#Headers],[Niños]],""),"")</f>
        <v/>
      </c>
      <c r="R155" t="str">
        <f>IFERROR(IF(VLOOKUP(C155,Laudes!A:C,3,FALSE)=Table1[[#Headers],[Laudes]],Table1[[#Headers],[Laudes]],""),"")</f>
        <v/>
      </c>
      <c r="S155" t="str">
        <f>IFERROR(IF(VLOOKUP(C155,'Nuevo Testamento'!A:C,3,FALSE)=Table1[[#Headers],[Nuevo Testamento]],Table1[[#Headers],[Nuevo Testamento]],""),"")</f>
        <v/>
      </c>
      <c r="T155" t="str">
        <f>IFERROR(IF(VLOOKUP(C155,'Antiguo Testamento'!A:C,3,FALSE)=Table1[[#Headers],[Antiguo Testamento]],Table1[[#Headers],[Antiguo Testamento]],""),"")</f>
        <v>Antiguo Testamento</v>
      </c>
      <c r="U155" t="str">
        <f>IFERROR(IF(VLOOKUP(C155,Final!A:C,3,FALSE)=Table1[[#Headers],[Final]],Table1[[#Headers],[Final]],""),"")</f>
        <v/>
      </c>
      <c r="V155" t="str" cm="1">
        <f t="array" ref="V15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/cantos/src/chtml/o/ohdiosportunombresalvame.html</v>
      </c>
      <c r="W15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{id:153,title: "Oh Dios, por tu nombre sálvame", subtitle: "Sal 54 (53)", category: "Precatecumenado", moments: ["","","","","","","","","","","","","","Antiguo Testamento",""], url: "/cantos/src/chtml/o/ohdiosportunombresalvame.html"},</v>
      </c>
    </row>
    <row r="156" spans="1:23" x14ac:dyDescent="0.25">
      <c r="A156">
        <v>125</v>
      </c>
      <c r="B156" s="14">
        <v>154</v>
      </c>
      <c r="C156" t="s">
        <v>179</v>
      </c>
      <c r="D156" t="s">
        <v>442</v>
      </c>
      <c r="E156" t="str">
        <f>LOWER(LEFT(Table1[[#This Row],[Canto]],1))</f>
        <v>o</v>
      </c>
      <c r="F156" t="s">
        <v>288</v>
      </c>
      <c r="G156" t="str">
        <f>IFERROR(IF(VLOOKUP(C156,Adviento!A:C,3,FALSE)=Table1[[#Headers],[Adviento]],Table1[[#Headers],[Adviento]],""),"")</f>
        <v/>
      </c>
      <c r="H156" t="str">
        <f>IFERROR(IF(VLOOKUP(C156,Navidad!A:C,3,FALSE)=Table1[[#Headers],[Navidad]],Table1[[#Headers],[Navidad]],""),"")</f>
        <v/>
      </c>
      <c r="I156" t="str">
        <f>IFERROR(IF(VLOOKUP(C156,Cuaresma!A:C,3,FALSE)=Table1[[#Headers],[Cuaresma]],Table1[[#Headers],[Cuaresma]],""),"")</f>
        <v/>
      </c>
      <c r="J156" t="str">
        <f>IFERROR(IF(VLOOKUP(C156,Pascua!A:C,3,FALSE)=Table1[[#Headers],[Pascua]],Table1[[#Headers],[Pascua]],""),"")</f>
        <v/>
      </c>
      <c r="K156" t="str">
        <f>IFERROR(IF(VLOOKUP(C156,Pentecostés!A:C,3,FALSE)=Table1[[#Headers],[Pentecostés]],Table1[[#Headers],[Pentecostés]],""),"")</f>
        <v/>
      </c>
      <c r="L156" t="str">
        <f>IFERROR(IF(VLOOKUP(C156,Entrada!A:C,3,FALSE)=Table1[[#Headers],[Entrada]],Table1[[#Headers],[Entrada]],""),"")</f>
        <v/>
      </c>
      <c r="M156" t="str">
        <f>IFERROR(IF(VLOOKUP(C156,Virgen!A:C,3,FALSE)=Table1[[#Headers],[Virgen]],Table1[[#Headers],[Virgen]],""),"")</f>
        <v/>
      </c>
      <c r="N156" t="str">
        <f>IFERROR(IF(VLOOKUP(C156,Paz!A:C,3,FALSE)=Table1[[#Headers],[Paz]],Table1[[#Headers],[Paz]],""),"")</f>
        <v/>
      </c>
      <c r="O156" t="str">
        <f>IFERROR(IF(VLOOKUP(C156,Pan!A:C,3,FALSE)=Table1[[#Headers],[Pan]],Table1[[#Headers],[Pan]],""),"")</f>
        <v/>
      </c>
      <c r="P156" t="str">
        <f>IFERROR(IF(VLOOKUP(C156,Comunión!A:C,3,FALSE)=Table1[[#Headers],[Comunión]],Table1[[#Headers],[Comunión]],""),"")</f>
        <v/>
      </c>
      <c r="Q156" t="str">
        <f>IFERROR(IF(VLOOKUP(C156,Niños!A:C,3,FALSE)=Table1[[#Headers],[Niños]],Table1[[#Headers],[Niños]],""),"")</f>
        <v/>
      </c>
      <c r="R156" t="str">
        <f>IFERROR(IF(VLOOKUP(C156,Laudes!A:C,3,FALSE)=Table1[[#Headers],[Laudes]],Table1[[#Headers],[Laudes]],""),"")</f>
        <v>Laudes</v>
      </c>
      <c r="S156" t="str">
        <f>IFERROR(IF(VLOOKUP(C156,'Nuevo Testamento'!A:C,3,FALSE)=Table1[[#Headers],[Nuevo Testamento]],Table1[[#Headers],[Nuevo Testamento]],""),"")</f>
        <v/>
      </c>
      <c r="T156" t="str">
        <f>IFERROR(IF(VLOOKUP(C156,'Antiguo Testamento'!A:C,3,FALSE)=Table1[[#Headers],[Antiguo Testamento]],Table1[[#Headers],[Antiguo Testamento]],""),"")</f>
        <v>Antiguo Testamento</v>
      </c>
      <c r="U156" t="str">
        <f>IFERROR(IF(VLOOKUP(C156,Final!A:C,3,FALSE)=Table1[[#Headers],[Final]],Table1[[#Headers],[Final]],""),"")</f>
        <v/>
      </c>
      <c r="V156" t="str" cm="1">
        <f t="array" ref="V15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/cantos/src/chtml/o/ohdiostueresmidios.html</v>
      </c>
      <c r="W15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{id:154,title: "Oh Dios, tú eres mi Dios", subtitle: "Sal 63 (62)", category: "Precatecumenado", moments: ["","","","","","","","","","","","Laudes","","Antiguo Testamento",""], url: "/cantos/src/chtml/o/ohdiostueresmidios.html"},</v>
      </c>
    </row>
    <row r="157" spans="1:23" x14ac:dyDescent="0.25">
      <c r="A157">
        <v>126</v>
      </c>
      <c r="B157" s="14">
        <v>155</v>
      </c>
      <c r="C157" t="s">
        <v>180</v>
      </c>
      <c r="D157" t="s">
        <v>443</v>
      </c>
      <c r="E157" t="str">
        <f>LOWER(LEFT(Table1[[#This Row],[Canto]],1))</f>
        <v>o</v>
      </c>
      <c r="F157" t="s">
        <v>288</v>
      </c>
      <c r="G157" t="str">
        <f>IFERROR(IF(VLOOKUP(C157,Adviento!A:C,3,FALSE)=Table1[[#Headers],[Adviento]],Table1[[#Headers],[Adviento]],""),"")</f>
        <v/>
      </c>
      <c r="H157" t="str">
        <f>IFERROR(IF(VLOOKUP(C157,Navidad!A:C,3,FALSE)=Table1[[#Headers],[Navidad]],Table1[[#Headers],[Navidad]],""),"")</f>
        <v/>
      </c>
      <c r="I157" t="str">
        <f>IFERROR(IF(VLOOKUP(C157,Cuaresma!A:C,3,FALSE)=Table1[[#Headers],[Cuaresma]],Table1[[#Headers],[Cuaresma]],""),"")</f>
        <v>Cuaresma</v>
      </c>
      <c r="J157" t="str">
        <f>IFERROR(IF(VLOOKUP(C157,Pascua!A:C,3,FALSE)=Table1[[#Headers],[Pascua]],Table1[[#Headers],[Pascua]],""),"")</f>
        <v/>
      </c>
      <c r="K157" t="str">
        <f>IFERROR(IF(VLOOKUP(C157,Pentecostés!A:C,3,FALSE)=Table1[[#Headers],[Pentecostés]],Table1[[#Headers],[Pentecostés]],""),"")</f>
        <v/>
      </c>
      <c r="L157" t="str">
        <f>IFERROR(IF(VLOOKUP(C157,Entrada!A:C,3,FALSE)=Table1[[#Headers],[Entrada]],Table1[[#Headers],[Entrada]],""),"")</f>
        <v/>
      </c>
      <c r="M157" t="str">
        <f>IFERROR(IF(VLOOKUP(C157,Virgen!A:C,3,FALSE)=Table1[[#Headers],[Virgen]],Table1[[#Headers],[Virgen]],""),"")</f>
        <v/>
      </c>
      <c r="N157" t="str">
        <f>IFERROR(IF(VLOOKUP(C157,Paz!A:C,3,FALSE)=Table1[[#Headers],[Paz]],Table1[[#Headers],[Paz]],""),"")</f>
        <v/>
      </c>
      <c r="O157" t="str">
        <f>IFERROR(IF(VLOOKUP(C157,Pan!A:C,3,FALSE)=Table1[[#Headers],[Pan]],Table1[[#Headers],[Pan]],""),"")</f>
        <v>Pan</v>
      </c>
      <c r="P157" t="str">
        <f>IFERROR(IF(VLOOKUP(C157,Comunión!A:C,3,FALSE)=Table1[[#Headers],[Comunión]],Table1[[#Headers],[Comunión]],""),"")</f>
        <v/>
      </c>
      <c r="Q157" t="str">
        <f>IFERROR(IF(VLOOKUP(C157,Niños!A:C,3,FALSE)=Table1[[#Headers],[Niños]],Table1[[#Headers],[Niños]],""),"")</f>
        <v/>
      </c>
      <c r="R157" t="str">
        <f>IFERROR(IF(VLOOKUP(C157,Laudes!A:C,3,FALSE)=Table1[[#Headers],[Laudes]],Table1[[#Headers],[Laudes]],""),"")</f>
        <v/>
      </c>
      <c r="S157" t="str">
        <f>IFERROR(IF(VLOOKUP(C157,'Nuevo Testamento'!A:C,3,FALSE)=Table1[[#Headers],[Nuevo Testamento]],Table1[[#Headers],[Nuevo Testamento]],""),"")</f>
        <v/>
      </c>
      <c r="T157" t="str">
        <f>IFERROR(IF(VLOOKUP(C157,'Antiguo Testamento'!A:C,3,FALSE)=Table1[[#Headers],[Antiguo Testamento]],Table1[[#Headers],[Antiguo Testamento]],""),"")</f>
        <v/>
      </c>
      <c r="U157" t="str">
        <f>IFERROR(IF(VLOOKUP(C157,Final!A:C,3,FALSE)=Table1[[#Headers],[Final]],Table1[[#Headers],[Final]],""),"")</f>
        <v/>
      </c>
      <c r="V157" t="str" cm="1">
        <f t="array" ref="V15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/cantos/src/chtml/o/ohjesusamormio.html</v>
      </c>
      <c r="W15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{id:155,title: "Oh Jesús, amor mío", subtitle: "(Kiko Argüello)", category: "Precatecumenado", moments: ["","","Cuaresma","","","","","","Pan","","","","","",""], url: "/cantos/src/chtml/o/ohjesusamormio.html"},</v>
      </c>
    </row>
    <row r="158" spans="1:23" x14ac:dyDescent="0.25">
      <c r="A158">
        <v>127</v>
      </c>
      <c r="B158" s="14">
        <v>156</v>
      </c>
      <c r="C158" t="s">
        <v>181</v>
      </c>
      <c r="D158" t="s">
        <v>444</v>
      </c>
      <c r="E158" t="str">
        <f>LOWER(LEFT(Table1[[#This Row],[Canto]],1))</f>
        <v>o</v>
      </c>
      <c r="F158" t="s">
        <v>288</v>
      </c>
      <c r="G158" t="str">
        <f>IFERROR(IF(VLOOKUP(C158,Adviento!A:C,3,FALSE)=Table1[[#Headers],[Adviento]],Table1[[#Headers],[Adviento]],""),"")</f>
        <v/>
      </c>
      <c r="H158" t="str">
        <f>IFERROR(IF(VLOOKUP(C158,Navidad!A:C,3,FALSE)=Table1[[#Headers],[Navidad]],Table1[[#Headers],[Navidad]],""),"")</f>
        <v/>
      </c>
      <c r="I158" t="str">
        <f>IFERROR(IF(VLOOKUP(C158,Cuaresma!A:C,3,FALSE)=Table1[[#Headers],[Cuaresma]],Table1[[#Headers],[Cuaresma]],""),"")</f>
        <v/>
      </c>
      <c r="J158" t="str">
        <f>IFERROR(IF(VLOOKUP(C158,Pascua!A:C,3,FALSE)=Table1[[#Headers],[Pascua]],Table1[[#Headers],[Pascua]],""),"")</f>
        <v>Pascua</v>
      </c>
      <c r="K158" t="str">
        <f>IFERROR(IF(VLOOKUP(C158,Pentecostés!A:C,3,FALSE)=Table1[[#Headers],[Pentecostés]],Table1[[#Headers],[Pentecostés]],""),"")</f>
        <v>Pentecostés</v>
      </c>
      <c r="L158" t="str">
        <f>IFERROR(IF(VLOOKUP(C158,Entrada!A:C,3,FALSE)=Table1[[#Headers],[Entrada]],Table1[[#Headers],[Entrada]],""),"")</f>
        <v/>
      </c>
      <c r="M158" t="str">
        <f>IFERROR(IF(VLOOKUP(C158,Virgen!A:C,3,FALSE)=Table1[[#Headers],[Virgen]],Table1[[#Headers],[Virgen]],""),"")</f>
        <v/>
      </c>
      <c r="N158" t="str">
        <f>IFERROR(IF(VLOOKUP(C158,Paz!A:C,3,FALSE)=Table1[[#Headers],[Paz]],Table1[[#Headers],[Paz]],""),"")</f>
        <v/>
      </c>
      <c r="O158" t="str">
        <f>IFERROR(IF(VLOOKUP(C158,Pan!A:C,3,FALSE)=Table1[[#Headers],[Pan]],Table1[[#Headers],[Pan]],""),"")</f>
        <v/>
      </c>
      <c r="P158" t="str">
        <f>IFERROR(IF(VLOOKUP(C158,Comunión!A:C,3,FALSE)=Table1[[#Headers],[Comunión]],Table1[[#Headers],[Comunión]],""),"")</f>
        <v>Comunión</v>
      </c>
      <c r="Q158" t="str">
        <f>IFERROR(IF(VLOOKUP(C158,Niños!A:C,3,FALSE)=Table1[[#Headers],[Niños]],Table1[[#Headers],[Niños]],""),"")</f>
        <v/>
      </c>
      <c r="R158" t="str">
        <f>IFERROR(IF(VLOOKUP(C158,Laudes!A:C,3,FALSE)=Table1[[#Headers],[Laudes]],Table1[[#Headers],[Laudes]],""),"")</f>
        <v/>
      </c>
      <c r="S158" t="str">
        <f>IFERROR(IF(VLOOKUP(C158,'Nuevo Testamento'!A:C,3,FALSE)=Table1[[#Headers],[Nuevo Testamento]],Table1[[#Headers],[Nuevo Testamento]],""),"")</f>
        <v>Nuevo Testamento</v>
      </c>
      <c r="T158" t="str">
        <f>IFERROR(IF(VLOOKUP(C158,'Antiguo Testamento'!A:C,3,FALSE)=Table1[[#Headers],[Antiguo Testamento]],Table1[[#Headers],[Antiguo Testamento]],""),"")</f>
        <v/>
      </c>
      <c r="U158" t="str">
        <f>IFERROR(IF(VLOOKUP(C158,Final!A:C,3,FALSE)=Table1[[#Headers],[Final]],Table1[[#Headers],[Final]],""),"")</f>
        <v/>
      </c>
      <c r="V158" t="str" cm="1">
        <f t="array" ref="V15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/cantos/src/chtml/o/ohmuerte¿dondeestatuvictoria?.html</v>
      </c>
      <c r="W15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{id:156,title: "Oh muerte, ¿dónde está tu victoria?", subtitle: "1 Corintios 15", category: "Precatecumenado", moments: ["","","","Pascua","Pentecostés","","","","","Comunión","","","Nuevo Testamento","",""], url: "/cantos/src/chtml/o/ohmuerte¿dondeestatuvictoria?.html"},</v>
      </c>
    </row>
    <row r="159" spans="1:23" x14ac:dyDescent="0.25">
      <c r="A159">
        <v>232</v>
      </c>
      <c r="B159" s="14">
        <v>157</v>
      </c>
      <c r="C159" t="s">
        <v>182</v>
      </c>
      <c r="D159" t="s">
        <v>445</v>
      </c>
      <c r="E159" t="str">
        <f>LOWER(LEFT(Table1[[#This Row],[Canto]],1))</f>
        <v>o</v>
      </c>
      <c r="F159" s="13" t="s">
        <v>290</v>
      </c>
      <c r="G159" t="str">
        <f>IFERROR(IF(VLOOKUP(C159,Adviento!A:C,3,FALSE)=Table1[[#Headers],[Adviento]],Table1[[#Headers],[Adviento]],""),"")</f>
        <v/>
      </c>
      <c r="H159" t="str">
        <f>IFERROR(IF(VLOOKUP(C159,Navidad!A:C,3,FALSE)=Table1[[#Headers],[Navidad]],Table1[[#Headers],[Navidad]],""),"")</f>
        <v/>
      </c>
      <c r="I159" t="str">
        <f>IFERROR(IF(VLOOKUP(C159,Cuaresma!A:C,3,FALSE)=Table1[[#Headers],[Cuaresma]],Table1[[#Headers],[Cuaresma]],""),"")</f>
        <v/>
      </c>
      <c r="J159" t="str">
        <f>IFERROR(IF(VLOOKUP(C159,Pascua!A:C,3,FALSE)=Table1[[#Headers],[Pascua]],Table1[[#Headers],[Pascua]],""),"")</f>
        <v/>
      </c>
      <c r="K159" t="str">
        <f>IFERROR(IF(VLOOKUP(C159,Pentecostés!A:C,3,FALSE)=Table1[[#Headers],[Pentecostés]],Table1[[#Headers],[Pentecostés]],""),"")</f>
        <v/>
      </c>
      <c r="L159" t="str">
        <f>IFERROR(IF(VLOOKUP(C159,Entrada!A:C,3,FALSE)=Table1[[#Headers],[Entrada]],Table1[[#Headers],[Entrada]],""),"")</f>
        <v/>
      </c>
      <c r="M159" t="str">
        <f>IFERROR(IF(VLOOKUP(C159,Virgen!A:C,3,FALSE)=Table1[[#Headers],[Virgen]],Table1[[#Headers],[Virgen]],""),"")</f>
        <v/>
      </c>
      <c r="N159" t="str">
        <f>IFERROR(IF(VLOOKUP(C159,Paz!A:C,3,FALSE)=Table1[[#Headers],[Paz]],Table1[[#Headers],[Paz]],""),"")</f>
        <v/>
      </c>
      <c r="O159" t="str">
        <f>IFERROR(IF(VLOOKUP(C159,Pan!A:C,3,FALSE)=Table1[[#Headers],[Pan]],Table1[[#Headers],[Pan]],""),"")</f>
        <v/>
      </c>
      <c r="P159" t="str">
        <f>IFERROR(IF(VLOOKUP(C159,Comunión!A:C,3,FALSE)=Table1[[#Headers],[Comunión]],Table1[[#Headers],[Comunión]],""),"")</f>
        <v/>
      </c>
      <c r="Q159" t="str">
        <f>IFERROR(IF(VLOOKUP(C159,Niños!A:C,3,FALSE)=Table1[[#Headers],[Niños]],Table1[[#Headers],[Niños]],""),"")</f>
        <v/>
      </c>
      <c r="R159" t="str">
        <f>IFERROR(IF(VLOOKUP(C159,Laudes!A:C,3,FALSE)=Table1[[#Headers],[Laudes]],Table1[[#Headers],[Laudes]],""),"")</f>
        <v/>
      </c>
      <c r="S159" t="str">
        <f>IFERROR(IF(VLOOKUP(C159,'Nuevo Testamento'!A:C,3,FALSE)=Table1[[#Headers],[Nuevo Testamento]],Table1[[#Headers],[Nuevo Testamento]],""),"")</f>
        <v/>
      </c>
      <c r="T159" t="str">
        <f>IFERROR(IF(VLOOKUP(C159,'Antiguo Testamento'!A:C,3,FALSE)=Table1[[#Headers],[Antiguo Testamento]],Table1[[#Headers],[Antiguo Testamento]],""),"")</f>
        <v>Antiguo Testamento</v>
      </c>
      <c r="U159" t="str">
        <f>IFERROR(IF(VLOOKUP(C159,Final!A:C,3,FALSE)=Table1[[#Headers],[Final]],Table1[[#Headers],[Final]],""),"")</f>
        <v/>
      </c>
      <c r="V159" t="str" cm="1">
        <f t="array" ref="V15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/cantos/src/chtml/o/ohsenormicorazonyanoesambicioso.html</v>
      </c>
      <c r="W15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{id:157,title: "Oh Señor, mi corazón ya no es ambicioso", subtitle: "Sal 131 (130)", category: "Catecumenado", moments: ["","","","","","","","","","","","","","Antiguo Testamento",""], url: "/cantos/src/chtml/o/ohsenormicorazonyanoesambicioso.html"},</v>
      </c>
    </row>
    <row r="160" spans="1:23" x14ac:dyDescent="0.25">
      <c r="A160">
        <v>128</v>
      </c>
      <c r="B160" s="14">
        <v>158</v>
      </c>
      <c r="C160" t="s">
        <v>183</v>
      </c>
      <c r="D160" t="s">
        <v>446</v>
      </c>
      <c r="E160" t="str">
        <f>LOWER(LEFT(Table1[[#This Row],[Canto]],1))</f>
        <v>o</v>
      </c>
      <c r="F160" t="s">
        <v>288</v>
      </c>
      <c r="G160" t="str">
        <f>IFERROR(IF(VLOOKUP(C160,Adviento!A:C,3,FALSE)=Table1[[#Headers],[Adviento]],Table1[[#Headers],[Adviento]],""),"")</f>
        <v/>
      </c>
      <c r="H160" t="str">
        <f>IFERROR(IF(VLOOKUP(C160,Navidad!A:C,3,FALSE)=Table1[[#Headers],[Navidad]],Table1[[#Headers],[Navidad]],""),"")</f>
        <v/>
      </c>
      <c r="I160" t="str">
        <f>IFERROR(IF(VLOOKUP(C160,Cuaresma!A:C,3,FALSE)=Table1[[#Headers],[Cuaresma]],Table1[[#Headers],[Cuaresma]],""),"")</f>
        <v/>
      </c>
      <c r="J160" t="str">
        <f>IFERROR(IF(VLOOKUP(C160,Pascua!A:C,3,FALSE)=Table1[[#Headers],[Pascua]],Table1[[#Headers],[Pascua]],""),"")</f>
        <v/>
      </c>
      <c r="K160" t="str">
        <f>IFERROR(IF(VLOOKUP(C160,Pentecostés!A:C,3,FALSE)=Table1[[#Headers],[Pentecostés]],Table1[[#Headers],[Pentecostés]],""),"")</f>
        <v/>
      </c>
      <c r="L160" t="str">
        <f>IFERROR(IF(VLOOKUP(C160,Entrada!A:C,3,FALSE)=Table1[[#Headers],[Entrada]],Table1[[#Headers],[Entrada]],""),"")</f>
        <v>Entrada</v>
      </c>
      <c r="M160" t="str">
        <f>IFERROR(IF(VLOOKUP(C160,Virgen!A:C,3,FALSE)=Table1[[#Headers],[Virgen]],Table1[[#Headers],[Virgen]],""),"")</f>
        <v/>
      </c>
      <c r="N160" t="str">
        <f>IFERROR(IF(VLOOKUP(C160,Paz!A:C,3,FALSE)=Table1[[#Headers],[Paz]],Table1[[#Headers],[Paz]],""),"")</f>
        <v/>
      </c>
      <c r="O160" t="str">
        <f>IFERROR(IF(VLOOKUP(C160,Pan!A:C,3,FALSE)=Table1[[#Headers],[Pan]],Table1[[#Headers],[Pan]],""),"")</f>
        <v/>
      </c>
      <c r="P160" t="str">
        <f>IFERROR(IF(VLOOKUP(C160,Comunión!A:C,3,FALSE)=Table1[[#Headers],[Comunión]],Table1[[#Headers],[Comunión]],""),"")</f>
        <v/>
      </c>
      <c r="Q160" t="str">
        <f>IFERROR(IF(VLOOKUP(C160,Niños!A:C,3,FALSE)=Table1[[#Headers],[Niños]],Table1[[#Headers],[Niños]],""),"")</f>
        <v/>
      </c>
      <c r="R160" t="str">
        <f>IFERROR(IF(VLOOKUP(C160,Laudes!A:C,3,FALSE)=Table1[[#Headers],[Laudes]],Table1[[#Headers],[Laudes]],""),"")</f>
        <v>Laudes</v>
      </c>
      <c r="S160" t="str">
        <f>IFERROR(IF(VLOOKUP(C160,'Nuevo Testamento'!A:C,3,FALSE)=Table1[[#Headers],[Nuevo Testamento]],Table1[[#Headers],[Nuevo Testamento]],""),"")</f>
        <v/>
      </c>
      <c r="T160" t="str">
        <f>IFERROR(IF(VLOOKUP(C160,'Antiguo Testamento'!A:C,3,FALSE)=Table1[[#Headers],[Antiguo Testamento]],Table1[[#Headers],[Antiguo Testamento]],""),"")</f>
        <v>Antiguo Testamento</v>
      </c>
      <c r="U160" t="str">
        <f>IFERROR(IF(VLOOKUP(C160,Final!A:C,3,FALSE)=Table1[[#Headers],[Final]],Table1[[#Headers],[Final]],""),"")</f>
        <v/>
      </c>
      <c r="V160" t="str" cm="1">
        <f t="array" ref="V16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/cantos/src/chtml/o/ohsenornuestrodios.html</v>
      </c>
      <c r="W16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{id:158,title: "Oh Señor, nuestro Dios", subtitle: "Salmo 8", category: "Precatecumenado", moments: ["","","","","","Entrada","","","","","","Laudes","","Antiguo Testamento",""], url: "/cantos/src/chtml/o/ohsenornuestrodios.html"},</v>
      </c>
    </row>
    <row r="161" spans="1:23" x14ac:dyDescent="0.25">
      <c r="A161">
        <v>129</v>
      </c>
      <c r="B161" s="14">
        <v>159</v>
      </c>
      <c r="C161" t="s">
        <v>184</v>
      </c>
      <c r="D161" t="s">
        <v>447</v>
      </c>
      <c r="E161" t="str">
        <f>LOWER(LEFT(Table1[[#This Row],[Canto]],1))</f>
        <v>o</v>
      </c>
      <c r="F161" t="s">
        <v>288</v>
      </c>
      <c r="G161" t="str">
        <f>IFERROR(IF(VLOOKUP(C161,Adviento!A:C,3,FALSE)=Table1[[#Headers],[Adviento]],Table1[[#Headers],[Adviento]],""),"")</f>
        <v/>
      </c>
      <c r="H161" t="str">
        <f>IFERROR(IF(VLOOKUP(C161,Navidad!A:C,3,FALSE)=Table1[[#Headers],[Navidad]],Table1[[#Headers],[Navidad]],""),"")</f>
        <v/>
      </c>
      <c r="I161" t="str">
        <f>IFERROR(IF(VLOOKUP(C161,Cuaresma!A:C,3,FALSE)=Table1[[#Headers],[Cuaresma]],Table1[[#Headers],[Cuaresma]],""),"")</f>
        <v/>
      </c>
      <c r="J161" t="str">
        <f>IFERROR(IF(VLOOKUP(C161,Pascua!A:C,3,FALSE)=Table1[[#Headers],[Pascua]],Table1[[#Headers],[Pascua]],""),"")</f>
        <v>Pascua</v>
      </c>
      <c r="K161" t="str">
        <f>IFERROR(IF(VLOOKUP(C161,Pentecostés!A:C,3,FALSE)=Table1[[#Headers],[Pentecostés]],Table1[[#Headers],[Pentecostés]],""),"")</f>
        <v>Pentecostés</v>
      </c>
      <c r="L161" t="str">
        <f>IFERROR(IF(VLOOKUP(C161,Entrada!A:C,3,FALSE)=Table1[[#Headers],[Entrada]],Table1[[#Headers],[Entrada]],""),"")</f>
        <v>Entrada</v>
      </c>
      <c r="M161" t="str">
        <f>IFERROR(IF(VLOOKUP(C161,Virgen!A:C,3,FALSE)=Table1[[#Headers],[Virgen]],Table1[[#Headers],[Virgen]],""),"")</f>
        <v/>
      </c>
      <c r="N161" t="str">
        <f>IFERROR(IF(VLOOKUP(C161,Paz!A:C,3,FALSE)=Table1[[#Headers],[Paz]],Table1[[#Headers],[Paz]],""),"")</f>
        <v/>
      </c>
      <c r="O161" t="str">
        <f>IFERROR(IF(VLOOKUP(C161,Pan!A:C,3,FALSE)=Table1[[#Headers],[Pan]],Table1[[#Headers],[Pan]],""),"")</f>
        <v/>
      </c>
      <c r="P161" t="str">
        <f>IFERROR(IF(VLOOKUP(C161,Comunión!A:C,3,FALSE)=Table1[[#Headers],[Comunión]],Table1[[#Headers],[Comunión]],""),"")</f>
        <v/>
      </c>
      <c r="Q161" t="str">
        <f>IFERROR(IF(VLOOKUP(C161,Niños!A:C,3,FALSE)=Table1[[#Headers],[Niños]],Table1[[#Headers],[Niños]],""),"")</f>
        <v/>
      </c>
      <c r="R161" t="str">
        <f>IFERROR(IF(VLOOKUP(C161,Laudes!A:C,3,FALSE)=Table1[[#Headers],[Laudes]],Table1[[#Headers],[Laudes]],""),"")</f>
        <v/>
      </c>
      <c r="S161" t="str">
        <f>IFERROR(IF(VLOOKUP(C161,'Nuevo Testamento'!A:C,3,FALSE)=Table1[[#Headers],[Nuevo Testamento]],Table1[[#Headers],[Nuevo Testamento]],""),"")</f>
        <v/>
      </c>
      <c r="T161" t="str">
        <f>IFERROR(IF(VLOOKUP(C161,'Antiguo Testamento'!A:C,3,FALSE)=Table1[[#Headers],[Antiguo Testamento]],Table1[[#Headers],[Antiguo Testamento]],""),"")</f>
        <v>Antiguo Testamento</v>
      </c>
      <c r="U161" t="str">
        <f>IFERROR(IF(VLOOKUP(C161,Final!A:C,3,FALSE)=Table1[[#Headers],[Final]],Table1[[#Headers],[Final]],""),"")</f>
        <v/>
      </c>
      <c r="V161" t="str" cm="1">
        <f t="array" ref="V16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/cantos/src/chtml/o/ostomaredeentrelasnaciones.html</v>
      </c>
      <c r="W16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{id:159,title: "Os tomaré de entre las naciones", subtitle: "Ezequiel 36,24-28", category: "Precatecumenado", moments: ["","","","Pascua","Pentecostés","Entrada","","","","","","","","Antiguo Testamento",""], url: "/cantos/src/chtml/o/ostomaredeentrelasnaciones.html"},</v>
      </c>
    </row>
    <row r="162" spans="1:23" x14ac:dyDescent="0.25">
      <c r="A162">
        <v>193</v>
      </c>
      <c r="B162" s="14">
        <v>160</v>
      </c>
      <c r="C162" t="s">
        <v>74</v>
      </c>
      <c r="D162" t="s">
        <v>448</v>
      </c>
      <c r="E162" t="str">
        <f>LOWER(LEFT(Table1[[#This Row],[Canto]],1))</f>
        <v>p</v>
      </c>
      <c r="F162" s="12" t="s">
        <v>289</v>
      </c>
      <c r="G162" t="str">
        <f>IFERROR(IF(VLOOKUP(C162,Adviento!A:C,3,FALSE)=Table1[[#Headers],[Adviento]],Table1[[#Headers],[Adviento]],""),"")</f>
        <v/>
      </c>
      <c r="H162" t="str">
        <f>IFERROR(IF(VLOOKUP(C162,Navidad!A:C,3,FALSE)=Table1[[#Headers],[Navidad]],Table1[[#Headers],[Navidad]],""),"")</f>
        <v/>
      </c>
      <c r="I162" t="str">
        <f>IFERROR(IF(VLOOKUP(C162,Cuaresma!A:C,3,FALSE)=Table1[[#Headers],[Cuaresma]],Table1[[#Headers],[Cuaresma]],""),"")</f>
        <v/>
      </c>
      <c r="J162" t="str">
        <f>IFERROR(IF(VLOOKUP(C162,Pascua!A:C,3,FALSE)=Table1[[#Headers],[Pascua]],Table1[[#Headers],[Pascua]],""),"")</f>
        <v/>
      </c>
      <c r="K162" t="str">
        <f>IFERROR(IF(VLOOKUP(C162,Pentecostés!A:C,3,FALSE)=Table1[[#Headers],[Pentecostés]],Table1[[#Headers],[Pentecostés]],""),"")</f>
        <v/>
      </c>
      <c r="L162" t="str">
        <f>IFERROR(IF(VLOOKUP(C162,Entrada!A:C,3,FALSE)=Table1[[#Headers],[Entrada]],Table1[[#Headers],[Entrada]],""),"")</f>
        <v/>
      </c>
      <c r="M162" t="str">
        <f>IFERROR(IF(VLOOKUP(C162,Virgen!A:C,3,FALSE)=Table1[[#Headers],[Virgen]],Table1[[#Headers],[Virgen]],""),"")</f>
        <v/>
      </c>
      <c r="N162" t="str">
        <f>IFERROR(IF(VLOOKUP(C162,Paz!A:C,3,FALSE)=Table1[[#Headers],[Paz]],Table1[[#Headers],[Paz]],""),"")</f>
        <v/>
      </c>
      <c r="O162" t="str">
        <f>IFERROR(IF(VLOOKUP(C162,Pan!A:C,3,FALSE)=Table1[[#Headers],[Pan]],Table1[[#Headers],[Pan]],""),"")</f>
        <v/>
      </c>
      <c r="P162" t="str">
        <f>IFERROR(IF(VLOOKUP(C162,Comunión!A:C,3,FALSE)=Table1[[#Headers],[Comunión]],Table1[[#Headers],[Comunión]],""),"")</f>
        <v/>
      </c>
      <c r="Q162" t="str">
        <f>IFERROR(IF(VLOOKUP(C162,Niños!A:C,3,FALSE)=Table1[[#Headers],[Niños]],Table1[[#Headers],[Niños]],""),"")</f>
        <v/>
      </c>
      <c r="R162" t="str">
        <f>IFERROR(IF(VLOOKUP(C162,Laudes!A:C,3,FALSE)=Table1[[#Headers],[Laudes]],Table1[[#Headers],[Laudes]],""),"")</f>
        <v/>
      </c>
      <c r="S162" t="str">
        <f>IFERROR(IF(VLOOKUP(C162,'Nuevo Testamento'!A:C,3,FALSE)=Table1[[#Headers],[Nuevo Testamento]],Table1[[#Headers],[Nuevo Testamento]],""),"")</f>
        <v/>
      </c>
      <c r="T162" t="str">
        <f>IFERROR(IF(VLOOKUP(C162,'Antiguo Testamento'!A:C,3,FALSE)=Table1[[#Headers],[Antiguo Testamento]],Table1[[#Headers],[Antiguo Testamento]],""),"")</f>
        <v/>
      </c>
      <c r="U162" t="str">
        <f>IFERROR(IF(VLOOKUP(C162,Final!A:C,3,FALSE)=Table1[[#Headers],[Final]],Table1[[#Headers],[Final]],""),"")</f>
        <v/>
      </c>
      <c r="V162" t="str" cm="1">
        <f t="array" ref="V16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/cantos/src/chtml/p/padrenuestro.html</v>
      </c>
      <c r="W16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{id:160,title: "Padre nuestro", subtitle: "Tiempo de la Elección", category: "Liturgia", moments: ["","","","","","","","","","","","","","",""], url: "/cantos/src/chtml/p/padrenuestro.html"},</v>
      </c>
    </row>
    <row r="163" spans="1:23" x14ac:dyDescent="0.25">
      <c r="A163">
        <v>130</v>
      </c>
      <c r="B163" s="14">
        <v>161</v>
      </c>
      <c r="C163" t="s">
        <v>185</v>
      </c>
      <c r="D163" t="s">
        <v>449</v>
      </c>
      <c r="E163" t="str">
        <f>LOWER(LEFT(Table1[[#This Row],[Canto]],1))</f>
        <v>p</v>
      </c>
      <c r="F163" t="s">
        <v>288</v>
      </c>
      <c r="G163" t="str">
        <f>IFERROR(IF(VLOOKUP(C163,Adviento!A:C,3,FALSE)=Table1[[#Headers],[Adviento]],Table1[[#Headers],[Adviento]],""),"")</f>
        <v/>
      </c>
      <c r="H163" t="str">
        <f>IFERROR(IF(VLOOKUP(C163,Navidad!A:C,3,FALSE)=Table1[[#Headers],[Navidad]],Table1[[#Headers],[Navidad]],""),"")</f>
        <v/>
      </c>
      <c r="I163" t="str">
        <f>IFERROR(IF(VLOOKUP(C163,Cuaresma!A:C,3,FALSE)=Table1[[#Headers],[Cuaresma]],Table1[[#Headers],[Cuaresma]],""),"")</f>
        <v/>
      </c>
      <c r="J163" t="str">
        <f>IFERROR(IF(VLOOKUP(C163,Pascua!A:C,3,FALSE)=Table1[[#Headers],[Pascua]],Table1[[#Headers],[Pascua]],""),"")</f>
        <v>Pascua</v>
      </c>
      <c r="K163" t="str">
        <f>IFERROR(IF(VLOOKUP(C163,Pentecostés!A:C,3,FALSE)=Table1[[#Headers],[Pentecostés]],Table1[[#Headers],[Pentecostés]],""),"")</f>
        <v>Pentecostés</v>
      </c>
      <c r="L163" t="str">
        <f>IFERROR(IF(VLOOKUP(C163,Entrada!A:C,3,FALSE)=Table1[[#Headers],[Entrada]],Table1[[#Headers],[Entrada]],""),"")</f>
        <v/>
      </c>
      <c r="M163" t="str">
        <f>IFERROR(IF(VLOOKUP(C163,Virgen!A:C,3,FALSE)=Table1[[#Headers],[Virgen]],Table1[[#Headers],[Virgen]],""),"")</f>
        <v>Virgen</v>
      </c>
      <c r="N163" t="str">
        <f>IFERROR(IF(VLOOKUP(C163,Paz!A:C,3,FALSE)=Table1[[#Headers],[Paz]],Table1[[#Headers],[Paz]],""),"")</f>
        <v/>
      </c>
      <c r="O163" t="str">
        <f>IFERROR(IF(VLOOKUP(C163,Pan!A:C,3,FALSE)=Table1[[#Headers],[Pan]],Table1[[#Headers],[Pan]],""),"")</f>
        <v/>
      </c>
      <c r="P163" t="str">
        <f>IFERROR(IF(VLOOKUP(C163,Comunión!A:C,3,FALSE)=Table1[[#Headers],[Comunión]],Table1[[#Headers],[Comunión]],""),"")</f>
        <v/>
      </c>
      <c r="Q163" t="str">
        <f>IFERROR(IF(VLOOKUP(C163,Niños!A:C,3,FALSE)=Table1[[#Headers],[Niños]],Table1[[#Headers],[Niños]],""),"")</f>
        <v/>
      </c>
      <c r="R163" t="str">
        <f>IFERROR(IF(VLOOKUP(C163,Laudes!A:C,3,FALSE)=Table1[[#Headers],[Laudes]],Table1[[#Headers],[Laudes]],""),"")</f>
        <v/>
      </c>
      <c r="S163" t="str">
        <f>IFERROR(IF(VLOOKUP(C163,'Nuevo Testamento'!A:C,3,FALSE)=Table1[[#Headers],[Nuevo Testamento]],Table1[[#Headers],[Nuevo Testamento]],""),"")</f>
        <v/>
      </c>
      <c r="T163" t="str">
        <f>IFERROR(IF(VLOOKUP(C163,'Antiguo Testamento'!A:C,3,FALSE)=Table1[[#Headers],[Antiguo Testamento]],Table1[[#Headers],[Antiguo Testamento]],""),"")</f>
        <v/>
      </c>
      <c r="U163" t="str">
        <f>IFERROR(IF(VLOOKUP(C163,Final!A:C,3,FALSE)=Table1[[#Headers],[Final]],Table1[[#Headers],[Final]],""),"")</f>
        <v/>
      </c>
      <c r="V163" t="str" cm="1">
        <f t="array" ref="V16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/cantos/src/chtml/p/palomaincorrupta.html</v>
      </c>
      <c r="W16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{id:161,title: "Paloma incorrupta", subtitle: "Kontákion (Romano el Meloda)", category: "Precatecumenado", moments: ["","","","Pascua","Pentecostés","","Virgen","","","","","","","",""], url: "/cantos/src/chtml/p/palomaincorrupta.html"},</v>
      </c>
    </row>
    <row r="164" spans="1:23" x14ac:dyDescent="0.25">
      <c r="A164">
        <v>131</v>
      </c>
      <c r="B164" s="14">
        <v>162</v>
      </c>
      <c r="C164" t="s">
        <v>75</v>
      </c>
      <c r="D164" t="s">
        <v>450</v>
      </c>
      <c r="E164" t="str">
        <f>LOWER(LEFT(Table1[[#This Row],[Canto]],1))</f>
        <v>p</v>
      </c>
      <c r="F164" t="s">
        <v>288</v>
      </c>
      <c r="G164" t="str">
        <f>IFERROR(IF(VLOOKUP(C164,Adviento!A:C,3,FALSE)=Table1[[#Headers],[Adviento]],Table1[[#Headers],[Adviento]],""),"")</f>
        <v/>
      </c>
      <c r="H164" t="str">
        <f>IFERROR(IF(VLOOKUP(C164,Navidad!A:C,3,FALSE)=Table1[[#Headers],[Navidad]],Table1[[#Headers],[Navidad]],""),"")</f>
        <v/>
      </c>
      <c r="I164" t="str">
        <f>IFERROR(IF(VLOOKUP(C164,Cuaresma!A:C,3,FALSE)=Table1[[#Headers],[Cuaresma]],Table1[[#Headers],[Cuaresma]],""),"")</f>
        <v/>
      </c>
      <c r="J164" t="str">
        <f>IFERROR(IF(VLOOKUP(C164,Pascua!A:C,3,FALSE)=Table1[[#Headers],[Pascua]],Table1[[#Headers],[Pascua]],""),"")</f>
        <v>Pascua</v>
      </c>
      <c r="K164" t="str">
        <f>IFERROR(IF(VLOOKUP(C164,Pentecostés!A:C,3,FALSE)=Table1[[#Headers],[Pentecostés]],Table1[[#Headers],[Pentecostés]],""),"")</f>
        <v>Pentecostés</v>
      </c>
      <c r="L164" t="str">
        <f>IFERROR(IF(VLOOKUP(C164,Entrada!A:C,3,FALSE)=Table1[[#Headers],[Entrada]],Table1[[#Headers],[Entrada]],""),"")</f>
        <v/>
      </c>
      <c r="M164" t="str">
        <f>IFERROR(IF(VLOOKUP(C164,Virgen!A:C,3,FALSE)=Table1[[#Headers],[Virgen]],Table1[[#Headers],[Virgen]],""),"")</f>
        <v/>
      </c>
      <c r="N164" t="str">
        <f>IFERROR(IF(VLOOKUP(C164,Paz!A:C,3,FALSE)=Table1[[#Headers],[Paz]],Table1[[#Headers],[Paz]],""),"")</f>
        <v/>
      </c>
      <c r="O164" t="str">
        <f>IFERROR(IF(VLOOKUP(C164,Pan!A:C,3,FALSE)=Table1[[#Headers],[Pan]],Table1[[#Headers],[Pan]],""),"")</f>
        <v/>
      </c>
      <c r="P164" t="str">
        <f>IFERROR(IF(VLOOKUP(C164,Comunión!A:C,3,FALSE)=Table1[[#Headers],[Comunión]],Table1[[#Headers],[Comunión]],""),"")</f>
        <v>Comunión</v>
      </c>
      <c r="Q164" t="str">
        <f>IFERROR(IF(VLOOKUP(C164,Niños!A:C,3,FALSE)=Table1[[#Headers],[Niños]],Table1[[#Headers],[Niños]],""),"")</f>
        <v/>
      </c>
      <c r="R164" t="str">
        <f>IFERROR(IF(VLOOKUP(C164,Laudes!A:C,3,FALSE)=Table1[[#Headers],[Laudes]],Table1[[#Headers],[Laudes]],""),"")</f>
        <v/>
      </c>
      <c r="S164" t="str">
        <f>IFERROR(IF(VLOOKUP(C164,'Nuevo Testamento'!A:C,3,FALSE)=Table1[[#Headers],[Nuevo Testamento]],Table1[[#Headers],[Nuevo Testamento]],""),"")</f>
        <v/>
      </c>
      <c r="T164" t="str">
        <f>IFERROR(IF(VLOOKUP(C164,'Antiguo Testamento'!A:C,3,FALSE)=Table1[[#Headers],[Antiguo Testamento]],Table1[[#Headers],[Antiguo Testamento]],""),"")</f>
        <v/>
      </c>
      <c r="U164" t="str">
        <f>IFERROR(IF(VLOOKUP(C164,Final!A:C,3,FALSE)=Table1[[#Headers],[Final]],Table1[[#Headers],[Final]],""),"")</f>
        <v/>
      </c>
      <c r="V164" t="str" cm="1">
        <f t="array" ref="V16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/cantos/src/chtml/p/pentecostes.html</v>
      </c>
      <c r="W16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{id:162,title: "Pentecostés", subtitle: "Hchos de los Apostoles 2,1-13 ", category: "Precatecumenado", moments: ["","","","Pascua","Pentecostés","","","","","Comunión","","","","",""], url: "/cantos/src/chtml/p/pentecostes.html"},</v>
      </c>
    </row>
    <row r="165" spans="1:23" x14ac:dyDescent="0.25">
      <c r="A165">
        <v>194</v>
      </c>
      <c r="B165" s="14">
        <v>163</v>
      </c>
      <c r="C165" t="s">
        <v>238</v>
      </c>
      <c r="D165" t="s">
        <v>451</v>
      </c>
      <c r="E165" t="str">
        <f>LOWER(LEFT(Table1[[#This Row],[Canto]],1))</f>
        <v>p</v>
      </c>
      <c r="F165" s="12" t="s">
        <v>289</v>
      </c>
      <c r="G165" t="str">
        <f>IFERROR(IF(VLOOKUP(C165,Adviento!A:C,3,FALSE)=Table1[[#Headers],[Adviento]],Table1[[#Headers],[Adviento]],""),"")</f>
        <v/>
      </c>
      <c r="H165" t="str">
        <f>IFERROR(IF(VLOOKUP(C165,Navidad!A:C,3,FALSE)=Table1[[#Headers],[Navidad]],Table1[[#Headers],[Navidad]],""),"")</f>
        <v/>
      </c>
      <c r="I165" t="str">
        <f>IFERROR(IF(VLOOKUP(C165,Cuaresma!A:C,3,FALSE)=Table1[[#Headers],[Cuaresma]],Table1[[#Headers],[Cuaresma]],""),"")</f>
        <v/>
      </c>
      <c r="J165" t="str">
        <f>IFERROR(IF(VLOOKUP(C165,Pascua!A:C,3,FALSE)=Table1[[#Headers],[Pascua]],Table1[[#Headers],[Pascua]],""),"")</f>
        <v/>
      </c>
      <c r="K165" t="str">
        <f>IFERROR(IF(VLOOKUP(C165,Pentecostés!A:C,3,FALSE)=Table1[[#Headers],[Pentecostés]],Table1[[#Headers],[Pentecostés]],""),"")</f>
        <v/>
      </c>
      <c r="L165" t="str">
        <f>IFERROR(IF(VLOOKUP(C165,Entrada!A:C,3,FALSE)=Table1[[#Headers],[Entrada]],Table1[[#Headers],[Entrada]],""),"")</f>
        <v/>
      </c>
      <c r="M165" t="str">
        <f>IFERROR(IF(VLOOKUP(C165,Virgen!A:C,3,FALSE)=Table1[[#Headers],[Virgen]],Table1[[#Headers],[Virgen]],""),"")</f>
        <v/>
      </c>
      <c r="N165" t="str">
        <f>IFERROR(IF(VLOOKUP(C165,Paz!A:C,3,FALSE)=Table1[[#Headers],[Paz]],Table1[[#Headers],[Paz]],""),"")</f>
        <v/>
      </c>
      <c r="O165" t="str">
        <f>IFERROR(IF(VLOOKUP(C165,Pan!A:C,3,FALSE)=Table1[[#Headers],[Pan]],Table1[[#Headers],[Pan]],""),"")</f>
        <v/>
      </c>
      <c r="P165" t="str">
        <f>IFERROR(IF(VLOOKUP(C165,Comunión!A:C,3,FALSE)=Table1[[#Headers],[Comunión]],Table1[[#Headers],[Comunión]],""),"")</f>
        <v/>
      </c>
      <c r="Q165" t="str">
        <f>IFERROR(IF(VLOOKUP(C165,Niños!A:C,3,FALSE)=Table1[[#Headers],[Niños]],Table1[[#Headers],[Niños]],""),"")</f>
        <v/>
      </c>
      <c r="R165" t="str">
        <f>IFERROR(IF(VLOOKUP(C165,Laudes!A:C,3,FALSE)=Table1[[#Headers],[Laudes]],Table1[[#Headers],[Laudes]],""),"")</f>
        <v/>
      </c>
      <c r="S165" t="str">
        <f>IFERROR(IF(VLOOKUP(C165,'Nuevo Testamento'!A:C,3,FALSE)=Table1[[#Headers],[Nuevo Testamento]],Table1[[#Headers],[Nuevo Testamento]],""),"")</f>
        <v/>
      </c>
      <c r="T165" t="str">
        <f>IFERROR(IF(VLOOKUP(C165,'Antiguo Testamento'!A:C,3,FALSE)=Table1[[#Headers],[Antiguo Testamento]],Table1[[#Headers],[Antiguo Testamento]],""),"")</f>
        <v/>
      </c>
      <c r="U165" t="str">
        <f>IFERROR(IF(VLOOKUP(C165,Final!A:C,3,FALSE)=Table1[[#Headers],[Final]],Table1[[#Headers],[Final]],""),"")</f>
        <v/>
      </c>
      <c r="V165" t="str" cm="1">
        <f t="array" ref="V16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/cantos/src/chtml/p/plegariaeucaristicaii–modeloi.html</v>
      </c>
      <c r="W16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{id:163,title: "Plegaria Eucarística II – Modelo I", subtitle: "Modelo I", category: "Liturgia", moments: ["","","","","","","","","","","","","","",""], url: "/cantos/src/chtml/p/plegariaeucaristicaii–modeloi.html"},</v>
      </c>
    </row>
    <row r="166" spans="1:23" x14ac:dyDescent="0.25">
      <c r="A166">
        <v>197</v>
      </c>
      <c r="B166" s="14">
        <v>164</v>
      </c>
      <c r="C166" t="s">
        <v>76</v>
      </c>
      <c r="D166" t="s">
        <v>452</v>
      </c>
      <c r="E166" t="str">
        <f>LOWER(LEFT(Table1[[#This Row],[Canto]],1))</f>
        <v>p</v>
      </c>
      <c r="F166" s="12" t="s">
        <v>289</v>
      </c>
      <c r="G166" t="str">
        <f>IFERROR(IF(VLOOKUP(C166,Adviento!A:C,3,FALSE)=Table1[[#Headers],[Adviento]],Table1[[#Headers],[Adviento]],""),"")</f>
        <v/>
      </c>
      <c r="H166" t="str">
        <f>IFERROR(IF(VLOOKUP(C166,Navidad!A:C,3,FALSE)=Table1[[#Headers],[Navidad]],Table1[[#Headers],[Navidad]],""),"")</f>
        <v/>
      </c>
      <c r="I166" t="str">
        <f>IFERROR(IF(VLOOKUP(C166,Cuaresma!A:C,3,FALSE)=Table1[[#Headers],[Cuaresma]],Table1[[#Headers],[Cuaresma]],""),"")</f>
        <v/>
      </c>
      <c r="J166" t="str">
        <f>IFERROR(IF(VLOOKUP(C166,Pascua!A:C,3,FALSE)=Table1[[#Headers],[Pascua]],Table1[[#Headers],[Pascua]],""),"")</f>
        <v/>
      </c>
      <c r="K166" t="str">
        <f>IFERROR(IF(VLOOKUP(C166,Pentecostés!A:C,3,FALSE)=Table1[[#Headers],[Pentecostés]],Table1[[#Headers],[Pentecostés]],""),"")</f>
        <v/>
      </c>
      <c r="L166" t="str">
        <f>IFERROR(IF(VLOOKUP(C166,Entrada!A:C,3,FALSE)=Table1[[#Headers],[Entrada]],Table1[[#Headers],[Entrada]],""),"")</f>
        <v/>
      </c>
      <c r="M166" t="str">
        <f>IFERROR(IF(VLOOKUP(C166,Virgen!A:C,3,FALSE)=Table1[[#Headers],[Virgen]],Table1[[#Headers],[Virgen]],""),"")</f>
        <v/>
      </c>
      <c r="N166" t="str">
        <f>IFERROR(IF(VLOOKUP(C166,Paz!A:C,3,FALSE)=Table1[[#Headers],[Paz]],Table1[[#Headers],[Paz]],""),"")</f>
        <v/>
      </c>
      <c r="O166" t="str">
        <f>IFERROR(IF(VLOOKUP(C166,Pan!A:C,3,FALSE)=Table1[[#Headers],[Pan]],Table1[[#Headers],[Pan]],""),"")</f>
        <v/>
      </c>
      <c r="P166" t="str">
        <f>IFERROR(IF(VLOOKUP(C166,Comunión!A:C,3,FALSE)=Table1[[#Headers],[Comunión]],Table1[[#Headers],[Comunión]],""),"")</f>
        <v/>
      </c>
      <c r="Q166" t="str">
        <f>IFERROR(IF(VLOOKUP(C166,Niños!A:C,3,FALSE)=Table1[[#Headers],[Niños]],Table1[[#Headers],[Niños]],""),"")</f>
        <v/>
      </c>
      <c r="R166" t="str">
        <f>IFERROR(IF(VLOOKUP(C166,Laudes!A:C,3,FALSE)=Table1[[#Headers],[Laudes]],Table1[[#Headers],[Laudes]],""),"")</f>
        <v/>
      </c>
      <c r="S166" t="str">
        <f>IFERROR(IF(VLOOKUP(C166,'Nuevo Testamento'!A:C,3,FALSE)=Table1[[#Headers],[Nuevo Testamento]],Table1[[#Headers],[Nuevo Testamento]],""),"")</f>
        <v/>
      </c>
      <c r="T166" t="str">
        <f>IFERROR(IF(VLOOKUP(C166,'Antiguo Testamento'!A:C,3,FALSE)=Table1[[#Headers],[Antiguo Testamento]],Table1[[#Headers],[Antiguo Testamento]],""),"")</f>
        <v/>
      </c>
      <c r="U166" t="str">
        <f>IFERROR(IF(VLOOKUP(C166,Final!A:C,3,FALSE)=Table1[[#Headers],[Final]],Table1[[#Headers],[Final]],""),"")</f>
        <v/>
      </c>
      <c r="V166" t="str" cm="1">
        <f t="array" ref="V16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/cantos/src/chtml/p/plegariaeucaristicaii–modeloii(1987).html</v>
      </c>
      <c r="W16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{id:164,title: "Plegaria Eucarística II – Modelo II (1987)", subtitle: "Modelo II (1987)", category: "Liturgia", moments: ["","","","","","","","","","","","","","",""], url: "/cantos/src/chtml/p/plegariaeucaristicaii–modeloii(1987).html"},</v>
      </c>
    </row>
    <row r="167" spans="1:23" x14ac:dyDescent="0.25">
      <c r="A167">
        <v>200</v>
      </c>
      <c r="B167" s="14">
        <v>165</v>
      </c>
      <c r="C167" t="s">
        <v>77</v>
      </c>
      <c r="D167" s="10" t="s">
        <v>453</v>
      </c>
      <c r="E167" t="str">
        <f>LOWER(LEFT(Table1[[#This Row],[Canto]],1))</f>
        <v>p</v>
      </c>
      <c r="F167" s="12" t="s">
        <v>289</v>
      </c>
      <c r="G167" t="str">
        <f>IFERROR(IF(VLOOKUP(C167,Adviento!A:C,3,FALSE)=Table1[[#Headers],[Adviento]],Table1[[#Headers],[Adviento]],""),"")</f>
        <v/>
      </c>
      <c r="H167" t="str">
        <f>IFERROR(IF(VLOOKUP(C167,Navidad!A:C,3,FALSE)=Table1[[#Headers],[Navidad]],Table1[[#Headers],[Navidad]],""),"")</f>
        <v/>
      </c>
      <c r="I167" t="str">
        <f>IFERROR(IF(VLOOKUP(C167,Cuaresma!A:C,3,FALSE)=Table1[[#Headers],[Cuaresma]],Table1[[#Headers],[Cuaresma]],""),"")</f>
        <v/>
      </c>
      <c r="J167" t="str">
        <f>IFERROR(IF(VLOOKUP(C167,Pascua!A:C,3,FALSE)=Table1[[#Headers],[Pascua]],Table1[[#Headers],[Pascua]],""),"")</f>
        <v/>
      </c>
      <c r="K167" t="str">
        <f>IFERROR(IF(VLOOKUP(C167,Pentecostés!A:C,3,FALSE)=Table1[[#Headers],[Pentecostés]],Table1[[#Headers],[Pentecostés]],""),"")</f>
        <v/>
      </c>
      <c r="L167" t="str">
        <f>IFERROR(IF(VLOOKUP(C167,Entrada!A:C,3,FALSE)=Table1[[#Headers],[Entrada]],Table1[[#Headers],[Entrada]],""),"")</f>
        <v/>
      </c>
      <c r="M167" t="str">
        <f>IFERROR(IF(VLOOKUP(C167,Virgen!A:C,3,FALSE)=Table1[[#Headers],[Virgen]],Table1[[#Headers],[Virgen]],""),"")</f>
        <v/>
      </c>
      <c r="N167" t="str">
        <f>IFERROR(IF(VLOOKUP(C167,Paz!A:C,3,FALSE)=Table1[[#Headers],[Paz]],Table1[[#Headers],[Paz]],""),"")</f>
        <v/>
      </c>
      <c r="O167" t="str">
        <f>IFERROR(IF(VLOOKUP(C167,Pan!A:C,3,FALSE)=Table1[[#Headers],[Pan]],Table1[[#Headers],[Pan]],""),"")</f>
        <v/>
      </c>
      <c r="P167" t="str">
        <f>IFERROR(IF(VLOOKUP(C167,Comunión!A:C,3,FALSE)=Table1[[#Headers],[Comunión]],Table1[[#Headers],[Comunión]],""),"")</f>
        <v/>
      </c>
      <c r="Q167" t="str">
        <f>IFERROR(IF(VLOOKUP(C167,Niños!A:C,3,FALSE)=Table1[[#Headers],[Niños]],Table1[[#Headers],[Niños]],""),"")</f>
        <v/>
      </c>
      <c r="R167" t="str">
        <f>IFERROR(IF(VLOOKUP(C167,Laudes!A:C,3,FALSE)=Table1[[#Headers],[Laudes]],Table1[[#Headers],[Laudes]],""),"")</f>
        <v/>
      </c>
      <c r="S167" t="str">
        <f>IFERROR(IF(VLOOKUP(C167,'Nuevo Testamento'!A:C,3,FALSE)=Table1[[#Headers],[Nuevo Testamento]],Table1[[#Headers],[Nuevo Testamento]],""),"")</f>
        <v/>
      </c>
      <c r="T167" t="str">
        <f>IFERROR(IF(VLOOKUP(C167,'Antiguo Testamento'!A:C,3,FALSE)=Table1[[#Headers],[Antiguo Testamento]],Table1[[#Headers],[Antiguo Testamento]],""),"")</f>
        <v/>
      </c>
      <c r="U167" t="str">
        <f>IFERROR(IF(VLOOKUP(C167,Final!A:C,3,FALSE)=Table1[[#Headers],[Final]],Table1[[#Headers],[Final]],""),"")</f>
        <v/>
      </c>
      <c r="V167" t="str" cm="1">
        <f t="array" ref="V16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/cantos/src/chtml/p/plegariaeucaristicaiv–(1988).html</v>
      </c>
      <c r="W16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{id:165,title: "Plegaria Eucarística IV – (1988)", subtitle: "(1988)", category: "Liturgia", moments: ["","","","","","","","","","","","","","",""], url: "/cantos/src/chtml/p/plegariaeucaristicaiv–(1988).html"},</v>
      </c>
    </row>
    <row r="168" spans="1:23" x14ac:dyDescent="0.25">
      <c r="A168">
        <v>132</v>
      </c>
      <c r="B168" s="14">
        <v>166</v>
      </c>
      <c r="C168" t="s">
        <v>239</v>
      </c>
      <c r="D168" s="10" t="s">
        <v>454</v>
      </c>
      <c r="E168" t="str">
        <f>LOWER(LEFT(Table1[[#This Row],[Canto]],1))</f>
        <v>p</v>
      </c>
      <c r="F168" t="s">
        <v>288</v>
      </c>
      <c r="G168" t="str">
        <f>IFERROR(IF(VLOOKUP(C168,Adviento!A:C,3,FALSE)=Table1[[#Headers],[Adviento]],Table1[[#Headers],[Adviento]],""),"")</f>
        <v/>
      </c>
      <c r="H168" t="str">
        <f>IFERROR(IF(VLOOKUP(C168,Navidad!A:C,3,FALSE)=Table1[[#Headers],[Navidad]],Table1[[#Headers],[Navidad]],""),"")</f>
        <v/>
      </c>
      <c r="I168" t="str">
        <f>IFERROR(IF(VLOOKUP(C168,Cuaresma!A:C,3,FALSE)=Table1[[#Headers],[Cuaresma]],Table1[[#Headers],[Cuaresma]],""),"")</f>
        <v/>
      </c>
      <c r="J168" t="str">
        <f>IFERROR(IF(VLOOKUP(C168,Pascua!A:C,3,FALSE)=Table1[[#Headers],[Pascua]],Table1[[#Headers],[Pascua]],""),"")</f>
        <v/>
      </c>
      <c r="K168" t="str">
        <f>IFERROR(IF(VLOOKUP(C168,Pentecostés!A:C,3,FALSE)=Table1[[#Headers],[Pentecostés]],Table1[[#Headers],[Pentecostés]],""),"")</f>
        <v/>
      </c>
      <c r="L168" t="str">
        <f>IFERROR(IF(VLOOKUP(C168,Entrada!A:C,3,FALSE)=Table1[[#Headers],[Entrada]],Table1[[#Headers],[Entrada]],""),"")</f>
        <v/>
      </c>
      <c r="M168" t="str">
        <f>IFERROR(IF(VLOOKUP(C168,Virgen!A:C,3,FALSE)=Table1[[#Headers],[Virgen]],Table1[[#Headers],[Virgen]],""),"")</f>
        <v/>
      </c>
      <c r="N168" t="str">
        <f>IFERROR(IF(VLOOKUP(C168,Paz!A:C,3,FALSE)=Table1[[#Headers],[Paz]],Table1[[#Headers],[Paz]],""),"")</f>
        <v>Paz</v>
      </c>
      <c r="O168" t="str">
        <f>IFERROR(IF(VLOOKUP(C168,Pan!A:C,3,FALSE)=Table1[[#Headers],[Pan]],Table1[[#Headers],[Pan]],""),"")</f>
        <v/>
      </c>
      <c r="P168" t="str">
        <f>IFERROR(IF(VLOOKUP(C168,Comunión!A:C,3,FALSE)=Table1[[#Headers],[Comunión]],Table1[[#Headers],[Comunión]],""),"")</f>
        <v/>
      </c>
      <c r="Q168" t="str">
        <f>IFERROR(IF(VLOOKUP(C168,Niños!A:C,3,FALSE)=Table1[[#Headers],[Niños]],Table1[[#Headers],[Niños]],""),"")</f>
        <v/>
      </c>
      <c r="R168" t="str">
        <f>IFERROR(IF(VLOOKUP(C168,Laudes!A:C,3,FALSE)=Table1[[#Headers],[Laudes]],Table1[[#Headers],[Laudes]],""),"")</f>
        <v/>
      </c>
      <c r="S168" t="str">
        <f>IFERROR(IF(VLOOKUP(C168,'Nuevo Testamento'!A:C,3,FALSE)=Table1[[#Headers],[Nuevo Testamento]],Table1[[#Headers],[Nuevo Testamento]],""),"")</f>
        <v/>
      </c>
      <c r="T168" t="str">
        <f>IFERROR(IF(VLOOKUP(C168,'Antiguo Testamento'!A:C,3,FALSE)=Table1[[#Headers],[Antiguo Testamento]],Table1[[#Headers],[Antiguo Testamento]],""),"")</f>
        <v>Antiguo Testamento</v>
      </c>
      <c r="U168" t="str">
        <f>IFERROR(IF(VLOOKUP(C168,Final!A:C,3,FALSE)=Table1[[#Headers],[Final]],Table1[[#Headers],[Final]],""),"")</f>
        <v/>
      </c>
      <c r="V168" t="str" cm="1">
        <f t="array" ref="V16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/cantos/src/chtml/p/porelamordemisamigos.html</v>
      </c>
      <c r="W16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{id:166,title: "Por el amor de mis amigos", subtitle: "Sal 122 (121) - Melodía hebraica ", category: "Precatecumenado", moments: ["","","","","","","","Paz","","","","","","Antiguo Testamento",""], url: "/cantos/src/chtml/p/porelamordemisamigos.html"},</v>
      </c>
    </row>
    <row r="169" spans="1:23" x14ac:dyDescent="0.25">
      <c r="A169">
        <v>133</v>
      </c>
      <c r="B169" s="14">
        <v>167</v>
      </c>
      <c r="C169" t="s">
        <v>186</v>
      </c>
      <c r="D169" t="s">
        <v>455</v>
      </c>
      <c r="E169" t="str">
        <f>LOWER(LEFT(Table1[[#This Row],[Canto]],1))</f>
        <v>p</v>
      </c>
      <c r="F169" t="s">
        <v>288</v>
      </c>
      <c r="G169" t="str">
        <f>IFERROR(IF(VLOOKUP(C169,Adviento!A:C,3,FALSE)=Table1[[#Headers],[Adviento]],Table1[[#Headers],[Adviento]],""),"")</f>
        <v/>
      </c>
      <c r="H169" t="str">
        <f>IFERROR(IF(VLOOKUP(C169,Navidad!A:C,3,FALSE)=Table1[[#Headers],[Navidad]],Table1[[#Headers],[Navidad]],""),"")</f>
        <v/>
      </c>
      <c r="I169" t="str">
        <f>IFERROR(IF(VLOOKUP(C169,Cuaresma!A:C,3,FALSE)=Table1[[#Headers],[Cuaresma]],Table1[[#Headers],[Cuaresma]],""),"")</f>
        <v/>
      </c>
      <c r="J169" t="str">
        <f>IFERROR(IF(VLOOKUP(C169,Pascua!A:C,3,FALSE)=Table1[[#Headers],[Pascua]],Table1[[#Headers],[Pascua]],""),"")</f>
        <v>Pascua</v>
      </c>
      <c r="K169" t="str">
        <f>IFERROR(IF(VLOOKUP(C169,Pentecostés!A:C,3,FALSE)=Table1[[#Headers],[Pentecostés]],Table1[[#Headers],[Pentecostés]],""),"")</f>
        <v>Pentecostés</v>
      </c>
      <c r="L169" t="str">
        <f>IFERROR(IF(VLOOKUP(C169,Entrada!A:C,3,FALSE)=Table1[[#Headers],[Entrada]],Table1[[#Headers],[Entrada]],""),"")</f>
        <v/>
      </c>
      <c r="M169" t="str">
        <f>IFERROR(IF(VLOOKUP(C169,Virgen!A:C,3,FALSE)=Table1[[#Headers],[Virgen]],Table1[[#Headers],[Virgen]],""),"")</f>
        <v/>
      </c>
      <c r="N169" t="str">
        <f>IFERROR(IF(VLOOKUP(C169,Paz!A:C,3,FALSE)=Table1[[#Headers],[Paz]],Table1[[#Headers],[Paz]],""),"")</f>
        <v/>
      </c>
      <c r="O169" t="str">
        <f>IFERROR(IF(VLOOKUP(C169,Pan!A:C,3,FALSE)=Table1[[#Headers],[Pan]],Table1[[#Headers],[Pan]],""),"")</f>
        <v/>
      </c>
      <c r="P169" t="str">
        <f>IFERROR(IF(VLOOKUP(C169,Comunión!A:C,3,FALSE)=Table1[[#Headers],[Comunión]],Table1[[#Headers],[Comunión]],""),"")</f>
        <v/>
      </c>
      <c r="Q169" t="str">
        <f>IFERROR(IF(VLOOKUP(C169,Niños!A:C,3,FALSE)=Table1[[#Headers],[Niños]],Table1[[#Headers],[Niños]],""),"")</f>
        <v>Niños</v>
      </c>
      <c r="R169" t="str">
        <f>IFERROR(IF(VLOOKUP(C169,Laudes!A:C,3,FALSE)=Table1[[#Headers],[Laudes]],Table1[[#Headers],[Laudes]],""),"")</f>
        <v/>
      </c>
      <c r="S169" t="str">
        <f>IFERROR(IF(VLOOKUP(C169,'Nuevo Testamento'!A:C,3,FALSE)=Table1[[#Headers],[Nuevo Testamento]],Table1[[#Headers],[Nuevo Testamento]],""),"")</f>
        <v/>
      </c>
      <c r="T169" t="str">
        <f>IFERROR(IF(VLOOKUP(C169,'Antiguo Testamento'!A:C,3,FALSE)=Table1[[#Headers],[Antiguo Testamento]],Table1[[#Headers],[Antiguo Testamento]],""),"")</f>
        <v/>
      </c>
      <c r="U169" t="str">
        <f>IFERROR(IF(VLOOKUP(C169,Final!A:C,3,FALSE)=Table1[[#Headers],[Final]],Table1[[#Headers],[Final]],""),"")</f>
        <v/>
      </c>
      <c r="V169" t="str" cm="1">
        <f t="array" ref="V16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/cantos/src/chtml/p/porqueestanocheesdiferente.html</v>
      </c>
      <c r="W16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{id:167,title: "Por qué esta noche es diferente", subtitle: "Haggadá de Pesaj - Melodía hebraica", category: "Precatecumenado", moments: ["","","","Pascua","Pentecostés","","","","","","Niños","","","",""], url: "/cantos/src/chtml/p/porqueestanocheesdiferente.html"},</v>
      </c>
    </row>
    <row r="170" spans="1:23" x14ac:dyDescent="0.25">
      <c r="A170">
        <v>134</v>
      </c>
      <c r="B170" s="14">
        <v>168</v>
      </c>
      <c r="C170" t="s">
        <v>187</v>
      </c>
      <c r="D170" s="10" t="s">
        <v>456</v>
      </c>
      <c r="E170" t="str">
        <f>LOWER(LEFT(Table1[[#This Row],[Canto]],1))</f>
        <v>p</v>
      </c>
      <c r="F170" t="s">
        <v>288</v>
      </c>
      <c r="G170" t="str">
        <f>IFERROR(IF(VLOOKUP(C170,Adviento!A:C,3,FALSE)=Table1[[#Headers],[Adviento]],Table1[[#Headers],[Adviento]],""),"")</f>
        <v/>
      </c>
      <c r="H170" t="str">
        <f>IFERROR(IF(VLOOKUP(C170,Navidad!A:C,3,FALSE)=Table1[[#Headers],[Navidad]],Table1[[#Headers],[Navidad]],""),"")</f>
        <v/>
      </c>
      <c r="I170" t="str">
        <f>IFERROR(IF(VLOOKUP(C170,Cuaresma!A:C,3,FALSE)=Table1[[#Headers],[Cuaresma]],Table1[[#Headers],[Cuaresma]],""),"")</f>
        <v>Cuaresma</v>
      </c>
      <c r="J170" t="str">
        <f>IFERROR(IF(VLOOKUP(C170,Pascua!A:C,3,FALSE)=Table1[[#Headers],[Pascua]],Table1[[#Headers],[Pascua]],""),"")</f>
        <v/>
      </c>
      <c r="K170" t="str">
        <f>IFERROR(IF(VLOOKUP(C170,Pentecostés!A:C,3,FALSE)=Table1[[#Headers],[Pentecostés]],Table1[[#Headers],[Pentecostés]],""),"")</f>
        <v/>
      </c>
      <c r="L170" t="str">
        <f>IFERROR(IF(VLOOKUP(C170,Entrada!A:C,3,FALSE)=Table1[[#Headers],[Entrada]],Table1[[#Headers],[Entrada]],""),"")</f>
        <v/>
      </c>
      <c r="M170" t="str">
        <f>IFERROR(IF(VLOOKUP(C170,Virgen!A:C,3,FALSE)=Table1[[#Headers],[Virgen]],Table1[[#Headers],[Virgen]],""),"")</f>
        <v/>
      </c>
      <c r="N170" t="str">
        <f>IFERROR(IF(VLOOKUP(C170,Paz!A:C,3,FALSE)=Table1[[#Headers],[Paz]],Table1[[#Headers],[Paz]],""),"")</f>
        <v/>
      </c>
      <c r="O170" t="str">
        <f>IFERROR(IF(VLOOKUP(C170,Pan!A:C,3,FALSE)=Table1[[#Headers],[Pan]],Table1[[#Headers],[Pan]],""),"")</f>
        <v/>
      </c>
      <c r="P170" t="str">
        <f>IFERROR(IF(VLOOKUP(C170,Comunión!A:C,3,FALSE)=Table1[[#Headers],[Comunión]],Table1[[#Headers],[Comunión]],""),"")</f>
        <v/>
      </c>
      <c r="Q170" t="str">
        <f>IFERROR(IF(VLOOKUP(C170,Niños!A:C,3,FALSE)=Table1[[#Headers],[Niños]],Table1[[#Headers],[Niños]],""),"")</f>
        <v/>
      </c>
      <c r="R170" t="str">
        <f>IFERROR(IF(VLOOKUP(C170,Laudes!A:C,3,FALSE)=Table1[[#Headers],[Laudes]],Table1[[#Headers],[Laudes]],""),"")</f>
        <v>Laudes</v>
      </c>
      <c r="S170" t="str">
        <f>IFERROR(IF(VLOOKUP(C170,'Nuevo Testamento'!A:C,3,FALSE)=Table1[[#Headers],[Nuevo Testamento]],Table1[[#Headers],[Nuevo Testamento]],""),"")</f>
        <v/>
      </c>
      <c r="T170" t="str">
        <f>IFERROR(IF(VLOOKUP(C170,'Antiguo Testamento'!A:C,3,FALSE)=Table1[[#Headers],[Antiguo Testamento]],Table1[[#Headers],[Antiguo Testamento]],""),"")</f>
        <v>Antiguo Testamento</v>
      </c>
      <c r="U170" t="str">
        <f>IFERROR(IF(VLOOKUP(C170,Final!A:C,3,FALSE)=Table1[[#Headers],[Final]],Table1[[#Headers],[Final]],""),"")</f>
        <v/>
      </c>
      <c r="V170" t="str" cm="1">
        <f t="array" ref="V17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/cantos/src/chtml/p/porquelasgentesconjuran.html</v>
      </c>
      <c r="W17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{id:168,title: "Por qué las gentes conjuran", subtitle: "Salmo 2", category: "Precatecumenado", moments: ["","","Cuaresma","","","","","","","","","Laudes","","Antiguo Testamento",""], url: "/cantos/src/chtml/p/porquelasgentesconjuran.html"},</v>
      </c>
    </row>
    <row r="171" spans="1:23" x14ac:dyDescent="0.25">
      <c r="A171">
        <v>135</v>
      </c>
      <c r="B171" s="14">
        <v>169</v>
      </c>
      <c r="C171" t="s">
        <v>188</v>
      </c>
      <c r="D171" t="s">
        <v>457</v>
      </c>
      <c r="E171" t="str">
        <f>LOWER(LEFT(Table1[[#This Row],[Canto]],1))</f>
        <v>p</v>
      </c>
      <c r="F171" t="s">
        <v>288</v>
      </c>
      <c r="G171" t="str">
        <f>IFERROR(IF(VLOOKUP(C171,Adviento!A:C,3,FALSE)=Table1[[#Headers],[Adviento]],Table1[[#Headers],[Adviento]],""),"")</f>
        <v/>
      </c>
      <c r="H171" t="str">
        <f>IFERROR(IF(VLOOKUP(C171,Navidad!A:C,3,FALSE)=Table1[[#Headers],[Navidad]],Table1[[#Headers],[Navidad]],""),"")</f>
        <v/>
      </c>
      <c r="I171" t="str">
        <f>IFERROR(IF(VLOOKUP(C171,Cuaresma!A:C,3,FALSE)=Table1[[#Headers],[Cuaresma]],Table1[[#Headers],[Cuaresma]],""),"")</f>
        <v/>
      </c>
      <c r="J171" t="str">
        <f>IFERROR(IF(VLOOKUP(C171,Pascua!A:C,3,FALSE)=Table1[[#Headers],[Pascua]],Table1[[#Headers],[Pascua]],""),"")</f>
        <v/>
      </c>
      <c r="K171" t="str">
        <f>IFERROR(IF(VLOOKUP(C171,Pentecostés!A:C,3,FALSE)=Table1[[#Headers],[Pentecostés]],Table1[[#Headers],[Pentecostés]],""),"")</f>
        <v/>
      </c>
      <c r="L171" t="str">
        <f>IFERROR(IF(VLOOKUP(C171,Entrada!A:C,3,FALSE)=Table1[[#Headers],[Entrada]],Table1[[#Headers],[Entrada]],""),"")</f>
        <v/>
      </c>
      <c r="M171" t="str">
        <f>IFERROR(IF(VLOOKUP(C171,Virgen!A:C,3,FALSE)=Table1[[#Headers],[Virgen]],Table1[[#Headers],[Virgen]],""),"")</f>
        <v/>
      </c>
      <c r="N171" t="str">
        <f>IFERROR(IF(VLOOKUP(C171,Paz!A:C,3,FALSE)=Table1[[#Headers],[Paz]],Table1[[#Headers],[Paz]],""),"")</f>
        <v/>
      </c>
      <c r="O171" t="str">
        <f>IFERROR(IF(VLOOKUP(C171,Pan!A:C,3,FALSE)=Table1[[#Headers],[Pan]],Table1[[#Headers],[Pan]],""),"")</f>
        <v/>
      </c>
      <c r="P171" t="str">
        <f>IFERROR(IF(VLOOKUP(C171,Comunión!A:C,3,FALSE)=Table1[[#Headers],[Comunión]],Table1[[#Headers],[Comunión]],""),"")</f>
        <v/>
      </c>
      <c r="Q171" t="str">
        <f>IFERROR(IF(VLOOKUP(C171,Niños!A:C,3,FALSE)=Table1[[#Headers],[Niños]],Table1[[#Headers],[Niños]],""),"")</f>
        <v/>
      </c>
      <c r="R171" t="str">
        <f>IFERROR(IF(VLOOKUP(C171,Laudes!A:C,3,FALSE)=Table1[[#Headers],[Laudes]],Table1[[#Headers],[Laudes]],""),"")</f>
        <v>Laudes</v>
      </c>
      <c r="S171" t="str">
        <f>IFERROR(IF(VLOOKUP(C171,'Nuevo Testamento'!A:C,3,FALSE)=Table1[[#Headers],[Nuevo Testamento]],Table1[[#Headers],[Nuevo Testamento]],""),"")</f>
        <v>Nuevo Testamento</v>
      </c>
      <c r="T171" t="str">
        <f>IFERROR(IF(VLOOKUP(C171,'Antiguo Testamento'!A:C,3,FALSE)=Table1[[#Headers],[Antiguo Testamento]],Table1[[#Headers],[Antiguo Testamento]],""),"")</f>
        <v/>
      </c>
      <c r="U171" t="str">
        <f>IFERROR(IF(VLOOKUP(C171,Final!A:C,3,FALSE)=Table1[[#Headers],[Final]],Table1[[#Headers],[Final]],""),"")</f>
        <v/>
      </c>
      <c r="V171" t="str" cm="1">
        <f t="array" ref="V17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/cantos/src/chtml/p/porquemiyugoessuave.html</v>
      </c>
      <c r="W17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{id:169,title: "Porque mi yugo es suave", subtitle: "Mateo 11,28ss", category: "Precatecumenado", moments: ["","","","","","","","","","","","Laudes","Nuevo Testamento","",""], url: "/cantos/src/chtml/p/porquemiyugoessuave.html"},</v>
      </c>
    </row>
    <row r="172" spans="1:23" x14ac:dyDescent="0.25">
      <c r="A172">
        <v>204</v>
      </c>
      <c r="B172" s="14">
        <v>170</v>
      </c>
      <c r="C172" t="s">
        <v>189</v>
      </c>
      <c r="D172" t="s">
        <v>458</v>
      </c>
      <c r="E172" t="str">
        <f>LOWER(LEFT(Table1[[#This Row],[Canto]],1))</f>
        <v>p</v>
      </c>
      <c r="F172" s="12" t="s">
        <v>289</v>
      </c>
      <c r="G172" t="str">
        <f>IFERROR(IF(VLOOKUP(C172,Adviento!A:C,3,FALSE)=Table1[[#Headers],[Adviento]],Table1[[#Headers],[Adviento]],""),"")</f>
        <v/>
      </c>
      <c r="H172" t="str">
        <f>IFERROR(IF(VLOOKUP(C172,Navidad!A:C,3,FALSE)=Table1[[#Headers],[Navidad]],Table1[[#Headers],[Navidad]],""),"")</f>
        <v/>
      </c>
      <c r="I172" t="str">
        <f>IFERROR(IF(VLOOKUP(C172,Cuaresma!A:C,3,FALSE)=Table1[[#Headers],[Cuaresma]],Table1[[#Headers],[Cuaresma]],""),"")</f>
        <v/>
      </c>
      <c r="J172" t="str">
        <f>IFERROR(IF(VLOOKUP(C172,Pascua!A:C,3,FALSE)=Table1[[#Headers],[Pascua]],Table1[[#Headers],[Pascua]],""),"")</f>
        <v/>
      </c>
      <c r="K172" t="str">
        <f>IFERROR(IF(VLOOKUP(C172,Pentecostés!A:C,3,FALSE)=Table1[[#Headers],[Pentecostés]],Table1[[#Headers],[Pentecostés]],""),"")</f>
        <v/>
      </c>
      <c r="L172" t="str">
        <f>IFERROR(IF(VLOOKUP(C172,Entrada!A:C,3,FALSE)=Table1[[#Headers],[Entrada]],Table1[[#Headers],[Entrada]],""),"")</f>
        <v/>
      </c>
      <c r="M172" t="str">
        <f>IFERROR(IF(VLOOKUP(C172,Virgen!A:C,3,FALSE)=Table1[[#Headers],[Virgen]],Table1[[#Headers],[Virgen]],""),"")</f>
        <v/>
      </c>
      <c r="N172" t="str">
        <f>IFERROR(IF(VLOOKUP(C172,Paz!A:C,3,FALSE)=Table1[[#Headers],[Paz]],Table1[[#Headers],[Paz]],""),"")</f>
        <v/>
      </c>
      <c r="O172" t="str">
        <f>IFERROR(IF(VLOOKUP(C172,Pan!A:C,3,FALSE)=Table1[[#Headers],[Pan]],Table1[[#Headers],[Pan]],""),"")</f>
        <v/>
      </c>
      <c r="P172" t="str">
        <f>IFERROR(IF(VLOOKUP(C172,Comunión!A:C,3,FALSE)=Table1[[#Headers],[Comunión]],Table1[[#Headers],[Comunión]],""),"")</f>
        <v/>
      </c>
      <c r="Q172" t="str">
        <f>IFERROR(IF(VLOOKUP(C172,Niños!A:C,3,FALSE)=Table1[[#Headers],[Niños]],Table1[[#Headers],[Niños]],""),"")</f>
        <v/>
      </c>
      <c r="R172" t="str">
        <f>IFERROR(IF(VLOOKUP(C172,Laudes!A:C,3,FALSE)=Table1[[#Headers],[Laudes]],Table1[[#Headers],[Laudes]],""),"")</f>
        <v/>
      </c>
      <c r="S172" t="str">
        <f>IFERROR(IF(VLOOKUP(C172,'Nuevo Testamento'!A:C,3,FALSE)=Table1[[#Headers],[Nuevo Testamento]],Table1[[#Headers],[Nuevo Testamento]],""),"")</f>
        <v/>
      </c>
      <c r="T172" t="str">
        <f>IFERROR(IF(VLOOKUP(C172,'Antiguo Testamento'!A:C,3,FALSE)=Table1[[#Headers],[Antiguo Testamento]],Table1[[#Headers],[Antiguo Testamento]],""),"")</f>
        <v/>
      </c>
      <c r="U172" t="str">
        <f>IFERROR(IF(VLOOKUP(C172,Final!A:C,3,FALSE)=Table1[[#Headers],[Final]],Table1[[#Headers],[Final]],""),"")</f>
        <v/>
      </c>
      <c r="V172" t="str" cm="1">
        <f t="array" ref="V17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/cantos/src/chtml/p/prefacioparaadvientoynavidad.html</v>
      </c>
      <c r="W17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{id:170,title: "Prefacio para Adviento y Navidad", subtitle: "Prefacio IV de Adviento*", category: "Liturgia", moments: ["","","","","","","","","","","","","","",""], url: "/cantos/src/chtml/p/prefacioparaadvientoynavidad.html"},</v>
      </c>
    </row>
    <row r="173" spans="1:23" x14ac:dyDescent="0.25">
      <c r="A173">
        <v>205</v>
      </c>
      <c r="B173" s="14">
        <v>171</v>
      </c>
      <c r="C173" t="s">
        <v>78</v>
      </c>
      <c r="D173" t="s">
        <v>459</v>
      </c>
      <c r="E173" t="str">
        <f>LOWER(LEFT(Table1[[#This Row],[Canto]],1))</f>
        <v>p</v>
      </c>
      <c r="F173" s="12" t="s">
        <v>289</v>
      </c>
      <c r="G173" t="str">
        <f>IFERROR(IF(VLOOKUP(C173,Adviento!A:C,3,FALSE)=Table1[[#Headers],[Adviento]],Table1[[#Headers],[Adviento]],""),"")</f>
        <v/>
      </c>
      <c r="H173" t="str">
        <f>IFERROR(IF(VLOOKUP(C173,Navidad!A:C,3,FALSE)=Table1[[#Headers],[Navidad]],Table1[[#Headers],[Navidad]],""),"")</f>
        <v/>
      </c>
      <c r="I173" t="str">
        <f>IFERROR(IF(VLOOKUP(C173,Cuaresma!A:C,3,FALSE)=Table1[[#Headers],[Cuaresma]],Table1[[#Headers],[Cuaresma]],""),"")</f>
        <v/>
      </c>
      <c r="J173" t="str">
        <f>IFERROR(IF(VLOOKUP(C173,Pascua!A:C,3,FALSE)=Table1[[#Headers],[Pascua]],Table1[[#Headers],[Pascua]],""),"")</f>
        <v/>
      </c>
      <c r="K173" t="str">
        <f>IFERROR(IF(VLOOKUP(C173,Pentecostés!A:C,3,FALSE)=Table1[[#Headers],[Pentecostés]],Table1[[#Headers],[Pentecostés]],""),"")</f>
        <v/>
      </c>
      <c r="L173" t="str">
        <f>IFERROR(IF(VLOOKUP(C173,Entrada!A:C,3,FALSE)=Table1[[#Headers],[Entrada]],Table1[[#Headers],[Entrada]],""),"")</f>
        <v/>
      </c>
      <c r="M173" t="str">
        <f>IFERROR(IF(VLOOKUP(C173,Virgen!A:C,3,FALSE)=Table1[[#Headers],[Virgen]],Table1[[#Headers],[Virgen]],""),"")</f>
        <v/>
      </c>
      <c r="N173" t="str">
        <f>IFERROR(IF(VLOOKUP(C173,Paz!A:C,3,FALSE)=Table1[[#Headers],[Paz]],Table1[[#Headers],[Paz]],""),"")</f>
        <v/>
      </c>
      <c r="O173" t="str">
        <f>IFERROR(IF(VLOOKUP(C173,Pan!A:C,3,FALSE)=Table1[[#Headers],[Pan]],Table1[[#Headers],[Pan]],""),"")</f>
        <v/>
      </c>
      <c r="P173" t="str">
        <f>IFERROR(IF(VLOOKUP(C173,Comunión!A:C,3,FALSE)=Table1[[#Headers],[Comunión]],Table1[[#Headers],[Comunión]],""),"")</f>
        <v/>
      </c>
      <c r="Q173" t="str">
        <f>IFERROR(IF(VLOOKUP(C173,Niños!A:C,3,FALSE)=Table1[[#Headers],[Niños]],Table1[[#Headers],[Niños]],""),"")</f>
        <v/>
      </c>
      <c r="R173" t="str">
        <f>IFERROR(IF(VLOOKUP(C173,Laudes!A:C,3,FALSE)=Table1[[#Headers],[Laudes]],Table1[[#Headers],[Laudes]],""),"")</f>
        <v/>
      </c>
      <c r="S173" t="str">
        <f>IFERROR(IF(VLOOKUP(C173,'Nuevo Testamento'!A:C,3,FALSE)=Table1[[#Headers],[Nuevo Testamento]],Table1[[#Headers],[Nuevo Testamento]],""),"")</f>
        <v/>
      </c>
      <c r="T173" t="str">
        <f>IFERROR(IF(VLOOKUP(C173,'Antiguo Testamento'!A:C,3,FALSE)=Table1[[#Headers],[Antiguo Testamento]],Table1[[#Headers],[Antiguo Testamento]],""),"")</f>
        <v/>
      </c>
      <c r="U173" t="str">
        <f>IFERROR(IF(VLOOKUP(C173,Final!A:C,3,FALSE)=Table1[[#Headers],[Final]],Table1[[#Headers],[Final]],""),"")</f>
        <v/>
      </c>
      <c r="V173" t="str" cm="1">
        <f t="array" ref="V17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/cantos/src/chtml/p/prefacioparaeltiempopascual.html</v>
      </c>
      <c r="W17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{id:171,title: "Prefacio para el tiempo Pascual", subtitle: "Prefacio I de Pascua*", category: "Liturgia", moments: ["","","","","","","","","","","","","","",""], url: "/cantos/src/chtml/p/prefacioparaeltiempopascual.html"},</v>
      </c>
    </row>
    <row r="174" spans="1:23" x14ac:dyDescent="0.25">
      <c r="A174">
        <v>206</v>
      </c>
      <c r="B174" s="14">
        <v>172</v>
      </c>
      <c r="C174" t="s">
        <v>79</v>
      </c>
      <c r="D174" t="s">
        <v>460</v>
      </c>
      <c r="E174" t="str">
        <f>LOWER(LEFT(Table1[[#This Row],[Canto]],1))</f>
        <v>p</v>
      </c>
      <c r="F174" s="12" t="s">
        <v>289</v>
      </c>
      <c r="G174" t="str">
        <f>IFERROR(IF(VLOOKUP(C174,Adviento!A:C,3,FALSE)=Table1[[#Headers],[Adviento]],Table1[[#Headers],[Adviento]],""),"")</f>
        <v/>
      </c>
      <c r="H174" t="str">
        <f>IFERROR(IF(VLOOKUP(C174,Navidad!A:C,3,FALSE)=Table1[[#Headers],[Navidad]],Table1[[#Headers],[Navidad]],""),"")</f>
        <v/>
      </c>
      <c r="I174" t="str">
        <f>IFERROR(IF(VLOOKUP(C174,Cuaresma!A:C,3,FALSE)=Table1[[#Headers],[Cuaresma]],Table1[[#Headers],[Cuaresma]],""),"")</f>
        <v/>
      </c>
      <c r="J174" t="str">
        <f>IFERROR(IF(VLOOKUP(C174,Pascua!A:C,3,FALSE)=Table1[[#Headers],[Pascua]],Table1[[#Headers],[Pascua]],""),"")</f>
        <v/>
      </c>
      <c r="K174" t="str">
        <f>IFERROR(IF(VLOOKUP(C174,Pentecostés!A:C,3,FALSE)=Table1[[#Headers],[Pentecostés]],Table1[[#Headers],[Pentecostés]],""),"")</f>
        <v/>
      </c>
      <c r="L174" t="str">
        <f>IFERROR(IF(VLOOKUP(C174,Entrada!A:C,3,FALSE)=Table1[[#Headers],[Entrada]],Table1[[#Headers],[Entrada]],""),"")</f>
        <v/>
      </c>
      <c r="M174" t="str">
        <f>IFERROR(IF(VLOOKUP(C174,Virgen!A:C,3,FALSE)=Table1[[#Headers],[Virgen]],Table1[[#Headers],[Virgen]],""),"")</f>
        <v/>
      </c>
      <c r="N174" t="str">
        <f>IFERROR(IF(VLOOKUP(C174,Paz!A:C,3,FALSE)=Table1[[#Headers],[Paz]],Table1[[#Headers],[Paz]],""),"")</f>
        <v/>
      </c>
      <c r="O174" t="str">
        <f>IFERROR(IF(VLOOKUP(C174,Pan!A:C,3,FALSE)=Table1[[#Headers],[Pan]],Table1[[#Headers],[Pan]],""),"")</f>
        <v/>
      </c>
      <c r="P174" t="str">
        <f>IFERROR(IF(VLOOKUP(C174,Comunión!A:C,3,FALSE)=Table1[[#Headers],[Comunión]],Table1[[#Headers],[Comunión]],""),"")</f>
        <v/>
      </c>
      <c r="Q174" t="str">
        <f>IFERROR(IF(VLOOKUP(C174,Niños!A:C,3,FALSE)=Table1[[#Headers],[Niños]],Table1[[#Headers],[Niños]],""),"")</f>
        <v/>
      </c>
      <c r="R174" t="str">
        <f>IFERROR(IF(VLOOKUP(C174,Laudes!A:C,3,FALSE)=Table1[[#Headers],[Laudes]],Table1[[#Headers],[Laudes]],""),"")</f>
        <v/>
      </c>
      <c r="S174" t="str">
        <f>IFERROR(IF(VLOOKUP(C174,'Nuevo Testamento'!A:C,3,FALSE)=Table1[[#Headers],[Nuevo Testamento]],Table1[[#Headers],[Nuevo Testamento]],""),"")</f>
        <v/>
      </c>
      <c r="T174" t="str">
        <f>IFERROR(IF(VLOOKUP(C174,'Antiguo Testamento'!A:C,3,FALSE)=Table1[[#Headers],[Antiguo Testamento]],Table1[[#Headers],[Antiguo Testamento]],""),"")</f>
        <v/>
      </c>
      <c r="U174" t="str">
        <f>IFERROR(IF(VLOOKUP(C174,Final!A:C,3,FALSE)=Table1[[#Headers],[Final]],Table1[[#Headers],[Final]],""),"")</f>
        <v/>
      </c>
      <c r="V174" t="str" cm="1">
        <f t="array" ref="V17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/cantos/src/chtml/p/pregonpascual.html</v>
      </c>
      <c r="W17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{id:172,title: "Pregón Pascual", subtitle: "«Exsultet»", category: "Liturgia", moments: ["","","","","","","","","","","","","","",""], url: "/cantos/src/chtml/p/pregonpascual.html"},</v>
      </c>
    </row>
    <row r="175" spans="1:23" x14ac:dyDescent="0.25">
      <c r="A175">
        <v>136</v>
      </c>
      <c r="B175" s="14">
        <v>173</v>
      </c>
      <c r="C175" t="s">
        <v>190</v>
      </c>
      <c r="D175" t="s">
        <v>461</v>
      </c>
      <c r="E175" t="str">
        <f>LOWER(LEFT(Table1[[#This Row],[Canto]],1))</f>
        <v>q</v>
      </c>
      <c r="F175" t="s">
        <v>288</v>
      </c>
      <c r="G175" t="str">
        <f>IFERROR(IF(VLOOKUP(C175,Adviento!A:C,3,FALSE)=Table1[[#Headers],[Adviento]],Table1[[#Headers],[Adviento]],""),"")</f>
        <v/>
      </c>
      <c r="H175" t="str">
        <f>IFERROR(IF(VLOOKUP(C175,Navidad!A:C,3,FALSE)=Table1[[#Headers],[Navidad]],Table1[[#Headers],[Navidad]],""),"")</f>
        <v/>
      </c>
      <c r="I175" t="str">
        <f>IFERROR(IF(VLOOKUP(C175,Cuaresma!A:C,3,FALSE)=Table1[[#Headers],[Cuaresma]],Table1[[#Headers],[Cuaresma]],""),"")</f>
        <v>Cuaresma</v>
      </c>
      <c r="J175" t="str">
        <f>IFERROR(IF(VLOOKUP(C175,Pascua!A:C,3,FALSE)=Table1[[#Headers],[Pascua]],Table1[[#Headers],[Pascua]],""),"")</f>
        <v/>
      </c>
      <c r="K175" t="str">
        <f>IFERROR(IF(VLOOKUP(C175,Pentecostés!A:C,3,FALSE)=Table1[[#Headers],[Pentecostés]],Table1[[#Headers],[Pentecostés]],""),"")</f>
        <v/>
      </c>
      <c r="L175" t="str">
        <f>IFERROR(IF(VLOOKUP(C175,Entrada!A:C,3,FALSE)=Table1[[#Headers],[Entrada]],Table1[[#Headers],[Entrada]],""),"")</f>
        <v>Entrada</v>
      </c>
      <c r="M175" t="str">
        <f>IFERROR(IF(VLOOKUP(C175,Virgen!A:C,3,FALSE)=Table1[[#Headers],[Virgen]],Table1[[#Headers],[Virgen]],""),"")</f>
        <v/>
      </c>
      <c r="N175" t="str">
        <f>IFERROR(IF(VLOOKUP(C175,Paz!A:C,3,FALSE)=Table1[[#Headers],[Paz]],Table1[[#Headers],[Paz]],""),"")</f>
        <v/>
      </c>
      <c r="O175" t="str">
        <f>IFERROR(IF(VLOOKUP(C175,Pan!A:C,3,FALSE)=Table1[[#Headers],[Pan]],Table1[[#Headers],[Pan]],""),"")</f>
        <v/>
      </c>
      <c r="P175" t="str">
        <f>IFERROR(IF(VLOOKUP(C175,Comunión!A:C,3,FALSE)=Table1[[#Headers],[Comunión]],Table1[[#Headers],[Comunión]],""),"")</f>
        <v/>
      </c>
      <c r="Q175" t="str">
        <f>IFERROR(IF(VLOOKUP(C175,Niños!A:C,3,FALSE)=Table1[[#Headers],[Niños]],Table1[[#Headers],[Niños]],""),"")</f>
        <v/>
      </c>
      <c r="R175" t="str">
        <f>IFERROR(IF(VLOOKUP(C175,Laudes!A:C,3,FALSE)=Table1[[#Headers],[Laudes]],Table1[[#Headers],[Laudes]],""),"")</f>
        <v/>
      </c>
      <c r="S175" t="str">
        <f>IFERROR(IF(VLOOKUP(C175,'Nuevo Testamento'!A:C,3,FALSE)=Table1[[#Headers],[Nuevo Testamento]],Table1[[#Headers],[Nuevo Testamento]],""),"")</f>
        <v/>
      </c>
      <c r="T175" t="str">
        <f>IFERROR(IF(VLOOKUP(C175,'Antiguo Testamento'!A:C,3,FALSE)=Table1[[#Headers],[Antiguo Testamento]],Table1[[#Headers],[Antiguo Testamento]],""),"")</f>
        <v>Antiguo Testamento</v>
      </c>
      <c r="U175" t="str">
        <f>IFERROR(IF(VLOOKUP(C175,Final!A:C,3,FALSE)=Table1[[#Headers],[Final]],Table1[[#Headers],[Final]],""),"")</f>
        <v/>
      </c>
      <c r="V175" t="str" cm="1">
        <f t="array" ref="V17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/cantos/src/chtml/q/queamablessontusmoradas.html</v>
      </c>
      <c r="W17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{id:173,title: "Qué amables son tus moradas", subtitle: "Sal 84 (83)", category: "Precatecumenado", moments: ["","","Cuaresma","","","Entrada","","","","","","","","Antiguo Testamento",""], url: "/cantos/src/chtml/q/queamablessontusmoradas.html"},</v>
      </c>
    </row>
    <row r="176" spans="1:23" x14ac:dyDescent="0.25">
      <c r="A176">
        <v>137</v>
      </c>
      <c r="B176" s="14">
        <v>174</v>
      </c>
      <c r="C176" t="s">
        <v>80</v>
      </c>
      <c r="D176" t="s">
        <v>430</v>
      </c>
      <c r="E176" t="str">
        <f>LOWER(LEFT(Table1[[#This Row],[Canto]],1))</f>
        <v>q</v>
      </c>
      <c r="F176" t="s">
        <v>288</v>
      </c>
      <c r="G176" t="str">
        <f>IFERROR(IF(VLOOKUP(C176,Adviento!A:C,3,FALSE)=Table1[[#Headers],[Adviento]],Table1[[#Headers],[Adviento]],""),"")</f>
        <v/>
      </c>
      <c r="H176" t="str">
        <f>IFERROR(IF(VLOOKUP(C176,Navidad!A:C,3,FALSE)=Table1[[#Headers],[Navidad]],Table1[[#Headers],[Navidad]],""),"")</f>
        <v/>
      </c>
      <c r="I176" t="str">
        <f>IFERROR(IF(VLOOKUP(C176,Cuaresma!A:C,3,FALSE)=Table1[[#Headers],[Cuaresma]],Table1[[#Headers],[Cuaresma]],""),"")</f>
        <v/>
      </c>
      <c r="J176" t="str">
        <f>IFERROR(IF(VLOOKUP(C176,Pascua!A:C,3,FALSE)=Table1[[#Headers],[Pascua]],Table1[[#Headers],[Pascua]],""),"")</f>
        <v/>
      </c>
      <c r="K176" t="str">
        <f>IFERROR(IF(VLOOKUP(C176,Pentecostés!A:C,3,FALSE)=Table1[[#Headers],[Pentecostés]],Table1[[#Headers],[Pentecostés]],""),"")</f>
        <v/>
      </c>
      <c r="L176" t="str">
        <f>IFERROR(IF(VLOOKUP(C176,Entrada!A:C,3,FALSE)=Table1[[#Headers],[Entrada]],Table1[[#Headers],[Entrada]],""),"")</f>
        <v/>
      </c>
      <c r="M176" t="str">
        <f>IFERROR(IF(VLOOKUP(C176,Virgen!A:C,3,FALSE)=Table1[[#Headers],[Virgen]],Table1[[#Headers],[Virgen]],""),"")</f>
        <v/>
      </c>
      <c r="N176" t="str">
        <f>IFERROR(IF(VLOOKUP(C176,Paz!A:C,3,FALSE)=Table1[[#Headers],[Paz]],Table1[[#Headers],[Paz]],""),"")</f>
        <v>Paz</v>
      </c>
      <c r="O176" t="str">
        <f>IFERROR(IF(VLOOKUP(C176,Pan!A:C,3,FALSE)=Table1[[#Headers],[Pan]],Table1[[#Headers],[Pan]],""),"")</f>
        <v/>
      </c>
      <c r="P176" t="str">
        <f>IFERROR(IF(VLOOKUP(C176,Comunión!A:C,3,FALSE)=Table1[[#Headers],[Comunión]],Table1[[#Headers],[Comunión]],""),"")</f>
        <v/>
      </c>
      <c r="Q176" t="str">
        <f>IFERROR(IF(VLOOKUP(C176,Niños!A:C,3,FALSE)=Table1[[#Headers],[Niños]],Table1[[#Headers],[Niños]],""),"")</f>
        <v/>
      </c>
      <c r="R176" t="str">
        <f>IFERROR(IF(VLOOKUP(C176,Laudes!A:C,3,FALSE)=Table1[[#Headers],[Laudes]],Table1[[#Headers],[Laudes]],""),"")</f>
        <v/>
      </c>
      <c r="S176" t="str">
        <f>IFERROR(IF(VLOOKUP(C176,'Nuevo Testamento'!A:C,3,FALSE)=Table1[[#Headers],[Nuevo Testamento]],Table1[[#Headers],[Nuevo Testamento]],""),"")</f>
        <v/>
      </c>
      <c r="T176" t="str">
        <f>IFERROR(IF(VLOOKUP(C176,'Antiguo Testamento'!A:C,3,FALSE)=Table1[[#Headers],[Antiguo Testamento]],Table1[[#Headers],[Antiguo Testamento]],""),"")</f>
        <v>Antiguo Testamento</v>
      </c>
      <c r="U176" t="str">
        <f>IFERROR(IF(VLOOKUP(C176,Final!A:C,3,FALSE)=Table1[[#Headers],[Final]],Table1[[#Headers],[Final]],""),"")</f>
        <v/>
      </c>
      <c r="V176" t="str" cm="1">
        <f t="array" ref="V17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/cantos/src/chtml/q/queestupendoquealegria.html</v>
      </c>
      <c r="W17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{id:174,title: "Qué estupendo, qué alegría", subtitle: "Sal 133 (132)", category: "Precatecumenado", moments: ["","","","","","","","Paz","","","","","","Antiguo Testamento",""], url: "/cantos/src/chtml/q/queestupendoquealegria.html"},</v>
      </c>
    </row>
    <row r="177" spans="1:23" x14ac:dyDescent="0.25">
      <c r="A177">
        <v>138</v>
      </c>
      <c r="B177" s="14">
        <v>175</v>
      </c>
      <c r="C177" t="s">
        <v>81</v>
      </c>
      <c r="D177" t="s">
        <v>462</v>
      </c>
      <c r="E177" t="str">
        <f>LOWER(LEFT(Table1[[#This Row],[Canto]],1))</f>
        <v>q</v>
      </c>
      <c r="F177" t="s">
        <v>288</v>
      </c>
      <c r="G177" t="str">
        <f>IFERROR(IF(VLOOKUP(C177,Adviento!A:C,3,FALSE)=Table1[[#Headers],[Adviento]],Table1[[#Headers],[Adviento]],""),"")</f>
        <v/>
      </c>
      <c r="H177" t="str">
        <f>IFERROR(IF(VLOOKUP(C177,Navidad!A:C,3,FALSE)=Table1[[#Headers],[Navidad]],Table1[[#Headers],[Navidad]],""),"")</f>
        <v/>
      </c>
      <c r="I177" t="str">
        <f>IFERROR(IF(VLOOKUP(C177,Cuaresma!A:C,3,FALSE)=Table1[[#Headers],[Cuaresma]],Table1[[#Headers],[Cuaresma]],""),"")</f>
        <v/>
      </c>
      <c r="J177" t="str">
        <f>IFERROR(IF(VLOOKUP(C177,Pascua!A:C,3,FALSE)=Table1[[#Headers],[Pascua]],Table1[[#Headers],[Pascua]],""),"")</f>
        <v>Pascua</v>
      </c>
      <c r="K177" t="str">
        <f>IFERROR(IF(VLOOKUP(C177,Pentecostés!A:C,3,FALSE)=Table1[[#Headers],[Pentecostés]],Table1[[#Headers],[Pentecostés]],""),"")</f>
        <v>Pentecostés</v>
      </c>
      <c r="L177" t="str">
        <f>IFERROR(IF(VLOOKUP(C177,Entrada!A:C,3,FALSE)=Table1[[#Headers],[Entrada]],Table1[[#Headers],[Entrada]],""),"")</f>
        <v/>
      </c>
      <c r="M177" t="str">
        <f>IFERROR(IF(VLOOKUP(C177,Virgen!A:C,3,FALSE)=Table1[[#Headers],[Virgen]],Table1[[#Headers],[Virgen]],""),"")</f>
        <v/>
      </c>
      <c r="N177" t="str">
        <f>IFERROR(IF(VLOOKUP(C177,Paz!A:C,3,FALSE)=Table1[[#Headers],[Paz]],Table1[[#Headers],[Paz]],""),"")</f>
        <v/>
      </c>
      <c r="O177" t="str">
        <f>IFERROR(IF(VLOOKUP(C177,Pan!A:C,3,FALSE)=Table1[[#Headers],[Pan]],Table1[[#Headers],[Pan]],""),"")</f>
        <v/>
      </c>
      <c r="P177" t="str">
        <f>IFERROR(IF(VLOOKUP(C177,Comunión!A:C,3,FALSE)=Table1[[#Headers],[Comunión]],Table1[[#Headers],[Comunión]],""),"")</f>
        <v>Comunión</v>
      </c>
      <c r="Q177" t="str">
        <f>IFERROR(IF(VLOOKUP(C177,Niños!A:C,3,FALSE)=Table1[[#Headers],[Niños]],Table1[[#Headers],[Niños]],""),"")</f>
        <v/>
      </c>
      <c r="R177" t="str">
        <f>IFERROR(IF(VLOOKUP(C177,Laudes!A:C,3,FALSE)=Table1[[#Headers],[Laudes]],Table1[[#Headers],[Laudes]],""),"")</f>
        <v/>
      </c>
      <c r="S177" t="str">
        <f>IFERROR(IF(VLOOKUP(C177,'Nuevo Testamento'!A:C,3,FALSE)=Table1[[#Headers],[Nuevo Testamento]],Table1[[#Headers],[Nuevo Testamento]],""),"")</f>
        <v/>
      </c>
      <c r="T177" t="str">
        <f>IFERROR(IF(VLOOKUP(C177,'Antiguo Testamento'!A:C,3,FALSE)=Table1[[#Headers],[Antiguo Testamento]],Table1[[#Headers],[Antiguo Testamento]],""),"")</f>
        <v>Antiguo Testamento</v>
      </c>
      <c r="U177" t="str">
        <f>IFERROR(IF(VLOOKUP(C177,Final!A:C,3,FALSE)=Table1[[#Headers],[Final]],Table1[[#Headers],[Final]],""),"")</f>
        <v>Final</v>
      </c>
      <c r="V177" t="str" cm="1">
        <f t="array" ref="V17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/cantos/src/chtml/q/quienesestaquesubedeldesierto.html</v>
      </c>
      <c r="W17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{id:175,title: "Quién es ésta que sube del desierto", subtitle: "Cantar de los Cantares 8,5-7", category: "Precatecumenado", moments: ["","","","Pascua","Pentecostés","","","","","Comunión","","","","Antiguo Testamento","Final"], url: "/cantos/src/chtml/q/quienesestaquesubedeldesierto.html"},</v>
      </c>
    </row>
    <row r="178" spans="1:23" x14ac:dyDescent="0.25">
      <c r="A178">
        <v>139</v>
      </c>
      <c r="B178" s="14">
        <v>176</v>
      </c>
      <c r="C178" t="s">
        <v>82</v>
      </c>
      <c r="D178" t="s">
        <v>463</v>
      </c>
      <c r="E178" t="str">
        <f>LOWER(LEFT(Table1[[#This Row],[Canto]],1))</f>
        <v>q</v>
      </c>
      <c r="F178" t="s">
        <v>288</v>
      </c>
      <c r="G178" t="str">
        <f>IFERROR(IF(VLOOKUP(C178,Adviento!A:C,3,FALSE)=Table1[[#Headers],[Adviento]],Table1[[#Headers],[Adviento]],""),"")</f>
        <v/>
      </c>
      <c r="H178" t="str">
        <f>IFERROR(IF(VLOOKUP(C178,Navidad!A:C,3,FALSE)=Table1[[#Headers],[Navidad]],Table1[[#Headers],[Navidad]],""),"")</f>
        <v/>
      </c>
      <c r="I178" t="str">
        <f>IFERROR(IF(VLOOKUP(C178,Cuaresma!A:C,3,FALSE)=Table1[[#Headers],[Cuaresma]],Table1[[#Headers],[Cuaresma]],""),"")</f>
        <v>Cuaresma</v>
      </c>
      <c r="J178" t="str">
        <f>IFERROR(IF(VLOOKUP(C178,Pascua!A:C,3,FALSE)=Table1[[#Headers],[Pascua]],Table1[[#Headers],[Pascua]],""),"")</f>
        <v/>
      </c>
      <c r="K178" t="str">
        <f>IFERROR(IF(VLOOKUP(C178,Pentecostés!A:C,3,FALSE)=Table1[[#Headers],[Pentecostés]],Table1[[#Headers],[Pentecostés]],""),"")</f>
        <v/>
      </c>
      <c r="L178" t="str">
        <f>IFERROR(IF(VLOOKUP(C178,Entrada!A:C,3,FALSE)=Table1[[#Headers],[Entrada]],Table1[[#Headers],[Entrada]],""),"")</f>
        <v/>
      </c>
      <c r="M178" t="str">
        <f>IFERROR(IF(VLOOKUP(C178,Virgen!A:C,3,FALSE)=Table1[[#Headers],[Virgen]],Table1[[#Headers],[Virgen]],""),"")</f>
        <v/>
      </c>
      <c r="N178" t="str">
        <f>IFERROR(IF(VLOOKUP(C178,Paz!A:C,3,FALSE)=Table1[[#Headers],[Paz]],Table1[[#Headers],[Paz]],""),"")</f>
        <v/>
      </c>
      <c r="O178" t="str">
        <f>IFERROR(IF(VLOOKUP(C178,Pan!A:C,3,FALSE)=Table1[[#Headers],[Pan]],Table1[[#Headers],[Pan]],""),"")</f>
        <v/>
      </c>
      <c r="P178" t="str">
        <f>IFERROR(IF(VLOOKUP(C178,Comunión!A:C,3,FALSE)=Table1[[#Headers],[Comunión]],Table1[[#Headers],[Comunión]],""),"")</f>
        <v>Comunión</v>
      </c>
      <c r="Q178" t="str">
        <f>IFERROR(IF(VLOOKUP(C178,Niños!A:C,3,FALSE)=Table1[[#Headers],[Niños]],Table1[[#Headers],[Niños]],""),"")</f>
        <v/>
      </c>
      <c r="R178" t="str">
        <f>IFERROR(IF(VLOOKUP(C178,Laudes!A:C,3,FALSE)=Table1[[#Headers],[Laudes]],Table1[[#Headers],[Laudes]],""),"")</f>
        <v>Laudes</v>
      </c>
      <c r="S178" t="str">
        <f>IFERROR(IF(VLOOKUP(C178,'Nuevo Testamento'!A:C,3,FALSE)=Table1[[#Headers],[Nuevo Testamento]],Table1[[#Headers],[Nuevo Testamento]],""),"")</f>
        <v>Nuevo Testamento</v>
      </c>
      <c r="T178" t="str">
        <f>IFERROR(IF(VLOOKUP(C178,'Antiguo Testamento'!A:C,3,FALSE)=Table1[[#Headers],[Antiguo Testamento]],Table1[[#Headers],[Antiguo Testamento]],""),"")</f>
        <v/>
      </c>
      <c r="U178" t="str">
        <f>IFERROR(IF(VLOOKUP(C178,Final!A:C,3,FALSE)=Table1[[#Headers],[Final]],Table1[[#Headers],[Final]],""),"")</f>
        <v/>
      </c>
      <c r="V178" t="str" cm="1">
        <f t="array" ref="V17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/cantos/src/chtml/q/quiennosseparara.html</v>
      </c>
      <c r="W17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{id:176,title: "Quién nos separará", subtitle: "Romanos 8,34-39", category: "Precatecumenado", moments: ["","","Cuaresma","","","","","","","Comunión","","Laudes","Nuevo Testamento","",""], url: "/cantos/src/chtml/q/quiennosseparara.html"},</v>
      </c>
    </row>
    <row r="179" spans="1:23" x14ac:dyDescent="0.25">
      <c r="A179">
        <v>140</v>
      </c>
      <c r="B179" s="14">
        <v>177</v>
      </c>
      <c r="C179" t="s">
        <v>192</v>
      </c>
      <c r="D179" t="s">
        <v>464</v>
      </c>
      <c r="E179" t="str">
        <f>LOWER(LEFT(Table1[[#This Row],[Canto]],1))</f>
        <v>q</v>
      </c>
      <c r="F179" t="s">
        <v>288</v>
      </c>
      <c r="G179" t="str">
        <f>IFERROR(IF(VLOOKUP(C179,Adviento!A:C,3,FALSE)=Table1[[#Headers],[Adviento]],Table1[[#Headers],[Adviento]],""),"")</f>
        <v/>
      </c>
      <c r="H179" t="str">
        <f>IFERROR(IF(VLOOKUP(C179,Navidad!A:C,3,FALSE)=Table1[[#Headers],[Navidad]],Table1[[#Headers],[Navidad]],""),"")</f>
        <v/>
      </c>
      <c r="I179" t="str">
        <f>IFERROR(IF(VLOOKUP(C179,Cuaresma!A:C,3,FALSE)=Table1[[#Headers],[Cuaresma]],Table1[[#Headers],[Cuaresma]],""),"")</f>
        <v/>
      </c>
      <c r="J179" t="str">
        <f>IFERROR(IF(VLOOKUP(C179,Pascua!A:C,3,FALSE)=Table1[[#Headers],[Pascua]],Table1[[#Headers],[Pascua]],""),"")</f>
        <v>Pascua</v>
      </c>
      <c r="K179" t="str">
        <f>IFERROR(IF(VLOOKUP(C179,Pentecostés!A:C,3,FALSE)=Table1[[#Headers],[Pentecostés]],Table1[[#Headers],[Pentecostés]],""),"")</f>
        <v>Pentecostés</v>
      </c>
      <c r="L179" t="str">
        <f>IFERROR(IF(VLOOKUP(C179,Entrada!A:C,3,FALSE)=Table1[[#Headers],[Entrada]],Table1[[#Headers],[Entrada]],""),"")</f>
        <v/>
      </c>
      <c r="M179" t="str">
        <f>IFERROR(IF(VLOOKUP(C179,Virgen!A:C,3,FALSE)=Table1[[#Headers],[Virgen]],Table1[[#Headers],[Virgen]],""),"")</f>
        <v/>
      </c>
      <c r="N179" t="str">
        <f>IFERROR(IF(VLOOKUP(C179,Paz!A:C,3,FALSE)=Table1[[#Headers],[Paz]],Table1[[#Headers],[Paz]],""),"")</f>
        <v/>
      </c>
      <c r="O179" t="str">
        <f>IFERROR(IF(VLOOKUP(C179,Pan!A:C,3,FALSE)=Table1[[#Headers],[Pan]],Table1[[#Headers],[Pan]],""),"")</f>
        <v/>
      </c>
      <c r="P179" t="str">
        <f>IFERROR(IF(VLOOKUP(C179,Comunión!A:C,3,FALSE)=Table1[[#Headers],[Comunión]],Table1[[#Headers],[Comunión]],""),"")</f>
        <v/>
      </c>
      <c r="Q179" t="str">
        <f>IFERROR(IF(VLOOKUP(C179,Niños!A:C,3,FALSE)=Table1[[#Headers],[Niños]],Table1[[#Headers],[Niños]],""),"")</f>
        <v/>
      </c>
      <c r="R179" t="str">
        <f>IFERROR(IF(VLOOKUP(C179,Laudes!A:C,3,FALSE)=Table1[[#Headers],[Laudes]],Table1[[#Headers],[Laudes]],""),"")</f>
        <v/>
      </c>
      <c r="S179" t="str">
        <f>IFERROR(IF(VLOOKUP(C179,'Nuevo Testamento'!A:C,3,FALSE)=Table1[[#Headers],[Nuevo Testamento]],Table1[[#Headers],[Nuevo Testamento]],""),"")</f>
        <v/>
      </c>
      <c r="T179" t="str">
        <f>IFERROR(IF(VLOOKUP(C179,'Antiguo Testamento'!A:C,3,FALSE)=Table1[[#Headers],[Antiguo Testamento]],Table1[[#Headers],[Antiguo Testamento]],""),"")</f>
        <v/>
      </c>
      <c r="U179" t="str">
        <f>IFERROR(IF(VLOOKUP(C179,Final!A:C,3,FALSE)=Table1[[#Headers],[Final]],Table1[[#Headers],[Final]],""),"")</f>
        <v>Final</v>
      </c>
      <c r="V179" t="str" cm="1">
        <f t="array" ref="V17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/cantos/src/chtml/q/quieroandarmadreajerusalen.html</v>
      </c>
      <c r="W17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{id:177,title: "Quiero andar, madre, a Jerusalén", subtitle: "Canto sefardí", category: "Precatecumenado", moments: ["","","","Pascua","Pentecostés","","","","","","","","","","Final"], url: "/cantos/src/chtml/q/quieroandarmadreajerusalen.html"},</v>
      </c>
    </row>
    <row r="180" spans="1:23" x14ac:dyDescent="0.25">
      <c r="A180">
        <v>141</v>
      </c>
      <c r="B180" s="14">
        <v>178</v>
      </c>
      <c r="C180" t="s">
        <v>193</v>
      </c>
      <c r="D180" t="s">
        <v>465</v>
      </c>
      <c r="E180" t="str">
        <f>LOWER(LEFT(Table1[[#This Row],[Canto]],1))</f>
        <v>q</v>
      </c>
      <c r="F180" t="s">
        <v>288</v>
      </c>
      <c r="G180" t="str">
        <f>IFERROR(IF(VLOOKUP(C180,Adviento!A:C,3,FALSE)=Table1[[#Headers],[Adviento]],Table1[[#Headers],[Adviento]],""),"")</f>
        <v/>
      </c>
      <c r="H180" t="str">
        <f>IFERROR(IF(VLOOKUP(C180,Navidad!A:C,3,FALSE)=Table1[[#Headers],[Navidad]],Table1[[#Headers],[Navidad]],""),"")</f>
        <v/>
      </c>
      <c r="I180" t="str">
        <f>IFERROR(IF(VLOOKUP(C180,Cuaresma!A:C,3,FALSE)=Table1[[#Headers],[Cuaresma]],Table1[[#Headers],[Cuaresma]],""),"")</f>
        <v>Cuaresma</v>
      </c>
      <c r="J180" t="str">
        <f>IFERROR(IF(VLOOKUP(C180,Pascua!A:C,3,FALSE)=Table1[[#Headers],[Pascua]],Table1[[#Headers],[Pascua]],""),"")</f>
        <v/>
      </c>
      <c r="K180" t="str">
        <f>IFERROR(IF(VLOOKUP(C180,Pentecostés!A:C,3,FALSE)=Table1[[#Headers],[Pentecostés]],Table1[[#Headers],[Pentecostés]],""),"")</f>
        <v/>
      </c>
      <c r="L180" t="str">
        <f>IFERROR(IF(VLOOKUP(C180,Entrada!A:C,3,FALSE)=Table1[[#Headers],[Entrada]],Table1[[#Headers],[Entrada]],""),"")</f>
        <v/>
      </c>
      <c r="M180" t="str">
        <f>IFERROR(IF(VLOOKUP(C180,Virgen!A:C,3,FALSE)=Table1[[#Headers],[Virgen]],Table1[[#Headers],[Virgen]],""),"")</f>
        <v/>
      </c>
      <c r="N180" t="str">
        <f>IFERROR(IF(VLOOKUP(C180,Paz!A:C,3,FALSE)=Table1[[#Headers],[Paz]],Table1[[#Headers],[Paz]],""),"")</f>
        <v/>
      </c>
      <c r="O180" t="str">
        <f>IFERROR(IF(VLOOKUP(C180,Pan!A:C,3,FALSE)=Table1[[#Headers],[Pan]],Table1[[#Headers],[Pan]],""),"")</f>
        <v/>
      </c>
      <c r="P180" t="str">
        <f>IFERROR(IF(VLOOKUP(C180,Comunión!A:C,3,FALSE)=Table1[[#Headers],[Comunión]],Table1[[#Headers],[Comunión]],""),"")</f>
        <v/>
      </c>
      <c r="Q180" t="str">
        <f>IFERROR(IF(VLOOKUP(C180,Niños!A:C,3,FALSE)=Table1[[#Headers],[Niños]],Table1[[#Headers],[Niños]],""),"")</f>
        <v/>
      </c>
      <c r="R180" t="str">
        <f>IFERROR(IF(VLOOKUP(C180,Laudes!A:C,3,FALSE)=Table1[[#Headers],[Laudes]],Table1[[#Headers],[Laudes]],""),"")</f>
        <v/>
      </c>
      <c r="S180" t="str">
        <f>IFERROR(IF(VLOOKUP(C180,'Nuevo Testamento'!A:C,3,FALSE)=Table1[[#Headers],[Nuevo Testamento]],Table1[[#Headers],[Nuevo Testamento]],""),"")</f>
        <v/>
      </c>
      <c r="T180" t="str">
        <f>IFERROR(IF(VLOOKUP(C180,'Antiguo Testamento'!A:C,3,FALSE)=Table1[[#Headers],[Antiguo Testamento]],Table1[[#Headers],[Antiguo Testamento]],""),"")</f>
        <v>Antiguo Testamento</v>
      </c>
      <c r="U180" t="str">
        <f>IFERROR(IF(VLOOKUP(C180,Final!A:C,3,FALSE)=Table1[[#Headers],[Final]],Table1[[#Headers],[Final]],""),"")</f>
        <v/>
      </c>
      <c r="V180" t="str" cm="1">
        <f t="array" ref="V18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/cantos/src/chtml/q/quierocantar.html</v>
      </c>
      <c r="W18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{id:178,title: "Quiero cantar", subtitle: "Sal 57 (56)", category: "Precatecumenado", moments: ["","","Cuaresma","","","","","","","","","","","Antiguo Testamento",""], url: "/cantos/src/chtml/q/quierocantar.html"},</v>
      </c>
    </row>
    <row r="181" spans="1:23" x14ac:dyDescent="0.25">
      <c r="A181">
        <v>142</v>
      </c>
      <c r="B181" s="14">
        <v>179</v>
      </c>
      <c r="C181" t="s">
        <v>194</v>
      </c>
      <c r="D181" t="s">
        <v>443</v>
      </c>
      <c r="E181" t="str">
        <f>LOWER(LEFT(Table1[[#This Row],[Canto]],1))</f>
        <v>r</v>
      </c>
      <c r="F181" t="s">
        <v>288</v>
      </c>
      <c r="G181" t="str">
        <f>IFERROR(IF(VLOOKUP(C181,Adviento!A:C,3,FALSE)=Table1[[#Headers],[Adviento]],Table1[[#Headers],[Adviento]],""),"")</f>
        <v/>
      </c>
      <c r="H181" t="str">
        <f>IFERROR(IF(VLOOKUP(C181,Navidad!A:C,3,FALSE)=Table1[[#Headers],[Navidad]],Table1[[#Headers],[Navidad]],""),"")</f>
        <v/>
      </c>
      <c r="I181" t="str">
        <f>IFERROR(IF(VLOOKUP(C181,Cuaresma!A:C,3,FALSE)=Table1[[#Headers],[Cuaresma]],Table1[[#Headers],[Cuaresma]],""),"")</f>
        <v/>
      </c>
      <c r="J181" t="str">
        <f>IFERROR(IF(VLOOKUP(C181,Pascua!A:C,3,FALSE)=Table1[[#Headers],[Pascua]],Table1[[#Headers],[Pascua]],""),"")</f>
        <v>Pascua</v>
      </c>
      <c r="K181" t="str">
        <f>IFERROR(IF(VLOOKUP(C181,Pentecostés!A:C,3,FALSE)=Table1[[#Headers],[Pentecostés]],Table1[[#Headers],[Pentecostés]],""),"")</f>
        <v>Pentecostés</v>
      </c>
      <c r="L181" t="str">
        <f>IFERROR(IF(VLOOKUP(C181,Entrada!A:C,3,FALSE)=Table1[[#Headers],[Entrada]],Table1[[#Headers],[Entrada]],""),"")</f>
        <v/>
      </c>
      <c r="M181" t="str">
        <f>IFERROR(IF(VLOOKUP(C181,Virgen!A:C,3,FALSE)=Table1[[#Headers],[Virgen]],Table1[[#Headers],[Virgen]],""),"")</f>
        <v/>
      </c>
      <c r="N181" t="str">
        <f>IFERROR(IF(VLOOKUP(C181,Paz!A:C,3,FALSE)=Table1[[#Headers],[Paz]],Table1[[#Headers],[Paz]],""),"")</f>
        <v/>
      </c>
      <c r="O181" t="str">
        <f>IFERROR(IF(VLOOKUP(C181,Pan!A:C,3,FALSE)=Table1[[#Headers],[Pan]],Table1[[#Headers],[Pan]],""),"")</f>
        <v/>
      </c>
      <c r="P181" t="str">
        <f>IFERROR(IF(VLOOKUP(C181,Comunión!A:C,3,FALSE)=Table1[[#Headers],[Comunión]],Table1[[#Headers],[Comunión]],""),"")</f>
        <v>Comunión</v>
      </c>
      <c r="Q181" t="str">
        <f>IFERROR(IF(VLOOKUP(C181,Niños!A:C,3,FALSE)=Table1[[#Headers],[Niños]],Table1[[#Headers],[Niños]],""),"")</f>
        <v/>
      </c>
      <c r="R181" t="str">
        <f>IFERROR(IF(VLOOKUP(C181,Laudes!A:C,3,FALSE)=Table1[[#Headers],[Laudes]],Table1[[#Headers],[Laudes]],""),"")</f>
        <v/>
      </c>
      <c r="S181" t="str">
        <f>IFERROR(IF(VLOOKUP(C181,'Nuevo Testamento'!A:C,3,FALSE)=Table1[[#Headers],[Nuevo Testamento]],Table1[[#Headers],[Nuevo Testamento]],""),"")</f>
        <v/>
      </c>
      <c r="T181" t="str">
        <f>IFERROR(IF(VLOOKUP(C181,'Antiguo Testamento'!A:C,3,FALSE)=Table1[[#Headers],[Antiguo Testamento]],Table1[[#Headers],[Antiguo Testamento]],""),"")</f>
        <v/>
      </c>
      <c r="U181" t="str">
        <f>IFERROR(IF(VLOOKUP(C181,Final!A:C,3,FALSE)=Table1[[#Headers],[Final]],Table1[[#Headers],[Final]],""),"")</f>
        <v/>
      </c>
      <c r="V181" t="str" cm="1">
        <f t="array" ref="V18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/cantos/src/chtml/r/resucito.html</v>
      </c>
      <c r="W18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{id:179,title: "Resucitó", subtitle: "(Kiko Argüello)", category: "Precatecumenado", moments: ["","","","Pascua","Pentecostés","","","","","Comunión","","","","",""], url: "/cantos/src/chtml/r/resucito.html"},</v>
      </c>
    </row>
    <row r="182" spans="1:23" x14ac:dyDescent="0.25">
      <c r="A182">
        <v>143</v>
      </c>
      <c r="B182" s="14">
        <v>180</v>
      </c>
      <c r="C182" t="s">
        <v>195</v>
      </c>
      <c r="D182" t="s">
        <v>466</v>
      </c>
      <c r="E182" t="str">
        <f>LOWER(LEFT(Table1[[#This Row],[Canto]],1))</f>
        <v>r</v>
      </c>
      <c r="F182" t="s">
        <v>288</v>
      </c>
      <c r="G182" t="str">
        <f>IFERROR(IF(VLOOKUP(C182,Adviento!A:C,3,FALSE)=Table1[[#Headers],[Adviento]],Table1[[#Headers],[Adviento]],""),"")</f>
        <v/>
      </c>
      <c r="H182" t="str">
        <f>IFERROR(IF(VLOOKUP(C182,Navidad!A:C,3,FALSE)=Table1[[#Headers],[Navidad]],Table1[[#Headers],[Navidad]],""),"")</f>
        <v/>
      </c>
      <c r="I182" t="str">
        <f>IFERROR(IF(VLOOKUP(C182,Cuaresma!A:C,3,FALSE)=Table1[[#Headers],[Cuaresma]],Table1[[#Headers],[Cuaresma]],""),"")</f>
        <v/>
      </c>
      <c r="J182" t="str">
        <f>IFERROR(IF(VLOOKUP(C182,Pascua!A:C,3,FALSE)=Table1[[#Headers],[Pascua]],Table1[[#Headers],[Pascua]],""),"")</f>
        <v>Pascua</v>
      </c>
      <c r="K182" t="str">
        <f>IFERROR(IF(VLOOKUP(C182,Pentecostés!A:C,3,FALSE)=Table1[[#Headers],[Pentecostés]],Table1[[#Headers],[Pentecostés]],""),"")</f>
        <v>Pentecostés</v>
      </c>
      <c r="L182" t="str">
        <f>IFERROR(IF(VLOOKUP(C182,Entrada!A:C,3,FALSE)=Table1[[#Headers],[Entrada]],Table1[[#Headers],[Entrada]],""),"")</f>
        <v/>
      </c>
      <c r="M182" t="str">
        <f>IFERROR(IF(VLOOKUP(C182,Virgen!A:C,3,FALSE)=Table1[[#Headers],[Virgen]],Table1[[#Headers],[Virgen]],""),"")</f>
        <v/>
      </c>
      <c r="N182" t="str">
        <f>IFERROR(IF(VLOOKUP(C182,Paz!A:C,3,FALSE)=Table1[[#Headers],[Paz]],Table1[[#Headers],[Paz]],""),"")</f>
        <v/>
      </c>
      <c r="O182" t="str">
        <f>IFERROR(IF(VLOOKUP(C182,Pan!A:C,3,FALSE)=Table1[[#Headers],[Pan]],Table1[[#Headers],[Pan]],""),"")</f>
        <v/>
      </c>
      <c r="P182" t="str">
        <f>IFERROR(IF(VLOOKUP(C182,Comunión!A:C,3,FALSE)=Table1[[#Headers],[Comunión]],Table1[[#Headers],[Comunión]],""),"")</f>
        <v/>
      </c>
      <c r="Q182" t="str">
        <f>IFERROR(IF(VLOOKUP(C182,Niños!A:C,3,FALSE)=Table1[[#Headers],[Niños]],Table1[[#Headers],[Niños]],""),"")</f>
        <v/>
      </c>
      <c r="R182" t="str">
        <f>IFERROR(IF(VLOOKUP(C182,Laudes!A:C,3,FALSE)=Table1[[#Headers],[Laudes]],Table1[[#Headers],[Laudes]],""),"")</f>
        <v/>
      </c>
      <c r="S182" t="str">
        <f>IFERROR(IF(VLOOKUP(C182,'Nuevo Testamento'!A:C,3,FALSE)=Table1[[#Headers],[Nuevo Testamento]],Table1[[#Headers],[Nuevo Testamento]],""),"")</f>
        <v/>
      </c>
      <c r="T182" t="str">
        <f>IFERROR(IF(VLOOKUP(C182,'Antiguo Testamento'!A:C,3,FALSE)=Table1[[#Headers],[Antiguo Testamento]],Table1[[#Headers],[Antiguo Testamento]],""),"")</f>
        <v/>
      </c>
      <c r="U182" t="str">
        <f>IFERROR(IF(VLOOKUP(C182,Final!A:C,3,FALSE)=Table1[[#Headers],[Final]],Table1[[#Headers],[Final]],""),"")</f>
        <v/>
      </c>
      <c r="V182" t="str" cm="1">
        <f t="array" ref="V18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/cantos/src/chtml/r/resurrexit.html</v>
      </c>
      <c r="W18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{id:180,title: "Resurrexit", subtitle: "Juan 11,25s", category: "Precatecumenado", moments: ["","","","Pascua","Pentecostés","","","","","","","","","",""], url: "/cantos/src/chtml/r/resurrexit.html"},</v>
      </c>
    </row>
    <row r="183" spans="1:23" x14ac:dyDescent="0.25">
      <c r="A183">
        <v>208</v>
      </c>
      <c r="B183" s="14">
        <v>181</v>
      </c>
      <c r="C183" t="s">
        <v>196</v>
      </c>
      <c r="D183" t="s">
        <v>467</v>
      </c>
      <c r="E183" t="str">
        <f>LOWER(LEFT(Table1[[#This Row],[Canto]],1))</f>
        <v>s</v>
      </c>
      <c r="F183" s="12" t="s">
        <v>289</v>
      </c>
      <c r="G183" t="str">
        <f>IFERROR(IF(VLOOKUP(C183,Adviento!A:C,3,FALSE)=Table1[[#Headers],[Adviento]],Table1[[#Headers],[Adviento]],""),"")</f>
        <v/>
      </c>
      <c r="H183" t="str">
        <f>IFERROR(IF(VLOOKUP(C183,Navidad!A:C,3,FALSE)=Table1[[#Headers],[Navidad]],Table1[[#Headers],[Navidad]],""),"")</f>
        <v/>
      </c>
      <c r="I183" t="str">
        <f>IFERROR(IF(VLOOKUP(C183,Cuaresma!A:C,3,FALSE)=Table1[[#Headers],[Cuaresma]],Table1[[#Headers],[Cuaresma]],""),"")</f>
        <v/>
      </c>
      <c r="J183" t="str">
        <f>IFERROR(IF(VLOOKUP(C183,Pascua!A:C,3,FALSE)=Table1[[#Headers],[Pascua]],Table1[[#Headers],[Pascua]],""),"")</f>
        <v/>
      </c>
      <c r="K183" t="str">
        <f>IFERROR(IF(VLOOKUP(C183,Pentecostés!A:C,3,FALSE)=Table1[[#Headers],[Pentecostés]],Table1[[#Headers],[Pentecostés]],""),"")</f>
        <v/>
      </c>
      <c r="L183" t="str">
        <f>IFERROR(IF(VLOOKUP(C183,Entrada!A:C,3,FALSE)=Table1[[#Headers],[Entrada]],Table1[[#Headers],[Entrada]],""),"")</f>
        <v/>
      </c>
      <c r="M183" t="str">
        <f>IFERROR(IF(VLOOKUP(C183,Virgen!A:C,3,FALSE)=Table1[[#Headers],[Virgen]],Table1[[#Headers],[Virgen]],""),"")</f>
        <v/>
      </c>
      <c r="N183" t="str">
        <f>IFERROR(IF(VLOOKUP(C183,Paz!A:C,3,FALSE)=Table1[[#Headers],[Paz]],Table1[[#Headers],[Paz]],""),"")</f>
        <v/>
      </c>
      <c r="O183" t="str">
        <f>IFERROR(IF(VLOOKUP(C183,Pan!A:C,3,FALSE)=Table1[[#Headers],[Pan]],Table1[[#Headers],[Pan]],""),"")</f>
        <v/>
      </c>
      <c r="P183" t="str">
        <f>IFERROR(IF(VLOOKUP(C183,Comunión!A:C,3,FALSE)=Table1[[#Headers],[Comunión]],Table1[[#Headers],[Comunión]],""),"")</f>
        <v/>
      </c>
      <c r="Q183" t="str">
        <f>IFERROR(IF(VLOOKUP(C183,Niños!A:C,3,FALSE)=Table1[[#Headers],[Niños]],Table1[[#Headers],[Niños]],""),"")</f>
        <v/>
      </c>
      <c r="R183" t="str">
        <f>IFERROR(IF(VLOOKUP(C183,Laudes!A:C,3,FALSE)=Table1[[#Headers],[Laudes]],Table1[[#Headers],[Laudes]],""),"")</f>
        <v/>
      </c>
      <c r="S183" t="str">
        <f>IFERROR(IF(VLOOKUP(C183,'Nuevo Testamento'!A:C,3,FALSE)=Table1[[#Headers],[Nuevo Testamento]],Table1[[#Headers],[Nuevo Testamento]],""),"")</f>
        <v/>
      </c>
      <c r="T183" t="str">
        <f>IFERROR(IF(VLOOKUP(C183,'Antiguo Testamento'!A:C,3,FALSE)=Table1[[#Headers],[Antiguo Testamento]],Table1[[#Headers],[Antiguo Testamento]],""),"")</f>
        <v/>
      </c>
      <c r="U183" t="str">
        <f>IFERROR(IF(VLOOKUP(C183,Final!A:C,3,FALSE)=Table1[[#Headers],[Final]],Table1[[#Headers],[Final]],""),"")</f>
        <v/>
      </c>
      <c r="V183" t="str" cm="1">
        <f t="array" ref="V18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/cantos/src/chtml/s/salmodiaparaelevangelio.html</v>
      </c>
      <c r="W18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{id:181,title: "Salmodia para el evangelio", subtitle: "Juan 3,11-20 ", category: "Liturgia", moments: ["","","","","","","","","","","","","","",""], url: "/cantos/src/chtml/s/salmodiaparaelevangelio.html"},</v>
      </c>
    </row>
    <row r="184" spans="1:23" x14ac:dyDescent="0.25">
      <c r="A184">
        <v>209</v>
      </c>
      <c r="B184" s="14">
        <v>182</v>
      </c>
      <c r="C184" t="s">
        <v>197</v>
      </c>
      <c r="D184" t="s">
        <v>516</v>
      </c>
      <c r="E184" t="str">
        <f>LOWER(LEFT(Table1[[#This Row],[Canto]],1))</f>
        <v>s</v>
      </c>
      <c r="F184" s="12" t="s">
        <v>289</v>
      </c>
      <c r="G184" t="str">
        <f>IFERROR(IF(VLOOKUP(C184,Adviento!A:C,3,FALSE)=Table1[[#Headers],[Adviento]],Table1[[#Headers],[Adviento]],""),"")</f>
        <v/>
      </c>
      <c r="H184" t="str">
        <f>IFERROR(IF(VLOOKUP(C184,Navidad!A:C,3,FALSE)=Table1[[#Headers],[Navidad]],Table1[[#Headers],[Navidad]],""),"")</f>
        <v/>
      </c>
      <c r="I184" t="str">
        <f>IFERROR(IF(VLOOKUP(C184,Cuaresma!A:C,3,FALSE)=Table1[[#Headers],[Cuaresma]],Table1[[#Headers],[Cuaresma]],""),"")</f>
        <v/>
      </c>
      <c r="J184" t="str">
        <f>IFERROR(IF(VLOOKUP(C184,Pascua!A:C,3,FALSE)=Table1[[#Headers],[Pascua]],Table1[[#Headers],[Pascua]],""),"")</f>
        <v/>
      </c>
      <c r="K184" t="str">
        <f>IFERROR(IF(VLOOKUP(C184,Pentecostés!A:C,3,FALSE)=Table1[[#Headers],[Pentecostés]],Table1[[#Headers],[Pentecostés]],""),"")</f>
        <v/>
      </c>
      <c r="L184" t="str">
        <f>IFERROR(IF(VLOOKUP(C184,Entrada!A:C,3,FALSE)=Table1[[#Headers],[Entrada]],Table1[[#Headers],[Entrada]],""),"")</f>
        <v/>
      </c>
      <c r="M184" t="str">
        <f>IFERROR(IF(VLOOKUP(C184,Virgen!A:C,3,FALSE)=Table1[[#Headers],[Virgen]],Table1[[#Headers],[Virgen]],""),"")</f>
        <v/>
      </c>
      <c r="N184" t="str">
        <f>IFERROR(IF(VLOOKUP(C184,Paz!A:C,3,FALSE)=Table1[[#Headers],[Paz]],Table1[[#Headers],[Paz]],""),"")</f>
        <v/>
      </c>
      <c r="O184" t="str">
        <f>IFERROR(IF(VLOOKUP(C184,Pan!A:C,3,FALSE)=Table1[[#Headers],[Pan]],Table1[[#Headers],[Pan]],""),"")</f>
        <v/>
      </c>
      <c r="P184" t="str">
        <f>IFERROR(IF(VLOOKUP(C184,Comunión!A:C,3,FALSE)=Table1[[#Headers],[Comunión]],Table1[[#Headers],[Comunión]],""),"")</f>
        <v/>
      </c>
      <c r="Q184" t="str">
        <f>IFERROR(IF(VLOOKUP(C184,Niños!A:C,3,FALSE)=Table1[[#Headers],[Niños]],Table1[[#Headers],[Niños]],""),"")</f>
        <v/>
      </c>
      <c r="R184" t="str">
        <f>IFERROR(IF(VLOOKUP(C184,Laudes!A:C,3,FALSE)=Table1[[#Headers],[Laudes]],Table1[[#Headers],[Laudes]],""),"")</f>
        <v/>
      </c>
      <c r="S184" t="str">
        <f>IFERROR(IF(VLOOKUP(C184,'Nuevo Testamento'!A:C,3,FALSE)=Table1[[#Headers],[Nuevo Testamento]],Table1[[#Headers],[Nuevo Testamento]],""),"")</f>
        <v/>
      </c>
      <c r="T184" t="str">
        <f>IFERROR(IF(VLOOKUP(C184,'Antiguo Testamento'!A:C,3,FALSE)=Table1[[#Headers],[Antiguo Testamento]],Table1[[#Headers],[Antiguo Testamento]],""),"")</f>
        <v/>
      </c>
      <c r="U184" t="str">
        <f>IFERROR(IF(VLOOKUP(C184,Final!A:C,3,FALSE)=Table1[[#Headers],[Final]],Table1[[#Headers],[Final]],""),"")</f>
        <v/>
      </c>
      <c r="V184" t="str" cm="1">
        <f t="array" ref="V18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/cantos/src/chtml/s/salmodiaparaelrosario.html</v>
      </c>
      <c r="W18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{id:182,title: "Salmodia para el rosario", subtitle: "Oración", category: "Liturgia", moments: ["","","","","","","","","","","","","","",""], url: "/cantos/src/chtml/s/salmodiaparaelrosario.html"},</v>
      </c>
    </row>
    <row r="185" spans="1:23" x14ac:dyDescent="0.25">
      <c r="A185">
        <v>210</v>
      </c>
      <c r="B185" s="14">
        <v>183</v>
      </c>
      <c r="C185" t="s">
        <v>83</v>
      </c>
      <c r="D185" t="s">
        <v>306</v>
      </c>
      <c r="E185" t="str">
        <f>LOWER(LEFT(Table1[[#This Row],[Canto]],1))</f>
        <v>s</v>
      </c>
      <c r="F185" s="12" t="s">
        <v>289</v>
      </c>
      <c r="G185" t="str">
        <f>IFERROR(IF(VLOOKUP(C185,Adviento!A:C,3,FALSE)=Table1[[#Headers],[Adviento]],Table1[[#Headers],[Adviento]],""),"")</f>
        <v/>
      </c>
      <c r="H185" t="str">
        <f>IFERROR(IF(VLOOKUP(C185,Navidad!A:C,3,FALSE)=Table1[[#Headers],[Navidad]],Table1[[#Headers],[Navidad]],""),"")</f>
        <v/>
      </c>
      <c r="I185" t="str">
        <f>IFERROR(IF(VLOOKUP(C185,Cuaresma!A:C,3,FALSE)=Table1[[#Headers],[Cuaresma]],Table1[[#Headers],[Cuaresma]],""),"")</f>
        <v/>
      </c>
      <c r="J185" t="str">
        <f>IFERROR(IF(VLOOKUP(C185,Pascua!A:C,3,FALSE)=Table1[[#Headers],[Pascua]],Table1[[#Headers],[Pascua]],""),"")</f>
        <v/>
      </c>
      <c r="K185" t="str">
        <f>IFERROR(IF(VLOOKUP(C185,Pentecostés!A:C,3,FALSE)=Table1[[#Headers],[Pentecostés]],Table1[[#Headers],[Pentecostés]],""),"")</f>
        <v/>
      </c>
      <c r="L185" t="str">
        <f>IFERROR(IF(VLOOKUP(C185,Entrada!A:C,3,FALSE)=Table1[[#Headers],[Entrada]],Table1[[#Headers],[Entrada]],""),"")</f>
        <v/>
      </c>
      <c r="M185" t="str">
        <f>IFERROR(IF(VLOOKUP(C185,Virgen!A:C,3,FALSE)=Table1[[#Headers],[Virgen]],Table1[[#Headers],[Virgen]],""),"")</f>
        <v/>
      </c>
      <c r="N185" t="str">
        <f>IFERROR(IF(VLOOKUP(C185,Paz!A:C,3,FALSE)=Table1[[#Headers],[Paz]],Table1[[#Headers],[Paz]],""),"")</f>
        <v/>
      </c>
      <c r="O185" t="str">
        <f>IFERROR(IF(VLOOKUP(C185,Pan!A:C,3,FALSE)=Table1[[#Headers],[Pan]],Table1[[#Headers],[Pan]],""),"")</f>
        <v/>
      </c>
      <c r="P185" t="str">
        <f>IFERROR(IF(VLOOKUP(C185,Comunión!A:C,3,FALSE)=Table1[[#Headers],[Comunión]],Table1[[#Headers],[Comunión]],""),"")</f>
        <v/>
      </c>
      <c r="Q185" t="str">
        <f>IFERROR(IF(VLOOKUP(C185,Niños!A:C,3,FALSE)=Table1[[#Headers],[Niños]],Table1[[#Headers],[Niños]],""),"")</f>
        <v/>
      </c>
      <c r="R185" t="str">
        <f>IFERROR(IF(VLOOKUP(C185,Laudes!A:C,3,FALSE)=Table1[[#Headers],[Laudes]],Table1[[#Headers],[Laudes]],""),"")</f>
        <v/>
      </c>
      <c r="S185" t="str">
        <f>IFERROR(IF(VLOOKUP(C185,'Nuevo Testamento'!A:C,3,FALSE)=Table1[[#Headers],[Nuevo Testamento]],Table1[[#Headers],[Nuevo Testamento]],""),"")</f>
        <v/>
      </c>
      <c r="T185" t="str">
        <f>IFERROR(IF(VLOOKUP(C185,'Antiguo Testamento'!A:C,3,FALSE)=Table1[[#Headers],[Antiguo Testamento]],Table1[[#Headers],[Antiguo Testamento]],""),"")</f>
        <v/>
      </c>
      <c r="U185" t="str">
        <f>IFERROR(IF(VLOOKUP(C185,Final!A:C,3,FALSE)=Table1[[#Headers],[Final]],Table1[[#Headers],[Final]],""),"")</f>
        <v/>
      </c>
      <c r="V185" t="str" cm="1">
        <f t="array" ref="V18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/cantos/src/chtml/s/salmodiaparaelsalmoresponsorial.html</v>
      </c>
      <c r="W18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{id:183,title: "Salmodia para el Salmo responsorial", subtitle: "Modelo I, II, III", category: "Liturgia", moments: ["","","","","","","","","","","","","","",""], url: "/cantos/src/chtml/s/salmodiaparaelsalmoresponsorial.html"},</v>
      </c>
    </row>
    <row r="186" spans="1:23" x14ac:dyDescent="0.25">
      <c r="A186">
        <v>211</v>
      </c>
      <c r="B186" s="14">
        <v>184</v>
      </c>
      <c r="C186" t="s">
        <v>198</v>
      </c>
      <c r="D186" t="s">
        <v>468</v>
      </c>
      <c r="E186" t="str">
        <f>LOWER(LEFT(Table1[[#This Row],[Canto]],1))</f>
        <v>s</v>
      </c>
      <c r="F186" s="12" t="s">
        <v>289</v>
      </c>
      <c r="G186" t="str">
        <f>IFERROR(IF(VLOOKUP(C186,Adviento!A:C,3,FALSE)=Table1[[#Headers],[Adviento]],Table1[[#Headers],[Adviento]],""),"")</f>
        <v/>
      </c>
      <c r="H186" t="str">
        <f>IFERROR(IF(VLOOKUP(C186,Navidad!A:C,3,FALSE)=Table1[[#Headers],[Navidad]],Table1[[#Headers],[Navidad]],""),"")</f>
        <v/>
      </c>
      <c r="I186" t="str">
        <f>IFERROR(IF(VLOOKUP(C186,Cuaresma!A:C,3,FALSE)=Table1[[#Headers],[Cuaresma]],Table1[[#Headers],[Cuaresma]],""),"")</f>
        <v/>
      </c>
      <c r="J186" t="str">
        <f>IFERROR(IF(VLOOKUP(C186,Pascua!A:C,3,FALSE)=Table1[[#Headers],[Pascua]],Table1[[#Headers],[Pascua]],""),"")</f>
        <v/>
      </c>
      <c r="K186" t="str">
        <f>IFERROR(IF(VLOOKUP(C186,Pentecostés!A:C,3,FALSE)=Table1[[#Headers],[Pentecostés]],Table1[[#Headers],[Pentecostés]],""),"")</f>
        <v/>
      </c>
      <c r="L186" t="str">
        <f>IFERROR(IF(VLOOKUP(C186,Entrada!A:C,3,FALSE)=Table1[[#Headers],[Entrada]],Table1[[#Headers],[Entrada]],""),"")</f>
        <v/>
      </c>
      <c r="M186" t="str">
        <f>IFERROR(IF(VLOOKUP(C186,Virgen!A:C,3,FALSE)=Table1[[#Headers],[Virgen]],Table1[[#Headers],[Virgen]],""),"")</f>
        <v/>
      </c>
      <c r="N186" t="str">
        <f>IFERROR(IF(VLOOKUP(C186,Paz!A:C,3,FALSE)=Table1[[#Headers],[Paz]],Table1[[#Headers],[Paz]],""),"")</f>
        <v/>
      </c>
      <c r="O186" t="str">
        <f>IFERROR(IF(VLOOKUP(C186,Pan!A:C,3,FALSE)=Table1[[#Headers],[Pan]],Table1[[#Headers],[Pan]],""),"")</f>
        <v/>
      </c>
      <c r="P186" t="str">
        <f>IFERROR(IF(VLOOKUP(C186,Comunión!A:C,3,FALSE)=Table1[[#Headers],[Comunión]],Table1[[#Headers],[Comunión]],""),"")</f>
        <v/>
      </c>
      <c r="Q186" t="str">
        <f>IFERROR(IF(VLOOKUP(C186,Niños!A:C,3,FALSE)=Table1[[#Headers],[Niños]],Table1[[#Headers],[Niños]],""),"")</f>
        <v/>
      </c>
      <c r="R186" t="str">
        <f>IFERROR(IF(VLOOKUP(C186,Laudes!A:C,3,FALSE)=Table1[[#Headers],[Laudes]],Table1[[#Headers],[Laudes]],""),"")</f>
        <v/>
      </c>
      <c r="S186" t="str">
        <f>IFERROR(IF(VLOOKUP(C186,'Nuevo Testamento'!A:C,3,FALSE)=Table1[[#Headers],[Nuevo Testamento]],Table1[[#Headers],[Nuevo Testamento]],""),"")</f>
        <v/>
      </c>
      <c r="T186" t="str">
        <f>IFERROR(IF(VLOOKUP(C186,'Antiguo Testamento'!A:C,3,FALSE)=Table1[[#Headers],[Antiguo Testamento]],Table1[[#Headers],[Antiguo Testamento]],""),"")</f>
        <v/>
      </c>
      <c r="U186" t="str">
        <f>IFERROR(IF(VLOOKUP(C186,Final!A:C,3,FALSE)=Table1[[#Headers],[Final]],Table1[[#Headers],[Final]],""),"")</f>
        <v/>
      </c>
      <c r="V186" t="str" cm="1">
        <f t="array" ref="V18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/cantos/src/chtml/s/salmodiasparalaoraciondelosfieles.html</v>
      </c>
      <c r="W18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{id:184,title: "Salmodias para la oración de los fieles", subtitle: "Para las solemnidades", category: "Liturgia", moments: ["","","","","","","","","","","","","","",""], url: "/cantos/src/chtml/s/salmodiasparalaoraciondelosfieles.html"},</v>
      </c>
    </row>
    <row r="187" spans="1:23" x14ac:dyDescent="0.25">
      <c r="A187">
        <v>212</v>
      </c>
      <c r="B187" s="14">
        <v>185</v>
      </c>
      <c r="C187" t="s">
        <v>199</v>
      </c>
      <c r="D187" t="s">
        <v>469</v>
      </c>
      <c r="E187" t="str">
        <f>LOWER(LEFT(Table1[[#This Row],[Canto]],1))</f>
        <v>s</v>
      </c>
      <c r="F187" s="12" t="s">
        <v>289</v>
      </c>
      <c r="G187" t="str">
        <f>IFERROR(IF(VLOOKUP(C187,Adviento!A:C,3,FALSE)=Table1[[#Headers],[Adviento]],Table1[[#Headers],[Adviento]],""),"")</f>
        <v/>
      </c>
      <c r="H187" t="str">
        <f>IFERROR(IF(VLOOKUP(C187,Navidad!A:C,3,FALSE)=Table1[[#Headers],[Navidad]],Table1[[#Headers],[Navidad]],""),"")</f>
        <v/>
      </c>
      <c r="I187" t="str">
        <f>IFERROR(IF(VLOOKUP(C187,Cuaresma!A:C,3,FALSE)=Table1[[#Headers],[Cuaresma]],Table1[[#Headers],[Cuaresma]],""),"")</f>
        <v/>
      </c>
      <c r="J187" t="str">
        <f>IFERROR(IF(VLOOKUP(C187,Pascua!A:C,3,FALSE)=Table1[[#Headers],[Pascua]],Table1[[#Headers],[Pascua]],""),"")</f>
        <v/>
      </c>
      <c r="K187" t="str">
        <f>IFERROR(IF(VLOOKUP(C187,Pentecostés!A:C,3,FALSE)=Table1[[#Headers],[Pentecostés]],Table1[[#Headers],[Pentecostés]],""),"")</f>
        <v/>
      </c>
      <c r="L187" t="str">
        <f>IFERROR(IF(VLOOKUP(C187,Entrada!A:C,3,FALSE)=Table1[[#Headers],[Entrada]],Table1[[#Headers],[Entrada]],""),"")</f>
        <v/>
      </c>
      <c r="M187" t="str">
        <f>IFERROR(IF(VLOOKUP(C187,Virgen!A:C,3,FALSE)=Table1[[#Headers],[Virgen]],Table1[[#Headers],[Virgen]],""),"")</f>
        <v/>
      </c>
      <c r="N187" t="str">
        <f>IFERROR(IF(VLOOKUP(C187,Paz!A:C,3,FALSE)=Table1[[#Headers],[Paz]],Table1[[#Headers],[Paz]],""),"")</f>
        <v/>
      </c>
      <c r="O187" t="str">
        <f>IFERROR(IF(VLOOKUP(C187,Pan!A:C,3,FALSE)=Table1[[#Headers],[Pan]],Table1[[#Headers],[Pan]],""),"")</f>
        <v/>
      </c>
      <c r="P187" t="str">
        <f>IFERROR(IF(VLOOKUP(C187,Comunión!A:C,3,FALSE)=Table1[[#Headers],[Comunión]],Table1[[#Headers],[Comunión]],""),"")</f>
        <v/>
      </c>
      <c r="Q187" t="str">
        <f>IFERROR(IF(VLOOKUP(C187,Niños!A:C,3,FALSE)=Table1[[#Headers],[Niños]],Table1[[#Headers],[Niños]],""),"")</f>
        <v/>
      </c>
      <c r="R187" t="str">
        <f>IFERROR(IF(VLOOKUP(C187,Laudes!A:C,3,FALSE)=Table1[[#Headers],[Laudes]],Table1[[#Headers],[Laudes]],""),"")</f>
        <v/>
      </c>
      <c r="S187" t="str">
        <f>IFERROR(IF(VLOOKUP(C187,'Nuevo Testamento'!A:C,3,FALSE)=Table1[[#Headers],[Nuevo Testamento]],Table1[[#Headers],[Nuevo Testamento]],""),"")</f>
        <v/>
      </c>
      <c r="T187" t="str">
        <f>IFERROR(IF(VLOOKUP(C187,'Antiguo Testamento'!A:C,3,FALSE)=Table1[[#Headers],[Antiguo Testamento]],Table1[[#Headers],[Antiguo Testamento]],""),"")</f>
        <v/>
      </c>
      <c r="U187" t="str">
        <f>IFERROR(IF(VLOOKUP(C187,Final!A:C,3,FALSE)=Table1[[#Headers],[Final]],Table1[[#Headers],[Final]],""),"")</f>
        <v/>
      </c>
      <c r="V187" t="str" cm="1">
        <f t="array" ref="V18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/cantos/src/chtml/s/salmodiasparalaudes.html</v>
      </c>
      <c r="W18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{id:185,title: "Salmodias para laudes", subtitle: "Modelo I, II, III, IV, V", category: "Liturgia", moments: ["","","","","","","","","","","","","","",""], url: "/cantos/src/chtml/s/salmodiasparalaudes.html"},</v>
      </c>
    </row>
    <row r="188" spans="1:23" x14ac:dyDescent="0.25">
      <c r="A188">
        <v>144</v>
      </c>
      <c r="B188" s="14">
        <v>186</v>
      </c>
      <c r="C188" t="s">
        <v>200</v>
      </c>
      <c r="D188" t="s">
        <v>470</v>
      </c>
      <c r="E188" t="str">
        <f>LOWER(LEFT(Table1[[#This Row],[Canto]],1))</f>
        <v>s</v>
      </c>
      <c r="F188" t="s">
        <v>288</v>
      </c>
      <c r="G188" t="str">
        <f>IFERROR(IF(VLOOKUP(C188,Adviento!A:C,3,FALSE)=Table1[[#Headers],[Adviento]],Table1[[#Headers],[Adviento]],""),"")</f>
        <v/>
      </c>
      <c r="H188" t="str">
        <f>IFERROR(IF(VLOOKUP(C188,Navidad!A:C,3,FALSE)=Table1[[#Headers],[Navidad]],Table1[[#Headers],[Navidad]],""),"")</f>
        <v/>
      </c>
      <c r="I188" t="str">
        <f>IFERROR(IF(VLOOKUP(C188,Cuaresma!A:C,3,FALSE)=Table1[[#Headers],[Cuaresma]],Table1[[#Headers],[Cuaresma]],""),"")</f>
        <v/>
      </c>
      <c r="J188" t="str">
        <f>IFERROR(IF(VLOOKUP(C188,Pascua!A:C,3,FALSE)=Table1[[#Headers],[Pascua]],Table1[[#Headers],[Pascua]],""),"")</f>
        <v/>
      </c>
      <c r="K188" t="str">
        <f>IFERROR(IF(VLOOKUP(C188,Pentecostés!A:C,3,FALSE)=Table1[[#Headers],[Pentecostés]],Table1[[#Headers],[Pentecostés]],""),"")</f>
        <v/>
      </c>
      <c r="L188" t="str">
        <f>IFERROR(IF(VLOOKUP(C188,Entrada!A:C,3,FALSE)=Table1[[#Headers],[Entrada]],Table1[[#Headers],[Entrada]],""),"")</f>
        <v/>
      </c>
      <c r="M188" t="str">
        <f>IFERROR(IF(VLOOKUP(C188,Virgen!A:C,3,FALSE)=Table1[[#Headers],[Virgen]],Table1[[#Headers],[Virgen]],""),"")</f>
        <v>Virgen</v>
      </c>
      <c r="N188" t="str">
        <f>IFERROR(IF(VLOOKUP(C188,Paz!A:C,3,FALSE)=Table1[[#Headers],[Paz]],Table1[[#Headers],[Paz]],""),"")</f>
        <v/>
      </c>
      <c r="O188" t="str">
        <f>IFERROR(IF(VLOOKUP(C188,Pan!A:C,3,FALSE)=Table1[[#Headers],[Pan]],Table1[[#Headers],[Pan]],""),"")</f>
        <v/>
      </c>
      <c r="P188" t="str">
        <f>IFERROR(IF(VLOOKUP(C188,Comunión!A:C,3,FALSE)=Table1[[#Headers],[Comunión]],Table1[[#Headers],[Comunión]],""),"")</f>
        <v/>
      </c>
      <c r="Q188" t="str">
        <f>IFERROR(IF(VLOOKUP(C188,Niños!A:C,3,FALSE)=Table1[[#Headers],[Niños]],Table1[[#Headers],[Niños]],""),"")</f>
        <v/>
      </c>
      <c r="R188" t="str">
        <f>IFERROR(IF(VLOOKUP(C188,Laudes!A:C,3,FALSE)=Table1[[#Headers],[Laudes]],Table1[[#Headers],[Laudes]],""),"")</f>
        <v/>
      </c>
      <c r="S188" t="str">
        <f>IFERROR(IF(VLOOKUP(C188,'Nuevo Testamento'!A:C,3,FALSE)=Table1[[#Headers],[Nuevo Testamento]],Table1[[#Headers],[Nuevo Testamento]],""),"")</f>
        <v/>
      </c>
      <c r="T188" t="str">
        <f>IFERROR(IF(VLOOKUP(C188,'Antiguo Testamento'!A:C,3,FALSE)=Table1[[#Headers],[Antiguo Testamento]],Table1[[#Headers],[Antiguo Testamento]],""),"")</f>
        <v/>
      </c>
      <c r="U188" t="str">
        <f>IFERROR(IF(VLOOKUP(C188,Final!A:C,3,FALSE)=Table1[[#Headers],[Final]],Table1[[#Headers],[Final]],""),"")</f>
        <v/>
      </c>
      <c r="V188" t="str" cm="1">
        <f t="array" ref="V18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/cantos/src/chtml/s/salvereinadeloscielos.html</v>
      </c>
      <c r="W18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{id:186,title: "Salve, reina de los cielos", subtitle: "Himno lat. «Ave, Regina Caelorum»", category: "Precatecumenado", moments: ["","","","","","","Virgen","","","","","","","",""], url: "/cantos/src/chtml/s/salvereinadeloscielos.html"},</v>
      </c>
    </row>
    <row r="189" spans="1:23" x14ac:dyDescent="0.25">
      <c r="A189">
        <v>218</v>
      </c>
      <c r="B189" s="14">
        <v>187</v>
      </c>
      <c r="C189" t="s">
        <v>201</v>
      </c>
      <c r="D189" t="s">
        <v>471</v>
      </c>
      <c r="E189" t="str">
        <f>LOWER(LEFT(Table1[[#This Row],[Canto]],1))</f>
        <v>s</v>
      </c>
      <c r="F189" s="12" t="s">
        <v>289</v>
      </c>
      <c r="G189" t="str">
        <f>IFERROR(IF(VLOOKUP(C189,Adviento!A:C,3,FALSE)=Table1[[#Headers],[Adviento]],Table1[[#Headers],[Adviento]],""),"")</f>
        <v/>
      </c>
      <c r="H189" t="str">
        <f>IFERROR(IF(VLOOKUP(C189,Navidad!A:C,3,FALSE)=Table1[[#Headers],[Navidad]],Table1[[#Headers],[Navidad]],""),"")</f>
        <v/>
      </c>
      <c r="I189" t="str">
        <f>IFERROR(IF(VLOOKUP(C189,Cuaresma!A:C,3,FALSE)=Table1[[#Headers],[Cuaresma]],Table1[[#Headers],[Cuaresma]],""),"")</f>
        <v/>
      </c>
      <c r="J189" t="str">
        <f>IFERROR(IF(VLOOKUP(C189,Pascua!A:C,3,FALSE)=Table1[[#Headers],[Pascua]],Table1[[#Headers],[Pascua]],""),"")</f>
        <v/>
      </c>
      <c r="K189" t="str">
        <f>IFERROR(IF(VLOOKUP(C189,Pentecostés!A:C,3,FALSE)=Table1[[#Headers],[Pentecostés]],Table1[[#Headers],[Pentecostés]],""),"")</f>
        <v/>
      </c>
      <c r="L189" t="str">
        <f>IFERROR(IF(VLOOKUP(C189,Entrada!A:C,3,FALSE)=Table1[[#Headers],[Entrada]],Table1[[#Headers],[Entrada]],""),"")</f>
        <v/>
      </c>
      <c r="M189" t="str">
        <f>IFERROR(IF(VLOOKUP(C189,Virgen!A:C,3,FALSE)=Table1[[#Headers],[Virgen]],Table1[[#Headers],[Virgen]],""),"")</f>
        <v/>
      </c>
      <c r="N189" t="str">
        <f>IFERROR(IF(VLOOKUP(C189,Paz!A:C,3,FALSE)=Table1[[#Headers],[Paz]],Table1[[#Headers],[Paz]],""),"")</f>
        <v/>
      </c>
      <c r="O189" t="str">
        <f>IFERROR(IF(VLOOKUP(C189,Pan!A:C,3,FALSE)=Table1[[#Headers],[Pan]],Table1[[#Headers],[Pan]],""),"")</f>
        <v/>
      </c>
      <c r="P189" t="str">
        <f>IFERROR(IF(VLOOKUP(C189,Comunión!A:C,3,FALSE)=Table1[[#Headers],[Comunión]],Table1[[#Headers],[Comunión]],""),"")</f>
        <v/>
      </c>
      <c r="Q189" t="str">
        <f>IFERROR(IF(VLOOKUP(C189,Niños!A:C,3,FALSE)=Table1[[#Headers],[Niños]],Table1[[#Headers],[Niños]],""),"")</f>
        <v/>
      </c>
      <c r="R189" t="str">
        <f>IFERROR(IF(VLOOKUP(C189,Laudes!A:C,3,FALSE)=Table1[[#Headers],[Laudes]],Table1[[#Headers],[Laudes]],""),"")</f>
        <v/>
      </c>
      <c r="S189" t="str">
        <f>IFERROR(IF(VLOOKUP(C189,'Nuevo Testamento'!A:C,3,FALSE)=Table1[[#Headers],[Nuevo Testamento]],Table1[[#Headers],[Nuevo Testamento]],""),"")</f>
        <v/>
      </c>
      <c r="T189" t="str">
        <f>IFERROR(IF(VLOOKUP(C189,'Antiguo Testamento'!A:C,3,FALSE)=Table1[[#Headers],[Antiguo Testamento]],Table1[[#Headers],[Antiguo Testamento]],""),"")</f>
        <v/>
      </c>
      <c r="U189" t="str">
        <f>IFERROR(IF(VLOOKUP(C189,Final!A:C,3,FALSE)=Table1[[#Headers],[Final]],Table1[[#Headers],[Final]],""),"")</f>
        <v/>
      </c>
      <c r="V189" t="str" cm="1">
        <f t="array" ref="V18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/cantos/src/chtml/s/santo1982.html</v>
      </c>
      <c r="W18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{id:187,title: "Santo 1982", subtitle: "Palomeras 65", category: "Liturgia", moments: ["","","","","","","","","","","","","","",""], url: "/cantos/src/chtml/s/santo1982.html"},</v>
      </c>
    </row>
    <row r="190" spans="1:23" x14ac:dyDescent="0.25">
      <c r="A190">
        <v>219</v>
      </c>
      <c r="B190" s="14">
        <v>188</v>
      </c>
      <c r="C190" t="s">
        <v>202</v>
      </c>
      <c r="D190" t="s">
        <v>472</v>
      </c>
      <c r="E190" t="str">
        <f>LOWER(LEFT(Table1[[#This Row],[Canto]],1))</f>
        <v>s</v>
      </c>
      <c r="F190" s="12" t="s">
        <v>289</v>
      </c>
      <c r="G190" t="str">
        <f>IFERROR(IF(VLOOKUP(C190,Adviento!A:C,3,FALSE)=Table1[[#Headers],[Adviento]],Table1[[#Headers],[Adviento]],""),"")</f>
        <v/>
      </c>
      <c r="H190" t="str">
        <f>IFERROR(IF(VLOOKUP(C190,Navidad!A:C,3,FALSE)=Table1[[#Headers],[Navidad]],Table1[[#Headers],[Navidad]],""),"")</f>
        <v/>
      </c>
      <c r="I190" t="str">
        <f>IFERROR(IF(VLOOKUP(C190,Cuaresma!A:C,3,FALSE)=Table1[[#Headers],[Cuaresma]],Table1[[#Headers],[Cuaresma]],""),"")</f>
        <v/>
      </c>
      <c r="J190" t="str">
        <f>IFERROR(IF(VLOOKUP(C190,Pascua!A:C,3,FALSE)=Table1[[#Headers],[Pascua]],Table1[[#Headers],[Pascua]],""),"")</f>
        <v/>
      </c>
      <c r="K190" t="str">
        <f>IFERROR(IF(VLOOKUP(C190,Pentecostés!A:C,3,FALSE)=Table1[[#Headers],[Pentecostés]],Table1[[#Headers],[Pentecostés]],""),"")</f>
        <v/>
      </c>
      <c r="L190" t="str">
        <f>IFERROR(IF(VLOOKUP(C190,Entrada!A:C,3,FALSE)=Table1[[#Headers],[Entrada]],Table1[[#Headers],[Entrada]],""),"")</f>
        <v/>
      </c>
      <c r="M190" t="str">
        <f>IFERROR(IF(VLOOKUP(C190,Virgen!A:C,3,FALSE)=Table1[[#Headers],[Virgen]],Table1[[#Headers],[Virgen]],""),"")</f>
        <v/>
      </c>
      <c r="N190" t="str">
        <f>IFERROR(IF(VLOOKUP(C190,Paz!A:C,3,FALSE)=Table1[[#Headers],[Paz]],Table1[[#Headers],[Paz]],""),"")</f>
        <v/>
      </c>
      <c r="O190" t="str">
        <f>IFERROR(IF(VLOOKUP(C190,Pan!A:C,3,FALSE)=Table1[[#Headers],[Pan]],Table1[[#Headers],[Pan]],""),"")</f>
        <v/>
      </c>
      <c r="P190" t="str">
        <f>IFERROR(IF(VLOOKUP(C190,Comunión!A:C,3,FALSE)=Table1[[#Headers],[Comunión]],Table1[[#Headers],[Comunión]],""),"")</f>
        <v/>
      </c>
      <c r="Q190" t="str">
        <f>IFERROR(IF(VLOOKUP(C190,Niños!A:C,3,FALSE)=Table1[[#Headers],[Niños]],Table1[[#Headers],[Niños]],""),"")</f>
        <v/>
      </c>
      <c r="R190" t="str">
        <f>IFERROR(IF(VLOOKUP(C190,Laudes!A:C,3,FALSE)=Table1[[#Headers],[Laudes]],Table1[[#Headers],[Laudes]],""),"")</f>
        <v/>
      </c>
      <c r="S190" t="str">
        <f>IFERROR(IF(VLOOKUP(C190,'Nuevo Testamento'!A:C,3,FALSE)=Table1[[#Headers],[Nuevo Testamento]],Table1[[#Headers],[Nuevo Testamento]],""),"")</f>
        <v/>
      </c>
      <c r="T190" t="str">
        <f>IFERROR(IF(VLOOKUP(C190,'Antiguo Testamento'!A:C,3,FALSE)=Table1[[#Headers],[Antiguo Testamento]],Table1[[#Headers],[Antiguo Testamento]],""),"")</f>
        <v/>
      </c>
      <c r="U190" t="str">
        <f>IFERROR(IF(VLOOKUP(C190,Final!A:C,3,FALSE)=Table1[[#Headers],[Final]],Table1[[#Headers],[Final]],""),"")</f>
        <v/>
      </c>
      <c r="V190" t="str" cm="1">
        <f t="array" ref="V19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/cantos/src/chtml/s/santo1988.html</v>
      </c>
      <c r="W19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{id:188,title: "Santo 1988", subtitle: "Melodía hebraica ", category: "Liturgia", moments: ["","","","","","","","","","","","","","",""], url: "/cantos/src/chtml/s/santo1988.html"},</v>
      </c>
    </row>
    <row r="191" spans="1:23" x14ac:dyDescent="0.25">
      <c r="A191">
        <v>215</v>
      </c>
      <c r="B191" s="14">
        <v>189</v>
      </c>
      <c r="C191" t="s">
        <v>203</v>
      </c>
      <c r="D191" t="s">
        <v>473</v>
      </c>
      <c r="E191" t="str">
        <f>LOWER(LEFT(Table1[[#This Row],[Canto]],1))</f>
        <v>s</v>
      </c>
      <c r="F191" s="12" t="s">
        <v>289</v>
      </c>
      <c r="G191" t="str">
        <f>IFERROR(IF(VLOOKUP(C191,Adviento!A:C,3,FALSE)=Table1[[#Headers],[Adviento]],Table1[[#Headers],[Adviento]],""),"")</f>
        <v/>
      </c>
      <c r="H191" t="str">
        <f>IFERROR(IF(VLOOKUP(C191,Navidad!A:C,3,FALSE)=Table1[[#Headers],[Navidad]],Table1[[#Headers],[Navidad]],""),"")</f>
        <v/>
      </c>
      <c r="I191" t="str">
        <f>IFERROR(IF(VLOOKUP(C191,Cuaresma!A:C,3,FALSE)=Table1[[#Headers],[Cuaresma]],Table1[[#Headers],[Cuaresma]],""),"")</f>
        <v/>
      </c>
      <c r="J191" t="str">
        <f>IFERROR(IF(VLOOKUP(C191,Pascua!A:C,3,FALSE)=Table1[[#Headers],[Pascua]],Table1[[#Headers],[Pascua]],""),"")</f>
        <v/>
      </c>
      <c r="K191" t="str">
        <f>IFERROR(IF(VLOOKUP(C191,Pentecostés!A:C,3,FALSE)=Table1[[#Headers],[Pentecostés]],Table1[[#Headers],[Pentecostés]],""),"")</f>
        <v/>
      </c>
      <c r="L191" t="str">
        <f>IFERROR(IF(VLOOKUP(C191,Entrada!A:C,3,FALSE)=Table1[[#Headers],[Entrada]],Table1[[#Headers],[Entrada]],""),"")</f>
        <v/>
      </c>
      <c r="M191" t="str">
        <f>IFERROR(IF(VLOOKUP(C191,Virgen!A:C,3,FALSE)=Table1[[#Headers],[Virgen]],Table1[[#Headers],[Virgen]],""),"")</f>
        <v/>
      </c>
      <c r="N191" t="str">
        <f>IFERROR(IF(VLOOKUP(C191,Paz!A:C,3,FALSE)=Table1[[#Headers],[Paz]],Table1[[#Headers],[Paz]],""),"")</f>
        <v/>
      </c>
      <c r="O191" t="str">
        <f>IFERROR(IF(VLOOKUP(C191,Pan!A:C,3,FALSE)=Table1[[#Headers],[Pan]],Table1[[#Headers],[Pan]],""),"")</f>
        <v/>
      </c>
      <c r="P191" t="str">
        <f>IFERROR(IF(VLOOKUP(C191,Comunión!A:C,3,FALSE)=Table1[[#Headers],[Comunión]],Table1[[#Headers],[Comunión]],""),"")</f>
        <v/>
      </c>
      <c r="Q191" t="str">
        <f>IFERROR(IF(VLOOKUP(C191,Niños!A:C,3,FALSE)=Table1[[#Headers],[Niños]],Table1[[#Headers],[Niños]],""),"")</f>
        <v/>
      </c>
      <c r="R191" t="str">
        <f>IFERROR(IF(VLOOKUP(C191,Laudes!A:C,3,FALSE)=Table1[[#Headers],[Laudes]],Table1[[#Headers],[Laudes]],""),"")</f>
        <v/>
      </c>
      <c r="S191" t="str">
        <f>IFERROR(IF(VLOOKUP(C191,'Nuevo Testamento'!A:C,3,FALSE)=Table1[[#Headers],[Nuevo Testamento]],Table1[[#Headers],[Nuevo Testamento]],""),"")</f>
        <v/>
      </c>
      <c r="T191" t="str">
        <f>IFERROR(IF(VLOOKUP(C191,'Antiguo Testamento'!A:C,3,FALSE)=Table1[[#Headers],[Antiguo Testamento]],Table1[[#Headers],[Antiguo Testamento]],""),"")</f>
        <v/>
      </c>
      <c r="U191" t="str">
        <f>IFERROR(IF(VLOOKUP(C191,Final!A:C,3,FALSE)=Table1[[#Headers],[Final]],Table1[[#Headers],[Final]],""),"")</f>
        <v/>
      </c>
      <c r="V191" t="str" cm="1">
        <f t="array" ref="V19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/cantos/src/chtml/s/santohebreo.html</v>
      </c>
      <c r="W19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{id:189,title: "Santo hebreo", subtitle: "Palestina 74", category: "Liturgia", moments: ["","","","","","","","","","","","","","",""], url: "/cantos/src/chtml/s/santohebreo.html"},</v>
      </c>
    </row>
    <row r="192" spans="1:23" x14ac:dyDescent="0.25">
      <c r="A192">
        <v>216</v>
      </c>
      <c r="B192" s="14">
        <v>190</v>
      </c>
      <c r="C192" t="s">
        <v>204</v>
      </c>
      <c r="D192" t="s">
        <v>474</v>
      </c>
      <c r="E192" t="str">
        <f>LOWER(LEFT(Table1[[#This Row],[Canto]],1))</f>
        <v>s</v>
      </c>
      <c r="F192" s="12" t="s">
        <v>289</v>
      </c>
      <c r="G192" t="str">
        <f>IFERROR(IF(VLOOKUP(C192,Adviento!A:C,3,FALSE)=Table1[[#Headers],[Adviento]],Table1[[#Headers],[Adviento]],""),"")</f>
        <v/>
      </c>
      <c r="H192" t="str">
        <f>IFERROR(IF(VLOOKUP(C192,Navidad!A:C,3,FALSE)=Table1[[#Headers],[Navidad]],Table1[[#Headers],[Navidad]],""),"")</f>
        <v/>
      </c>
      <c r="I192" t="str">
        <f>IFERROR(IF(VLOOKUP(C192,Cuaresma!A:C,3,FALSE)=Table1[[#Headers],[Cuaresma]],Table1[[#Headers],[Cuaresma]],""),"")</f>
        <v/>
      </c>
      <c r="J192" t="str">
        <f>IFERROR(IF(VLOOKUP(C192,Pascua!A:C,3,FALSE)=Table1[[#Headers],[Pascua]],Table1[[#Headers],[Pascua]],""),"")</f>
        <v/>
      </c>
      <c r="K192" t="str">
        <f>IFERROR(IF(VLOOKUP(C192,Pentecostés!A:C,3,FALSE)=Table1[[#Headers],[Pentecostés]],Table1[[#Headers],[Pentecostés]],""),"")</f>
        <v/>
      </c>
      <c r="L192" t="str">
        <f>IFERROR(IF(VLOOKUP(C192,Entrada!A:C,3,FALSE)=Table1[[#Headers],[Entrada]],Table1[[#Headers],[Entrada]],""),"")</f>
        <v/>
      </c>
      <c r="M192" t="str">
        <f>IFERROR(IF(VLOOKUP(C192,Virgen!A:C,3,FALSE)=Table1[[#Headers],[Virgen]],Table1[[#Headers],[Virgen]],""),"")</f>
        <v/>
      </c>
      <c r="N192" t="str">
        <f>IFERROR(IF(VLOOKUP(C192,Paz!A:C,3,FALSE)=Table1[[#Headers],[Paz]],Table1[[#Headers],[Paz]],""),"")</f>
        <v/>
      </c>
      <c r="O192" t="str">
        <f>IFERROR(IF(VLOOKUP(C192,Pan!A:C,3,FALSE)=Table1[[#Headers],[Pan]],Table1[[#Headers],[Pan]],""),"")</f>
        <v/>
      </c>
      <c r="P192" t="str">
        <f>IFERROR(IF(VLOOKUP(C192,Comunión!A:C,3,FALSE)=Table1[[#Headers],[Comunión]],Table1[[#Headers],[Comunión]],""),"")</f>
        <v/>
      </c>
      <c r="Q192" t="str">
        <f>IFERROR(IF(VLOOKUP(C192,Niños!A:C,3,FALSE)=Table1[[#Headers],[Niños]],Table1[[#Headers],[Niños]],""),"")</f>
        <v/>
      </c>
      <c r="R192" t="str">
        <f>IFERROR(IF(VLOOKUP(C192,Laudes!A:C,3,FALSE)=Table1[[#Headers],[Laudes]],Table1[[#Headers],[Laudes]],""),"")</f>
        <v/>
      </c>
      <c r="S192" t="str">
        <f>IFERROR(IF(VLOOKUP(C192,'Nuevo Testamento'!A:C,3,FALSE)=Table1[[#Headers],[Nuevo Testamento]],Table1[[#Headers],[Nuevo Testamento]],""),"")</f>
        <v/>
      </c>
      <c r="T192" t="str">
        <f>IFERROR(IF(VLOOKUP(C192,'Antiguo Testamento'!A:C,3,FALSE)=Table1[[#Headers],[Antiguo Testamento]],Table1[[#Headers],[Antiguo Testamento]],""),"")</f>
        <v/>
      </c>
      <c r="U192" t="str">
        <f>IFERROR(IF(VLOOKUP(C192,Final!A:C,3,FALSE)=Table1[[#Headers],[Final]],Table1[[#Headers],[Final]],""),"")</f>
        <v/>
      </c>
      <c r="V192" t="str" cm="1">
        <f t="array" ref="V19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/cantos/src/chtml/s/santopalestina74.html</v>
      </c>
      <c r="W19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{id:190,title: "Santo Palestina 74", subtitle: "Roma 77", category: "Liturgia", moments: ["","","","","","","","","","","","","","",""], url: "/cantos/src/chtml/s/santopalestina74.html"},</v>
      </c>
    </row>
    <row r="193" spans="1:23" x14ac:dyDescent="0.25">
      <c r="A193">
        <v>214</v>
      </c>
      <c r="B193" s="14">
        <v>191</v>
      </c>
      <c r="C193" t="s">
        <v>205</v>
      </c>
      <c r="D193">
        <v>1982</v>
      </c>
      <c r="E193" t="str">
        <f>LOWER(LEFT(Table1[[#This Row],[Canto]],1))</f>
        <v>s</v>
      </c>
      <c r="F193" s="12" t="s">
        <v>289</v>
      </c>
      <c r="G193" t="str">
        <f>IFERROR(IF(VLOOKUP(C193,Adviento!A:C,3,FALSE)=Table1[[#Headers],[Adviento]],Table1[[#Headers],[Adviento]],""),"")</f>
        <v/>
      </c>
      <c r="H193" t="str">
        <f>IFERROR(IF(VLOOKUP(C193,Navidad!A:C,3,FALSE)=Table1[[#Headers],[Navidad]],Table1[[#Headers],[Navidad]],""),"")</f>
        <v/>
      </c>
      <c r="I193" t="str">
        <f>IFERROR(IF(VLOOKUP(C193,Cuaresma!A:C,3,FALSE)=Table1[[#Headers],[Cuaresma]],Table1[[#Headers],[Cuaresma]],""),"")</f>
        <v/>
      </c>
      <c r="J193" t="str">
        <f>IFERROR(IF(VLOOKUP(C193,Pascua!A:C,3,FALSE)=Table1[[#Headers],[Pascua]],Table1[[#Headers],[Pascua]],""),"")</f>
        <v/>
      </c>
      <c r="K193" t="str">
        <f>IFERROR(IF(VLOOKUP(C193,Pentecostés!A:C,3,FALSE)=Table1[[#Headers],[Pentecostés]],Table1[[#Headers],[Pentecostés]],""),"")</f>
        <v/>
      </c>
      <c r="L193" t="str">
        <f>IFERROR(IF(VLOOKUP(C193,Entrada!A:C,3,FALSE)=Table1[[#Headers],[Entrada]],Table1[[#Headers],[Entrada]],""),"")</f>
        <v/>
      </c>
      <c r="M193" t="str">
        <f>IFERROR(IF(VLOOKUP(C193,Virgen!A:C,3,FALSE)=Table1[[#Headers],[Virgen]],Table1[[#Headers],[Virgen]],""),"")</f>
        <v/>
      </c>
      <c r="N193" t="str">
        <f>IFERROR(IF(VLOOKUP(C193,Paz!A:C,3,FALSE)=Table1[[#Headers],[Paz]],Table1[[#Headers],[Paz]],""),"")</f>
        <v/>
      </c>
      <c r="O193" t="str">
        <f>IFERROR(IF(VLOOKUP(C193,Pan!A:C,3,FALSE)=Table1[[#Headers],[Pan]],Table1[[#Headers],[Pan]],""),"")</f>
        <v/>
      </c>
      <c r="P193" t="str">
        <f>IFERROR(IF(VLOOKUP(C193,Comunión!A:C,3,FALSE)=Table1[[#Headers],[Comunión]],Table1[[#Headers],[Comunión]],""),"")</f>
        <v/>
      </c>
      <c r="Q193" t="str">
        <f>IFERROR(IF(VLOOKUP(C193,Niños!A:C,3,FALSE)=Table1[[#Headers],[Niños]],Table1[[#Headers],[Niños]],""),"")</f>
        <v/>
      </c>
      <c r="R193" t="str">
        <f>IFERROR(IF(VLOOKUP(C193,Laudes!A:C,3,FALSE)=Table1[[#Headers],[Laudes]],Table1[[#Headers],[Laudes]],""),"")</f>
        <v/>
      </c>
      <c r="S193" t="str">
        <f>IFERROR(IF(VLOOKUP(C193,'Nuevo Testamento'!A:C,3,FALSE)=Table1[[#Headers],[Nuevo Testamento]],Table1[[#Headers],[Nuevo Testamento]],""),"")</f>
        <v/>
      </c>
      <c r="T193" t="str">
        <f>IFERROR(IF(VLOOKUP(C193,'Antiguo Testamento'!A:C,3,FALSE)=Table1[[#Headers],[Antiguo Testamento]],Table1[[#Headers],[Antiguo Testamento]],""),"")</f>
        <v/>
      </c>
      <c r="U193" t="str">
        <f>IFERROR(IF(VLOOKUP(C193,Final!A:C,3,FALSE)=Table1[[#Headers],[Final]],Table1[[#Headers],[Final]],""),"")</f>
        <v/>
      </c>
      <c r="V193" t="str" cm="1">
        <f t="array" ref="V19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/cantos/src/chtml/s/santopalomeras65.html</v>
      </c>
      <c r="W19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{id:191,title: "Santo Palomeras 65", subtitle: "1982", category: "Liturgia", moments: ["","","","","","","","","","","","","","",""], url: "/cantos/src/chtml/s/santopalomeras65.html"},</v>
      </c>
    </row>
    <row r="194" spans="1:23" x14ac:dyDescent="0.25">
      <c r="A194">
        <v>217</v>
      </c>
      <c r="B194" s="14">
        <v>192</v>
      </c>
      <c r="C194" t="s">
        <v>206</v>
      </c>
      <c r="D194">
        <v>1988</v>
      </c>
      <c r="E194" t="str">
        <f>LOWER(LEFT(Table1[[#This Row],[Canto]],1))</f>
        <v>s</v>
      </c>
      <c r="F194" s="12" t="s">
        <v>289</v>
      </c>
      <c r="G194" t="str">
        <f>IFERROR(IF(VLOOKUP(C194,Adviento!A:C,3,FALSE)=Table1[[#Headers],[Adviento]],Table1[[#Headers],[Adviento]],""),"")</f>
        <v/>
      </c>
      <c r="H194" t="str">
        <f>IFERROR(IF(VLOOKUP(C194,Navidad!A:C,3,FALSE)=Table1[[#Headers],[Navidad]],Table1[[#Headers],[Navidad]],""),"")</f>
        <v/>
      </c>
      <c r="I194" t="str">
        <f>IFERROR(IF(VLOOKUP(C194,Cuaresma!A:C,3,FALSE)=Table1[[#Headers],[Cuaresma]],Table1[[#Headers],[Cuaresma]],""),"")</f>
        <v/>
      </c>
      <c r="J194" t="str">
        <f>IFERROR(IF(VLOOKUP(C194,Pascua!A:C,3,FALSE)=Table1[[#Headers],[Pascua]],Table1[[#Headers],[Pascua]],""),"")</f>
        <v/>
      </c>
      <c r="K194" t="str">
        <f>IFERROR(IF(VLOOKUP(C194,Pentecostés!A:C,3,FALSE)=Table1[[#Headers],[Pentecostés]],Table1[[#Headers],[Pentecostés]],""),"")</f>
        <v/>
      </c>
      <c r="L194" t="str">
        <f>IFERROR(IF(VLOOKUP(C194,Entrada!A:C,3,FALSE)=Table1[[#Headers],[Entrada]],Table1[[#Headers],[Entrada]],""),"")</f>
        <v/>
      </c>
      <c r="M194" t="str">
        <f>IFERROR(IF(VLOOKUP(C194,Virgen!A:C,3,FALSE)=Table1[[#Headers],[Virgen]],Table1[[#Headers],[Virgen]],""),"")</f>
        <v/>
      </c>
      <c r="N194" t="str">
        <f>IFERROR(IF(VLOOKUP(C194,Paz!A:C,3,FALSE)=Table1[[#Headers],[Paz]],Table1[[#Headers],[Paz]],""),"")</f>
        <v/>
      </c>
      <c r="O194" t="str">
        <f>IFERROR(IF(VLOOKUP(C194,Pan!A:C,3,FALSE)=Table1[[#Headers],[Pan]],Table1[[#Headers],[Pan]],""),"")</f>
        <v/>
      </c>
      <c r="P194" t="str">
        <f>IFERROR(IF(VLOOKUP(C194,Comunión!A:C,3,FALSE)=Table1[[#Headers],[Comunión]],Table1[[#Headers],[Comunión]],""),"")</f>
        <v/>
      </c>
      <c r="Q194" t="str">
        <f>IFERROR(IF(VLOOKUP(C194,Niños!A:C,3,FALSE)=Table1[[#Headers],[Niños]],Table1[[#Headers],[Niños]],""),"")</f>
        <v/>
      </c>
      <c r="R194" t="str">
        <f>IFERROR(IF(VLOOKUP(C194,Laudes!A:C,3,FALSE)=Table1[[#Headers],[Laudes]],Table1[[#Headers],[Laudes]],""),"")</f>
        <v/>
      </c>
      <c r="S194" t="str">
        <f>IFERROR(IF(VLOOKUP(C194,'Nuevo Testamento'!A:C,3,FALSE)=Table1[[#Headers],[Nuevo Testamento]],Table1[[#Headers],[Nuevo Testamento]],""),"")</f>
        <v/>
      </c>
      <c r="T194" t="str">
        <f>IFERROR(IF(VLOOKUP(C194,'Antiguo Testamento'!A:C,3,FALSE)=Table1[[#Headers],[Antiguo Testamento]],Table1[[#Headers],[Antiguo Testamento]],""),"")</f>
        <v/>
      </c>
      <c r="U194" t="str">
        <f>IFERROR(IF(VLOOKUP(C194,Final!A:C,3,FALSE)=Table1[[#Headers],[Final]],Table1[[#Headers],[Final]],""),"")</f>
        <v/>
      </c>
      <c r="V194" t="str" cm="1">
        <f t="array" ref="V19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/cantos/src/chtml/s/santoroma77.html</v>
      </c>
      <c r="W19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{id:192,title: "Santo Roma 77", subtitle: "1988", category: "Liturgia", moments: ["","","","","","","","","","","","","","",""], url: "/cantos/src/chtml/s/santoroma77.html"},</v>
      </c>
    </row>
    <row r="195" spans="1:23" x14ac:dyDescent="0.25">
      <c r="A195">
        <v>145</v>
      </c>
      <c r="B195" s="14">
        <v>193</v>
      </c>
      <c r="C195" t="s">
        <v>207</v>
      </c>
      <c r="D195" t="s">
        <v>379</v>
      </c>
      <c r="E195" t="str">
        <f>LOWER(LEFT(Table1[[#This Row],[Canto]],1))</f>
        <v>s</v>
      </c>
      <c r="F195" t="s">
        <v>288</v>
      </c>
      <c r="G195" t="str">
        <f>IFERROR(IF(VLOOKUP(C195,Adviento!A:C,3,FALSE)=Table1[[#Headers],[Adviento]],Table1[[#Headers],[Adviento]],""),"")</f>
        <v/>
      </c>
      <c r="H195" t="str">
        <f>IFERROR(IF(VLOOKUP(C195,Navidad!A:C,3,FALSE)=Table1[[#Headers],[Navidad]],Table1[[#Headers],[Navidad]],""),"")</f>
        <v/>
      </c>
      <c r="I195" t="str">
        <f>IFERROR(IF(VLOOKUP(C195,Cuaresma!A:C,3,FALSE)=Table1[[#Headers],[Cuaresma]],Table1[[#Headers],[Cuaresma]],""),"")</f>
        <v/>
      </c>
      <c r="J195" t="str">
        <f>IFERROR(IF(VLOOKUP(C195,Pascua!A:C,3,FALSE)=Table1[[#Headers],[Pascua]],Table1[[#Headers],[Pascua]],""),"")</f>
        <v/>
      </c>
      <c r="K195" t="str">
        <f>IFERROR(IF(VLOOKUP(C195,Pentecostés!A:C,3,FALSE)=Table1[[#Headers],[Pentecostés]],Table1[[#Headers],[Pentecostés]],""),"")</f>
        <v/>
      </c>
      <c r="L195" t="str">
        <f>IFERROR(IF(VLOOKUP(C195,Entrada!A:C,3,FALSE)=Table1[[#Headers],[Entrada]],Table1[[#Headers],[Entrada]],""),"")</f>
        <v/>
      </c>
      <c r="M195" t="str">
        <f>IFERROR(IF(VLOOKUP(C195,Virgen!A:C,3,FALSE)=Table1[[#Headers],[Virgen]],Table1[[#Headers],[Virgen]],""),"")</f>
        <v/>
      </c>
      <c r="N195" t="str">
        <f>IFERROR(IF(VLOOKUP(C195,Paz!A:C,3,FALSE)=Table1[[#Headers],[Paz]],Table1[[#Headers],[Paz]],""),"")</f>
        <v>Paz</v>
      </c>
      <c r="O195" t="str">
        <f>IFERROR(IF(VLOOKUP(C195,Pan!A:C,3,FALSE)=Table1[[#Headers],[Pan]],Table1[[#Headers],[Pan]],""),"")</f>
        <v/>
      </c>
      <c r="P195" t="str">
        <f>IFERROR(IF(VLOOKUP(C195,Comunión!A:C,3,FALSE)=Table1[[#Headers],[Comunión]],Table1[[#Headers],[Comunión]],""),"")</f>
        <v/>
      </c>
      <c r="Q195" t="str">
        <f>IFERROR(IF(VLOOKUP(C195,Niños!A:C,3,FALSE)=Table1[[#Headers],[Niños]],Table1[[#Headers],[Niños]],""),"")</f>
        <v>Niños</v>
      </c>
      <c r="R195" t="str">
        <f>IFERROR(IF(VLOOKUP(C195,Laudes!A:C,3,FALSE)=Table1[[#Headers],[Laudes]],Table1[[#Headers],[Laudes]],""),"")</f>
        <v/>
      </c>
      <c r="S195" t="str">
        <f>IFERROR(IF(VLOOKUP(C195,'Nuevo Testamento'!A:C,3,FALSE)=Table1[[#Headers],[Nuevo Testamento]],Table1[[#Headers],[Nuevo Testamento]],""),"")</f>
        <v/>
      </c>
      <c r="T195" t="str">
        <f>IFERROR(IF(VLOOKUP(C195,'Antiguo Testamento'!A:C,3,FALSE)=Table1[[#Headers],[Antiguo Testamento]],Table1[[#Headers],[Antiguo Testamento]],""),"")</f>
        <v/>
      </c>
      <c r="U195" t="str">
        <f>IFERROR(IF(VLOOKUP(C195,Final!A:C,3,FALSE)=Table1[[#Headers],[Final]],Table1[[#Headers],[Final]],""),"")</f>
        <v/>
      </c>
      <c r="V195" t="str" cm="1">
        <f t="array" ref="V19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/cantos/src/chtml/s/seencontrarondosangeles.html</v>
      </c>
      <c r="W19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{id:193,title: "Se encontraron dos ángeles", subtitle: "Melodía hebraica", category: "Precatecumenado", moments: ["","","","","","","","Paz","","","Niños","","","",""], url: "/cantos/src/chtml/s/seencontrarondosangeles.html"},</v>
      </c>
    </row>
    <row r="196" spans="1:23" x14ac:dyDescent="0.25">
      <c r="A196">
        <v>146</v>
      </c>
      <c r="B196" s="14">
        <v>194</v>
      </c>
      <c r="C196" t="s">
        <v>84</v>
      </c>
      <c r="D196" t="s">
        <v>443</v>
      </c>
      <c r="E196" t="str">
        <f>LOWER(LEFT(Table1[[#This Row],[Canto]],1))</f>
        <v>s</v>
      </c>
      <c r="F196" t="s">
        <v>288</v>
      </c>
      <c r="G196" t="str">
        <f>IFERROR(IF(VLOOKUP(C196,Adviento!A:C,3,FALSE)=Table1[[#Headers],[Adviento]],Table1[[#Headers],[Adviento]],""),"")</f>
        <v/>
      </c>
      <c r="H196" t="str">
        <f>IFERROR(IF(VLOOKUP(C196,Navidad!A:C,3,FALSE)=Table1[[#Headers],[Navidad]],Table1[[#Headers],[Navidad]],""),"")</f>
        <v/>
      </c>
      <c r="I196" t="str">
        <f>IFERROR(IF(VLOOKUP(C196,Cuaresma!A:C,3,FALSE)=Table1[[#Headers],[Cuaresma]],Table1[[#Headers],[Cuaresma]],""),"")</f>
        <v>Cuaresma</v>
      </c>
      <c r="J196" t="str">
        <f>IFERROR(IF(VLOOKUP(C196,Pascua!A:C,3,FALSE)=Table1[[#Headers],[Pascua]],Table1[[#Headers],[Pascua]],""),"")</f>
        <v/>
      </c>
      <c r="K196" t="str">
        <f>IFERROR(IF(VLOOKUP(C196,Pentecostés!A:C,3,FALSE)=Table1[[#Headers],[Pentecostés]],Table1[[#Headers],[Pentecostés]],""),"")</f>
        <v/>
      </c>
      <c r="L196" t="str">
        <f>IFERROR(IF(VLOOKUP(C196,Entrada!A:C,3,FALSE)=Table1[[#Headers],[Entrada]],Table1[[#Headers],[Entrada]],""),"")</f>
        <v/>
      </c>
      <c r="M196" t="str">
        <f>IFERROR(IF(VLOOKUP(C196,Virgen!A:C,3,FALSE)=Table1[[#Headers],[Virgen]],Table1[[#Headers],[Virgen]],""),"")</f>
        <v/>
      </c>
      <c r="N196" t="str">
        <f>IFERROR(IF(VLOOKUP(C196,Paz!A:C,3,FALSE)=Table1[[#Headers],[Paz]],Table1[[#Headers],[Paz]],""),"")</f>
        <v/>
      </c>
      <c r="O196" t="str">
        <f>IFERROR(IF(VLOOKUP(C196,Pan!A:C,3,FALSE)=Table1[[#Headers],[Pan]],Table1[[#Headers],[Pan]],""),"")</f>
        <v/>
      </c>
      <c r="P196" t="str">
        <f>IFERROR(IF(VLOOKUP(C196,Comunión!A:C,3,FALSE)=Table1[[#Headers],[Comunión]],Table1[[#Headers],[Comunión]],""),"")</f>
        <v/>
      </c>
      <c r="Q196" t="str">
        <f>IFERROR(IF(VLOOKUP(C196,Niños!A:C,3,FALSE)=Table1[[#Headers],[Niños]],Table1[[#Headers],[Niños]],""),"")</f>
        <v/>
      </c>
      <c r="R196" t="str">
        <f>IFERROR(IF(VLOOKUP(C196,Laudes!A:C,3,FALSE)=Table1[[#Headers],[Laudes]],Table1[[#Headers],[Laudes]],""),"")</f>
        <v>Laudes</v>
      </c>
      <c r="S196" t="str">
        <f>IFERROR(IF(VLOOKUP(C196,'Nuevo Testamento'!A:C,3,FALSE)=Table1[[#Headers],[Nuevo Testamento]],Table1[[#Headers],[Nuevo Testamento]],""),"")</f>
        <v/>
      </c>
      <c r="T196" t="str">
        <f>IFERROR(IF(VLOOKUP(C196,'Antiguo Testamento'!A:C,3,FALSE)=Table1[[#Headers],[Antiguo Testamento]],Table1[[#Headers],[Antiguo Testamento]],""),"")</f>
        <v/>
      </c>
      <c r="U196" t="str">
        <f>IFERROR(IF(VLOOKUP(C196,Final!A:C,3,FALSE)=Table1[[#Headers],[Final]],Table1[[#Headers],[Final]],""),"")</f>
        <v/>
      </c>
      <c r="V196" t="str" cm="1">
        <f t="array" ref="V19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/cantos/src/chtml/s/senorayudameanodudardeti.html</v>
      </c>
      <c r="W19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{id:194,title: "Señor, ayúdame a no dudar de ti", subtitle: "(Kiko Argüello)", category: "Precatecumenado", moments: ["","","Cuaresma","","","","","","","","","Laudes","","",""], url: "/cantos/src/chtml/s/senorayudameanodudardeti.html"},</v>
      </c>
    </row>
    <row r="197" spans="1:23" x14ac:dyDescent="0.25">
      <c r="A197">
        <v>147</v>
      </c>
      <c r="B197" s="14">
        <v>195</v>
      </c>
      <c r="C197" t="s">
        <v>85</v>
      </c>
      <c r="D197" t="s">
        <v>475</v>
      </c>
      <c r="E197" t="str">
        <f>LOWER(LEFT(Table1[[#This Row],[Canto]],1))</f>
        <v>s</v>
      </c>
      <c r="F197" t="s">
        <v>288</v>
      </c>
      <c r="G197" t="str">
        <f>IFERROR(IF(VLOOKUP(C197,Adviento!A:C,3,FALSE)=Table1[[#Headers],[Adviento]],Table1[[#Headers],[Adviento]],""),"")</f>
        <v/>
      </c>
      <c r="H197" t="str">
        <f>IFERROR(IF(VLOOKUP(C197,Navidad!A:C,3,FALSE)=Table1[[#Headers],[Navidad]],Table1[[#Headers],[Navidad]],""),"")</f>
        <v/>
      </c>
      <c r="I197" t="str">
        <f>IFERROR(IF(VLOOKUP(C197,Cuaresma!A:C,3,FALSE)=Table1[[#Headers],[Cuaresma]],Table1[[#Headers],[Cuaresma]],""),"")</f>
        <v>Cuaresma</v>
      </c>
      <c r="J197" t="str">
        <f>IFERROR(IF(VLOOKUP(C197,Pascua!A:C,3,FALSE)=Table1[[#Headers],[Pascua]],Table1[[#Headers],[Pascua]],""),"")</f>
        <v/>
      </c>
      <c r="K197" t="str">
        <f>IFERROR(IF(VLOOKUP(C197,Pentecostés!A:C,3,FALSE)=Table1[[#Headers],[Pentecostés]],Table1[[#Headers],[Pentecostés]],""),"")</f>
        <v/>
      </c>
      <c r="L197" t="str">
        <f>IFERROR(IF(VLOOKUP(C197,Entrada!A:C,3,FALSE)=Table1[[#Headers],[Entrada]],Table1[[#Headers],[Entrada]],""),"")</f>
        <v/>
      </c>
      <c r="M197" t="str">
        <f>IFERROR(IF(VLOOKUP(C197,Virgen!A:C,3,FALSE)=Table1[[#Headers],[Virgen]],Table1[[#Headers],[Virgen]],""),"")</f>
        <v/>
      </c>
      <c r="N197" t="str">
        <f>IFERROR(IF(VLOOKUP(C197,Paz!A:C,3,FALSE)=Table1[[#Headers],[Paz]],Table1[[#Headers],[Paz]],""),"")</f>
        <v/>
      </c>
      <c r="O197" t="str">
        <f>IFERROR(IF(VLOOKUP(C197,Pan!A:C,3,FALSE)=Table1[[#Headers],[Pan]],Table1[[#Headers],[Pan]],""),"")</f>
        <v/>
      </c>
      <c r="P197" t="str">
        <f>IFERROR(IF(VLOOKUP(C197,Comunión!A:C,3,FALSE)=Table1[[#Headers],[Comunión]],Table1[[#Headers],[Comunión]],""),"")</f>
        <v/>
      </c>
      <c r="Q197" t="str">
        <f>IFERROR(IF(VLOOKUP(C197,Niños!A:C,3,FALSE)=Table1[[#Headers],[Niños]],Table1[[#Headers],[Niños]],""),"")</f>
        <v/>
      </c>
      <c r="R197" t="str">
        <f>IFERROR(IF(VLOOKUP(C197,Laudes!A:C,3,FALSE)=Table1[[#Headers],[Laudes]],Table1[[#Headers],[Laudes]],""),"")</f>
        <v>Laudes</v>
      </c>
      <c r="S197" t="str">
        <f>IFERROR(IF(VLOOKUP(C197,'Nuevo Testamento'!A:C,3,FALSE)=Table1[[#Headers],[Nuevo Testamento]],Table1[[#Headers],[Nuevo Testamento]],""),"")</f>
        <v/>
      </c>
      <c r="T197" t="str">
        <f>IFERROR(IF(VLOOKUP(C197,'Antiguo Testamento'!A:C,3,FALSE)=Table1[[#Headers],[Antiguo Testamento]],Table1[[#Headers],[Antiguo Testamento]],""),"")</f>
        <v>Antiguo Testamento</v>
      </c>
      <c r="U197" t="str">
        <f>IFERROR(IF(VLOOKUP(C197,Final!A:C,3,FALSE)=Table1[[#Headers],[Final]],Table1[[#Headers],[Final]],""),"")</f>
        <v/>
      </c>
      <c r="V197" t="str" cm="1">
        <f t="array" ref="V19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/cantos/src/chtml/s/senornomecorrijasentucolera.html</v>
      </c>
      <c r="W19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{id:195,title: "Señor, no me corrijas en tu cólera", subtitle: "Salmo 6", category: "Precatecumenado", moments: ["","","Cuaresma","","","","","","","","","Laudes","","Antiguo Testamento",""], url: "/cantos/src/chtml/s/senornomecorrijasentucolera.html"},</v>
      </c>
    </row>
    <row r="198" spans="1:23" x14ac:dyDescent="0.25">
      <c r="A198">
        <v>233</v>
      </c>
      <c r="B198" s="14">
        <v>196</v>
      </c>
      <c r="C198" t="s">
        <v>208</v>
      </c>
      <c r="D198" t="s">
        <v>476</v>
      </c>
      <c r="E198" t="str">
        <f>LOWER(LEFT(Table1[[#This Row],[Canto]],1))</f>
        <v>s</v>
      </c>
      <c r="F198" s="13" t="s">
        <v>290</v>
      </c>
      <c r="G198" t="str">
        <f>IFERROR(IF(VLOOKUP(C198,Adviento!A:C,3,FALSE)=Table1[[#Headers],[Adviento]],Table1[[#Headers],[Adviento]],""),"")</f>
        <v/>
      </c>
      <c r="H198" t="str">
        <f>IFERROR(IF(VLOOKUP(C198,Navidad!A:C,3,FALSE)=Table1[[#Headers],[Navidad]],Table1[[#Headers],[Navidad]],""),"")</f>
        <v/>
      </c>
      <c r="I198" t="str">
        <f>IFERROR(IF(VLOOKUP(C198,Cuaresma!A:C,3,FALSE)=Table1[[#Headers],[Cuaresma]],Table1[[#Headers],[Cuaresma]],""),"")</f>
        <v/>
      </c>
      <c r="J198" t="str">
        <f>IFERROR(IF(VLOOKUP(C198,Pascua!A:C,3,FALSE)=Table1[[#Headers],[Pascua]],Table1[[#Headers],[Pascua]],""),"")</f>
        <v/>
      </c>
      <c r="K198" t="str">
        <f>IFERROR(IF(VLOOKUP(C198,Pentecostés!A:C,3,FALSE)=Table1[[#Headers],[Pentecostés]],Table1[[#Headers],[Pentecostés]],""),"")</f>
        <v/>
      </c>
      <c r="L198" t="str">
        <f>IFERROR(IF(VLOOKUP(C198,Entrada!A:C,3,FALSE)=Table1[[#Headers],[Entrada]],Table1[[#Headers],[Entrada]],""),"")</f>
        <v/>
      </c>
      <c r="M198" t="str">
        <f>IFERROR(IF(VLOOKUP(C198,Virgen!A:C,3,FALSE)=Table1[[#Headers],[Virgen]],Table1[[#Headers],[Virgen]],""),"")</f>
        <v/>
      </c>
      <c r="N198" t="str">
        <f>IFERROR(IF(VLOOKUP(C198,Paz!A:C,3,FALSE)=Table1[[#Headers],[Paz]],Table1[[#Headers],[Paz]],""),"")</f>
        <v/>
      </c>
      <c r="O198" t="str">
        <f>IFERROR(IF(VLOOKUP(C198,Pan!A:C,3,FALSE)=Table1[[#Headers],[Pan]],Table1[[#Headers],[Pan]],""),"")</f>
        <v/>
      </c>
      <c r="P198" t="str">
        <f>IFERROR(IF(VLOOKUP(C198,Comunión!A:C,3,FALSE)=Table1[[#Headers],[Comunión]],Table1[[#Headers],[Comunión]],""),"")</f>
        <v/>
      </c>
      <c r="Q198" t="str">
        <f>IFERROR(IF(VLOOKUP(C198,Niños!A:C,3,FALSE)=Table1[[#Headers],[Niños]],Table1[[#Headers],[Niños]],""),"")</f>
        <v/>
      </c>
      <c r="R198" t="str">
        <f>IFERROR(IF(VLOOKUP(C198,Laudes!A:C,3,FALSE)=Table1[[#Headers],[Laudes]],Table1[[#Headers],[Laudes]],""),"")</f>
        <v/>
      </c>
      <c r="S198" t="str">
        <f>IFERROR(IF(VLOOKUP(C198,'Nuevo Testamento'!A:C,3,FALSE)=Table1[[#Headers],[Nuevo Testamento]],Table1[[#Headers],[Nuevo Testamento]],""),"")</f>
        <v/>
      </c>
      <c r="T198" t="str">
        <f>IFERROR(IF(VLOOKUP(C198,'Antiguo Testamento'!A:C,3,FALSE)=Table1[[#Headers],[Antiguo Testamento]],Table1[[#Headers],[Antiguo Testamento]],""),"")</f>
        <v>Antiguo Testamento</v>
      </c>
      <c r="U198" t="str">
        <f>IFERROR(IF(VLOOKUP(C198,Final!A:C,3,FALSE)=Table1[[#Headers],[Final]],Table1[[#Headers],[Final]],""),"")</f>
        <v/>
      </c>
      <c r="V198" t="str" cm="1">
        <f t="array" ref="V19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/cantos/src/chtml/s/senortumeescrutasyconoces.html</v>
      </c>
      <c r="W19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{id:196,title: "Señor, tú me escrutas y conoces", subtitle: "Sal 139 (138)", category: "Catecumenado", moments: ["","","","","","","","","","","","","","Antiguo Testamento",""], url: "/cantos/src/chtml/s/senortumeescrutasyconoces.html"},</v>
      </c>
    </row>
    <row r="199" spans="1:23" x14ac:dyDescent="0.25">
      <c r="A199">
        <v>148</v>
      </c>
      <c r="B199" s="14">
        <v>197</v>
      </c>
      <c r="C199" t="s">
        <v>86</v>
      </c>
      <c r="D199" t="s">
        <v>477</v>
      </c>
      <c r="E199" t="str">
        <f>LOWER(LEFT(Table1[[#This Row],[Canto]],1))</f>
        <v>s</v>
      </c>
      <c r="F199" t="s">
        <v>288</v>
      </c>
      <c r="G199" t="str">
        <f>IFERROR(IF(VLOOKUP(C199,Adviento!A:C,3,FALSE)=Table1[[#Headers],[Adviento]],Table1[[#Headers],[Adviento]],""),"")</f>
        <v/>
      </c>
      <c r="H199" t="str">
        <f>IFERROR(IF(VLOOKUP(C199,Navidad!A:C,3,FALSE)=Table1[[#Headers],[Navidad]],Table1[[#Headers],[Navidad]],""),"")</f>
        <v/>
      </c>
      <c r="I199" t="str">
        <f>IFERROR(IF(VLOOKUP(C199,Cuaresma!A:C,3,FALSE)=Table1[[#Headers],[Cuaresma]],Table1[[#Headers],[Cuaresma]],""),"")</f>
        <v/>
      </c>
      <c r="J199" t="str">
        <f>IFERROR(IF(VLOOKUP(C199,Pascua!A:C,3,FALSE)=Table1[[#Headers],[Pascua]],Table1[[#Headers],[Pascua]],""),"")</f>
        <v/>
      </c>
      <c r="K199" t="str">
        <f>IFERROR(IF(VLOOKUP(C199,Pentecostés!A:C,3,FALSE)=Table1[[#Headers],[Pentecostés]],Table1[[#Headers],[Pentecostés]],""),"")</f>
        <v/>
      </c>
      <c r="L199" t="str">
        <f>IFERROR(IF(VLOOKUP(C199,Entrada!A:C,3,FALSE)=Table1[[#Headers],[Entrada]],Table1[[#Headers],[Entrada]],""),"")</f>
        <v/>
      </c>
      <c r="M199" t="str">
        <f>IFERROR(IF(VLOOKUP(C199,Virgen!A:C,3,FALSE)=Table1[[#Headers],[Virgen]],Table1[[#Headers],[Virgen]],""),"")</f>
        <v/>
      </c>
      <c r="N199" t="str">
        <f>IFERROR(IF(VLOOKUP(C199,Paz!A:C,3,FALSE)=Table1[[#Headers],[Paz]],Table1[[#Headers],[Paz]],""),"")</f>
        <v/>
      </c>
      <c r="O199" t="str">
        <f>IFERROR(IF(VLOOKUP(C199,Pan!A:C,3,FALSE)=Table1[[#Headers],[Pan]],Table1[[#Headers],[Pan]],""),"")</f>
        <v/>
      </c>
      <c r="P199" t="str">
        <f>IFERROR(IF(VLOOKUP(C199,Comunión!A:C,3,FALSE)=Table1[[#Headers],[Comunión]],Table1[[#Headers],[Comunión]],""),"")</f>
        <v/>
      </c>
      <c r="Q199" t="str">
        <f>IFERROR(IF(VLOOKUP(C199,Niños!A:C,3,FALSE)=Table1[[#Headers],[Niños]],Table1[[#Headers],[Niños]],""),"")</f>
        <v/>
      </c>
      <c r="R199" t="str">
        <f>IFERROR(IF(VLOOKUP(C199,Laudes!A:C,3,FALSE)=Table1[[#Headers],[Laudes]],Table1[[#Headers],[Laudes]],""),"")</f>
        <v/>
      </c>
      <c r="S199" t="str">
        <f>IFERROR(IF(VLOOKUP(C199,'Nuevo Testamento'!A:C,3,FALSE)=Table1[[#Headers],[Nuevo Testamento]],Table1[[#Headers],[Nuevo Testamento]],""),"")</f>
        <v>Nuevo Testamento</v>
      </c>
      <c r="T199" t="str">
        <f>IFERROR(IF(VLOOKUP(C199,'Antiguo Testamento'!A:C,3,FALSE)=Table1[[#Headers],[Antiguo Testamento]],Table1[[#Headers],[Antiguo Testamento]],""),"")</f>
        <v/>
      </c>
      <c r="U199" t="str">
        <f>IFERROR(IF(VLOOKUP(C199,Final!A:C,3,FALSE)=Table1[[#Headers],[Final]],Table1[[#Headers],[Final]],""),"")</f>
        <v/>
      </c>
      <c r="V199" t="str" cm="1">
        <f t="array" ref="V19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/cantos/src/chtml/s/sermondelamontana.html</v>
      </c>
      <c r="W19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{id:197,title: "Sermón de la montaña", subtitle: "Lucas 6,20-38", category: "Precatecumenado", moments: ["","","","","","","","","","","","","Nuevo Testamento","",""], url: "/cantos/src/chtml/s/sermondelamontana.html"},</v>
      </c>
    </row>
    <row r="200" spans="1:23" x14ac:dyDescent="0.25">
      <c r="A200">
        <v>234</v>
      </c>
      <c r="B200" s="14">
        <v>198</v>
      </c>
      <c r="C200" t="s">
        <v>87</v>
      </c>
      <c r="D200" t="s">
        <v>478</v>
      </c>
      <c r="E200" t="str">
        <f>LOWER(LEFT(Table1[[#This Row],[Canto]],1))</f>
        <v>s</v>
      </c>
      <c r="F200" s="13" t="s">
        <v>290</v>
      </c>
      <c r="G200" t="str">
        <f>IFERROR(IF(VLOOKUP(C200,Adviento!A:C,3,FALSE)=Table1[[#Headers],[Adviento]],Table1[[#Headers],[Adviento]],""),"")</f>
        <v/>
      </c>
      <c r="H200" t="str">
        <f>IFERROR(IF(VLOOKUP(C200,Navidad!A:C,3,FALSE)=Table1[[#Headers],[Navidad]],Table1[[#Headers],[Navidad]],""),"")</f>
        <v/>
      </c>
      <c r="I200" t="str">
        <f>IFERROR(IF(VLOOKUP(C200,Cuaresma!A:C,3,FALSE)=Table1[[#Headers],[Cuaresma]],Table1[[#Headers],[Cuaresma]],""),"")</f>
        <v/>
      </c>
      <c r="J200" t="str">
        <f>IFERROR(IF(VLOOKUP(C200,Pascua!A:C,3,FALSE)=Table1[[#Headers],[Pascua]],Table1[[#Headers],[Pascua]],""),"")</f>
        <v/>
      </c>
      <c r="K200" t="str">
        <f>IFERROR(IF(VLOOKUP(C200,Pentecostés!A:C,3,FALSE)=Table1[[#Headers],[Pentecostés]],Table1[[#Headers],[Pentecostés]],""),"")</f>
        <v/>
      </c>
      <c r="L200" t="str">
        <f>IFERROR(IF(VLOOKUP(C200,Entrada!A:C,3,FALSE)=Table1[[#Headers],[Entrada]],Table1[[#Headers],[Entrada]],""),"")</f>
        <v/>
      </c>
      <c r="M200" t="str">
        <f>IFERROR(IF(VLOOKUP(C200,Virgen!A:C,3,FALSE)=Table1[[#Headers],[Virgen]],Table1[[#Headers],[Virgen]],""),"")</f>
        <v/>
      </c>
      <c r="N200" t="str">
        <f>IFERROR(IF(VLOOKUP(C200,Paz!A:C,3,FALSE)=Table1[[#Headers],[Paz]],Table1[[#Headers],[Paz]],""),"")</f>
        <v/>
      </c>
      <c r="O200" t="str">
        <f>IFERROR(IF(VLOOKUP(C200,Pan!A:C,3,FALSE)=Table1[[#Headers],[Pan]],Table1[[#Headers],[Pan]],""),"")</f>
        <v/>
      </c>
      <c r="P200" t="str">
        <f>IFERROR(IF(VLOOKUP(C200,Comunión!A:C,3,FALSE)=Table1[[#Headers],[Comunión]],Table1[[#Headers],[Comunión]],""),"")</f>
        <v/>
      </c>
      <c r="Q200" t="str">
        <f>IFERROR(IF(VLOOKUP(C200,Niños!A:C,3,FALSE)=Table1[[#Headers],[Niños]],Table1[[#Headers],[Niños]],""),"")</f>
        <v/>
      </c>
      <c r="R200" t="str">
        <f>IFERROR(IF(VLOOKUP(C200,Laudes!A:C,3,FALSE)=Table1[[#Headers],[Laudes]],Table1[[#Headers],[Laudes]],""),"")</f>
        <v/>
      </c>
      <c r="S200" t="str">
        <f>IFERROR(IF(VLOOKUP(C200,'Nuevo Testamento'!A:C,3,FALSE)=Table1[[#Headers],[Nuevo Testamento]],Table1[[#Headers],[Nuevo Testamento]],""),"")</f>
        <v/>
      </c>
      <c r="T200" t="str">
        <f>IFERROR(IF(VLOOKUP(C200,'Antiguo Testamento'!A:C,3,FALSE)=Table1[[#Headers],[Antiguo Testamento]],Table1[[#Headers],[Antiguo Testamento]],""),"")</f>
        <v>Antiguo Testamento</v>
      </c>
      <c r="U200" t="str">
        <f>IFERROR(IF(VLOOKUP(C200,Final!A:C,3,FALSE)=Table1[[#Headers],[Final]],Table1[[#Headers],[Final]],""),"")</f>
        <v/>
      </c>
      <c r="V200" t="str" cm="1">
        <f t="array" ref="V20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/cantos/src/chtml/s/shemaisrael.html</v>
      </c>
      <c r="W20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{id:198,title: "Shemá Israel", subtitle: "Dt 6,4-9", category: "Catecumenado", moments: ["","","","","","","","","","","","","","Antiguo Testamento",""], url: "/cantos/src/chtml/s/shemaisrael.html"},</v>
      </c>
    </row>
    <row r="201" spans="1:23" x14ac:dyDescent="0.25">
      <c r="A201">
        <v>149</v>
      </c>
      <c r="B201" s="14">
        <v>199</v>
      </c>
      <c r="C201" t="s">
        <v>209</v>
      </c>
      <c r="D201" t="s">
        <v>479</v>
      </c>
      <c r="E201" t="str">
        <f>LOWER(LEFT(Table1[[#This Row],[Canto]],1))</f>
        <v>s</v>
      </c>
      <c r="F201" t="s">
        <v>288</v>
      </c>
      <c r="G201" t="str">
        <f>IFERROR(IF(VLOOKUP(C201,Adviento!A:C,3,FALSE)=Table1[[#Headers],[Adviento]],Table1[[#Headers],[Adviento]],""),"")</f>
        <v/>
      </c>
      <c r="H201" t="str">
        <f>IFERROR(IF(VLOOKUP(C201,Navidad!A:C,3,FALSE)=Table1[[#Headers],[Navidad]],Table1[[#Headers],[Navidad]],""),"")</f>
        <v/>
      </c>
      <c r="I201" t="str">
        <f>IFERROR(IF(VLOOKUP(C201,Cuaresma!A:C,3,FALSE)=Table1[[#Headers],[Cuaresma]],Table1[[#Headers],[Cuaresma]],""),"")</f>
        <v/>
      </c>
      <c r="J201" t="str">
        <f>IFERROR(IF(VLOOKUP(C201,Pascua!A:C,3,FALSE)=Table1[[#Headers],[Pascua]],Table1[[#Headers],[Pascua]],""),"")</f>
        <v/>
      </c>
      <c r="K201" t="str">
        <f>IFERROR(IF(VLOOKUP(C201,Pentecostés!A:C,3,FALSE)=Table1[[#Headers],[Pentecostés]],Table1[[#Headers],[Pentecostés]],""),"")</f>
        <v/>
      </c>
      <c r="L201" t="str">
        <f>IFERROR(IF(VLOOKUP(C201,Entrada!A:C,3,FALSE)=Table1[[#Headers],[Entrada]],Table1[[#Headers],[Entrada]],""),"")</f>
        <v/>
      </c>
      <c r="M201" t="str">
        <f>IFERROR(IF(VLOOKUP(C201,Virgen!A:C,3,FALSE)=Table1[[#Headers],[Virgen]],Table1[[#Headers],[Virgen]],""),"")</f>
        <v>Virgen</v>
      </c>
      <c r="N201" t="str">
        <f>IFERROR(IF(VLOOKUP(C201,Paz!A:C,3,FALSE)=Table1[[#Headers],[Paz]],Table1[[#Headers],[Paz]],""),"")</f>
        <v/>
      </c>
      <c r="O201" t="str">
        <f>IFERROR(IF(VLOOKUP(C201,Pan!A:C,3,FALSE)=Table1[[#Headers],[Pan]],Table1[[#Headers],[Pan]],""),"")</f>
        <v/>
      </c>
      <c r="P201" t="str">
        <f>IFERROR(IF(VLOOKUP(C201,Comunión!A:C,3,FALSE)=Table1[[#Headers],[Comunión]],Table1[[#Headers],[Comunión]],""),"")</f>
        <v/>
      </c>
      <c r="Q201" t="str">
        <f>IFERROR(IF(VLOOKUP(C201,Niños!A:C,3,FALSE)=Table1[[#Headers],[Niños]],Table1[[#Headers],[Niños]],""),"")</f>
        <v/>
      </c>
      <c r="R201" t="str">
        <f>IFERROR(IF(VLOOKUP(C201,Laudes!A:C,3,FALSE)=Table1[[#Headers],[Laudes]],Table1[[#Headers],[Laudes]],""),"")</f>
        <v/>
      </c>
      <c r="S201" t="str">
        <f>IFERROR(IF(VLOOKUP(C201,'Nuevo Testamento'!A:C,3,FALSE)=Table1[[#Headers],[Nuevo Testamento]],Table1[[#Headers],[Nuevo Testamento]],""),"")</f>
        <v/>
      </c>
      <c r="T201" t="str">
        <f>IFERROR(IF(VLOOKUP(C201,'Antiguo Testamento'!A:C,3,FALSE)=Table1[[#Headers],[Antiguo Testamento]],Table1[[#Headers],[Antiguo Testamento]],""),"")</f>
        <v/>
      </c>
      <c r="U201" t="str">
        <f>IFERROR(IF(VLOOKUP(C201,Final!A:C,3,FALSE)=Table1[[#Headers],[Final]],Table1[[#Headers],[Final]],""),"")</f>
        <v/>
      </c>
      <c r="V201" t="str" cm="1">
        <f t="array" ref="V20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/cantos/src/chtml/s/shlomlejmariam.html</v>
      </c>
      <c r="W20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{id:199,title: "Shlom lej Mariam", subtitle: "Ave María en arameo antiguo", category: "Precatecumenado", moments: ["","","","","","","Virgen","","","","","","","",""], url: "/cantos/src/chtml/s/shlomlejmariam.html"},</v>
      </c>
    </row>
    <row r="202" spans="1:23" x14ac:dyDescent="0.25">
      <c r="A202">
        <v>150</v>
      </c>
      <c r="B202" s="14">
        <v>200</v>
      </c>
      <c r="C202" t="s">
        <v>210</v>
      </c>
      <c r="D202" t="s">
        <v>480</v>
      </c>
      <c r="E202" t="str">
        <f>LOWER(LEFT(Table1[[#This Row],[Canto]],1))</f>
        <v>s</v>
      </c>
      <c r="F202" t="s">
        <v>288</v>
      </c>
      <c r="G202" t="str">
        <f>IFERROR(IF(VLOOKUP(C202,Adviento!A:C,3,FALSE)=Table1[[#Headers],[Adviento]],Table1[[#Headers],[Adviento]],""),"")</f>
        <v/>
      </c>
      <c r="H202" t="str">
        <f>IFERROR(IF(VLOOKUP(C202,Navidad!A:C,3,FALSE)=Table1[[#Headers],[Navidad]],Table1[[#Headers],[Navidad]],""),"")</f>
        <v/>
      </c>
      <c r="I202" t="str">
        <f>IFERROR(IF(VLOOKUP(C202,Cuaresma!A:C,3,FALSE)=Table1[[#Headers],[Cuaresma]],Table1[[#Headers],[Cuaresma]],""),"")</f>
        <v/>
      </c>
      <c r="J202" t="str">
        <f>IFERROR(IF(VLOOKUP(C202,Pascua!A:C,3,FALSE)=Table1[[#Headers],[Pascua]],Table1[[#Headers],[Pascua]],""),"")</f>
        <v/>
      </c>
      <c r="K202" t="str">
        <f>IFERROR(IF(VLOOKUP(C202,Pentecostés!A:C,3,FALSE)=Table1[[#Headers],[Pentecostés]],Table1[[#Headers],[Pentecostés]],""),"")</f>
        <v/>
      </c>
      <c r="L202" t="str">
        <f>IFERROR(IF(VLOOKUP(C202,Entrada!A:C,3,FALSE)=Table1[[#Headers],[Entrada]],Table1[[#Headers],[Entrada]],""),"")</f>
        <v>Entrada</v>
      </c>
      <c r="M202" t="str">
        <f>IFERROR(IF(VLOOKUP(C202,Virgen!A:C,3,FALSE)=Table1[[#Headers],[Virgen]],Table1[[#Headers],[Virgen]],""),"")</f>
        <v/>
      </c>
      <c r="N202" t="str">
        <f>IFERROR(IF(VLOOKUP(C202,Paz!A:C,3,FALSE)=Table1[[#Headers],[Paz]],Table1[[#Headers],[Paz]],""),"")</f>
        <v/>
      </c>
      <c r="O202" t="str">
        <f>IFERROR(IF(VLOOKUP(C202,Pan!A:C,3,FALSE)=Table1[[#Headers],[Pan]],Table1[[#Headers],[Pan]],""),"")</f>
        <v/>
      </c>
      <c r="P202" t="str">
        <f>IFERROR(IF(VLOOKUP(C202,Comunión!A:C,3,FALSE)=Table1[[#Headers],[Comunión]],Table1[[#Headers],[Comunión]],""),"")</f>
        <v/>
      </c>
      <c r="Q202" t="str">
        <f>IFERROR(IF(VLOOKUP(C202,Niños!A:C,3,FALSE)=Table1[[#Headers],[Niños]],Table1[[#Headers],[Niños]],""),"")</f>
        <v/>
      </c>
      <c r="R202" t="str">
        <f>IFERROR(IF(VLOOKUP(C202,Laudes!A:C,3,FALSE)=Table1[[#Headers],[Laudes]],Table1[[#Headers],[Laudes]],""),"")</f>
        <v/>
      </c>
      <c r="S202" t="str">
        <f>IFERROR(IF(VLOOKUP(C202,'Nuevo Testamento'!A:C,3,FALSE)=Table1[[#Headers],[Nuevo Testamento]],Table1[[#Headers],[Nuevo Testamento]],""),"")</f>
        <v/>
      </c>
      <c r="T202" t="str">
        <f>IFERROR(IF(VLOOKUP(C202,'Antiguo Testamento'!A:C,3,FALSE)=Table1[[#Headers],[Antiguo Testamento]],Table1[[#Headers],[Antiguo Testamento]],""),"")</f>
        <v>Antiguo Testamento</v>
      </c>
      <c r="U202" t="str">
        <f>IFERROR(IF(VLOOKUP(C202,Final!A:C,3,FALSE)=Table1[[#Headers],[Final]],Table1[[#Headers],[Final]],""),"")</f>
        <v/>
      </c>
      <c r="V202" t="str" cm="1">
        <f t="array" ref="V20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/cantos/src/chtml/s/sielsenornoconstruyelacasa.html</v>
      </c>
      <c r="W20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{id:200,title: "Si el Señor no construye la casa", subtitle: "Sal 127 (126)", category: "Precatecumenado", moments: ["","","","","","Entrada","","","","","","","","Antiguo Testamento",""], url: "/cantos/src/chtml/s/sielsenornoconstruyelacasa.html"},</v>
      </c>
    </row>
    <row r="203" spans="1:23" x14ac:dyDescent="0.25">
      <c r="A203">
        <v>151</v>
      </c>
      <c r="B203" s="14">
        <v>201</v>
      </c>
      <c r="C203" t="s">
        <v>211</v>
      </c>
      <c r="D203" t="s">
        <v>481</v>
      </c>
      <c r="E203" t="str">
        <f>LOWER(LEFT(Table1[[#This Row],[Canto]],1))</f>
        <v>s</v>
      </c>
      <c r="F203" t="s">
        <v>288</v>
      </c>
      <c r="G203" t="str">
        <f>IFERROR(IF(VLOOKUP(C203,Adviento!A:C,3,FALSE)=Table1[[#Headers],[Adviento]],Table1[[#Headers],[Adviento]],""),"")</f>
        <v/>
      </c>
      <c r="H203" t="str">
        <f>IFERROR(IF(VLOOKUP(C203,Navidad!A:C,3,FALSE)=Table1[[#Headers],[Navidad]],Table1[[#Headers],[Navidad]],""),"")</f>
        <v/>
      </c>
      <c r="I203" t="str">
        <f>IFERROR(IF(VLOOKUP(C203,Cuaresma!A:C,3,FALSE)=Table1[[#Headers],[Cuaresma]],Table1[[#Headers],[Cuaresma]],""),"")</f>
        <v/>
      </c>
      <c r="J203" t="str">
        <f>IFERROR(IF(VLOOKUP(C203,Pascua!A:C,3,FALSE)=Table1[[#Headers],[Pascua]],Table1[[#Headers],[Pascua]],""),"")</f>
        <v/>
      </c>
      <c r="K203" t="str">
        <f>IFERROR(IF(VLOOKUP(C203,Pentecostés!A:C,3,FALSE)=Table1[[#Headers],[Pentecostés]],Table1[[#Headers],[Pentecostés]],""),"")</f>
        <v/>
      </c>
      <c r="L203" t="str">
        <f>IFERROR(IF(VLOOKUP(C203,Entrada!A:C,3,FALSE)=Table1[[#Headers],[Entrada]],Table1[[#Headers],[Entrada]],""),"")</f>
        <v/>
      </c>
      <c r="M203" t="str">
        <f>IFERROR(IF(VLOOKUP(C203,Virgen!A:C,3,FALSE)=Table1[[#Headers],[Virgen]],Table1[[#Headers],[Virgen]],""),"")</f>
        <v/>
      </c>
      <c r="N203" t="str">
        <f>IFERROR(IF(VLOOKUP(C203,Paz!A:C,3,FALSE)=Table1[[#Headers],[Paz]],Table1[[#Headers],[Paz]],""),"")</f>
        <v/>
      </c>
      <c r="O203" t="str">
        <f>IFERROR(IF(VLOOKUP(C203,Pan!A:C,3,FALSE)=Table1[[#Headers],[Pan]],Table1[[#Headers],[Pan]],""),"")</f>
        <v/>
      </c>
      <c r="P203" t="str">
        <f>IFERROR(IF(VLOOKUP(C203,Comunión!A:C,3,FALSE)=Table1[[#Headers],[Comunión]],Table1[[#Headers],[Comunión]],""),"")</f>
        <v/>
      </c>
      <c r="Q203" t="str">
        <f>IFERROR(IF(VLOOKUP(C203,Niños!A:C,3,FALSE)=Table1[[#Headers],[Niños]],Table1[[#Headers],[Niños]],""),"")</f>
        <v/>
      </c>
      <c r="R203" t="str">
        <f>IFERROR(IF(VLOOKUP(C203,Laudes!A:C,3,FALSE)=Table1[[#Headers],[Laudes]],Table1[[#Headers],[Laudes]],""),"")</f>
        <v/>
      </c>
      <c r="S203" t="str">
        <f>IFERROR(IF(VLOOKUP(C203,'Nuevo Testamento'!A:C,3,FALSE)=Table1[[#Headers],[Nuevo Testamento]],Table1[[#Headers],[Nuevo Testamento]],""),"")</f>
        <v/>
      </c>
      <c r="T203" t="str">
        <f>IFERROR(IF(VLOOKUP(C203,'Antiguo Testamento'!A:C,3,FALSE)=Table1[[#Headers],[Antiguo Testamento]],Table1[[#Headers],[Antiguo Testamento]],""),"")</f>
        <v/>
      </c>
      <c r="U203" t="str">
        <f>IFERROR(IF(VLOOKUP(C203,Final!A:C,3,FALSE)=Table1[[#Headers],[Final]],Table1[[#Headers],[Final]],""),"")</f>
        <v/>
      </c>
      <c r="V203" t="str" cm="1">
        <f t="array" ref="V20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/cantos/src/chtml/s/sihabeisresucitadoconcristo.html</v>
      </c>
      <c r="W20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{id:201,title: "Si habéis resucitado con Cristo", subtitle: "Colosense 3,1-4", category: "Precatecumenado", moments: ["","","","","","","","","","","","","","",""], url: "/cantos/src/chtml/s/sihabeisresucitadoconcristo.html"},</v>
      </c>
    </row>
    <row r="204" spans="1:23" x14ac:dyDescent="0.25">
      <c r="A204">
        <v>152</v>
      </c>
      <c r="B204" s="14">
        <v>202</v>
      </c>
      <c r="C204" t="s">
        <v>88</v>
      </c>
      <c r="D204" t="s">
        <v>482</v>
      </c>
      <c r="E204" t="str">
        <f>LOWER(LEFT(Table1[[#This Row],[Canto]],1))</f>
        <v>s</v>
      </c>
      <c r="F204" t="s">
        <v>288</v>
      </c>
      <c r="G204" t="str">
        <f>IFERROR(IF(VLOOKUP(C204,Adviento!A:C,3,FALSE)=Table1[[#Headers],[Adviento]],Table1[[#Headers],[Adviento]],""),"")</f>
        <v/>
      </c>
      <c r="H204" t="str">
        <f>IFERROR(IF(VLOOKUP(C204,Navidad!A:C,3,FALSE)=Table1[[#Headers],[Navidad]],Table1[[#Headers],[Navidad]],""),"")</f>
        <v/>
      </c>
      <c r="I204" t="str">
        <f>IFERROR(IF(VLOOKUP(C204,Cuaresma!A:C,3,FALSE)=Table1[[#Headers],[Cuaresma]],Table1[[#Headers],[Cuaresma]],""),"")</f>
        <v/>
      </c>
      <c r="J204" t="str">
        <f>IFERROR(IF(VLOOKUP(C204,Pascua!A:C,3,FALSE)=Table1[[#Headers],[Pascua]],Table1[[#Headers],[Pascua]],""),"")</f>
        <v/>
      </c>
      <c r="K204" t="str">
        <f>IFERROR(IF(VLOOKUP(C204,Pentecostés!A:C,3,FALSE)=Table1[[#Headers],[Pentecostés]],Table1[[#Headers],[Pentecostés]],""),"")</f>
        <v/>
      </c>
      <c r="L204" t="str">
        <f>IFERROR(IF(VLOOKUP(C204,Entrada!A:C,3,FALSE)=Table1[[#Headers],[Entrada]],Table1[[#Headers],[Entrada]],""),"")</f>
        <v/>
      </c>
      <c r="M204" t="str">
        <f>IFERROR(IF(VLOOKUP(C204,Virgen!A:C,3,FALSE)=Table1[[#Headers],[Virgen]],Table1[[#Headers],[Virgen]],""),"")</f>
        <v/>
      </c>
      <c r="N204" t="str">
        <f>IFERROR(IF(VLOOKUP(C204,Paz!A:C,3,FALSE)=Table1[[#Headers],[Paz]],Table1[[#Headers],[Paz]],""),"")</f>
        <v/>
      </c>
      <c r="O204" t="str">
        <f>IFERROR(IF(VLOOKUP(C204,Pan!A:C,3,FALSE)=Table1[[#Headers],[Pan]],Table1[[#Headers],[Pan]],""),"")</f>
        <v/>
      </c>
      <c r="P204" t="str">
        <f>IFERROR(IF(VLOOKUP(C204,Comunión!A:C,3,FALSE)=Table1[[#Headers],[Comunión]],Table1[[#Headers],[Comunión]],""),"")</f>
        <v/>
      </c>
      <c r="Q204" t="str">
        <f>IFERROR(IF(VLOOKUP(C204,Niños!A:C,3,FALSE)=Table1[[#Headers],[Niños]],Table1[[#Headers],[Niños]],""),"")</f>
        <v/>
      </c>
      <c r="R204" t="str">
        <f>IFERROR(IF(VLOOKUP(C204,Laudes!A:C,3,FALSE)=Table1[[#Headers],[Laudes]],Table1[[#Headers],[Laudes]],""),"")</f>
        <v/>
      </c>
      <c r="S204" t="str">
        <f>IFERROR(IF(VLOOKUP(C204,'Nuevo Testamento'!A:C,3,FALSE)=Table1[[#Headers],[Nuevo Testamento]],Table1[[#Headers],[Nuevo Testamento]],""),"")</f>
        <v/>
      </c>
      <c r="T204" t="str">
        <f>IFERROR(IF(VLOOKUP(C204,'Antiguo Testamento'!A:C,3,FALSE)=Table1[[#Headers],[Antiguo Testamento]],Table1[[#Headers],[Antiguo Testamento]],""),"")</f>
        <v>Antiguo Testamento</v>
      </c>
      <c r="U204" t="str">
        <f>IFERROR(IF(VLOOKUP(C204,Final!A:C,3,FALSE)=Table1[[#Headers],[Final]],Table1[[#Headers],[Final]],""),"")</f>
        <v/>
      </c>
      <c r="V204" t="str" cm="1">
        <f t="array" ref="V20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/cantos/src/chtml/s/sihoyescuchaissuvoz.html</v>
      </c>
      <c r="W20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{id:202,title: "Si hoy escucháis su voz", subtitle: "Sal 95 (94)", category: "Precatecumenado", moments: ["","","","","","","","","","","","","","Antiguo Testamento",""], url: "/cantos/src/chtml/s/sihoyescuchaissuvoz.html"},</v>
      </c>
    </row>
    <row r="205" spans="1:23" x14ac:dyDescent="0.25">
      <c r="A205">
        <v>153</v>
      </c>
      <c r="B205" s="14">
        <v>203</v>
      </c>
      <c r="C205" t="s">
        <v>89</v>
      </c>
      <c r="D205" t="s">
        <v>483</v>
      </c>
      <c r="E205" t="str">
        <f>LOWER(LEFT(Table1[[#This Row],[Canto]],1))</f>
        <v>s</v>
      </c>
      <c r="F205" t="s">
        <v>288</v>
      </c>
      <c r="G205" t="str">
        <f>IFERROR(IF(VLOOKUP(C205,Adviento!A:C,3,FALSE)=Table1[[#Headers],[Adviento]],Table1[[#Headers],[Adviento]],""),"")</f>
        <v/>
      </c>
      <c r="H205" t="str">
        <f>IFERROR(IF(VLOOKUP(C205,Navidad!A:C,3,FALSE)=Table1[[#Headers],[Navidad]],Table1[[#Headers],[Navidad]],""),"")</f>
        <v/>
      </c>
      <c r="I205" t="str">
        <f>IFERROR(IF(VLOOKUP(C205,Cuaresma!A:C,3,FALSE)=Table1[[#Headers],[Cuaresma]],Table1[[#Headers],[Cuaresma]],""),"")</f>
        <v>Cuaresma</v>
      </c>
      <c r="J205" t="str">
        <f>IFERROR(IF(VLOOKUP(C205,Pascua!A:C,3,FALSE)=Table1[[#Headers],[Pascua]],Table1[[#Headers],[Pascua]],""),"")</f>
        <v/>
      </c>
      <c r="K205" t="str">
        <f>IFERROR(IF(VLOOKUP(C205,Pentecostés!A:C,3,FALSE)=Table1[[#Headers],[Pentecostés]],Table1[[#Headers],[Pentecostés]],""),"")</f>
        <v/>
      </c>
      <c r="L205" t="str">
        <f>IFERROR(IF(VLOOKUP(C205,Entrada!A:C,3,FALSE)=Table1[[#Headers],[Entrada]],Table1[[#Headers],[Entrada]],""),"")</f>
        <v/>
      </c>
      <c r="M205" t="str">
        <f>IFERROR(IF(VLOOKUP(C205,Virgen!A:C,3,FALSE)=Table1[[#Headers],[Virgen]],Table1[[#Headers],[Virgen]],""),"")</f>
        <v/>
      </c>
      <c r="N205" t="str">
        <f>IFERROR(IF(VLOOKUP(C205,Paz!A:C,3,FALSE)=Table1[[#Headers],[Paz]],Table1[[#Headers],[Paz]],""),"")</f>
        <v/>
      </c>
      <c r="O205" t="str">
        <f>IFERROR(IF(VLOOKUP(C205,Pan!A:C,3,FALSE)=Table1[[#Headers],[Pan]],Table1[[#Headers],[Pan]],""),"")</f>
        <v/>
      </c>
      <c r="P205" t="str">
        <f>IFERROR(IF(VLOOKUP(C205,Comunión!A:C,3,FALSE)=Table1[[#Headers],[Comunión]],Table1[[#Headers],[Comunión]],""),"")</f>
        <v/>
      </c>
      <c r="Q205" t="str">
        <f>IFERROR(IF(VLOOKUP(C205,Niños!A:C,3,FALSE)=Table1[[#Headers],[Niños]],Table1[[#Headers],[Niños]],""),"")</f>
        <v/>
      </c>
      <c r="R205" t="str">
        <f>IFERROR(IF(VLOOKUP(C205,Laudes!A:C,3,FALSE)=Table1[[#Headers],[Laudes]],Table1[[#Headers],[Laudes]],""),"")</f>
        <v/>
      </c>
      <c r="S205" t="str">
        <f>IFERROR(IF(VLOOKUP(C205,'Nuevo Testamento'!A:C,3,FALSE)=Table1[[#Headers],[Nuevo Testamento]],Table1[[#Headers],[Nuevo Testamento]],""),"")</f>
        <v/>
      </c>
      <c r="T205" t="str">
        <f>IFERROR(IF(VLOOKUP(C205,'Antiguo Testamento'!A:C,3,FALSE)=Table1[[#Headers],[Antiguo Testamento]],Table1[[#Headers],[Antiguo Testamento]],""),"")</f>
        <v>Antiguo Testamento</v>
      </c>
      <c r="U205" t="str">
        <f>IFERROR(IF(VLOOKUP(C205,Final!A:C,3,FALSE)=Table1[[#Headers],[Final]],Table1[[#Headers],[Final]],""),"")</f>
        <v/>
      </c>
      <c r="V205" t="str" cm="1">
        <f t="array" ref="V20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/cantos/src/chtml/s/simeherefugiadoenelsenor.html</v>
      </c>
      <c r="W20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{id:203,title: "Si me he refugiado en el Señor", subtitle: "Sal 11(10)", category: "Precatecumenado", moments: ["","","Cuaresma","","","","","","","","","","","Antiguo Testamento",""], url: "/cantos/src/chtml/s/simeherefugiadoenelsenor.html"},</v>
      </c>
    </row>
    <row r="206" spans="1:23" x14ac:dyDescent="0.25">
      <c r="A206">
        <v>235</v>
      </c>
      <c r="B206" s="14">
        <v>204</v>
      </c>
      <c r="C206" t="s">
        <v>212</v>
      </c>
      <c r="D206" t="s">
        <v>484</v>
      </c>
      <c r="E206" t="str">
        <f>LOWER(LEFT(Table1[[#This Row],[Canto]],1))</f>
        <v>s</v>
      </c>
      <c r="F206" s="13" t="s">
        <v>290</v>
      </c>
      <c r="G206" t="str">
        <f>IFERROR(IF(VLOOKUP(C206,Adviento!A:C,3,FALSE)=Table1[[#Headers],[Adviento]],Table1[[#Headers],[Adviento]],""),"")</f>
        <v/>
      </c>
      <c r="H206" t="str">
        <f>IFERROR(IF(VLOOKUP(C206,Navidad!A:C,3,FALSE)=Table1[[#Headers],[Navidad]],Table1[[#Headers],[Navidad]],""),"")</f>
        <v/>
      </c>
      <c r="I206" t="str">
        <f>IFERROR(IF(VLOOKUP(C206,Cuaresma!A:C,3,FALSE)=Table1[[#Headers],[Cuaresma]],Table1[[#Headers],[Cuaresma]],""),"")</f>
        <v>Cuaresma</v>
      </c>
      <c r="J206" t="str">
        <f>IFERROR(IF(VLOOKUP(C206,Pascua!A:C,3,FALSE)=Table1[[#Headers],[Pascua]],Table1[[#Headers],[Pascua]],""),"")</f>
        <v/>
      </c>
      <c r="K206" t="str">
        <f>IFERROR(IF(VLOOKUP(C206,Pentecostés!A:C,3,FALSE)=Table1[[#Headers],[Pentecostés]],Table1[[#Headers],[Pentecostés]],""),"")</f>
        <v/>
      </c>
      <c r="L206" t="str">
        <f>IFERROR(IF(VLOOKUP(C206,Entrada!A:C,3,FALSE)=Table1[[#Headers],[Entrada]],Table1[[#Headers],[Entrada]],""),"")</f>
        <v/>
      </c>
      <c r="M206" t="str">
        <f>IFERROR(IF(VLOOKUP(C206,Virgen!A:C,3,FALSE)=Table1[[#Headers],[Virgen]],Table1[[#Headers],[Virgen]],""),"")</f>
        <v/>
      </c>
      <c r="N206" t="str">
        <f>IFERROR(IF(VLOOKUP(C206,Paz!A:C,3,FALSE)=Table1[[#Headers],[Paz]],Table1[[#Headers],[Paz]],""),"")</f>
        <v/>
      </c>
      <c r="O206" t="str">
        <f>IFERROR(IF(VLOOKUP(C206,Pan!A:C,3,FALSE)=Table1[[#Headers],[Pan]],Table1[[#Headers],[Pan]],""),"")</f>
        <v/>
      </c>
      <c r="P206" t="str">
        <f>IFERROR(IF(VLOOKUP(C206,Comunión!A:C,3,FALSE)=Table1[[#Headers],[Comunión]],Table1[[#Headers],[Comunión]],""),"")</f>
        <v/>
      </c>
      <c r="Q206" t="str">
        <f>IFERROR(IF(VLOOKUP(C206,Niños!A:C,3,FALSE)=Table1[[#Headers],[Niños]],Table1[[#Headers],[Niños]],""),"")</f>
        <v/>
      </c>
      <c r="R206" t="str">
        <f>IFERROR(IF(VLOOKUP(C206,Laudes!A:C,3,FALSE)=Table1[[#Headers],[Laudes]],Table1[[#Headers],[Laudes]],""),"")</f>
        <v/>
      </c>
      <c r="S206" t="str">
        <f>IFERROR(IF(VLOOKUP(C206,'Nuevo Testamento'!A:C,3,FALSE)=Table1[[#Headers],[Nuevo Testamento]],Table1[[#Headers],[Nuevo Testamento]],""),"")</f>
        <v/>
      </c>
      <c r="T206" t="str">
        <f>IFERROR(IF(VLOOKUP(C206,'Antiguo Testamento'!A:C,3,FALSE)=Table1[[#Headers],[Antiguo Testamento]],Table1[[#Headers],[Antiguo Testamento]],""),"")</f>
        <v>Antiguo Testamento</v>
      </c>
      <c r="U206" t="str">
        <f>IFERROR(IF(VLOOKUP(C206,Final!A:C,3,FALSE)=Table1[[#Headers],[Final]],Table1[[#Headers],[Final]],""),"")</f>
        <v/>
      </c>
      <c r="V206" t="str" cm="1">
        <f t="array" ref="V20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/cantos/src/chtml/s/sientatesolitarioysilencioso.html</v>
      </c>
      <c r="W20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{id:204,title: "Siéntate solitario y silencioso", subtitle: "Lamentaciones 3", category: "Catecumenado", moments: ["","","Cuaresma","","","","","","","","","","","Antiguo Testamento",""], url: "/cantos/src/chtml/s/sientatesolitarioysilencioso.html"},</v>
      </c>
    </row>
    <row r="207" spans="1:23" x14ac:dyDescent="0.25">
      <c r="A207">
        <v>154</v>
      </c>
      <c r="B207" s="14">
        <v>205</v>
      </c>
      <c r="C207" t="s">
        <v>213</v>
      </c>
      <c r="D207" t="s">
        <v>485</v>
      </c>
      <c r="E207" t="str">
        <f>LOWER(LEFT(Table1[[#This Row],[Canto]],1))</f>
        <v>s</v>
      </c>
      <c r="F207" t="s">
        <v>288</v>
      </c>
      <c r="G207" t="str">
        <f>IFERROR(IF(VLOOKUP(C207,Adviento!A:C,3,FALSE)=Table1[[#Headers],[Adviento]],Table1[[#Headers],[Adviento]],""),"")</f>
        <v/>
      </c>
      <c r="H207" t="str">
        <f>IFERROR(IF(VLOOKUP(C207,Navidad!A:C,3,FALSE)=Table1[[#Headers],[Navidad]],Table1[[#Headers],[Navidad]],""),"")</f>
        <v/>
      </c>
      <c r="I207" t="str">
        <f>IFERROR(IF(VLOOKUP(C207,Cuaresma!A:C,3,FALSE)=Table1[[#Headers],[Cuaresma]],Table1[[#Headers],[Cuaresma]],""),"")</f>
        <v/>
      </c>
      <c r="J207" t="str">
        <f>IFERROR(IF(VLOOKUP(C207,Pascua!A:C,3,FALSE)=Table1[[#Headers],[Pascua]],Table1[[#Headers],[Pascua]],""),"")</f>
        <v/>
      </c>
      <c r="K207" t="str">
        <f>IFERROR(IF(VLOOKUP(C207,Pentecostés!A:C,3,FALSE)=Table1[[#Headers],[Pentecostés]],Table1[[#Headers],[Pentecostés]],""),"")</f>
        <v/>
      </c>
      <c r="L207" t="str">
        <f>IFERROR(IF(VLOOKUP(C207,Entrada!A:C,3,FALSE)=Table1[[#Headers],[Entrada]],Table1[[#Headers],[Entrada]],""),"")</f>
        <v/>
      </c>
      <c r="M207" t="str">
        <f>IFERROR(IF(VLOOKUP(C207,Virgen!A:C,3,FALSE)=Table1[[#Headers],[Virgen]],Table1[[#Headers],[Virgen]],""),"")</f>
        <v>Virgen</v>
      </c>
      <c r="N207" t="str">
        <f>IFERROR(IF(VLOOKUP(C207,Paz!A:C,3,FALSE)=Table1[[#Headers],[Paz]],Table1[[#Headers],[Paz]],""),"")</f>
        <v/>
      </c>
      <c r="O207" t="str">
        <f>IFERROR(IF(VLOOKUP(C207,Pan!A:C,3,FALSE)=Table1[[#Headers],[Pan]],Table1[[#Headers],[Pan]],""),"")</f>
        <v/>
      </c>
      <c r="P207" t="str">
        <f>IFERROR(IF(VLOOKUP(C207,Comunión!A:C,3,FALSE)=Table1[[#Headers],[Comunión]],Table1[[#Headers],[Comunión]],""),"")</f>
        <v/>
      </c>
      <c r="Q207" t="str">
        <f>IFERROR(IF(VLOOKUP(C207,Niños!A:C,3,FALSE)=Table1[[#Headers],[Niños]],Table1[[#Headers],[Niños]],""),"")</f>
        <v/>
      </c>
      <c r="R207" t="str">
        <f>IFERROR(IF(VLOOKUP(C207,Laudes!A:C,3,FALSE)=Table1[[#Headers],[Laudes]],Table1[[#Headers],[Laudes]],""),"")</f>
        <v/>
      </c>
      <c r="S207" t="str">
        <f>IFERROR(IF(VLOOKUP(C207,'Nuevo Testamento'!A:C,3,FALSE)=Table1[[#Headers],[Nuevo Testamento]],Table1[[#Headers],[Nuevo Testamento]],""),"")</f>
        <v/>
      </c>
      <c r="T207" t="str">
        <f>IFERROR(IF(VLOOKUP(C207,'Antiguo Testamento'!A:C,3,FALSE)=Table1[[#Headers],[Antiguo Testamento]],Table1[[#Headers],[Antiguo Testamento]],""),"")</f>
        <v>Antiguo Testamento</v>
      </c>
      <c r="U207" t="str">
        <f>IFERROR(IF(VLOOKUP(C207,Final!A:C,3,FALSE)=Table1[[#Headers],[Final]],Table1[[#Headers],[Final]],""),"")</f>
        <v>Final</v>
      </c>
      <c r="V207" t="str" cm="1">
        <f t="array" ref="V20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/cantos/src/chtml/s/sionmadredetodoslospueblos.html</v>
      </c>
      <c r="W20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{id:205,title: "Sión, madre de todos los pueblos", subtitle: "Sal 87 (86)", category: "Precatecumenado", moments: ["","","","","","","Virgen","","","","","","","Antiguo Testamento","Final"], url: "/cantos/src/chtml/s/sionmadredetodoslospueblos.html"},</v>
      </c>
    </row>
    <row r="208" spans="1:23" x14ac:dyDescent="0.25">
      <c r="A208">
        <v>155</v>
      </c>
      <c r="B208" s="14">
        <v>206</v>
      </c>
      <c r="C208" t="s">
        <v>214</v>
      </c>
      <c r="D208" t="s">
        <v>443</v>
      </c>
      <c r="E208" t="str">
        <f>LOWER(LEFT(Table1[[#This Row],[Canto]],1))</f>
        <v>s</v>
      </c>
      <c r="F208" t="s">
        <v>288</v>
      </c>
      <c r="G208" t="str">
        <f>IFERROR(IF(VLOOKUP(C208,Adviento!A:C,3,FALSE)=Table1[[#Headers],[Adviento]],Table1[[#Headers],[Adviento]],""),"")</f>
        <v/>
      </c>
      <c r="H208" t="str">
        <f>IFERROR(IF(VLOOKUP(C208,Navidad!A:C,3,FALSE)=Table1[[#Headers],[Navidad]],Table1[[#Headers],[Navidad]],""),"")</f>
        <v/>
      </c>
      <c r="I208" t="str">
        <f>IFERROR(IF(VLOOKUP(C208,Cuaresma!A:C,3,FALSE)=Table1[[#Headers],[Cuaresma]],Table1[[#Headers],[Cuaresma]],""),"")</f>
        <v>Cuaresma</v>
      </c>
      <c r="J208" t="str">
        <f>IFERROR(IF(VLOOKUP(C208,Pascua!A:C,3,FALSE)=Table1[[#Headers],[Pascua]],Table1[[#Headers],[Pascua]],""),"")</f>
        <v/>
      </c>
      <c r="K208" t="str">
        <f>IFERROR(IF(VLOOKUP(C208,Pentecostés!A:C,3,FALSE)=Table1[[#Headers],[Pentecostés]],Table1[[#Headers],[Pentecostés]],""),"")</f>
        <v/>
      </c>
      <c r="L208" t="str">
        <f>IFERROR(IF(VLOOKUP(C208,Entrada!A:C,3,FALSE)=Table1[[#Headers],[Entrada]],Table1[[#Headers],[Entrada]],""),"")</f>
        <v/>
      </c>
      <c r="M208" t="str">
        <f>IFERROR(IF(VLOOKUP(C208,Virgen!A:C,3,FALSE)=Table1[[#Headers],[Virgen]],Table1[[#Headers],[Virgen]],""),"")</f>
        <v>Virgen</v>
      </c>
      <c r="N208" t="str">
        <f>IFERROR(IF(VLOOKUP(C208,Paz!A:C,3,FALSE)=Table1[[#Headers],[Paz]],Table1[[#Headers],[Paz]],""),"")</f>
        <v/>
      </c>
      <c r="O208" t="str">
        <f>IFERROR(IF(VLOOKUP(C208,Pan!A:C,3,FALSE)=Table1[[#Headers],[Pan]],Table1[[#Headers],[Pan]],""),"")</f>
        <v>Pan</v>
      </c>
      <c r="P208" t="str">
        <f>IFERROR(IF(VLOOKUP(C208,Comunión!A:C,3,FALSE)=Table1[[#Headers],[Comunión]],Table1[[#Headers],[Comunión]],""),"")</f>
        <v/>
      </c>
      <c r="Q208" t="str">
        <f>IFERROR(IF(VLOOKUP(C208,Niños!A:C,3,FALSE)=Table1[[#Headers],[Niños]],Table1[[#Headers],[Niños]],""),"")</f>
        <v/>
      </c>
      <c r="R208" t="str">
        <f>IFERROR(IF(VLOOKUP(C208,Laudes!A:C,3,FALSE)=Table1[[#Headers],[Laudes]],Table1[[#Headers],[Laudes]],""),"")</f>
        <v/>
      </c>
      <c r="S208" t="str">
        <f>IFERROR(IF(VLOOKUP(C208,'Nuevo Testamento'!A:C,3,FALSE)=Table1[[#Headers],[Nuevo Testamento]],Table1[[#Headers],[Nuevo Testamento]],""),"")</f>
        <v/>
      </c>
      <c r="T208" t="str">
        <f>IFERROR(IF(VLOOKUP(C208,'Antiguo Testamento'!A:C,3,FALSE)=Table1[[#Headers],[Antiguo Testamento]],Table1[[#Headers],[Antiguo Testamento]],""),"")</f>
        <v/>
      </c>
      <c r="U208" t="str">
        <f>IFERROR(IF(VLOOKUP(C208,Final!A:C,3,FALSE)=Table1[[#Headers],[Final]],Table1[[#Headers],[Final]],""),"")</f>
        <v/>
      </c>
      <c r="V208" t="str" cm="1">
        <f t="array" ref="V20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/cantos/src/chtml/s/solaasolo.html</v>
      </c>
      <c r="W20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{id:206,title: "Sola a Solo", subtitle: "(Kiko Argüello)", category: "Precatecumenado", moments: ["","","Cuaresma","","","","Virgen","","Pan","","","","","",""], url: "/cantos/src/chtml/s/solaasolo.html"},</v>
      </c>
    </row>
    <row r="209" spans="1:23" x14ac:dyDescent="0.25">
      <c r="A209">
        <v>156</v>
      </c>
      <c r="B209" s="14">
        <v>207</v>
      </c>
      <c r="C209" t="s">
        <v>215</v>
      </c>
      <c r="D209" t="s">
        <v>486</v>
      </c>
      <c r="E209" t="str">
        <f>LOWER(LEFT(Table1[[#This Row],[Canto]],1))</f>
        <v>s</v>
      </c>
      <c r="F209" t="s">
        <v>288</v>
      </c>
      <c r="G209" t="str">
        <f>IFERROR(IF(VLOOKUP(C209,Adviento!A:C,3,FALSE)=Table1[[#Headers],[Adviento]],Table1[[#Headers],[Adviento]],""),"")</f>
        <v/>
      </c>
      <c r="H209" t="str">
        <f>IFERROR(IF(VLOOKUP(C209,Navidad!A:C,3,FALSE)=Table1[[#Headers],[Navidad]],Table1[[#Headers],[Navidad]],""),"")</f>
        <v/>
      </c>
      <c r="I209" t="str">
        <f>IFERROR(IF(VLOOKUP(C209,Cuaresma!A:C,3,FALSE)=Table1[[#Headers],[Cuaresma]],Table1[[#Headers],[Cuaresma]],""),"")</f>
        <v>Cuaresma</v>
      </c>
      <c r="J209" t="str">
        <f>IFERROR(IF(VLOOKUP(C209,Pascua!A:C,3,FALSE)=Table1[[#Headers],[Pascua]],Table1[[#Headers],[Pascua]],""),"")</f>
        <v/>
      </c>
      <c r="K209" t="str">
        <f>IFERROR(IF(VLOOKUP(C209,Pentecostés!A:C,3,FALSE)=Table1[[#Headers],[Pentecostés]],Table1[[#Headers],[Pentecostés]],""),"")</f>
        <v/>
      </c>
      <c r="L209" t="str">
        <f>IFERROR(IF(VLOOKUP(C209,Entrada!A:C,3,FALSE)=Table1[[#Headers],[Entrada]],Table1[[#Headers],[Entrada]],""),"")</f>
        <v/>
      </c>
      <c r="M209" t="str">
        <f>IFERROR(IF(VLOOKUP(C209,Virgen!A:C,3,FALSE)=Table1[[#Headers],[Virgen]],Table1[[#Headers],[Virgen]],""),"")</f>
        <v>Virgen</v>
      </c>
      <c r="N209" t="str">
        <f>IFERROR(IF(VLOOKUP(C209,Paz!A:C,3,FALSE)=Table1[[#Headers],[Paz]],Table1[[#Headers],[Paz]],""),"")</f>
        <v/>
      </c>
      <c r="O209" t="str">
        <f>IFERROR(IF(VLOOKUP(C209,Pan!A:C,3,FALSE)=Table1[[#Headers],[Pan]],Table1[[#Headers],[Pan]],""),"")</f>
        <v>Pan</v>
      </c>
      <c r="P209" t="str">
        <f>IFERROR(IF(VLOOKUP(C209,Comunión!A:C,3,FALSE)=Table1[[#Headers],[Comunión]],Table1[[#Headers],[Comunión]],""),"")</f>
        <v/>
      </c>
      <c r="Q209" t="str">
        <f>IFERROR(IF(VLOOKUP(C209,Niños!A:C,3,FALSE)=Table1[[#Headers],[Niños]],Table1[[#Headers],[Niños]],""),"")</f>
        <v/>
      </c>
      <c r="R209" t="str">
        <f>IFERROR(IF(VLOOKUP(C209,Laudes!A:C,3,FALSE)=Table1[[#Headers],[Laudes]],Table1[[#Headers],[Laudes]],""),"")</f>
        <v/>
      </c>
      <c r="S209" t="str">
        <f>IFERROR(IF(VLOOKUP(C209,'Nuevo Testamento'!A:C,3,FALSE)=Table1[[#Headers],[Nuevo Testamento]],Table1[[#Headers],[Nuevo Testamento]],""),"")</f>
        <v/>
      </c>
      <c r="T209" t="str">
        <f>IFERROR(IF(VLOOKUP(C209,'Antiguo Testamento'!A:C,3,FALSE)=Table1[[#Headers],[Antiguo Testamento]],Table1[[#Headers],[Antiguo Testamento]],""),"")</f>
        <v/>
      </c>
      <c r="U209" t="str">
        <f>IFERROR(IF(VLOOKUP(C209,Final!A:C,3,FALSE)=Table1[[#Headers],[Final]],Table1[[#Headers],[Final]],""),"")</f>
        <v/>
      </c>
      <c r="V209" t="str" cm="1">
        <f t="array" ref="V20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/cantos/src/chtml/s/stabatmaterdolorosa.html</v>
      </c>
      <c r="W20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{id:207,title: "Stabat Mater dolorosa", subtitle: "Himno latin", category: "Precatecumenado", moments: ["","","Cuaresma","","","","Virgen","","Pan","","","","","",""], url: "/cantos/src/chtml/s/stabatmaterdolorosa.html"},</v>
      </c>
    </row>
    <row r="210" spans="1:23" x14ac:dyDescent="0.25">
      <c r="A210">
        <v>244</v>
      </c>
      <c r="B210" s="14">
        <v>208</v>
      </c>
      <c r="C210" t="s">
        <v>91</v>
      </c>
      <c r="D210" t="s">
        <v>487</v>
      </c>
      <c r="E210" t="str">
        <f>LOWER(LEFT(Table1[[#This Row],[Canto]],1))</f>
        <v>s</v>
      </c>
      <c r="F210" s="11" t="s">
        <v>287</v>
      </c>
      <c r="G210" t="str">
        <f>IFERROR(IF(VLOOKUP(C210,Adviento!A:C,3,FALSE)=Table1[[#Headers],[Adviento]],Table1[[#Headers],[Adviento]],""),"")</f>
        <v/>
      </c>
      <c r="H210" t="str">
        <f>IFERROR(IF(VLOOKUP(C210,Navidad!A:C,3,FALSE)=Table1[[#Headers],[Navidad]],Table1[[#Headers],[Navidad]],""),"")</f>
        <v/>
      </c>
      <c r="I210" t="str">
        <f>IFERROR(IF(VLOOKUP(C210,Cuaresma!A:C,3,FALSE)=Table1[[#Headers],[Cuaresma]],Table1[[#Headers],[Cuaresma]],""),"")</f>
        <v/>
      </c>
      <c r="J210" t="str">
        <f>IFERROR(IF(VLOOKUP(C210,Pascua!A:C,3,FALSE)=Table1[[#Headers],[Pascua]],Table1[[#Headers],[Pascua]],""),"")</f>
        <v/>
      </c>
      <c r="K210" t="str">
        <f>IFERROR(IF(VLOOKUP(C210,Pentecostés!A:C,3,FALSE)=Table1[[#Headers],[Pentecostés]],Table1[[#Headers],[Pentecostés]],""),"")</f>
        <v/>
      </c>
      <c r="L210" t="str">
        <f>IFERROR(IF(VLOOKUP(C210,Entrada!A:C,3,FALSE)=Table1[[#Headers],[Entrada]],Table1[[#Headers],[Entrada]],""),"")</f>
        <v/>
      </c>
      <c r="M210" t="str">
        <f>IFERROR(IF(VLOOKUP(C210,Virgen!A:C,3,FALSE)=Table1[[#Headers],[Virgen]],Table1[[#Headers],[Virgen]],""),"")</f>
        <v/>
      </c>
      <c r="N210" t="str">
        <f>IFERROR(IF(VLOOKUP(C210,Paz!A:C,3,FALSE)=Table1[[#Headers],[Paz]],Table1[[#Headers],[Paz]],""),"")</f>
        <v/>
      </c>
      <c r="O210" t="str">
        <f>IFERROR(IF(VLOOKUP(C210,Pan!A:C,3,FALSE)=Table1[[#Headers],[Pan]],Table1[[#Headers],[Pan]],""),"")</f>
        <v/>
      </c>
      <c r="P210" t="str">
        <f>IFERROR(IF(VLOOKUP(C210,Comunión!A:C,3,FALSE)=Table1[[#Headers],[Comunión]],Table1[[#Headers],[Comunión]],""),"")</f>
        <v/>
      </c>
      <c r="Q210" t="str">
        <f>IFERROR(IF(VLOOKUP(C210,Niños!A:C,3,FALSE)=Table1[[#Headers],[Niños]],Table1[[#Headers],[Niños]],""),"")</f>
        <v/>
      </c>
      <c r="R210" t="str">
        <f>IFERROR(IF(VLOOKUP(C210,Laudes!A:C,3,FALSE)=Table1[[#Headers],[Laudes]],Table1[[#Headers],[Laudes]],""),"")</f>
        <v/>
      </c>
      <c r="S210" t="str">
        <f>IFERROR(IF(VLOOKUP(C210,'Nuevo Testamento'!A:C,3,FALSE)=Table1[[#Headers],[Nuevo Testamento]],Table1[[#Headers],[Nuevo Testamento]],""),"")</f>
        <v/>
      </c>
      <c r="T210" t="str">
        <f>IFERROR(IF(VLOOKUP(C210,'Antiguo Testamento'!A:C,3,FALSE)=Table1[[#Headers],[Antiguo Testamento]],Table1[[#Headers],[Antiguo Testamento]],""),"")</f>
        <v/>
      </c>
      <c r="U210" t="str">
        <f>IFERROR(IF(VLOOKUP(C210,Final!A:C,3,FALSE)=Table1[[#Headers],[Final]],Table1[[#Headers],[Final]],""),"")</f>
        <v/>
      </c>
      <c r="V210" t="str" cm="1">
        <f t="array" ref="V21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/cantos/src/chtml/s/subaelesposoallenodesutalamo.html</v>
      </c>
      <c r="W21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{id:208,title: "Suba el Esposo al leño de su tálamo", subtitle: "Himno (San Quodvultdeus)", category: "Eleccion", moments: ["","","","","","","","","","","","","","",""], url: "/cantos/src/chtml/s/subaelesposoallenodesutalamo.html"},</v>
      </c>
    </row>
    <row r="211" spans="1:23" x14ac:dyDescent="0.25">
      <c r="A211">
        <v>157</v>
      </c>
      <c r="B211" s="14">
        <v>209</v>
      </c>
      <c r="C211" t="s">
        <v>216</v>
      </c>
      <c r="D211" t="s">
        <v>488</v>
      </c>
      <c r="E211" t="str">
        <f>LOWER(LEFT(Table1[[#This Row],[Canto]],1))</f>
        <v>s</v>
      </c>
      <c r="F211" t="s">
        <v>288</v>
      </c>
      <c r="G211" t="str">
        <f>IFERROR(IF(VLOOKUP(C211,Adviento!A:C,3,FALSE)=Table1[[#Headers],[Adviento]],Table1[[#Headers],[Adviento]],""),"")</f>
        <v/>
      </c>
      <c r="H211" t="str">
        <f>IFERROR(IF(VLOOKUP(C211,Navidad!A:C,3,FALSE)=Table1[[#Headers],[Navidad]],Table1[[#Headers],[Navidad]],""),"")</f>
        <v/>
      </c>
      <c r="I211" t="str">
        <f>IFERROR(IF(VLOOKUP(C211,Cuaresma!A:C,3,FALSE)=Table1[[#Headers],[Cuaresma]],Table1[[#Headers],[Cuaresma]],""),"")</f>
        <v/>
      </c>
      <c r="J211" t="str">
        <f>IFERROR(IF(VLOOKUP(C211,Pascua!A:C,3,FALSE)=Table1[[#Headers],[Pascua]],Table1[[#Headers],[Pascua]],""),"")</f>
        <v>Pascua</v>
      </c>
      <c r="K211" t="str">
        <f>IFERROR(IF(VLOOKUP(C211,Pentecostés!A:C,3,FALSE)=Table1[[#Headers],[Pentecostés]],Table1[[#Headers],[Pentecostés]],""),"")</f>
        <v>Pentecostés</v>
      </c>
      <c r="L211" t="str">
        <f>IFERROR(IF(VLOOKUP(C211,Entrada!A:C,3,FALSE)=Table1[[#Headers],[Entrada]],Table1[[#Headers],[Entrada]],""),"")</f>
        <v/>
      </c>
      <c r="M211" t="str">
        <f>IFERROR(IF(VLOOKUP(C211,Virgen!A:C,3,FALSE)=Table1[[#Headers],[Virgen]],Table1[[#Headers],[Virgen]],""),"")</f>
        <v/>
      </c>
      <c r="N211" t="str">
        <f>IFERROR(IF(VLOOKUP(C211,Paz!A:C,3,FALSE)=Table1[[#Headers],[Paz]],Table1[[#Headers],[Paz]],""),"")</f>
        <v>Paz</v>
      </c>
      <c r="O211" t="str">
        <f>IFERROR(IF(VLOOKUP(C211,Pan!A:C,3,FALSE)=Table1[[#Headers],[Pan]],Table1[[#Headers],[Pan]],""),"")</f>
        <v/>
      </c>
      <c r="P211" t="str">
        <f>IFERROR(IF(VLOOKUP(C211,Comunión!A:C,3,FALSE)=Table1[[#Headers],[Comunión]],Table1[[#Headers],[Comunión]],""),"")</f>
        <v/>
      </c>
      <c r="Q211" t="str">
        <f>IFERROR(IF(VLOOKUP(C211,Niños!A:C,3,FALSE)=Table1[[#Headers],[Niños]],Table1[[#Headers],[Niños]],""),"")</f>
        <v/>
      </c>
      <c r="R211" t="str">
        <f>IFERROR(IF(VLOOKUP(C211,Laudes!A:C,3,FALSE)=Table1[[#Headers],[Laudes]],Table1[[#Headers],[Laudes]],""),"")</f>
        <v/>
      </c>
      <c r="S211" t="str">
        <f>IFERROR(IF(VLOOKUP(C211,'Nuevo Testamento'!A:C,3,FALSE)=Table1[[#Headers],[Nuevo Testamento]],Table1[[#Headers],[Nuevo Testamento]],""),"")</f>
        <v/>
      </c>
      <c r="T211" t="str">
        <f>IFERROR(IF(VLOOKUP(C211,'Antiguo Testamento'!A:C,3,FALSE)=Table1[[#Headers],[Antiguo Testamento]],Table1[[#Headers],[Antiguo Testamento]],""),"")</f>
        <v/>
      </c>
      <c r="U211" t="str">
        <f>IFERROR(IF(VLOOKUP(C211,Final!A:C,3,FALSE)=Table1[[#Headers],[Final]],Table1[[#Headers],[Final]],""),"")</f>
        <v/>
      </c>
      <c r="V211" t="str" cm="1">
        <f t="array" ref="V21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/cantos/src/chtml/s/subediosentreaclamaciones.html</v>
      </c>
      <c r="W21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{id:209,title: "Sube Dios entre aclamaciones", subtitle: "Sal 47 (46)", category: "Precatecumenado", moments: ["","","","Pascua","Pentecostés","","","Paz","","","","","","",""], url: "/cantos/src/chtml/s/subediosentreaclamaciones.html"},</v>
      </c>
    </row>
    <row r="212" spans="1:23" x14ac:dyDescent="0.25">
      <c r="A212">
        <v>220</v>
      </c>
      <c r="B212" s="14">
        <v>210</v>
      </c>
      <c r="C212" t="s">
        <v>92</v>
      </c>
      <c r="D212" t="s">
        <v>489</v>
      </c>
      <c r="E212" t="str">
        <f>LOWER(LEFT(Table1[[#This Row],[Canto]],1))</f>
        <v>t</v>
      </c>
      <c r="F212" s="12" t="s">
        <v>289</v>
      </c>
      <c r="G212" t="str">
        <f>IFERROR(IF(VLOOKUP(C212,Adviento!A:C,3,FALSE)=Table1[[#Headers],[Adviento]],Table1[[#Headers],[Adviento]],""),"")</f>
        <v/>
      </c>
      <c r="H212" t="str">
        <f>IFERROR(IF(VLOOKUP(C212,Navidad!A:C,3,FALSE)=Table1[[#Headers],[Navidad]],Table1[[#Headers],[Navidad]],""),"")</f>
        <v/>
      </c>
      <c r="I212" t="str">
        <f>IFERROR(IF(VLOOKUP(C212,Cuaresma!A:C,3,FALSE)=Table1[[#Headers],[Cuaresma]],Table1[[#Headers],[Cuaresma]],""),"")</f>
        <v/>
      </c>
      <c r="J212" t="str">
        <f>IFERROR(IF(VLOOKUP(C212,Pascua!A:C,3,FALSE)=Table1[[#Headers],[Pascua]],Table1[[#Headers],[Pascua]],""),"")</f>
        <v/>
      </c>
      <c r="K212" t="str">
        <f>IFERROR(IF(VLOOKUP(C212,Pentecostés!A:C,3,FALSE)=Table1[[#Headers],[Pentecostés]],Table1[[#Headers],[Pentecostés]],""),"")</f>
        <v/>
      </c>
      <c r="L212" t="str">
        <f>IFERROR(IF(VLOOKUP(C212,Entrada!A:C,3,FALSE)=Table1[[#Headers],[Entrada]],Table1[[#Headers],[Entrada]],""),"")</f>
        <v/>
      </c>
      <c r="M212" t="str">
        <f>IFERROR(IF(VLOOKUP(C212,Virgen!A:C,3,FALSE)=Table1[[#Headers],[Virgen]],Table1[[#Headers],[Virgen]],""),"")</f>
        <v/>
      </c>
      <c r="N212" t="str">
        <f>IFERROR(IF(VLOOKUP(C212,Paz!A:C,3,FALSE)=Table1[[#Headers],[Paz]],Table1[[#Headers],[Paz]],""),"")</f>
        <v/>
      </c>
      <c r="O212" t="str">
        <f>IFERROR(IF(VLOOKUP(C212,Pan!A:C,3,FALSE)=Table1[[#Headers],[Pan]],Table1[[#Headers],[Pan]],""),"")</f>
        <v/>
      </c>
      <c r="P212" t="str">
        <f>IFERROR(IF(VLOOKUP(C212,Comunión!A:C,3,FALSE)=Table1[[#Headers],[Comunión]],Table1[[#Headers],[Comunión]],""),"")</f>
        <v/>
      </c>
      <c r="Q212" t="str">
        <f>IFERROR(IF(VLOOKUP(C212,Niños!A:C,3,FALSE)=Table1[[#Headers],[Niños]],Table1[[#Headers],[Niños]],""),"")</f>
        <v/>
      </c>
      <c r="R212" t="str">
        <f>IFERROR(IF(VLOOKUP(C212,Laudes!A:C,3,FALSE)=Table1[[#Headers],[Laudes]],Table1[[#Headers],[Laudes]],""),"")</f>
        <v>Laudes</v>
      </c>
      <c r="S212" t="str">
        <f>IFERROR(IF(VLOOKUP(C212,'Nuevo Testamento'!A:C,3,FALSE)=Table1[[#Headers],[Nuevo Testamento]],Table1[[#Headers],[Nuevo Testamento]],""),"")</f>
        <v/>
      </c>
      <c r="T212" t="str">
        <f>IFERROR(IF(VLOOKUP(C212,'Antiguo Testamento'!A:C,3,FALSE)=Table1[[#Headers],[Antiguo Testamento]],Table1[[#Headers],[Antiguo Testamento]],""),"")</f>
        <v/>
      </c>
      <c r="U212" t="str">
        <f>IFERROR(IF(VLOOKUP(C212,Final!A:C,3,FALSE)=Table1[[#Headers],[Final]],Table1[[#Headers],[Final]],""),"")</f>
        <v/>
      </c>
      <c r="V212" t="str" cm="1">
        <f t="array" ref="V21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/cantos/src/chtml/t/tedeum.html</v>
      </c>
      <c r="W21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{id:210,title: "Te Deum", subtitle: "Himno", category: "Liturgia", moments: ["","","","","","","","","","","","Laudes","","",""], url: "/cantos/src/chtml/t/tedeum.html"},</v>
      </c>
    </row>
    <row r="213" spans="1:23" x14ac:dyDescent="0.25">
      <c r="A213">
        <v>158</v>
      </c>
      <c r="B213" s="14">
        <v>211</v>
      </c>
      <c r="C213" t="s">
        <v>93</v>
      </c>
      <c r="D213" t="s">
        <v>490</v>
      </c>
      <c r="E213" t="str">
        <f>LOWER(LEFT(Table1[[#This Row],[Canto]],1))</f>
        <v>t</v>
      </c>
      <c r="F213" t="s">
        <v>288</v>
      </c>
      <c r="G213" t="str">
        <f>IFERROR(IF(VLOOKUP(C213,Adviento!A:C,3,FALSE)=Table1[[#Headers],[Adviento]],Table1[[#Headers],[Adviento]],""),"")</f>
        <v/>
      </c>
      <c r="H213" t="str">
        <f>IFERROR(IF(VLOOKUP(C213,Navidad!A:C,3,FALSE)=Table1[[#Headers],[Navidad]],Table1[[#Headers],[Navidad]],""),"")</f>
        <v/>
      </c>
      <c r="I213" t="str">
        <f>IFERROR(IF(VLOOKUP(C213,Cuaresma!A:C,3,FALSE)=Table1[[#Headers],[Cuaresma]],Table1[[#Headers],[Cuaresma]],""),"")</f>
        <v>Cuaresma</v>
      </c>
      <c r="J213" t="str">
        <f>IFERROR(IF(VLOOKUP(C213,Pascua!A:C,3,FALSE)=Table1[[#Headers],[Pascua]],Table1[[#Headers],[Pascua]],""),"")</f>
        <v/>
      </c>
      <c r="K213" t="str">
        <f>IFERROR(IF(VLOOKUP(C213,Pentecostés!A:C,3,FALSE)=Table1[[#Headers],[Pentecostés]],Table1[[#Headers],[Pentecostés]],""),"")</f>
        <v/>
      </c>
      <c r="L213" t="str">
        <f>IFERROR(IF(VLOOKUP(C213,Entrada!A:C,3,FALSE)=Table1[[#Headers],[Entrada]],Table1[[#Headers],[Entrada]],""),"")</f>
        <v/>
      </c>
      <c r="M213" t="str">
        <f>IFERROR(IF(VLOOKUP(C213,Virgen!A:C,3,FALSE)=Table1[[#Headers],[Virgen]],Table1[[#Headers],[Virgen]],""),"")</f>
        <v/>
      </c>
      <c r="N213" t="str">
        <f>IFERROR(IF(VLOOKUP(C213,Paz!A:C,3,FALSE)=Table1[[#Headers],[Paz]],Table1[[#Headers],[Paz]],""),"")</f>
        <v/>
      </c>
      <c r="O213" t="str">
        <f>IFERROR(IF(VLOOKUP(C213,Pan!A:C,3,FALSE)=Table1[[#Headers],[Pan]],Table1[[#Headers],[Pan]],""),"")</f>
        <v/>
      </c>
      <c r="P213" t="str">
        <f>IFERROR(IF(VLOOKUP(C213,Comunión!A:C,3,FALSE)=Table1[[#Headers],[Comunión]],Table1[[#Headers],[Comunión]],""),"")</f>
        <v/>
      </c>
      <c r="Q213" t="str">
        <f>IFERROR(IF(VLOOKUP(C213,Niños!A:C,3,FALSE)=Table1[[#Headers],[Niños]],Table1[[#Headers],[Niños]],""),"")</f>
        <v/>
      </c>
      <c r="R213" t="str">
        <f>IFERROR(IF(VLOOKUP(C213,Laudes!A:C,3,FALSE)=Table1[[#Headers],[Laudes]],Table1[[#Headers],[Laudes]],""),"")</f>
        <v/>
      </c>
      <c r="S213" t="str">
        <f>IFERROR(IF(VLOOKUP(C213,'Nuevo Testamento'!A:C,3,FALSE)=Table1[[#Headers],[Nuevo Testamento]],Table1[[#Headers],[Nuevo Testamento]],""),"")</f>
        <v/>
      </c>
      <c r="T213" t="str">
        <f>IFERROR(IF(VLOOKUP(C213,'Antiguo Testamento'!A:C,3,FALSE)=Table1[[#Headers],[Antiguo Testamento]],Table1[[#Headers],[Antiguo Testamento]],""),"")</f>
        <v>Antiguo Testamento</v>
      </c>
      <c r="U213" t="str">
        <f>IFERROR(IF(VLOOKUP(C213,Final!A:C,3,FALSE)=Table1[[#Headers],[Final]],Table1[[#Headers],[Final]],""),"")</f>
        <v/>
      </c>
      <c r="V213" t="str" cm="1">
        <f t="array" ref="V21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/cantos/src/chtml/t/teestoyllamandosenor.html</v>
      </c>
      <c r="W21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{id:211,title: "Te estoy llamando, Señor", subtitle: "Sal 141 (140)", category: "Precatecumenado", moments: ["","","Cuaresma","","","","","","","","","","","Antiguo Testamento",""], url: "/cantos/src/chtml/t/teestoyllamandosenor.html"},</v>
      </c>
    </row>
    <row r="214" spans="1:23" x14ac:dyDescent="0.25">
      <c r="A214">
        <v>159</v>
      </c>
      <c r="B214" s="14">
        <v>212</v>
      </c>
      <c r="C214" t="s">
        <v>217</v>
      </c>
      <c r="D214" t="s">
        <v>491</v>
      </c>
      <c r="E214" t="str">
        <f>LOWER(LEFT(Table1[[#This Row],[Canto]],1))</f>
        <v>t</v>
      </c>
      <c r="F214" t="s">
        <v>288</v>
      </c>
      <c r="G214" t="str">
        <f>IFERROR(IF(VLOOKUP(C214,Adviento!A:C,3,FALSE)=Table1[[#Headers],[Adviento]],Table1[[#Headers],[Adviento]],""),"")</f>
        <v/>
      </c>
      <c r="H214" t="str">
        <f>IFERROR(IF(VLOOKUP(C214,Navidad!A:C,3,FALSE)=Table1[[#Headers],[Navidad]],Table1[[#Headers],[Navidad]],""),"")</f>
        <v/>
      </c>
      <c r="I214" t="str">
        <f>IFERROR(IF(VLOOKUP(C214,Cuaresma!A:C,3,FALSE)=Table1[[#Headers],[Cuaresma]],Table1[[#Headers],[Cuaresma]],""),"")</f>
        <v>Cuaresma</v>
      </c>
      <c r="J214" t="str">
        <f>IFERROR(IF(VLOOKUP(C214,Pascua!A:C,3,FALSE)=Table1[[#Headers],[Pascua]],Table1[[#Headers],[Pascua]],""),"")</f>
        <v/>
      </c>
      <c r="K214" t="str">
        <f>IFERROR(IF(VLOOKUP(C214,Pentecostés!A:C,3,FALSE)=Table1[[#Headers],[Pentecostés]],Table1[[#Headers],[Pentecostés]],""),"")</f>
        <v/>
      </c>
      <c r="L214" t="str">
        <f>IFERROR(IF(VLOOKUP(C214,Entrada!A:C,3,FALSE)=Table1[[#Headers],[Entrada]],Table1[[#Headers],[Entrada]],""),"")</f>
        <v/>
      </c>
      <c r="M214" t="str">
        <f>IFERROR(IF(VLOOKUP(C214,Virgen!A:C,3,FALSE)=Table1[[#Headers],[Virgen]],Table1[[#Headers],[Virgen]],""),"")</f>
        <v/>
      </c>
      <c r="N214" t="str">
        <f>IFERROR(IF(VLOOKUP(C214,Paz!A:C,3,FALSE)=Table1[[#Headers],[Paz]],Table1[[#Headers],[Paz]],""),"")</f>
        <v/>
      </c>
      <c r="O214" t="str">
        <f>IFERROR(IF(VLOOKUP(C214,Pan!A:C,3,FALSE)=Table1[[#Headers],[Pan]],Table1[[#Headers],[Pan]],""),"")</f>
        <v/>
      </c>
      <c r="P214" t="str">
        <f>IFERROR(IF(VLOOKUP(C214,Comunión!A:C,3,FALSE)=Table1[[#Headers],[Comunión]],Table1[[#Headers],[Comunión]],""),"")</f>
        <v/>
      </c>
      <c r="Q214" t="str">
        <f>IFERROR(IF(VLOOKUP(C214,Niños!A:C,3,FALSE)=Table1[[#Headers],[Niños]],Table1[[#Headers],[Niños]],""),"")</f>
        <v/>
      </c>
      <c r="R214" t="str">
        <f>IFERROR(IF(VLOOKUP(C214,Laudes!A:C,3,FALSE)=Table1[[#Headers],[Laudes]],Table1[[#Headers],[Laudes]],""),"")</f>
        <v/>
      </c>
      <c r="S214" t="str">
        <f>IFERROR(IF(VLOOKUP(C214,'Nuevo Testamento'!A:C,3,FALSE)=Table1[[#Headers],[Nuevo Testamento]],Table1[[#Headers],[Nuevo Testamento]],""),"")</f>
        <v/>
      </c>
      <c r="T214" t="str">
        <f>IFERROR(IF(VLOOKUP(C214,'Antiguo Testamento'!A:C,3,FALSE)=Table1[[#Headers],[Antiguo Testamento]],Table1[[#Headers],[Antiguo Testamento]],""),"")</f>
        <v>Antiguo Testamento</v>
      </c>
      <c r="U214" t="str">
        <f>IFERROR(IF(VLOOKUP(C214,Final!A:C,3,FALSE)=Table1[[#Headers],[Final]],Table1[[#Headers],[Final]],""),"")</f>
        <v/>
      </c>
      <c r="V214" t="str" cm="1">
        <f t="array" ref="V21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/cantos/src/chtml/t/tehemanifestadomipecado.html</v>
      </c>
      <c r="W21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{id:212,title: "Te he manifestado mi pecado", subtitle: "Sal 32 (31)", category: "Precatecumenado", moments: ["","","Cuaresma","","","","","","","","","","","Antiguo Testamento",""], url: "/cantos/src/chtml/t/tehemanifestadomipecado.html"},</v>
      </c>
    </row>
    <row r="215" spans="1:23" x14ac:dyDescent="0.25">
      <c r="A215">
        <v>236</v>
      </c>
      <c r="B215" s="14">
        <v>213</v>
      </c>
      <c r="C215" t="s">
        <v>94</v>
      </c>
      <c r="D215" t="s">
        <v>492</v>
      </c>
      <c r="E215" t="str">
        <f>LOWER(LEFT(Table1[[#This Row],[Canto]],1))</f>
        <v>t</v>
      </c>
      <c r="F215" s="13" t="s">
        <v>290</v>
      </c>
      <c r="G215" t="str">
        <f>IFERROR(IF(VLOOKUP(C215,Adviento!A:C,3,FALSE)=Table1[[#Headers],[Adviento]],Table1[[#Headers],[Adviento]],""),"")</f>
        <v>Adviento</v>
      </c>
      <c r="H215" t="str">
        <f>IFERROR(IF(VLOOKUP(C215,Navidad!A:C,3,FALSE)=Table1[[#Headers],[Navidad]],Table1[[#Headers],[Navidad]],""),"")</f>
        <v>Navidad</v>
      </c>
      <c r="I215" t="str">
        <f>IFERROR(IF(VLOOKUP(C215,Cuaresma!A:C,3,FALSE)=Table1[[#Headers],[Cuaresma]],Table1[[#Headers],[Cuaresma]],""),"")</f>
        <v/>
      </c>
      <c r="J215" t="str">
        <f>IFERROR(IF(VLOOKUP(C215,Pascua!A:C,3,FALSE)=Table1[[#Headers],[Pascua]],Table1[[#Headers],[Pascua]],""),"")</f>
        <v/>
      </c>
      <c r="K215" t="str">
        <f>IFERROR(IF(VLOOKUP(C215,Pentecostés!A:C,3,FALSE)=Table1[[#Headers],[Pentecostés]],Table1[[#Headers],[Pentecostés]],""),"")</f>
        <v/>
      </c>
      <c r="L215" t="str">
        <f>IFERROR(IF(VLOOKUP(C215,Entrada!A:C,3,FALSE)=Table1[[#Headers],[Entrada]],Table1[[#Headers],[Entrada]],""),"")</f>
        <v/>
      </c>
      <c r="M215" t="str">
        <f>IFERROR(IF(VLOOKUP(C215,Virgen!A:C,3,FALSE)=Table1[[#Headers],[Virgen]],Table1[[#Headers],[Virgen]],""),"")</f>
        <v/>
      </c>
      <c r="N215" t="str">
        <f>IFERROR(IF(VLOOKUP(C215,Paz!A:C,3,FALSE)=Table1[[#Headers],[Paz]],Table1[[#Headers],[Paz]],""),"")</f>
        <v/>
      </c>
      <c r="O215" t="str">
        <f>IFERROR(IF(VLOOKUP(C215,Pan!A:C,3,FALSE)=Table1[[#Headers],[Pan]],Table1[[#Headers],[Pan]],""),"")</f>
        <v/>
      </c>
      <c r="P215" t="str">
        <f>IFERROR(IF(VLOOKUP(C215,Comunión!A:C,3,FALSE)=Table1[[#Headers],[Comunión]],Table1[[#Headers],[Comunión]],""),"")</f>
        <v/>
      </c>
      <c r="Q215" t="str">
        <f>IFERROR(IF(VLOOKUP(C215,Niños!A:C,3,FALSE)=Table1[[#Headers],[Niños]],Table1[[#Headers],[Niños]],""),"")</f>
        <v/>
      </c>
      <c r="R215" t="str">
        <f>IFERROR(IF(VLOOKUP(C215,Laudes!A:C,3,FALSE)=Table1[[#Headers],[Laudes]],Table1[[#Headers],[Laudes]],""),"")</f>
        <v/>
      </c>
      <c r="S215" t="str">
        <f>IFERROR(IF(VLOOKUP(C215,'Nuevo Testamento'!A:C,3,FALSE)=Table1[[#Headers],[Nuevo Testamento]],Table1[[#Headers],[Nuevo Testamento]],""),"")</f>
        <v/>
      </c>
      <c r="T215" t="str">
        <f>IFERROR(IF(VLOOKUP(C215,'Antiguo Testamento'!A:C,3,FALSE)=Table1[[#Headers],[Antiguo Testamento]],Table1[[#Headers],[Antiguo Testamento]],""),"")</f>
        <v/>
      </c>
      <c r="U215" t="str">
        <f>IFERROR(IF(VLOOKUP(C215,Final!A:C,3,FALSE)=Table1[[#Headers],[Final]],Table1[[#Headers],[Final]],""),"")</f>
        <v/>
      </c>
      <c r="V215" t="str" cm="1">
        <f t="array" ref="V21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/cantos/src/chtml/t/tueresmiesperanzasenor.html</v>
      </c>
      <c r="W21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{id:213,title: "Tú eres mi esperanza, Señor", subtitle: "Oda XXIX de Salomón", category: "Catecumenado", moments: ["Adviento","Navidad","","","","","","","","","","","","",""], url: "/cantos/src/chtml/t/tueresmiesperanzasenor.html"},</v>
      </c>
    </row>
    <row r="216" spans="1:23" x14ac:dyDescent="0.25">
      <c r="A216">
        <v>160</v>
      </c>
      <c r="B216" s="14">
        <v>214</v>
      </c>
      <c r="C216" t="s">
        <v>218</v>
      </c>
      <c r="D216" t="s">
        <v>493</v>
      </c>
      <c r="E216" t="str">
        <f>LOWER(LEFT(Table1[[#This Row],[Canto]],1))</f>
        <v>t</v>
      </c>
      <c r="F216" t="s">
        <v>288</v>
      </c>
      <c r="G216" t="str">
        <f>IFERROR(IF(VLOOKUP(C216,Adviento!A:C,3,FALSE)=Table1[[#Headers],[Adviento]],Table1[[#Headers],[Adviento]],""),"")</f>
        <v/>
      </c>
      <c r="H216" t="str">
        <f>IFERROR(IF(VLOOKUP(C216,Navidad!A:C,3,FALSE)=Table1[[#Headers],[Navidad]],Table1[[#Headers],[Navidad]],""),"")</f>
        <v/>
      </c>
      <c r="I216" t="str">
        <f>IFERROR(IF(VLOOKUP(C216,Cuaresma!A:C,3,FALSE)=Table1[[#Headers],[Cuaresma]],Table1[[#Headers],[Cuaresma]],""),"")</f>
        <v/>
      </c>
      <c r="J216" t="str">
        <f>IFERROR(IF(VLOOKUP(C216,Pascua!A:C,3,FALSE)=Table1[[#Headers],[Pascua]],Table1[[#Headers],[Pascua]],""),"")</f>
        <v>Pascua</v>
      </c>
      <c r="K216" t="str">
        <f>IFERROR(IF(VLOOKUP(C216,Pentecostés!A:C,3,FALSE)=Table1[[#Headers],[Pentecostés]],Table1[[#Headers],[Pentecostés]],""),"")</f>
        <v>Pentecostés</v>
      </c>
      <c r="L216" t="str">
        <f>IFERROR(IF(VLOOKUP(C216,Entrada!A:C,3,FALSE)=Table1[[#Headers],[Entrada]],Table1[[#Headers],[Entrada]],""),"")</f>
        <v/>
      </c>
      <c r="M216" t="str">
        <f>IFERROR(IF(VLOOKUP(C216,Virgen!A:C,3,FALSE)=Table1[[#Headers],[Virgen]],Table1[[#Headers],[Virgen]],""),"")</f>
        <v>Virgen</v>
      </c>
      <c r="N216" t="str">
        <f>IFERROR(IF(VLOOKUP(C216,Paz!A:C,3,FALSE)=Table1[[#Headers],[Paz]],Table1[[#Headers],[Paz]],""),"")</f>
        <v/>
      </c>
      <c r="O216" t="str">
        <f>IFERROR(IF(VLOOKUP(C216,Pan!A:C,3,FALSE)=Table1[[#Headers],[Pan]],Table1[[#Headers],[Pan]],""),"")</f>
        <v>Pan</v>
      </c>
      <c r="P216" t="str">
        <f>IFERROR(IF(VLOOKUP(C216,Comunión!A:C,3,FALSE)=Table1[[#Headers],[Comunión]],Table1[[#Headers],[Comunión]],""),"")</f>
        <v/>
      </c>
      <c r="Q216" t="str">
        <f>IFERROR(IF(VLOOKUP(C216,Niños!A:C,3,FALSE)=Table1[[#Headers],[Niños]],Table1[[#Headers],[Niños]],""),"")</f>
        <v/>
      </c>
      <c r="R216" t="str">
        <f>IFERROR(IF(VLOOKUP(C216,Laudes!A:C,3,FALSE)=Table1[[#Headers],[Laudes]],Table1[[#Headers],[Laudes]],""),"")</f>
        <v/>
      </c>
      <c r="S216" t="str">
        <f>IFERROR(IF(VLOOKUP(C216,'Nuevo Testamento'!A:C,3,FALSE)=Table1[[#Headers],[Nuevo Testamento]],Table1[[#Headers],[Nuevo Testamento]],""),"")</f>
        <v/>
      </c>
      <c r="T216" t="str">
        <f>IFERROR(IF(VLOOKUP(C216,'Antiguo Testamento'!A:C,3,FALSE)=Table1[[#Headers],[Antiguo Testamento]],Table1[[#Headers],[Antiguo Testamento]],""),"")</f>
        <v/>
      </c>
      <c r="U216" t="str">
        <f>IFERROR(IF(VLOOKUP(C216,Final!A:C,3,FALSE)=Table1[[#Headers],[Final]],Table1[[#Headers],[Final]],""),"")</f>
        <v/>
      </c>
      <c r="V216" t="str" cm="1">
        <f t="array" ref="V21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/cantos/src/chtml/t/tuhascubiertodevergüenzalamuerte.html</v>
      </c>
      <c r="W21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{id:214,title: "Tú has cubierto de vergüenza la muerte", subtitle: "Homilía Pascual (Melltón de Sardes)", category: "Precatecumenado", moments: ["","","","Pascua","Pentecostés","","Virgen","","Pan","","","","","",""], url: "/cantos/src/chtml/t/tuhascubiertodevergüenzalamuerte.html"},</v>
      </c>
    </row>
    <row r="217" spans="1:23" x14ac:dyDescent="0.25">
      <c r="A217">
        <v>161</v>
      </c>
      <c r="B217" s="14">
        <v>215</v>
      </c>
      <c r="C217" t="s">
        <v>95</v>
      </c>
      <c r="D217" t="s">
        <v>494</v>
      </c>
      <c r="E217" t="str">
        <f>LOWER(LEFT(Table1[[#This Row],[Canto]],1))</f>
        <v>t</v>
      </c>
      <c r="F217" t="s">
        <v>288</v>
      </c>
      <c r="G217" t="str">
        <f>IFERROR(IF(VLOOKUP(C217,Adviento!A:C,3,FALSE)=Table1[[#Headers],[Adviento]],Table1[[#Headers],[Adviento]],""),"")</f>
        <v/>
      </c>
      <c r="H217" t="str">
        <f>IFERROR(IF(VLOOKUP(C217,Navidad!A:C,3,FALSE)=Table1[[#Headers],[Navidad]],Table1[[#Headers],[Navidad]],""),"")</f>
        <v/>
      </c>
      <c r="I217" t="str">
        <f>IFERROR(IF(VLOOKUP(C217,Cuaresma!A:C,3,FALSE)=Table1[[#Headers],[Cuaresma]],Table1[[#Headers],[Cuaresma]],""),"")</f>
        <v>Cuaresma</v>
      </c>
      <c r="J217" t="str">
        <f>IFERROR(IF(VLOOKUP(C217,Pascua!A:C,3,FALSE)=Table1[[#Headers],[Pascua]],Table1[[#Headers],[Pascua]],""),"")</f>
        <v/>
      </c>
      <c r="K217" t="str">
        <f>IFERROR(IF(VLOOKUP(C217,Pentecostés!A:C,3,FALSE)=Table1[[#Headers],[Pentecostés]],Table1[[#Headers],[Pentecostés]],""),"")</f>
        <v/>
      </c>
      <c r="L217" t="str">
        <f>IFERROR(IF(VLOOKUP(C217,Entrada!A:C,3,FALSE)=Table1[[#Headers],[Entrada]],Table1[[#Headers],[Entrada]],""),"")</f>
        <v>Entrada</v>
      </c>
      <c r="M217" t="str">
        <f>IFERROR(IF(VLOOKUP(C217,Virgen!A:C,3,FALSE)=Table1[[#Headers],[Virgen]],Table1[[#Headers],[Virgen]],""),"")</f>
        <v/>
      </c>
      <c r="N217" t="str">
        <f>IFERROR(IF(VLOOKUP(C217,Paz!A:C,3,FALSE)=Table1[[#Headers],[Paz]],Table1[[#Headers],[Paz]],""),"")</f>
        <v/>
      </c>
      <c r="O217" t="str">
        <f>IFERROR(IF(VLOOKUP(C217,Pan!A:C,3,FALSE)=Table1[[#Headers],[Pan]],Table1[[#Headers],[Pan]],""),"")</f>
        <v/>
      </c>
      <c r="P217" t="str">
        <f>IFERROR(IF(VLOOKUP(C217,Comunión!A:C,3,FALSE)=Table1[[#Headers],[Comunión]],Table1[[#Headers],[Comunión]],""),"")</f>
        <v/>
      </c>
      <c r="Q217" t="str">
        <f>IFERROR(IF(VLOOKUP(C217,Niños!A:C,3,FALSE)=Table1[[#Headers],[Niños]],Table1[[#Headers],[Niños]],""),"")</f>
        <v/>
      </c>
      <c r="R217" t="str">
        <f>IFERROR(IF(VLOOKUP(C217,Laudes!A:C,3,FALSE)=Table1[[#Headers],[Laudes]],Table1[[#Headers],[Laudes]],""),"")</f>
        <v/>
      </c>
      <c r="S217" t="str">
        <f>IFERROR(IF(VLOOKUP(C217,'Nuevo Testamento'!A:C,3,FALSE)=Table1[[#Headers],[Nuevo Testamento]],Table1[[#Headers],[Nuevo Testamento]],""),"")</f>
        <v/>
      </c>
      <c r="T217" t="str">
        <f>IFERROR(IF(VLOOKUP(C217,'Antiguo Testamento'!A:C,3,FALSE)=Table1[[#Headers],[Antiguo Testamento]],Table1[[#Headers],[Antiguo Testamento]],""),"")</f>
        <v>Antiguo Testamento</v>
      </c>
      <c r="U217" t="str">
        <f>IFERROR(IF(VLOOKUP(C217,Final!A:C,3,FALSE)=Table1[[#Headers],[Final]],Table1[[#Headers],[Final]],""),"")</f>
        <v/>
      </c>
      <c r="V217" t="str" cm="1">
        <f t="array" ref="V21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/cantos/src/chtml/t/tuqueeresfiel.html</v>
      </c>
      <c r="W21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{id:215,title: "Tú que eres fiel", subtitle: "Sal 143 (142)", category: "Precatecumenado", moments: ["","","Cuaresma","","","Entrada","","","","","","","","Antiguo Testamento",""], url: "/cantos/src/chtml/t/tuqueeresfiel.html"},</v>
      </c>
    </row>
    <row r="218" spans="1:23" x14ac:dyDescent="0.25">
      <c r="A218">
        <v>162</v>
      </c>
      <c r="B218" s="14">
        <v>216</v>
      </c>
      <c r="C218" t="s">
        <v>219</v>
      </c>
      <c r="D218" t="s">
        <v>495</v>
      </c>
      <c r="E218" t="str">
        <f>LOWER(LEFT(Table1[[#This Row],[Canto]],1))</f>
        <v>u</v>
      </c>
      <c r="F218" t="s">
        <v>288</v>
      </c>
      <c r="G218" t="str">
        <f>IFERROR(IF(VLOOKUP(C218,Adviento!A:C,3,FALSE)=Table1[[#Headers],[Adviento]],Table1[[#Headers],[Adviento]],""),"")</f>
        <v>Adviento</v>
      </c>
      <c r="H218" t="str">
        <f>IFERROR(IF(VLOOKUP(C218,Navidad!A:C,3,FALSE)=Table1[[#Headers],[Navidad]],Table1[[#Headers],[Navidad]],""),"")</f>
        <v>Navidad</v>
      </c>
      <c r="I218" t="str">
        <f>IFERROR(IF(VLOOKUP(C218,Cuaresma!A:C,3,FALSE)=Table1[[#Headers],[Cuaresma]],Table1[[#Headers],[Cuaresma]],""),"")</f>
        <v/>
      </c>
      <c r="J218" t="str">
        <f>IFERROR(IF(VLOOKUP(C218,Pascua!A:C,3,FALSE)=Table1[[#Headers],[Pascua]],Table1[[#Headers],[Pascua]],""),"")</f>
        <v>Pascua</v>
      </c>
      <c r="K218" t="str">
        <f>IFERROR(IF(VLOOKUP(C218,Pentecostés!A:C,3,FALSE)=Table1[[#Headers],[Pentecostés]],Table1[[#Headers],[Pentecostés]],""),"")</f>
        <v>Pentecostés</v>
      </c>
      <c r="L218" t="str">
        <f>IFERROR(IF(VLOOKUP(C218,Entrada!A:C,3,FALSE)=Table1[[#Headers],[Entrada]],Table1[[#Headers],[Entrada]],""),"")</f>
        <v/>
      </c>
      <c r="M218" t="str">
        <f>IFERROR(IF(VLOOKUP(C218,Virgen!A:C,3,FALSE)=Table1[[#Headers],[Virgen]],Table1[[#Headers],[Virgen]],""),"")</f>
        <v/>
      </c>
      <c r="N218" t="str">
        <f>IFERROR(IF(VLOOKUP(C218,Paz!A:C,3,FALSE)=Table1[[#Headers],[Paz]],Table1[[#Headers],[Paz]],""),"")</f>
        <v/>
      </c>
      <c r="O218" t="str">
        <f>IFERROR(IF(VLOOKUP(C218,Pan!A:C,3,FALSE)=Table1[[#Headers],[Pan]],Table1[[#Headers],[Pan]],""),"")</f>
        <v/>
      </c>
      <c r="P218" t="str">
        <f>IFERROR(IF(VLOOKUP(C218,Comunión!A:C,3,FALSE)=Table1[[#Headers],[Comunión]],Table1[[#Headers],[Comunión]],""),"")</f>
        <v>Comunión</v>
      </c>
      <c r="Q218" t="str">
        <f>IFERROR(IF(VLOOKUP(C218,Niños!A:C,3,FALSE)=Table1[[#Headers],[Niños]],Table1[[#Headers],[Niños]],""),"")</f>
        <v/>
      </c>
      <c r="R218" t="str">
        <f>IFERROR(IF(VLOOKUP(C218,Laudes!A:C,3,FALSE)=Table1[[#Headers],[Laudes]],Table1[[#Headers],[Laudes]],""),"")</f>
        <v/>
      </c>
      <c r="S218" t="str">
        <f>IFERROR(IF(VLOOKUP(C218,'Nuevo Testamento'!A:C,3,FALSE)=Table1[[#Headers],[Nuevo Testamento]],Table1[[#Headers],[Nuevo Testamento]],""),"")</f>
        <v/>
      </c>
      <c r="T218" t="str">
        <f>IFERROR(IF(VLOOKUP(C218,'Antiguo Testamento'!A:C,3,FALSE)=Table1[[#Headers],[Antiguo Testamento]],Table1[[#Headers],[Antiguo Testamento]],""),"")</f>
        <v>Antiguo Testamento</v>
      </c>
      <c r="U218" t="str">
        <f>IFERROR(IF(VLOOKUP(C218,Final!A:C,3,FALSE)=Table1[[#Headers],[Final]],Table1[[#Headers],[Final]],""),"")</f>
        <v/>
      </c>
      <c r="V218" t="str" cm="1">
        <f t="array" ref="V21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/cantos/src/chtml/u/unretonobrotadeltroncodejese.html</v>
      </c>
      <c r="W21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{id:216,title: "Un retoño brota del tronco de Jesé", subtitle: "Isaías 11,1-11", category: "Precatecumenado", moments: ["Adviento","Navidad","","Pascua","Pentecostés","","","","","Comunión","","","","Antiguo Testamento",""], url: "/cantos/src/chtml/u/unretonobrotadeltroncodejese.html"},</v>
      </c>
    </row>
    <row r="219" spans="1:23" x14ac:dyDescent="0.25">
      <c r="A219">
        <v>163</v>
      </c>
      <c r="B219" s="14">
        <v>217</v>
      </c>
      <c r="C219" t="s">
        <v>220</v>
      </c>
      <c r="D219" t="s">
        <v>496</v>
      </c>
      <c r="E219" t="str">
        <f>LOWER(LEFT(Table1[[#This Row],[Canto]],1))</f>
        <v>u</v>
      </c>
      <c r="F219" t="s">
        <v>288</v>
      </c>
      <c r="G219" t="str">
        <f>IFERROR(IF(VLOOKUP(C219,Adviento!A:C,3,FALSE)=Table1[[#Headers],[Adviento]],Table1[[#Headers],[Adviento]],""),"")</f>
        <v>Adviento</v>
      </c>
      <c r="H219" t="str">
        <f>IFERROR(IF(VLOOKUP(C219,Navidad!A:C,3,FALSE)=Table1[[#Headers],[Navidad]],Table1[[#Headers],[Navidad]],""),"")</f>
        <v>Navidad</v>
      </c>
      <c r="I219" t="str">
        <f>IFERROR(IF(VLOOKUP(C219,Cuaresma!A:C,3,FALSE)=Table1[[#Headers],[Cuaresma]],Table1[[#Headers],[Cuaresma]],""),"")</f>
        <v/>
      </c>
      <c r="J219" t="str">
        <f>IFERROR(IF(VLOOKUP(C219,Pascua!A:C,3,FALSE)=Table1[[#Headers],[Pascua]],Table1[[#Headers],[Pascua]],""),"")</f>
        <v>Pascua</v>
      </c>
      <c r="K219" t="str">
        <f>IFERROR(IF(VLOOKUP(C219,Pentecostés!A:C,3,FALSE)=Table1[[#Headers],[Pentecostés]],Table1[[#Headers],[Pentecostés]],""),"")</f>
        <v>Pentecostés</v>
      </c>
      <c r="L219" t="str">
        <f>IFERROR(IF(VLOOKUP(C219,Entrada!A:C,3,FALSE)=Table1[[#Headers],[Entrada]],Table1[[#Headers],[Entrada]],""),"")</f>
        <v/>
      </c>
      <c r="M219" t="str">
        <f>IFERROR(IF(VLOOKUP(C219,Virgen!A:C,3,FALSE)=Table1[[#Headers],[Virgen]],Table1[[#Headers],[Virgen]],""),"")</f>
        <v>Virgen</v>
      </c>
      <c r="N219" t="str">
        <f>IFERROR(IF(VLOOKUP(C219,Paz!A:C,3,FALSE)=Table1[[#Headers],[Paz]],Table1[[#Headers],[Paz]],""),"")</f>
        <v/>
      </c>
      <c r="O219" t="str">
        <f>IFERROR(IF(VLOOKUP(C219,Pan!A:C,3,FALSE)=Table1[[#Headers],[Pan]],Table1[[#Headers],[Pan]],""),"")</f>
        <v/>
      </c>
      <c r="P219" t="str">
        <f>IFERROR(IF(VLOOKUP(C219,Comunión!A:C,3,FALSE)=Table1[[#Headers],[Comunión]],Table1[[#Headers],[Comunión]],""),"")</f>
        <v/>
      </c>
      <c r="Q219" t="str">
        <f>IFERROR(IF(VLOOKUP(C219,Niños!A:C,3,FALSE)=Table1[[#Headers],[Niños]],Table1[[#Headers],[Niños]],""),"")</f>
        <v/>
      </c>
      <c r="R219" t="str">
        <f>IFERROR(IF(VLOOKUP(C219,Laudes!A:C,3,FALSE)=Table1[[#Headers],[Laudes]],Table1[[#Headers],[Laudes]],""),"")</f>
        <v/>
      </c>
      <c r="S219" t="str">
        <f>IFERROR(IF(VLOOKUP(C219,'Nuevo Testamento'!A:C,3,FALSE)=Table1[[#Headers],[Nuevo Testamento]],Table1[[#Headers],[Nuevo Testamento]],""),"")</f>
        <v>Nuevo Testamento</v>
      </c>
      <c r="T219" t="str">
        <f>IFERROR(IF(VLOOKUP(C219,'Antiguo Testamento'!A:C,3,FALSE)=Table1[[#Headers],[Antiguo Testamento]],Table1[[#Headers],[Antiguo Testamento]],""),"")</f>
        <v/>
      </c>
      <c r="U219" t="str">
        <f>IFERROR(IF(VLOOKUP(C219,Final!A:C,3,FALSE)=Table1[[#Headers],[Final]],Table1[[#Headers],[Final]],""),"")</f>
        <v>Final</v>
      </c>
      <c r="V219" t="str" cm="1">
        <f t="array" ref="V21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/cantos/src/chtml/u/unagransenal.html</v>
      </c>
      <c r="W21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{id:217,title: "Una gran señal", subtitle: "Apocalipsis 12", category: "Precatecumenado", moments: ["Adviento","Navidad","","Pascua","Pentecostés","","Virgen","","","","","","Nuevo Testamento","","Final"], url: "/cantos/src/chtml/u/unagransenal.html"},</v>
      </c>
    </row>
    <row r="220" spans="1:23" x14ac:dyDescent="0.25">
      <c r="A220">
        <v>164</v>
      </c>
      <c r="B220" s="14">
        <v>218</v>
      </c>
      <c r="C220" t="s">
        <v>221</v>
      </c>
      <c r="D220" t="s">
        <v>305</v>
      </c>
      <c r="E220" t="str">
        <f>LOWER(LEFT(Table1[[#This Row],[Canto]],1))</f>
        <v>u</v>
      </c>
      <c r="F220" t="s">
        <v>288</v>
      </c>
      <c r="G220" t="str">
        <f>IFERROR(IF(VLOOKUP(C220,Adviento!A:C,3,FALSE)=Table1[[#Headers],[Adviento]],Table1[[#Headers],[Adviento]],""),"")</f>
        <v>Adviento</v>
      </c>
      <c r="H220" t="str">
        <f>IFERROR(IF(VLOOKUP(C220,Navidad!A:C,3,FALSE)=Table1[[#Headers],[Navidad]],Table1[[#Headers],[Navidad]],""),"")</f>
        <v>Navidad</v>
      </c>
      <c r="I220" t="str">
        <f>IFERROR(IF(VLOOKUP(C220,Cuaresma!A:C,3,FALSE)=Table1[[#Headers],[Cuaresma]],Table1[[#Headers],[Cuaresma]],""),"")</f>
        <v/>
      </c>
      <c r="J220" t="str">
        <f>IFERROR(IF(VLOOKUP(C220,Pascua!A:C,3,FALSE)=Table1[[#Headers],[Pascua]],Table1[[#Headers],[Pascua]],""),"")</f>
        <v/>
      </c>
      <c r="K220" t="str">
        <f>IFERROR(IF(VLOOKUP(C220,Pentecostés!A:C,3,FALSE)=Table1[[#Headers],[Pentecostés]],Table1[[#Headers],[Pentecostés]],""),"")</f>
        <v/>
      </c>
      <c r="L220" t="str">
        <f>IFERROR(IF(VLOOKUP(C220,Entrada!A:C,3,FALSE)=Table1[[#Headers],[Entrada]],Table1[[#Headers],[Entrada]],""),"")</f>
        <v/>
      </c>
      <c r="M220" t="str">
        <f>IFERROR(IF(VLOOKUP(C220,Virgen!A:C,3,FALSE)=Table1[[#Headers],[Virgen]],Table1[[#Headers],[Virgen]],""),"")</f>
        <v/>
      </c>
      <c r="N220" t="str">
        <f>IFERROR(IF(VLOOKUP(C220,Paz!A:C,3,FALSE)=Table1[[#Headers],[Paz]],Table1[[#Headers],[Paz]],""),"")</f>
        <v/>
      </c>
      <c r="O220" t="str">
        <f>IFERROR(IF(VLOOKUP(C220,Pan!A:C,3,FALSE)=Table1[[#Headers],[Pan]],Table1[[#Headers],[Pan]],""),"")</f>
        <v/>
      </c>
      <c r="P220" t="str">
        <f>IFERROR(IF(VLOOKUP(C220,Comunión!A:C,3,FALSE)=Table1[[#Headers],[Comunión]],Table1[[#Headers],[Comunión]],""),"")</f>
        <v/>
      </c>
      <c r="Q220" t="str">
        <f>IFERROR(IF(VLOOKUP(C220,Niños!A:C,3,FALSE)=Table1[[#Headers],[Niños]],Table1[[#Headers],[Niños]],""),"")</f>
        <v>Niños</v>
      </c>
      <c r="R220" t="str">
        <f>IFERROR(IF(VLOOKUP(C220,Laudes!A:C,3,FALSE)=Table1[[#Headers],[Laudes]],Table1[[#Headers],[Laudes]],""),"")</f>
        <v/>
      </c>
      <c r="S220" t="str">
        <f>IFERROR(IF(VLOOKUP(C220,'Nuevo Testamento'!A:C,3,FALSE)=Table1[[#Headers],[Nuevo Testamento]],Table1[[#Headers],[Nuevo Testamento]],""),"")</f>
        <v/>
      </c>
      <c r="T220" t="str">
        <f>IFERROR(IF(VLOOKUP(C220,'Antiguo Testamento'!A:C,3,FALSE)=Table1[[#Headers],[Antiguo Testamento]],Table1[[#Headers],[Antiguo Testamento]],""),"")</f>
        <v/>
      </c>
      <c r="U220" t="str">
        <f>IFERROR(IF(VLOOKUP(C220,Final!A:C,3,FALSE)=Table1[[#Headers],[Final]],Table1[[#Headers],[Final]],""),"")</f>
        <v/>
      </c>
      <c r="V220" t="str" cm="1">
        <f t="array" ref="V22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/cantos/src/chtml/u/uriuriura.html</v>
      </c>
      <c r="W22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{id:218,title: "Urí, urí, urá", subtitle: "Villancico (Kiko Argüello)", category: "Precatecumenado", moments: ["Adviento","Navidad","","","","","","","","","Niños","","","",""], url: "/cantos/src/chtml/u/uriuriura.html"},</v>
      </c>
    </row>
    <row r="221" spans="1:23" x14ac:dyDescent="0.25">
      <c r="A221">
        <v>165</v>
      </c>
      <c r="B221" s="14">
        <v>219</v>
      </c>
      <c r="C221" t="s">
        <v>222</v>
      </c>
      <c r="D221" t="s">
        <v>305</v>
      </c>
      <c r="E221" t="str">
        <f>LOWER(LEFT(Table1[[#This Row],[Canto]],1))</f>
        <v>v</v>
      </c>
      <c r="F221" t="s">
        <v>288</v>
      </c>
      <c r="G221" t="str">
        <f>IFERROR(IF(VLOOKUP(C221,Adviento!A:C,3,FALSE)=Table1[[#Headers],[Adviento]],Table1[[#Headers],[Adviento]],""),"")</f>
        <v>Adviento</v>
      </c>
      <c r="H221" t="str">
        <f>IFERROR(IF(VLOOKUP(C221,Navidad!A:C,3,FALSE)=Table1[[#Headers],[Navidad]],Table1[[#Headers],[Navidad]],""),"")</f>
        <v>Navidad</v>
      </c>
      <c r="I221" t="str">
        <f>IFERROR(IF(VLOOKUP(C221,Cuaresma!A:C,3,FALSE)=Table1[[#Headers],[Cuaresma]],Table1[[#Headers],[Cuaresma]],""),"")</f>
        <v/>
      </c>
      <c r="J221" t="str">
        <f>IFERROR(IF(VLOOKUP(C221,Pascua!A:C,3,FALSE)=Table1[[#Headers],[Pascua]],Table1[[#Headers],[Pascua]],""),"")</f>
        <v/>
      </c>
      <c r="K221" t="str">
        <f>IFERROR(IF(VLOOKUP(C221,Pentecostés!A:C,3,FALSE)=Table1[[#Headers],[Pentecostés]],Table1[[#Headers],[Pentecostés]],""),"")</f>
        <v/>
      </c>
      <c r="L221" t="str">
        <f>IFERROR(IF(VLOOKUP(C221,Entrada!A:C,3,FALSE)=Table1[[#Headers],[Entrada]],Table1[[#Headers],[Entrada]],""),"")</f>
        <v/>
      </c>
      <c r="M221" t="str">
        <f>IFERROR(IF(VLOOKUP(C221,Virgen!A:C,3,FALSE)=Table1[[#Headers],[Virgen]],Table1[[#Headers],[Virgen]],""),"")</f>
        <v/>
      </c>
      <c r="N221" t="str">
        <f>IFERROR(IF(VLOOKUP(C221,Paz!A:C,3,FALSE)=Table1[[#Headers],[Paz]],Table1[[#Headers],[Paz]],""),"")</f>
        <v/>
      </c>
      <c r="O221" t="str">
        <f>IFERROR(IF(VLOOKUP(C221,Pan!A:C,3,FALSE)=Table1[[#Headers],[Pan]],Table1[[#Headers],[Pan]],""),"")</f>
        <v/>
      </c>
      <c r="P221" t="str">
        <f>IFERROR(IF(VLOOKUP(C221,Comunión!A:C,3,FALSE)=Table1[[#Headers],[Comunión]],Table1[[#Headers],[Comunión]],""),"")</f>
        <v/>
      </c>
      <c r="Q221" t="str">
        <f>IFERROR(IF(VLOOKUP(C221,Niños!A:C,3,FALSE)=Table1[[#Headers],[Niños]],Table1[[#Headers],[Niños]],""),"")</f>
        <v>Niños</v>
      </c>
      <c r="R221" t="str">
        <f>IFERROR(IF(VLOOKUP(C221,Laudes!A:C,3,FALSE)=Table1[[#Headers],[Laudes]],Table1[[#Headers],[Laudes]],""),"")</f>
        <v/>
      </c>
      <c r="S221" t="str">
        <f>IFERROR(IF(VLOOKUP(C221,'Nuevo Testamento'!A:C,3,FALSE)=Table1[[#Headers],[Nuevo Testamento]],Table1[[#Headers],[Nuevo Testamento]],""),"")</f>
        <v/>
      </c>
      <c r="T221" t="str">
        <f>IFERROR(IF(VLOOKUP(C221,'Antiguo Testamento'!A:C,3,FALSE)=Table1[[#Headers],[Antiguo Testamento]],Table1[[#Headers],[Antiguo Testamento]],""),"")</f>
        <v/>
      </c>
      <c r="U221" t="str">
        <f>IFERROR(IF(VLOOKUP(C221,Final!A:C,3,FALSE)=Table1[[#Headers],[Final]],Table1[[#Headers],[Final]],""),"")</f>
        <v/>
      </c>
      <c r="V221" t="str" cm="1">
        <f t="array" ref="V22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/cantos/src/chtml/v/vamosyapastores.html</v>
      </c>
      <c r="W22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{id:219,title: "Vamos ya, pastores", subtitle: "Villancico (Kiko Argüello)", category: "Precatecumenado", moments: ["Adviento","Navidad","","","","","","","","","Niños","","","",""], url: "/cantos/src/chtml/v/vamosyapastores.html"},</v>
      </c>
    </row>
    <row r="222" spans="1:23" x14ac:dyDescent="0.25">
      <c r="A222">
        <v>166</v>
      </c>
      <c r="B222" s="14">
        <v>220</v>
      </c>
      <c r="C222" t="s">
        <v>96</v>
      </c>
      <c r="D222" t="s">
        <v>497</v>
      </c>
      <c r="E222" t="str">
        <f>LOWER(LEFT(Table1[[#This Row],[Canto]],1))</f>
        <v>v</v>
      </c>
      <c r="F222" t="s">
        <v>288</v>
      </c>
      <c r="G222" t="str">
        <f>IFERROR(IF(VLOOKUP(C222,Adviento!A:C,3,FALSE)=Table1[[#Headers],[Adviento]],Table1[[#Headers],[Adviento]],""),"")</f>
        <v/>
      </c>
      <c r="H222" t="str">
        <f>IFERROR(IF(VLOOKUP(C222,Navidad!A:C,3,FALSE)=Table1[[#Headers],[Navidad]],Table1[[#Headers],[Navidad]],""),"")</f>
        <v/>
      </c>
      <c r="I222" t="str">
        <f>IFERROR(IF(VLOOKUP(C222,Cuaresma!A:C,3,FALSE)=Table1[[#Headers],[Cuaresma]],Table1[[#Headers],[Cuaresma]],""),"")</f>
        <v/>
      </c>
      <c r="J222" t="str">
        <f>IFERROR(IF(VLOOKUP(C222,Pascua!A:C,3,FALSE)=Table1[[#Headers],[Pascua]],Table1[[#Headers],[Pascua]],""),"")</f>
        <v>Pascua</v>
      </c>
      <c r="K222" t="str">
        <f>IFERROR(IF(VLOOKUP(C222,Pentecostés!A:C,3,FALSE)=Table1[[#Headers],[Pentecostés]],Table1[[#Headers],[Pentecostés]],""),"")</f>
        <v>Pentecostés</v>
      </c>
      <c r="L222" t="str">
        <f>IFERROR(IF(VLOOKUP(C222,Entrada!A:C,3,FALSE)=Table1[[#Headers],[Entrada]],Table1[[#Headers],[Entrada]],""),"")</f>
        <v>Entrada</v>
      </c>
      <c r="M222" t="str">
        <f>IFERROR(IF(VLOOKUP(C222,Virgen!A:C,3,FALSE)=Table1[[#Headers],[Virgen]],Table1[[#Headers],[Virgen]],""),"")</f>
        <v/>
      </c>
      <c r="N222" t="str">
        <f>IFERROR(IF(VLOOKUP(C222,Paz!A:C,3,FALSE)=Table1[[#Headers],[Paz]],Table1[[#Headers],[Paz]],""),"")</f>
        <v/>
      </c>
      <c r="O222" t="str">
        <f>IFERROR(IF(VLOOKUP(C222,Pan!A:C,3,FALSE)=Table1[[#Headers],[Pan]],Table1[[#Headers],[Pan]],""),"")</f>
        <v/>
      </c>
      <c r="P222" t="str">
        <f>IFERROR(IF(VLOOKUP(C222,Comunión!A:C,3,FALSE)=Table1[[#Headers],[Comunión]],Table1[[#Headers],[Comunión]],""),"")</f>
        <v>Comunión</v>
      </c>
      <c r="Q222" t="str">
        <f>IFERROR(IF(VLOOKUP(C222,Niños!A:C,3,FALSE)=Table1[[#Headers],[Niños]],Table1[[#Headers],[Niños]],""),"")</f>
        <v/>
      </c>
      <c r="R222" t="str">
        <f>IFERROR(IF(VLOOKUP(C222,Laudes!A:C,3,FALSE)=Table1[[#Headers],[Laudes]],Table1[[#Headers],[Laudes]],""),"")</f>
        <v/>
      </c>
      <c r="S222" t="str">
        <f>IFERROR(IF(VLOOKUP(C222,'Nuevo Testamento'!A:C,3,FALSE)=Table1[[#Headers],[Nuevo Testamento]],Table1[[#Headers],[Nuevo Testamento]],""),"")</f>
        <v/>
      </c>
      <c r="T222" t="str">
        <f>IFERROR(IF(VLOOKUP(C222,'Antiguo Testamento'!A:C,3,FALSE)=Table1[[#Headers],[Antiguo Testamento]],Table1[[#Headers],[Antiguo Testamento]],""),"")</f>
        <v>Antiguo Testamento</v>
      </c>
      <c r="U222" t="str">
        <f>IFERROR(IF(VLOOKUP(C222,Final!A:C,3,FALSE)=Table1[[#Headers],[Final]],Table1[[#Headers],[Final]],""),"")</f>
        <v/>
      </c>
      <c r="V222" t="str" cm="1">
        <f t="array" ref="V22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/cantos/src/chtml/v/vendellibano.html</v>
      </c>
      <c r="W22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{id:220,title: "Ven del Líbano", subtitle: "Cantar de los cantares 4,8ss", category: "Precatecumenado", moments: ["","","","Pascua","Pentecostés","Entrada","","","","Comunión","","","","Antiguo Testamento",""], url: "/cantos/src/chtml/v/vendellibano.html"},</v>
      </c>
    </row>
    <row r="223" spans="1:23" x14ac:dyDescent="0.25">
      <c r="A223">
        <v>167</v>
      </c>
      <c r="B223" s="14">
        <v>221</v>
      </c>
      <c r="C223" t="s">
        <v>223</v>
      </c>
      <c r="D223" t="s">
        <v>498</v>
      </c>
      <c r="E223" t="str">
        <f>LOWER(LEFT(Table1[[#This Row],[Canto]],1))</f>
        <v>v</v>
      </c>
      <c r="F223" t="s">
        <v>288</v>
      </c>
      <c r="G223" t="str">
        <f>IFERROR(IF(VLOOKUP(C223,Adviento!A:C,3,FALSE)=Table1[[#Headers],[Adviento]],Table1[[#Headers],[Adviento]],""),"")</f>
        <v/>
      </c>
      <c r="H223" t="str">
        <f>IFERROR(IF(VLOOKUP(C223,Navidad!A:C,3,FALSE)=Table1[[#Headers],[Navidad]],Table1[[#Headers],[Navidad]],""),"")</f>
        <v/>
      </c>
      <c r="I223" t="str">
        <f>IFERROR(IF(VLOOKUP(C223,Cuaresma!A:C,3,FALSE)=Table1[[#Headers],[Cuaresma]],Table1[[#Headers],[Cuaresma]],""),"")</f>
        <v/>
      </c>
      <c r="J223" t="str">
        <f>IFERROR(IF(VLOOKUP(C223,Pascua!A:C,3,FALSE)=Table1[[#Headers],[Pascua]],Table1[[#Headers],[Pascua]],""),"")</f>
        <v>Pascua</v>
      </c>
      <c r="K223" t="str">
        <f>IFERROR(IF(VLOOKUP(C223,Pentecostés!A:C,3,FALSE)=Table1[[#Headers],[Pentecostés]],Table1[[#Headers],[Pentecostés]],""),"")</f>
        <v>Pentecostés</v>
      </c>
      <c r="L223" t="str">
        <f>IFERROR(IF(VLOOKUP(C223,Entrada!A:C,3,FALSE)=Table1[[#Headers],[Entrada]],Table1[[#Headers],[Entrada]],""),"")</f>
        <v/>
      </c>
      <c r="M223" t="str">
        <f>IFERROR(IF(VLOOKUP(C223,Virgen!A:C,3,FALSE)=Table1[[#Headers],[Virgen]],Table1[[#Headers],[Virgen]],""),"")</f>
        <v/>
      </c>
      <c r="N223" t="str">
        <f>IFERROR(IF(VLOOKUP(C223,Paz!A:C,3,FALSE)=Table1[[#Headers],[Paz]],Table1[[#Headers],[Paz]],""),"")</f>
        <v/>
      </c>
      <c r="O223" t="str">
        <f>IFERROR(IF(VLOOKUP(C223,Pan!A:C,3,FALSE)=Table1[[#Headers],[Pan]],Table1[[#Headers],[Pan]],""),"")</f>
        <v/>
      </c>
      <c r="P223" t="str">
        <f>IFERROR(IF(VLOOKUP(C223,Comunión!A:C,3,FALSE)=Table1[[#Headers],[Comunión]],Table1[[#Headers],[Comunión]],""),"")</f>
        <v/>
      </c>
      <c r="Q223" t="str">
        <f>IFERROR(IF(VLOOKUP(C223,Niños!A:C,3,FALSE)=Table1[[#Headers],[Niños]],Table1[[#Headers],[Niños]],""),"")</f>
        <v/>
      </c>
      <c r="R223" t="str">
        <f>IFERROR(IF(VLOOKUP(C223,Laudes!A:C,3,FALSE)=Table1[[#Headers],[Laudes]],Table1[[#Headers],[Laudes]],""),"")</f>
        <v/>
      </c>
      <c r="S223" t="str">
        <f>IFERROR(IF(VLOOKUP(C223,'Nuevo Testamento'!A:C,3,FALSE)=Table1[[#Headers],[Nuevo Testamento]],Table1[[#Headers],[Nuevo Testamento]],""),"")</f>
        <v/>
      </c>
      <c r="T223" t="str">
        <f>IFERROR(IF(VLOOKUP(C223,'Antiguo Testamento'!A:C,3,FALSE)=Table1[[#Headers],[Antiguo Testamento]],Table1[[#Headers],[Antiguo Testamento]],""),"")</f>
        <v/>
      </c>
      <c r="U223" t="str">
        <f>IFERROR(IF(VLOOKUP(C223,Final!A:C,3,FALSE)=Table1[[#Headers],[Final]],Table1[[#Headers],[Final]],""),"")</f>
        <v/>
      </c>
      <c r="V223" t="str" cm="1">
        <f t="array" ref="V22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/cantos/src/chtml/v/venespiritusanto.html</v>
      </c>
      <c r="W22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{id:221,title: "Ven, Espíritu Santo", subtitle: "Secuencia de Pentecostés - Himno latin. «Veni, Sancte Spiritus»", category: "Precatecumenado", moments: ["","","","Pascua","Pentecostés","","","","","","","","","",""], url: "/cantos/src/chtml/v/venespiritusanto.html"},</v>
      </c>
    </row>
    <row r="224" spans="1:23" x14ac:dyDescent="0.25">
      <c r="A224">
        <v>168</v>
      </c>
      <c r="B224" s="14">
        <v>222</v>
      </c>
      <c r="C224" t="s">
        <v>224</v>
      </c>
      <c r="D224" t="s">
        <v>499</v>
      </c>
      <c r="E224" t="str">
        <f>LOWER(LEFT(Table1[[#This Row],[Canto]],1))</f>
        <v>v</v>
      </c>
      <c r="F224" t="s">
        <v>288</v>
      </c>
      <c r="G224" t="str">
        <f>IFERROR(IF(VLOOKUP(C224,Adviento!A:C,3,FALSE)=Table1[[#Headers],[Adviento]],Table1[[#Headers],[Adviento]],""),"")</f>
        <v>Adviento</v>
      </c>
      <c r="H224" t="str">
        <f>IFERROR(IF(VLOOKUP(C224,Navidad!A:C,3,FALSE)=Table1[[#Headers],[Navidad]],Table1[[#Headers],[Navidad]],""),"")</f>
        <v>Navidad</v>
      </c>
      <c r="I224" t="str">
        <f>IFERROR(IF(VLOOKUP(C224,Cuaresma!A:C,3,FALSE)=Table1[[#Headers],[Cuaresma]],Table1[[#Headers],[Cuaresma]],""),"")</f>
        <v/>
      </c>
      <c r="J224" t="str">
        <f>IFERROR(IF(VLOOKUP(C224,Pascua!A:C,3,FALSE)=Table1[[#Headers],[Pascua]],Table1[[#Headers],[Pascua]],""),"")</f>
        <v/>
      </c>
      <c r="K224" t="str">
        <f>IFERROR(IF(VLOOKUP(C224,Pentecostés!A:C,3,FALSE)=Table1[[#Headers],[Pentecostés]],Table1[[#Headers],[Pentecostés]],""),"")</f>
        <v/>
      </c>
      <c r="L224" t="str">
        <f>IFERROR(IF(VLOOKUP(C224,Entrada!A:C,3,FALSE)=Table1[[#Headers],[Entrada]],Table1[[#Headers],[Entrada]],""),"")</f>
        <v/>
      </c>
      <c r="M224" t="str">
        <f>IFERROR(IF(VLOOKUP(C224,Virgen!A:C,3,FALSE)=Table1[[#Headers],[Virgen]],Table1[[#Headers],[Virgen]],""),"")</f>
        <v/>
      </c>
      <c r="N224" t="str">
        <f>IFERROR(IF(VLOOKUP(C224,Paz!A:C,3,FALSE)=Table1[[#Headers],[Paz]],Table1[[#Headers],[Paz]],""),"")</f>
        <v/>
      </c>
      <c r="O224" t="str">
        <f>IFERROR(IF(VLOOKUP(C224,Pan!A:C,3,FALSE)=Table1[[#Headers],[Pan]],Table1[[#Headers],[Pan]],""),"")</f>
        <v/>
      </c>
      <c r="P224" t="str">
        <f>IFERROR(IF(VLOOKUP(C224,Comunión!A:C,3,FALSE)=Table1[[#Headers],[Comunión]],Table1[[#Headers],[Comunión]],""),"")</f>
        <v/>
      </c>
      <c r="Q224" t="str">
        <f>IFERROR(IF(VLOOKUP(C224,Niños!A:C,3,FALSE)=Table1[[#Headers],[Niños]],Table1[[#Headers],[Niños]],""),"")</f>
        <v/>
      </c>
      <c r="R224" t="str">
        <f>IFERROR(IF(VLOOKUP(C224,Laudes!A:C,3,FALSE)=Table1[[#Headers],[Laudes]],Table1[[#Headers],[Laudes]],""),"")</f>
        <v/>
      </c>
      <c r="S224" t="str">
        <f>IFERROR(IF(VLOOKUP(C224,'Nuevo Testamento'!A:C,3,FALSE)=Table1[[#Headers],[Nuevo Testamento]],Table1[[#Headers],[Nuevo Testamento]],""),"")</f>
        <v>Nuevo Testamento</v>
      </c>
      <c r="T224" t="str">
        <f>IFERROR(IF(VLOOKUP(C224,'Antiguo Testamento'!A:C,3,FALSE)=Table1[[#Headers],[Antiguo Testamento]],Table1[[#Headers],[Antiguo Testamento]],""),"")</f>
        <v/>
      </c>
      <c r="U224" t="str">
        <f>IFERROR(IF(VLOOKUP(C224,Final!A:C,3,FALSE)=Table1[[#Headers],[Final]],Table1[[#Headers],[Final]],""),"")</f>
        <v/>
      </c>
      <c r="V224" t="str" cm="1">
        <f t="array" ref="V22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/cantos/src/chtml/v/venhijodelhombre.html</v>
      </c>
      <c r="W22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{id:222,title: "Ven, Hijo del Hombre", subtitle: "Apocalipsis 21,17ss", category: "Precatecumenado", moments: ["Adviento","Navidad","","","","","","","","","","","Nuevo Testamento","",""], url: "/cantos/src/chtml/v/venhijodelhombre.html"},</v>
      </c>
    </row>
    <row r="225" spans="1:23" x14ac:dyDescent="0.25">
      <c r="A225">
        <v>169</v>
      </c>
      <c r="B225" s="14">
        <v>223</v>
      </c>
      <c r="C225" t="s">
        <v>225</v>
      </c>
      <c r="D225" t="s">
        <v>486</v>
      </c>
      <c r="E225" t="str">
        <f>LOWER(LEFT(Table1[[#This Row],[Canto]],1))</f>
        <v>v</v>
      </c>
      <c r="F225" t="s">
        <v>288</v>
      </c>
      <c r="G225" t="str">
        <f>IFERROR(IF(VLOOKUP(C225,Adviento!A:C,3,FALSE)=Table1[[#Headers],[Adviento]],Table1[[#Headers],[Adviento]],""),"")</f>
        <v/>
      </c>
      <c r="H225" t="str">
        <f>IFERROR(IF(VLOOKUP(C225,Navidad!A:C,3,FALSE)=Table1[[#Headers],[Navidad]],Table1[[#Headers],[Navidad]],""),"")</f>
        <v/>
      </c>
      <c r="I225" t="str">
        <f>IFERROR(IF(VLOOKUP(C225,Cuaresma!A:C,3,FALSE)=Table1[[#Headers],[Cuaresma]],Table1[[#Headers],[Cuaresma]],""),"")</f>
        <v/>
      </c>
      <c r="J225" t="str">
        <f>IFERROR(IF(VLOOKUP(C225,Pascua!A:C,3,FALSE)=Table1[[#Headers],[Pascua]],Table1[[#Headers],[Pascua]],""),"")</f>
        <v>Pascua</v>
      </c>
      <c r="K225" t="str">
        <f>IFERROR(IF(VLOOKUP(C225,Pentecostés!A:C,3,FALSE)=Table1[[#Headers],[Pentecostés]],Table1[[#Headers],[Pentecostés]],""),"")</f>
        <v>Pentecostés</v>
      </c>
      <c r="L225" t="str">
        <f>IFERROR(IF(VLOOKUP(C225,Entrada!A:C,3,FALSE)=Table1[[#Headers],[Entrada]],Table1[[#Headers],[Entrada]],""),"")</f>
        <v/>
      </c>
      <c r="M225" t="str">
        <f>IFERROR(IF(VLOOKUP(C225,Virgen!A:C,3,FALSE)=Table1[[#Headers],[Virgen]],Table1[[#Headers],[Virgen]],""),"")</f>
        <v/>
      </c>
      <c r="N225" t="str">
        <f>IFERROR(IF(VLOOKUP(C225,Paz!A:C,3,FALSE)=Table1[[#Headers],[Paz]],Table1[[#Headers],[Paz]],""),"")</f>
        <v/>
      </c>
      <c r="O225" t="str">
        <f>IFERROR(IF(VLOOKUP(C225,Pan!A:C,3,FALSE)=Table1[[#Headers],[Pan]],Table1[[#Headers],[Pan]],""),"")</f>
        <v/>
      </c>
      <c r="P225" t="str">
        <f>IFERROR(IF(VLOOKUP(C225,Comunión!A:C,3,FALSE)=Table1[[#Headers],[Comunión]],Table1[[#Headers],[Comunión]],""),"")</f>
        <v/>
      </c>
      <c r="Q225" t="str">
        <f>IFERROR(IF(VLOOKUP(C225,Niños!A:C,3,FALSE)=Table1[[#Headers],[Niños]],Table1[[#Headers],[Niños]],""),"")</f>
        <v/>
      </c>
      <c r="R225" t="str">
        <f>IFERROR(IF(VLOOKUP(C225,Laudes!A:C,3,FALSE)=Table1[[#Headers],[Laudes]],Table1[[#Headers],[Laudes]],""),"")</f>
        <v/>
      </c>
      <c r="S225" t="str">
        <f>IFERROR(IF(VLOOKUP(C225,'Nuevo Testamento'!A:C,3,FALSE)=Table1[[#Headers],[Nuevo Testamento]],Table1[[#Headers],[Nuevo Testamento]],""),"")</f>
        <v/>
      </c>
      <c r="T225" t="str">
        <f>IFERROR(IF(VLOOKUP(C225,'Antiguo Testamento'!A:C,3,FALSE)=Table1[[#Headers],[Antiguo Testamento]],Table1[[#Headers],[Antiguo Testamento]],""),"")</f>
        <v/>
      </c>
      <c r="U225" t="str">
        <f>IFERROR(IF(VLOOKUP(C225,Final!A:C,3,FALSE)=Table1[[#Headers],[Final]],Table1[[#Headers],[Final]],""),"")</f>
        <v/>
      </c>
      <c r="V225" t="str" cm="1">
        <f t="array" ref="V22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/cantos/src/chtml/v/venicreator.html</v>
      </c>
      <c r="W22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{id:223,title: "Veni Creator", subtitle: "Himno latin", category: "Precatecumenado", moments: ["","","","Pascua","Pentecostés","","","","","","","","","",""], url: "/cantos/src/chtml/v/venicreator.html"},</v>
      </c>
    </row>
    <row r="226" spans="1:23" x14ac:dyDescent="0.25">
      <c r="A226">
        <v>170</v>
      </c>
      <c r="B226" s="14">
        <v>224</v>
      </c>
      <c r="C226" t="s">
        <v>226</v>
      </c>
      <c r="D226" t="s">
        <v>500</v>
      </c>
      <c r="E226" t="str">
        <f>LOWER(LEFT(Table1[[#This Row],[Canto]],1))</f>
        <v>v</v>
      </c>
      <c r="F226" t="s">
        <v>288</v>
      </c>
      <c r="G226" t="str">
        <f>IFERROR(IF(VLOOKUP(C226,Adviento!A:C,3,FALSE)=Table1[[#Headers],[Adviento]],Table1[[#Headers],[Adviento]],""),"")</f>
        <v>Adviento</v>
      </c>
      <c r="H226" t="str">
        <f>IFERROR(IF(VLOOKUP(C226,Navidad!A:C,3,FALSE)=Table1[[#Headers],[Navidad]],Table1[[#Headers],[Navidad]],""),"")</f>
        <v>Navidad</v>
      </c>
      <c r="I226" t="str">
        <f>IFERROR(IF(VLOOKUP(C226,Cuaresma!A:C,3,FALSE)=Table1[[#Headers],[Cuaresma]],Table1[[#Headers],[Cuaresma]],""),"")</f>
        <v/>
      </c>
      <c r="J226" t="str">
        <f>IFERROR(IF(VLOOKUP(C226,Pascua!A:C,3,FALSE)=Table1[[#Headers],[Pascua]],Table1[[#Headers],[Pascua]],""),"")</f>
        <v/>
      </c>
      <c r="K226" t="str">
        <f>IFERROR(IF(VLOOKUP(C226,Pentecostés!A:C,3,FALSE)=Table1[[#Headers],[Pentecostés]],Table1[[#Headers],[Pentecostés]],""),"")</f>
        <v/>
      </c>
      <c r="L226" t="str">
        <f>IFERROR(IF(VLOOKUP(C226,Entrada!A:C,3,FALSE)=Table1[[#Headers],[Entrada]],Table1[[#Headers],[Entrada]],""),"")</f>
        <v/>
      </c>
      <c r="M226" t="str">
        <f>IFERROR(IF(VLOOKUP(C226,Virgen!A:C,3,FALSE)=Table1[[#Headers],[Virgen]],Table1[[#Headers],[Virgen]],""),"")</f>
        <v/>
      </c>
      <c r="N226" t="str">
        <f>IFERROR(IF(VLOOKUP(C226,Paz!A:C,3,FALSE)=Table1[[#Headers],[Paz]],Table1[[#Headers],[Paz]],""),"")</f>
        <v/>
      </c>
      <c r="O226" t="str">
        <f>IFERROR(IF(VLOOKUP(C226,Pan!A:C,3,FALSE)=Table1[[#Headers],[Pan]],Table1[[#Headers],[Pan]],""),"")</f>
        <v/>
      </c>
      <c r="P226" t="str">
        <f>IFERROR(IF(VLOOKUP(C226,Comunión!A:C,3,FALSE)=Table1[[#Headers],[Comunión]],Table1[[#Headers],[Comunión]],""),"")</f>
        <v/>
      </c>
      <c r="Q226" t="str">
        <f>IFERROR(IF(VLOOKUP(C226,Niños!A:C,3,FALSE)=Table1[[#Headers],[Niños]],Table1[[#Headers],[Niños]],""),"")</f>
        <v/>
      </c>
      <c r="R226" t="str">
        <f>IFERROR(IF(VLOOKUP(C226,Laudes!A:C,3,FALSE)=Table1[[#Headers],[Laudes]],Table1[[#Headers],[Laudes]],""),"")</f>
        <v/>
      </c>
      <c r="S226" t="str">
        <f>IFERROR(IF(VLOOKUP(C226,'Nuevo Testamento'!A:C,3,FALSE)=Table1[[#Headers],[Nuevo Testamento]],Table1[[#Headers],[Nuevo Testamento]],""),"")</f>
        <v>Nuevo Testamento</v>
      </c>
      <c r="T226" t="str">
        <f>IFERROR(IF(VLOOKUP(C226,'Antiguo Testamento'!A:C,3,FALSE)=Table1[[#Headers],[Antiguo Testamento]],Table1[[#Headers],[Antiguo Testamento]],""),"")</f>
        <v>Antiguo Testamento</v>
      </c>
      <c r="U226" t="str">
        <f>IFERROR(IF(VLOOKUP(C226,Final!A:C,3,FALSE)=Table1[[#Headers],[Final]],Table1[[#Headers],[Final]],""),"")</f>
        <v/>
      </c>
      <c r="V226" t="str" cm="1">
        <f t="array" ref="V22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/cantos/src/chtml/v/vieneelsenor.html</v>
      </c>
      <c r="W22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{id:224,title: "Viene el Señor", subtitle: "Salmo 93 (92) - Apocalipsis 1,5-7", category: "Precatecumenado", moments: ["Adviento","Navidad","","","","","","","","","","","Nuevo Testamento","Antiguo Testamento",""], url: "/cantos/src/chtml/v/vieneelsenor.html"},</v>
      </c>
    </row>
    <row r="227" spans="1:23" x14ac:dyDescent="0.25">
      <c r="A227">
        <v>171</v>
      </c>
      <c r="B227" s="14">
        <v>225</v>
      </c>
      <c r="C227" t="s">
        <v>227</v>
      </c>
      <c r="D227" t="s">
        <v>501</v>
      </c>
      <c r="E227" t="str">
        <f>LOWER(LEFT(Table1[[#This Row],[Canto]],1))</f>
        <v>v</v>
      </c>
      <c r="F227" t="s">
        <v>288</v>
      </c>
      <c r="G227" t="str">
        <f>IFERROR(IF(VLOOKUP(C227,Adviento!A:C,3,FALSE)=Table1[[#Headers],[Adviento]],Table1[[#Headers],[Adviento]],""),"")</f>
        <v>Adviento</v>
      </c>
      <c r="H227" t="str">
        <f>IFERROR(IF(VLOOKUP(C227,Navidad!A:C,3,FALSE)=Table1[[#Headers],[Navidad]],Table1[[#Headers],[Navidad]],""),"")</f>
        <v>Navidad</v>
      </c>
      <c r="I227" t="str">
        <f>IFERROR(IF(VLOOKUP(C227,Cuaresma!A:C,3,FALSE)=Table1[[#Headers],[Cuaresma]],Table1[[#Headers],[Cuaresma]],""),"")</f>
        <v/>
      </c>
      <c r="J227" t="str">
        <f>IFERROR(IF(VLOOKUP(C227,Pascua!A:C,3,FALSE)=Table1[[#Headers],[Pascua]],Table1[[#Headers],[Pascua]],""),"")</f>
        <v/>
      </c>
      <c r="K227" t="str">
        <f>IFERROR(IF(VLOOKUP(C227,Pentecostés!A:C,3,FALSE)=Table1[[#Headers],[Pentecostés]],Table1[[#Headers],[Pentecostés]],""),"")</f>
        <v/>
      </c>
      <c r="L227" t="str">
        <f>IFERROR(IF(VLOOKUP(C227,Entrada!A:C,3,FALSE)=Table1[[#Headers],[Entrada]],Table1[[#Headers],[Entrada]],""),"")</f>
        <v/>
      </c>
      <c r="M227" t="str">
        <f>IFERROR(IF(VLOOKUP(C227,Virgen!A:C,3,FALSE)=Table1[[#Headers],[Virgen]],Table1[[#Headers],[Virgen]],""),"")</f>
        <v>Virgen</v>
      </c>
      <c r="N227" t="str">
        <f>IFERROR(IF(VLOOKUP(C227,Paz!A:C,3,FALSE)=Table1[[#Headers],[Paz]],Table1[[#Headers],[Paz]],""),"")</f>
        <v/>
      </c>
      <c r="O227" t="str">
        <f>IFERROR(IF(VLOOKUP(C227,Pan!A:C,3,FALSE)=Table1[[#Headers],[Pan]],Table1[[#Headers],[Pan]],""),"")</f>
        <v/>
      </c>
      <c r="P227" t="str">
        <f>IFERROR(IF(VLOOKUP(C227,Comunión!A:C,3,FALSE)=Table1[[#Headers],[Comunión]],Table1[[#Headers],[Comunión]],""),"")</f>
        <v/>
      </c>
      <c r="Q227" t="str">
        <f>IFERROR(IF(VLOOKUP(C227,Niños!A:C,3,FALSE)=Table1[[#Headers],[Niños]],Table1[[#Headers],[Niños]],""),"")</f>
        <v/>
      </c>
      <c r="R227" t="str">
        <f>IFERROR(IF(VLOOKUP(C227,Laudes!A:C,3,FALSE)=Table1[[#Headers],[Laudes]],Table1[[#Headers],[Laudes]],""),"")</f>
        <v/>
      </c>
      <c r="S227" t="str">
        <f>IFERROR(IF(VLOOKUP(C227,'Nuevo Testamento'!A:C,3,FALSE)=Table1[[#Headers],[Nuevo Testamento]],Table1[[#Headers],[Nuevo Testamento]],""),"")</f>
        <v/>
      </c>
      <c r="T227" t="str">
        <f>IFERROR(IF(VLOOKUP(C227,'Antiguo Testamento'!A:C,3,FALSE)=Table1[[#Headers],[Antiguo Testamento]],Table1[[#Headers],[Antiguo Testamento]],""),"")</f>
        <v/>
      </c>
      <c r="U227" t="str">
        <f>IFERROR(IF(VLOOKUP(C227,Final!A:C,3,FALSE)=Table1[[#Headers],[Final]],Table1[[#Headers],[Final]],""),"")</f>
        <v/>
      </c>
      <c r="V227" t="str" cm="1">
        <f t="array" ref="V227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/cantos/src/chtml/v/virgendelamaravilla.html</v>
      </c>
      <c r="W227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{id:225,title: "Virgen de la maravilla", subtitle: "(Dante Allghlerl)", category: "Precatecumenado", moments: ["Adviento","Navidad","","","","","Virgen","","","","","","","",""], url: "/cantos/src/chtml/v/virgendelamaravilla.html"},</v>
      </c>
    </row>
    <row r="228" spans="1:23" x14ac:dyDescent="0.25">
      <c r="A228">
        <v>172</v>
      </c>
      <c r="B228" s="14">
        <v>226</v>
      </c>
      <c r="C228" t="s">
        <v>97</v>
      </c>
      <c r="D228" t="s">
        <v>502</v>
      </c>
      <c r="E228" t="str">
        <f>LOWER(LEFT(Table1[[#This Row],[Canto]],1))</f>
        <v>v</v>
      </c>
      <c r="F228" t="s">
        <v>288</v>
      </c>
      <c r="G228" t="str">
        <f>IFERROR(IF(VLOOKUP(C228,Adviento!A:C,3,FALSE)=Table1[[#Headers],[Adviento]],Table1[[#Headers],[Adviento]],""),"")</f>
        <v>Adviento</v>
      </c>
      <c r="H228" t="str">
        <f>IFERROR(IF(VLOOKUP(C228,Navidad!A:C,3,FALSE)=Table1[[#Headers],[Navidad]],Table1[[#Headers],[Navidad]],""),"")</f>
        <v>Navidad</v>
      </c>
      <c r="I228" t="str">
        <f>IFERROR(IF(VLOOKUP(C228,Cuaresma!A:C,3,FALSE)=Table1[[#Headers],[Cuaresma]],Table1[[#Headers],[Cuaresma]],""),"")</f>
        <v/>
      </c>
      <c r="J228" t="str">
        <f>IFERROR(IF(VLOOKUP(C228,Pascua!A:C,3,FALSE)=Table1[[#Headers],[Pascua]],Table1[[#Headers],[Pascua]],""),"")</f>
        <v/>
      </c>
      <c r="K228" t="str">
        <f>IFERROR(IF(VLOOKUP(C228,Pentecostés!A:C,3,FALSE)=Table1[[#Headers],[Pentecostés]],Table1[[#Headers],[Pentecostés]],""),"")</f>
        <v/>
      </c>
      <c r="L228" t="str">
        <f>IFERROR(IF(VLOOKUP(C228,Entrada!A:C,3,FALSE)=Table1[[#Headers],[Entrada]],Table1[[#Headers],[Entrada]],""),"")</f>
        <v/>
      </c>
      <c r="M228" t="str">
        <f>IFERROR(IF(VLOOKUP(C228,Virgen!A:C,3,FALSE)=Table1[[#Headers],[Virgen]],Table1[[#Headers],[Virgen]],""),"")</f>
        <v/>
      </c>
      <c r="N228" t="str">
        <f>IFERROR(IF(VLOOKUP(C228,Paz!A:C,3,FALSE)=Table1[[#Headers],[Paz]],Table1[[#Headers],[Paz]],""),"")</f>
        <v/>
      </c>
      <c r="O228" t="str">
        <f>IFERROR(IF(VLOOKUP(C228,Pan!A:C,3,FALSE)=Table1[[#Headers],[Pan]],Table1[[#Headers],[Pan]],""),"")</f>
        <v/>
      </c>
      <c r="P228" t="str">
        <f>IFERROR(IF(VLOOKUP(C228,Comunión!A:C,3,FALSE)=Table1[[#Headers],[Comunión]],Table1[[#Headers],[Comunión]],""),"")</f>
        <v/>
      </c>
      <c r="Q228" t="str">
        <f>IFERROR(IF(VLOOKUP(C228,Niños!A:C,3,FALSE)=Table1[[#Headers],[Niños]],Table1[[#Headers],[Niños]],""),"")</f>
        <v/>
      </c>
      <c r="R228" t="str">
        <f>IFERROR(IF(VLOOKUP(C228,Laudes!A:C,3,FALSE)=Table1[[#Headers],[Laudes]],Table1[[#Headers],[Laudes]],""),"")</f>
        <v/>
      </c>
      <c r="S228" t="str">
        <f>IFERROR(IF(VLOOKUP(C228,'Nuevo Testamento'!A:C,3,FALSE)=Table1[[#Headers],[Nuevo Testamento]],Table1[[#Headers],[Nuevo Testamento]],""),"")</f>
        <v>Nuevo Testamento</v>
      </c>
      <c r="T228" t="str">
        <f>IFERROR(IF(VLOOKUP(C228,'Antiguo Testamento'!A:C,3,FALSE)=Table1[[#Headers],[Antiguo Testamento]],Table1[[#Headers],[Antiguo Testamento]],""),"")</f>
        <v/>
      </c>
      <c r="U228" t="str">
        <f>IFERROR(IF(VLOOKUP(C228,Final!A:C,3,FALSE)=Table1[[#Headers],[Final]],Table1[[#Headers],[Final]],""),"")</f>
        <v/>
      </c>
      <c r="V228" t="str" cm="1">
        <f t="array" ref="V228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/cantos/src/chtml/v/vividalegres.html</v>
      </c>
      <c r="W228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{id:226,title: "Vivid alegres", subtitle: "Filipenses 4,4ss", category: "Precatecumenado", moments: ["Adviento","Navidad","","","","","","","","","","","Nuevo Testamento","",""], url: "/cantos/src/chtml/v/vividalegres.html"},</v>
      </c>
    </row>
    <row r="229" spans="1:23" x14ac:dyDescent="0.25">
      <c r="A229">
        <v>173</v>
      </c>
      <c r="B229" s="14">
        <v>227</v>
      </c>
      <c r="C229" t="s">
        <v>98</v>
      </c>
      <c r="D229" t="s">
        <v>503</v>
      </c>
      <c r="E229" t="str">
        <f>LOWER(LEFT(Table1[[#This Row],[Canto]],1))</f>
        <v>v</v>
      </c>
      <c r="F229" t="s">
        <v>288</v>
      </c>
      <c r="G229" t="str">
        <f>IFERROR(IF(VLOOKUP(C229,Adviento!A:C,3,FALSE)=Table1[[#Headers],[Adviento]],Table1[[#Headers],[Adviento]],""),"")</f>
        <v/>
      </c>
      <c r="H229" t="str">
        <f>IFERROR(IF(VLOOKUP(C229,Navidad!A:C,3,FALSE)=Table1[[#Headers],[Navidad]],Table1[[#Headers],[Navidad]],""),"")</f>
        <v/>
      </c>
      <c r="I229" t="str">
        <f>IFERROR(IF(VLOOKUP(C229,Cuaresma!A:C,3,FALSE)=Table1[[#Headers],[Cuaresma]],Table1[[#Headers],[Cuaresma]],""),"")</f>
        <v/>
      </c>
      <c r="J229" t="str">
        <f>IFERROR(IF(VLOOKUP(C229,Pascua!A:C,3,FALSE)=Table1[[#Headers],[Pascua]],Table1[[#Headers],[Pascua]],""),"")</f>
        <v/>
      </c>
      <c r="K229" t="str">
        <f>IFERROR(IF(VLOOKUP(C229,Pentecostés!A:C,3,FALSE)=Table1[[#Headers],[Pentecostés]],Table1[[#Headers],[Pentecostés]],""),"")</f>
        <v/>
      </c>
      <c r="L229" t="str">
        <f>IFERROR(IF(VLOOKUP(C229,Entrada!A:C,3,FALSE)=Table1[[#Headers],[Entrada]],Table1[[#Headers],[Entrada]],""),"")</f>
        <v/>
      </c>
      <c r="M229" t="str">
        <f>IFERROR(IF(VLOOKUP(C229,Virgen!A:C,3,FALSE)=Table1[[#Headers],[Virgen]],Table1[[#Headers],[Virgen]],""),"")</f>
        <v/>
      </c>
      <c r="N229" t="str">
        <f>IFERROR(IF(VLOOKUP(C229,Paz!A:C,3,FALSE)=Table1[[#Headers],[Paz]],Table1[[#Headers],[Paz]],""),"")</f>
        <v/>
      </c>
      <c r="O229" t="str">
        <f>IFERROR(IF(VLOOKUP(C229,Pan!A:C,3,FALSE)=Table1[[#Headers],[Pan]],Table1[[#Headers],[Pan]],""),"")</f>
        <v/>
      </c>
      <c r="P229" t="str">
        <f>IFERROR(IF(VLOOKUP(C229,Comunión!A:C,3,FALSE)=Table1[[#Headers],[Comunión]],Table1[[#Headers],[Comunión]],""),"")</f>
        <v/>
      </c>
      <c r="Q229" t="str">
        <f>IFERROR(IF(VLOOKUP(C229,Niños!A:C,3,FALSE)=Table1[[#Headers],[Niños]],Table1[[#Headers],[Niños]],""),"")</f>
        <v/>
      </c>
      <c r="R229" t="str">
        <f>IFERROR(IF(VLOOKUP(C229,Laudes!A:C,3,FALSE)=Table1[[#Headers],[Laudes]],Table1[[#Headers],[Laudes]],""),"")</f>
        <v/>
      </c>
      <c r="S229" t="str">
        <f>IFERROR(IF(VLOOKUP(C229,'Nuevo Testamento'!A:C,3,FALSE)=Table1[[#Headers],[Nuevo Testamento]],Table1[[#Headers],[Nuevo Testamento]],""),"")</f>
        <v>Nuevo Testamento</v>
      </c>
      <c r="T229" t="str">
        <f>IFERROR(IF(VLOOKUP(C229,'Antiguo Testamento'!A:C,3,FALSE)=Table1[[#Headers],[Antiguo Testamento]],Table1[[#Headers],[Antiguo Testamento]],""),"")</f>
        <v/>
      </c>
      <c r="U229" t="str">
        <f>IFERROR(IF(VLOOKUP(C229,Final!A:C,3,FALSE)=Table1[[#Headers],[Final]],Table1[[#Headers],[Final]],""),"")</f>
        <v/>
      </c>
      <c r="V229" t="str" cm="1">
        <f t="array" ref="V229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/cantos/src/chtml/v/vosotrossoislaluzdelmundo.html</v>
      </c>
      <c r="W229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{id:227,title: "Vosotros sois la luz del mundo", subtitle: "Mateo 5,14ss ", category: "Precatecumenado", moments: ["","","","","","","","","","","","","Nuevo Testamento","",""], url: "/cantos/src/chtml/v/vosotrossoislaluzdelmundo.html"},</v>
      </c>
    </row>
    <row r="230" spans="1:23" x14ac:dyDescent="0.25">
      <c r="A230">
        <v>174</v>
      </c>
      <c r="B230" s="14">
        <v>228</v>
      </c>
      <c r="C230" t="s">
        <v>228</v>
      </c>
      <c r="D230" t="s">
        <v>305</v>
      </c>
      <c r="E230" t="str">
        <f>LOWER(LEFT(Table1[[#This Row],[Canto]],1))</f>
        <v>y</v>
      </c>
      <c r="F230" t="s">
        <v>288</v>
      </c>
      <c r="G230" t="str">
        <f>IFERROR(IF(VLOOKUP(C230,Adviento!A:C,3,FALSE)=Table1[[#Headers],[Adviento]],Table1[[#Headers],[Adviento]],""),"")</f>
        <v>Adviento</v>
      </c>
      <c r="H230" t="str">
        <f>IFERROR(IF(VLOOKUP(C230,Navidad!A:C,3,FALSE)=Table1[[#Headers],[Navidad]],Table1[[#Headers],[Navidad]],""),"")</f>
        <v>Navidad</v>
      </c>
      <c r="I230" t="str">
        <f>IFERROR(IF(VLOOKUP(C230,Cuaresma!A:C,3,FALSE)=Table1[[#Headers],[Cuaresma]],Table1[[#Headers],[Cuaresma]],""),"")</f>
        <v/>
      </c>
      <c r="J230" t="str">
        <f>IFERROR(IF(VLOOKUP(C230,Pascua!A:C,3,FALSE)=Table1[[#Headers],[Pascua]],Table1[[#Headers],[Pascua]],""),"")</f>
        <v/>
      </c>
      <c r="K230" t="str">
        <f>IFERROR(IF(VLOOKUP(C230,Pentecostés!A:C,3,FALSE)=Table1[[#Headers],[Pentecostés]],Table1[[#Headers],[Pentecostés]],""),"")</f>
        <v/>
      </c>
      <c r="L230" t="str">
        <f>IFERROR(IF(VLOOKUP(C230,Entrada!A:C,3,FALSE)=Table1[[#Headers],[Entrada]],Table1[[#Headers],[Entrada]],""),"")</f>
        <v/>
      </c>
      <c r="M230" t="str">
        <f>IFERROR(IF(VLOOKUP(C230,Virgen!A:C,3,FALSE)=Table1[[#Headers],[Virgen]],Table1[[#Headers],[Virgen]],""),"")</f>
        <v/>
      </c>
      <c r="N230" t="str">
        <f>IFERROR(IF(VLOOKUP(C230,Paz!A:C,3,FALSE)=Table1[[#Headers],[Paz]],Table1[[#Headers],[Paz]],""),"")</f>
        <v/>
      </c>
      <c r="O230" t="str">
        <f>IFERROR(IF(VLOOKUP(C230,Pan!A:C,3,FALSE)=Table1[[#Headers],[Pan]],Table1[[#Headers],[Pan]],""),"")</f>
        <v/>
      </c>
      <c r="P230" t="str">
        <f>IFERROR(IF(VLOOKUP(C230,Comunión!A:C,3,FALSE)=Table1[[#Headers],[Comunión]],Table1[[#Headers],[Comunión]],""),"")</f>
        <v/>
      </c>
      <c r="Q230" t="str">
        <f>IFERROR(IF(VLOOKUP(C230,Niños!A:C,3,FALSE)=Table1[[#Headers],[Niños]],Table1[[#Headers],[Niños]],""),"")</f>
        <v>Niños</v>
      </c>
      <c r="R230" t="str">
        <f>IFERROR(IF(VLOOKUP(C230,Laudes!A:C,3,FALSE)=Table1[[#Headers],[Laudes]],Table1[[#Headers],[Laudes]],""),"")</f>
        <v/>
      </c>
      <c r="S230" t="str">
        <f>IFERROR(IF(VLOOKUP(C230,'Nuevo Testamento'!A:C,3,FALSE)=Table1[[#Headers],[Nuevo Testamento]],Table1[[#Headers],[Nuevo Testamento]],""),"")</f>
        <v/>
      </c>
      <c r="T230" t="str">
        <f>IFERROR(IF(VLOOKUP(C230,'Antiguo Testamento'!A:C,3,FALSE)=Table1[[#Headers],[Antiguo Testamento]],Table1[[#Headers],[Antiguo Testamento]],""),"")</f>
        <v/>
      </c>
      <c r="U230" t="str">
        <f>IFERROR(IF(VLOOKUP(C230,Final!A:C,3,FALSE)=Table1[[#Headers],[Final]],Table1[[#Headers],[Final]],""),"")</f>
        <v/>
      </c>
      <c r="V230" t="str" cm="1">
        <f t="array" ref="V230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/cantos/src/chtml/y/yavienemidios.html</v>
      </c>
      <c r="W230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{id:228,title: "Ya viene mi Dios", subtitle: "Villancico (Kiko Argüello)", category: "Precatecumenado", moments: ["Adviento","Navidad","","","","","","","","","Niños","","","",""], url: "/cantos/src/chtml/y/yavienemidios.html"},</v>
      </c>
    </row>
    <row r="231" spans="1:23" x14ac:dyDescent="0.25">
      <c r="A231">
        <v>175</v>
      </c>
      <c r="B231" s="14">
        <v>229</v>
      </c>
      <c r="C231" t="s">
        <v>99</v>
      </c>
      <c r="D231" t="s">
        <v>504</v>
      </c>
      <c r="E231" t="str">
        <f>LOWER(LEFT(Table1[[#This Row],[Canto]],1))</f>
        <v>y</v>
      </c>
      <c r="F231" t="s">
        <v>288</v>
      </c>
      <c r="G231" t="str">
        <f>IFERROR(IF(VLOOKUP(C231,Adviento!A:C,3,FALSE)=Table1[[#Headers],[Adviento]],Table1[[#Headers],[Adviento]],""),"")</f>
        <v/>
      </c>
      <c r="H231" t="str">
        <f>IFERROR(IF(VLOOKUP(C231,Navidad!A:C,3,FALSE)=Table1[[#Headers],[Navidad]],Table1[[#Headers],[Navidad]],""),"")</f>
        <v/>
      </c>
      <c r="I231" t="str">
        <f>IFERROR(IF(VLOOKUP(C231,Cuaresma!A:C,3,FALSE)=Table1[[#Headers],[Cuaresma]],Table1[[#Headers],[Cuaresma]],""),"")</f>
        <v>Cuaresma</v>
      </c>
      <c r="J231" t="str">
        <f>IFERROR(IF(VLOOKUP(C231,Pascua!A:C,3,FALSE)=Table1[[#Headers],[Pascua]],Table1[[#Headers],[Pascua]],""),"")</f>
        <v/>
      </c>
      <c r="K231" t="str">
        <f>IFERROR(IF(VLOOKUP(C231,Pentecostés!A:C,3,FALSE)=Table1[[#Headers],[Pentecostés]],Table1[[#Headers],[Pentecostés]],""),"")</f>
        <v/>
      </c>
      <c r="L231" t="str">
        <f>IFERROR(IF(VLOOKUP(C231,Entrada!A:C,3,FALSE)=Table1[[#Headers],[Entrada]],Table1[[#Headers],[Entrada]],""),"")</f>
        <v/>
      </c>
      <c r="M231" t="str">
        <f>IFERROR(IF(VLOOKUP(C231,Virgen!A:C,3,FALSE)=Table1[[#Headers],[Virgen]],Table1[[#Headers],[Virgen]],""),"")</f>
        <v/>
      </c>
      <c r="N231" t="str">
        <f>IFERROR(IF(VLOOKUP(C231,Paz!A:C,3,FALSE)=Table1[[#Headers],[Paz]],Table1[[#Headers],[Paz]],""),"")</f>
        <v/>
      </c>
      <c r="O231" t="str">
        <f>IFERROR(IF(VLOOKUP(C231,Pan!A:C,3,FALSE)=Table1[[#Headers],[Pan]],Table1[[#Headers],[Pan]],""),"")</f>
        <v/>
      </c>
      <c r="P231" t="str">
        <f>IFERROR(IF(VLOOKUP(C231,Comunión!A:C,3,FALSE)=Table1[[#Headers],[Comunión]],Table1[[#Headers],[Comunión]],""),"")</f>
        <v/>
      </c>
      <c r="Q231" t="str">
        <f>IFERROR(IF(VLOOKUP(C231,Niños!A:C,3,FALSE)=Table1[[#Headers],[Niños]],Table1[[#Headers],[Niños]],""),"")</f>
        <v/>
      </c>
      <c r="R231" t="str">
        <f>IFERROR(IF(VLOOKUP(C231,Laudes!A:C,3,FALSE)=Table1[[#Headers],[Laudes]],Table1[[#Headers],[Laudes]],""),"")</f>
        <v>Laudes</v>
      </c>
      <c r="S231" t="str">
        <f>IFERROR(IF(VLOOKUP(C231,'Nuevo Testamento'!A:C,3,FALSE)=Table1[[#Headers],[Nuevo Testamento]],Table1[[#Headers],[Nuevo Testamento]],""),"")</f>
        <v/>
      </c>
      <c r="T231" t="str">
        <f>IFERROR(IF(VLOOKUP(C231,'Antiguo Testamento'!A:C,3,FALSE)=Table1[[#Headers],[Antiguo Testamento]],Table1[[#Headers],[Antiguo Testamento]],""),"")</f>
        <v>Antiguo Testamento</v>
      </c>
      <c r="U231" t="str">
        <f>IFERROR(IF(VLOOKUP(C231,Final!A:C,3,FALSE)=Table1[[#Headers],[Final]],Table1[[#Headers],[Final]],""),"")</f>
        <v/>
      </c>
      <c r="V231" t="str" cm="1">
        <f t="array" ref="V231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/cantos/src/chtml/y/yahvehtueresmidios.html</v>
      </c>
      <c r="W231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{id:229,title: "Yahveh, tú eres mi Dios", subtitle: "Isaías 25,1-8", category: "Precatecumenado", moments: ["","","Cuaresma","","","","","","","","","Laudes","","Antiguo Testamento",""], url: "/cantos/src/chtml/y/yahvehtueresmidios.html"},</v>
      </c>
    </row>
    <row r="232" spans="1:23" x14ac:dyDescent="0.25">
      <c r="A232">
        <v>176</v>
      </c>
      <c r="B232" s="14">
        <v>230</v>
      </c>
      <c r="C232" t="s">
        <v>229</v>
      </c>
      <c r="D232" t="s">
        <v>505</v>
      </c>
      <c r="E232" t="str">
        <f>LOWER(LEFT(Table1[[#This Row],[Canto]],1))</f>
        <v>y</v>
      </c>
      <c r="F232" t="s">
        <v>288</v>
      </c>
      <c r="G232" t="str">
        <f>IFERROR(IF(VLOOKUP(C232,Adviento!A:C,3,FALSE)=Table1[[#Headers],[Adviento]],Table1[[#Headers],[Adviento]],""),"")</f>
        <v/>
      </c>
      <c r="H232" t="str">
        <f>IFERROR(IF(VLOOKUP(C232,Navidad!A:C,3,FALSE)=Table1[[#Headers],[Navidad]],Table1[[#Headers],[Navidad]],""),"")</f>
        <v/>
      </c>
      <c r="I232" t="str">
        <f>IFERROR(IF(VLOOKUP(C232,Cuaresma!A:C,3,FALSE)=Table1[[#Headers],[Cuaresma]],Table1[[#Headers],[Cuaresma]],""),"")</f>
        <v/>
      </c>
      <c r="J232" t="str">
        <f>IFERROR(IF(VLOOKUP(C232,Pascua!A:C,3,FALSE)=Table1[[#Headers],[Pascua]],Table1[[#Headers],[Pascua]],""),"")</f>
        <v/>
      </c>
      <c r="K232" t="str">
        <f>IFERROR(IF(VLOOKUP(C232,Pentecostés!A:C,3,FALSE)=Table1[[#Headers],[Pentecostés]],Table1[[#Headers],[Pentecostés]],""),"")</f>
        <v/>
      </c>
      <c r="L232" t="str">
        <f>IFERROR(IF(VLOOKUP(C232,Entrada!A:C,3,FALSE)=Table1[[#Headers],[Entrada]],Table1[[#Headers],[Entrada]],""),"")</f>
        <v>Entrada</v>
      </c>
      <c r="M232" t="str">
        <f>IFERROR(IF(VLOOKUP(C232,Virgen!A:C,3,FALSE)=Table1[[#Headers],[Virgen]],Table1[[#Headers],[Virgen]],""),"")</f>
        <v/>
      </c>
      <c r="N232" t="str">
        <f>IFERROR(IF(VLOOKUP(C232,Paz!A:C,3,FALSE)=Table1[[#Headers],[Paz]],Table1[[#Headers],[Paz]],""),"")</f>
        <v/>
      </c>
      <c r="O232" t="str">
        <f>IFERROR(IF(VLOOKUP(C232,Pan!A:C,3,FALSE)=Table1[[#Headers],[Pan]],Table1[[#Headers],[Pan]],""),"")</f>
        <v/>
      </c>
      <c r="P232" t="str">
        <f>IFERROR(IF(VLOOKUP(C232,Comunión!A:C,3,FALSE)=Table1[[#Headers],[Comunión]],Table1[[#Headers],[Comunión]],""),"")</f>
        <v/>
      </c>
      <c r="Q232" t="str">
        <f>IFERROR(IF(VLOOKUP(C232,Niños!A:C,3,FALSE)=Table1[[#Headers],[Niños]],Table1[[#Headers],[Niños]],""),"")</f>
        <v/>
      </c>
      <c r="R232" t="str">
        <f>IFERROR(IF(VLOOKUP(C232,Laudes!A:C,3,FALSE)=Table1[[#Headers],[Laudes]],Table1[[#Headers],[Laudes]],""),"")</f>
        <v/>
      </c>
      <c r="S232" t="str">
        <f>IFERROR(IF(VLOOKUP(C232,'Nuevo Testamento'!A:C,3,FALSE)=Table1[[#Headers],[Nuevo Testamento]],Table1[[#Headers],[Nuevo Testamento]],""),"")</f>
        <v/>
      </c>
      <c r="T232" t="str">
        <f>IFERROR(IF(VLOOKUP(C232,'Antiguo Testamento'!A:C,3,FALSE)=Table1[[#Headers],[Antiguo Testamento]],Table1[[#Headers],[Antiguo Testamento]],""),"")</f>
        <v>Antiguo Testamento</v>
      </c>
      <c r="U232" t="str">
        <f>IFERROR(IF(VLOOKUP(C232,Final!A:C,3,FALSE)=Table1[[#Headers],[Final]],Table1[[#Headers],[Final]],""),"")</f>
        <v/>
      </c>
      <c r="V232" t="str" cm="1">
        <f t="array" ref="V232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/cantos/src/chtml/y/yoteamosenor.html</v>
      </c>
      <c r="W232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{id:230,title: "Yo te amo, Señor", subtitle: "Sal 18 (17)", category: "Precatecumenado", moments: ["","","","","","Entrada","","","","","","","","Antiguo Testamento",""], url: "/cantos/src/chtml/y/yoteamosenor.html"},</v>
      </c>
    </row>
    <row r="233" spans="1:23" x14ac:dyDescent="0.25">
      <c r="A233">
        <v>177</v>
      </c>
      <c r="B233" s="14">
        <v>231</v>
      </c>
      <c r="C233" t="s">
        <v>100</v>
      </c>
      <c r="D233" t="s">
        <v>506</v>
      </c>
      <c r="E233" t="str">
        <f>LOWER(LEFT(Table1[[#This Row],[Canto]],1))</f>
        <v>y</v>
      </c>
      <c r="F233" t="s">
        <v>288</v>
      </c>
      <c r="G233" t="str">
        <f>IFERROR(IF(VLOOKUP(C233,Adviento!A:C,3,FALSE)=Table1[[#Headers],[Adviento]],Table1[[#Headers],[Adviento]],""),"")</f>
        <v/>
      </c>
      <c r="H233" t="str">
        <f>IFERROR(IF(VLOOKUP(C233,Navidad!A:C,3,FALSE)=Table1[[#Headers],[Navidad]],Table1[[#Headers],[Navidad]],""),"")</f>
        <v/>
      </c>
      <c r="I233" t="str">
        <f>IFERROR(IF(VLOOKUP(C233,Cuaresma!A:C,3,FALSE)=Table1[[#Headers],[Cuaresma]],Table1[[#Headers],[Cuaresma]],""),"")</f>
        <v/>
      </c>
      <c r="J233" t="str">
        <f>IFERROR(IF(VLOOKUP(C233,Pascua!A:C,3,FALSE)=Table1[[#Headers],[Pascua]],Table1[[#Headers],[Pascua]],""),"")</f>
        <v/>
      </c>
      <c r="K233" t="str">
        <f>IFERROR(IF(VLOOKUP(C233,Pentecostés!A:C,3,FALSE)=Table1[[#Headers],[Pentecostés]],Table1[[#Headers],[Pentecostés]],""),"")</f>
        <v/>
      </c>
      <c r="L233" t="str">
        <f>IFERROR(IF(VLOOKUP(C233,Entrada!A:C,3,FALSE)=Table1[[#Headers],[Entrada]],Table1[[#Headers],[Entrada]],""),"")</f>
        <v>Entrada</v>
      </c>
      <c r="M233" t="str">
        <f>IFERROR(IF(VLOOKUP(C233,Virgen!A:C,3,FALSE)=Table1[[#Headers],[Virgen]],Table1[[#Headers],[Virgen]],""),"")</f>
        <v/>
      </c>
      <c r="N233" t="str">
        <f>IFERROR(IF(VLOOKUP(C233,Paz!A:C,3,FALSE)=Table1[[#Headers],[Paz]],Table1[[#Headers],[Paz]],""),"")</f>
        <v/>
      </c>
      <c r="O233" t="str">
        <f>IFERROR(IF(VLOOKUP(C233,Pan!A:C,3,FALSE)=Table1[[#Headers],[Pan]],Table1[[#Headers],[Pan]],""),"")</f>
        <v/>
      </c>
      <c r="P233" t="str">
        <f>IFERROR(IF(VLOOKUP(C233,Comunión!A:C,3,FALSE)=Table1[[#Headers],[Comunión]],Table1[[#Headers],[Comunión]],""),"")</f>
        <v/>
      </c>
      <c r="Q233" t="str">
        <f>IFERROR(IF(VLOOKUP(C233,Niños!A:C,3,FALSE)=Table1[[#Headers],[Niños]],Table1[[#Headers],[Niños]],""),"")</f>
        <v/>
      </c>
      <c r="R233" t="str">
        <f>IFERROR(IF(VLOOKUP(C233,Laudes!A:C,3,FALSE)=Table1[[#Headers],[Laudes]],Table1[[#Headers],[Laudes]],""),"")</f>
        <v/>
      </c>
      <c r="S233" t="str">
        <f>IFERROR(IF(VLOOKUP(C233,'Nuevo Testamento'!A:C,3,FALSE)=Table1[[#Headers],[Nuevo Testamento]],Table1[[#Headers],[Nuevo Testamento]],""),"")</f>
        <v/>
      </c>
      <c r="T233" t="str">
        <f>IFERROR(IF(VLOOKUP(C233,'Antiguo Testamento'!A:C,3,FALSE)=Table1[[#Headers],[Antiguo Testamento]],Table1[[#Headers],[Antiguo Testamento]],""),"")</f>
        <v>Antiguo Testamento</v>
      </c>
      <c r="U233" t="str">
        <f>IFERROR(IF(VLOOKUP(C233,Final!A:C,3,FALSE)=Table1[[#Headers],[Final]],Table1[[#Headers],[Final]],""),"")</f>
        <v>Final</v>
      </c>
      <c r="V233" t="str" cm="1">
        <f t="array" ref="V233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/cantos/src/chtml/y/yovengoareunir.html</v>
      </c>
      <c r="W233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{id:231,title: "Yo vengo a reunir", subtitle: "Isaías 66,18-21", category: "Precatecumenado", moments: ["","","","","","Entrada","","","","","","","","Antiguo Testamento","Final"], url: "/cantos/src/chtml/y/yovengoareunir.html"},</v>
      </c>
    </row>
    <row r="234" spans="1:23" x14ac:dyDescent="0.25">
      <c r="A234">
        <v>178</v>
      </c>
      <c r="B234" s="14">
        <v>232</v>
      </c>
      <c r="C234" t="s">
        <v>101</v>
      </c>
      <c r="D234" t="s">
        <v>507</v>
      </c>
      <c r="E234" t="str">
        <f>LOWER(LEFT(Table1[[#This Row],[Canto]],1))</f>
        <v>z</v>
      </c>
      <c r="F234" t="s">
        <v>288</v>
      </c>
      <c r="G234" t="str">
        <f>IFERROR(IF(VLOOKUP(C234,Adviento!A:C,3,FALSE)=Table1[[#Headers],[Adviento]],Table1[[#Headers],[Adviento]],""),"")</f>
        <v/>
      </c>
      <c r="H234" t="str">
        <f>IFERROR(IF(VLOOKUP(C234,Navidad!A:C,3,FALSE)=Table1[[#Headers],[Navidad]],Table1[[#Headers],[Navidad]],""),"")</f>
        <v/>
      </c>
      <c r="I234" t="str">
        <f>IFERROR(IF(VLOOKUP(C234,Cuaresma!A:C,3,FALSE)=Table1[[#Headers],[Cuaresma]],Table1[[#Headers],[Cuaresma]],""),"")</f>
        <v>Cuaresma</v>
      </c>
      <c r="J234" t="str">
        <f>IFERROR(IF(VLOOKUP(C234,Pascua!A:C,3,FALSE)=Table1[[#Headers],[Pascua]],Table1[[#Headers],[Pascua]],""),"")</f>
        <v/>
      </c>
      <c r="K234" t="str">
        <f>IFERROR(IF(VLOOKUP(C234,Pentecostés!A:C,3,FALSE)=Table1[[#Headers],[Pentecostés]],Table1[[#Headers],[Pentecostés]],""),"")</f>
        <v/>
      </c>
      <c r="L234" t="str">
        <f>IFERROR(IF(VLOOKUP(C234,Entrada!A:C,3,FALSE)=Table1[[#Headers],[Entrada]],Table1[[#Headers],[Entrada]],""),"")</f>
        <v>Entrada</v>
      </c>
      <c r="M234" t="str">
        <f>IFERROR(IF(VLOOKUP(C234,Virgen!A:C,3,FALSE)=Table1[[#Headers],[Virgen]],Table1[[#Headers],[Virgen]],""),"")</f>
        <v/>
      </c>
      <c r="N234" t="str">
        <f>IFERROR(IF(VLOOKUP(C234,Paz!A:C,3,FALSE)=Table1[[#Headers],[Paz]],Table1[[#Headers],[Paz]],""),"")</f>
        <v/>
      </c>
      <c r="O234" t="str">
        <f>IFERROR(IF(VLOOKUP(C234,Pan!A:C,3,FALSE)=Table1[[#Headers],[Pan]],Table1[[#Headers],[Pan]],""),"")</f>
        <v/>
      </c>
      <c r="P234" t="str">
        <f>IFERROR(IF(VLOOKUP(C234,Comunión!A:C,3,FALSE)=Table1[[#Headers],[Comunión]],Table1[[#Headers],[Comunión]],""),"")</f>
        <v/>
      </c>
      <c r="Q234" t="str">
        <f>IFERROR(IF(VLOOKUP(C234,Niños!A:C,3,FALSE)=Table1[[#Headers],[Niños]],Table1[[#Headers],[Niños]],""),"")</f>
        <v/>
      </c>
      <c r="R234" t="str">
        <f>IFERROR(IF(VLOOKUP(C234,Laudes!A:C,3,FALSE)=Table1[[#Headers],[Laudes]],Table1[[#Headers],[Laudes]],""),"")</f>
        <v>Laudes</v>
      </c>
      <c r="S234" t="str">
        <f>IFERROR(IF(VLOOKUP(C234,'Nuevo Testamento'!A:C,3,FALSE)=Table1[[#Headers],[Nuevo Testamento]],Table1[[#Headers],[Nuevo Testamento]],""),"")</f>
        <v>Nuevo Testamento</v>
      </c>
      <c r="T234" t="str">
        <f>IFERROR(IF(VLOOKUP(C234,'Antiguo Testamento'!A:C,3,FALSE)=Table1[[#Headers],[Antiguo Testamento]],Table1[[#Headers],[Antiguo Testamento]],""),"")</f>
        <v/>
      </c>
      <c r="U234" t="str">
        <f>IFERROR(IF(VLOOKUP(C234,Final!A:C,3,FALSE)=Table1[[#Headers],[Final]],Table1[[#Headers],[Final]],""),"")</f>
        <v/>
      </c>
      <c r="V234" t="str" cm="1">
        <f t="array" ref="V234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/cantos/src/chtml/z/zaqueo.html</v>
      </c>
      <c r="W234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{id:232,title: "Zaqueo", subtitle: "Lucas 19,1-10", category: "Precatecumenado", moments: ["","","Cuaresma","","","Entrada","","","","","","Laudes","Nuevo Testamento","",""], url: "/cantos/src/chtml/z/zaqueo.html"},</v>
      </c>
    </row>
    <row r="235" spans="1:23" x14ac:dyDescent="0.25">
      <c r="A235">
        <v>245</v>
      </c>
      <c r="B235" s="14">
        <v>233</v>
      </c>
      <c r="C235" t="s">
        <v>102</v>
      </c>
      <c r="D235" t="s">
        <v>514</v>
      </c>
      <c r="E235" t="str">
        <f>LOWER(LEFT(Table1[[#This Row],[Canto]],1))</f>
        <v>p</v>
      </c>
      <c r="F235" t="s">
        <v>290</v>
      </c>
      <c r="G235" t="str">
        <f>IFERROR(IF(VLOOKUP(C235,Adviento!A:C,3,FALSE)=Table1[[#Headers],[Adviento]],Table1[[#Headers],[Adviento]],""),"")</f>
        <v/>
      </c>
      <c r="H235" t="str">
        <f>IFERROR(IF(VLOOKUP(C235,Navidad!A:C,3,FALSE)=Table1[[#Headers],[Navidad]],Table1[[#Headers],[Navidad]],""),"")</f>
        <v/>
      </c>
      <c r="I235" t="str">
        <f>IFERROR(IF(VLOOKUP(C235,Cuaresma!A:C,3,FALSE)=Table1[[#Headers],[Cuaresma]],Table1[[#Headers],[Cuaresma]],""),"")</f>
        <v/>
      </c>
      <c r="J235" t="str">
        <f>IFERROR(IF(VLOOKUP(C235,Pascua!A:C,3,FALSE)=Table1[[#Headers],[Pascua]],Table1[[#Headers],[Pascua]],""),"")</f>
        <v/>
      </c>
      <c r="K235" t="str">
        <f>IFERROR(IF(VLOOKUP(C235,Pentecostés!A:C,3,FALSE)=Table1[[#Headers],[Pentecostés]],Table1[[#Headers],[Pentecostés]],""),"")</f>
        <v/>
      </c>
      <c r="L235" t="str">
        <f>IFERROR(IF(VLOOKUP(C235,Entrada!A:C,3,FALSE)=Table1[[#Headers],[Entrada]],Table1[[#Headers],[Entrada]],""),"")</f>
        <v/>
      </c>
      <c r="M235" t="str">
        <f>IFERROR(IF(VLOOKUP(C235,Virgen!A:C,3,FALSE)=Table1[[#Headers],[Virgen]],Table1[[#Headers],[Virgen]],""),"")</f>
        <v/>
      </c>
      <c r="N235" t="str">
        <f>IFERROR(IF(VLOOKUP(C235,Paz!A:C,3,FALSE)=Table1[[#Headers],[Paz]],Table1[[#Headers],[Paz]],""),"")</f>
        <v/>
      </c>
      <c r="O235" t="str">
        <f>IFERROR(IF(VLOOKUP(C235,Pan!A:C,3,FALSE)=Table1[[#Headers],[Pan]],Table1[[#Headers],[Pan]],""),"")</f>
        <v/>
      </c>
      <c r="P235" t="str">
        <f>IFERROR(IF(VLOOKUP(C235,Comunión!A:C,3,FALSE)=Table1[[#Headers],[Comunión]],Table1[[#Headers],[Comunión]],""),"")</f>
        <v/>
      </c>
      <c r="Q235" t="str">
        <f>IFERROR(IF(VLOOKUP(C235,Niños!A:C,3,FALSE)=Table1[[#Headers],[Niños]],Table1[[#Headers],[Niños]],""),"")</f>
        <v/>
      </c>
      <c r="R235" t="str">
        <f>IFERROR(IF(VLOOKUP(C235,Laudes!A:C,3,FALSE)=Table1[[#Headers],[Laudes]],Table1[[#Headers],[Laudes]],""),"")</f>
        <v/>
      </c>
      <c r="S235" t="str">
        <f>IFERROR(IF(VLOOKUP(C235,'Nuevo Testamento'!A:C,3,FALSE)=Table1[[#Headers],[Nuevo Testamento]],Table1[[#Headers],[Nuevo Testamento]],""),"")</f>
        <v/>
      </c>
      <c r="T235" t="str">
        <f>IFERROR(IF(VLOOKUP(C235,'Antiguo Testamento'!A:C,3,FALSE)=Table1[[#Headers],[Antiguo Testamento]],Table1[[#Headers],[Antiguo Testamento]],""),"")</f>
        <v/>
      </c>
      <c r="U235" t="str">
        <f>IFERROR(IF(VLOOKUP(C235,Final!A:C,3,FALSE)=Table1[[#Headers],[Final]],Table1[[#Headers],[Final]],""),"")</f>
        <v/>
      </c>
      <c r="V235" t="str" cm="1">
        <f t="array" ref="V235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/cantos/src/chtml/p/prountuariodeacordes.html</v>
      </c>
      <c r="W235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{id:233,title: "Prountuario de Acordes", subtitle: "Notas", category: "Catecumenado", moments: ["","","","","","","","","","","","","","",""], url: "/cantos/src/chtml/p/prountuariodeacordes.html"},</v>
      </c>
    </row>
    <row r="236" spans="1:23" x14ac:dyDescent="0.25">
      <c r="A236">
        <v>247</v>
      </c>
      <c r="B236" s="14">
        <v>234</v>
      </c>
      <c r="C236" t="s">
        <v>103</v>
      </c>
      <c r="D236" t="s">
        <v>515</v>
      </c>
      <c r="E236" t="str">
        <f>LOWER(LEFT(Table1[[#This Row],[Canto]],1))</f>
        <v>l</v>
      </c>
      <c r="F236" s="13" t="s">
        <v>290</v>
      </c>
      <c r="G236" t="str">
        <f>IFERROR(IF(VLOOKUP(C236,Adviento!A:C,3,FALSE)=Table1[[#Headers],[Adviento]],Table1[[#Headers],[Adviento]],""),"")</f>
        <v/>
      </c>
      <c r="H236" t="str">
        <f>IFERROR(IF(VLOOKUP(C236,Navidad!A:C,3,FALSE)=Table1[[#Headers],[Navidad]],Table1[[#Headers],[Navidad]],""),"")</f>
        <v/>
      </c>
      <c r="I236" t="str">
        <f>IFERROR(IF(VLOOKUP(C236,Cuaresma!A:C,3,FALSE)=Table1[[#Headers],[Cuaresma]],Table1[[#Headers],[Cuaresma]],""),"")</f>
        <v/>
      </c>
      <c r="J236" t="str">
        <f>IFERROR(IF(VLOOKUP(C236,Pascua!A:C,3,FALSE)=Table1[[#Headers],[Pascua]],Table1[[#Headers],[Pascua]],""),"")</f>
        <v/>
      </c>
      <c r="K236" t="str">
        <f>IFERROR(IF(VLOOKUP(C236,Pentecostés!A:C,3,FALSE)=Table1[[#Headers],[Pentecostés]],Table1[[#Headers],[Pentecostés]],""),"")</f>
        <v/>
      </c>
      <c r="L236" t="str">
        <f>IFERROR(IF(VLOOKUP(C236,Entrada!A:C,3,FALSE)=Table1[[#Headers],[Entrada]],Table1[[#Headers],[Entrada]],""),"")</f>
        <v/>
      </c>
      <c r="M236" t="str">
        <f>IFERROR(IF(VLOOKUP(C236,Virgen!A:C,3,FALSE)=Table1[[#Headers],[Virgen]],Table1[[#Headers],[Virgen]],""),"")</f>
        <v/>
      </c>
      <c r="N236" t="str">
        <f>IFERROR(IF(VLOOKUP(C236,Paz!A:C,3,FALSE)=Table1[[#Headers],[Paz]],Table1[[#Headers],[Paz]],""),"")</f>
        <v/>
      </c>
      <c r="O236" t="str">
        <f>IFERROR(IF(VLOOKUP(C236,Pan!A:C,3,FALSE)=Table1[[#Headers],[Pan]],Table1[[#Headers],[Pan]],""),"")</f>
        <v/>
      </c>
      <c r="P236" t="str">
        <f>IFERROR(IF(VLOOKUP(C236,Comunión!A:C,3,FALSE)=Table1[[#Headers],[Comunión]],Table1[[#Headers],[Comunión]],""),"")</f>
        <v/>
      </c>
      <c r="Q236" t="str">
        <f>IFERROR(IF(VLOOKUP(C236,Niños!A:C,3,FALSE)=Table1[[#Headers],[Niños]],Table1[[#Headers],[Niños]],""),"")</f>
        <v/>
      </c>
      <c r="R236" t="str">
        <f>IFERROR(IF(VLOOKUP(C236,Laudes!A:C,3,FALSE)=Table1[[#Headers],[Laudes]],Table1[[#Headers],[Laudes]],""),"")</f>
        <v/>
      </c>
      <c r="S236" t="str">
        <f>IFERROR(IF(VLOOKUP(C236,'Nuevo Testamento'!A:C,3,FALSE)=Table1[[#Headers],[Nuevo Testamento]],Table1[[#Headers],[Nuevo Testamento]],""),"")</f>
        <v/>
      </c>
      <c r="T236" t="str">
        <f>IFERROR(IF(VLOOKUP(C236,'Antiguo Testamento'!A:C,3,FALSE)=Table1[[#Headers],[Antiguo Testamento]],Table1[[#Headers],[Antiguo Testamento]],""),"")</f>
        <v/>
      </c>
      <c r="U236" t="str">
        <f>IFERROR(IF(VLOOKUP(C236,Final!A:C,3,FALSE)=Table1[[#Headers],[Final]],Table1[[#Headers],[Final]],""),"")</f>
        <v/>
      </c>
      <c r="V236" t="str" cm="1">
        <f t="array" ref="V236">_xlfn.LET(
    _xlpm.texto_limpio, _xlfn.REDUCE(
        LOWER(Table1[[#This Row],[Canto]]),
        {"á";"é";"í";"ó";"ú";"ñ";",";" "},
        _xlfn.LAMBDA(_xlpm.acum,_xlpm.caracter, SUBSTITUTE(_xlpm.acum, _xlpm.caracter, CHOOSE(MATCH(_xlpm.caracter, {"á";"é";"í";"ó";"ú";"ñ";",";" "}, 0), "a","e","i","o","u","n","","")))
    ),
    _xlfn.CONCAT("/cantos/src/chtml/", Table1[[#This Row],[iniciar]], "/", _xlpm.texto_limpio, ".html")
)</f>
        <v>/cantos/src/chtml/l/librodecantoenpdf.html</v>
      </c>
      <c r="W236" t="str">
        <f>_xlfn.CONCAT("{id:",Table1[[#This Row],[Or'#]],",","title: ","""",Table1[[#This Row],[Canto]],"""",", subtitle: ","""",Table1[[#This Row],[subtitle]],"""",", ","category: ","""",Table1[[#This Row],[Categoria]],"""",", moments: [","""",Table1[[#This Row],[Adviento]],""",","""",Table1[[#This Row],[Navidad]],""",","""",Table1[[#This Row],[Cuaresma]],""",","""",Table1[[#This Row],[Pascua]],""",","""",Table1[[#This Row],[Pentecostés]],""",","""",Table1[[#This Row],[Entrada]],""",","""",Table1[[#This Row],[Virgen]],""",","""",Table1[[#This Row],[Paz]],""",","""",Table1[[#This Row],[Pan]],""",","""",Table1[[#This Row],[Comunión]],""",","""",Table1[[#This Row],[Niños]],""",","""",Table1[[#This Row],[Laudes]],""",","""",Table1[[#This Row],[Nuevo Testamento]],""",","""",Table1[[#This Row],[Antiguo Testamento]],""",","""",Table1[[#This Row],[Final]],"""","], url: ","""",Table1[[#This Row],[URL]],"""","},")</f>
        <v>{id:234,title: "Libro de Canto en PDF", subtitle: "Libro de Canto del Camino Neo Catecumenal", category: "Catecumenado", moments: ["","","","","","","","","","","","","","",""], url: "/cantos/src/chtml/l/librodecantoenpdf.html"},</v>
      </c>
    </row>
  </sheetData>
  <phoneticPr fontId="7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E1B1-7090-44CD-9BAC-2754D2E3307A}">
  <dimension ref="A1:E240"/>
  <sheetViews>
    <sheetView zoomScale="190" zoomScaleNormal="190" workbookViewId="0"/>
  </sheetViews>
  <sheetFormatPr defaultRowHeight="15" x14ac:dyDescent="0.25"/>
  <cols>
    <col min="1" max="1" width="45.140625" bestFit="1" customWidth="1"/>
    <col min="2" max="2" width="38.28515625" bestFit="1" customWidth="1"/>
    <col min="4" max="4" width="44.85546875" bestFit="1" customWidth="1"/>
  </cols>
  <sheetData>
    <row r="1" spans="1:5" x14ac:dyDescent="0.25">
      <c r="A1" s="1" t="s">
        <v>0</v>
      </c>
      <c r="B1" t="s">
        <v>104</v>
      </c>
      <c r="C1" t="b">
        <f>B1=A1</f>
        <v>1</v>
      </c>
      <c r="D1" s="1" t="s">
        <v>104</v>
      </c>
      <c r="E1">
        <v>237</v>
      </c>
    </row>
    <row r="2" spans="1:5" x14ac:dyDescent="0.25">
      <c r="A2" s="2" t="s">
        <v>1</v>
      </c>
      <c r="B2" t="s">
        <v>1</v>
      </c>
      <c r="C2" t="b">
        <f t="shared" ref="C2:C42" si="0">B2=A2</f>
        <v>1</v>
      </c>
      <c r="D2" s="2" t="s">
        <v>1</v>
      </c>
      <c r="E2">
        <v>1</v>
      </c>
    </row>
    <row r="3" spans="1:5" x14ac:dyDescent="0.25">
      <c r="A3" s="1" t="s">
        <v>2</v>
      </c>
      <c r="B3" t="s">
        <v>2</v>
      </c>
      <c r="C3" t="b">
        <f t="shared" si="0"/>
        <v>1</v>
      </c>
      <c r="D3" s="1" t="s">
        <v>2</v>
      </c>
      <c r="E3">
        <v>2</v>
      </c>
    </row>
    <row r="4" spans="1:5" x14ac:dyDescent="0.25">
      <c r="A4" s="2" t="s">
        <v>3</v>
      </c>
      <c r="B4" t="s">
        <v>3</v>
      </c>
      <c r="C4" t="b">
        <f t="shared" si="0"/>
        <v>1</v>
      </c>
      <c r="D4" s="2" t="s">
        <v>3</v>
      </c>
      <c r="E4">
        <v>3</v>
      </c>
    </row>
    <row r="5" spans="1:5" x14ac:dyDescent="0.25">
      <c r="A5" s="1" t="s">
        <v>4</v>
      </c>
      <c r="B5" t="s">
        <v>4</v>
      </c>
      <c r="C5" t="b">
        <f t="shared" si="0"/>
        <v>1</v>
      </c>
      <c r="D5" s="1" t="s">
        <v>4</v>
      </c>
      <c r="E5">
        <v>4</v>
      </c>
    </row>
    <row r="6" spans="1:5" x14ac:dyDescent="0.25">
      <c r="A6" s="2" t="s">
        <v>5</v>
      </c>
      <c r="B6" t="s">
        <v>5</v>
      </c>
      <c r="C6" t="b">
        <f t="shared" si="0"/>
        <v>1</v>
      </c>
      <c r="D6" s="2" t="s">
        <v>5</v>
      </c>
      <c r="E6">
        <v>5</v>
      </c>
    </row>
    <row r="7" spans="1:5" x14ac:dyDescent="0.25">
      <c r="A7" s="1" t="s">
        <v>105</v>
      </c>
      <c r="B7" t="s">
        <v>105</v>
      </c>
      <c r="C7" t="b">
        <f t="shared" si="0"/>
        <v>1</v>
      </c>
      <c r="D7" s="1" t="s">
        <v>105</v>
      </c>
      <c r="E7">
        <v>6</v>
      </c>
    </row>
    <row r="8" spans="1:5" x14ac:dyDescent="0.25">
      <c r="A8" s="2" t="s">
        <v>106</v>
      </c>
      <c r="B8" t="s">
        <v>106</v>
      </c>
      <c r="C8" t="b">
        <f t="shared" si="0"/>
        <v>1</v>
      </c>
      <c r="D8" s="2" t="s">
        <v>106</v>
      </c>
      <c r="E8">
        <v>7</v>
      </c>
    </row>
    <row r="9" spans="1:5" x14ac:dyDescent="0.25">
      <c r="A9" s="1" t="s">
        <v>107</v>
      </c>
      <c r="B9" t="s">
        <v>107</v>
      </c>
      <c r="C9" t="b">
        <f t="shared" si="0"/>
        <v>1</v>
      </c>
      <c r="D9" s="1" t="s">
        <v>107</v>
      </c>
      <c r="E9">
        <v>8</v>
      </c>
    </row>
    <row r="10" spans="1:5" x14ac:dyDescent="0.25">
      <c r="A10" s="4" t="s">
        <v>230</v>
      </c>
      <c r="B10" s="3" t="s">
        <v>108</v>
      </c>
      <c r="C10" t="b">
        <f t="shared" si="0"/>
        <v>0</v>
      </c>
      <c r="D10" s="5" t="s">
        <v>108</v>
      </c>
      <c r="E10">
        <v>179</v>
      </c>
    </row>
    <row r="11" spans="1:5" x14ac:dyDescent="0.25">
      <c r="A11" s="2" t="s">
        <v>6</v>
      </c>
      <c r="B11" t="s">
        <v>6</v>
      </c>
      <c r="C11" t="b">
        <f t="shared" si="0"/>
        <v>1</v>
      </c>
      <c r="D11" s="1" t="s">
        <v>6</v>
      </c>
      <c r="E11">
        <v>9</v>
      </c>
    </row>
    <row r="12" spans="1:5" x14ac:dyDescent="0.25">
      <c r="A12" t="s">
        <v>109</v>
      </c>
      <c r="B12" t="s">
        <v>109</v>
      </c>
      <c r="C12" t="b">
        <f t="shared" si="0"/>
        <v>1</v>
      </c>
      <c r="D12" s="2" t="s">
        <v>109</v>
      </c>
      <c r="E12">
        <v>238</v>
      </c>
    </row>
    <row r="13" spans="1:5" x14ac:dyDescent="0.25">
      <c r="A13" s="2" t="s">
        <v>7</v>
      </c>
      <c r="B13" t="s">
        <v>7</v>
      </c>
      <c r="C13" t="b">
        <f t="shared" si="0"/>
        <v>1</v>
      </c>
      <c r="D13" s="1" t="s">
        <v>7</v>
      </c>
      <c r="E13">
        <v>10</v>
      </c>
    </row>
    <row r="14" spans="1:5" x14ac:dyDescent="0.25">
      <c r="A14" s="1" t="s">
        <v>8</v>
      </c>
      <c r="B14" t="s">
        <v>8</v>
      </c>
      <c r="C14" t="b">
        <f t="shared" si="0"/>
        <v>1</v>
      </c>
      <c r="D14" s="2" t="s">
        <v>8</v>
      </c>
      <c r="E14">
        <v>11</v>
      </c>
    </row>
    <row r="15" spans="1:5" x14ac:dyDescent="0.25">
      <c r="A15" s="2" t="s">
        <v>110</v>
      </c>
      <c r="B15" t="s">
        <v>110</v>
      </c>
      <c r="C15" t="b">
        <f t="shared" si="0"/>
        <v>1</v>
      </c>
      <c r="D15" s="1" t="s">
        <v>110</v>
      </c>
      <c r="E15">
        <v>12</v>
      </c>
    </row>
    <row r="16" spans="1:5" x14ac:dyDescent="0.25">
      <c r="A16" s="1" t="s">
        <v>9</v>
      </c>
      <c r="B16" t="s">
        <v>9</v>
      </c>
      <c r="C16" t="b">
        <f t="shared" si="0"/>
        <v>1</v>
      </c>
      <c r="D16" s="2" t="s">
        <v>9</v>
      </c>
      <c r="E16">
        <v>180</v>
      </c>
    </row>
    <row r="17" spans="1:5" x14ac:dyDescent="0.25">
      <c r="A17" s="2" t="s">
        <v>111</v>
      </c>
      <c r="B17" t="s">
        <v>111</v>
      </c>
      <c r="C17" t="b">
        <f t="shared" si="0"/>
        <v>1</v>
      </c>
      <c r="D17" s="1" t="s">
        <v>111</v>
      </c>
      <c r="E17">
        <v>181</v>
      </c>
    </row>
    <row r="18" spans="1:5" x14ac:dyDescent="0.25">
      <c r="A18" s="1" t="s">
        <v>10</v>
      </c>
      <c r="B18" t="s">
        <v>10</v>
      </c>
      <c r="C18" t="b">
        <f t="shared" si="0"/>
        <v>1</v>
      </c>
      <c r="D18" s="2" t="s">
        <v>10</v>
      </c>
      <c r="E18">
        <v>13</v>
      </c>
    </row>
    <row r="19" spans="1:5" x14ac:dyDescent="0.25">
      <c r="A19" s="2" t="s">
        <v>11</v>
      </c>
      <c r="B19" t="s">
        <v>11</v>
      </c>
      <c r="C19" t="b">
        <f t="shared" si="0"/>
        <v>1</v>
      </c>
      <c r="D19" s="1" t="s">
        <v>11</v>
      </c>
      <c r="E19">
        <v>14</v>
      </c>
    </row>
    <row r="20" spans="1:5" x14ac:dyDescent="0.25">
      <c r="A20" s="1" t="s">
        <v>12</v>
      </c>
      <c r="B20" t="s">
        <v>12</v>
      </c>
      <c r="C20" t="b">
        <f t="shared" si="0"/>
        <v>1</v>
      </c>
      <c r="D20" s="2" t="s">
        <v>12</v>
      </c>
      <c r="E20">
        <v>15</v>
      </c>
    </row>
    <row r="21" spans="1:5" x14ac:dyDescent="0.25">
      <c r="A21" t="s">
        <v>112</v>
      </c>
      <c r="B21" t="s">
        <v>112</v>
      </c>
      <c r="C21" t="b">
        <f t="shared" si="0"/>
        <v>1</v>
      </c>
      <c r="D21" s="1" t="s">
        <v>112</v>
      </c>
      <c r="E21">
        <v>16</v>
      </c>
    </row>
    <row r="22" spans="1:5" x14ac:dyDescent="0.25">
      <c r="A22" s="1" t="s">
        <v>13</v>
      </c>
      <c r="B22" t="s">
        <v>13</v>
      </c>
      <c r="C22" t="b">
        <f t="shared" si="0"/>
        <v>1</v>
      </c>
      <c r="D22" s="2" t="s">
        <v>13</v>
      </c>
      <c r="E22">
        <v>17</v>
      </c>
    </row>
    <row r="23" spans="1:5" x14ac:dyDescent="0.25">
      <c r="A23" s="2" t="s">
        <v>113</v>
      </c>
      <c r="B23" t="s">
        <v>113</v>
      </c>
      <c r="C23" t="b">
        <f t="shared" si="0"/>
        <v>1</v>
      </c>
      <c r="D23" s="1" t="s">
        <v>113</v>
      </c>
      <c r="E23">
        <v>18</v>
      </c>
    </row>
    <row r="24" spans="1:5" x14ac:dyDescent="0.25">
      <c r="A24" s="6" t="s">
        <v>230</v>
      </c>
      <c r="B24" t="s">
        <v>114</v>
      </c>
      <c r="C24" t="b">
        <f t="shared" si="0"/>
        <v>0</v>
      </c>
      <c r="D24" s="2" t="s">
        <v>114</v>
      </c>
      <c r="E24">
        <v>182</v>
      </c>
    </row>
    <row r="25" spans="1:5" x14ac:dyDescent="0.25">
      <c r="A25" s="2" t="s">
        <v>14</v>
      </c>
      <c r="B25" t="s">
        <v>14</v>
      </c>
      <c r="C25" t="b">
        <f t="shared" si="0"/>
        <v>1</v>
      </c>
      <c r="D25" s="1" t="s">
        <v>14</v>
      </c>
      <c r="E25">
        <v>19</v>
      </c>
    </row>
    <row r="26" spans="1:5" x14ac:dyDescent="0.25">
      <c r="A26" s="1" t="s">
        <v>115</v>
      </c>
      <c r="B26" t="s">
        <v>115</v>
      </c>
      <c r="C26" t="b">
        <f t="shared" si="0"/>
        <v>1</v>
      </c>
      <c r="D26" s="2" t="s">
        <v>115</v>
      </c>
      <c r="E26">
        <v>20</v>
      </c>
    </row>
    <row r="27" spans="1:5" x14ac:dyDescent="0.25">
      <c r="A27" s="2" t="s">
        <v>231</v>
      </c>
      <c r="B27" t="s">
        <v>231</v>
      </c>
      <c r="C27" t="b">
        <f t="shared" si="0"/>
        <v>1</v>
      </c>
      <c r="D27" s="1" t="s">
        <v>231</v>
      </c>
      <c r="E27">
        <v>21</v>
      </c>
    </row>
    <row r="28" spans="1:5" x14ac:dyDescent="0.25">
      <c r="A28" s="1" t="s">
        <v>15</v>
      </c>
      <c r="B28" t="s">
        <v>15</v>
      </c>
      <c r="C28" t="b">
        <f t="shared" si="0"/>
        <v>1</v>
      </c>
      <c r="D28" s="2" t="s">
        <v>15</v>
      </c>
      <c r="E28">
        <v>22</v>
      </c>
    </row>
    <row r="29" spans="1:5" x14ac:dyDescent="0.25">
      <c r="A29" s="2" t="s">
        <v>116</v>
      </c>
      <c r="B29" t="s">
        <v>116</v>
      </c>
      <c r="C29" t="b">
        <f t="shared" si="0"/>
        <v>1</v>
      </c>
      <c r="D29" s="1" t="s">
        <v>116</v>
      </c>
      <c r="E29">
        <v>23</v>
      </c>
    </row>
    <row r="30" spans="1:5" x14ac:dyDescent="0.25">
      <c r="A30" s="1" t="s">
        <v>16</v>
      </c>
      <c r="B30" t="s">
        <v>16</v>
      </c>
      <c r="C30" t="b">
        <f t="shared" si="0"/>
        <v>1</v>
      </c>
      <c r="D30" s="2" t="s">
        <v>16</v>
      </c>
      <c r="E30">
        <v>24</v>
      </c>
    </row>
    <row r="31" spans="1:5" x14ac:dyDescent="0.25">
      <c r="A31" s="2" t="s">
        <v>17</v>
      </c>
      <c r="B31" t="s">
        <v>17</v>
      </c>
      <c r="C31" t="b">
        <f t="shared" si="0"/>
        <v>1</v>
      </c>
      <c r="D31" s="1" t="s">
        <v>17</v>
      </c>
      <c r="E31">
        <v>25</v>
      </c>
    </row>
    <row r="32" spans="1:5" x14ac:dyDescent="0.25">
      <c r="A32" s="1" t="s">
        <v>232</v>
      </c>
      <c r="B32" t="s">
        <v>232</v>
      </c>
      <c r="C32" t="b">
        <f t="shared" si="0"/>
        <v>1</v>
      </c>
      <c r="D32" s="2" t="s">
        <v>232</v>
      </c>
      <c r="E32">
        <v>26</v>
      </c>
    </row>
    <row r="33" spans="1:5" x14ac:dyDescent="0.25">
      <c r="A33" s="2" t="s">
        <v>18</v>
      </c>
      <c r="B33" t="s">
        <v>18</v>
      </c>
      <c r="C33" t="b">
        <f t="shared" si="0"/>
        <v>1</v>
      </c>
      <c r="D33" s="1" t="s">
        <v>18</v>
      </c>
      <c r="E33">
        <v>183</v>
      </c>
    </row>
    <row r="34" spans="1:5" x14ac:dyDescent="0.25">
      <c r="A34" s="1" t="s">
        <v>19</v>
      </c>
      <c r="B34" t="s">
        <v>19</v>
      </c>
      <c r="C34" t="b">
        <f t="shared" si="0"/>
        <v>1</v>
      </c>
      <c r="D34" s="1" t="s">
        <v>19</v>
      </c>
      <c r="E34">
        <v>27</v>
      </c>
    </row>
    <row r="35" spans="1:5" x14ac:dyDescent="0.25">
      <c r="A35" s="2" t="s">
        <v>117</v>
      </c>
      <c r="B35" t="s">
        <v>117</v>
      </c>
      <c r="C35" t="b">
        <f t="shared" si="0"/>
        <v>1</v>
      </c>
      <c r="D35" s="2" t="s">
        <v>117</v>
      </c>
      <c r="E35">
        <v>28</v>
      </c>
    </row>
    <row r="36" spans="1:5" x14ac:dyDescent="0.25">
      <c r="A36" s="1" t="s">
        <v>118</v>
      </c>
      <c r="B36" t="s">
        <v>118</v>
      </c>
      <c r="C36" t="b">
        <f t="shared" si="0"/>
        <v>1</v>
      </c>
      <c r="D36" s="1" t="s">
        <v>118</v>
      </c>
      <c r="E36">
        <v>29</v>
      </c>
    </row>
    <row r="37" spans="1:5" x14ac:dyDescent="0.25">
      <c r="A37" s="2" t="s">
        <v>20</v>
      </c>
      <c r="B37" t="s">
        <v>20</v>
      </c>
      <c r="C37" t="b">
        <f t="shared" si="0"/>
        <v>1</v>
      </c>
      <c r="D37" s="2" t="s">
        <v>20</v>
      </c>
      <c r="E37">
        <v>30</v>
      </c>
    </row>
    <row r="38" spans="1:5" x14ac:dyDescent="0.25">
      <c r="A38" s="1" t="s">
        <v>119</v>
      </c>
      <c r="B38" t="s">
        <v>119</v>
      </c>
      <c r="C38" t="b">
        <f t="shared" si="0"/>
        <v>1</v>
      </c>
      <c r="D38" s="1" t="s">
        <v>119</v>
      </c>
      <c r="E38">
        <v>31</v>
      </c>
    </row>
    <row r="39" spans="1:5" x14ac:dyDescent="0.25">
      <c r="A39" s="2" t="s">
        <v>21</v>
      </c>
      <c r="B39" t="s">
        <v>21</v>
      </c>
      <c r="C39" t="b">
        <f t="shared" si="0"/>
        <v>1</v>
      </c>
      <c r="D39" s="2" t="s">
        <v>21</v>
      </c>
      <c r="E39">
        <v>32</v>
      </c>
    </row>
    <row r="40" spans="1:5" x14ac:dyDescent="0.25">
      <c r="A40" s="1" t="s">
        <v>120</v>
      </c>
      <c r="B40" t="s">
        <v>120</v>
      </c>
      <c r="C40" t="b">
        <f t="shared" si="0"/>
        <v>1</v>
      </c>
      <c r="D40" s="1" t="s">
        <v>120</v>
      </c>
      <c r="E40">
        <v>33</v>
      </c>
    </row>
    <row r="41" spans="1:5" x14ac:dyDescent="0.25">
      <c r="A41" s="2" t="s">
        <v>22</v>
      </c>
      <c r="B41" t="s">
        <v>22</v>
      </c>
      <c r="C41" t="b">
        <f t="shared" si="0"/>
        <v>1</v>
      </c>
      <c r="D41" s="2" t="s">
        <v>22</v>
      </c>
      <c r="E41">
        <v>34</v>
      </c>
    </row>
    <row r="42" spans="1:5" x14ac:dyDescent="0.25">
      <c r="A42" s="1" t="s">
        <v>121</v>
      </c>
      <c r="B42" t="s">
        <v>121</v>
      </c>
      <c r="C42" t="b">
        <f t="shared" si="0"/>
        <v>1</v>
      </c>
      <c r="D42" s="1" t="s">
        <v>121</v>
      </c>
      <c r="E42">
        <v>35</v>
      </c>
    </row>
    <row r="43" spans="1:5" x14ac:dyDescent="0.25">
      <c r="A43" s="6" t="s">
        <v>235</v>
      </c>
      <c r="B43" t="s">
        <v>234</v>
      </c>
      <c r="C43" t="b">
        <f t="shared" ref="C43:C74" si="1">B43=A43</f>
        <v>0</v>
      </c>
      <c r="D43" s="2" t="s">
        <v>234</v>
      </c>
      <c r="E43">
        <v>36</v>
      </c>
    </row>
    <row r="44" spans="1:5" x14ac:dyDescent="0.25">
      <c r="A44" t="s">
        <v>233</v>
      </c>
      <c r="B44" t="s">
        <v>233</v>
      </c>
      <c r="C44" t="b">
        <f t="shared" si="1"/>
        <v>1</v>
      </c>
      <c r="D44" s="1" t="s">
        <v>233</v>
      </c>
      <c r="E44">
        <v>185</v>
      </c>
    </row>
    <row r="45" spans="1:5" x14ac:dyDescent="0.25">
      <c r="A45" s="2" t="s">
        <v>123</v>
      </c>
      <c r="B45" t="s">
        <v>123</v>
      </c>
      <c r="C45" t="b">
        <f t="shared" si="1"/>
        <v>1</v>
      </c>
      <c r="D45" s="2" t="s">
        <v>123</v>
      </c>
      <c r="E45">
        <v>37</v>
      </c>
    </row>
    <row r="46" spans="1:5" x14ac:dyDescent="0.25">
      <c r="A46" s="1" t="s">
        <v>124</v>
      </c>
      <c r="B46" t="s">
        <v>124</v>
      </c>
      <c r="C46" t="b">
        <f t="shared" si="1"/>
        <v>1</v>
      </c>
      <c r="D46" s="1" t="s">
        <v>124</v>
      </c>
      <c r="E46">
        <v>239</v>
      </c>
    </row>
    <row r="47" spans="1:5" x14ac:dyDescent="0.25">
      <c r="A47" s="2" t="s">
        <v>125</v>
      </c>
      <c r="B47" t="s">
        <v>125</v>
      </c>
      <c r="C47" t="b">
        <f t="shared" si="1"/>
        <v>1</v>
      </c>
      <c r="D47" s="2" t="s">
        <v>125</v>
      </c>
      <c r="E47">
        <v>221</v>
      </c>
    </row>
    <row r="48" spans="1:5" x14ac:dyDescent="0.25">
      <c r="A48" s="1" t="s">
        <v>23</v>
      </c>
      <c r="B48" t="s">
        <v>23</v>
      </c>
      <c r="C48" t="b">
        <f t="shared" si="1"/>
        <v>1</v>
      </c>
      <c r="D48" s="1" t="s">
        <v>23</v>
      </c>
      <c r="E48">
        <v>38</v>
      </c>
    </row>
    <row r="49" spans="1:5" x14ac:dyDescent="0.25">
      <c r="A49" s="2" t="s">
        <v>24</v>
      </c>
      <c r="B49" t="s">
        <v>24</v>
      </c>
      <c r="C49" t="b">
        <f t="shared" si="1"/>
        <v>1</v>
      </c>
      <c r="D49" s="2" t="s">
        <v>24</v>
      </c>
      <c r="E49">
        <v>39</v>
      </c>
    </row>
    <row r="50" spans="1:5" x14ac:dyDescent="0.25">
      <c r="A50" s="1" t="s">
        <v>126</v>
      </c>
      <c r="B50" t="s">
        <v>126</v>
      </c>
      <c r="C50" t="b">
        <f t="shared" si="1"/>
        <v>1</v>
      </c>
      <c r="D50" s="1" t="s">
        <v>126</v>
      </c>
      <c r="E50">
        <v>240</v>
      </c>
    </row>
    <row r="51" spans="1:5" x14ac:dyDescent="0.25">
      <c r="A51" s="6" t="s">
        <v>230</v>
      </c>
      <c r="B51" t="s">
        <v>127</v>
      </c>
      <c r="C51" t="b">
        <f t="shared" si="1"/>
        <v>0</v>
      </c>
      <c r="D51" s="2" t="s">
        <v>127</v>
      </c>
      <c r="E51">
        <v>40</v>
      </c>
    </row>
    <row r="52" spans="1:5" x14ac:dyDescent="0.25">
      <c r="A52" s="2" t="s">
        <v>128</v>
      </c>
      <c r="B52" t="s">
        <v>128</v>
      </c>
      <c r="C52" t="b">
        <f t="shared" si="1"/>
        <v>1</v>
      </c>
      <c r="D52" s="1" t="s">
        <v>128</v>
      </c>
      <c r="E52">
        <v>41</v>
      </c>
    </row>
    <row r="53" spans="1:5" x14ac:dyDescent="0.25">
      <c r="A53" s="1" t="s">
        <v>25</v>
      </c>
      <c r="B53" t="s">
        <v>25</v>
      </c>
      <c r="C53" t="b">
        <f t="shared" si="1"/>
        <v>1</v>
      </c>
      <c r="D53" s="2" t="s">
        <v>25</v>
      </c>
      <c r="E53">
        <v>186</v>
      </c>
    </row>
    <row r="54" spans="1:5" x14ac:dyDescent="0.25">
      <c r="A54" s="2" t="s">
        <v>26</v>
      </c>
      <c r="B54" t="s">
        <v>26</v>
      </c>
      <c r="C54" t="b">
        <f t="shared" si="1"/>
        <v>1</v>
      </c>
      <c r="D54" s="1" t="s">
        <v>26</v>
      </c>
      <c r="E54">
        <v>187</v>
      </c>
    </row>
    <row r="55" spans="1:5" x14ac:dyDescent="0.25">
      <c r="A55" s="1" t="s">
        <v>27</v>
      </c>
      <c r="B55" t="s">
        <v>27</v>
      </c>
      <c r="C55" t="b">
        <f t="shared" si="1"/>
        <v>1</v>
      </c>
      <c r="D55" s="2" t="s">
        <v>27</v>
      </c>
      <c r="E55">
        <v>42</v>
      </c>
    </row>
    <row r="56" spans="1:5" x14ac:dyDescent="0.25">
      <c r="A56" s="2" t="s">
        <v>28</v>
      </c>
      <c r="B56" t="s">
        <v>28</v>
      </c>
      <c r="C56" t="b">
        <f t="shared" si="1"/>
        <v>1</v>
      </c>
      <c r="D56" s="1" t="s">
        <v>28</v>
      </c>
      <c r="E56">
        <v>222</v>
      </c>
    </row>
    <row r="57" spans="1:5" x14ac:dyDescent="0.25">
      <c r="A57" s="1" t="s">
        <v>29</v>
      </c>
      <c r="B57" t="s">
        <v>29</v>
      </c>
      <c r="C57" t="b">
        <f t="shared" si="1"/>
        <v>1</v>
      </c>
      <c r="D57" s="2" t="s">
        <v>29</v>
      </c>
      <c r="E57">
        <v>43</v>
      </c>
    </row>
    <row r="58" spans="1:5" x14ac:dyDescent="0.25">
      <c r="A58" s="2" t="s">
        <v>129</v>
      </c>
      <c r="B58" t="s">
        <v>129</v>
      </c>
      <c r="C58" t="b">
        <f t="shared" si="1"/>
        <v>1</v>
      </c>
      <c r="D58" s="1" t="s">
        <v>129</v>
      </c>
      <c r="E58">
        <v>44</v>
      </c>
    </row>
    <row r="59" spans="1:5" x14ac:dyDescent="0.25">
      <c r="A59" s="1" t="s">
        <v>130</v>
      </c>
      <c r="B59" t="s">
        <v>130</v>
      </c>
      <c r="C59" t="b">
        <f t="shared" si="1"/>
        <v>1</v>
      </c>
      <c r="D59" s="2" t="s">
        <v>130</v>
      </c>
      <c r="E59">
        <v>45</v>
      </c>
    </row>
    <row r="60" spans="1:5" x14ac:dyDescent="0.25">
      <c r="A60" s="1" t="s">
        <v>131</v>
      </c>
      <c r="B60" t="s">
        <v>131</v>
      </c>
      <c r="C60" t="b">
        <f t="shared" si="1"/>
        <v>1</v>
      </c>
      <c r="D60" s="1" t="s">
        <v>131</v>
      </c>
      <c r="E60">
        <v>47</v>
      </c>
    </row>
    <row r="61" spans="1:5" x14ac:dyDescent="0.25">
      <c r="A61" s="2" t="s">
        <v>30</v>
      </c>
      <c r="B61" t="s">
        <v>30</v>
      </c>
      <c r="C61" t="b">
        <f t="shared" si="1"/>
        <v>1</v>
      </c>
      <c r="D61" s="2" t="s">
        <v>30</v>
      </c>
      <c r="E61">
        <v>223</v>
      </c>
    </row>
    <row r="62" spans="1:5" x14ac:dyDescent="0.25">
      <c r="A62" s="1" t="s">
        <v>132</v>
      </c>
      <c r="B62" t="s">
        <v>132</v>
      </c>
      <c r="C62" t="b">
        <f t="shared" si="1"/>
        <v>1</v>
      </c>
      <c r="D62" s="1" t="s">
        <v>132</v>
      </c>
      <c r="E62">
        <v>48</v>
      </c>
    </row>
    <row r="63" spans="1:5" x14ac:dyDescent="0.25">
      <c r="A63" s="2" t="s">
        <v>133</v>
      </c>
      <c r="B63" t="s">
        <v>133</v>
      </c>
      <c r="C63" t="b">
        <f t="shared" si="1"/>
        <v>1</v>
      </c>
      <c r="D63" s="2" t="s">
        <v>133</v>
      </c>
      <c r="E63">
        <v>49</v>
      </c>
    </row>
    <row r="64" spans="1:5" x14ac:dyDescent="0.25">
      <c r="A64" s="1" t="s">
        <v>134</v>
      </c>
      <c r="B64" t="s">
        <v>134</v>
      </c>
      <c r="C64" t="b">
        <f t="shared" si="1"/>
        <v>1</v>
      </c>
      <c r="D64" s="1" t="s">
        <v>134</v>
      </c>
      <c r="E64">
        <v>50</v>
      </c>
    </row>
    <row r="65" spans="1:5" x14ac:dyDescent="0.25">
      <c r="A65" s="2" t="s">
        <v>31</v>
      </c>
      <c r="B65" t="s">
        <v>31</v>
      </c>
      <c r="C65" t="b">
        <f t="shared" si="1"/>
        <v>1</v>
      </c>
      <c r="D65" s="2" t="s">
        <v>31</v>
      </c>
      <c r="E65">
        <v>51</v>
      </c>
    </row>
    <row r="66" spans="1:5" x14ac:dyDescent="0.25">
      <c r="A66" s="1" t="s">
        <v>135</v>
      </c>
      <c r="B66" t="s">
        <v>135</v>
      </c>
      <c r="C66" t="b">
        <f t="shared" si="1"/>
        <v>1</v>
      </c>
      <c r="D66" s="1" t="s">
        <v>135</v>
      </c>
      <c r="E66">
        <v>52</v>
      </c>
    </row>
    <row r="67" spans="1:5" x14ac:dyDescent="0.25">
      <c r="A67" s="2" t="s">
        <v>32</v>
      </c>
      <c r="B67" t="s">
        <v>32</v>
      </c>
      <c r="C67" t="b">
        <f t="shared" si="1"/>
        <v>1</v>
      </c>
      <c r="D67" s="2" t="s">
        <v>32</v>
      </c>
      <c r="E67">
        <v>53</v>
      </c>
    </row>
    <row r="68" spans="1:5" x14ac:dyDescent="0.25">
      <c r="A68" s="1" t="s">
        <v>136</v>
      </c>
      <c r="B68" t="s">
        <v>136</v>
      </c>
      <c r="C68" t="b">
        <f t="shared" si="1"/>
        <v>1</v>
      </c>
      <c r="D68" s="1" t="s">
        <v>136</v>
      </c>
      <c r="E68">
        <v>54</v>
      </c>
    </row>
    <row r="69" spans="1:5" x14ac:dyDescent="0.25">
      <c r="A69" s="2" t="s">
        <v>33</v>
      </c>
      <c r="B69" t="s">
        <v>33</v>
      </c>
      <c r="C69" t="b">
        <f t="shared" si="1"/>
        <v>1</v>
      </c>
      <c r="D69" s="2" t="s">
        <v>33</v>
      </c>
      <c r="E69">
        <v>55</v>
      </c>
    </row>
    <row r="70" spans="1:5" x14ac:dyDescent="0.25">
      <c r="A70" s="1" t="s">
        <v>137</v>
      </c>
      <c r="B70" t="s">
        <v>137</v>
      </c>
      <c r="C70" t="b">
        <f t="shared" si="1"/>
        <v>1</v>
      </c>
      <c r="D70" s="1" t="s">
        <v>137</v>
      </c>
      <c r="E70">
        <v>56</v>
      </c>
    </row>
    <row r="71" spans="1:5" x14ac:dyDescent="0.25">
      <c r="A71" s="6" t="s">
        <v>230</v>
      </c>
      <c r="B71" t="s">
        <v>138</v>
      </c>
      <c r="C71" t="b">
        <f t="shared" si="1"/>
        <v>0</v>
      </c>
      <c r="D71" s="2" t="s">
        <v>138</v>
      </c>
      <c r="E71">
        <v>57</v>
      </c>
    </row>
    <row r="72" spans="1:5" x14ac:dyDescent="0.25">
      <c r="A72" s="2" t="s">
        <v>34</v>
      </c>
      <c r="B72" t="s">
        <v>34</v>
      </c>
      <c r="C72" t="b">
        <f t="shared" si="1"/>
        <v>1</v>
      </c>
      <c r="D72" s="1" t="s">
        <v>34</v>
      </c>
      <c r="E72">
        <v>224</v>
      </c>
    </row>
    <row r="73" spans="1:5" x14ac:dyDescent="0.25">
      <c r="A73" s="1" t="s">
        <v>35</v>
      </c>
      <c r="B73" t="s">
        <v>35</v>
      </c>
      <c r="C73" t="b">
        <f t="shared" si="1"/>
        <v>1</v>
      </c>
      <c r="D73" s="2" t="s">
        <v>35</v>
      </c>
      <c r="E73">
        <v>58</v>
      </c>
    </row>
    <row r="74" spans="1:5" x14ac:dyDescent="0.25">
      <c r="A74" s="2" t="s">
        <v>139</v>
      </c>
      <c r="B74" t="s">
        <v>139</v>
      </c>
      <c r="C74" t="b">
        <f t="shared" si="1"/>
        <v>1</v>
      </c>
      <c r="D74" s="1" t="s">
        <v>139</v>
      </c>
      <c r="E74">
        <v>59</v>
      </c>
    </row>
    <row r="75" spans="1:5" x14ac:dyDescent="0.25">
      <c r="A75" s="1" t="s">
        <v>36</v>
      </c>
      <c r="B75" t="s">
        <v>36</v>
      </c>
      <c r="C75" t="b">
        <f t="shared" ref="C75:C106" si="2">B75=A75</f>
        <v>1</v>
      </c>
      <c r="D75" s="2" t="s">
        <v>36</v>
      </c>
      <c r="E75">
        <v>225</v>
      </c>
    </row>
    <row r="76" spans="1:5" x14ac:dyDescent="0.25">
      <c r="A76" s="2" t="s">
        <v>37</v>
      </c>
      <c r="B76" t="s">
        <v>37</v>
      </c>
      <c r="C76" t="b">
        <f t="shared" si="2"/>
        <v>1</v>
      </c>
      <c r="D76" s="1" t="s">
        <v>37</v>
      </c>
      <c r="E76">
        <v>60</v>
      </c>
    </row>
    <row r="77" spans="1:5" x14ac:dyDescent="0.25">
      <c r="A77" s="1" t="s">
        <v>38</v>
      </c>
      <c r="B77" t="s">
        <v>38</v>
      </c>
      <c r="C77" t="b">
        <f t="shared" si="2"/>
        <v>1</v>
      </c>
      <c r="D77" s="2" t="s">
        <v>38</v>
      </c>
      <c r="E77">
        <v>61</v>
      </c>
    </row>
    <row r="78" spans="1:5" x14ac:dyDescent="0.25">
      <c r="A78" s="2" t="s">
        <v>140</v>
      </c>
      <c r="B78" t="s">
        <v>140</v>
      </c>
      <c r="C78" t="b">
        <f t="shared" si="2"/>
        <v>1</v>
      </c>
      <c r="D78" s="1" t="s">
        <v>140</v>
      </c>
      <c r="E78">
        <v>62</v>
      </c>
    </row>
    <row r="79" spans="1:5" x14ac:dyDescent="0.25">
      <c r="A79" s="1" t="s">
        <v>141</v>
      </c>
      <c r="B79" t="s">
        <v>141</v>
      </c>
      <c r="C79" t="b">
        <f t="shared" si="2"/>
        <v>1</v>
      </c>
      <c r="D79" s="2" t="s">
        <v>141</v>
      </c>
      <c r="E79">
        <v>63</v>
      </c>
    </row>
    <row r="80" spans="1:5" x14ac:dyDescent="0.25">
      <c r="A80" s="2" t="s">
        <v>142</v>
      </c>
      <c r="B80" t="s">
        <v>142</v>
      </c>
      <c r="C80" t="b">
        <f t="shared" si="2"/>
        <v>1</v>
      </c>
      <c r="D80" s="1" t="s">
        <v>142</v>
      </c>
      <c r="E80">
        <v>64</v>
      </c>
    </row>
    <row r="81" spans="1:5" x14ac:dyDescent="0.25">
      <c r="A81" s="1" t="s">
        <v>39</v>
      </c>
      <c r="B81" t="s">
        <v>39</v>
      </c>
      <c r="C81" t="b">
        <f t="shared" si="2"/>
        <v>1</v>
      </c>
      <c r="D81" s="2" t="s">
        <v>39</v>
      </c>
      <c r="E81">
        <v>65</v>
      </c>
    </row>
    <row r="82" spans="1:5" x14ac:dyDescent="0.25">
      <c r="A82" s="2" t="s">
        <v>40</v>
      </c>
      <c r="B82" t="s">
        <v>40</v>
      </c>
      <c r="C82" t="b">
        <f t="shared" si="2"/>
        <v>1</v>
      </c>
      <c r="D82" s="1" t="s">
        <v>40</v>
      </c>
      <c r="E82">
        <v>66</v>
      </c>
    </row>
    <row r="83" spans="1:5" x14ac:dyDescent="0.25">
      <c r="A83" s="1" t="s">
        <v>41</v>
      </c>
      <c r="B83" t="s">
        <v>41</v>
      </c>
      <c r="C83" t="b">
        <f t="shared" si="2"/>
        <v>1</v>
      </c>
      <c r="D83" s="2" t="s">
        <v>41</v>
      </c>
      <c r="E83">
        <v>67</v>
      </c>
    </row>
    <row r="84" spans="1:5" x14ac:dyDescent="0.25">
      <c r="A84" s="6" t="s">
        <v>230</v>
      </c>
      <c r="B84" t="s">
        <v>143</v>
      </c>
      <c r="C84" t="b">
        <f t="shared" si="2"/>
        <v>0</v>
      </c>
      <c r="D84" s="1" t="s">
        <v>143</v>
      </c>
      <c r="E84">
        <v>68</v>
      </c>
    </row>
    <row r="85" spans="1:5" x14ac:dyDescent="0.25">
      <c r="A85" s="2" t="s">
        <v>144</v>
      </c>
      <c r="B85" t="s">
        <v>144</v>
      </c>
      <c r="C85" t="b">
        <f t="shared" si="2"/>
        <v>1</v>
      </c>
      <c r="D85" s="2" t="s">
        <v>144</v>
      </c>
      <c r="E85">
        <v>69</v>
      </c>
    </row>
    <row r="86" spans="1:5" x14ac:dyDescent="0.25">
      <c r="A86" s="1" t="s">
        <v>145</v>
      </c>
      <c r="B86" t="s">
        <v>145</v>
      </c>
      <c r="C86" t="b">
        <f t="shared" si="2"/>
        <v>1</v>
      </c>
      <c r="D86" s="1" t="s">
        <v>145</v>
      </c>
      <c r="E86">
        <v>70</v>
      </c>
    </row>
    <row r="87" spans="1:5" x14ac:dyDescent="0.25">
      <c r="A87" s="1" t="s">
        <v>42</v>
      </c>
      <c r="B87" t="s">
        <v>42</v>
      </c>
      <c r="C87" t="b">
        <f t="shared" si="2"/>
        <v>1</v>
      </c>
      <c r="D87" s="2" t="s">
        <v>42</v>
      </c>
      <c r="E87">
        <v>71</v>
      </c>
    </row>
    <row r="88" spans="1:5" x14ac:dyDescent="0.25">
      <c r="A88" s="2" t="s">
        <v>146</v>
      </c>
      <c r="B88" t="s">
        <v>146</v>
      </c>
      <c r="C88" t="b">
        <f t="shared" si="2"/>
        <v>1</v>
      </c>
      <c r="D88" s="1" t="s">
        <v>146</v>
      </c>
      <c r="E88">
        <v>72</v>
      </c>
    </row>
    <row r="89" spans="1:5" x14ac:dyDescent="0.25">
      <c r="A89" s="1" t="s">
        <v>147</v>
      </c>
      <c r="B89" t="s">
        <v>147</v>
      </c>
      <c r="C89" t="b">
        <f t="shared" si="2"/>
        <v>1</v>
      </c>
      <c r="D89" s="2" t="s">
        <v>147</v>
      </c>
      <c r="E89">
        <v>73</v>
      </c>
    </row>
    <row r="90" spans="1:5" x14ac:dyDescent="0.25">
      <c r="A90" s="2" t="s">
        <v>43</v>
      </c>
      <c r="B90" t="s">
        <v>43</v>
      </c>
      <c r="C90" t="b">
        <f t="shared" si="2"/>
        <v>1</v>
      </c>
      <c r="D90" s="1" t="s">
        <v>43</v>
      </c>
      <c r="E90">
        <v>74</v>
      </c>
    </row>
    <row r="91" spans="1:5" x14ac:dyDescent="0.25">
      <c r="A91" s="1" t="s">
        <v>44</v>
      </c>
      <c r="B91" t="s">
        <v>44</v>
      </c>
      <c r="C91" t="b">
        <f t="shared" si="2"/>
        <v>1</v>
      </c>
      <c r="D91" s="2" t="s">
        <v>44</v>
      </c>
      <c r="E91">
        <v>75</v>
      </c>
    </row>
    <row r="92" spans="1:5" x14ac:dyDescent="0.25">
      <c r="A92" s="2" t="s">
        <v>148</v>
      </c>
      <c r="B92" t="s">
        <v>148</v>
      </c>
      <c r="C92" t="b">
        <f t="shared" si="2"/>
        <v>1</v>
      </c>
      <c r="D92" s="1" t="s">
        <v>148</v>
      </c>
      <c r="E92">
        <v>76</v>
      </c>
    </row>
    <row r="93" spans="1:5" x14ac:dyDescent="0.25">
      <c r="A93" s="1" t="s">
        <v>149</v>
      </c>
      <c r="B93" t="s">
        <v>149</v>
      </c>
      <c r="C93" t="b">
        <f t="shared" si="2"/>
        <v>1</v>
      </c>
      <c r="D93" s="2" t="s">
        <v>149</v>
      </c>
      <c r="E93">
        <v>188</v>
      </c>
    </row>
    <row r="94" spans="1:5" x14ac:dyDescent="0.25">
      <c r="A94" s="2" t="s">
        <v>150</v>
      </c>
      <c r="B94" t="s">
        <v>150</v>
      </c>
      <c r="C94" t="b">
        <f t="shared" si="2"/>
        <v>1</v>
      </c>
      <c r="D94" s="1" t="s">
        <v>150</v>
      </c>
      <c r="E94">
        <v>77</v>
      </c>
    </row>
    <row r="95" spans="1:5" x14ac:dyDescent="0.25">
      <c r="A95" s="1" t="s">
        <v>151</v>
      </c>
      <c r="B95" t="s">
        <v>151</v>
      </c>
      <c r="C95" t="b">
        <f t="shared" si="2"/>
        <v>1</v>
      </c>
      <c r="D95" s="2" t="s">
        <v>151</v>
      </c>
      <c r="E95">
        <v>78</v>
      </c>
    </row>
    <row r="96" spans="1:5" x14ac:dyDescent="0.25">
      <c r="A96" t="s">
        <v>152</v>
      </c>
      <c r="B96" t="s">
        <v>152</v>
      </c>
      <c r="C96" t="b">
        <f t="shared" si="2"/>
        <v>1</v>
      </c>
      <c r="D96" s="1" t="s">
        <v>152</v>
      </c>
      <c r="E96">
        <v>79</v>
      </c>
    </row>
    <row r="97" spans="1:5" x14ac:dyDescent="0.25">
      <c r="A97" s="1" t="s">
        <v>153</v>
      </c>
      <c r="B97" t="s">
        <v>153</v>
      </c>
      <c r="C97" t="b">
        <f t="shared" si="2"/>
        <v>1</v>
      </c>
      <c r="D97" s="2" t="s">
        <v>153</v>
      </c>
      <c r="E97">
        <v>80</v>
      </c>
    </row>
    <row r="98" spans="1:5" x14ac:dyDescent="0.25">
      <c r="A98" s="2" t="s">
        <v>154</v>
      </c>
      <c r="B98" t="s">
        <v>154</v>
      </c>
      <c r="C98" t="b">
        <f t="shared" si="2"/>
        <v>1</v>
      </c>
      <c r="D98" s="1" t="s">
        <v>154</v>
      </c>
      <c r="E98">
        <v>81</v>
      </c>
    </row>
    <row r="99" spans="1:5" x14ac:dyDescent="0.25">
      <c r="A99" s="1" t="s">
        <v>45</v>
      </c>
      <c r="B99" t="s">
        <v>45</v>
      </c>
      <c r="C99" t="b">
        <f t="shared" si="2"/>
        <v>1</v>
      </c>
      <c r="D99" s="2" t="s">
        <v>45</v>
      </c>
      <c r="E99">
        <v>226</v>
      </c>
    </row>
    <row r="100" spans="1:5" x14ac:dyDescent="0.25">
      <c r="A100" s="2" t="s">
        <v>155</v>
      </c>
      <c r="B100" t="s">
        <v>155</v>
      </c>
      <c r="C100" t="b">
        <f t="shared" si="2"/>
        <v>1</v>
      </c>
      <c r="D100" s="1" t="s">
        <v>155</v>
      </c>
      <c r="E100">
        <v>82</v>
      </c>
    </row>
    <row r="101" spans="1:5" x14ac:dyDescent="0.25">
      <c r="A101" s="1" t="s">
        <v>46</v>
      </c>
      <c r="B101" t="s">
        <v>46</v>
      </c>
      <c r="C101" t="b">
        <f t="shared" si="2"/>
        <v>1</v>
      </c>
      <c r="D101" s="2" t="s">
        <v>46</v>
      </c>
      <c r="E101">
        <v>83</v>
      </c>
    </row>
    <row r="102" spans="1:5" x14ac:dyDescent="0.25">
      <c r="A102" s="2" t="s">
        <v>156</v>
      </c>
      <c r="B102" t="s">
        <v>156</v>
      </c>
      <c r="C102" t="b">
        <f t="shared" si="2"/>
        <v>1</v>
      </c>
      <c r="D102" s="1" t="s">
        <v>156</v>
      </c>
      <c r="E102">
        <v>241</v>
      </c>
    </row>
    <row r="103" spans="1:5" x14ac:dyDescent="0.25">
      <c r="A103" s="1" t="s">
        <v>47</v>
      </c>
      <c r="B103" t="s">
        <v>47</v>
      </c>
      <c r="C103" t="b">
        <f t="shared" si="2"/>
        <v>1</v>
      </c>
      <c r="D103" s="2" t="s">
        <v>47</v>
      </c>
      <c r="E103">
        <v>84</v>
      </c>
    </row>
    <row r="104" spans="1:5" x14ac:dyDescent="0.25">
      <c r="A104" s="2" t="s">
        <v>236</v>
      </c>
      <c r="B104" t="s">
        <v>157</v>
      </c>
      <c r="C104" t="b">
        <f t="shared" si="2"/>
        <v>1</v>
      </c>
      <c r="D104" s="1" t="s">
        <v>157</v>
      </c>
      <c r="E104">
        <v>85</v>
      </c>
    </row>
    <row r="105" spans="1:5" x14ac:dyDescent="0.25">
      <c r="A105" s="1" t="s">
        <v>158</v>
      </c>
      <c r="B105" t="s">
        <v>158</v>
      </c>
      <c r="C105" t="b">
        <f t="shared" si="2"/>
        <v>1</v>
      </c>
      <c r="D105" s="2" t="s">
        <v>158</v>
      </c>
      <c r="E105">
        <v>86</v>
      </c>
    </row>
    <row r="106" spans="1:5" x14ac:dyDescent="0.25">
      <c r="A106" s="2" t="s">
        <v>159</v>
      </c>
      <c r="B106" t="s">
        <v>159</v>
      </c>
      <c r="C106" t="b">
        <f t="shared" si="2"/>
        <v>1</v>
      </c>
      <c r="D106" s="1" t="s">
        <v>159</v>
      </c>
      <c r="E106">
        <v>227</v>
      </c>
    </row>
    <row r="107" spans="1:5" x14ac:dyDescent="0.25">
      <c r="A107" s="1" t="s">
        <v>48</v>
      </c>
      <c r="B107" t="s">
        <v>48</v>
      </c>
      <c r="C107" t="b">
        <f t="shared" ref="C107:C138" si="3">B107=A107</f>
        <v>1</v>
      </c>
      <c r="D107" s="2" t="s">
        <v>48</v>
      </c>
      <c r="E107">
        <v>87</v>
      </c>
    </row>
    <row r="108" spans="1:5" x14ac:dyDescent="0.25">
      <c r="A108" s="2" t="s">
        <v>49</v>
      </c>
      <c r="B108" t="s">
        <v>49</v>
      </c>
      <c r="C108" t="b">
        <f t="shared" si="3"/>
        <v>1</v>
      </c>
      <c r="D108" s="1" t="s">
        <v>49</v>
      </c>
      <c r="E108">
        <v>88</v>
      </c>
    </row>
    <row r="109" spans="1:5" x14ac:dyDescent="0.25">
      <c r="A109" s="1" t="s">
        <v>50</v>
      </c>
      <c r="B109" t="s">
        <v>50</v>
      </c>
      <c r="C109" t="b">
        <f t="shared" si="3"/>
        <v>1</v>
      </c>
      <c r="D109" s="2" t="s">
        <v>50</v>
      </c>
      <c r="E109">
        <v>89</v>
      </c>
    </row>
    <row r="110" spans="1:5" x14ac:dyDescent="0.25">
      <c r="A110" s="2" t="s">
        <v>160</v>
      </c>
      <c r="B110" t="s">
        <v>160</v>
      </c>
      <c r="C110" t="b">
        <f t="shared" si="3"/>
        <v>1</v>
      </c>
      <c r="D110" s="1" t="s">
        <v>160</v>
      </c>
      <c r="E110">
        <v>90</v>
      </c>
    </row>
    <row r="111" spans="1:5" x14ac:dyDescent="0.25">
      <c r="A111" s="1" t="s">
        <v>161</v>
      </c>
      <c r="B111" t="s">
        <v>161</v>
      </c>
      <c r="C111" t="b">
        <f t="shared" si="3"/>
        <v>1</v>
      </c>
      <c r="D111" s="2" t="s">
        <v>161</v>
      </c>
      <c r="E111">
        <v>91</v>
      </c>
    </row>
    <row r="112" spans="1:5" x14ac:dyDescent="0.25">
      <c r="A112" s="2" t="s">
        <v>51</v>
      </c>
      <c r="B112" t="s">
        <v>51</v>
      </c>
      <c r="C112" t="b">
        <f t="shared" si="3"/>
        <v>1</v>
      </c>
      <c r="D112" s="1" t="s">
        <v>51</v>
      </c>
      <c r="E112">
        <v>92</v>
      </c>
    </row>
    <row r="113" spans="1:5" x14ac:dyDescent="0.25">
      <c r="A113" s="1" t="s">
        <v>52</v>
      </c>
      <c r="B113" t="s">
        <v>52</v>
      </c>
      <c r="C113" t="b">
        <f t="shared" si="3"/>
        <v>1</v>
      </c>
      <c r="D113" s="2" t="s">
        <v>52</v>
      </c>
      <c r="E113">
        <v>93</v>
      </c>
    </row>
    <row r="114" spans="1:5" x14ac:dyDescent="0.25">
      <c r="A114" s="2" t="s">
        <v>162</v>
      </c>
      <c r="B114" t="s">
        <v>162</v>
      </c>
      <c r="C114" t="b">
        <f t="shared" si="3"/>
        <v>1</v>
      </c>
      <c r="D114" s="1" t="s">
        <v>162</v>
      </c>
      <c r="E114">
        <v>228</v>
      </c>
    </row>
    <row r="115" spans="1:5" x14ac:dyDescent="0.25">
      <c r="A115" s="1" t="s">
        <v>163</v>
      </c>
      <c r="B115" t="s">
        <v>163</v>
      </c>
      <c r="C115" t="b">
        <f t="shared" si="3"/>
        <v>1</v>
      </c>
      <c r="D115" s="2" t="s">
        <v>163</v>
      </c>
      <c r="E115">
        <v>94</v>
      </c>
    </row>
    <row r="116" spans="1:5" x14ac:dyDescent="0.25">
      <c r="A116" s="2" t="s">
        <v>53</v>
      </c>
      <c r="B116" t="s">
        <v>53</v>
      </c>
      <c r="C116" t="b">
        <f t="shared" si="3"/>
        <v>1</v>
      </c>
      <c r="D116" s="1" t="s">
        <v>53</v>
      </c>
      <c r="E116">
        <v>95</v>
      </c>
    </row>
    <row r="117" spans="1:5" x14ac:dyDescent="0.25">
      <c r="A117" s="1" t="s">
        <v>54</v>
      </c>
      <c r="B117" t="s">
        <v>54</v>
      </c>
      <c r="C117" t="b">
        <f t="shared" si="3"/>
        <v>1</v>
      </c>
      <c r="D117" s="2" t="s">
        <v>54</v>
      </c>
      <c r="E117">
        <v>96</v>
      </c>
    </row>
    <row r="118" spans="1:5" x14ac:dyDescent="0.25">
      <c r="A118" s="6" t="s">
        <v>230</v>
      </c>
      <c r="B118" t="s">
        <v>164</v>
      </c>
      <c r="C118" t="b">
        <f t="shared" si="3"/>
        <v>0</v>
      </c>
      <c r="D118" s="1" t="s">
        <v>164</v>
      </c>
      <c r="E118">
        <v>97</v>
      </c>
    </row>
    <row r="119" spans="1:5" x14ac:dyDescent="0.25">
      <c r="A119" s="2" t="s">
        <v>165</v>
      </c>
      <c r="B119" t="s">
        <v>165</v>
      </c>
      <c r="C119" t="b">
        <f t="shared" si="3"/>
        <v>1</v>
      </c>
      <c r="D119" s="2" t="s">
        <v>165</v>
      </c>
      <c r="E119">
        <v>98</v>
      </c>
    </row>
    <row r="120" spans="1:5" x14ac:dyDescent="0.25">
      <c r="A120" s="1" t="s">
        <v>55</v>
      </c>
      <c r="B120" t="s">
        <v>55</v>
      </c>
      <c r="C120" t="b">
        <f t="shared" si="3"/>
        <v>1</v>
      </c>
      <c r="D120" s="1" t="s">
        <v>55</v>
      </c>
      <c r="E120">
        <v>242</v>
      </c>
    </row>
    <row r="121" spans="1:5" x14ac:dyDescent="0.25">
      <c r="A121" s="2" t="s">
        <v>166</v>
      </c>
      <c r="B121" t="s">
        <v>166</v>
      </c>
      <c r="C121" t="b">
        <f t="shared" si="3"/>
        <v>1</v>
      </c>
      <c r="D121" s="2" t="s">
        <v>166</v>
      </c>
      <c r="E121">
        <v>99</v>
      </c>
    </row>
    <row r="122" spans="1:5" x14ac:dyDescent="0.25">
      <c r="A122" s="1" t="s">
        <v>167</v>
      </c>
      <c r="B122" t="s">
        <v>167</v>
      </c>
      <c r="C122" t="b">
        <f t="shared" si="3"/>
        <v>1</v>
      </c>
      <c r="D122" s="1" t="s">
        <v>167</v>
      </c>
      <c r="E122">
        <v>100</v>
      </c>
    </row>
    <row r="123" spans="1:5" x14ac:dyDescent="0.25">
      <c r="A123" s="2" t="s">
        <v>56</v>
      </c>
      <c r="B123" t="s">
        <v>56</v>
      </c>
      <c r="C123" t="b">
        <f t="shared" si="3"/>
        <v>1</v>
      </c>
      <c r="D123" s="2" t="s">
        <v>56</v>
      </c>
      <c r="E123">
        <v>101</v>
      </c>
    </row>
    <row r="124" spans="1:5" x14ac:dyDescent="0.25">
      <c r="A124" s="1" t="s">
        <v>57</v>
      </c>
      <c r="B124" t="s">
        <v>57</v>
      </c>
      <c r="C124" t="b">
        <f t="shared" si="3"/>
        <v>1</v>
      </c>
      <c r="D124" s="1" t="s">
        <v>57</v>
      </c>
      <c r="E124">
        <v>102</v>
      </c>
    </row>
    <row r="125" spans="1:5" x14ac:dyDescent="0.25">
      <c r="A125" s="6" t="s">
        <v>230</v>
      </c>
      <c r="B125" t="s">
        <v>242</v>
      </c>
      <c r="C125" t="b">
        <f t="shared" si="3"/>
        <v>0</v>
      </c>
      <c r="D125" s="2" t="s">
        <v>242</v>
      </c>
      <c r="E125">
        <v>103</v>
      </c>
    </row>
    <row r="126" spans="1:5" x14ac:dyDescent="0.25">
      <c r="A126" s="2" t="s">
        <v>58</v>
      </c>
      <c r="B126" t="s">
        <v>58</v>
      </c>
      <c r="C126" t="b">
        <f t="shared" si="3"/>
        <v>1</v>
      </c>
      <c r="D126" s="1" t="s">
        <v>58</v>
      </c>
      <c r="E126">
        <v>189</v>
      </c>
    </row>
    <row r="127" spans="1:5" x14ac:dyDescent="0.25">
      <c r="A127" s="2" t="s">
        <v>237</v>
      </c>
      <c r="B127" t="s">
        <v>237</v>
      </c>
      <c r="C127" t="b">
        <f t="shared" si="3"/>
        <v>1</v>
      </c>
      <c r="D127" s="2" t="s">
        <v>237</v>
      </c>
      <c r="E127">
        <v>191</v>
      </c>
    </row>
    <row r="128" spans="1:5" x14ac:dyDescent="0.25">
      <c r="A128" s="1" t="s">
        <v>59</v>
      </c>
      <c r="B128" s="1" t="s">
        <v>59</v>
      </c>
      <c r="C128" t="b">
        <f t="shared" si="3"/>
        <v>1</v>
      </c>
      <c r="D128" s="1" t="s">
        <v>59</v>
      </c>
      <c r="E128">
        <v>192</v>
      </c>
    </row>
    <row r="129" spans="1:5" x14ac:dyDescent="0.25">
      <c r="A129" s="1" t="s">
        <v>168</v>
      </c>
      <c r="B129" t="s">
        <v>168</v>
      </c>
      <c r="C129" t="b">
        <f t="shared" si="3"/>
        <v>1</v>
      </c>
      <c r="D129" s="2" t="s">
        <v>168</v>
      </c>
      <c r="E129">
        <v>105</v>
      </c>
    </row>
    <row r="130" spans="1:5" x14ac:dyDescent="0.25">
      <c r="A130" s="2" t="s">
        <v>169</v>
      </c>
      <c r="B130" t="s">
        <v>169</v>
      </c>
      <c r="C130" t="b">
        <f t="shared" si="3"/>
        <v>1</v>
      </c>
      <c r="D130" s="1" t="s">
        <v>169</v>
      </c>
      <c r="E130">
        <v>106</v>
      </c>
    </row>
    <row r="131" spans="1:5" x14ac:dyDescent="0.25">
      <c r="A131" s="1" t="s">
        <v>170</v>
      </c>
      <c r="B131" t="s">
        <v>170</v>
      </c>
      <c r="C131" t="b">
        <f t="shared" si="3"/>
        <v>1</v>
      </c>
      <c r="D131" s="2" t="s">
        <v>170</v>
      </c>
      <c r="E131">
        <v>107</v>
      </c>
    </row>
    <row r="132" spans="1:5" x14ac:dyDescent="0.25">
      <c r="A132" s="2" t="s">
        <v>60</v>
      </c>
      <c r="B132" t="s">
        <v>60</v>
      </c>
      <c r="C132" t="b">
        <f t="shared" si="3"/>
        <v>1</v>
      </c>
      <c r="D132" s="1" t="s">
        <v>60</v>
      </c>
      <c r="E132">
        <v>108</v>
      </c>
    </row>
    <row r="133" spans="1:5" x14ac:dyDescent="0.25">
      <c r="A133" s="1" t="s">
        <v>62</v>
      </c>
      <c r="B133" t="s">
        <v>62</v>
      </c>
      <c r="C133" t="b">
        <f t="shared" si="3"/>
        <v>1</v>
      </c>
      <c r="D133" s="2" t="s">
        <v>62</v>
      </c>
      <c r="E133">
        <v>109</v>
      </c>
    </row>
    <row r="134" spans="1:5" x14ac:dyDescent="0.25">
      <c r="A134" s="2" t="s">
        <v>61</v>
      </c>
      <c r="B134" t="s">
        <v>61</v>
      </c>
      <c r="C134" t="b">
        <f t="shared" si="3"/>
        <v>1</v>
      </c>
      <c r="D134" s="1" t="s">
        <v>61</v>
      </c>
      <c r="E134">
        <v>110</v>
      </c>
    </row>
    <row r="135" spans="1:5" x14ac:dyDescent="0.25">
      <c r="A135" s="1" t="s">
        <v>63</v>
      </c>
      <c r="B135" t="s">
        <v>63</v>
      </c>
      <c r="C135" t="b">
        <f t="shared" si="3"/>
        <v>1</v>
      </c>
      <c r="D135" s="2" t="s">
        <v>63</v>
      </c>
      <c r="E135">
        <v>111</v>
      </c>
    </row>
    <row r="136" spans="1:5" x14ac:dyDescent="0.25">
      <c r="A136" s="2" t="s">
        <v>64</v>
      </c>
      <c r="B136" t="s">
        <v>64</v>
      </c>
      <c r="C136" t="b">
        <f t="shared" si="3"/>
        <v>1</v>
      </c>
      <c r="D136" s="1" t="s">
        <v>64</v>
      </c>
      <c r="E136">
        <v>112</v>
      </c>
    </row>
    <row r="137" spans="1:5" x14ac:dyDescent="0.25">
      <c r="A137" s="1" t="s">
        <v>65</v>
      </c>
      <c r="B137" t="s">
        <v>65</v>
      </c>
      <c r="C137" t="b">
        <f t="shared" si="3"/>
        <v>1</v>
      </c>
      <c r="D137" s="2" t="s">
        <v>65</v>
      </c>
      <c r="E137">
        <v>113</v>
      </c>
    </row>
    <row r="138" spans="1:5" x14ac:dyDescent="0.25">
      <c r="A138" s="2" t="s">
        <v>66</v>
      </c>
      <c r="B138" t="s">
        <v>66</v>
      </c>
      <c r="C138" t="b">
        <f t="shared" si="3"/>
        <v>1</v>
      </c>
      <c r="D138" s="1" t="s">
        <v>66</v>
      </c>
      <c r="E138">
        <v>114</v>
      </c>
    </row>
    <row r="139" spans="1:5" x14ac:dyDescent="0.25">
      <c r="A139" s="1" t="s">
        <v>67</v>
      </c>
      <c r="B139" t="s">
        <v>67</v>
      </c>
      <c r="C139" t="b">
        <f t="shared" ref="C139:C162" si="4">B139=A139</f>
        <v>1</v>
      </c>
      <c r="D139" s="2" t="s">
        <v>67</v>
      </c>
      <c r="E139">
        <v>115</v>
      </c>
    </row>
    <row r="140" spans="1:5" x14ac:dyDescent="0.25">
      <c r="A140" s="2" t="s">
        <v>172</v>
      </c>
      <c r="B140" t="s">
        <v>172</v>
      </c>
      <c r="C140" t="b">
        <f t="shared" si="4"/>
        <v>1</v>
      </c>
      <c r="D140" s="1" t="s">
        <v>172</v>
      </c>
      <c r="E140">
        <v>243</v>
      </c>
    </row>
    <row r="141" spans="1:5" x14ac:dyDescent="0.25">
      <c r="A141" s="1" t="s">
        <v>173</v>
      </c>
      <c r="B141" t="s">
        <v>173</v>
      </c>
      <c r="C141" t="b">
        <f t="shared" si="4"/>
        <v>1</v>
      </c>
      <c r="D141" s="2" t="s">
        <v>173</v>
      </c>
      <c r="E141">
        <v>116</v>
      </c>
    </row>
    <row r="142" spans="1:5" x14ac:dyDescent="0.25">
      <c r="A142" s="6" t="s">
        <v>230</v>
      </c>
      <c r="B142" t="s">
        <v>174</v>
      </c>
      <c r="C142" t="b">
        <f t="shared" si="4"/>
        <v>0</v>
      </c>
      <c r="D142" s="1" t="s">
        <v>174</v>
      </c>
      <c r="E142">
        <v>117</v>
      </c>
    </row>
    <row r="143" spans="1:5" x14ac:dyDescent="0.25">
      <c r="A143" s="2" t="s">
        <v>68</v>
      </c>
      <c r="B143" t="s">
        <v>68</v>
      </c>
      <c r="C143" t="b">
        <f t="shared" si="4"/>
        <v>1</v>
      </c>
      <c r="D143" s="2" t="s">
        <v>68</v>
      </c>
      <c r="E143">
        <v>118</v>
      </c>
    </row>
    <row r="144" spans="1:5" x14ac:dyDescent="0.25">
      <c r="A144" s="1" t="s">
        <v>69</v>
      </c>
      <c r="B144" t="s">
        <v>69</v>
      </c>
      <c r="C144" t="b">
        <f t="shared" si="4"/>
        <v>1</v>
      </c>
      <c r="D144" s="1" t="s">
        <v>69</v>
      </c>
      <c r="E144">
        <v>119</v>
      </c>
    </row>
    <row r="145" spans="1:5" x14ac:dyDescent="0.25">
      <c r="A145" s="2" t="s">
        <v>175</v>
      </c>
      <c r="B145" t="s">
        <v>175</v>
      </c>
      <c r="C145" t="b">
        <f t="shared" si="4"/>
        <v>1</v>
      </c>
      <c r="D145" s="2" t="s">
        <v>175</v>
      </c>
      <c r="E145">
        <v>229</v>
      </c>
    </row>
    <row r="146" spans="1:5" x14ac:dyDescent="0.25">
      <c r="A146" s="1" t="s">
        <v>176</v>
      </c>
      <c r="B146" t="s">
        <v>176</v>
      </c>
      <c r="C146" t="b">
        <f t="shared" si="4"/>
        <v>1</v>
      </c>
      <c r="D146" s="1" t="s">
        <v>176</v>
      </c>
      <c r="E146">
        <v>120</v>
      </c>
    </row>
    <row r="147" spans="1:5" x14ac:dyDescent="0.25">
      <c r="A147" s="2" t="s">
        <v>70</v>
      </c>
      <c r="B147" t="s">
        <v>70</v>
      </c>
      <c r="C147" t="b">
        <f t="shared" si="4"/>
        <v>1</v>
      </c>
      <c r="D147" s="2" t="s">
        <v>70</v>
      </c>
      <c r="E147">
        <v>121</v>
      </c>
    </row>
    <row r="148" spans="1:5" x14ac:dyDescent="0.25">
      <c r="A148" s="1" t="s">
        <v>71</v>
      </c>
      <c r="B148" t="s">
        <v>71</v>
      </c>
      <c r="C148" t="b">
        <f t="shared" si="4"/>
        <v>1</v>
      </c>
      <c r="D148" s="1" t="s">
        <v>71</v>
      </c>
      <c r="E148">
        <v>230</v>
      </c>
    </row>
    <row r="149" spans="1:5" x14ac:dyDescent="0.25">
      <c r="A149" s="2" t="s">
        <v>72</v>
      </c>
      <c r="B149" t="s">
        <v>72</v>
      </c>
      <c r="C149" t="b">
        <f t="shared" si="4"/>
        <v>1</v>
      </c>
      <c r="D149" s="2" t="s">
        <v>72</v>
      </c>
      <c r="E149">
        <v>231</v>
      </c>
    </row>
    <row r="150" spans="1:5" x14ac:dyDescent="0.25">
      <c r="A150" s="1" t="s">
        <v>177</v>
      </c>
      <c r="B150" t="s">
        <v>177</v>
      </c>
      <c r="C150" t="b">
        <f t="shared" si="4"/>
        <v>1</v>
      </c>
      <c r="D150" s="1" t="s">
        <v>177</v>
      </c>
      <c r="E150">
        <v>122</v>
      </c>
    </row>
    <row r="151" spans="1:5" x14ac:dyDescent="0.25">
      <c r="A151" s="2" t="s">
        <v>73</v>
      </c>
      <c r="B151" t="s">
        <v>73</v>
      </c>
      <c r="C151" t="b">
        <f t="shared" si="4"/>
        <v>1</v>
      </c>
      <c r="D151" s="2" t="s">
        <v>73</v>
      </c>
      <c r="E151">
        <v>123</v>
      </c>
    </row>
    <row r="152" spans="1:5" x14ac:dyDescent="0.25">
      <c r="A152" s="1" t="s">
        <v>178</v>
      </c>
      <c r="B152" t="s">
        <v>178</v>
      </c>
      <c r="C152" t="b">
        <f t="shared" si="4"/>
        <v>1</v>
      </c>
      <c r="D152" s="1" t="s">
        <v>178</v>
      </c>
      <c r="E152">
        <v>124</v>
      </c>
    </row>
    <row r="153" spans="1:5" x14ac:dyDescent="0.25">
      <c r="A153" s="2" t="s">
        <v>179</v>
      </c>
      <c r="B153" t="s">
        <v>179</v>
      </c>
      <c r="C153" t="b">
        <f t="shared" si="4"/>
        <v>1</v>
      </c>
      <c r="D153" s="2" t="s">
        <v>179</v>
      </c>
      <c r="E153">
        <v>125</v>
      </c>
    </row>
    <row r="154" spans="1:5" x14ac:dyDescent="0.25">
      <c r="A154" s="1" t="s">
        <v>180</v>
      </c>
      <c r="B154" t="s">
        <v>180</v>
      </c>
      <c r="C154" t="b">
        <f t="shared" si="4"/>
        <v>1</v>
      </c>
      <c r="D154" s="1" t="s">
        <v>180</v>
      </c>
      <c r="E154">
        <v>126</v>
      </c>
    </row>
    <row r="155" spans="1:5" x14ac:dyDescent="0.25">
      <c r="A155" s="2" t="s">
        <v>181</v>
      </c>
      <c r="B155" t="s">
        <v>181</v>
      </c>
      <c r="C155" t="b">
        <f t="shared" si="4"/>
        <v>1</v>
      </c>
      <c r="D155" s="2" t="s">
        <v>181</v>
      </c>
      <c r="E155">
        <v>127</v>
      </c>
    </row>
    <row r="156" spans="1:5" x14ac:dyDescent="0.25">
      <c r="A156" s="1" t="s">
        <v>182</v>
      </c>
      <c r="B156" t="s">
        <v>182</v>
      </c>
      <c r="C156" t="b">
        <f t="shared" si="4"/>
        <v>1</v>
      </c>
      <c r="D156" s="1" t="s">
        <v>182</v>
      </c>
      <c r="E156">
        <v>232</v>
      </c>
    </row>
    <row r="157" spans="1:5" x14ac:dyDescent="0.25">
      <c r="A157" s="2" t="s">
        <v>183</v>
      </c>
      <c r="B157" t="s">
        <v>183</v>
      </c>
      <c r="C157" t="b">
        <f t="shared" si="4"/>
        <v>1</v>
      </c>
      <c r="D157" s="2" t="s">
        <v>183</v>
      </c>
      <c r="E157">
        <v>128</v>
      </c>
    </row>
    <row r="158" spans="1:5" x14ac:dyDescent="0.25">
      <c r="A158" s="1" t="s">
        <v>184</v>
      </c>
      <c r="B158" t="s">
        <v>184</v>
      </c>
      <c r="C158" t="b">
        <f t="shared" si="4"/>
        <v>1</v>
      </c>
      <c r="D158" s="1" t="s">
        <v>184</v>
      </c>
      <c r="E158">
        <v>129</v>
      </c>
    </row>
    <row r="159" spans="1:5" x14ac:dyDescent="0.25">
      <c r="A159" s="2" t="s">
        <v>74</v>
      </c>
      <c r="B159" t="s">
        <v>74</v>
      </c>
      <c r="C159" t="b">
        <f t="shared" si="4"/>
        <v>1</v>
      </c>
      <c r="D159" s="2" t="s">
        <v>74</v>
      </c>
      <c r="E159">
        <v>193</v>
      </c>
    </row>
    <row r="160" spans="1:5" x14ac:dyDescent="0.25">
      <c r="A160" s="1" t="s">
        <v>185</v>
      </c>
      <c r="B160" t="s">
        <v>185</v>
      </c>
      <c r="C160" t="b">
        <f t="shared" si="4"/>
        <v>1</v>
      </c>
      <c r="D160" s="1" t="s">
        <v>185</v>
      </c>
      <c r="E160">
        <v>130</v>
      </c>
    </row>
    <row r="161" spans="1:5" x14ac:dyDescent="0.25">
      <c r="A161" s="2" t="s">
        <v>75</v>
      </c>
      <c r="B161" t="s">
        <v>75</v>
      </c>
      <c r="C161" t="b">
        <f t="shared" si="4"/>
        <v>1</v>
      </c>
      <c r="D161" s="2" t="s">
        <v>75</v>
      </c>
      <c r="E161">
        <v>131</v>
      </c>
    </row>
    <row r="162" spans="1:5" x14ac:dyDescent="0.25">
      <c r="A162" s="1" t="s">
        <v>238</v>
      </c>
      <c r="B162" t="s">
        <v>238</v>
      </c>
      <c r="C162" t="b">
        <f t="shared" si="4"/>
        <v>1</v>
      </c>
      <c r="D162" s="1" t="s">
        <v>238</v>
      </c>
      <c r="E162">
        <v>194</v>
      </c>
    </row>
    <row r="163" spans="1:5" x14ac:dyDescent="0.25">
      <c r="A163" s="2" t="s">
        <v>76</v>
      </c>
      <c r="B163" t="s">
        <v>76</v>
      </c>
      <c r="C163" t="b">
        <f t="shared" ref="C163:C226" si="5">B163=A163</f>
        <v>1</v>
      </c>
      <c r="D163" s="2" t="s">
        <v>76</v>
      </c>
      <c r="E163">
        <v>197</v>
      </c>
    </row>
    <row r="164" spans="1:5" x14ac:dyDescent="0.25">
      <c r="A164" s="1" t="s">
        <v>77</v>
      </c>
      <c r="B164" t="s">
        <v>77</v>
      </c>
      <c r="C164" t="b">
        <f t="shared" si="5"/>
        <v>1</v>
      </c>
      <c r="D164" s="1" t="s">
        <v>77</v>
      </c>
      <c r="E164">
        <v>200</v>
      </c>
    </row>
    <row r="165" spans="1:5" x14ac:dyDescent="0.25">
      <c r="A165" s="1" t="s">
        <v>239</v>
      </c>
      <c r="B165" t="s">
        <v>239</v>
      </c>
      <c r="C165" t="b">
        <f t="shared" si="5"/>
        <v>1</v>
      </c>
      <c r="D165" s="2" t="s">
        <v>239</v>
      </c>
      <c r="E165">
        <v>132</v>
      </c>
    </row>
    <row r="166" spans="1:5" x14ac:dyDescent="0.25">
      <c r="A166" s="2" t="s">
        <v>186</v>
      </c>
      <c r="B166" t="s">
        <v>186</v>
      </c>
      <c r="C166" t="b">
        <f t="shared" si="5"/>
        <v>1</v>
      </c>
      <c r="D166" s="1" t="s">
        <v>186</v>
      </c>
      <c r="E166">
        <v>133</v>
      </c>
    </row>
    <row r="167" spans="1:5" x14ac:dyDescent="0.25">
      <c r="A167" s="1" t="s">
        <v>187</v>
      </c>
      <c r="B167" t="s">
        <v>187</v>
      </c>
      <c r="C167" t="b">
        <f t="shared" si="5"/>
        <v>1</v>
      </c>
      <c r="D167" s="2" t="s">
        <v>187</v>
      </c>
      <c r="E167">
        <v>134</v>
      </c>
    </row>
    <row r="168" spans="1:5" x14ac:dyDescent="0.25">
      <c r="A168" s="2" t="s">
        <v>188</v>
      </c>
      <c r="B168" t="s">
        <v>188</v>
      </c>
      <c r="C168" t="b">
        <f t="shared" si="5"/>
        <v>1</v>
      </c>
      <c r="D168" s="1" t="s">
        <v>188</v>
      </c>
      <c r="E168">
        <v>135</v>
      </c>
    </row>
    <row r="169" spans="1:5" x14ac:dyDescent="0.25">
      <c r="A169" s="1" t="s">
        <v>189</v>
      </c>
      <c r="B169" t="s">
        <v>189</v>
      </c>
      <c r="C169" t="b">
        <f t="shared" si="5"/>
        <v>1</v>
      </c>
      <c r="D169" s="2" t="s">
        <v>189</v>
      </c>
      <c r="E169">
        <v>204</v>
      </c>
    </row>
    <row r="170" spans="1:5" x14ac:dyDescent="0.25">
      <c r="A170" s="2" t="s">
        <v>78</v>
      </c>
      <c r="B170" t="s">
        <v>78</v>
      </c>
      <c r="C170" t="b">
        <f t="shared" si="5"/>
        <v>1</v>
      </c>
      <c r="D170" s="1" t="s">
        <v>78</v>
      </c>
      <c r="E170">
        <v>205</v>
      </c>
    </row>
    <row r="171" spans="1:5" x14ac:dyDescent="0.25">
      <c r="A171" s="1" t="s">
        <v>79</v>
      </c>
      <c r="B171" t="s">
        <v>79</v>
      </c>
      <c r="C171" t="b">
        <f t="shared" si="5"/>
        <v>1</v>
      </c>
      <c r="D171" s="2" t="s">
        <v>79</v>
      </c>
      <c r="E171">
        <v>206</v>
      </c>
    </row>
    <row r="172" spans="1:5" x14ac:dyDescent="0.25">
      <c r="A172" s="1" t="s">
        <v>190</v>
      </c>
      <c r="B172" t="s">
        <v>190</v>
      </c>
      <c r="C172" t="b">
        <f t="shared" si="5"/>
        <v>1</v>
      </c>
      <c r="D172" s="1" t="s">
        <v>190</v>
      </c>
      <c r="E172">
        <v>136</v>
      </c>
    </row>
    <row r="173" spans="1:5" x14ac:dyDescent="0.25">
      <c r="A173" s="2" t="s">
        <v>80</v>
      </c>
      <c r="B173" t="s">
        <v>80</v>
      </c>
      <c r="C173" t="b">
        <f t="shared" si="5"/>
        <v>1</v>
      </c>
      <c r="D173" s="2" t="s">
        <v>80</v>
      </c>
      <c r="E173">
        <v>137</v>
      </c>
    </row>
    <row r="174" spans="1:5" x14ac:dyDescent="0.25">
      <c r="A174" s="1" t="s">
        <v>81</v>
      </c>
      <c r="B174" t="s">
        <v>81</v>
      </c>
      <c r="C174" t="b">
        <f t="shared" si="5"/>
        <v>1</v>
      </c>
      <c r="D174" s="1" t="s">
        <v>81</v>
      </c>
      <c r="E174">
        <v>138</v>
      </c>
    </row>
    <row r="175" spans="1:5" x14ac:dyDescent="0.25">
      <c r="A175" s="2" t="s">
        <v>82</v>
      </c>
      <c r="B175" t="s">
        <v>82</v>
      </c>
      <c r="C175" t="b">
        <f t="shared" si="5"/>
        <v>1</v>
      </c>
      <c r="D175" s="2" t="s">
        <v>82</v>
      </c>
      <c r="E175">
        <v>139</v>
      </c>
    </row>
    <row r="176" spans="1:5" x14ac:dyDescent="0.25">
      <c r="A176" s="1" t="s">
        <v>192</v>
      </c>
      <c r="B176" t="s">
        <v>192</v>
      </c>
      <c r="C176" t="b">
        <f t="shared" si="5"/>
        <v>1</v>
      </c>
      <c r="D176" s="1" t="s">
        <v>192</v>
      </c>
      <c r="E176">
        <v>140</v>
      </c>
    </row>
    <row r="177" spans="1:5" x14ac:dyDescent="0.25">
      <c r="A177" s="2" t="s">
        <v>193</v>
      </c>
      <c r="B177" t="s">
        <v>193</v>
      </c>
      <c r="C177" t="b">
        <f t="shared" si="5"/>
        <v>1</v>
      </c>
      <c r="D177" s="2" t="s">
        <v>193</v>
      </c>
      <c r="E177">
        <v>141</v>
      </c>
    </row>
    <row r="178" spans="1:5" x14ac:dyDescent="0.25">
      <c r="A178" s="1" t="s">
        <v>194</v>
      </c>
      <c r="B178" t="s">
        <v>194</v>
      </c>
      <c r="C178" t="b">
        <f t="shared" si="5"/>
        <v>1</v>
      </c>
      <c r="D178" s="1" t="s">
        <v>194</v>
      </c>
      <c r="E178">
        <v>142</v>
      </c>
    </row>
    <row r="179" spans="1:5" x14ac:dyDescent="0.25">
      <c r="A179" s="2" t="s">
        <v>195</v>
      </c>
      <c r="B179" t="s">
        <v>195</v>
      </c>
      <c r="C179" t="b">
        <f t="shared" si="5"/>
        <v>1</v>
      </c>
      <c r="D179" s="2" t="s">
        <v>195</v>
      </c>
      <c r="E179">
        <v>143</v>
      </c>
    </row>
    <row r="180" spans="1:5" x14ac:dyDescent="0.25">
      <c r="A180" s="6" t="s">
        <v>230</v>
      </c>
      <c r="B180" t="s">
        <v>196</v>
      </c>
      <c r="C180" t="b">
        <f t="shared" si="5"/>
        <v>0</v>
      </c>
      <c r="D180" s="1" t="s">
        <v>196</v>
      </c>
      <c r="E180">
        <v>208</v>
      </c>
    </row>
    <row r="181" spans="1:5" x14ac:dyDescent="0.25">
      <c r="A181" s="6" t="s">
        <v>230</v>
      </c>
      <c r="B181" t="s">
        <v>197</v>
      </c>
      <c r="C181" t="b">
        <f t="shared" si="5"/>
        <v>0</v>
      </c>
      <c r="D181" s="2" t="s">
        <v>197</v>
      </c>
      <c r="E181">
        <v>209</v>
      </c>
    </row>
    <row r="182" spans="1:5" x14ac:dyDescent="0.25">
      <c r="A182" s="1" t="s">
        <v>83</v>
      </c>
      <c r="B182" t="s">
        <v>83</v>
      </c>
      <c r="C182" t="b">
        <f t="shared" si="5"/>
        <v>1</v>
      </c>
      <c r="D182" s="1" t="s">
        <v>83</v>
      </c>
      <c r="E182">
        <v>210</v>
      </c>
    </row>
    <row r="183" spans="1:5" x14ac:dyDescent="0.25">
      <c r="A183" s="2" t="s">
        <v>240</v>
      </c>
      <c r="B183" t="s">
        <v>198</v>
      </c>
      <c r="C183" t="b">
        <f t="shared" si="5"/>
        <v>0</v>
      </c>
      <c r="D183" s="2" t="s">
        <v>198</v>
      </c>
      <c r="E183">
        <v>211</v>
      </c>
    </row>
    <row r="184" spans="1:5" x14ac:dyDescent="0.25">
      <c r="A184" s="6" t="s">
        <v>230</v>
      </c>
      <c r="B184" t="s">
        <v>199</v>
      </c>
      <c r="C184" t="b">
        <f t="shared" si="5"/>
        <v>0</v>
      </c>
      <c r="D184" s="1" t="s">
        <v>199</v>
      </c>
      <c r="E184">
        <v>212</v>
      </c>
    </row>
    <row r="185" spans="1:5" x14ac:dyDescent="0.25">
      <c r="A185" s="1" t="s">
        <v>200</v>
      </c>
      <c r="B185" t="s">
        <v>200</v>
      </c>
      <c r="C185" t="b">
        <f t="shared" si="5"/>
        <v>1</v>
      </c>
      <c r="D185" s="2" t="s">
        <v>200</v>
      </c>
      <c r="E185">
        <v>144</v>
      </c>
    </row>
    <row r="186" spans="1:5" x14ac:dyDescent="0.25">
      <c r="A186" s="2" t="s">
        <v>201</v>
      </c>
      <c r="B186" t="s">
        <v>201</v>
      </c>
      <c r="C186" t="b">
        <f t="shared" si="5"/>
        <v>1</v>
      </c>
      <c r="D186" s="1" t="s">
        <v>201</v>
      </c>
      <c r="E186">
        <v>218</v>
      </c>
    </row>
    <row r="187" spans="1:5" x14ac:dyDescent="0.25">
      <c r="A187" s="1" t="s">
        <v>202</v>
      </c>
      <c r="B187" t="s">
        <v>202</v>
      </c>
      <c r="C187" t="b">
        <f t="shared" si="5"/>
        <v>1</v>
      </c>
      <c r="D187" s="2" t="s">
        <v>202</v>
      </c>
      <c r="E187">
        <v>219</v>
      </c>
    </row>
    <row r="188" spans="1:5" x14ac:dyDescent="0.25">
      <c r="A188" s="2" t="s">
        <v>241</v>
      </c>
      <c r="B188" t="s">
        <v>203</v>
      </c>
      <c r="C188" t="b">
        <f t="shared" si="5"/>
        <v>1</v>
      </c>
      <c r="D188" s="1" t="s">
        <v>203</v>
      </c>
      <c r="E188">
        <v>215</v>
      </c>
    </row>
    <row r="189" spans="1:5" x14ac:dyDescent="0.25">
      <c r="A189" s="1" t="s">
        <v>204</v>
      </c>
      <c r="B189" t="s">
        <v>204</v>
      </c>
      <c r="C189" t="b">
        <f t="shared" si="5"/>
        <v>1</v>
      </c>
      <c r="D189" s="2" t="s">
        <v>204</v>
      </c>
      <c r="E189">
        <v>216</v>
      </c>
    </row>
    <row r="190" spans="1:5" x14ac:dyDescent="0.25">
      <c r="A190" s="2" t="s">
        <v>205</v>
      </c>
      <c r="B190" t="s">
        <v>205</v>
      </c>
      <c r="C190" t="b">
        <f t="shared" si="5"/>
        <v>1</v>
      </c>
      <c r="D190" s="1" t="s">
        <v>205</v>
      </c>
      <c r="E190">
        <v>214</v>
      </c>
    </row>
    <row r="191" spans="1:5" x14ac:dyDescent="0.25">
      <c r="A191" s="1" t="s">
        <v>206</v>
      </c>
      <c r="B191" t="s">
        <v>206</v>
      </c>
      <c r="C191" t="b">
        <f t="shared" si="5"/>
        <v>1</v>
      </c>
      <c r="D191" s="2" t="s">
        <v>206</v>
      </c>
      <c r="E191">
        <v>217</v>
      </c>
    </row>
    <row r="192" spans="1:5" x14ac:dyDescent="0.25">
      <c r="A192" s="2" t="s">
        <v>207</v>
      </c>
      <c r="B192" t="s">
        <v>207</v>
      </c>
      <c r="C192" t="b">
        <f t="shared" si="5"/>
        <v>1</v>
      </c>
      <c r="D192" s="1" t="s">
        <v>207</v>
      </c>
      <c r="E192">
        <v>145</v>
      </c>
    </row>
    <row r="193" spans="1:5" x14ac:dyDescent="0.25">
      <c r="A193" s="1" t="s">
        <v>84</v>
      </c>
      <c r="B193" t="s">
        <v>84</v>
      </c>
      <c r="C193" t="b">
        <f t="shared" si="5"/>
        <v>1</v>
      </c>
      <c r="D193" s="2" t="s">
        <v>84</v>
      </c>
      <c r="E193">
        <v>146</v>
      </c>
    </row>
    <row r="194" spans="1:5" x14ac:dyDescent="0.25">
      <c r="A194" s="2" t="s">
        <v>85</v>
      </c>
      <c r="B194" t="s">
        <v>85</v>
      </c>
      <c r="C194" t="b">
        <f t="shared" si="5"/>
        <v>1</v>
      </c>
      <c r="D194" s="1" t="s">
        <v>85</v>
      </c>
      <c r="E194">
        <v>147</v>
      </c>
    </row>
    <row r="195" spans="1:5" x14ac:dyDescent="0.25">
      <c r="A195" s="1" t="s">
        <v>208</v>
      </c>
      <c r="B195" t="s">
        <v>208</v>
      </c>
      <c r="C195" t="b">
        <f t="shared" si="5"/>
        <v>1</v>
      </c>
      <c r="D195" s="2" t="s">
        <v>208</v>
      </c>
      <c r="E195">
        <v>233</v>
      </c>
    </row>
    <row r="196" spans="1:5" x14ac:dyDescent="0.25">
      <c r="A196" s="2" t="s">
        <v>86</v>
      </c>
      <c r="B196" t="s">
        <v>86</v>
      </c>
      <c r="C196" t="b">
        <f t="shared" si="5"/>
        <v>1</v>
      </c>
      <c r="D196" s="1" t="s">
        <v>86</v>
      </c>
      <c r="E196">
        <v>148</v>
      </c>
    </row>
    <row r="197" spans="1:5" x14ac:dyDescent="0.25">
      <c r="A197" s="1" t="s">
        <v>87</v>
      </c>
      <c r="B197" t="s">
        <v>87</v>
      </c>
      <c r="C197" t="b">
        <f t="shared" si="5"/>
        <v>1</v>
      </c>
      <c r="D197" s="2" t="s">
        <v>87</v>
      </c>
      <c r="E197">
        <v>234</v>
      </c>
    </row>
    <row r="198" spans="1:5" x14ac:dyDescent="0.25">
      <c r="A198" s="2" t="s">
        <v>209</v>
      </c>
      <c r="B198" t="s">
        <v>209</v>
      </c>
      <c r="C198" t="b">
        <f t="shared" si="5"/>
        <v>1</v>
      </c>
      <c r="D198" s="1" t="s">
        <v>209</v>
      </c>
      <c r="E198">
        <v>149</v>
      </c>
    </row>
    <row r="199" spans="1:5" x14ac:dyDescent="0.25">
      <c r="A199" s="1" t="s">
        <v>210</v>
      </c>
      <c r="B199" t="s">
        <v>210</v>
      </c>
      <c r="C199" t="b">
        <f t="shared" si="5"/>
        <v>1</v>
      </c>
      <c r="D199" s="2" t="s">
        <v>210</v>
      </c>
      <c r="E199">
        <v>150</v>
      </c>
    </row>
    <row r="200" spans="1:5" x14ac:dyDescent="0.25">
      <c r="A200" s="2" t="s">
        <v>211</v>
      </c>
      <c r="B200" t="s">
        <v>211</v>
      </c>
      <c r="C200" t="b">
        <f t="shared" si="5"/>
        <v>1</v>
      </c>
      <c r="D200" s="1" t="s">
        <v>211</v>
      </c>
      <c r="E200">
        <v>151</v>
      </c>
    </row>
    <row r="201" spans="1:5" x14ac:dyDescent="0.25">
      <c r="A201" s="1" t="s">
        <v>88</v>
      </c>
      <c r="B201" t="s">
        <v>88</v>
      </c>
      <c r="C201" t="b">
        <f t="shared" si="5"/>
        <v>1</v>
      </c>
      <c r="D201" s="2" t="s">
        <v>88</v>
      </c>
      <c r="E201">
        <v>152</v>
      </c>
    </row>
    <row r="202" spans="1:5" x14ac:dyDescent="0.25">
      <c r="A202" s="2" t="s">
        <v>89</v>
      </c>
      <c r="B202" t="s">
        <v>89</v>
      </c>
      <c r="C202" t="b">
        <f t="shared" si="5"/>
        <v>1</v>
      </c>
      <c r="D202" s="1" t="s">
        <v>89</v>
      </c>
      <c r="E202">
        <v>153</v>
      </c>
    </row>
    <row r="203" spans="1:5" x14ac:dyDescent="0.25">
      <c r="A203" s="1" t="s">
        <v>212</v>
      </c>
      <c r="B203" t="s">
        <v>212</v>
      </c>
      <c r="C203" t="b">
        <f t="shared" si="5"/>
        <v>1</v>
      </c>
      <c r="D203" s="2" t="s">
        <v>212</v>
      </c>
      <c r="E203">
        <v>235</v>
      </c>
    </row>
    <row r="204" spans="1:5" x14ac:dyDescent="0.25">
      <c r="A204" s="2" t="s">
        <v>213</v>
      </c>
      <c r="B204" t="s">
        <v>213</v>
      </c>
      <c r="C204" t="b">
        <f t="shared" si="5"/>
        <v>1</v>
      </c>
      <c r="D204" s="1" t="s">
        <v>213</v>
      </c>
      <c r="E204">
        <v>154</v>
      </c>
    </row>
    <row r="205" spans="1:5" x14ac:dyDescent="0.25">
      <c r="A205" s="1" t="s">
        <v>214</v>
      </c>
      <c r="B205" t="s">
        <v>214</v>
      </c>
      <c r="C205" t="b">
        <f t="shared" si="5"/>
        <v>1</v>
      </c>
      <c r="D205" s="2" t="s">
        <v>214</v>
      </c>
      <c r="E205">
        <v>155</v>
      </c>
    </row>
    <row r="206" spans="1:5" x14ac:dyDescent="0.25">
      <c r="A206" s="2" t="s">
        <v>90</v>
      </c>
      <c r="B206" t="s">
        <v>215</v>
      </c>
      <c r="C206" t="b">
        <f t="shared" si="5"/>
        <v>1</v>
      </c>
      <c r="D206" s="1" t="s">
        <v>215</v>
      </c>
      <c r="E206">
        <v>156</v>
      </c>
    </row>
    <row r="207" spans="1:5" x14ac:dyDescent="0.25">
      <c r="A207" s="1" t="s">
        <v>91</v>
      </c>
      <c r="B207" t="s">
        <v>91</v>
      </c>
      <c r="C207" t="b">
        <f t="shared" si="5"/>
        <v>1</v>
      </c>
      <c r="D207" s="2" t="s">
        <v>91</v>
      </c>
      <c r="E207">
        <v>244</v>
      </c>
    </row>
    <row r="208" spans="1:5" x14ac:dyDescent="0.25">
      <c r="A208" s="2" t="s">
        <v>216</v>
      </c>
      <c r="B208" t="s">
        <v>216</v>
      </c>
      <c r="C208" t="b">
        <f t="shared" si="5"/>
        <v>1</v>
      </c>
      <c r="D208" s="1" t="s">
        <v>216</v>
      </c>
      <c r="E208">
        <v>157</v>
      </c>
    </row>
    <row r="209" spans="1:5" x14ac:dyDescent="0.25">
      <c r="A209" s="1" t="s">
        <v>92</v>
      </c>
      <c r="B209" t="s">
        <v>92</v>
      </c>
      <c r="C209" t="b">
        <f t="shared" si="5"/>
        <v>1</v>
      </c>
      <c r="D209" s="2" t="s">
        <v>92</v>
      </c>
      <c r="E209">
        <v>220</v>
      </c>
    </row>
    <row r="210" spans="1:5" x14ac:dyDescent="0.25">
      <c r="A210" s="2" t="s">
        <v>93</v>
      </c>
      <c r="B210" t="s">
        <v>93</v>
      </c>
      <c r="C210" t="b">
        <f t="shared" si="5"/>
        <v>1</v>
      </c>
      <c r="D210" s="1" t="s">
        <v>93</v>
      </c>
      <c r="E210">
        <v>158</v>
      </c>
    </row>
    <row r="211" spans="1:5" x14ac:dyDescent="0.25">
      <c r="A211" s="1" t="s">
        <v>217</v>
      </c>
      <c r="B211" t="s">
        <v>217</v>
      </c>
      <c r="C211" t="b">
        <f t="shared" si="5"/>
        <v>1</v>
      </c>
      <c r="D211" s="2" t="s">
        <v>217</v>
      </c>
      <c r="E211">
        <v>159</v>
      </c>
    </row>
    <row r="212" spans="1:5" x14ac:dyDescent="0.25">
      <c r="A212" s="2" t="s">
        <v>94</v>
      </c>
      <c r="B212" t="s">
        <v>94</v>
      </c>
      <c r="C212" t="b">
        <f t="shared" si="5"/>
        <v>1</v>
      </c>
      <c r="D212" s="1" t="s">
        <v>94</v>
      </c>
      <c r="E212">
        <v>236</v>
      </c>
    </row>
    <row r="213" spans="1:5" x14ac:dyDescent="0.25">
      <c r="A213" s="1" t="s">
        <v>218</v>
      </c>
      <c r="B213" t="s">
        <v>218</v>
      </c>
      <c r="C213" t="b">
        <f t="shared" si="5"/>
        <v>1</v>
      </c>
      <c r="D213" s="2" t="s">
        <v>218</v>
      </c>
      <c r="E213">
        <v>160</v>
      </c>
    </row>
    <row r="214" spans="1:5" x14ac:dyDescent="0.25">
      <c r="A214" s="2" t="s">
        <v>95</v>
      </c>
      <c r="B214" t="s">
        <v>95</v>
      </c>
      <c r="C214" t="b">
        <f t="shared" si="5"/>
        <v>1</v>
      </c>
      <c r="D214" s="1" t="s">
        <v>95</v>
      </c>
      <c r="E214">
        <v>161</v>
      </c>
    </row>
    <row r="215" spans="1:5" x14ac:dyDescent="0.25">
      <c r="A215" s="1" t="s">
        <v>219</v>
      </c>
      <c r="B215" t="s">
        <v>219</v>
      </c>
      <c r="C215" t="b">
        <f t="shared" si="5"/>
        <v>1</v>
      </c>
      <c r="D215" s="2" t="s">
        <v>219</v>
      </c>
      <c r="E215">
        <v>162</v>
      </c>
    </row>
    <row r="216" spans="1:5" x14ac:dyDescent="0.25">
      <c r="A216" s="2" t="s">
        <v>220</v>
      </c>
      <c r="B216" t="s">
        <v>220</v>
      </c>
      <c r="C216" t="b">
        <f t="shared" si="5"/>
        <v>1</v>
      </c>
      <c r="D216" s="1" t="s">
        <v>220</v>
      </c>
      <c r="E216">
        <v>163</v>
      </c>
    </row>
    <row r="217" spans="1:5" x14ac:dyDescent="0.25">
      <c r="A217" s="1" t="s">
        <v>221</v>
      </c>
      <c r="B217" t="s">
        <v>221</v>
      </c>
      <c r="C217" t="b">
        <f t="shared" si="5"/>
        <v>1</v>
      </c>
      <c r="D217" s="2" t="s">
        <v>221</v>
      </c>
      <c r="E217">
        <v>164</v>
      </c>
    </row>
    <row r="218" spans="1:5" x14ac:dyDescent="0.25">
      <c r="A218" s="2" t="s">
        <v>222</v>
      </c>
      <c r="B218" t="s">
        <v>222</v>
      </c>
      <c r="C218" t="b">
        <f t="shared" si="5"/>
        <v>1</v>
      </c>
      <c r="D218" s="1" t="s">
        <v>222</v>
      </c>
      <c r="E218">
        <v>165</v>
      </c>
    </row>
    <row r="219" spans="1:5" x14ac:dyDescent="0.25">
      <c r="A219" s="1" t="s">
        <v>96</v>
      </c>
      <c r="B219" t="s">
        <v>96</v>
      </c>
      <c r="C219" t="b">
        <f t="shared" si="5"/>
        <v>1</v>
      </c>
      <c r="D219" s="2" t="s">
        <v>96</v>
      </c>
      <c r="E219">
        <v>166</v>
      </c>
    </row>
    <row r="220" spans="1:5" x14ac:dyDescent="0.25">
      <c r="A220" s="2" t="s">
        <v>223</v>
      </c>
      <c r="B220" t="s">
        <v>223</v>
      </c>
      <c r="C220" t="b">
        <f t="shared" si="5"/>
        <v>1</v>
      </c>
      <c r="D220" s="1" t="s">
        <v>223</v>
      </c>
      <c r="E220">
        <v>167</v>
      </c>
    </row>
    <row r="221" spans="1:5" x14ac:dyDescent="0.25">
      <c r="A221" s="1" t="s">
        <v>224</v>
      </c>
      <c r="B221" t="s">
        <v>224</v>
      </c>
      <c r="C221" t="b">
        <f t="shared" si="5"/>
        <v>1</v>
      </c>
      <c r="D221" s="2" t="s">
        <v>224</v>
      </c>
      <c r="E221">
        <v>168</v>
      </c>
    </row>
    <row r="222" spans="1:5" x14ac:dyDescent="0.25">
      <c r="A222" s="2" t="s">
        <v>225</v>
      </c>
      <c r="B222" t="s">
        <v>225</v>
      </c>
      <c r="C222" t="b">
        <f t="shared" si="5"/>
        <v>1</v>
      </c>
      <c r="D222" s="1" t="s">
        <v>225</v>
      </c>
      <c r="E222">
        <v>169</v>
      </c>
    </row>
    <row r="223" spans="1:5" x14ac:dyDescent="0.25">
      <c r="A223" s="1" t="s">
        <v>226</v>
      </c>
      <c r="B223" t="s">
        <v>226</v>
      </c>
      <c r="C223" t="b">
        <f t="shared" si="5"/>
        <v>1</v>
      </c>
      <c r="D223" s="2" t="s">
        <v>226</v>
      </c>
      <c r="E223">
        <v>170</v>
      </c>
    </row>
    <row r="224" spans="1:5" x14ac:dyDescent="0.25">
      <c r="A224" s="2" t="s">
        <v>227</v>
      </c>
      <c r="B224" t="s">
        <v>227</v>
      </c>
      <c r="C224" t="b">
        <f t="shared" si="5"/>
        <v>1</v>
      </c>
      <c r="D224" s="1" t="s">
        <v>227</v>
      </c>
      <c r="E224">
        <v>171</v>
      </c>
    </row>
    <row r="225" spans="1:5" x14ac:dyDescent="0.25">
      <c r="A225" s="1" t="s">
        <v>97</v>
      </c>
      <c r="B225" t="s">
        <v>97</v>
      </c>
      <c r="C225" t="b">
        <f t="shared" si="5"/>
        <v>1</v>
      </c>
      <c r="D225" s="2" t="s">
        <v>97</v>
      </c>
      <c r="E225">
        <v>172</v>
      </c>
    </row>
    <row r="226" spans="1:5" x14ac:dyDescent="0.25">
      <c r="A226" s="2" t="s">
        <v>98</v>
      </c>
      <c r="B226" t="s">
        <v>98</v>
      </c>
      <c r="C226" t="b">
        <f t="shared" si="5"/>
        <v>1</v>
      </c>
      <c r="D226" s="1" t="s">
        <v>98</v>
      </c>
      <c r="E226">
        <v>173</v>
      </c>
    </row>
    <row r="227" spans="1:5" x14ac:dyDescent="0.25">
      <c r="A227" s="1" t="s">
        <v>228</v>
      </c>
      <c r="B227" t="s">
        <v>228</v>
      </c>
      <c r="C227" t="b">
        <f t="shared" ref="C227:C231" si="6">B227=A227</f>
        <v>1</v>
      </c>
      <c r="D227" s="2" t="s">
        <v>228</v>
      </c>
      <c r="E227">
        <v>174</v>
      </c>
    </row>
    <row r="228" spans="1:5" x14ac:dyDescent="0.25">
      <c r="A228" s="2" t="s">
        <v>99</v>
      </c>
      <c r="B228" t="s">
        <v>99</v>
      </c>
      <c r="C228" t="b">
        <f t="shared" si="6"/>
        <v>1</v>
      </c>
      <c r="D228" s="1" t="s">
        <v>99</v>
      </c>
      <c r="E228">
        <v>175</v>
      </c>
    </row>
    <row r="229" spans="1:5" x14ac:dyDescent="0.25">
      <c r="A229" s="1" t="s">
        <v>229</v>
      </c>
      <c r="B229" t="s">
        <v>229</v>
      </c>
      <c r="C229" t="b">
        <f t="shared" si="6"/>
        <v>1</v>
      </c>
      <c r="D229" s="2" t="s">
        <v>229</v>
      </c>
      <c r="E229">
        <v>176</v>
      </c>
    </row>
    <row r="230" spans="1:5" x14ac:dyDescent="0.25">
      <c r="A230" s="2" t="s">
        <v>100</v>
      </c>
      <c r="B230" t="s">
        <v>100</v>
      </c>
      <c r="C230" t="b">
        <f t="shared" si="6"/>
        <v>1</v>
      </c>
      <c r="D230" s="1" t="s">
        <v>100</v>
      </c>
      <c r="E230">
        <v>177</v>
      </c>
    </row>
    <row r="231" spans="1:5" x14ac:dyDescent="0.25">
      <c r="A231" s="1" t="s">
        <v>101</v>
      </c>
      <c r="B231" t="s">
        <v>101</v>
      </c>
      <c r="C231" t="b">
        <f t="shared" si="6"/>
        <v>1</v>
      </c>
      <c r="D231" s="2" t="s">
        <v>101</v>
      </c>
      <c r="E231">
        <v>178</v>
      </c>
    </row>
    <row r="232" spans="1:5" x14ac:dyDescent="0.25">
      <c r="A232" s="2" t="s">
        <v>102</v>
      </c>
      <c r="B232" s="2" t="s">
        <v>102</v>
      </c>
      <c r="D232" s="1" t="s">
        <v>102</v>
      </c>
    </row>
    <row r="233" spans="1:5" x14ac:dyDescent="0.25">
      <c r="A233" s="1" t="s">
        <v>103</v>
      </c>
      <c r="B233" s="1" t="s">
        <v>103</v>
      </c>
      <c r="D233" s="1" t="s">
        <v>103</v>
      </c>
    </row>
    <row r="239" spans="1:5" x14ac:dyDescent="0.25">
      <c r="A239" s="2" t="s">
        <v>102</v>
      </c>
    </row>
    <row r="240" spans="1:5" x14ac:dyDescent="0.25">
      <c r="A240" s="1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5DF22-3AFA-4FAA-B651-F50831D10D5E}">
  <dimension ref="A2:D300"/>
  <sheetViews>
    <sheetView zoomScale="175" zoomScaleNormal="175" workbookViewId="0"/>
  </sheetViews>
  <sheetFormatPr defaultRowHeight="15" x14ac:dyDescent="0.25"/>
  <cols>
    <col min="1" max="1" width="70" bestFit="1" customWidth="1"/>
    <col min="2" max="2" width="4.140625" bestFit="1" customWidth="1"/>
  </cols>
  <sheetData>
    <row r="2" spans="1:4" x14ac:dyDescent="0.25">
      <c r="A2" t="s">
        <v>243</v>
      </c>
    </row>
    <row r="3" spans="1:4" x14ac:dyDescent="0.25">
      <c r="A3" t="s">
        <v>29</v>
      </c>
      <c r="B3">
        <v>43</v>
      </c>
      <c r="C3" t="s">
        <v>266</v>
      </c>
      <c r="D3" t="s">
        <v>267</v>
      </c>
    </row>
    <row r="4" spans="1:4" x14ac:dyDescent="0.25">
      <c r="A4" t="s">
        <v>245</v>
      </c>
      <c r="B4">
        <v>12</v>
      </c>
      <c r="C4" t="s">
        <v>266</v>
      </c>
      <c r="D4" t="s">
        <v>267</v>
      </c>
    </row>
    <row r="5" spans="1:4" x14ac:dyDescent="0.25">
      <c r="A5" t="s">
        <v>118</v>
      </c>
      <c r="B5">
        <v>29</v>
      </c>
      <c r="C5" t="s">
        <v>266</v>
      </c>
      <c r="D5" t="s">
        <v>267</v>
      </c>
    </row>
    <row r="6" spans="1:4" x14ac:dyDescent="0.25">
      <c r="A6" t="s">
        <v>131</v>
      </c>
      <c r="B6">
        <v>47</v>
      </c>
      <c r="C6" t="s">
        <v>266</v>
      </c>
      <c r="D6" t="s">
        <v>267</v>
      </c>
    </row>
    <row r="7" spans="1:4" x14ac:dyDescent="0.25">
      <c r="A7" t="s">
        <v>132</v>
      </c>
      <c r="B7">
        <v>48</v>
      </c>
      <c r="C7" t="s">
        <v>266</v>
      </c>
      <c r="D7" t="s">
        <v>267</v>
      </c>
    </row>
    <row r="8" spans="1:4" x14ac:dyDescent="0.25">
      <c r="A8" t="s">
        <v>128</v>
      </c>
      <c r="B8">
        <v>41</v>
      </c>
      <c r="C8" t="s">
        <v>266</v>
      </c>
      <c r="D8" t="s">
        <v>267</v>
      </c>
    </row>
    <row r="9" spans="1:4" x14ac:dyDescent="0.25">
      <c r="A9" t="s">
        <v>132</v>
      </c>
      <c r="B9">
        <v>48</v>
      </c>
      <c r="C9" t="s">
        <v>266</v>
      </c>
      <c r="D9" t="s">
        <v>267</v>
      </c>
    </row>
    <row r="10" spans="1:4" x14ac:dyDescent="0.25">
      <c r="A10" t="s">
        <v>141</v>
      </c>
      <c r="B10">
        <v>63</v>
      </c>
      <c r="C10" t="s">
        <v>266</v>
      </c>
      <c r="D10" t="s">
        <v>267</v>
      </c>
    </row>
    <row r="11" spans="1:4" x14ac:dyDescent="0.25">
      <c r="A11" t="s">
        <v>43</v>
      </c>
      <c r="B11">
        <v>74</v>
      </c>
      <c r="C11" t="s">
        <v>266</v>
      </c>
      <c r="D11" t="s">
        <v>267</v>
      </c>
    </row>
    <row r="12" spans="1:4" x14ac:dyDescent="0.25">
      <c r="A12" t="s">
        <v>139</v>
      </c>
      <c r="B12">
        <v>59</v>
      </c>
      <c r="C12" t="s">
        <v>266</v>
      </c>
      <c r="D12" t="s">
        <v>267</v>
      </c>
    </row>
    <row r="13" spans="1:4" x14ac:dyDescent="0.25">
      <c r="A13" t="s">
        <v>145</v>
      </c>
      <c r="B13">
        <v>70</v>
      </c>
      <c r="C13" t="s">
        <v>266</v>
      </c>
      <c r="D13" t="s">
        <v>267</v>
      </c>
    </row>
    <row r="14" spans="1:4" x14ac:dyDescent="0.25">
      <c r="A14" t="s">
        <v>155</v>
      </c>
      <c r="B14">
        <v>82</v>
      </c>
      <c r="C14" t="s">
        <v>266</v>
      </c>
      <c r="D14" t="s">
        <v>267</v>
      </c>
    </row>
    <row r="15" spans="1:4" x14ac:dyDescent="0.25">
      <c r="A15" t="s">
        <v>49</v>
      </c>
      <c r="B15">
        <v>88</v>
      </c>
      <c r="C15" t="s">
        <v>266</v>
      </c>
      <c r="D15" t="s">
        <v>267</v>
      </c>
    </row>
    <row r="16" spans="1:4" x14ac:dyDescent="0.25">
      <c r="A16" t="s">
        <v>54</v>
      </c>
      <c r="B16">
        <v>96</v>
      </c>
      <c r="C16" t="s">
        <v>266</v>
      </c>
      <c r="D16" t="s">
        <v>267</v>
      </c>
    </row>
    <row r="17" spans="1:4" x14ac:dyDescent="0.25">
      <c r="A17" t="s">
        <v>57</v>
      </c>
      <c r="B17">
        <v>102</v>
      </c>
      <c r="C17" t="s">
        <v>266</v>
      </c>
      <c r="D17" t="s">
        <v>267</v>
      </c>
    </row>
    <row r="18" spans="1:4" x14ac:dyDescent="0.25">
      <c r="A18" t="s">
        <v>169</v>
      </c>
      <c r="B18">
        <v>106</v>
      </c>
      <c r="C18" t="s">
        <v>266</v>
      </c>
      <c r="D18" t="s">
        <v>267</v>
      </c>
    </row>
    <row r="19" spans="1:4" x14ac:dyDescent="0.25">
      <c r="A19" t="s">
        <v>170</v>
      </c>
      <c r="B19">
        <v>107</v>
      </c>
      <c r="C19" t="s">
        <v>266</v>
      </c>
      <c r="D19" t="s">
        <v>267</v>
      </c>
    </row>
    <row r="20" spans="1:4" x14ac:dyDescent="0.25">
      <c r="A20" t="s">
        <v>64</v>
      </c>
      <c r="B20">
        <v>112</v>
      </c>
      <c r="C20" t="s">
        <v>266</v>
      </c>
      <c r="D20" t="s">
        <v>267</v>
      </c>
    </row>
    <row r="21" spans="1:4" x14ac:dyDescent="0.25">
      <c r="A21" t="s">
        <v>73</v>
      </c>
      <c r="B21">
        <v>123</v>
      </c>
      <c r="C21" t="s">
        <v>266</v>
      </c>
      <c r="D21" t="s">
        <v>267</v>
      </c>
    </row>
    <row r="22" spans="1:4" x14ac:dyDescent="0.25">
      <c r="A22" t="s">
        <v>94</v>
      </c>
      <c r="B22">
        <v>236</v>
      </c>
      <c r="C22" t="s">
        <v>266</v>
      </c>
      <c r="D22" t="s">
        <v>267</v>
      </c>
    </row>
    <row r="23" spans="1:4" x14ac:dyDescent="0.25">
      <c r="A23" t="s">
        <v>219</v>
      </c>
      <c r="B23">
        <v>162</v>
      </c>
      <c r="C23" t="s">
        <v>266</v>
      </c>
      <c r="D23" t="s">
        <v>267</v>
      </c>
    </row>
    <row r="24" spans="1:4" x14ac:dyDescent="0.25">
      <c r="A24" t="s">
        <v>220</v>
      </c>
      <c r="B24">
        <v>163</v>
      </c>
      <c r="C24" t="s">
        <v>266</v>
      </c>
      <c r="D24" t="s">
        <v>267</v>
      </c>
    </row>
    <row r="25" spans="1:4" x14ac:dyDescent="0.25">
      <c r="A25" t="s">
        <v>221</v>
      </c>
      <c r="B25">
        <v>164</v>
      </c>
      <c r="C25" t="s">
        <v>266</v>
      </c>
      <c r="D25" t="s">
        <v>267</v>
      </c>
    </row>
    <row r="26" spans="1:4" x14ac:dyDescent="0.25">
      <c r="A26" t="s">
        <v>222</v>
      </c>
      <c r="B26">
        <v>165</v>
      </c>
      <c r="C26" t="s">
        <v>266</v>
      </c>
      <c r="D26" t="s">
        <v>267</v>
      </c>
    </row>
    <row r="27" spans="1:4" x14ac:dyDescent="0.25">
      <c r="A27" t="s">
        <v>224</v>
      </c>
      <c r="B27">
        <v>168</v>
      </c>
      <c r="C27" t="s">
        <v>266</v>
      </c>
      <c r="D27" t="s">
        <v>267</v>
      </c>
    </row>
    <row r="28" spans="1:4" x14ac:dyDescent="0.25">
      <c r="A28" t="s">
        <v>226</v>
      </c>
      <c r="B28">
        <v>170</v>
      </c>
      <c r="C28" t="s">
        <v>266</v>
      </c>
      <c r="D28" t="s">
        <v>267</v>
      </c>
    </row>
    <row r="29" spans="1:4" x14ac:dyDescent="0.25">
      <c r="A29" t="s">
        <v>227</v>
      </c>
      <c r="B29">
        <v>171</v>
      </c>
      <c r="C29" t="s">
        <v>266</v>
      </c>
      <c r="D29" t="s">
        <v>267</v>
      </c>
    </row>
    <row r="30" spans="1:4" x14ac:dyDescent="0.25">
      <c r="A30" t="s">
        <v>97</v>
      </c>
      <c r="B30">
        <v>172</v>
      </c>
      <c r="C30" t="s">
        <v>266</v>
      </c>
      <c r="D30" t="s">
        <v>267</v>
      </c>
    </row>
    <row r="31" spans="1:4" x14ac:dyDescent="0.25">
      <c r="A31" t="s">
        <v>228</v>
      </c>
      <c r="B31">
        <v>174</v>
      </c>
      <c r="C31" t="s">
        <v>266</v>
      </c>
      <c r="D31" t="s">
        <v>267</v>
      </c>
    </row>
    <row r="34" spans="1:3" x14ac:dyDescent="0.25">
      <c r="A34" t="s">
        <v>246</v>
      </c>
    </row>
    <row r="35" spans="1:3" x14ac:dyDescent="0.25">
      <c r="A35" t="s">
        <v>247</v>
      </c>
    </row>
    <row r="36" spans="1:3" x14ac:dyDescent="0.25">
      <c r="A36" t="s">
        <v>3</v>
      </c>
      <c r="B36">
        <v>3</v>
      </c>
      <c r="C36" t="s">
        <v>268</v>
      </c>
    </row>
    <row r="37" spans="1:3" x14ac:dyDescent="0.25">
      <c r="A37" t="s">
        <v>4</v>
      </c>
      <c r="B37">
        <v>4</v>
      </c>
      <c r="C37" t="s">
        <v>268</v>
      </c>
    </row>
    <row r="38" spans="1:3" x14ac:dyDescent="0.25">
      <c r="A38" t="s">
        <v>5</v>
      </c>
      <c r="B38">
        <v>5</v>
      </c>
      <c r="C38" t="s">
        <v>268</v>
      </c>
    </row>
    <row r="39" spans="1:3" x14ac:dyDescent="0.25">
      <c r="A39" t="s">
        <v>82</v>
      </c>
      <c r="B39">
        <v>139</v>
      </c>
      <c r="C39" t="s">
        <v>268</v>
      </c>
    </row>
    <row r="40" spans="1:3" x14ac:dyDescent="0.25">
      <c r="A40" t="s">
        <v>193</v>
      </c>
      <c r="B40">
        <v>141</v>
      </c>
      <c r="C40" t="s">
        <v>268</v>
      </c>
    </row>
    <row r="41" spans="1:3" x14ac:dyDescent="0.25">
      <c r="A41" t="s">
        <v>84</v>
      </c>
      <c r="B41">
        <v>146</v>
      </c>
      <c r="C41" t="s">
        <v>268</v>
      </c>
    </row>
    <row r="42" spans="1:3" x14ac:dyDescent="0.25">
      <c r="A42" t="s">
        <v>105</v>
      </c>
      <c r="B42">
        <v>6</v>
      </c>
      <c r="C42" t="s">
        <v>268</v>
      </c>
    </row>
    <row r="43" spans="1:3" x14ac:dyDescent="0.25">
      <c r="A43" t="s">
        <v>7</v>
      </c>
      <c r="B43">
        <v>10</v>
      </c>
      <c r="C43" t="s">
        <v>268</v>
      </c>
    </row>
    <row r="44" spans="1:3" x14ac:dyDescent="0.25">
      <c r="A44" t="s">
        <v>113</v>
      </c>
      <c r="B44">
        <v>18</v>
      </c>
      <c r="C44" t="s">
        <v>268</v>
      </c>
    </row>
    <row r="45" spans="1:3" x14ac:dyDescent="0.25">
      <c r="A45" t="s">
        <v>115</v>
      </c>
      <c r="B45">
        <v>20</v>
      </c>
      <c r="C45" t="s">
        <v>268</v>
      </c>
    </row>
    <row r="46" spans="1:3" x14ac:dyDescent="0.25">
      <c r="A46" t="s">
        <v>116</v>
      </c>
      <c r="B46">
        <v>23</v>
      </c>
      <c r="C46" t="s">
        <v>268</v>
      </c>
    </row>
    <row r="47" spans="1:3" x14ac:dyDescent="0.25">
      <c r="A47" t="s">
        <v>17</v>
      </c>
      <c r="B47">
        <v>25</v>
      </c>
      <c r="C47" t="s">
        <v>268</v>
      </c>
    </row>
    <row r="48" spans="1:3" x14ac:dyDescent="0.25">
      <c r="A48" t="s">
        <v>232</v>
      </c>
      <c r="B48">
        <v>26</v>
      </c>
      <c r="C48" t="s">
        <v>268</v>
      </c>
    </row>
    <row r="49" spans="1:3" x14ac:dyDescent="0.25">
      <c r="A49" t="s">
        <v>121</v>
      </c>
      <c r="B49">
        <v>35</v>
      </c>
      <c r="C49" t="s">
        <v>268</v>
      </c>
    </row>
    <row r="50" spans="1:3" x14ac:dyDescent="0.25">
      <c r="A50" t="s">
        <v>24</v>
      </c>
      <c r="B50">
        <v>39</v>
      </c>
      <c r="C50" t="s">
        <v>268</v>
      </c>
    </row>
    <row r="51" spans="1:3" x14ac:dyDescent="0.25">
      <c r="A51" t="s">
        <v>127</v>
      </c>
      <c r="B51">
        <v>40</v>
      </c>
      <c r="C51" t="s">
        <v>268</v>
      </c>
    </row>
    <row r="52" spans="1:3" x14ac:dyDescent="0.25">
      <c r="A52" t="s">
        <v>29</v>
      </c>
      <c r="B52">
        <v>43</v>
      </c>
      <c r="C52" t="s">
        <v>268</v>
      </c>
    </row>
    <row r="53" spans="1:3" x14ac:dyDescent="0.25">
      <c r="A53" t="s">
        <v>131</v>
      </c>
      <c r="B53">
        <v>47</v>
      </c>
      <c r="C53" t="s">
        <v>268</v>
      </c>
    </row>
    <row r="54" spans="1:3" x14ac:dyDescent="0.25">
      <c r="A54" t="s">
        <v>132</v>
      </c>
      <c r="B54">
        <v>48</v>
      </c>
      <c r="C54" t="s">
        <v>268</v>
      </c>
    </row>
    <row r="55" spans="1:3" x14ac:dyDescent="0.25">
      <c r="A55" t="s">
        <v>141</v>
      </c>
      <c r="B55">
        <v>63</v>
      </c>
      <c r="C55" t="s">
        <v>268</v>
      </c>
    </row>
    <row r="56" spans="1:3" x14ac:dyDescent="0.25">
      <c r="A56" t="s">
        <v>43</v>
      </c>
      <c r="B56">
        <v>74</v>
      </c>
      <c r="C56" t="s">
        <v>268</v>
      </c>
    </row>
    <row r="57" spans="1:3" x14ac:dyDescent="0.25">
      <c r="A57" t="s">
        <v>153</v>
      </c>
      <c r="B57">
        <v>80</v>
      </c>
      <c r="C57" t="s">
        <v>268</v>
      </c>
    </row>
    <row r="58" spans="1:3" x14ac:dyDescent="0.25">
      <c r="A58" t="s">
        <v>154</v>
      </c>
      <c r="B58">
        <v>81</v>
      </c>
      <c r="C58" t="s">
        <v>268</v>
      </c>
    </row>
    <row r="59" spans="1:3" x14ac:dyDescent="0.25">
      <c r="A59" t="s">
        <v>45</v>
      </c>
      <c r="B59">
        <v>226</v>
      </c>
      <c r="C59" t="s">
        <v>268</v>
      </c>
    </row>
    <row r="60" spans="1:3" x14ac:dyDescent="0.25">
      <c r="A60" t="s">
        <v>46</v>
      </c>
      <c r="B60">
        <v>83</v>
      </c>
      <c r="C60" t="s">
        <v>268</v>
      </c>
    </row>
    <row r="61" spans="1:3" x14ac:dyDescent="0.25">
      <c r="A61" t="s">
        <v>47</v>
      </c>
      <c r="B61">
        <v>84</v>
      </c>
      <c r="C61" t="s">
        <v>268</v>
      </c>
    </row>
    <row r="62" spans="1:3" x14ac:dyDescent="0.25">
      <c r="A62" t="s">
        <v>52</v>
      </c>
      <c r="B62">
        <v>93</v>
      </c>
      <c r="C62" t="s">
        <v>268</v>
      </c>
    </row>
    <row r="63" spans="1:3" x14ac:dyDescent="0.25">
      <c r="A63" t="s">
        <v>164</v>
      </c>
      <c r="B63">
        <v>97</v>
      </c>
      <c r="C63" t="s">
        <v>268</v>
      </c>
    </row>
    <row r="64" spans="1:3" x14ac:dyDescent="0.25">
      <c r="A64" t="s">
        <v>165</v>
      </c>
      <c r="B64">
        <v>98</v>
      </c>
      <c r="C64" t="s">
        <v>268</v>
      </c>
    </row>
    <row r="65" spans="1:3" x14ac:dyDescent="0.25">
      <c r="A65" t="s">
        <v>166</v>
      </c>
      <c r="B65">
        <v>99</v>
      </c>
      <c r="C65" t="s">
        <v>268</v>
      </c>
    </row>
    <row r="66" spans="1:3" x14ac:dyDescent="0.25">
      <c r="A66" t="s">
        <v>57</v>
      </c>
      <c r="B66">
        <v>102</v>
      </c>
      <c r="C66" t="s">
        <v>268</v>
      </c>
    </row>
    <row r="67" spans="1:3" x14ac:dyDescent="0.25">
      <c r="A67" t="s">
        <v>168</v>
      </c>
      <c r="B67">
        <v>105</v>
      </c>
      <c r="C67" t="s">
        <v>268</v>
      </c>
    </row>
    <row r="68" spans="1:3" x14ac:dyDescent="0.25">
      <c r="A68" t="s">
        <v>169</v>
      </c>
      <c r="B68">
        <v>106</v>
      </c>
      <c r="C68" t="s">
        <v>268</v>
      </c>
    </row>
    <row r="69" spans="1:3" x14ac:dyDescent="0.25">
      <c r="A69" t="s">
        <v>63</v>
      </c>
      <c r="B69">
        <v>111</v>
      </c>
      <c r="C69" t="s">
        <v>268</v>
      </c>
    </row>
    <row r="70" spans="1:3" x14ac:dyDescent="0.25">
      <c r="A70" t="s">
        <v>65</v>
      </c>
      <c r="B70">
        <v>113</v>
      </c>
      <c r="C70" t="s">
        <v>268</v>
      </c>
    </row>
    <row r="71" spans="1:3" x14ac:dyDescent="0.25">
      <c r="A71" t="s">
        <v>174</v>
      </c>
      <c r="B71">
        <v>117</v>
      </c>
      <c r="C71" t="s">
        <v>268</v>
      </c>
    </row>
    <row r="72" spans="1:3" x14ac:dyDescent="0.25">
      <c r="A72" t="s">
        <v>68</v>
      </c>
      <c r="B72">
        <v>118</v>
      </c>
      <c r="C72" t="s">
        <v>268</v>
      </c>
    </row>
    <row r="73" spans="1:3" x14ac:dyDescent="0.25">
      <c r="A73" t="s">
        <v>72</v>
      </c>
      <c r="B73">
        <v>231</v>
      </c>
      <c r="C73" t="s">
        <v>268</v>
      </c>
    </row>
    <row r="74" spans="1:3" x14ac:dyDescent="0.25">
      <c r="A74" t="s">
        <v>180</v>
      </c>
      <c r="B74">
        <v>126</v>
      </c>
      <c r="C74" t="s">
        <v>268</v>
      </c>
    </row>
    <row r="75" spans="1:3" x14ac:dyDescent="0.25">
      <c r="A75" t="s">
        <v>187</v>
      </c>
      <c r="B75">
        <v>134</v>
      </c>
      <c r="C75" t="s">
        <v>268</v>
      </c>
    </row>
    <row r="76" spans="1:3" x14ac:dyDescent="0.25">
      <c r="A76" t="s">
        <v>190</v>
      </c>
      <c r="B76">
        <v>136</v>
      </c>
      <c r="C76" t="s">
        <v>268</v>
      </c>
    </row>
    <row r="77" spans="1:3" x14ac:dyDescent="0.25">
      <c r="A77" t="s">
        <v>82</v>
      </c>
      <c r="B77">
        <v>139</v>
      </c>
      <c r="C77" t="s">
        <v>268</v>
      </c>
    </row>
    <row r="78" spans="1:3" x14ac:dyDescent="0.25">
      <c r="A78" t="s">
        <v>193</v>
      </c>
      <c r="B78">
        <v>141</v>
      </c>
      <c r="C78" t="s">
        <v>268</v>
      </c>
    </row>
    <row r="79" spans="1:3" x14ac:dyDescent="0.25">
      <c r="A79" t="s">
        <v>84</v>
      </c>
      <c r="B79">
        <v>146</v>
      </c>
      <c r="C79" t="s">
        <v>268</v>
      </c>
    </row>
    <row r="80" spans="1:3" x14ac:dyDescent="0.25">
      <c r="A80" t="s">
        <v>85</v>
      </c>
      <c r="B80">
        <v>147</v>
      </c>
      <c r="C80" t="s">
        <v>268</v>
      </c>
    </row>
    <row r="81" spans="1:4" x14ac:dyDescent="0.25">
      <c r="A81" t="s">
        <v>89</v>
      </c>
      <c r="B81">
        <v>153</v>
      </c>
      <c r="C81" t="s">
        <v>268</v>
      </c>
    </row>
    <row r="82" spans="1:4" x14ac:dyDescent="0.25">
      <c r="A82" t="s">
        <v>212</v>
      </c>
      <c r="B82">
        <v>235</v>
      </c>
      <c r="C82" t="s">
        <v>268</v>
      </c>
    </row>
    <row r="83" spans="1:4" x14ac:dyDescent="0.25">
      <c r="A83" t="s">
        <v>248</v>
      </c>
      <c r="B83">
        <v>155</v>
      </c>
      <c r="C83" t="s">
        <v>268</v>
      </c>
    </row>
    <row r="84" spans="1:4" x14ac:dyDescent="0.25">
      <c r="A84" t="s">
        <v>215</v>
      </c>
      <c r="B84">
        <v>156</v>
      </c>
      <c r="C84" t="s">
        <v>268</v>
      </c>
    </row>
    <row r="85" spans="1:4" x14ac:dyDescent="0.25">
      <c r="A85" t="s">
        <v>93</v>
      </c>
      <c r="B85">
        <v>158</v>
      </c>
      <c r="C85" t="s">
        <v>268</v>
      </c>
    </row>
    <row r="86" spans="1:4" x14ac:dyDescent="0.25">
      <c r="A86" t="s">
        <v>217</v>
      </c>
      <c r="B86">
        <v>159</v>
      </c>
      <c r="C86" t="s">
        <v>268</v>
      </c>
    </row>
    <row r="87" spans="1:4" x14ac:dyDescent="0.25">
      <c r="A87" t="s">
        <v>249</v>
      </c>
      <c r="B87">
        <v>161</v>
      </c>
      <c r="C87" t="s">
        <v>268</v>
      </c>
    </row>
    <row r="88" spans="1:4" x14ac:dyDescent="0.25">
      <c r="A88" t="s">
        <v>99</v>
      </c>
      <c r="B88">
        <v>175</v>
      </c>
      <c r="C88" t="s">
        <v>268</v>
      </c>
    </row>
    <row r="89" spans="1:4" x14ac:dyDescent="0.25">
      <c r="A89" t="s">
        <v>101</v>
      </c>
      <c r="B89">
        <v>178</v>
      </c>
      <c r="C89" t="s">
        <v>268</v>
      </c>
    </row>
    <row r="91" spans="1:4" x14ac:dyDescent="0.25">
      <c r="A91" t="s">
        <v>250</v>
      </c>
    </row>
    <row r="92" spans="1:4" x14ac:dyDescent="0.25">
      <c r="A92" t="s">
        <v>244</v>
      </c>
    </row>
    <row r="93" spans="1:4" x14ac:dyDescent="0.25">
      <c r="A93" t="s">
        <v>106</v>
      </c>
      <c r="B93">
        <v>7</v>
      </c>
      <c r="C93" t="s">
        <v>269</v>
      </c>
      <c r="D93" t="s">
        <v>75</v>
      </c>
    </row>
    <row r="94" spans="1:4" x14ac:dyDescent="0.25">
      <c r="A94" t="s">
        <v>104</v>
      </c>
      <c r="B94">
        <v>237</v>
      </c>
      <c r="C94" t="s">
        <v>269</v>
      </c>
      <c r="D94" t="s">
        <v>75</v>
      </c>
    </row>
    <row r="95" spans="1:4" x14ac:dyDescent="0.25">
      <c r="A95" t="s">
        <v>1</v>
      </c>
      <c r="B95">
        <v>1</v>
      </c>
      <c r="C95" t="s">
        <v>269</v>
      </c>
      <c r="D95" t="s">
        <v>75</v>
      </c>
    </row>
    <row r="96" spans="1:4" x14ac:dyDescent="0.25">
      <c r="A96" t="s">
        <v>11</v>
      </c>
      <c r="B96">
        <v>14</v>
      </c>
      <c r="C96" t="s">
        <v>269</v>
      </c>
      <c r="D96" t="s">
        <v>75</v>
      </c>
    </row>
    <row r="97" spans="1:4" x14ac:dyDescent="0.25">
      <c r="A97" t="s">
        <v>251</v>
      </c>
      <c r="B97">
        <v>15</v>
      </c>
      <c r="C97" t="s">
        <v>269</v>
      </c>
      <c r="D97" t="s">
        <v>75</v>
      </c>
    </row>
    <row r="98" spans="1:4" x14ac:dyDescent="0.25">
      <c r="A98" t="s">
        <v>14</v>
      </c>
      <c r="B98">
        <v>19</v>
      </c>
      <c r="C98" t="s">
        <v>269</v>
      </c>
      <c r="D98" t="s">
        <v>75</v>
      </c>
    </row>
    <row r="99" spans="1:4" x14ac:dyDescent="0.25">
      <c r="A99" t="s">
        <v>22</v>
      </c>
      <c r="B99">
        <v>34</v>
      </c>
      <c r="C99" t="s">
        <v>269</v>
      </c>
      <c r="D99" t="s">
        <v>75</v>
      </c>
    </row>
    <row r="100" spans="1:4" x14ac:dyDescent="0.25">
      <c r="A100" t="s">
        <v>127</v>
      </c>
      <c r="B100">
        <v>40</v>
      </c>
      <c r="C100" t="s">
        <v>269</v>
      </c>
      <c r="D100" t="s">
        <v>75</v>
      </c>
    </row>
    <row r="101" spans="1:4" x14ac:dyDescent="0.25">
      <c r="A101" t="s">
        <v>27</v>
      </c>
      <c r="B101">
        <v>42</v>
      </c>
      <c r="C101" t="s">
        <v>269</v>
      </c>
      <c r="D101" t="s">
        <v>75</v>
      </c>
    </row>
    <row r="102" spans="1:4" x14ac:dyDescent="0.25">
      <c r="A102" t="s">
        <v>129</v>
      </c>
      <c r="B102">
        <v>44</v>
      </c>
      <c r="C102" t="s">
        <v>269</v>
      </c>
      <c r="D102" t="s">
        <v>75</v>
      </c>
    </row>
    <row r="103" spans="1:4" x14ac:dyDescent="0.25">
      <c r="A103" t="s">
        <v>130</v>
      </c>
      <c r="B103">
        <v>45</v>
      </c>
      <c r="C103" t="s">
        <v>269</v>
      </c>
      <c r="D103" t="s">
        <v>75</v>
      </c>
    </row>
    <row r="104" spans="1:4" x14ac:dyDescent="0.25">
      <c r="A104" t="s">
        <v>31</v>
      </c>
      <c r="B104">
        <v>51</v>
      </c>
      <c r="C104" t="s">
        <v>269</v>
      </c>
      <c r="D104" t="s">
        <v>75</v>
      </c>
    </row>
    <row r="105" spans="1:4" x14ac:dyDescent="0.25">
      <c r="A105" t="s">
        <v>32</v>
      </c>
      <c r="B105">
        <v>53</v>
      </c>
      <c r="C105" t="s">
        <v>269</v>
      </c>
      <c r="D105" t="s">
        <v>75</v>
      </c>
    </row>
    <row r="106" spans="1:4" x14ac:dyDescent="0.25">
      <c r="A106" t="s">
        <v>40</v>
      </c>
      <c r="B106">
        <v>66</v>
      </c>
      <c r="C106" t="s">
        <v>269</v>
      </c>
      <c r="D106" t="s">
        <v>75</v>
      </c>
    </row>
    <row r="107" spans="1:4" x14ac:dyDescent="0.25">
      <c r="A107" t="s">
        <v>136</v>
      </c>
      <c r="B107">
        <v>54</v>
      </c>
      <c r="C107" t="s">
        <v>269</v>
      </c>
      <c r="D107" t="s">
        <v>75</v>
      </c>
    </row>
    <row r="108" spans="1:4" x14ac:dyDescent="0.25">
      <c r="A108" t="s">
        <v>33</v>
      </c>
      <c r="B108">
        <v>55</v>
      </c>
      <c r="C108" t="s">
        <v>269</v>
      </c>
      <c r="D108" t="s">
        <v>75</v>
      </c>
    </row>
    <row r="109" spans="1:4" x14ac:dyDescent="0.25">
      <c r="A109" t="s">
        <v>138</v>
      </c>
      <c r="B109">
        <v>57</v>
      </c>
      <c r="C109" t="s">
        <v>269</v>
      </c>
      <c r="D109" t="s">
        <v>75</v>
      </c>
    </row>
    <row r="110" spans="1:4" x14ac:dyDescent="0.25">
      <c r="A110" t="s">
        <v>38</v>
      </c>
      <c r="B110">
        <v>61</v>
      </c>
      <c r="C110" t="s">
        <v>269</v>
      </c>
      <c r="D110" t="s">
        <v>75</v>
      </c>
    </row>
    <row r="111" spans="1:4" x14ac:dyDescent="0.25">
      <c r="A111" t="s">
        <v>143</v>
      </c>
      <c r="B111">
        <v>68</v>
      </c>
      <c r="C111" t="s">
        <v>269</v>
      </c>
      <c r="D111" t="s">
        <v>75</v>
      </c>
    </row>
    <row r="112" spans="1:4" x14ac:dyDescent="0.25">
      <c r="A112" t="s">
        <v>146</v>
      </c>
      <c r="B112">
        <v>72</v>
      </c>
      <c r="C112" t="s">
        <v>269</v>
      </c>
      <c r="D112" t="s">
        <v>75</v>
      </c>
    </row>
    <row r="113" spans="1:4" x14ac:dyDescent="0.25">
      <c r="A113" t="s">
        <v>44</v>
      </c>
      <c r="B113">
        <v>75</v>
      </c>
      <c r="C113" t="s">
        <v>269</v>
      </c>
      <c r="D113" t="s">
        <v>75</v>
      </c>
    </row>
    <row r="114" spans="1:4" x14ac:dyDescent="0.25">
      <c r="A114" t="s">
        <v>150</v>
      </c>
      <c r="B114">
        <v>77</v>
      </c>
      <c r="C114" t="s">
        <v>269</v>
      </c>
      <c r="D114" t="s">
        <v>75</v>
      </c>
    </row>
    <row r="115" spans="1:4" x14ac:dyDescent="0.25">
      <c r="A115" t="s">
        <v>151</v>
      </c>
      <c r="B115">
        <v>78</v>
      </c>
      <c r="C115" t="s">
        <v>269</v>
      </c>
      <c r="D115" t="s">
        <v>75</v>
      </c>
    </row>
    <row r="116" spans="1:4" x14ac:dyDescent="0.25">
      <c r="A116" t="s">
        <v>156</v>
      </c>
      <c r="B116">
        <v>241</v>
      </c>
      <c r="C116" t="s">
        <v>269</v>
      </c>
      <c r="D116" t="s">
        <v>75</v>
      </c>
    </row>
    <row r="117" spans="1:4" x14ac:dyDescent="0.25">
      <c r="A117" t="s">
        <v>157</v>
      </c>
      <c r="B117">
        <v>85</v>
      </c>
      <c r="C117" t="s">
        <v>269</v>
      </c>
      <c r="D117" t="s">
        <v>75</v>
      </c>
    </row>
    <row r="118" spans="1:4" x14ac:dyDescent="0.25">
      <c r="A118" t="s">
        <v>158</v>
      </c>
      <c r="B118">
        <v>86</v>
      </c>
      <c r="C118" t="s">
        <v>269</v>
      </c>
      <c r="D118" t="s">
        <v>75</v>
      </c>
    </row>
    <row r="119" spans="1:4" x14ac:dyDescent="0.25">
      <c r="A119" t="s">
        <v>48</v>
      </c>
      <c r="B119">
        <v>87</v>
      </c>
      <c r="C119" t="s">
        <v>269</v>
      </c>
      <c r="D119" t="s">
        <v>75</v>
      </c>
    </row>
    <row r="120" spans="1:4" x14ac:dyDescent="0.25">
      <c r="A120" t="s">
        <v>50</v>
      </c>
      <c r="B120">
        <v>89</v>
      </c>
      <c r="C120" t="s">
        <v>269</v>
      </c>
      <c r="D120" t="s">
        <v>75</v>
      </c>
    </row>
    <row r="121" spans="1:4" x14ac:dyDescent="0.25">
      <c r="A121" t="s">
        <v>160</v>
      </c>
      <c r="B121">
        <v>90</v>
      </c>
      <c r="C121" t="s">
        <v>269</v>
      </c>
      <c r="D121" t="s">
        <v>75</v>
      </c>
    </row>
    <row r="122" spans="1:4" x14ac:dyDescent="0.25">
      <c r="A122" t="s">
        <v>161</v>
      </c>
      <c r="B122">
        <v>91</v>
      </c>
      <c r="C122" t="s">
        <v>269</v>
      </c>
      <c r="D122" t="s">
        <v>75</v>
      </c>
    </row>
    <row r="123" spans="1:4" x14ac:dyDescent="0.25">
      <c r="A123" t="s">
        <v>51</v>
      </c>
      <c r="B123">
        <v>92</v>
      </c>
      <c r="C123" t="s">
        <v>269</v>
      </c>
      <c r="D123" t="s">
        <v>75</v>
      </c>
    </row>
    <row r="124" spans="1:4" x14ac:dyDescent="0.25">
      <c r="A124" t="s">
        <v>163</v>
      </c>
      <c r="B124">
        <v>94</v>
      </c>
      <c r="C124" t="s">
        <v>269</v>
      </c>
      <c r="D124" t="s">
        <v>75</v>
      </c>
    </row>
    <row r="125" spans="1:4" x14ac:dyDescent="0.25">
      <c r="A125" t="s">
        <v>56</v>
      </c>
      <c r="B125">
        <v>101</v>
      </c>
      <c r="C125" t="s">
        <v>269</v>
      </c>
      <c r="D125" t="s">
        <v>75</v>
      </c>
    </row>
    <row r="126" spans="1:4" x14ac:dyDescent="0.25">
      <c r="A126" t="s">
        <v>252</v>
      </c>
      <c r="B126">
        <v>103</v>
      </c>
      <c r="C126" t="s">
        <v>269</v>
      </c>
      <c r="D126" t="s">
        <v>75</v>
      </c>
    </row>
    <row r="127" spans="1:4" x14ac:dyDescent="0.25">
      <c r="A127" t="s">
        <v>170</v>
      </c>
      <c r="B127">
        <v>107</v>
      </c>
      <c r="C127" t="s">
        <v>269</v>
      </c>
      <c r="D127" t="s">
        <v>75</v>
      </c>
    </row>
    <row r="128" spans="1:4" x14ac:dyDescent="0.25">
      <c r="A128" t="s">
        <v>62</v>
      </c>
      <c r="B128">
        <v>109</v>
      </c>
      <c r="C128" t="s">
        <v>269</v>
      </c>
      <c r="D128" t="s">
        <v>75</v>
      </c>
    </row>
    <row r="129" spans="1:4" x14ac:dyDescent="0.25">
      <c r="A129" t="s">
        <v>66</v>
      </c>
      <c r="B129">
        <v>114</v>
      </c>
      <c r="C129" t="s">
        <v>269</v>
      </c>
      <c r="D129" t="s">
        <v>75</v>
      </c>
    </row>
    <row r="130" spans="1:4" x14ac:dyDescent="0.25">
      <c r="A130" t="s">
        <v>176</v>
      </c>
      <c r="B130">
        <v>120</v>
      </c>
      <c r="C130" t="s">
        <v>269</v>
      </c>
      <c r="D130" t="s">
        <v>75</v>
      </c>
    </row>
    <row r="131" spans="1:4" x14ac:dyDescent="0.25">
      <c r="A131" t="s">
        <v>177</v>
      </c>
      <c r="B131">
        <v>122</v>
      </c>
      <c r="C131" t="s">
        <v>269</v>
      </c>
      <c r="D131" t="s">
        <v>75</v>
      </c>
    </row>
    <row r="132" spans="1:4" x14ac:dyDescent="0.25">
      <c r="A132" t="s">
        <v>253</v>
      </c>
      <c r="B132">
        <v>127</v>
      </c>
      <c r="C132" t="s">
        <v>269</v>
      </c>
      <c r="D132" t="s">
        <v>75</v>
      </c>
    </row>
    <row r="133" spans="1:4" x14ac:dyDescent="0.25">
      <c r="A133" t="s">
        <v>184</v>
      </c>
      <c r="B133">
        <v>129</v>
      </c>
      <c r="C133" t="s">
        <v>269</v>
      </c>
      <c r="D133" t="s">
        <v>75</v>
      </c>
    </row>
    <row r="134" spans="1:4" x14ac:dyDescent="0.25">
      <c r="A134" t="s">
        <v>185</v>
      </c>
      <c r="B134">
        <v>130</v>
      </c>
      <c r="C134" t="s">
        <v>269</v>
      </c>
      <c r="D134" t="s">
        <v>75</v>
      </c>
    </row>
    <row r="135" spans="1:4" x14ac:dyDescent="0.25">
      <c r="A135" t="s">
        <v>75</v>
      </c>
      <c r="B135">
        <v>131</v>
      </c>
      <c r="C135" t="s">
        <v>269</v>
      </c>
      <c r="D135" t="s">
        <v>75</v>
      </c>
    </row>
    <row r="136" spans="1:4" x14ac:dyDescent="0.25">
      <c r="A136" t="s">
        <v>186</v>
      </c>
      <c r="B136">
        <v>133</v>
      </c>
      <c r="C136" t="s">
        <v>269</v>
      </c>
      <c r="D136" t="s">
        <v>75</v>
      </c>
    </row>
    <row r="137" spans="1:4" x14ac:dyDescent="0.25">
      <c r="A137" t="s">
        <v>191</v>
      </c>
      <c r="B137">
        <v>138</v>
      </c>
      <c r="C137" t="s">
        <v>269</v>
      </c>
      <c r="D137" t="s">
        <v>75</v>
      </c>
    </row>
    <row r="138" spans="1:4" x14ac:dyDescent="0.25">
      <c r="A138" t="s">
        <v>192</v>
      </c>
      <c r="B138">
        <v>140</v>
      </c>
      <c r="C138" t="s">
        <v>269</v>
      </c>
      <c r="D138" t="s">
        <v>75</v>
      </c>
    </row>
    <row r="139" spans="1:4" x14ac:dyDescent="0.25">
      <c r="A139" t="s">
        <v>194</v>
      </c>
      <c r="B139">
        <v>142</v>
      </c>
      <c r="C139" t="s">
        <v>269</v>
      </c>
      <c r="D139" t="s">
        <v>75</v>
      </c>
    </row>
    <row r="140" spans="1:4" x14ac:dyDescent="0.25">
      <c r="A140" t="s">
        <v>195</v>
      </c>
      <c r="B140">
        <v>143</v>
      </c>
      <c r="C140" t="s">
        <v>269</v>
      </c>
      <c r="D140" t="s">
        <v>75</v>
      </c>
    </row>
    <row r="141" spans="1:4" x14ac:dyDescent="0.25">
      <c r="A141" t="s">
        <v>216</v>
      </c>
      <c r="B141">
        <v>157</v>
      </c>
      <c r="C141" t="s">
        <v>269</v>
      </c>
      <c r="D141" t="s">
        <v>75</v>
      </c>
    </row>
    <row r="142" spans="1:4" x14ac:dyDescent="0.25">
      <c r="A142" t="s">
        <v>218</v>
      </c>
      <c r="B142">
        <v>160</v>
      </c>
      <c r="C142" t="s">
        <v>269</v>
      </c>
      <c r="D142" t="s">
        <v>75</v>
      </c>
    </row>
    <row r="143" spans="1:4" x14ac:dyDescent="0.25">
      <c r="A143" t="s">
        <v>219</v>
      </c>
      <c r="B143">
        <v>162</v>
      </c>
      <c r="C143" t="s">
        <v>269</v>
      </c>
      <c r="D143" t="s">
        <v>75</v>
      </c>
    </row>
    <row r="144" spans="1:4" x14ac:dyDescent="0.25">
      <c r="A144" t="s">
        <v>220</v>
      </c>
      <c r="B144">
        <v>163</v>
      </c>
      <c r="C144" t="s">
        <v>269</v>
      </c>
      <c r="D144" t="s">
        <v>75</v>
      </c>
    </row>
    <row r="145" spans="1:4" x14ac:dyDescent="0.25">
      <c r="A145" t="s">
        <v>96</v>
      </c>
      <c r="B145">
        <v>166</v>
      </c>
      <c r="C145" t="s">
        <v>269</v>
      </c>
      <c r="D145" t="s">
        <v>75</v>
      </c>
    </row>
    <row r="146" spans="1:4" x14ac:dyDescent="0.25">
      <c r="A146" t="s">
        <v>223</v>
      </c>
      <c r="B146">
        <v>167</v>
      </c>
      <c r="C146" t="s">
        <v>269</v>
      </c>
      <c r="D146" t="s">
        <v>75</v>
      </c>
    </row>
    <row r="147" spans="1:4" x14ac:dyDescent="0.25">
      <c r="A147" t="s">
        <v>254</v>
      </c>
      <c r="B147">
        <v>169</v>
      </c>
      <c r="C147" t="s">
        <v>269</v>
      </c>
      <c r="D147" t="s">
        <v>75</v>
      </c>
    </row>
    <row r="149" spans="1:4" x14ac:dyDescent="0.25">
      <c r="A149" t="s">
        <v>255</v>
      </c>
    </row>
    <row r="150" spans="1:4" x14ac:dyDescent="0.25">
      <c r="A150" t="s">
        <v>244</v>
      </c>
    </row>
    <row r="151" spans="1:4" x14ac:dyDescent="0.25">
      <c r="A151" t="s">
        <v>256</v>
      </c>
      <c r="B151">
        <v>21</v>
      </c>
      <c r="C151" t="s">
        <v>270</v>
      </c>
    </row>
    <row r="152" spans="1:4" x14ac:dyDescent="0.25">
      <c r="A152" t="s">
        <v>257</v>
      </c>
      <c r="B152">
        <v>22</v>
      </c>
      <c r="C152" t="s">
        <v>270</v>
      </c>
    </row>
    <row r="153" spans="1:4" x14ac:dyDescent="0.25">
      <c r="A153" t="s">
        <v>19</v>
      </c>
      <c r="B153">
        <v>27</v>
      </c>
      <c r="C153" t="s">
        <v>270</v>
      </c>
    </row>
    <row r="154" spans="1:4" x14ac:dyDescent="0.25">
      <c r="A154" t="s">
        <v>127</v>
      </c>
      <c r="B154">
        <v>40</v>
      </c>
      <c r="C154" t="s">
        <v>270</v>
      </c>
    </row>
    <row r="155" spans="1:4" x14ac:dyDescent="0.25">
      <c r="A155" t="s">
        <v>30</v>
      </c>
      <c r="B155">
        <v>223</v>
      </c>
      <c r="C155" t="s">
        <v>270</v>
      </c>
    </row>
    <row r="156" spans="1:4" x14ac:dyDescent="0.25">
      <c r="A156" t="s">
        <v>54</v>
      </c>
      <c r="B156">
        <v>96</v>
      </c>
      <c r="C156" t="s">
        <v>270</v>
      </c>
    </row>
    <row r="157" spans="1:4" x14ac:dyDescent="0.25">
      <c r="A157" t="s">
        <v>164</v>
      </c>
      <c r="B157">
        <v>97</v>
      </c>
      <c r="C157" t="s">
        <v>270</v>
      </c>
    </row>
    <row r="158" spans="1:4" x14ac:dyDescent="0.25">
      <c r="A158" t="s">
        <v>166</v>
      </c>
      <c r="B158">
        <v>99</v>
      </c>
      <c r="C158" t="s">
        <v>270</v>
      </c>
    </row>
    <row r="159" spans="1:4" x14ac:dyDescent="0.25">
      <c r="A159" t="s">
        <v>60</v>
      </c>
      <c r="B159">
        <v>108</v>
      </c>
      <c r="C159" t="s">
        <v>270</v>
      </c>
    </row>
    <row r="160" spans="1:4" x14ac:dyDescent="0.25">
      <c r="A160" t="s">
        <v>62</v>
      </c>
      <c r="B160">
        <v>109</v>
      </c>
      <c r="C160" t="s">
        <v>270</v>
      </c>
    </row>
    <row r="161" spans="1:3" x14ac:dyDescent="0.25">
      <c r="A161" t="s">
        <v>171</v>
      </c>
      <c r="B161">
        <v>110</v>
      </c>
      <c r="C161" t="s">
        <v>270</v>
      </c>
    </row>
    <row r="162" spans="1:3" x14ac:dyDescent="0.25">
      <c r="A162" t="s">
        <v>63</v>
      </c>
      <c r="B162">
        <v>111</v>
      </c>
      <c r="C162" t="s">
        <v>270</v>
      </c>
    </row>
    <row r="163" spans="1:3" x14ac:dyDescent="0.25">
      <c r="A163" t="s">
        <v>64</v>
      </c>
      <c r="B163">
        <v>112</v>
      </c>
      <c r="C163" t="s">
        <v>270</v>
      </c>
    </row>
    <row r="164" spans="1:3" x14ac:dyDescent="0.25">
      <c r="A164" t="s">
        <v>65</v>
      </c>
      <c r="B164">
        <v>113</v>
      </c>
      <c r="C164" t="s">
        <v>270</v>
      </c>
    </row>
    <row r="165" spans="1:3" x14ac:dyDescent="0.25">
      <c r="A165" t="s">
        <v>185</v>
      </c>
      <c r="B165">
        <v>130</v>
      </c>
      <c r="C165" t="s">
        <v>270</v>
      </c>
    </row>
    <row r="166" spans="1:3" x14ac:dyDescent="0.25">
      <c r="A166" t="s">
        <v>200</v>
      </c>
      <c r="B166">
        <v>144</v>
      </c>
      <c r="C166" t="s">
        <v>270</v>
      </c>
    </row>
    <row r="167" spans="1:3" x14ac:dyDescent="0.25">
      <c r="A167" t="s">
        <v>209</v>
      </c>
      <c r="B167">
        <v>149</v>
      </c>
      <c r="C167" t="s">
        <v>270</v>
      </c>
    </row>
    <row r="168" spans="1:3" x14ac:dyDescent="0.25">
      <c r="A168" t="s">
        <v>213</v>
      </c>
      <c r="B168">
        <v>154</v>
      </c>
      <c r="C168" t="s">
        <v>270</v>
      </c>
    </row>
    <row r="169" spans="1:3" x14ac:dyDescent="0.25">
      <c r="A169" t="s">
        <v>214</v>
      </c>
      <c r="B169">
        <v>155</v>
      </c>
      <c r="C169" t="s">
        <v>270</v>
      </c>
    </row>
    <row r="170" spans="1:3" x14ac:dyDescent="0.25">
      <c r="A170" t="s">
        <v>215</v>
      </c>
      <c r="B170">
        <v>156</v>
      </c>
      <c r="C170" t="s">
        <v>270</v>
      </c>
    </row>
    <row r="171" spans="1:3" x14ac:dyDescent="0.25">
      <c r="A171" t="s">
        <v>218</v>
      </c>
      <c r="B171">
        <v>160</v>
      </c>
      <c r="C171" t="s">
        <v>270</v>
      </c>
    </row>
    <row r="172" spans="1:3" x14ac:dyDescent="0.25">
      <c r="A172" t="s">
        <v>220</v>
      </c>
      <c r="B172">
        <v>163</v>
      </c>
      <c r="C172" t="s">
        <v>270</v>
      </c>
    </row>
    <row r="173" spans="1:3" x14ac:dyDescent="0.25">
      <c r="A173" t="s">
        <v>227</v>
      </c>
      <c r="B173">
        <v>171</v>
      </c>
      <c r="C173" t="s">
        <v>270</v>
      </c>
    </row>
    <row r="175" spans="1:3" x14ac:dyDescent="0.25">
      <c r="A175" t="s">
        <v>258</v>
      </c>
    </row>
    <row r="176" spans="1:3" x14ac:dyDescent="0.25">
      <c r="A176" t="s">
        <v>244</v>
      </c>
    </row>
    <row r="177" spans="1:3" x14ac:dyDescent="0.25">
      <c r="A177" t="s">
        <v>245</v>
      </c>
      <c r="B177">
        <v>12</v>
      </c>
      <c r="C177" t="s">
        <v>271</v>
      </c>
    </row>
    <row r="178" spans="1:3" x14ac:dyDescent="0.25">
      <c r="A178" t="s">
        <v>11</v>
      </c>
      <c r="B178">
        <v>14</v>
      </c>
      <c r="C178" t="s">
        <v>271</v>
      </c>
    </row>
    <row r="179" spans="1:3" x14ac:dyDescent="0.25">
      <c r="A179" t="s">
        <v>186</v>
      </c>
      <c r="B179">
        <v>133</v>
      </c>
      <c r="C179" t="s">
        <v>271</v>
      </c>
    </row>
    <row r="180" spans="1:3" x14ac:dyDescent="0.25">
      <c r="A180" t="s">
        <v>207</v>
      </c>
      <c r="B180">
        <v>145</v>
      </c>
      <c r="C180" t="s">
        <v>271</v>
      </c>
    </row>
    <row r="181" spans="1:3" x14ac:dyDescent="0.25">
      <c r="A181" t="s">
        <v>221</v>
      </c>
      <c r="B181">
        <v>164</v>
      </c>
      <c r="C181" t="s">
        <v>271</v>
      </c>
    </row>
    <row r="182" spans="1:3" x14ac:dyDescent="0.25">
      <c r="A182" t="s">
        <v>222</v>
      </c>
      <c r="B182">
        <v>165</v>
      </c>
      <c r="C182" t="s">
        <v>271</v>
      </c>
    </row>
    <row r="183" spans="1:3" x14ac:dyDescent="0.25">
      <c r="A183" t="s">
        <v>228</v>
      </c>
      <c r="B183">
        <v>174</v>
      </c>
      <c r="C183" t="s">
        <v>271</v>
      </c>
    </row>
    <row r="185" spans="1:3" x14ac:dyDescent="0.25">
      <c r="A185" t="s">
        <v>259</v>
      </c>
    </row>
    <row r="186" spans="1:3" x14ac:dyDescent="0.25">
      <c r="A186" t="s">
        <v>244</v>
      </c>
    </row>
    <row r="187" spans="1:3" x14ac:dyDescent="0.25">
      <c r="A187" t="s">
        <v>106</v>
      </c>
      <c r="B187">
        <v>7</v>
      </c>
      <c r="C187" t="s">
        <v>272</v>
      </c>
    </row>
    <row r="188" spans="1:3" x14ac:dyDescent="0.25">
      <c r="A188" t="s">
        <v>107</v>
      </c>
      <c r="B188">
        <v>8</v>
      </c>
      <c r="C188" t="s">
        <v>272</v>
      </c>
    </row>
    <row r="189" spans="1:3" x14ac:dyDescent="0.25">
      <c r="A189" t="s">
        <v>6</v>
      </c>
      <c r="B189">
        <v>9</v>
      </c>
      <c r="C189" t="s">
        <v>272</v>
      </c>
    </row>
    <row r="190" spans="1:3" x14ac:dyDescent="0.25">
      <c r="A190" t="s">
        <v>260</v>
      </c>
      <c r="B190">
        <v>16</v>
      </c>
      <c r="C190" t="s">
        <v>272</v>
      </c>
    </row>
    <row r="191" spans="1:3" x14ac:dyDescent="0.25">
      <c r="A191" t="s">
        <v>13</v>
      </c>
      <c r="B191">
        <v>17</v>
      </c>
      <c r="C191" t="s">
        <v>272</v>
      </c>
    </row>
    <row r="192" spans="1:3" x14ac:dyDescent="0.25">
      <c r="A192" t="s">
        <v>19</v>
      </c>
      <c r="B192">
        <v>27</v>
      </c>
      <c r="C192" t="s">
        <v>272</v>
      </c>
    </row>
    <row r="193" spans="1:3" x14ac:dyDescent="0.25">
      <c r="A193" t="s">
        <v>21</v>
      </c>
      <c r="B193">
        <v>32</v>
      </c>
      <c r="C193" t="s">
        <v>272</v>
      </c>
    </row>
    <row r="194" spans="1:3" x14ac:dyDescent="0.25">
      <c r="A194" t="s">
        <v>128</v>
      </c>
      <c r="B194">
        <v>41</v>
      </c>
      <c r="C194" t="s">
        <v>272</v>
      </c>
    </row>
    <row r="195" spans="1:3" x14ac:dyDescent="0.25">
      <c r="A195" t="s">
        <v>29</v>
      </c>
      <c r="B195">
        <v>43</v>
      </c>
      <c r="C195" t="s">
        <v>272</v>
      </c>
    </row>
    <row r="196" spans="1:3" x14ac:dyDescent="0.25">
      <c r="A196" t="s">
        <v>132</v>
      </c>
      <c r="B196">
        <v>48</v>
      </c>
      <c r="C196" t="s">
        <v>272</v>
      </c>
    </row>
    <row r="197" spans="1:3" x14ac:dyDescent="0.25">
      <c r="A197" t="s">
        <v>32</v>
      </c>
      <c r="B197">
        <v>53</v>
      </c>
      <c r="C197" t="s">
        <v>272</v>
      </c>
    </row>
    <row r="198" spans="1:3" x14ac:dyDescent="0.25">
      <c r="A198" t="s">
        <v>136</v>
      </c>
      <c r="B198">
        <v>54</v>
      </c>
      <c r="C198" t="s">
        <v>272</v>
      </c>
    </row>
    <row r="199" spans="1:3" x14ac:dyDescent="0.25">
      <c r="A199" t="s">
        <v>37</v>
      </c>
      <c r="B199">
        <v>60</v>
      </c>
      <c r="C199" t="s">
        <v>272</v>
      </c>
    </row>
    <row r="200" spans="1:3" x14ac:dyDescent="0.25">
      <c r="A200" t="s">
        <v>143</v>
      </c>
      <c r="B200">
        <v>68</v>
      </c>
      <c r="C200" t="s">
        <v>272</v>
      </c>
    </row>
    <row r="201" spans="1:3" x14ac:dyDescent="0.25">
      <c r="A201" t="s">
        <v>145</v>
      </c>
      <c r="B201">
        <v>70</v>
      </c>
      <c r="C201" t="s">
        <v>272</v>
      </c>
    </row>
    <row r="202" spans="1:3" x14ac:dyDescent="0.25">
      <c r="A202" t="s">
        <v>44</v>
      </c>
      <c r="B202">
        <v>75</v>
      </c>
      <c r="C202" t="s">
        <v>272</v>
      </c>
    </row>
    <row r="203" spans="1:3" x14ac:dyDescent="0.25">
      <c r="A203" t="s">
        <v>152</v>
      </c>
      <c r="B203">
        <v>79</v>
      </c>
      <c r="C203" t="s">
        <v>272</v>
      </c>
    </row>
    <row r="204" spans="1:3" x14ac:dyDescent="0.25">
      <c r="A204" t="s">
        <v>155</v>
      </c>
      <c r="B204">
        <v>82</v>
      </c>
      <c r="C204" t="s">
        <v>272</v>
      </c>
    </row>
    <row r="205" spans="1:3" x14ac:dyDescent="0.25">
      <c r="A205" t="s">
        <v>168</v>
      </c>
      <c r="B205">
        <v>105</v>
      </c>
      <c r="C205" t="s">
        <v>272</v>
      </c>
    </row>
    <row r="206" spans="1:3" x14ac:dyDescent="0.25">
      <c r="A206" t="s">
        <v>169</v>
      </c>
      <c r="B206">
        <v>106</v>
      </c>
      <c r="C206" t="s">
        <v>272</v>
      </c>
    </row>
    <row r="207" spans="1:3" x14ac:dyDescent="0.25">
      <c r="A207" t="s">
        <v>66</v>
      </c>
      <c r="B207">
        <v>114</v>
      </c>
      <c r="C207" t="s">
        <v>272</v>
      </c>
    </row>
    <row r="208" spans="1:3" x14ac:dyDescent="0.25">
      <c r="A208" t="s">
        <v>183</v>
      </c>
      <c r="B208">
        <v>128</v>
      </c>
      <c r="C208" t="s">
        <v>272</v>
      </c>
    </row>
    <row r="209" spans="1:3" x14ac:dyDescent="0.25">
      <c r="A209" t="s">
        <v>184</v>
      </c>
      <c r="B209">
        <v>129</v>
      </c>
      <c r="C209" t="s">
        <v>272</v>
      </c>
    </row>
    <row r="210" spans="1:3" x14ac:dyDescent="0.25">
      <c r="A210" t="s">
        <v>190</v>
      </c>
      <c r="B210">
        <v>136</v>
      </c>
      <c r="C210" t="s">
        <v>272</v>
      </c>
    </row>
    <row r="211" spans="1:3" x14ac:dyDescent="0.25">
      <c r="A211" t="s">
        <v>210</v>
      </c>
      <c r="B211">
        <v>150</v>
      </c>
      <c r="C211" t="s">
        <v>272</v>
      </c>
    </row>
    <row r="212" spans="1:3" x14ac:dyDescent="0.25">
      <c r="A212" t="s">
        <v>95</v>
      </c>
      <c r="B212">
        <v>161</v>
      </c>
      <c r="C212" t="s">
        <v>272</v>
      </c>
    </row>
    <row r="213" spans="1:3" x14ac:dyDescent="0.25">
      <c r="A213" t="s">
        <v>96</v>
      </c>
      <c r="B213">
        <v>166</v>
      </c>
      <c r="C213" t="s">
        <v>272</v>
      </c>
    </row>
    <row r="214" spans="1:3" x14ac:dyDescent="0.25">
      <c r="A214" t="s">
        <v>229</v>
      </c>
      <c r="B214">
        <v>176</v>
      </c>
      <c r="C214" t="s">
        <v>272</v>
      </c>
    </row>
    <row r="215" spans="1:3" x14ac:dyDescent="0.25">
      <c r="A215" t="s">
        <v>100</v>
      </c>
      <c r="B215">
        <v>177</v>
      </c>
      <c r="C215" t="s">
        <v>272</v>
      </c>
    </row>
    <row r="216" spans="1:3" x14ac:dyDescent="0.25">
      <c r="A216" t="s">
        <v>101</v>
      </c>
      <c r="B216">
        <v>178</v>
      </c>
      <c r="C216" t="s">
        <v>272</v>
      </c>
    </row>
    <row r="220" spans="1:3" x14ac:dyDescent="0.25">
      <c r="A220" t="s">
        <v>261</v>
      </c>
    </row>
    <row r="221" spans="1:3" x14ac:dyDescent="0.25">
      <c r="A221" t="s">
        <v>244</v>
      </c>
    </row>
    <row r="222" spans="1:3" x14ac:dyDescent="0.25">
      <c r="A222" t="s">
        <v>11</v>
      </c>
      <c r="B222">
        <v>14</v>
      </c>
      <c r="C222" t="s">
        <v>273</v>
      </c>
    </row>
    <row r="223" spans="1:3" x14ac:dyDescent="0.25">
      <c r="A223" t="s">
        <v>16</v>
      </c>
      <c r="B223">
        <v>24</v>
      </c>
      <c r="C223" t="s">
        <v>273</v>
      </c>
    </row>
    <row r="224" spans="1:3" x14ac:dyDescent="0.25">
      <c r="A224" t="s">
        <v>23</v>
      </c>
      <c r="B224">
        <v>38</v>
      </c>
      <c r="C224" t="s">
        <v>273</v>
      </c>
    </row>
    <row r="225" spans="1:3" x14ac:dyDescent="0.25">
      <c r="A225" t="s">
        <v>128</v>
      </c>
      <c r="B225">
        <v>41</v>
      </c>
      <c r="C225" t="s">
        <v>273</v>
      </c>
    </row>
    <row r="226" spans="1:3" x14ac:dyDescent="0.25">
      <c r="A226" t="s">
        <v>130</v>
      </c>
      <c r="B226">
        <v>45</v>
      </c>
      <c r="C226" t="s">
        <v>273</v>
      </c>
    </row>
    <row r="227" spans="1:3" x14ac:dyDescent="0.25">
      <c r="A227" t="s">
        <v>147</v>
      </c>
      <c r="B227">
        <v>73</v>
      </c>
      <c r="C227" t="s">
        <v>273</v>
      </c>
    </row>
    <row r="228" spans="1:3" x14ac:dyDescent="0.25">
      <c r="A228" t="s">
        <v>150</v>
      </c>
      <c r="B228">
        <v>77</v>
      </c>
      <c r="C228" t="s">
        <v>273</v>
      </c>
    </row>
    <row r="229" spans="1:3" x14ac:dyDescent="0.25">
      <c r="A229" t="s">
        <v>163</v>
      </c>
      <c r="B229">
        <v>94</v>
      </c>
      <c r="C229" t="s">
        <v>273</v>
      </c>
    </row>
    <row r="230" spans="1:3" x14ac:dyDescent="0.25">
      <c r="A230" t="s">
        <v>173</v>
      </c>
      <c r="B230">
        <v>116</v>
      </c>
      <c r="C230" t="s">
        <v>273</v>
      </c>
    </row>
    <row r="231" spans="1:3" x14ac:dyDescent="0.25">
      <c r="A231" t="s">
        <v>239</v>
      </c>
      <c r="B231">
        <v>132</v>
      </c>
      <c r="C231" t="s">
        <v>273</v>
      </c>
    </row>
    <row r="232" spans="1:3" x14ac:dyDescent="0.25">
      <c r="A232" t="s">
        <v>80</v>
      </c>
      <c r="B232">
        <v>137</v>
      </c>
      <c r="C232" t="s">
        <v>273</v>
      </c>
    </row>
    <row r="233" spans="1:3" x14ac:dyDescent="0.25">
      <c r="A233" t="s">
        <v>207</v>
      </c>
      <c r="B233">
        <v>145</v>
      </c>
      <c r="C233" t="s">
        <v>273</v>
      </c>
    </row>
    <row r="234" spans="1:3" x14ac:dyDescent="0.25">
      <c r="A234" t="s">
        <v>216</v>
      </c>
      <c r="B234">
        <v>157</v>
      </c>
      <c r="C234" t="s">
        <v>273</v>
      </c>
    </row>
    <row r="236" spans="1:3" x14ac:dyDescent="0.25">
      <c r="A236" t="s">
        <v>262</v>
      </c>
    </row>
    <row r="237" spans="1:3" x14ac:dyDescent="0.25">
      <c r="A237" t="s">
        <v>244</v>
      </c>
    </row>
    <row r="238" spans="1:3" x14ac:dyDescent="0.25">
      <c r="A238" t="s">
        <v>127</v>
      </c>
      <c r="B238">
        <v>40</v>
      </c>
      <c r="C238" t="s">
        <v>274</v>
      </c>
    </row>
    <row r="239" spans="1:3" x14ac:dyDescent="0.25">
      <c r="A239" t="s">
        <v>137</v>
      </c>
      <c r="B239">
        <v>56</v>
      </c>
      <c r="C239" t="s">
        <v>274</v>
      </c>
    </row>
    <row r="240" spans="1:3" x14ac:dyDescent="0.25">
      <c r="A240" t="s">
        <v>138</v>
      </c>
      <c r="B240">
        <v>57</v>
      </c>
      <c r="C240" t="s">
        <v>274</v>
      </c>
    </row>
    <row r="241" spans="1:3" x14ac:dyDescent="0.25">
      <c r="A241" t="s">
        <v>140</v>
      </c>
      <c r="B241">
        <v>62</v>
      </c>
      <c r="C241" t="s">
        <v>274</v>
      </c>
    </row>
    <row r="242" spans="1:3" x14ac:dyDescent="0.25">
      <c r="A242" t="s">
        <v>40</v>
      </c>
      <c r="B242">
        <v>66</v>
      </c>
      <c r="C242" t="s">
        <v>274</v>
      </c>
    </row>
    <row r="243" spans="1:3" x14ac:dyDescent="0.25">
      <c r="A243" t="s">
        <v>43</v>
      </c>
      <c r="B243">
        <v>74</v>
      </c>
      <c r="C243" t="s">
        <v>274</v>
      </c>
    </row>
    <row r="244" spans="1:3" x14ac:dyDescent="0.25">
      <c r="A244" t="s">
        <v>154</v>
      </c>
      <c r="B244">
        <v>81</v>
      </c>
      <c r="C244" t="s">
        <v>274</v>
      </c>
    </row>
    <row r="245" spans="1:3" x14ac:dyDescent="0.25">
      <c r="A245" t="s">
        <v>47</v>
      </c>
      <c r="B245">
        <v>84</v>
      </c>
      <c r="C245" t="s">
        <v>274</v>
      </c>
    </row>
    <row r="246" spans="1:3" x14ac:dyDescent="0.25">
      <c r="A246" t="s">
        <v>48</v>
      </c>
      <c r="B246">
        <v>87</v>
      </c>
      <c r="C246" t="s">
        <v>274</v>
      </c>
    </row>
    <row r="247" spans="1:3" x14ac:dyDescent="0.25">
      <c r="A247" t="s">
        <v>263</v>
      </c>
      <c r="B247">
        <v>93</v>
      </c>
      <c r="C247" t="s">
        <v>274</v>
      </c>
    </row>
    <row r="248" spans="1:3" x14ac:dyDescent="0.25">
      <c r="A248" t="s">
        <v>63</v>
      </c>
      <c r="B248">
        <v>111</v>
      </c>
      <c r="C248" t="s">
        <v>274</v>
      </c>
    </row>
    <row r="249" spans="1:3" x14ac:dyDescent="0.25">
      <c r="A249" t="s">
        <v>70</v>
      </c>
      <c r="B249">
        <v>121</v>
      </c>
      <c r="C249" t="s">
        <v>274</v>
      </c>
    </row>
    <row r="250" spans="1:3" x14ac:dyDescent="0.25">
      <c r="A250" t="s">
        <v>180</v>
      </c>
      <c r="B250">
        <v>126</v>
      </c>
      <c r="C250" t="s">
        <v>274</v>
      </c>
    </row>
    <row r="251" spans="1:3" x14ac:dyDescent="0.25">
      <c r="A251" t="s">
        <v>214</v>
      </c>
      <c r="B251">
        <v>155</v>
      </c>
      <c r="C251" t="s">
        <v>274</v>
      </c>
    </row>
    <row r="252" spans="1:3" x14ac:dyDescent="0.25">
      <c r="A252" t="s">
        <v>215</v>
      </c>
      <c r="B252">
        <v>156</v>
      </c>
      <c r="C252" t="s">
        <v>274</v>
      </c>
    </row>
    <row r="253" spans="1:3" x14ac:dyDescent="0.25">
      <c r="A253" t="s">
        <v>218</v>
      </c>
      <c r="B253">
        <v>160</v>
      </c>
      <c r="C253" t="s">
        <v>274</v>
      </c>
    </row>
    <row r="255" spans="1:3" x14ac:dyDescent="0.25">
      <c r="A255" t="s">
        <v>264</v>
      </c>
    </row>
    <row r="256" spans="1:3" x14ac:dyDescent="0.25">
      <c r="A256" t="s">
        <v>244</v>
      </c>
    </row>
    <row r="257" spans="1:3" x14ac:dyDescent="0.25">
      <c r="A257" t="s">
        <v>17</v>
      </c>
      <c r="B257">
        <v>25</v>
      </c>
      <c r="C257" t="s">
        <v>275</v>
      </c>
    </row>
    <row r="258" spans="1:3" x14ac:dyDescent="0.25">
      <c r="A258" t="s">
        <v>122</v>
      </c>
      <c r="B258">
        <v>36</v>
      </c>
      <c r="C258" t="s">
        <v>275</v>
      </c>
    </row>
    <row r="259" spans="1:3" x14ac:dyDescent="0.25">
      <c r="A259" t="s">
        <v>28</v>
      </c>
      <c r="B259">
        <v>222</v>
      </c>
      <c r="C259" t="s">
        <v>275</v>
      </c>
    </row>
    <row r="260" spans="1:3" x14ac:dyDescent="0.25">
      <c r="A260" t="s">
        <v>136</v>
      </c>
      <c r="B260">
        <v>54</v>
      </c>
      <c r="C260" t="s">
        <v>275</v>
      </c>
    </row>
    <row r="261" spans="1:3" x14ac:dyDescent="0.25">
      <c r="A261" t="s">
        <v>33</v>
      </c>
      <c r="B261">
        <v>55</v>
      </c>
      <c r="C261" t="s">
        <v>275</v>
      </c>
    </row>
    <row r="262" spans="1:3" x14ac:dyDescent="0.25">
      <c r="A262" t="s">
        <v>34</v>
      </c>
      <c r="B262">
        <v>224</v>
      </c>
      <c r="C262" t="s">
        <v>275</v>
      </c>
    </row>
    <row r="263" spans="1:3" x14ac:dyDescent="0.25">
      <c r="A263" t="s">
        <v>38</v>
      </c>
      <c r="B263">
        <v>61</v>
      </c>
      <c r="C263" t="s">
        <v>275</v>
      </c>
    </row>
    <row r="264" spans="1:3" x14ac:dyDescent="0.25">
      <c r="A264" t="s">
        <v>142</v>
      </c>
      <c r="B264">
        <v>64</v>
      </c>
      <c r="C264" t="s">
        <v>275</v>
      </c>
    </row>
    <row r="265" spans="1:3" x14ac:dyDescent="0.25">
      <c r="A265" t="s">
        <v>41</v>
      </c>
      <c r="B265">
        <v>67</v>
      </c>
      <c r="C265" t="s">
        <v>275</v>
      </c>
    </row>
    <row r="266" spans="1:3" x14ac:dyDescent="0.25">
      <c r="A266" t="s">
        <v>143</v>
      </c>
      <c r="B266">
        <v>68</v>
      </c>
      <c r="C266" t="s">
        <v>275</v>
      </c>
    </row>
    <row r="267" spans="1:3" x14ac:dyDescent="0.25">
      <c r="A267" t="s">
        <v>145</v>
      </c>
      <c r="B267">
        <v>70</v>
      </c>
      <c r="C267" t="s">
        <v>275</v>
      </c>
    </row>
    <row r="268" spans="1:3" x14ac:dyDescent="0.25">
      <c r="A268" t="s">
        <v>44</v>
      </c>
      <c r="B268">
        <v>75</v>
      </c>
      <c r="C268" t="s">
        <v>275</v>
      </c>
    </row>
    <row r="269" spans="1:3" x14ac:dyDescent="0.25">
      <c r="A269" t="s">
        <v>150</v>
      </c>
      <c r="B269">
        <v>77</v>
      </c>
      <c r="C269" t="s">
        <v>275</v>
      </c>
    </row>
    <row r="270" spans="1:3" x14ac:dyDescent="0.25">
      <c r="A270" t="s">
        <v>151</v>
      </c>
      <c r="B270">
        <v>78</v>
      </c>
      <c r="C270" t="s">
        <v>275</v>
      </c>
    </row>
    <row r="271" spans="1:3" x14ac:dyDescent="0.25">
      <c r="A271" t="s">
        <v>158</v>
      </c>
      <c r="B271">
        <v>86</v>
      </c>
      <c r="C271" t="s">
        <v>275</v>
      </c>
    </row>
    <row r="272" spans="1:3" x14ac:dyDescent="0.25">
      <c r="A272" t="s">
        <v>161</v>
      </c>
      <c r="B272">
        <v>91</v>
      </c>
      <c r="C272" t="s">
        <v>275</v>
      </c>
    </row>
    <row r="273" spans="1:3" x14ac:dyDescent="0.25">
      <c r="A273" t="s">
        <v>56</v>
      </c>
      <c r="B273">
        <v>101</v>
      </c>
      <c r="C273" t="s">
        <v>275</v>
      </c>
    </row>
    <row r="274" spans="1:3" x14ac:dyDescent="0.25">
      <c r="A274" t="s">
        <v>62</v>
      </c>
      <c r="B274">
        <v>109</v>
      </c>
      <c r="C274" t="s">
        <v>275</v>
      </c>
    </row>
    <row r="275" spans="1:3" x14ac:dyDescent="0.25">
      <c r="A275" t="s">
        <v>253</v>
      </c>
      <c r="B275">
        <v>127</v>
      </c>
      <c r="C275" t="s">
        <v>275</v>
      </c>
    </row>
    <row r="276" spans="1:3" x14ac:dyDescent="0.25">
      <c r="A276" t="s">
        <v>75</v>
      </c>
      <c r="B276">
        <v>131</v>
      </c>
      <c r="C276" t="s">
        <v>275</v>
      </c>
    </row>
    <row r="277" spans="1:3" x14ac:dyDescent="0.25">
      <c r="A277" t="s">
        <v>191</v>
      </c>
      <c r="B277">
        <v>138</v>
      </c>
      <c r="C277" t="s">
        <v>275</v>
      </c>
    </row>
    <row r="278" spans="1:3" x14ac:dyDescent="0.25">
      <c r="A278" t="s">
        <v>82</v>
      </c>
      <c r="B278">
        <v>139</v>
      </c>
      <c r="C278" t="s">
        <v>275</v>
      </c>
    </row>
    <row r="279" spans="1:3" x14ac:dyDescent="0.25">
      <c r="A279" t="s">
        <v>194</v>
      </c>
      <c r="B279">
        <v>142</v>
      </c>
      <c r="C279" t="s">
        <v>275</v>
      </c>
    </row>
    <row r="280" spans="1:3" x14ac:dyDescent="0.25">
      <c r="A280" t="s">
        <v>219</v>
      </c>
      <c r="B280">
        <v>162</v>
      </c>
      <c r="C280" t="s">
        <v>275</v>
      </c>
    </row>
    <row r="281" spans="1:3" x14ac:dyDescent="0.25">
      <c r="A281" t="s">
        <v>96</v>
      </c>
      <c r="B281">
        <v>166</v>
      </c>
      <c r="C281" t="s">
        <v>275</v>
      </c>
    </row>
    <row r="283" spans="1:3" x14ac:dyDescent="0.25">
      <c r="A283" t="s">
        <v>265</v>
      </c>
    </row>
    <row r="284" spans="1:3" x14ac:dyDescent="0.25">
      <c r="A284" t="s">
        <v>244</v>
      </c>
    </row>
    <row r="285" spans="1:3" x14ac:dyDescent="0.25">
      <c r="A285" t="s">
        <v>16</v>
      </c>
      <c r="B285">
        <v>24</v>
      </c>
      <c r="C285" t="s">
        <v>276</v>
      </c>
    </row>
    <row r="286" spans="1:3" x14ac:dyDescent="0.25">
      <c r="A286" t="s">
        <v>122</v>
      </c>
      <c r="B286">
        <v>36</v>
      </c>
      <c r="C286" t="s">
        <v>276</v>
      </c>
    </row>
    <row r="287" spans="1:3" x14ac:dyDescent="0.25">
      <c r="A287" t="s">
        <v>128</v>
      </c>
      <c r="B287">
        <v>41</v>
      </c>
      <c r="C287" t="s">
        <v>276</v>
      </c>
    </row>
    <row r="288" spans="1:3" x14ac:dyDescent="0.25">
      <c r="A288" t="s">
        <v>134</v>
      </c>
      <c r="B288">
        <v>50</v>
      </c>
      <c r="C288" t="s">
        <v>276</v>
      </c>
    </row>
    <row r="289" spans="1:3" x14ac:dyDescent="0.25">
      <c r="A289" t="s">
        <v>41</v>
      </c>
      <c r="B289">
        <v>67</v>
      </c>
      <c r="C289" t="s">
        <v>276</v>
      </c>
    </row>
    <row r="290" spans="1:3" x14ac:dyDescent="0.25">
      <c r="A290" t="s">
        <v>150</v>
      </c>
      <c r="B290">
        <v>77</v>
      </c>
      <c r="C290" t="s">
        <v>276</v>
      </c>
    </row>
    <row r="291" spans="1:3" x14ac:dyDescent="0.25">
      <c r="A291" t="s">
        <v>151</v>
      </c>
      <c r="B291">
        <v>78</v>
      </c>
      <c r="C291" t="s">
        <v>276</v>
      </c>
    </row>
    <row r="292" spans="1:3" x14ac:dyDescent="0.25">
      <c r="A292" t="s">
        <v>161</v>
      </c>
      <c r="B292">
        <v>91</v>
      </c>
      <c r="C292" t="s">
        <v>276</v>
      </c>
    </row>
    <row r="293" spans="1:3" x14ac:dyDescent="0.25">
      <c r="A293" t="s">
        <v>51</v>
      </c>
      <c r="B293">
        <v>92</v>
      </c>
      <c r="C293" t="s">
        <v>276</v>
      </c>
    </row>
    <row r="294" spans="1:3" x14ac:dyDescent="0.25">
      <c r="A294" t="s">
        <v>167</v>
      </c>
      <c r="B294">
        <v>100</v>
      </c>
      <c r="C294" t="s">
        <v>276</v>
      </c>
    </row>
    <row r="295" spans="1:3" x14ac:dyDescent="0.25">
      <c r="A295" t="s">
        <v>170</v>
      </c>
      <c r="B295">
        <v>107</v>
      </c>
      <c r="C295" t="s">
        <v>276</v>
      </c>
    </row>
    <row r="296" spans="1:3" x14ac:dyDescent="0.25">
      <c r="A296" t="s">
        <v>191</v>
      </c>
      <c r="B296">
        <v>138</v>
      </c>
      <c r="C296" t="s">
        <v>276</v>
      </c>
    </row>
    <row r="297" spans="1:3" x14ac:dyDescent="0.25">
      <c r="A297" t="s">
        <v>192</v>
      </c>
      <c r="B297">
        <v>140</v>
      </c>
      <c r="C297" t="s">
        <v>276</v>
      </c>
    </row>
    <row r="298" spans="1:3" x14ac:dyDescent="0.25">
      <c r="A298" t="s">
        <v>213</v>
      </c>
      <c r="B298">
        <v>154</v>
      </c>
      <c r="C298" t="s">
        <v>276</v>
      </c>
    </row>
    <row r="299" spans="1:3" x14ac:dyDescent="0.25">
      <c r="A299" t="s">
        <v>220</v>
      </c>
      <c r="B299">
        <v>163</v>
      </c>
      <c r="C299" t="s">
        <v>276</v>
      </c>
    </row>
    <row r="300" spans="1:3" x14ac:dyDescent="0.25">
      <c r="A300" t="s">
        <v>100</v>
      </c>
      <c r="B300">
        <v>177</v>
      </c>
      <c r="C300" t="s">
        <v>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5F02-5513-4040-9520-AA6CA07A5B22}">
  <dimension ref="A3:D270"/>
  <sheetViews>
    <sheetView zoomScale="175" zoomScaleNormal="175" workbookViewId="0"/>
  </sheetViews>
  <sheetFormatPr defaultRowHeight="15" x14ac:dyDescent="0.25"/>
  <cols>
    <col min="1" max="1" width="70" bestFit="1" customWidth="1"/>
    <col min="2" max="2" width="4.140625" bestFit="1" customWidth="1"/>
    <col min="3" max="3" width="10.140625" bestFit="1" customWidth="1"/>
  </cols>
  <sheetData>
    <row r="3" spans="1:4" x14ac:dyDescent="0.25">
      <c r="A3" t="s">
        <v>29</v>
      </c>
      <c r="B3">
        <v>43</v>
      </c>
      <c r="C3" t="s">
        <v>266</v>
      </c>
      <c r="D3" t="s">
        <v>267</v>
      </c>
    </row>
    <row r="4" spans="1:4" x14ac:dyDescent="0.25">
      <c r="A4" t="s">
        <v>245</v>
      </c>
      <c r="B4">
        <v>12</v>
      </c>
      <c r="C4" t="s">
        <v>266</v>
      </c>
      <c r="D4" t="s">
        <v>267</v>
      </c>
    </row>
    <row r="5" spans="1:4" x14ac:dyDescent="0.25">
      <c r="A5" t="s">
        <v>118</v>
      </c>
      <c r="B5">
        <v>29</v>
      </c>
      <c r="C5" t="s">
        <v>266</v>
      </c>
      <c r="D5" t="s">
        <v>267</v>
      </c>
    </row>
    <row r="6" spans="1:4" x14ac:dyDescent="0.25">
      <c r="A6" t="s">
        <v>131</v>
      </c>
      <c r="B6">
        <v>47</v>
      </c>
      <c r="C6" t="s">
        <v>266</v>
      </c>
      <c r="D6" t="s">
        <v>267</v>
      </c>
    </row>
    <row r="7" spans="1:4" x14ac:dyDescent="0.25">
      <c r="A7" t="s">
        <v>132</v>
      </c>
      <c r="B7">
        <v>48</v>
      </c>
      <c r="C7" t="s">
        <v>266</v>
      </c>
      <c r="D7" t="s">
        <v>267</v>
      </c>
    </row>
    <row r="8" spans="1:4" x14ac:dyDescent="0.25">
      <c r="A8" t="s">
        <v>128</v>
      </c>
      <c r="B8">
        <v>41</v>
      </c>
      <c r="C8" t="s">
        <v>266</v>
      </c>
      <c r="D8" t="s">
        <v>267</v>
      </c>
    </row>
    <row r="9" spans="1:4" x14ac:dyDescent="0.25">
      <c r="A9" t="s">
        <v>132</v>
      </c>
      <c r="B9">
        <v>48</v>
      </c>
      <c r="C9" t="s">
        <v>266</v>
      </c>
      <c r="D9" t="s">
        <v>267</v>
      </c>
    </row>
    <row r="10" spans="1:4" x14ac:dyDescent="0.25">
      <c r="A10" t="s">
        <v>141</v>
      </c>
      <c r="B10">
        <v>63</v>
      </c>
      <c r="C10" t="s">
        <v>266</v>
      </c>
      <c r="D10" t="s">
        <v>267</v>
      </c>
    </row>
    <row r="11" spans="1:4" x14ac:dyDescent="0.25">
      <c r="A11" t="s">
        <v>43</v>
      </c>
      <c r="B11">
        <v>74</v>
      </c>
      <c r="C11" t="s">
        <v>266</v>
      </c>
      <c r="D11" t="s">
        <v>267</v>
      </c>
    </row>
    <row r="12" spans="1:4" x14ac:dyDescent="0.25">
      <c r="A12" t="s">
        <v>139</v>
      </c>
      <c r="B12">
        <v>59</v>
      </c>
      <c r="C12" t="s">
        <v>266</v>
      </c>
      <c r="D12" t="s">
        <v>267</v>
      </c>
    </row>
    <row r="13" spans="1:4" x14ac:dyDescent="0.25">
      <c r="A13" t="s">
        <v>145</v>
      </c>
      <c r="B13">
        <v>70</v>
      </c>
      <c r="C13" t="s">
        <v>266</v>
      </c>
      <c r="D13" t="s">
        <v>267</v>
      </c>
    </row>
    <row r="14" spans="1:4" x14ac:dyDescent="0.25">
      <c r="A14" t="s">
        <v>155</v>
      </c>
      <c r="B14">
        <v>82</v>
      </c>
      <c r="C14" t="s">
        <v>266</v>
      </c>
      <c r="D14" t="s">
        <v>267</v>
      </c>
    </row>
    <row r="15" spans="1:4" x14ac:dyDescent="0.25">
      <c r="A15" t="s">
        <v>49</v>
      </c>
      <c r="B15">
        <v>88</v>
      </c>
      <c r="C15" t="s">
        <v>266</v>
      </c>
      <c r="D15" t="s">
        <v>267</v>
      </c>
    </row>
    <row r="16" spans="1:4" x14ac:dyDescent="0.25">
      <c r="A16" t="s">
        <v>54</v>
      </c>
      <c r="B16">
        <v>96</v>
      </c>
      <c r="C16" t="s">
        <v>266</v>
      </c>
      <c r="D16" t="s">
        <v>267</v>
      </c>
    </row>
    <row r="17" spans="1:4" x14ac:dyDescent="0.25">
      <c r="A17" t="s">
        <v>57</v>
      </c>
      <c r="B17">
        <v>102</v>
      </c>
      <c r="C17" t="s">
        <v>266</v>
      </c>
      <c r="D17" t="s">
        <v>267</v>
      </c>
    </row>
    <row r="18" spans="1:4" x14ac:dyDescent="0.25">
      <c r="A18" t="s">
        <v>169</v>
      </c>
      <c r="B18">
        <v>106</v>
      </c>
      <c r="C18" t="s">
        <v>266</v>
      </c>
      <c r="D18" t="s">
        <v>267</v>
      </c>
    </row>
    <row r="19" spans="1:4" x14ac:dyDescent="0.25">
      <c r="A19" t="s">
        <v>170</v>
      </c>
      <c r="B19">
        <v>107</v>
      </c>
      <c r="C19" t="s">
        <v>266</v>
      </c>
      <c r="D19" t="s">
        <v>267</v>
      </c>
    </row>
    <row r="20" spans="1:4" x14ac:dyDescent="0.25">
      <c r="A20" t="s">
        <v>64</v>
      </c>
      <c r="B20">
        <v>112</v>
      </c>
      <c r="C20" t="s">
        <v>266</v>
      </c>
      <c r="D20" t="s">
        <v>267</v>
      </c>
    </row>
    <row r="21" spans="1:4" x14ac:dyDescent="0.25">
      <c r="A21" t="s">
        <v>73</v>
      </c>
      <c r="B21">
        <v>123</v>
      </c>
      <c r="C21" t="s">
        <v>266</v>
      </c>
      <c r="D21" t="s">
        <v>267</v>
      </c>
    </row>
    <row r="22" spans="1:4" x14ac:dyDescent="0.25">
      <c r="A22" t="s">
        <v>94</v>
      </c>
      <c r="B22">
        <v>236</v>
      </c>
      <c r="C22" t="s">
        <v>266</v>
      </c>
      <c r="D22" t="s">
        <v>267</v>
      </c>
    </row>
    <row r="23" spans="1:4" x14ac:dyDescent="0.25">
      <c r="A23" t="s">
        <v>219</v>
      </c>
      <c r="B23">
        <v>162</v>
      </c>
      <c r="C23" t="s">
        <v>266</v>
      </c>
      <c r="D23" t="s">
        <v>267</v>
      </c>
    </row>
    <row r="24" spans="1:4" x14ac:dyDescent="0.25">
      <c r="A24" t="s">
        <v>220</v>
      </c>
      <c r="B24">
        <v>163</v>
      </c>
      <c r="C24" t="s">
        <v>266</v>
      </c>
      <c r="D24" t="s">
        <v>267</v>
      </c>
    </row>
    <row r="25" spans="1:4" x14ac:dyDescent="0.25">
      <c r="A25" t="s">
        <v>221</v>
      </c>
      <c r="B25">
        <v>164</v>
      </c>
      <c r="C25" t="s">
        <v>266</v>
      </c>
      <c r="D25" t="s">
        <v>267</v>
      </c>
    </row>
    <row r="26" spans="1:4" x14ac:dyDescent="0.25">
      <c r="A26" t="s">
        <v>222</v>
      </c>
      <c r="B26">
        <v>165</v>
      </c>
      <c r="C26" t="s">
        <v>266</v>
      </c>
      <c r="D26" t="s">
        <v>267</v>
      </c>
    </row>
    <row r="27" spans="1:4" x14ac:dyDescent="0.25">
      <c r="A27" t="s">
        <v>224</v>
      </c>
      <c r="B27">
        <v>168</v>
      </c>
      <c r="C27" t="s">
        <v>266</v>
      </c>
      <c r="D27" t="s">
        <v>267</v>
      </c>
    </row>
    <row r="28" spans="1:4" x14ac:dyDescent="0.25">
      <c r="A28" t="s">
        <v>226</v>
      </c>
      <c r="B28">
        <v>170</v>
      </c>
      <c r="C28" t="s">
        <v>266</v>
      </c>
      <c r="D28" t="s">
        <v>267</v>
      </c>
    </row>
    <row r="29" spans="1:4" x14ac:dyDescent="0.25">
      <c r="A29" t="s">
        <v>227</v>
      </c>
      <c r="B29">
        <v>171</v>
      </c>
      <c r="C29" t="s">
        <v>266</v>
      </c>
      <c r="D29" t="s">
        <v>267</v>
      </c>
    </row>
    <row r="30" spans="1:4" x14ac:dyDescent="0.25">
      <c r="A30" t="s">
        <v>97</v>
      </c>
      <c r="B30">
        <v>172</v>
      </c>
      <c r="C30" t="s">
        <v>266</v>
      </c>
      <c r="D30" t="s">
        <v>267</v>
      </c>
    </row>
    <row r="31" spans="1:4" x14ac:dyDescent="0.25">
      <c r="A31" t="s">
        <v>228</v>
      </c>
      <c r="B31">
        <v>174</v>
      </c>
      <c r="C31" t="s">
        <v>266</v>
      </c>
      <c r="D31" t="s">
        <v>267</v>
      </c>
    </row>
    <row r="32" spans="1:4" x14ac:dyDescent="0.25">
      <c r="A32" t="s">
        <v>3</v>
      </c>
      <c r="B32">
        <v>3</v>
      </c>
      <c r="C32" t="s">
        <v>268</v>
      </c>
    </row>
    <row r="33" spans="1:3" x14ac:dyDescent="0.25">
      <c r="A33" t="s">
        <v>4</v>
      </c>
      <c r="B33">
        <v>4</v>
      </c>
      <c r="C33" t="s">
        <v>268</v>
      </c>
    </row>
    <row r="34" spans="1:3" x14ac:dyDescent="0.25">
      <c r="A34" t="s">
        <v>5</v>
      </c>
      <c r="B34">
        <v>5</v>
      </c>
      <c r="C34" t="s">
        <v>268</v>
      </c>
    </row>
    <row r="35" spans="1:3" x14ac:dyDescent="0.25">
      <c r="A35" t="s">
        <v>82</v>
      </c>
      <c r="B35">
        <v>139</v>
      </c>
      <c r="C35" t="s">
        <v>268</v>
      </c>
    </row>
    <row r="36" spans="1:3" x14ac:dyDescent="0.25">
      <c r="A36" t="s">
        <v>193</v>
      </c>
      <c r="B36">
        <v>141</v>
      </c>
      <c r="C36" t="s">
        <v>268</v>
      </c>
    </row>
    <row r="37" spans="1:3" x14ac:dyDescent="0.25">
      <c r="A37" t="s">
        <v>84</v>
      </c>
      <c r="B37">
        <v>146</v>
      </c>
      <c r="C37" t="s">
        <v>268</v>
      </c>
    </row>
    <row r="38" spans="1:3" x14ac:dyDescent="0.25">
      <c r="A38" t="s">
        <v>105</v>
      </c>
      <c r="B38">
        <v>6</v>
      </c>
      <c r="C38" t="s">
        <v>268</v>
      </c>
    </row>
    <row r="39" spans="1:3" x14ac:dyDescent="0.25">
      <c r="A39" t="s">
        <v>7</v>
      </c>
      <c r="B39">
        <v>10</v>
      </c>
      <c r="C39" t="s">
        <v>268</v>
      </c>
    </row>
    <row r="40" spans="1:3" x14ac:dyDescent="0.25">
      <c r="A40" t="s">
        <v>113</v>
      </c>
      <c r="B40">
        <v>18</v>
      </c>
      <c r="C40" t="s">
        <v>268</v>
      </c>
    </row>
    <row r="41" spans="1:3" x14ac:dyDescent="0.25">
      <c r="A41" t="s">
        <v>115</v>
      </c>
      <c r="B41">
        <v>20</v>
      </c>
      <c r="C41" t="s">
        <v>268</v>
      </c>
    </row>
    <row r="42" spans="1:3" x14ac:dyDescent="0.25">
      <c r="A42" t="s">
        <v>116</v>
      </c>
      <c r="B42">
        <v>23</v>
      </c>
      <c r="C42" t="s">
        <v>268</v>
      </c>
    </row>
    <row r="43" spans="1:3" x14ac:dyDescent="0.25">
      <c r="A43" t="s">
        <v>17</v>
      </c>
      <c r="B43">
        <v>25</v>
      </c>
      <c r="C43" t="s">
        <v>268</v>
      </c>
    </row>
    <row r="44" spans="1:3" x14ac:dyDescent="0.25">
      <c r="A44" t="s">
        <v>232</v>
      </c>
      <c r="B44">
        <v>26</v>
      </c>
      <c r="C44" t="s">
        <v>268</v>
      </c>
    </row>
    <row r="45" spans="1:3" x14ac:dyDescent="0.25">
      <c r="A45" t="s">
        <v>121</v>
      </c>
      <c r="B45">
        <v>35</v>
      </c>
      <c r="C45" t="s">
        <v>268</v>
      </c>
    </row>
    <row r="46" spans="1:3" x14ac:dyDescent="0.25">
      <c r="A46" t="s">
        <v>24</v>
      </c>
      <c r="B46">
        <v>39</v>
      </c>
      <c r="C46" t="s">
        <v>268</v>
      </c>
    </row>
    <row r="47" spans="1:3" x14ac:dyDescent="0.25">
      <c r="A47" t="s">
        <v>127</v>
      </c>
      <c r="B47">
        <v>40</v>
      </c>
      <c r="C47" t="s">
        <v>268</v>
      </c>
    </row>
    <row r="48" spans="1:3" x14ac:dyDescent="0.25">
      <c r="A48" t="s">
        <v>29</v>
      </c>
      <c r="B48">
        <v>43</v>
      </c>
      <c r="C48" t="s">
        <v>268</v>
      </c>
    </row>
    <row r="49" spans="1:3" x14ac:dyDescent="0.25">
      <c r="A49" t="s">
        <v>131</v>
      </c>
      <c r="B49">
        <v>47</v>
      </c>
      <c r="C49" t="s">
        <v>268</v>
      </c>
    </row>
    <row r="50" spans="1:3" x14ac:dyDescent="0.25">
      <c r="A50" t="s">
        <v>132</v>
      </c>
      <c r="B50">
        <v>48</v>
      </c>
      <c r="C50" t="s">
        <v>268</v>
      </c>
    </row>
    <row r="51" spans="1:3" x14ac:dyDescent="0.25">
      <c r="A51" t="s">
        <v>141</v>
      </c>
      <c r="B51">
        <v>63</v>
      </c>
      <c r="C51" t="s">
        <v>268</v>
      </c>
    </row>
    <row r="52" spans="1:3" x14ac:dyDescent="0.25">
      <c r="A52" t="s">
        <v>43</v>
      </c>
      <c r="B52">
        <v>74</v>
      </c>
      <c r="C52" t="s">
        <v>268</v>
      </c>
    </row>
    <row r="53" spans="1:3" x14ac:dyDescent="0.25">
      <c r="A53" t="s">
        <v>153</v>
      </c>
      <c r="B53">
        <v>80</v>
      </c>
      <c r="C53" t="s">
        <v>268</v>
      </c>
    </row>
    <row r="54" spans="1:3" x14ac:dyDescent="0.25">
      <c r="A54" t="s">
        <v>154</v>
      </c>
      <c r="B54">
        <v>81</v>
      </c>
      <c r="C54" t="s">
        <v>268</v>
      </c>
    </row>
    <row r="55" spans="1:3" x14ac:dyDescent="0.25">
      <c r="A55" t="s">
        <v>45</v>
      </c>
      <c r="B55">
        <v>226</v>
      </c>
      <c r="C55" t="s">
        <v>268</v>
      </c>
    </row>
    <row r="56" spans="1:3" x14ac:dyDescent="0.25">
      <c r="A56" t="s">
        <v>46</v>
      </c>
      <c r="B56">
        <v>83</v>
      </c>
      <c r="C56" t="s">
        <v>268</v>
      </c>
    </row>
    <row r="57" spans="1:3" x14ac:dyDescent="0.25">
      <c r="A57" t="s">
        <v>47</v>
      </c>
      <c r="B57">
        <v>84</v>
      </c>
      <c r="C57" t="s">
        <v>268</v>
      </c>
    </row>
    <row r="58" spans="1:3" x14ac:dyDescent="0.25">
      <c r="A58" t="s">
        <v>52</v>
      </c>
      <c r="B58">
        <v>93</v>
      </c>
      <c r="C58" t="s">
        <v>268</v>
      </c>
    </row>
    <row r="59" spans="1:3" x14ac:dyDescent="0.25">
      <c r="A59" t="s">
        <v>164</v>
      </c>
      <c r="B59">
        <v>97</v>
      </c>
      <c r="C59" t="s">
        <v>268</v>
      </c>
    </row>
    <row r="60" spans="1:3" x14ac:dyDescent="0.25">
      <c r="A60" t="s">
        <v>165</v>
      </c>
      <c r="B60">
        <v>98</v>
      </c>
      <c r="C60" t="s">
        <v>268</v>
      </c>
    </row>
    <row r="61" spans="1:3" x14ac:dyDescent="0.25">
      <c r="A61" t="s">
        <v>166</v>
      </c>
      <c r="B61">
        <v>99</v>
      </c>
      <c r="C61" t="s">
        <v>268</v>
      </c>
    </row>
    <row r="62" spans="1:3" x14ac:dyDescent="0.25">
      <c r="A62" t="s">
        <v>57</v>
      </c>
      <c r="B62">
        <v>102</v>
      </c>
      <c r="C62" t="s">
        <v>268</v>
      </c>
    </row>
    <row r="63" spans="1:3" x14ac:dyDescent="0.25">
      <c r="A63" t="s">
        <v>168</v>
      </c>
      <c r="B63">
        <v>105</v>
      </c>
      <c r="C63" t="s">
        <v>268</v>
      </c>
    </row>
    <row r="64" spans="1:3" x14ac:dyDescent="0.25">
      <c r="A64" t="s">
        <v>169</v>
      </c>
      <c r="B64">
        <v>106</v>
      </c>
      <c r="C64" t="s">
        <v>268</v>
      </c>
    </row>
    <row r="65" spans="1:3" x14ac:dyDescent="0.25">
      <c r="A65" t="s">
        <v>63</v>
      </c>
      <c r="B65">
        <v>111</v>
      </c>
      <c r="C65" t="s">
        <v>268</v>
      </c>
    </row>
    <row r="66" spans="1:3" x14ac:dyDescent="0.25">
      <c r="A66" t="s">
        <v>65</v>
      </c>
      <c r="B66">
        <v>113</v>
      </c>
      <c r="C66" t="s">
        <v>268</v>
      </c>
    </row>
    <row r="67" spans="1:3" x14ac:dyDescent="0.25">
      <c r="A67" t="s">
        <v>174</v>
      </c>
      <c r="B67">
        <v>117</v>
      </c>
      <c r="C67" t="s">
        <v>268</v>
      </c>
    </row>
    <row r="68" spans="1:3" x14ac:dyDescent="0.25">
      <c r="A68" t="s">
        <v>68</v>
      </c>
      <c r="B68">
        <v>118</v>
      </c>
      <c r="C68" t="s">
        <v>268</v>
      </c>
    </row>
    <row r="69" spans="1:3" x14ac:dyDescent="0.25">
      <c r="A69" t="s">
        <v>72</v>
      </c>
      <c r="B69">
        <v>231</v>
      </c>
      <c r="C69" t="s">
        <v>268</v>
      </c>
    </row>
    <row r="70" spans="1:3" x14ac:dyDescent="0.25">
      <c r="A70" t="s">
        <v>180</v>
      </c>
      <c r="B70">
        <v>126</v>
      </c>
      <c r="C70" t="s">
        <v>268</v>
      </c>
    </row>
    <row r="71" spans="1:3" x14ac:dyDescent="0.25">
      <c r="A71" t="s">
        <v>187</v>
      </c>
      <c r="B71">
        <v>134</v>
      </c>
      <c r="C71" t="s">
        <v>268</v>
      </c>
    </row>
    <row r="72" spans="1:3" x14ac:dyDescent="0.25">
      <c r="A72" t="s">
        <v>190</v>
      </c>
      <c r="B72">
        <v>136</v>
      </c>
      <c r="C72" t="s">
        <v>268</v>
      </c>
    </row>
    <row r="73" spans="1:3" x14ac:dyDescent="0.25">
      <c r="A73" t="s">
        <v>82</v>
      </c>
      <c r="B73">
        <v>139</v>
      </c>
      <c r="C73" t="s">
        <v>268</v>
      </c>
    </row>
    <row r="74" spans="1:3" x14ac:dyDescent="0.25">
      <c r="A74" t="s">
        <v>193</v>
      </c>
      <c r="B74">
        <v>141</v>
      </c>
      <c r="C74" t="s">
        <v>268</v>
      </c>
    </row>
    <row r="75" spans="1:3" x14ac:dyDescent="0.25">
      <c r="A75" t="s">
        <v>84</v>
      </c>
      <c r="B75">
        <v>146</v>
      </c>
      <c r="C75" t="s">
        <v>268</v>
      </c>
    </row>
    <row r="76" spans="1:3" x14ac:dyDescent="0.25">
      <c r="A76" t="s">
        <v>85</v>
      </c>
      <c r="B76">
        <v>147</v>
      </c>
      <c r="C76" t="s">
        <v>268</v>
      </c>
    </row>
    <row r="77" spans="1:3" x14ac:dyDescent="0.25">
      <c r="A77" t="s">
        <v>89</v>
      </c>
      <c r="B77">
        <v>153</v>
      </c>
      <c r="C77" t="s">
        <v>268</v>
      </c>
    </row>
    <row r="78" spans="1:3" x14ac:dyDescent="0.25">
      <c r="A78" t="s">
        <v>212</v>
      </c>
      <c r="B78">
        <v>235</v>
      </c>
      <c r="C78" t="s">
        <v>268</v>
      </c>
    </row>
    <row r="79" spans="1:3" x14ac:dyDescent="0.25">
      <c r="A79" t="s">
        <v>248</v>
      </c>
      <c r="B79">
        <v>155</v>
      </c>
      <c r="C79" t="s">
        <v>268</v>
      </c>
    </row>
    <row r="80" spans="1:3" x14ac:dyDescent="0.25">
      <c r="A80" t="s">
        <v>215</v>
      </c>
      <c r="B80">
        <v>156</v>
      </c>
      <c r="C80" t="s">
        <v>268</v>
      </c>
    </row>
    <row r="81" spans="1:4" x14ac:dyDescent="0.25">
      <c r="A81" t="s">
        <v>93</v>
      </c>
      <c r="B81">
        <v>158</v>
      </c>
      <c r="C81" t="s">
        <v>268</v>
      </c>
    </row>
    <row r="82" spans="1:4" x14ac:dyDescent="0.25">
      <c r="A82" t="s">
        <v>217</v>
      </c>
      <c r="B82">
        <v>159</v>
      </c>
      <c r="C82" t="s">
        <v>268</v>
      </c>
    </row>
    <row r="83" spans="1:4" x14ac:dyDescent="0.25">
      <c r="A83" t="s">
        <v>249</v>
      </c>
      <c r="B83">
        <v>161</v>
      </c>
      <c r="C83" t="s">
        <v>268</v>
      </c>
    </row>
    <row r="84" spans="1:4" x14ac:dyDescent="0.25">
      <c r="A84" t="s">
        <v>99</v>
      </c>
      <c r="B84">
        <v>175</v>
      </c>
      <c r="C84" t="s">
        <v>268</v>
      </c>
    </row>
    <row r="85" spans="1:4" x14ac:dyDescent="0.25">
      <c r="A85" t="s">
        <v>101</v>
      </c>
      <c r="B85">
        <v>178</v>
      </c>
      <c r="C85" t="s">
        <v>268</v>
      </c>
    </row>
    <row r="86" spans="1:4" x14ac:dyDescent="0.25">
      <c r="A86" t="s">
        <v>106</v>
      </c>
      <c r="B86">
        <v>7</v>
      </c>
      <c r="C86" t="s">
        <v>269</v>
      </c>
      <c r="D86" t="s">
        <v>75</v>
      </c>
    </row>
    <row r="87" spans="1:4" x14ac:dyDescent="0.25">
      <c r="A87" t="s">
        <v>104</v>
      </c>
      <c r="B87">
        <v>237</v>
      </c>
      <c r="C87" t="s">
        <v>269</v>
      </c>
      <c r="D87" t="s">
        <v>75</v>
      </c>
    </row>
    <row r="88" spans="1:4" x14ac:dyDescent="0.25">
      <c r="A88" t="s">
        <v>1</v>
      </c>
      <c r="B88">
        <v>1</v>
      </c>
      <c r="C88" t="s">
        <v>269</v>
      </c>
      <c r="D88" t="s">
        <v>75</v>
      </c>
    </row>
    <row r="89" spans="1:4" x14ac:dyDescent="0.25">
      <c r="A89" t="s">
        <v>11</v>
      </c>
      <c r="B89">
        <v>14</v>
      </c>
      <c r="C89" t="s">
        <v>269</v>
      </c>
      <c r="D89" t="s">
        <v>75</v>
      </c>
    </row>
    <row r="90" spans="1:4" x14ac:dyDescent="0.25">
      <c r="A90" t="s">
        <v>251</v>
      </c>
      <c r="B90">
        <v>15</v>
      </c>
      <c r="C90" t="s">
        <v>269</v>
      </c>
      <c r="D90" t="s">
        <v>75</v>
      </c>
    </row>
    <row r="91" spans="1:4" x14ac:dyDescent="0.25">
      <c r="A91" t="s">
        <v>14</v>
      </c>
      <c r="B91">
        <v>19</v>
      </c>
      <c r="C91" t="s">
        <v>269</v>
      </c>
      <c r="D91" t="s">
        <v>75</v>
      </c>
    </row>
    <row r="92" spans="1:4" x14ac:dyDescent="0.25">
      <c r="A92" t="s">
        <v>22</v>
      </c>
      <c r="B92">
        <v>34</v>
      </c>
      <c r="C92" t="s">
        <v>269</v>
      </c>
      <c r="D92" t="s">
        <v>75</v>
      </c>
    </row>
    <row r="93" spans="1:4" x14ac:dyDescent="0.25">
      <c r="A93" t="s">
        <v>127</v>
      </c>
      <c r="B93">
        <v>40</v>
      </c>
      <c r="C93" t="s">
        <v>269</v>
      </c>
      <c r="D93" t="s">
        <v>75</v>
      </c>
    </row>
    <row r="94" spans="1:4" x14ac:dyDescent="0.25">
      <c r="A94" t="s">
        <v>27</v>
      </c>
      <c r="B94">
        <v>42</v>
      </c>
      <c r="C94" t="s">
        <v>269</v>
      </c>
      <c r="D94" t="s">
        <v>75</v>
      </c>
    </row>
    <row r="95" spans="1:4" x14ac:dyDescent="0.25">
      <c r="A95" t="s">
        <v>129</v>
      </c>
      <c r="B95">
        <v>44</v>
      </c>
      <c r="C95" t="s">
        <v>269</v>
      </c>
      <c r="D95" t="s">
        <v>75</v>
      </c>
    </row>
    <row r="96" spans="1:4" x14ac:dyDescent="0.25">
      <c r="A96" t="s">
        <v>130</v>
      </c>
      <c r="B96">
        <v>45</v>
      </c>
      <c r="C96" t="s">
        <v>269</v>
      </c>
      <c r="D96" t="s">
        <v>75</v>
      </c>
    </row>
    <row r="97" spans="1:4" x14ac:dyDescent="0.25">
      <c r="A97" t="s">
        <v>31</v>
      </c>
      <c r="B97">
        <v>51</v>
      </c>
      <c r="C97" t="s">
        <v>269</v>
      </c>
      <c r="D97" t="s">
        <v>75</v>
      </c>
    </row>
    <row r="98" spans="1:4" x14ac:dyDescent="0.25">
      <c r="A98" t="s">
        <v>32</v>
      </c>
      <c r="B98">
        <v>53</v>
      </c>
      <c r="C98" t="s">
        <v>269</v>
      </c>
      <c r="D98" t="s">
        <v>75</v>
      </c>
    </row>
    <row r="99" spans="1:4" x14ac:dyDescent="0.25">
      <c r="A99" t="s">
        <v>40</v>
      </c>
      <c r="B99">
        <v>66</v>
      </c>
      <c r="C99" t="s">
        <v>269</v>
      </c>
      <c r="D99" t="s">
        <v>75</v>
      </c>
    </row>
    <row r="100" spans="1:4" x14ac:dyDescent="0.25">
      <c r="A100" t="s">
        <v>136</v>
      </c>
      <c r="B100">
        <v>54</v>
      </c>
      <c r="C100" t="s">
        <v>269</v>
      </c>
      <c r="D100" t="s">
        <v>75</v>
      </c>
    </row>
    <row r="101" spans="1:4" x14ac:dyDescent="0.25">
      <c r="A101" t="s">
        <v>33</v>
      </c>
      <c r="B101">
        <v>55</v>
      </c>
      <c r="C101" t="s">
        <v>269</v>
      </c>
      <c r="D101" t="s">
        <v>75</v>
      </c>
    </row>
    <row r="102" spans="1:4" x14ac:dyDescent="0.25">
      <c r="A102" t="s">
        <v>138</v>
      </c>
      <c r="B102">
        <v>57</v>
      </c>
      <c r="C102" t="s">
        <v>269</v>
      </c>
      <c r="D102" t="s">
        <v>75</v>
      </c>
    </row>
    <row r="103" spans="1:4" x14ac:dyDescent="0.25">
      <c r="A103" t="s">
        <v>38</v>
      </c>
      <c r="B103">
        <v>61</v>
      </c>
      <c r="C103" t="s">
        <v>269</v>
      </c>
      <c r="D103" t="s">
        <v>75</v>
      </c>
    </row>
    <row r="104" spans="1:4" x14ac:dyDescent="0.25">
      <c r="A104" t="s">
        <v>143</v>
      </c>
      <c r="B104">
        <v>68</v>
      </c>
      <c r="C104" t="s">
        <v>269</v>
      </c>
      <c r="D104" t="s">
        <v>75</v>
      </c>
    </row>
    <row r="105" spans="1:4" x14ac:dyDescent="0.25">
      <c r="A105" t="s">
        <v>146</v>
      </c>
      <c r="B105">
        <v>72</v>
      </c>
      <c r="C105" t="s">
        <v>269</v>
      </c>
      <c r="D105" t="s">
        <v>75</v>
      </c>
    </row>
    <row r="106" spans="1:4" x14ac:dyDescent="0.25">
      <c r="A106" t="s">
        <v>44</v>
      </c>
      <c r="B106">
        <v>75</v>
      </c>
      <c r="C106" t="s">
        <v>269</v>
      </c>
      <c r="D106" t="s">
        <v>75</v>
      </c>
    </row>
    <row r="107" spans="1:4" x14ac:dyDescent="0.25">
      <c r="A107" t="s">
        <v>150</v>
      </c>
      <c r="B107">
        <v>77</v>
      </c>
      <c r="C107" t="s">
        <v>269</v>
      </c>
      <c r="D107" t="s">
        <v>75</v>
      </c>
    </row>
    <row r="108" spans="1:4" x14ac:dyDescent="0.25">
      <c r="A108" t="s">
        <v>151</v>
      </c>
      <c r="B108">
        <v>78</v>
      </c>
      <c r="C108" t="s">
        <v>269</v>
      </c>
      <c r="D108" t="s">
        <v>75</v>
      </c>
    </row>
    <row r="109" spans="1:4" x14ac:dyDescent="0.25">
      <c r="A109" t="s">
        <v>156</v>
      </c>
      <c r="B109">
        <v>241</v>
      </c>
      <c r="C109" t="s">
        <v>269</v>
      </c>
      <c r="D109" t="s">
        <v>75</v>
      </c>
    </row>
    <row r="110" spans="1:4" x14ac:dyDescent="0.25">
      <c r="A110" t="s">
        <v>157</v>
      </c>
      <c r="B110">
        <v>85</v>
      </c>
      <c r="C110" t="s">
        <v>269</v>
      </c>
      <c r="D110" t="s">
        <v>75</v>
      </c>
    </row>
    <row r="111" spans="1:4" x14ac:dyDescent="0.25">
      <c r="A111" t="s">
        <v>158</v>
      </c>
      <c r="B111">
        <v>86</v>
      </c>
      <c r="C111" t="s">
        <v>269</v>
      </c>
      <c r="D111" t="s">
        <v>75</v>
      </c>
    </row>
    <row r="112" spans="1:4" x14ac:dyDescent="0.25">
      <c r="A112" t="s">
        <v>48</v>
      </c>
      <c r="B112">
        <v>87</v>
      </c>
      <c r="C112" t="s">
        <v>269</v>
      </c>
      <c r="D112" t="s">
        <v>75</v>
      </c>
    </row>
    <row r="113" spans="1:4" x14ac:dyDescent="0.25">
      <c r="A113" t="s">
        <v>50</v>
      </c>
      <c r="B113">
        <v>89</v>
      </c>
      <c r="C113" t="s">
        <v>269</v>
      </c>
      <c r="D113" t="s">
        <v>75</v>
      </c>
    </row>
    <row r="114" spans="1:4" x14ac:dyDescent="0.25">
      <c r="A114" t="s">
        <v>160</v>
      </c>
      <c r="B114">
        <v>90</v>
      </c>
      <c r="C114" t="s">
        <v>269</v>
      </c>
      <c r="D114" t="s">
        <v>75</v>
      </c>
    </row>
    <row r="115" spans="1:4" x14ac:dyDescent="0.25">
      <c r="A115" t="s">
        <v>161</v>
      </c>
      <c r="B115">
        <v>91</v>
      </c>
      <c r="C115" t="s">
        <v>269</v>
      </c>
      <c r="D115" t="s">
        <v>75</v>
      </c>
    </row>
    <row r="116" spans="1:4" x14ac:dyDescent="0.25">
      <c r="A116" t="s">
        <v>51</v>
      </c>
      <c r="B116">
        <v>92</v>
      </c>
      <c r="C116" t="s">
        <v>269</v>
      </c>
      <c r="D116" t="s">
        <v>75</v>
      </c>
    </row>
    <row r="117" spans="1:4" x14ac:dyDescent="0.25">
      <c r="A117" t="s">
        <v>163</v>
      </c>
      <c r="B117">
        <v>94</v>
      </c>
      <c r="C117" t="s">
        <v>269</v>
      </c>
      <c r="D117" t="s">
        <v>75</v>
      </c>
    </row>
    <row r="118" spans="1:4" x14ac:dyDescent="0.25">
      <c r="A118" t="s">
        <v>56</v>
      </c>
      <c r="B118">
        <v>101</v>
      </c>
      <c r="C118" t="s">
        <v>269</v>
      </c>
      <c r="D118" t="s">
        <v>75</v>
      </c>
    </row>
    <row r="119" spans="1:4" x14ac:dyDescent="0.25">
      <c r="A119" t="s">
        <v>252</v>
      </c>
      <c r="B119">
        <v>103</v>
      </c>
      <c r="C119" t="s">
        <v>269</v>
      </c>
      <c r="D119" t="s">
        <v>75</v>
      </c>
    </row>
    <row r="120" spans="1:4" x14ac:dyDescent="0.25">
      <c r="A120" t="s">
        <v>170</v>
      </c>
      <c r="B120">
        <v>107</v>
      </c>
      <c r="C120" t="s">
        <v>269</v>
      </c>
      <c r="D120" t="s">
        <v>75</v>
      </c>
    </row>
    <row r="121" spans="1:4" x14ac:dyDescent="0.25">
      <c r="A121" t="s">
        <v>62</v>
      </c>
      <c r="B121">
        <v>109</v>
      </c>
      <c r="C121" t="s">
        <v>269</v>
      </c>
      <c r="D121" t="s">
        <v>75</v>
      </c>
    </row>
    <row r="122" spans="1:4" x14ac:dyDescent="0.25">
      <c r="A122" t="s">
        <v>66</v>
      </c>
      <c r="B122">
        <v>114</v>
      </c>
      <c r="C122" t="s">
        <v>269</v>
      </c>
      <c r="D122" t="s">
        <v>75</v>
      </c>
    </row>
    <row r="123" spans="1:4" x14ac:dyDescent="0.25">
      <c r="A123" t="s">
        <v>176</v>
      </c>
      <c r="B123">
        <v>120</v>
      </c>
      <c r="C123" t="s">
        <v>269</v>
      </c>
      <c r="D123" t="s">
        <v>75</v>
      </c>
    </row>
    <row r="124" spans="1:4" x14ac:dyDescent="0.25">
      <c r="A124" t="s">
        <v>177</v>
      </c>
      <c r="B124">
        <v>122</v>
      </c>
      <c r="C124" t="s">
        <v>269</v>
      </c>
      <c r="D124" t="s">
        <v>75</v>
      </c>
    </row>
    <row r="125" spans="1:4" x14ac:dyDescent="0.25">
      <c r="A125" t="s">
        <v>253</v>
      </c>
      <c r="B125">
        <v>127</v>
      </c>
      <c r="C125" t="s">
        <v>269</v>
      </c>
      <c r="D125" t="s">
        <v>75</v>
      </c>
    </row>
    <row r="126" spans="1:4" x14ac:dyDescent="0.25">
      <c r="A126" t="s">
        <v>184</v>
      </c>
      <c r="B126">
        <v>129</v>
      </c>
      <c r="C126" t="s">
        <v>269</v>
      </c>
      <c r="D126" t="s">
        <v>75</v>
      </c>
    </row>
    <row r="127" spans="1:4" x14ac:dyDescent="0.25">
      <c r="A127" t="s">
        <v>185</v>
      </c>
      <c r="B127">
        <v>130</v>
      </c>
      <c r="C127" t="s">
        <v>269</v>
      </c>
      <c r="D127" t="s">
        <v>75</v>
      </c>
    </row>
    <row r="128" spans="1:4" x14ac:dyDescent="0.25">
      <c r="A128" t="s">
        <v>75</v>
      </c>
      <c r="B128">
        <v>131</v>
      </c>
      <c r="C128" t="s">
        <v>269</v>
      </c>
      <c r="D128" t="s">
        <v>75</v>
      </c>
    </row>
    <row r="129" spans="1:4" x14ac:dyDescent="0.25">
      <c r="A129" t="s">
        <v>186</v>
      </c>
      <c r="B129">
        <v>133</v>
      </c>
      <c r="C129" t="s">
        <v>269</v>
      </c>
      <c r="D129" t="s">
        <v>75</v>
      </c>
    </row>
    <row r="130" spans="1:4" x14ac:dyDescent="0.25">
      <c r="A130" t="s">
        <v>191</v>
      </c>
      <c r="B130">
        <v>138</v>
      </c>
      <c r="C130" t="s">
        <v>269</v>
      </c>
      <c r="D130" t="s">
        <v>75</v>
      </c>
    </row>
    <row r="131" spans="1:4" x14ac:dyDescent="0.25">
      <c r="A131" t="s">
        <v>192</v>
      </c>
      <c r="B131">
        <v>140</v>
      </c>
      <c r="C131" t="s">
        <v>269</v>
      </c>
      <c r="D131" t="s">
        <v>75</v>
      </c>
    </row>
    <row r="132" spans="1:4" x14ac:dyDescent="0.25">
      <c r="A132" t="s">
        <v>194</v>
      </c>
      <c r="B132">
        <v>142</v>
      </c>
      <c r="C132" t="s">
        <v>269</v>
      </c>
      <c r="D132" t="s">
        <v>75</v>
      </c>
    </row>
    <row r="133" spans="1:4" x14ac:dyDescent="0.25">
      <c r="A133" t="s">
        <v>195</v>
      </c>
      <c r="B133">
        <v>143</v>
      </c>
      <c r="C133" t="s">
        <v>269</v>
      </c>
      <c r="D133" t="s">
        <v>75</v>
      </c>
    </row>
    <row r="134" spans="1:4" x14ac:dyDescent="0.25">
      <c r="A134" t="s">
        <v>216</v>
      </c>
      <c r="B134">
        <v>157</v>
      </c>
      <c r="C134" t="s">
        <v>269</v>
      </c>
      <c r="D134" t="s">
        <v>75</v>
      </c>
    </row>
    <row r="135" spans="1:4" x14ac:dyDescent="0.25">
      <c r="A135" t="s">
        <v>218</v>
      </c>
      <c r="B135">
        <v>160</v>
      </c>
      <c r="C135" t="s">
        <v>269</v>
      </c>
      <c r="D135" t="s">
        <v>75</v>
      </c>
    </row>
    <row r="136" spans="1:4" x14ac:dyDescent="0.25">
      <c r="A136" t="s">
        <v>219</v>
      </c>
      <c r="B136">
        <v>162</v>
      </c>
      <c r="C136" t="s">
        <v>269</v>
      </c>
      <c r="D136" t="s">
        <v>75</v>
      </c>
    </row>
    <row r="137" spans="1:4" x14ac:dyDescent="0.25">
      <c r="A137" t="s">
        <v>220</v>
      </c>
      <c r="B137">
        <v>163</v>
      </c>
      <c r="C137" t="s">
        <v>269</v>
      </c>
      <c r="D137" t="s">
        <v>75</v>
      </c>
    </row>
    <row r="138" spans="1:4" x14ac:dyDescent="0.25">
      <c r="A138" t="s">
        <v>96</v>
      </c>
      <c r="B138">
        <v>166</v>
      </c>
      <c r="C138" t="s">
        <v>269</v>
      </c>
      <c r="D138" t="s">
        <v>75</v>
      </c>
    </row>
    <row r="139" spans="1:4" x14ac:dyDescent="0.25">
      <c r="A139" t="s">
        <v>223</v>
      </c>
      <c r="B139">
        <v>167</v>
      </c>
      <c r="C139" t="s">
        <v>269</v>
      </c>
      <c r="D139" t="s">
        <v>75</v>
      </c>
    </row>
    <row r="140" spans="1:4" x14ac:dyDescent="0.25">
      <c r="A140" t="s">
        <v>254</v>
      </c>
      <c r="B140">
        <v>169</v>
      </c>
      <c r="C140" t="s">
        <v>269</v>
      </c>
      <c r="D140" t="s">
        <v>75</v>
      </c>
    </row>
    <row r="141" spans="1:4" x14ac:dyDescent="0.25">
      <c r="A141" t="s">
        <v>256</v>
      </c>
      <c r="B141">
        <v>21</v>
      </c>
      <c r="C141" t="s">
        <v>270</v>
      </c>
    </row>
    <row r="142" spans="1:4" x14ac:dyDescent="0.25">
      <c r="A142" t="s">
        <v>257</v>
      </c>
      <c r="B142">
        <v>22</v>
      </c>
      <c r="C142" t="s">
        <v>270</v>
      </c>
    </row>
    <row r="143" spans="1:4" x14ac:dyDescent="0.25">
      <c r="A143" t="s">
        <v>19</v>
      </c>
      <c r="B143">
        <v>27</v>
      </c>
      <c r="C143" t="s">
        <v>270</v>
      </c>
    </row>
    <row r="144" spans="1:4" x14ac:dyDescent="0.25">
      <c r="A144" t="s">
        <v>127</v>
      </c>
      <c r="B144">
        <v>40</v>
      </c>
      <c r="C144" t="s">
        <v>270</v>
      </c>
    </row>
    <row r="145" spans="1:3" x14ac:dyDescent="0.25">
      <c r="A145" t="s">
        <v>30</v>
      </c>
      <c r="B145">
        <v>223</v>
      </c>
      <c r="C145" t="s">
        <v>270</v>
      </c>
    </row>
    <row r="146" spans="1:3" x14ac:dyDescent="0.25">
      <c r="A146" t="s">
        <v>54</v>
      </c>
      <c r="B146">
        <v>96</v>
      </c>
      <c r="C146" t="s">
        <v>270</v>
      </c>
    </row>
    <row r="147" spans="1:3" x14ac:dyDescent="0.25">
      <c r="A147" t="s">
        <v>164</v>
      </c>
      <c r="B147">
        <v>97</v>
      </c>
      <c r="C147" t="s">
        <v>270</v>
      </c>
    </row>
    <row r="148" spans="1:3" x14ac:dyDescent="0.25">
      <c r="A148" t="s">
        <v>166</v>
      </c>
      <c r="B148">
        <v>99</v>
      </c>
      <c r="C148" t="s">
        <v>270</v>
      </c>
    </row>
    <row r="149" spans="1:3" x14ac:dyDescent="0.25">
      <c r="A149" t="s">
        <v>60</v>
      </c>
      <c r="B149">
        <v>108</v>
      </c>
      <c r="C149" t="s">
        <v>270</v>
      </c>
    </row>
    <row r="150" spans="1:3" x14ac:dyDescent="0.25">
      <c r="A150" t="s">
        <v>62</v>
      </c>
      <c r="B150">
        <v>109</v>
      </c>
      <c r="C150" t="s">
        <v>270</v>
      </c>
    </row>
    <row r="151" spans="1:3" x14ac:dyDescent="0.25">
      <c r="A151" t="s">
        <v>171</v>
      </c>
      <c r="B151">
        <v>110</v>
      </c>
      <c r="C151" t="s">
        <v>270</v>
      </c>
    </row>
    <row r="152" spans="1:3" x14ac:dyDescent="0.25">
      <c r="A152" t="s">
        <v>63</v>
      </c>
      <c r="B152">
        <v>111</v>
      </c>
      <c r="C152" t="s">
        <v>270</v>
      </c>
    </row>
    <row r="153" spans="1:3" x14ac:dyDescent="0.25">
      <c r="A153" t="s">
        <v>64</v>
      </c>
      <c r="B153">
        <v>112</v>
      </c>
      <c r="C153" t="s">
        <v>270</v>
      </c>
    </row>
    <row r="154" spans="1:3" x14ac:dyDescent="0.25">
      <c r="A154" t="s">
        <v>65</v>
      </c>
      <c r="B154">
        <v>113</v>
      </c>
      <c r="C154" t="s">
        <v>270</v>
      </c>
    </row>
    <row r="155" spans="1:3" x14ac:dyDescent="0.25">
      <c r="A155" t="s">
        <v>185</v>
      </c>
      <c r="B155">
        <v>130</v>
      </c>
      <c r="C155" t="s">
        <v>270</v>
      </c>
    </row>
    <row r="156" spans="1:3" x14ac:dyDescent="0.25">
      <c r="A156" t="s">
        <v>200</v>
      </c>
      <c r="B156">
        <v>144</v>
      </c>
      <c r="C156" t="s">
        <v>270</v>
      </c>
    </row>
    <row r="157" spans="1:3" x14ac:dyDescent="0.25">
      <c r="A157" t="s">
        <v>209</v>
      </c>
      <c r="B157">
        <v>149</v>
      </c>
      <c r="C157" t="s">
        <v>270</v>
      </c>
    </row>
    <row r="158" spans="1:3" x14ac:dyDescent="0.25">
      <c r="A158" t="s">
        <v>213</v>
      </c>
      <c r="B158">
        <v>154</v>
      </c>
      <c r="C158" t="s">
        <v>270</v>
      </c>
    </row>
    <row r="159" spans="1:3" x14ac:dyDescent="0.25">
      <c r="A159" t="s">
        <v>214</v>
      </c>
      <c r="B159">
        <v>155</v>
      </c>
      <c r="C159" t="s">
        <v>270</v>
      </c>
    </row>
    <row r="160" spans="1:3" x14ac:dyDescent="0.25">
      <c r="A160" t="s">
        <v>215</v>
      </c>
      <c r="B160">
        <v>156</v>
      </c>
      <c r="C160" t="s">
        <v>270</v>
      </c>
    </row>
    <row r="161" spans="1:3" x14ac:dyDescent="0.25">
      <c r="A161" t="s">
        <v>218</v>
      </c>
      <c r="B161">
        <v>160</v>
      </c>
      <c r="C161" t="s">
        <v>270</v>
      </c>
    </row>
    <row r="162" spans="1:3" x14ac:dyDescent="0.25">
      <c r="A162" t="s">
        <v>220</v>
      </c>
      <c r="B162">
        <v>163</v>
      </c>
      <c r="C162" t="s">
        <v>270</v>
      </c>
    </row>
    <row r="163" spans="1:3" x14ac:dyDescent="0.25">
      <c r="A163" t="s">
        <v>227</v>
      </c>
      <c r="B163">
        <v>171</v>
      </c>
      <c r="C163" t="s">
        <v>270</v>
      </c>
    </row>
    <row r="164" spans="1:3" x14ac:dyDescent="0.25">
      <c r="A164" t="s">
        <v>245</v>
      </c>
      <c r="B164">
        <v>12</v>
      </c>
      <c r="C164" t="s">
        <v>271</v>
      </c>
    </row>
    <row r="165" spans="1:3" x14ac:dyDescent="0.25">
      <c r="A165" t="s">
        <v>11</v>
      </c>
      <c r="B165">
        <v>14</v>
      </c>
      <c r="C165" t="s">
        <v>271</v>
      </c>
    </row>
    <row r="166" spans="1:3" x14ac:dyDescent="0.25">
      <c r="A166" t="s">
        <v>186</v>
      </c>
      <c r="B166">
        <v>133</v>
      </c>
      <c r="C166" t="s">
        <v>271</v>
      </c>
    </row>
    <row r="167" spans="1:3" x14ac:dyDescent="0.25">
      <c r="A167" t="s">
        <v>207</v>
      </c>
      <c r="B167">
        <v>145</v>
      </c>
      <c r="C167" t="s">
        <v>271</v>
      </c>
    </row>
    <row r="168" spans="1:3" x14ac:dyDescent="0.25">
      <c r="A168" t="s">
        <v>221</v>
      </c>
      <c r="B168">
        <v>164</v>
      </c>
      <c r="C168" t="s">
        <v>271</v>
      </c>
    </row>
    <row r="169" spans="1:3" x14ac:dyDescent="0.25">
      <c r="A169" t="s">
        <v>222</v>
      </c>
      <c r="B169">
        <v>165</v>
      </c>
      <c r="C169" t="s">
        <v>271</v>
      </c>
    </row>
    <row r="170" spans="1:3" x14ac:dyDescent="0.25">
      <c r="A170" t="s">
        <v>228</v>
      </c>
      <c r="B170">
        <v>174</v>
      </c>
      <c r="C170" t="s">
        <v>271</v>
      </c>
    </row>
    <row r="171" spans="1:3" x14ac:dyDescent="0.25">
      <c r="A171" t="s">
        <v>106</v>
      </c>
      <c r="B171">
        <v>7</v>
      </c>
      <c r="C171" t="s">
        <v>272</v>
      </c>
    </row>
    <row r="172" spans="1:3" x14ac:dyDescent="0.25">
      <c r="A172" t="s">
        <v>107</v>
      </c>
      <c r="B172">
        <v>8</v>
      </c>
      <c r="C172" t="s">
        <v>272</v>
      </c>
    </row>
    <row r="173" spans="1:3" x14ac:dyDescent="0.25">
      <c r="A173" t="s">
        <v>6</v>
      </c>
      <c r="B173">
        <v>9</v>
      </c>
      <c r="C173" t="s">
        <v>272</v>
      </c>
    </row>
    <row r="174" spans="1:3" x14ac:dyDescent="0.25">
      <c r="A174" t="s">
        <v>260</v>
      </c>
      <c r="B174">
        <v>16</v>
      </c>
      <c r="C174" t="s">
        <v>272</v>
      </c>
    </row>
    <row r="175" spans="1:3" x14ac:dyDescent="0.25">
      <c r="A175" t="s">
        <v>13</v>
      </c>
      <c r="B175">
        <v>17</v>
      </c>
      <c r="C175" t="s">
        <v>272</v>
      </c>
    </row>
    <row r="176" spans="1:3" x14ac:dyDescent="0.25">
      <c r="A176" t="s">
        <v>19</v>
      </c>
      <c r="B176">
        <v>27</v>
      </c>
      <c r="C176" t="s">
        <v>272</v>
      </c>
    </row>
    <row r="177" spans="1:3" x14ac:dyDescent="0.25">
      <c r="A177" t="s">
        <v>21</v>
      </c>
      <c r="B177">
        <v>32</v>
      </c>
      <c r="C177" t="s">
        <v>272</v>
      </c>
    </row>
    <row r="178" spans="1:3" x14ac:dyDescent="0.25">
      <c r="A178" t="s">
        <v>128</v>
      </c>
      <c r="B178">
        <v>41</v>
      </c>
      <c r="C178" t="s">
        <v>272</v>
      </c>
    </row>
    <row r="179" spans="1:3" x14ac:dyDescent="0.25">
      <c r="A179" t="s">
        <v>29</v>
      </c>
      <c r="B179">
        <v>43</v>
      </c>
      <c r="C179" t="s">
        <v>272</v>
      </c>
    </row>
    <row r="180" spans="1:3" x14ac:dyDescent="0.25">
      <c r="A180" t="s">
        <v>132</v>
      </c>
      <c r="B180">
        <v>48</v>
      </c>
      <c r="C180" t="s">
        <v>272</v>
      </c>
    </row>
    <row r="181" spans="1:3" x14ac:dyDescent="0.25">
      <c r="A181" t="s">
        <v>32</v>
      </c>
      <c r="B181">
        <v>53</v>
      </c>
      <c r="C181" t="s">
        <v>272</v>
      </c>
    </row>
    <row r="182" spans="1:3" x14ac:dyDescent="0.25">
      <c r="A182" t="s">
        <v>136</v>
      </c>
      <c r="B182">
        <v>54</v>
      </c>
      <c r="C182" t="s">
        <v>272</v>
      </c>
    </row>
    <row r="183" spans="1:3" x14ac:dyDescent="0.25">
      <c r="A183" t="s">
        <v>37</v>
      </c>
      <c r="B183">
        <v>60</v>
      </c>
      <c r="C183" t="s">
        <v>272</v>
      </c>
    </row>
    <row r="184" spans="1:3" x14ac:dyDescent="0.25">
      <c r="A184" t="s">
        <v>143</v>
      </c>
      <c r="B184">
        <v>68</v>
      </c>
      <c r="C184" t="s">
        <v>272</v>
      </c>
    </row>
    <row r="185" spans="1:3" x14ac:dyDescent="0.25">
      <c r="A185" t="s">
        <v>145</v>
      </c>
      <c r="B185">
        <v>70</v>
      </c>
      <c r="C185" t="s">
        <v>272</v>
      </c>
    </row>
    <row r="186" spans="1:3" x14ac:dyDescent="0.25">
      <c r="A186" t="s">
        <v>44</v>
      </c>
      <c r="B186">
        <v>75</v>
      </c>
      <c r="C186" t="s">
        <v>272</v>
      </c>
    </row>
    <row r="187" spans="1:3" x14ac:dyDescent="0.25">
      <c r="A187" t="s">
        <v>152</v>
      </c>
      <c r="B187">
        <v>79</v>
      </c>
      <c r="C187" t="s">
        <v>272</v>
      </c>
    </row>
    <row r="188" spans="1:3" x14ac:dyDescent="0.25">
      <c r="A188" t="s">
        <v>155</v>
      </c>
      <c r="B188">
        <v>82</v>
      </c>
      <c r="C188" t="s">
        <v>272</v>
      </c>
    </row>
    <row r="189" spans="1:3" x14ac:dyDescent="0.25">
      <c r="A189" t="s">
        <v>168</v>
      </c>
      <c r="B189">
        <v>105</v>
      </c>
      <c r="C189" t="s">
        <v>272</v>
      </c>
    </row>
    <row r="190" spans="1:3" x14ac:dyDescent="0.25">
      <c r="A190" t="s">
        <v>169</v>
      </c>
      <c r="B190">
        <v>106</v>
      </c>
      <c r="C190" t="s">
        <v>272</v>
      </c>
    </row>
    <row r="191" spans="1:3" x14ac:dyDescent="0.25">
      <c r="A191" t="s">
        <v>66</v>
      </c>
      <c r="B191">
        <v>114</v>
      </c>
      <c r="C191" t="s">
        <v>272</v>
      </c>
    </row>
    <row r="192" spans="1:3" x14ac:dyDescent="0.25">
      <c r="A192" t="s">
        <v>183</v>
      </c>
      <c r="B192">
        <v>128</v>
      </c>
      <c r="C192" t="s">
        <v>272</v>
      </c>
    </row>
    <row r="193" spans="1:3" x14ac:dyDescent="0.25">
      <c r="A193" t="s">
        <v>184</v>
      </c>
      <c r="B193">
        <v>129</v>
      </c>
      <c r="C193" t="s">
        <v>272</v>
      </c>
    </row>
    <row r="194" spans="1:3" x14ac:dyDescent="0.25">
      <c r="A194" t="s">
        <v>190</v>
      </c>
      <c r="B194">
        <v>136</v>
      </c>
      <c r="C194" t="s">
        <v>272</v>
      </c>
    </row>
    <row r="195" spans="1:3" x14ac:dyDescent="0.25">
      <c r="A195" t="s">
        <v>210</v>
      </c>
      <c r="B195">
        <v>150</v>
      </c>
      <c r="C195" t="s">
        <v>272</v>
      </c>
    </row>
    <row r="196" spans="1:3" x14ac:dyDescent="0.25">
      <c r="A196" t="s">
        <v>95</v>
      </c>
      <c r="B196">
        <v>161</v>
      </c>
      <c r="C196" t="s">
        <v>272</v>
      </c>
    </row>
    <row r="197" spans="1:3" x14ac:dyDescent="0.25">
      <c r="A197" t="s">
        <v>96</v>
      </c>
      <c r="B197">
        <v>166</v>
      </c>
      <c r="C197" t="s">
        <v>272</v>
      </c>
    </row>
    <row r="198" spans="1:3" x14ac:dyDescent="0.25">
      <c r="A198" t="s">
        <v>229</v>
      </c>
      <c r="B198">
        <v>176</v>
      </c>
      <c r="C198" t="s">
        <v>272</v>
      </c>
    </row>
    <row r="199" spans="1:3" x14ac:dyDescent="0.25">
      <c r="A199" t="s">
        <v>100</v>
      </c>
      <c r="B199">
        <v>177</v>
      </c>
      <c r="C199" t="s">
        <v>272</v>
      </c>
    </row>
    <row r="200" spans="1:3" x14ac:dyDescent="0.25">
      <c r="A200" t="s">
        <v>101</v>
      </c>
      <c r="B200">
        <v>178</v>
      </c>
      <c r="C200" t="s">
        <v>272</v>
      </c>
    </row>
    <row r="201" spans="1:3" x14ac:dyDescent="0.25">
      <c r="A201" t="s">
        <v>11</v>
      </c>
      <c r="B201">
        <v>14</v>
      </c>
      <c r="C201" t="s">
        <v>273</v>
      </c>
    </row>
    <row r="202" spans="1:3" x14ac:dyDescent="0.25">
      <c r="A202" t="s">
        <v>16</v>
      </c>
      <c r="B202">
        <v>24</v>
      </c>
      <c r="C202" t="s">
        <v>273</v>
      </c>
    </row>
    <row r="203" spans="1:3" x14ac:dyDescent="0.25">
      <c r="A203" t="s">
        <v>23</v>
      </c>
      <c r="B203">
        <v>38</v>
      </c>
      <c r="C203" t="s">
        <v>273</v>
      </c>
    </row>
    <row r="204" spans="1:3" x14ac:dyDescent="0.25">
      <c r="A204" t="s">
        <v>128</v>
      </c>
      <c r="B204">
        <v>41</v>
      </c>
      <c r="C204" t="s">
        <v>273</v>
      </c>
    </row>
    <row r="205" spans="1:3" x14ac:dyDescent="0.25">
      <c r="A205" t="s">
        <v>130</v>
      </c>
      <c r="B205">
        <v>45</v>
      </c>
      <c r="C205" t="s">
        <v>273</v>
      </c>
    </row>
    <row r="206" spans="1:3" x14ac:dyDescent="0.25">
      <c r="A206" t="s">
        <v>147</v>
      </c>
      <c r="B206">
        <v>73</v>
      </c>
      <c r="C206" t="s">
        <v>273</v>
      </c>
    </row>
    <row r="207" spans="1:3" x14ac:dyDescent="0.25">
      <c r="A207" t="s">
        <v>150</v>
      </c>
      <c r="B207">
        <v>77</v>
      </c>
      <c r="C207" t="s">
        <v>273</v>
      </c>
    </row>
    <row r="208" spans="1:3" x14ac:dyDescent="0.25">
      <c r="A208" t="s">
        <v>163</v>
      </c>
      <c r="B208">
        <v>94</v>
      </c>
      <c r="C208" t="s">
        <v>273</v>
      </c>
    </row>
    <row r="209" spans="1:3" x14ac:dyDescent="0.25">
      <c r="A209" t="s">
        <v>173</v>
      </c>
      <c r="B209">
        <v>116</v>
      </c>
      <c r="C209" t="s">
        <v>273</v>
      </c>
    </row>
    <row r="210" spans="1:3" x14ac:dyDescent="0.25">
      <c r="A210" t="s">
        <v>239</v>
      </c>
      <c r="B210">
        <v>132</v>
      </c>
      <c r="C210" t="s">
        <v>273</v>
      </c>
    </row>
    <row r="211" spans="1:3" x14ac:dyDescent="0.25">
      <c r="A211" t="s">
        <v>80</v>
      </c>
      <c r="B211">
        <v>137</v>
      </c>
      <c r="C211" t="s">
        <v>273</v>
      </c>
    </row>
    <row r="212" spans="1:3" x14ac:dyDescent="0.25">
      <c r="A212" t="s">
        <v>207</v>
      </c>
      <c r="B212">
        <v>145</v>
      </c>
      <c r="C212" t="s">
        <v>273</v>
      </c>
    </row>
    <row r="213" spans="1:3" x14ac:dyDescent="0.25">
      <c r="A213" t="s">
        <v>216</v>
      </c>
      <c r="B213">
        <v>157</v>
      </c>
      <c r="C213" t="s">
        <v>273</v>
      </c>
    </row>
    <row r="214" spans="1:3" x14ac:dyDescent="0.25">
      <c r="A214" t="s">
        <v>127</v>
      </c>
      <c r="B214">
        <v>40</v>
      </c>
      <c r="C214" t="s">
        <v>274</v>
      </c>
    </row>
    <row r="215" spans="1:3" x14ac:dyDescent="0.25">
      <c r="A215" t="s">
        <v>137</v>
      </c>
      <c r="B215">
        <v>56</v>
      </c>
      <c r="C215" t="s">
        <v>274</v>
      </c>
    </row>
    <row r="216" spans="1:3" x14ac:dyDescent="0.25">
      <c r="A216" t="s">
        <v>138</v>
      </c>
      <c r="B216">
        <v>57</v>
      </c>
      <c r="C216" t="s">
        <v>274</v>
      </c>
    </row>
    <row r="217" spans="1:3" x14ac:dyDescent="0.25">
      <c r="A217" t="s">
        <v>140</v>
      </c>
      <c r="B217">
        <v>62</v>
      </c>
      <c r="C217" t="s">
        <v>274</v>
      </c>
    </row>
    <row r="218" spans="1:3" x14ac:dyDescent="0.25">
      <c r="A218" t="s">
        <v>40</v>
      </c>
      <c r="B218">
        <v>66</v>
      </c>
      <c r="C218" t="s">
        <v>274</v>
      </c>
    </row>
    <row r="219" spans="1:3" x14ac:dyDescent="0.25">
      <c r="A219" t="s">
        <v>43</v>
      </c>
      <c r="B219">
        <v>74</v>
      </c>
      <c r="C219" t="s">
        <v>274</v>
      </c>
    </row>
    <row r="220" spans="1:3" x14ac:dyDescent="0.25">
      <c r="A220" t="s">
        <v>154</v>
      </c>
      <c r="B220">
        <v>81</v>
      </c>
      <c r="C220" t="s">
        <v>274</v>
      </c>
    </row>
    <row r="221" spans="1:3" x14ac:dyDescent="0.25">
      <c r="A221" t="s">
        <v>47</v>
      </c>
      <c r="B221">
        <v>84</v>
      </c>
      <c r="C221" t="s">
        <v>274</v>
      </c>
    </row>
    <row r="222" spans="1:3" x14ac:dyDescent="0.25">
      <c r="A222" t="s">
        <v>48</v>
      </c>
      <c r="B222">
        <v>87</v>
      </c>
      <c r="C222" t="s">
        <v>274</v>
      </c>
    </row>
    <row r="223" spans="1:3" x14ac:dyDescent="0.25">
      <c r="A223" t="s">
        <v>263</v>
      </c>
      <c r="B223">
        <v>93</v>
      </c>
      <c r="C223" t="s">
        <v>274</v>
      </c>
    </row>
    <row r="224" spans="1:3" x14ac:dyDescent="0.25">
      <c r="A224" t="s">
        <v>63</v>
      </c>
      <c r="B224">
        <v>111</v>
      </c>
      <c r="C224" t="s">
        <v>274</v>
      </c>
    </row>
    <row r="225" spans="1:3" x14ac:dyDescent="0.25">
      <c r="A225" t="s">
        <v>70</v>
      </c>
      <c r="B225">
        <v>121</v>
      </c>
      <c r="C225" t="s">
        <v>274</v>
      </c>
    </row>
    <row r="226" spans="1:3" x14ac:dyDescent="0.25">
      <c r="A226" t="s">
        <v>180</v>
      </c>
      <c r="B226">
        <v>126</v>
      </c>
      <c r="C226" t="s">
        <v>274</v>
      </c>
    </row>
    <row r="227" spans="1:3" x14ac:dyDescent="0.25">
      <c r="A227" t="s">
        <v>214</v>
      </c>
      <c r="B227">
        <v>155</v>
      </c>
      <c r="C227" t="s">
        <v>274</v>
      </c>
    </row>
    <row r="228" spans="1:3" x14ac:dyDescent="0.25">
      <c r="A228" t="s">
        <v>215</v>
      </c>
      <c r="B228">
        <v>156</v>
      </c>
      <c r="C228" t="s">
        <v>274</v>
      </c>
    </row>
    <row r="229" spans="1:3" x14ac:dyDescent="0.25">
      <c r="A229" t="s">
        <v>218</v>
      </c>
      <c r="B229">
        <v>160</v>
      </c>
      <c r="C229" t="s">
        <v>274</v>
      </c>
    </row>
    <row r="230" spans="1:3" x14ac:dyDescent="0.25">
      <c r="A230" t="s">
        <v>17</v>
      </c>
      <c r="B230">
        <v>25</v>
      </c>
      <c r="C230" t="s">
        <v>275</v>
      </c>
    </row>
    <row r="231" spans="1:3" x14ac:dyDescent="0.25">
      <c r="A231" t="s">
        <v>122</v>
      </c>
      <c r="B231">
        <v>36</v>
      </c>
      <c r="C231" t="s">
        <v>275</v>
      </c>
    </row>
    <row r="232" spans="1:3" x14ac:dyDescent="0.25">
      <c r="A232" t="s">
        <v>28</v>
      </c>
      <c r="B232">
        <v>222</v>
      </c>
      <c r="C232" t="s">
        <v>275</v>
      </c>
    </row>
    <row r="233" spans="1:3" x14ac:dyDescent="0.25">
      <c r="A233" t="s">
        <v>136</v>
      </c>
      <c r="B233">
        <v>54</v>
      </c>
      <c r="C233" t="s">
        <v>275</v>
      </c>
    </row>
    <row r="234" spans="1:3" x14ac:dyDescent="0.25">
      <c r="A234" t="s">
        <v>33</v>
      </c>
      <c r="B234">
        <v>55</v>
      </c>
      <c r="C234" t="s">
        <v>275</v>
      </c>
    </row>
    <row r="235" spans="1:3" x14ac:dyDescent="0.25">
      <c r="A235" t="s">
        <v>34</v>
      </c>
      <c r="B235">
        <v>224</v>
      </c>
      <c r="C235" t="s">
        <v>275</v>
      </c>
    </row>
    <row r="236" spans="1:3" x14ac:dyDescent="0.25">
      <c r="A236" t="s">
        <v>38</v>
      </c>
      <c r="B236">
        <v>61</v>
      </c>
      <c r="C236" t="s">
        <v>275</v>
      </c>
    </row>
    <row r="237" spans="1:3" x14ac:dyDescent="0.25">
      <c r="A237" t="s">
        <v>142</v>
      </c>
      <c r="B237">
        <v>64</v>
      </c>
      <c r="C237" t="s">
        <v>275</v>
      </c>
    </row>
    <row r="238" spans="1:3" x14ac:dyDescent="0.25">
      <c r="A238" t="s">
        <v>41</v>
      </c>
      <c r="B238">
        <v>67</v>
      </c>
      <c r="C238" t="s">
        <v>275</v>
      </c>
    </row>
    <row r="239" spans="1:3" x14ac:dyDescent="0.25">
      <c r="A239" t="s">
        <v>143</v>
      </c>
      <c r="B239">
        <v>68</v>
      </c>
      <c r="C239" t="s">
        <v>275</v>
      </c>
    </row>
    <row r="240" spans="1:3" x14ac:dyDescent="0.25">
      <c r="A240" t="s">
        <v>145</v>
      </c>
      <c r="B240">
        <v>70</v>
      </c>
      <c r="C240" t="s">
        <v>275</v>
      </c>
    </row>
    <row r="241" spans="1:3" x14ac:dyDescent="0.25">
      <c r="A241" t="s">
        <v>44</v>
      </c>
      <c r="B241">
        <v>75</v>
      </c>
      <c r="C241" t="s">
        <v>275</v>
      </c>
    </row>
    <row r="242" spans="1:3" x14ac:dyDescent="0.25">
      <c r="A242" t="s">
        <v>150</v>
      </c>
      <c r="B242">
        <v>77</v>
      </c>
      <c r="C242" t="s">
        <v>275</v>
      </c>
    </row>
    <row r="243" spans="1:3" x14ac:dyDescent="0.25">
      <c r="A243" t="s">
        <v>151</v>
      </c>
      <c r="B243">
        <v>78</v>
      </c>
      <c r="C243" t="s">
        <v>275</v>
      </c>
    </row>
    <row r="244" spans="1:3" x14ac:dyDescent="0.25">
      <c r="A244" t="s">
        <v>158</v>
      </c>
      <c r="B244">
        <v>86</v>
      </c>
      <c r="C244" t="s">
        <v>275</v>
      </c>
    </row>
    <row r="245" spans="1:3" x14ac:dyDescent="0.25">
      <c r="A245" t="s">
        <v>161</v>
      </c>
      <c r="B245">
        <v>91</v>
      </c>
      <c r="C245" t="s">
        <v>275</v>
      </c>
    </row>
    <row r="246" spans="1:3" x14ac:dyDescent="0.25">
      <c r="A246" t="s">
        <v>56</v>
      </c>
      <c r="B246">
        <v>101</v>
      </c>
      <c r="C246" t="s">
        <v>275</v>
      </c>
    </row>
    <row r="247" spans="1:3" x14ac:dyDescent="0.25">
      <c r="A247" t="s">
        <v>62</v>
      </c>
      <c r="B247">
        <v>109</v>
      </c>
      <c r="C247" t="s">
        <v>275</v>
      </c>
    </row>
    <row r="248" spans="1:3" x14ac:dyDescent="0.25">
      <c r="A248" t="s">
        <v>253</v>
      </c>
      <c r="B248">
        <v>127</v>
      </c>
      <c r="C248" t="s">
        <v>275</v>
      </c>
    </row>
    <row r="249" spans="1:3" x14ac:dyDescent="0.25">
      <c r="A249" t="s">
        <v>75</v>
      </c>
      <c r="B249">
        <v>131</v>
      </c>
      <c r="C249" t="s">
        <v>275</v>
      </c>
    </row>
    <row r="250" spans="1:3" x14ac:dyDescent="0.25">
      <c r="A250" t="s">
        <v>191</v>
      </c>
      <c r="B250">
        <v>138</v>
      </c>
      <c r="C250" t="s">
        <v>275</v>
      </c>
    </row>
    <row r="251" spans="1:3" x14ac:dyDescent="0.25">
      <c r="A251" t="s">
        <v>82</v>
      </c>
      <c r="B251">
        <v>139</v>
      </c>
      <c r="C251" t="s">
        <v>275</v>
      </c>
    </row>
    <row r="252" spans="1:3" x14ac:dyDescent="0.25">
      <c r="A252" t="s">
        <v>194</v>
      </c>
      <c r="B252">
        <v>142</v>
      </c>
      <c r="C252" t="s">
        <v>275</v>
      </c>
    </row>
    <row r="253" spans="1:3" x14ac:dyDescent="0.25">
      <c r="A253" t="s">
        <v>219</v>
      </c>
      <c r="B253">
        <v>162</v>
      </c>
      <c r="C253" t="s">
        <v>275</v>
      </c>
    </row>
    <row r="254" spans="1:3" x14ac:dyDescent="0.25">
      <c r="A254" t="s">
        <v>96</v>
      </c>
      <c r="B254">
        <v>166</v>
      </c>
      <c r="C254" t="s">
        <v>275</v>
      </c>
    </row>
    <row r="255" spans="1:3" x14ac:dyDescent="0.25">
      <c r="A255" t="s">
        <v>16</v>
      </c>
      <c r="B255">
        <v>24</v>
      </c>
      <c r="C255" t="s">
        <v>276</v>
      </c>
    </row>
    <row r="256" spans="1:3" x14ac:dyDescent="0.25">
      <c r="A256" t="s">
        <v>122</v>
      </c>
      <c r="B256">
        <v>36</v>
      </c>
      <c r="C256" t="s">
        <v>276</v>
      </c>
    </row>
    <row r="257" spans="1:3" x14ac:dyDescent="0.25">
      <c r="A257" t="s">
        <v>128</v>
      </c>
      <c r="B257">
        <v>41</v>
      </c>
      <c r="C257" t="s">
        <v>276</v>
      </c>
    </row>
    <row r="258" spans="1:3" x14ac:dyDescent="0.25">
      <c r="A258" t="s">
        <v>134</v>
      </c>
      <c r="B258">
        <v>50</v>
      </c>
      <c r="C258" t="s">
        <v>276</v>
      </c>
    </row>
    <row r="259" spans="1:3" x14ac:dyDescent="0.25">
      <c r="A259" t="s">
        <v>41</v>
      </c>
      <c r="B259">
        <v>67</v>
      </c>
      <c r="C259" t="s">
        <v>276</v>
      </c>
    </row>
    <row r="260" spans="1:3" x14ac:dyDescent="0.25">
      <c r="A260" t="s">
        <v>150</v>
      </c>
      <c r="B260">
        <v>77</v>
      </c>
      <c r="C260" t="s">
        <v>276</v>
      </c>
    </row>
    <row r="261" spans="1:3" x14ac:dyDescent="0.25">
      <c r="A261" t="s">
        <v>151</v>
      </c>
      <c r="B261">
        <v>78</v>
      </c>
      <c r="C261" t="s">
        <v>276</v>
      </c>
    </row>
    <row r="262" spans="1:3" x14ac:dyDescent="0.25">
      <c r="A262" t="s">
        <v>161</v>
      </c>
      <c r="B262">
        <v>91</v>
      </c>
      <c r="C262" t="s">
        <v>276</v>
      </c>
    </row>
    <row r="263" spans="1:3" x14ac:dyDescent="0.25">
      <c r="A263" t="s">
        <v>51</v>
      </c>
      <c r="B263">
        <v>92</v>
      </c>
      <c r="C263" t="s">
        <v>276</v>
      </c>
    </row>
    <row r="264" spans="1:3" x14ac:dyDescent="0.25">
      <c r="A264" t="s">
        <v>167</v>
      </c>
      <c r="B264">
        <v>100</v>
      </c>
      <c r="C264" t="s">
        <v>276</v>
      </c>
    </row>
    <row r="265" spans="1:3" x14ac:dyDescent="0.25">
      <c r="A265" t="s">
        <v>170</v>
      </c>
      <c r="B265">
        <v>107</v>
      </c>
      <c r="C265" t="s">
        <v>276</v>
      </c>
    </row>
    <row r="266" spans="1:3" x14ac:dyDescent="0.25">
      <c r="A266" t="s">
        <v>191</v>
      </c>
      <c r="B266">
        <v>138</v>
      </c>
      <c r="C266" t="s">
        <v>276</v>
      </c>
    </row>
    <row r="267" spans="1:3" x14ac:dyDescent="0.25">
      <c r="A267" t="s">
        <v>192</v>
      </c>
      <c r="B267">
        <v>140</v>
      </c>
      <c r="C267" t="s">
        <v>276</v>
      </c>
    </row>
    <row r="268" spans="1:3" x14ac:dyDescent="0.25">
      <c r="A268" t="s">
        <v>213</v>
      </c>
      <c r="B268">
        <v>154</v>
      </c>
      <c r="C268" t="s">
        <v>276</v>
      </c>
    </row>
    <row r="269" spans="1:3" x14ac:dyDescent="0.25">
      <c r="A269" t="s">
        <v>220</v>
      </c>
      <c r="B269">
        <v>163</v>
      </c>
      <c r="C269" t="s">
        <v>276</v>
      </c>
    </row>
    <row r="270" spans="1:3" x14ac:dyDescent="0.25">
      <c r="A270" t="s">
        <v>100</v>
      </c>
      <c r="B270">
        <v>177</v>
      </c>
      <c r="C270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27B78-080F-44B7-87CE-DBECAE59ECAD}">
  <dimension ref="A2:C544"/>
  <sheetViews>
    <sheetView zoomScale="160" zoomScaleNormal="160" workbookViewId="0"/>
  </sheetViews>
  <sheetFormatPr defaultRowHeight="15" x14ac:dyDescent="0.25"/>
  <cols>
    <col min="1" max="1" width="70" bestFit="1" customWidth="1"/>
    <col min="2" max="2" width="5.28515625" bestFit="1" customWidth="1"/>
    <col min="3" max="3" width="18.7109375" bestFit="1" customWidth="1"/>
    <col min="4" max="4" width="11.7109375" bestFit="1" customWidth="1"/>
    <col min="6" max="6" width="37" bestFit="1" customWidth="1"/>
  </cols>
  <sheetData>
    <row r="2" spans="1:3" x14ac:dyDescent="0.25">
      <c r="A2" t="s">
        <v>284</v>
      </c>
      <c r="B2" t="s">
        <v>281</v>
      </c>
      <c r="C2" t="s">
        <v>283</v>
      </c>
    </row>
    <row r="3" spans="1:3" x14ac:dyDescent="0.25">
      <c r="A3" t="s">
        <v>29</v>
      </c>
      <c r="B3">
        <v>43</v>
      </c>
      <c r="C3" t="s">
        <v>266</v>
      </c>
    </row>
    <row r="4" spans="1:3" x14ac:dyDescent="0.25">
      <c r="A4" t="s">
        <v>245</v>
      </c>
      <c r="B4">
        <v>12</v>
      </c>
      <c r="C4" t="s">
        <v>266</v>
      </c>
    </row>
    <row r="5" spans="1:3" x14ac:dyDescent="0.25">
      <c r="A5" t="s">
        <v>118</v>
      </c>
      <c r="B5">
        <v>29</v>
      </c>
      <c r="C5" t="s">
        <v>266</v>
      </c>
    </row>
    <row r="6" spans="1:3" x14ac:dyDescent="0.25">
      <c r="A6" t="s">
        <v>131</v>
      </c>
      <c r="B6">
        <v>47</v>
      </c>
      <c r="C6" t="s">
        <v>266</v>
      </c>
    </row>
    <row r="7" spans="1:3" x14ac:dyDescent="0.25">
      <c r="A7" t="s">
        <v>132</v>
      </c>
      <c r="B7">
        <v>48</v>
      </c>
      <c r="C7" t="s">
        <v>266</v>
      </c>
    </row>
    <row r="8" spans="1:3" x14ac:dyDescent="0.25">
      <c r="A8" t="s">
        <v>128</v>
      </c>
      <c r="B8">
        <v>41</v>
      </c>
      <c r="C8" t="s">
        <v>266</v>
      </c>
    </row>
    <row r="9" spans="1:3" x14ac:dyDescent="0.25">
      <c r="A9" t="s">
        <v>132</v>
      </c>
      <c r="B9">
        <v>48</v>
      </c>
      <c r="C9" t="s">
        <v>266</v>
      </c>
    </row>
    <row r="10" spans="1:3" x14ac:dyDescent="0.25">
      <c r="A10" t="s">
        <v>141</v>
      </c>
      <c r="B10">
        <v>63</v>
      </c>
      <c r="C10" t="s">
        <v>266</v>
      </c>
    </row>
    <row r="11" spans="1:3" x14ac:dyDescent="0.25">
      <c r="A11" t="s">
        <v>43</v>
      </c>
      <c r="B11">
        <v>74</v>
      </c>
      <c r="C11" t="s">
        <v>266</v>
      </c>
    </row>
    <row r="12" spans="1:3" x14ac:dyDescent="0.25">
      <c r="A12" t="s">
        <v>139</v>
      </c>
      <c r="B12">
        <v>59</v>
      </c>
      <c r="C12" t="s">
        <v>266</v>
      </c>
    </row>
    <row r="13" spans="1:3" x14ac:dyDescent="0.25">
      <c r="A13" t="s">
        <v>145</v>
      </c>
      <c r="B13">
        <v>70</v>
      </c>
      <c r="C13" t="s">
        <v>266</v>
      </c>
    </row>
    <row r="14" spans="1:3" x14ac:dyDescent="0.25">
      <c r="A14" t="s">
        <v>155</v>
      </c>
      <c r="B14">
        <v>82</v>
      </c>
      <c r="C14" t="s">
        <v>266</v>
      </c>
    </row>
    <row r="15" spans="1:3" x14ac:dyDescent="0.25">
      <c r="A15" t="s">
        <v>49</v>
      </c>
      <c r="B15">
        <v>88</v>
      </c>
      <c r="C15" t="s">
        <v>266</v>
      </c>
    </row>
    <row r="16" spans="1:3" x14ac:dyDescent="0.25">
      <c r="A16" t="s">
        <v>54</v>
      </c>
      <c r="B16">
        <v>96</v>
      </c>
      <c r="C16" t="s">
        <v>266</v>
      </c>
    </row>
    <row r="17" spans="1:3" x14ac:dyDescent="0.25">
      <c r="A17" t="s">
        <v>57</v>
      </c>
      <c r="B17">
        <v>102</v>
      </c>
      <c r="C17" t="s">
        <v>266</v>
      </c>
    </row>
    <row r="18" spans="1:3" x14ac:dyDescent="0.25">
      <c r="A18" t="s">
        <v>169</v>
      </c>
      <c r="B18">
        <v>106</v>
      </c>
      <c r="C18" t="s">
        <v>266</v>
      </c>
    </row>
    <row r="19" spans="1:3" x14ac:dyDescent="0.25">
      <c r="A19" t="s">
        <v>170</v>
      </c>
      <c r="B19">
        <v>107</v>
      </c>
      <c r="C19" t="s">
        <v>266</v>
      </c>
    </row>
    <row r="20" spans="1:3" x14ac:dyDescent="0.25">
      <c r="A20" t="s">
        <v>64</v>
      </c>
      <c r="B20">
        <v>112</v>
      </c>
      <c r="C20" t="s">
        <v>266</v>
      </c>
    </row>
    <row r="21" spans="1:3" x14ac:dyDescent="0.25">
      <c r="A21" t="s">
        <v>73</v>
      </c>
      <c r="B21">
        <v>123</v>
      </c>
      <c r="C21" t="s">
        <v>266</v>
      </c>
    </row>
    <row r="22" spans="1:3" x14ac:dyDescent="0.25">
      <c r="A22" t="s">
        <v>94</v>
      </c>
      <c r="B22">
        <v>236</v>
      </c>
      <c r="C22" t="s">
        <v>266</v>
      </c>
    </row>
    <row r="23" spans="1:3" x14ac:dyDescent="0.25">
      <c r="A23" t="s">
        <v>219</v>
      </c>
      <c r="B23">
        <v>162</v>
      </c>
      <c r="C23" t="s">
        <v>266</v>
      </c>
    </row>
    <row r="24" spans="1:3" x14ac:dyDescent="0.25">
      <c r="A24" t="s">
        <v>220</v>
      </c>
      <c r="B24">
        <v>163</v>
      </c>
      <c r="C24" t="s">
        <v>266</v>
      </c>
    </row>
    <row r="25" spans="1:3" x14ac:dyDescent="0.25">
      <c r="A25" t="s">
        <v>221</v>
      </c>
      <c r="B25">
        <v>164</v>
      </c>
      <c r="C25" t="s">
        <v>266</v>
      </c>
    </row>
    <row r="26" spans="1:3" x14ac:dyDescent="0.25">
      <c r="A26" t="s">
        <v>222</v>
      </c>
      <c r="B26">
        <v>165</v>
      </c>
      <c r="C26" t="s">
        <v>266</v>
      </c>
    </row>
    <row r="27" spans="1:3" x14ac:dyDescent="0.25">
      <c r="A27" t="s">
        <v>224</v>
      </c>
      <c r="B27">
        <v>168</v>
      </c>
      <c r="C27" t="s">
        <v>266</v>
      </c>
    </row>
    <row r="28" spans="1:3" x14ac:dyDescent="0.25">
      <c r="A28" t="s">
        <v>226</v>
      </c>
      <c r="B28">
        <v>170</v>
      </c>
      <c r="C28" t="s">
        <v>266</v>
      </c>
    </row>
    <row r="29" spans="1:3" x14ac:dyDescent="0.25">
      <c r="A29" t="s">
        <v>227</v>
      </c>
      <c r="B29">
        <v>171</v>
      </c>
      <c r="C29" t="s">
        <v>266</v>
      </c>
    </row>
    <row r="30" spans="1:3" x14ac:dyDescent="0.25">
      <c r="A30" t="s">
        <v>97</v>
      </c>
      <c r="B30">
        <v>172</v>
      </c>
      <c r="C30" t="s">
        <v>266</v>
      </c>
    </row>
    <row r="31" spans="1:3" x14ac:dyDescent="0.25">
      <c r="A31" t="s">
        <v>228</v>
      </c>
      <c r="B31">
        <v>174</v>
      </c>
      <c r="C31" t="s">
        <v>266</v>
      </c>
    </row>
    <row r="32" spans="1:3" x14ac:dyDescent="0.25">
      <c r="A32" t="s">
        <v>29</v>
      </c>
      <c r="B32">
        <v>43</v>
      </c>
      <c r="C32" t="s">
        <v>267</v>
      </c>
    </row>
    <row r="33" spans="1:3" x14ac:dyDescent="0.25">
      <c r="A33" t="s">
        <v>110</v>
      </c>
      <c r="B33">
        <v>12</v>
      </c>
      <c r="C33" t="s">
        <v>282</v>
      </c>
    </row>
    <row r="34" spans="1:3" x14ac:dyDescent="0.25">
      <c r="A34" t="s">
        <v>118</v>
      </c>
      <c r="B34">
        <v>29</v>
      </c>
      <c r="C34" t="s">
        <v>267</v>
      </c>
    </row>
    <row r="35" spans="1:3" x14ac:dyDescent="0.25">
      <c r="A35" t="s">
        <v>131</v>
      </c>
      <c r="B35">
        <v>47</v>
      </c>
      <c r="C35" t="s">
        <v>267</v>
      </c>
    </row>
    <row r="36" spans="1:3" x14ac:dyDescent="0.25">
      <c r="A36" t="s">
        <v>132</v>
      </c>
      <c r="B36">
        <v>48</v>
      </c>
      <c r="C36" t="s">
        <v>267</v>
      </c>
    </row>
    <row r="37" spans="1:3" x14ac:dyDescent="0.25">
      <c r="A37" t="s">
        <v>128</v>
      </c>
      <c r="B37">
        <v>41</v>
      </c>
      <c r="C37" t="s">
        <v>267</v>
      </c>
    </row>
    <row r="38" spans="1:3" x14ac:dyDescent="0.25">
      <c r="A38" t="s">
        <v>132</v>
      </c>
      <c r="B38">
        <v>48</v>
      </c>
      <c r="C38" t="s">
        <v>267</v>
      </c>
    </row>
    <row r="39" spans="1:3" x14ac:dyDescent="0.25">
      <c r="A39" t="s">
        <v>141</v>
      </c>
      <c r="B39">
        <v>63</v>
      </c>
      <c r="C39" t="s">
        <v>267</v>
      </c>
    </row>
    <row r="40" spans="1:3" x14ac:dyDescent="0.25">
      <c r="A40" t="s">
        <v>43</v>
      </c>
      <c r="B40">
        <v>74</v>
      </c>
      <c r="C40" t="s">
        <v>267</v>
      </c>
    </row>
    <row r="41" spans="1:3" x14ac:dyDescent="0.25">
      <c r="A41" t="s">
        <v>139</v>
      </c>
      <c r="B41">
        <v>59</v>
      </c>
      <c r="C41" t="s">
        <v>267</v>
      </c>
    </row>
    <row r="42" spans="1:3" x14ac:dyDescent="0.25">
      <c r="A42" t="s">
        <v>145</v>
      </c>
      <c r="B42">
        <v>70</v>
      </c>
      <c r="C42" t="s">
        <v>267</v>
      </c>
    </row>
    <row r="43" spans="1:3" x14ac:dyDescent="0.25">
      <c r="A43" t="s">
        <v>155</v>
      </c>
      <c r="B43">
        <v>82</v>
      </c>
      <c r="C43" t="s">
        <v>267</v>
      </c>
    </row>
    <row r="44" spans="1:3" x14ac:dyDescent="0.25">
      <c r="A44" t="s">
        <v>49</v>
      </c>
      <c r="B44">
        <v>88</v>
      </c>
      <c r="C44" t="s">
        <v>267</v>
      </c>
    </row>
    <row r="45" spans="1:3" x14ac:dyDescent="0.25">
      <c r="A45" t="s">
        <v>54</v>
      </c>
      <c r="B45">
        <v>96</v>
      </c>
      <c r="C45" t="s">
        <v>267</v>
      </c>
    </row>
    <row r="46" spans="1:3" x14ac:dyDescent="0.25">
      <c r="A46" t="s">
        <v>57</v>
      </c>
      <c r="B46">
        <v>102</v>
      </c>
      <c r="C46" t="s">
        <v>267</v>
      </c>
    </row>
    <row r="47" spans="1:3" x14ac:dyDescent="0.25">
      <c r="A47" t="s">
        <v>169</v>
      </c>
      <c r="B47">
        <v>106</v>
      </c>
      <c r="C47" t="s">
        <v>267</v>
      </c>
    </row>
    <row r="48" spans="1:3" x14ac:dyDescent="0.25">
      <c r="A48" t="s">
        <v>170</v>
      </c>
      <c r="B48">
        <v>107</v>
      </c>
      <c r="C48" t="s">
        <v>267</v>
      </c>
    </row>
    <row r="49" spans="1:3" x14ac:dyDescent="0.25">
      <c r="A49" t="s">
        <v>64</v>
      </c>
      <c r="B49">
        <v>112</v>
      </c>
      <c r="C49" t="s">
        <v>267</v>
      </c>
    </row>
    <row r="50" spans="1:3" x14ac:dyDescent="0.25">
      <c r="A50" t="s">
        <v>73</v>
      </c>
      <c r="B50">
        <v>123</v>
      </c>
      <c r="C50" t="s">
        <v>267</v>
      </c>
    </row>
    <row r="51" spans="1:3" x14ac:dyDescent="0.25">
      <c r="A51" t="s">
        <v>94</v>
      </c>
      <c r="B51">
        <v>236</v>
      </c>
      <c r="C51" t="s">
        <v>267</v>
      </c>
    </row>
    <row r="52" spans="1:3" x14ac:dyDescent="0.25">
      <c r="A52" t="s">
        <v>219</v>
      </c>
      <c r="B52">
        <v>162</v>
      </c>
      <c r="C52" t="s">
        <v>267</v>
      </c>
    </row>
    <row r="53" spans="1:3" x14ac:dyDescent="0.25">
      <c r="A53" t="s">
        <v>220</v>
      </c>
      <c r="B53">
        <v>163</v>
      </c>
      <c r="C53" t="s">
        <v>267</v>
      </c>
    </row>
    <row r="54" spans="1:3" x14ac:dyDescent="0.25">
      <c r="A54" t="s">
        <v>221</v>
      </c>
      <c r="B54">
        <v>164</v>
      </c>
      <c r="C54" t="s">
        <v>267</v>
      </c>
    </row>
    <row r="55" spans="1:3" x14ac:dyDescent="0.25">
      <c r="A55" t="s">
        <v>222</v>
      </c>
      <c r="B55">
        <v>165</v>
      </c>
      <c r="C55" t="s">
        <v>267</v>
      </c>
    </row>
    <row r="56" spans="1:3" x14ac:dyDescent="0.25">
      <c r="A56" t="s">
        <v>224</v>
      </c>
      <c r="B56">
        <v>168</v>
      </c>
      <c r="C56" t="s">
        <v>267</v>
      </c>
    </row>
    <row r="57" spans="1:3" x14ac:dyDescent="0.25">
      <c r="A57" t="s">
        <v>226</v>
      </c>
      <c r="B57">
        <v>170</v>
      </c>
      <c r="C57" t="s">
        <v>267</v>
      </c>
    </row>
    <row r="58" spans="1:3" x14ac:dyDescent="0.25">
      <c r="A58" t="s">
        <v>227</v>
      </c>
      <c r="B58">
        <v>171</v>
      </c>
      <c r="C58" t="s">
        <v>267</v>
      </c>
    </row>
    <row r="59" spans="1:3" x14ac:dyDescent="0.25">
      <c r="A59" t="s">
        <v>97</v>
      </c>
      <c r="B59">
        <v>172</v>
      </c>
      <c r="C59" t="s">
        <v>267</v>
      </c>
    </row>
    <row r="60" spans="1:3" x14ac:dyDescent="0.25">
      <c r="A60" t="s">
        <v>228</v>
      </c>
      <c r="B60">
        <v>174</v>
      </c>
      <c r="C60" t="s">
        <v>267</v>
      </c>
    </row>
    <row r="61" spans="1:3" x14ac:dyDescent="0.25">
      <c r="A61" t="s">
        <v>3</v>
      </c>
      <c r="B61">
        <v>3</v>
      </c>
      <c r="C61" t="s">
        <v>268</v>
      </c>
    </row>
    <row r="62" spans="1:3" x14ac:dyDescent="0.25">
      <c r="A62" t="s">
        <v>4</v>
      </c>
      <c r="B62">
        <v>4</v>
      </c>
      <c r="C62" t="s">
        <v>268</v>
      </c>
    </row>
    <row r="63" spans="1:3" x14ac:dyDescent="0.25">
      <c r="A63" t="s">
        <v>5</v>
      </c>
      <c r="B63">
        <v>5</v>
      </c>
      <c r="C63" t="s">
        <v>268</v>
      </c>
    </row>
    <row r="64" spans="1:3" x14ac:dyDescent="0.25">
      <c r="A64" t="s">
        <v>82</v>
      </c>
      <c r="B64">
        <v>139</v>
      </c>
      <c r="C64" t="s">
        <v>268</v>
      </c>
    </row>
    <row r="65" spans="1:3" x14ac:dyDescent="0.25">
      <c r="A65" t="s">
        <v>193</v>
      </c>
      <c r="B65">
        <v>141</v>
      </c>
      <c r="C65" t="s">
        <v>268</v>
      </c>
    </row>
    <row r="66" spans="1:3" x14ac:dyDescent="0.25">
      <c r="A66" t="s">
        <v>84</v>
      </c>
      <c r="B66">
        <v>146</v>
      </c>
      <c r="C66" t="s">
        <v>268</v>
      </c>
    </row>
    <row r="67" spans="1:3" x14ac:dyDescent="0.25">
      <c r="A67" t="s">
        <v>105</v>
      </c>
      <c r="B67">
        <v>6</v>
      </c>
      <c r="C67" t="s">
        <v>268</v>
      </c>
    </row>
    <row r="68" spans="1:3" x14ac:dyDescent="0.25">
      <c r="A68" t="s">
        <v>7</v>
      </c>
      <c r="B68">
        <v>10</v>
      </c>
      <c r="C68" t="s">
        <v>268</v>
      </c>
    </row>
    <row r="69" spans="1:3" x14ac:dyDescent="0.25">
      <c r="A69" t="s">
        <v>113</v>
      </c>
      <c r="B69">
        <v>18</v>
      </c>
      <c r="C69" t="s">
        <v>268</v>
      </c>
    </row>
    <row r="70" spans="1:3" x14ac:dyDescent="0.25">
      <c r="A70" t="s">
        <v>115</v>
      </c>
      <c r="B70">
        <v>20</v>
      </c>
      <c r="C70" t="s">
        <v>268</v>
      </c>
    </row>
    <row r="71" spans="1:3" x14ac:dyDescent="0.25">
      <c r="A71" t="s">
        <v>116</v>
      </c>
      <c r="B71">
        <v>23</v>
      </c>
      <c r="C71" t="s">
        <v>268</v>
      </c>
    </row>
    <row r="72" spans="1:3" x14ac:dyDescent="0.25">
      <c r="A72" t="s">
        <v>17</v>
      </c>
      <c r="B72">
        <v>25</v>
      </c>
      <c r="C72" t="s">
        <v>268</v>
      </c>
    </row>
    <row r="73" spans="1:3" x14ac:dyDescent="0.25">
      <c r="A73" t="s">
        <v>232</v>
      </c>
      <c r="B73">
        <v>26</v>
      </c>
      <c r="C73" t="s">
        <v>268</v>
      </c>
    </row>
    <row r="74" spans="1:3" x14ac:dyDescent="0.25">
      <c r="A74" t="s">
        <v>121</v>
      </c>
      <c r="B74">
        <v>35</v>
      </c>
      <c r="C74" t="s">
        <v>268</v>
      </c>
    </row>
    <row r="75" spans="1:3" x14ac:dyDescent="0.25">
      <c r="A75" t="s">
        <v>24</v>
      </c>
      <c r="B75">
        <v>39</v>
      </c>
      <c r="C75" t="s">
        <v>268</v>
      </c>
    </row>
    <row r="76" spans="1:3" x14ac:dyDescent="0.25">
      <c r="A76" t="s">
        <v>127</v>
      </c>
      <c r="B76">
        <v>40</v>
      </c>
      <c r="C76" t="s">
        <v>268</v>
      </c>
    </row>
    <row r="77" spans="1:3" x14ac:dyDescent="0.25">
      <c r="A77" t="s">
        <v>29</v>
      </c>
      <c r="B77">
        <v>43</v>
      </c>
      <c r="C77" t="s">
        <v>268</v>
      </c>
    </row>
    <row r="78" spans="1:3" x14ac:dyDescent="0.25">
      <c r="A78" t="s">
        <v>131</v>
      </c>
      <c r="B78">
        <v>47</v>
      </c>
      <c r="C78" t="s">
        <v>268</v>
      </c>
    </row>
    <row r="79" spans="1:3" x14ac:dyDescent="0.25">
      <c r="A79" t="s">
        <v>132</v>
      </c>
      <c r="B79">
        <v>48</v>
      </c>
      <c r="C79" t="s">
        <v>268</v>
      </c>
    </row>
    <row r="80" spans="1:3" x14ac:dyDescent="0.25">
      <c r="A80" t="s">
        <v>141</v>
      </c>
      <c r="B80">
        <v>63</v>
      </c>
      <c r="C80" t="s">
        <v>268</v>
      </c>
    </row>
    <row r="81" spans="1:3" x14ac:dyDescent="0.25">
      <c r="A81" t="s">
        <v>43</v>
      </c>
      <c r="B81">
        <v>74</v>
      </c>
      <c r="C81" t="s">
        <v>268</v>
      </c>
    </row>
    <row r="82" spans="1:3" x14ac:dyDescent="0.25">
      <c r="A82" t="s">
        <v>153</v>
      </c>
      <c r="B82">
        <v>80</v>
      </c>
      <c r="C82" t="s">
        <v>268</v>
      </c>
    </row>
    <row r="83" spans="1:3" x14ac:dyDescent="0.25">
      <c r="A83" t="s">
        <v>154</v>
      </c>
      <c r="B83">
        <v>81</v>
      </c>
      <c r="C83" t="s">
        <v>268</v>
      </c>
    </row>
    <row r="84" spans="1:3" x14ac:dyDescent="0.25">
      <c r="A84" t="s">
        <v>45</v>
      </c>
      <c r="B84">
        <v>226</v>
      </c>
      <c r="C84" t="s">
        <v>268</v>
      </c>
    </row>
    <row r="85" spans="1:3" x14ac:dyDescent="0.25">
      <c r="A85" t="s">
        <v>46</v>
      </c>
      <c r="B85">
        <v>83</v>
      </c>
      <c r="C85" t="s">
        <v>268</v>
      </c>
    </row>
    <row r="86" spans="1:3" x14ac:dyDescent="0.25">
      <c r="A86" t="s">
        <v>47</v>
      </c>
      <c r="B86">
        <v>84</v>
      </c>
      <c r="C86" t="s">
        <v>268</v>
      </c>
    </row>
    <row r="87" spans="1:3" x14ac:dyDescent="0.25">
      <c r="A87" t="s">
        <v>52</v>
      </c>
      <c r="B87">
        <v>93</v>
      </c>
      <c r="C87" t="s">
        <v>268</v>
      </c>
    </row>
    <row r="88" spans="1:3" x14ac:dyDescent="0.25">
      <c r="A88" t="s">
        <v>164</v>
      </c>
      <c r="B88">
        <v>97</v>
      </c>
      <c r="C88" t="s">
        <v>268</v>
      </c>
    </row>
    <row r="89" spans="1:3" x14ac:dyDescent="0.25">
      <c r="A89" t="s">
        <v>165</v>
      </c>
      <c r="B89">
        <v>98</v>
      </c>
      <c r="C89" t="s">
        <v>268</v>
      </c>
    </row>
    <row r="90" spans="1:3" x14ac:dyDescent="0.25">
      <c r="A90" t="s">
        <v>166</v>
      </c>
      <c r="B90">
        <v>99</v>
      </c>
      <c r="C90" t="s">
        <v>268</v>
      </c>
    </row>
    <row r="91" spans="1:3" x14ac:dyDescent="0.25">
      <c r="A91" t="s">
        <v>57</v>
      </c>
      <c r="B91">
        <v>102</v>
      </c>
      <c r="C91" t="s">
        <v>268</v>
      </c>
    </row>
    <row r="92" spans="1:3" x14ac:dyDescent="0.25">
      <c r="A92" t="s">
        <v>168</v>
      </c>
      <c r="B92">
        <v>105</v>
      </c>
      <c r="C92" t="s">
        <v>268</v>
      </c>
    </row>
    <row r="93" spans="1:3" x14ac:dyDescent="0.25">
      <c r="A93" t="s">
        <v>169</v>
      </c>
      <c r="B93">
        <v>106</v>
      </c>
      <c r="C93" t="s">
        <v>268</v>
      </c>
    </row>
    <row r="94" spans="1:3" x14ac:dyDescent="0.25">
      <c r="A94" t="s">
        <v>63</v>
      </c>
      <c r="B94">
        <v>111</v>
      </c>
      <c r="C94" t="s">
        <v>268</v>
      </c>
    </row>
    <row r="95" spans="1:3" x14ac:dyDescent="0.25">
      <c r="A95" t="s">
        <v>65</v>
      </c>
      <c r="B95">
        <v>113</v>
      </c>
      <c r="C95" t="s">
        <v>268</v>
      </c>
    </row>
    <row r="96" spans="1:3" x14ac:dyDescent="0.25">
      <c r="A96" t="s">
        <v>174</v>
      </c>
      <c r="B96">
        <v>117</v>
      </c>
      <c r="C96" t="s">
        <v>268</v>
      </c>
    </row>
    <row r="97" spans="1:3" x14ac:dyDescent="0.25">
      <c r="A97" t="s">
        <v>68</v>
      </c>
      <c r="B97">
        <v>118</v>
      </c>
      <c r="C97" t="s">
        <v>268</v>
      </c>
    </row>
    <row r="98" spans="1:3" x14ac:dyDescent="0.25">
      <c r="A98" t="s">
        <v>72</v>
      </c>
      <c r="B98">
        <v>231</v>
      </c>
      <c r="C98" t="s">
        <v>268</v>
      </c>
    </row>
    <row r="99" spans="1:3" x14ac:dyDescent="0.25">
      <c r="A99" t="s">
        <v>180</v>
      </c>
      <c r="B99">
        <v>126</v>
      </c>
      <c r="C99" t="s">
        <v>268</v>
      </c>
    </row>
    <row r="100" spans="1:3" x14ac:dyDescent="0.25">
      <c r="A100" t="s">
        <v>187</v>
      </c>
      <c r="B100">
        <v>134</v>
      </c>
      <c r="C100" t="s">
        <v>268</v>
      </c>
    </row>
    <row r="101" spans="1:3" x14ac:dyDescent="0.25">
      <c r="A101" t="s">
        <v>190</v>
      </c>
      <c r="B101">
        <v>136</v>
      </c>
      <c r="C101" t="s">
        <v>268</v>
      </c>
    </row>
    <row r="102" spans="1:3" x14ac:dyDescent="0.25">
      <c r="A102" t="s">
        <v>82</v>
      </c>
      <c r="B102">
        <v>139</v>
      </c>
      <c r="C102" t="s">
        <v>268</v>
      </c>
    </row>
    <row r="103" spans="1:3" x14ac:dyDescent="0.25">
      <c r="A103" t="s">
        <v>193</v>
      </c>
      <c r="B103">
        <v>141</v>
      </c>
      <c r="C103" t="s">
        <v>268</v>
      </c>
    </row>
    <row r="104" spans="1:3" x14ac:dyDescent="0.25">
      <c r="A104" t="s">
        <v>84</v>
      </c>
      <c r="B104">
        <v>146</v>
      </c>
      <c r="C104" t="s">
        <v>268</v>
      </c>
    </row>
    <row r="105" spans="1:3" x14ac:dyDescent="0.25">
      <c r="A105" t="s">
        <v>85</v>
      </c>
      <c r="B105">
        <v>147</v>
      </c>
      <c r="C105" t="s">
        <v>268</v>
      </c>
    </row>
    <row r="106" spans="1:3" x14ac:dyDescent="0.25">
      <c r="A106" t="s">
        <v>89</v>
      </c>
      <c r="B106">
        <v>153</v>
      </c>
      <c r="C106" t="s">
        <v>268</v>
      </c>
    </row>
    <row r="107" spans="1:3" x14ac:dyDescent="0.25">
      <c r="A107" t="s">
        <v>212</v>
      </c>
      <c r="B107">
        <v>235</v>
      </c>
      <c r="C107" t="s">
        <v>268</v>
      </c>
    </row>
    <row r="108" spans="1:3" x14ac:dyDescent="0.25">
      <c r="A108" t="s">
        <v>248</v>
      </c>
      <c r="B108">
        <v>155</v>
      </c>
      <c r="C108" t="s">
        <v>268</v>
      </c>
    </row>
    <row r="109" spans="1:3" x14ac:dyDescent="0.25">
      <c r="A109" t="s">
        <v>215</v>
      </c>
      <c r="B109">
        <v>156</v>
      </c>
      <c r="C109" t="s">
        <v>268</v>
      </c>
    </row>
    <row r="110" spans="1:3" x14ac:dyDescent="0.25">
      <c r="A110" t="s">
        <v>93</v>
      </c>
      <c r="B110">
        <v>158</v>
      </c>
      <c r="C110" t="s">
        <v>268</v>
      </c>
    </row>
    <row r="111" spans="1:3" x14ac:dyDescent="0.25">
      <c r="A111" t="s">
        <v>217</v>
      </c>
      <c r="B111">
        <v>159</v>
      </c>
      <c r="C111" t="s">
        <v>268</v>
      </c>
    </row>
    <row r="112" spans="1:3" x14ac:dyDescent="0.25">
      <c r="A112" t="s">
        <v>95</v>
      </c>
      <c r="B112">
        <v>161</v>
      </c>
      <c r="C112" t="s">
        <v>268</v>
      </c>
    </row>
    <row r="113" spans="1:3" x14ac:dyDescent="0.25">
      <c r="A113" t="s">
        <v>99</v>
      </c>
      <c r="B113">
        <v>175</v>
      </c>
      <c r="C113" t="s">
        <v>268</v>
      </c>
    </row>
    <row r="114" spans="1:3" x14ac:dyDescent="0.25">
      <c r="A114" t="s">
        <v>101</v>
      </c>
      <c r="B114">
        <v>178</v>
      </c>
      <c r="C114" t="s">
        <v>268</v>
      </c>
    </row>
    <row r="115" spans="1:3" x14ac:dyDescent="0.25">
      <c r="A115" t="s">
        <v>106</v>
      </c>
      <c r="B115">
        <v>7</v>
      </c>
      <c r="C115" t="s">
        <v>269</v>
      </c>
    </row>
    <row r="116" spans="1:3" x14ac:dyDescent="0.25">
      <c r="A116" t="s">
        <v>104</v>
      </c>
      <c r="B116">
        <v>237</v>
      </c>
      <c r="C116" t="s">
        <v>269</v>
      </c>
    </row>
    <row r="117" spans="1:3" x14ac:dyDescent="0.25">
      <c r="A117" t="s">
        <v>1</v>
      </c>
      <c r="B117">
        <v>1</v>
      </c>
      <c r="C117" t="s">
        <v>269</v>
      </c>
    </row>
    <row r="118" spans="1:3" x14ac:dyDescent="0.25">
      <c r="A118" t="s">
        <v>11</v>
      </c>
      <c r="B118">
        <v>14</v>
      </c>
      <c r="C118" t="s">
        <v>269</v>
      </c>
    </row>
    <row r="119" spans="1:3" x14ac:dyDescent="0.25">
      <c r="A119" t="s">
        <v>251</v>
      </c>
      <c r="B119">
        <v>15</v>
      </c>
      <c r="C119" t="s">
        <v>269</v>
      </c>
    </row>
    <row r="120" spans="1:3" x14ac:dyDescent="0.25">
      <c r="A120" t="s">
        <v>14</v>
      </c>
      <c r="B120">
        <v>19</v>
      </c>
      <c r="C120" t="s">
        <v>269</v>
      </c>
    </row>
    <row r="121" spans="1:3" x14ac:dyDescent="0.25">
      <c r="A121" t="s">
        <v>22</v>
      </c>
      <c r="B121">
        <v>34</v>
      </c>
      <c r="C121" t="s">
        <v>269</v>
      </c>
    </row>
    <row r="122" spans="1:3" x14ac:dyDescent="0.25">
      <c r="A122" t="s">
        <v>127</v>
      </c>
      <c r="B122">
        <v>40</v>
      </c>
      <c r="C122" t="s">
        <v>269</v>
      </c>
    </row>
    <row r="123" spans="1:3" x14ac:dyDescent="0.25">
      <c r="A123" t="s">
        <v>27</v>
      </c>
      <c r="B123">
        <v>42</v>
      </c>
      <c r="C123" t="s">
        <v>269</v>
      </c>
    </row>
    <row r="124" spans="1:3" x14ac:dyDescent="0.25">
      <c r="A124" t="s">
        <v>129</v>
      </c>
      <c r="B124">
        <v>44</v>
      </c>
      <c r="C124" t="s">
        <v>269</v>
      </c>
    </row>
    <row r="125" spans="1:3" x14ac:dyDescent="0.25">
      <c r="A125" t="s">
        <v>130</v>
      </c>
      <c r="B125">
        <v>45</v>
      </c>
      <c r="C125" t="s">
        <v>269</v>
      </c>
    </row>
    <row r="126" spans="1:3" x14ac:dyDescent="0.25">
      <c r="A126" t="s">
        <v>31</v>
      </c>
      <c r="B126">
        <v>51</v>
      </c>
      <c r="C126" t="s">
        <v>269</v>
      </c>
    </row>
    <row r="127" spans="1:3" x14ac:dyDescent="0.25">
      <c r="A127" t="s">
        <v>32</v>
      </c>
      <c r="B127">
        <v>53</v>
      </c>
      <c r="C127" t="s">
        <v>269</v>
      </c>
    </row>
    <row r="128" spans="1:3" x14ac:dyDescent="0.25">
      <c r="A128" t="s">
        <v>40</v>
      </c>
      <c r="B128">
        <v>66</v>
      </c>
      <c r="C128" t="s">
        <v>269</v>
      </c>
    </row>
    <row r="129" spans="1:3" x14ac:dyDescent="0.25">
      <c r="A129" t="s">
        <v>136</v>
      </c>
      <c r="B129">
        <v>54</v>
      </c>
      <c r="C129" t="s">
        <v>269</v>
      </c>
    </row>
    <row r="130" spans="1:3" x14ac:dyDescent="0.25">
      <c r="A130" t="s">
        <v>33</v>
      </c>
      <c r="B130">
        <v>55</v>
      </c>
      <c r="C130" t="s">
        <v>269</v>
      </c>
    </row>
    <row r="131" spans="1:3" x14ac:dyDescent="0.25">
      <c r="A131" t="s">
        <v>138</v>
      </c>
      <c r="B131">
        <v>57</v>
      </c>
      <c r="C131" t="s">
        <v>269</v>
      </c>
    </row>
    <row r="132" spans="1:3" x14ac:dyDescent="0.25">
      <c r="A132" t="s">
        <v>38</v>
      </c>
      <c r="B132">
        <v>61</v>
      </c>
      <c r="C132" t="s">
        <v>269</v>
      </c>
    </row>
    <row r="133" spans="1:3" x14ac:dyDescent="0.25">
      <c r="A133" t="s">
        <v>143</v>
      </c>
      <c r="B133">
        <v>68</v>
      </c>
      <c r="C133" t="s">
        <v>269</v>
      </c>
    </row>
    <row r="134" spans="1:3" x14ac:dyDescent="0.25">
      <c r="A134" t="s">
        <v>146</v>
      </c>
      <c r="B134">
        <v>72</v>
      </c>
      <c r="C134" t="s">
        <v>269</v>
      </c>
    </row>
    <row r="135" spans="1:3" x14ac:dyDescent="0.25">
      <c r="A135" t="s">
        <v>44</v>
      </c>
      <c r="B135">
        <v>75</v>
      </c>
      <c r="C135" t="s">
        <v>269</v>
      </c>
    </row>
    <row r="136" spans="1:3" x14ac:dyDescent="0.25">
      <c r="A136" t="s">
        <v>150</v>
      </c>
      <c r="B136">
        <v>77</v>
      </c>
      <c r="C136" t="s">
        <v>269</v>
      </c>
    </row>
    <row r="137" spans="1:3" x14ac:dyDescent="0.25">
      <c r="A137" t="s">
        <v>151</v>
      </c>
      <c r="B137">
        <v>78</v>
      </c>
      <c r="C137" t="s">
        <v>269</v>
      </c>
    </row>
    <row r="138" spans="1:3" x14ac:dyDescent="0.25">
      <c r="A138" t="s">
        <v>156</v>
      </c>
      <c r="B138">
        <v>241</v>
      </c>
      <c r="C138" t="s">
        <v>269</v>
      </c>
    </row>
    <row r="139" spans="1:3" x14ac:dyDescent="0.25">
      <c r="A139" t="s">
        <v>157</v>
      </c>
      <c r="B139">
        <v>85</v>
      </c>
      <c r="C139" t="s">
        <v>269</v>
      </c>
    </row>
    <row r="140" spans="1:3" x14ac:dyDescent="0.25">
      <c r="A140" t="s">
        <v>158</v>
      </c>
      <c r="B140">
        <v>86</v>
      </c>
      <c r="C140" t="s">
        <v>269</v>
      </c>
    </row>
    <row r="141" spans="1:3" x14ac:dyDescent="0.25">
      <c r="A141" t="s">
        <v>48</v>
      </c>
      <c r="B141">
        <v>87</v>
      </c>
      <c r="C141" t="s">
        <v>269</v>
      </c>
    </row>
    <row r="142" spans="1:3" x14ac:dyDescent="0.25">
      <c r="A142" t="s">
        <v>50</v>
      </c>
      <c r="B142">
        <v>89</v>
      </c>
      <c r="C142" t="s">
        <v>269</v>
      </c>
    </row>
    <row r="143" spans="1:3" x14ac:dyDescent="0.25">
      <c r="A143" t="s">
        <v>160</v>
      </c>
      <c r="B143">
        <v>90</v>
      </c>
      <c r="C143" t="s">
        <v>269</v>
      </c>
    </row>
    <row r="144" spans="1:3" x14ac:dyDescent="0.25">
      <c r="A144" t="s">
        <v>161</v>
      </c>
      <c r="B144">
        <v>91</v>
      </c>
      <c r="C144" t="s">
        <v>269</v>
      </c>
    </row>
    <row r="145" spans="1:3" x14ac:dyDescent="0.25">
      <c r="A145" t="s">
        <v>51</v>
      </c>
      <c r="B145">
        <v>92</v>
      </c>
      <c r="C145" t="s">
        <v>269</v>
      </c>
    </row>
    <row r="146" spans="1:3" x14ac:dyDescent="0.25">
      <c r="A146" t="s">
        <v>163</v>
      </c>
      <c r="B146">
        <v>94</v>
      </c>
      <c r="C146" t="s">
        <v>269</v>
      </c>
    </row>
    <row r="147" spans="1:3" x14ac:dyDescent="0.25">
      <c r="A147" t="s">
        <v>56</v>
      </c>
      <c r="B147">
        <v>101</v>
      </c>
      <c r="C147" t="s">
        <v>269</v>
      </c>
    </row>
    <row r="148" spans="1:3" x14ac:dyDescent="0.25">
      <c r="A148" t="s">
        <v>252</v>
      </c>
      <c r="B148">
        <v>103</v>
      </c>
      <c r="C148" t="s">
        <v>269</v>
      </c>
    </row>
    <row r="149" spans="1:3" x14ac:dyDescent="0.25">
      <c r="A149" t="s">
        <v>170</v>
      </c>
      <c r="B149">
        <v>107</v>
      </c>
      <c r="C149" t="s">
        <v>269</v>
      </c>
    </row>
    <row r="150" spans="1:3" x14ac:dyDescent="0.25">
      <c r="A150" t="s">
        <v>62</v>
      </c>
      <c r="B150">
        <v>109</v>
      </c>
      <c r="C150" t="s">
        <v>269</v>
      </c>
    </row>
    <row r="151" spans="1:3" x14ac:dyDescent="0.25">
      <c r="A151" t="s">
        <v>66</v>
      </c>
      <c r="B151">
        <v>114</v>
      </c>
      <c r="C151" t="s">
        <v>269</v>
      </c>
    </row>
    <row r="152" spans="1:3" x14ac:dyDescent="0.25">
      <c r="A152" t="s">
        <v>176</v>
      </c>
      <c r="B152">
        <v>120</v>
      </c>
      <c r="C152" t="s">
        <v>269</v>
      </c>
    </row>
    <row r="153" spans="1:3" x14ac:dyDescent="0.25">
      <c r="A153" t="s">
        <v>177</v>
      </c>
      <c r="B153">
        <v>122</v>
      </c>
      <c r="C153" t="s">
        <v>269</v>
      </c>
    </row>
    <row r="154" spans="1:3" x14ac:dyDescent="0.25">
      <c r="A154" t="s">
        <v>181</v>
      </c>
      <c r="B154">
        <v>127</v>
      </c>
      <c r="C154" t="s">
        <v>269</v>
      </c>
    </row>
    <row r="155" spans="1:3" x14ac:dyDescent="0.25">
      <c r="A155" t="s">
        <v>184</v>
      </c>
      <c r="B155">
        <v>129</v>
      </c>
      <c r="C155" t="s">
        <v>269</v>
      </c>
    </row>
    <row r="156" spans="1:3" x14ac:dyDescent="0.25">
      <c r="A156" t="s">
        <v>185</v>
      </c>
      <c r="B156">
        <v>130</v>
      </c>
      <c r="C156" t="s">
        <v>269</v>
      </c>
    </row>
    <row r="157" spans="1:3" x14ac:dyDescent="0.25">
      <c r="A157" t="s">
        <v>75</v>
      </c>
      <c r="B157">
        <v>131</v>
      </c>
      <c r="C157" t="s">
        <v>269</v>
      </c>
    </row>
    <row r="158" spans="1:3" x14ac:dyDescent="0.25">
      <c r="A158" t="s">
        <v>186</v>
      </c>
      <c r="B158">
        <v>133</v>
      </c>
      <c r="C158" t="s">
        <v>269</v>
      </c>
    </row>
    <row r="159" spans="1:3" x14ac:dyDescent="0.25">
      <c r="A159" t="s">
        <v>81</v>
      </c>
      <c r="B159">
        <v>138</v>
      </c>
      <c r="C159" t="s">
        <v>269</v>
      </c>
    </row>
    <row r="160" spans="1:3" x14ac:dyDescent="0.25">
      <c r="A160" t="s">
        <v>192</v>
      </c>
      <c r="B160">
        <v>140</v>
      </c>
      <c r="C160" t="s">
        <v>269</v>
      </c>
    </row>
    <row r="161" spans="1:3" x14ac:dyDescent="0.25">
      <c r="A161" t="s">
        <v>194</v>
      </c>
      <c r="B161">
        <v>142</v>
      </c>
      <c r="C161" t="s">
        <v>269</v>
      </c>
    </row>
    <row r="162" spans="1:3" x14ac:dyDescent="0.25">
      <c r="A162" t="s">
        <v>195</v>
      </c>
      <c r="B162">
        <v>143</v>
      </c>
      <c r="C162" t="s">
        <v>269</v>
      </c>
    </row>
    <row r="163" spans="1:3" x14ac:dyDescent="0.25">
      <c r="A163" t="s">
        <v>216</v>
      </c>
      <c r="B163">
        <v>157</v>
      </c>
      <c r="C163" t="s">
        <v>269</v>
      </c>
    </row>
    <row r="164" spans="1:3" x14ac:dyDescent="0.25">
      <c r="A164" t="s">
        <v>218</v>
      </c>
      <c r="B164">
        <v>160</v>
      </c>
      <c r="C164" t="s">
        <v>269</v>
      </c>
    </row>
    <row r="165" spans="1:3" x14ac:dyDescent="0.25">
      <c r="A165" t="s">
        <v>219</v>
      </c>
      <c r="B165">
        <v>162</v>
      </c>
      <c r="C165" t="s">
        <v>269</v>
      </c>
    </row>
    <row r="166" spans="1:3" x14ac:dyDescent="0.25">
      <c r="A166" t="s">
        <v>220</v>
      </c>
      <c r="B166">
        <v>163</v>
      </c>
      <c r="C166" t="s">
        <v>269</v>
      </c>
    </row>
    <row r="167" spans="1:3" x14ac:dyDescent="0.25">
      <c r="A167" t="s">
        <v>96</v>
      </c>
      <c r="B167">
        <v>166</v>
      </c>
      <c r="C167" t="s">
        <v>269</v>
      </c>
    </row>
    <row r="168" spans="1:3" x14ac:dyDescent="0.25">
      <c r="A168" t="s">
        <v>223</v>
      </c>
      <c r="B168">
        <v>167</v>
      </c>
      <c r="C168" t="s">
        <v>269</v>
      </c>
    </row>
    <row r="169" spans="1:3" x14ac:dyDescent="0.25">
      <c r="A169" t="s">
        <v>254</v>
      </c>
      <c r="B169">
        <v>169</v>
      </c>
      <c r="C169" t="s">
        <v>269</v>
      </c>
    </row>
    <row r="170" spans="1:3" x14ac:dyDescent="0.25">
      <c r="A170" t="s">
        <v>106</v>
      </c>
      <c r="B170">
        <v>7</v>
      </c>
      <c r="C170" t="s">
        <v>75</v>
      </c>
    </row>
    <row r="171" spans="1:3" x14ac:dyDescent="0.25">
      <c r="A171" t="s">
        <v>104</v>
      </c>
      <c r="B171">
        <v>237</v>
      </c>
      <c r="C171" t="s">
        <v>75</v>
      </c>
    </row>
    <row r="172" spans="1:3" x14ac:dyDescent="0.25">
      <c r="A172" t="s">
        <v>1</v>
      </c>
      <c r="B172">
        <v>1</v>
      </c>
      <c r="C172" t="s">
        <v>75</v>
      </c>
    </row>
    <row r="173" spans="1:3" x14ac:dyDescent="0.25">
      <c r="A173" t="s">
        <v>11</v>
      </c>
      <c r="B173">
        <v>14</v>
      </c>
      <c r="C173" t="s">
        <v>75</v>
      </c>
    </row>
    <row r="174" spans="1:3" x14ac:dyDescent="0.25">
      <c r="A174" t="s">
        <v>251</v>
      </c>
      <c r="B174">
        <v>15</v>
      </c>
      <c r="C174" t="s">
        <v>75</v>
      </c>
    </row>
    <row r="175" spans="1:3" x14ac:dyDescent="0.25">
      <c r="A175" t="s">
        <v>14</v>
      </c>
      <c r="B175">
        <v>19</v>
      </c>
      <c r="C175" t="s">
        <v>75</v>
      </c>
    </row>
    <row r="176" spans="1:3" x14ac:dyDescent="0.25">
      <c r="A176" t="s">
        <v>22</v>
      </c>
      <c r="B176">
        <v>34</v>
      </c>
      <c r="C176" t="s">
        <v>75</v>
      </c>
    </row>
    <row r="177" spans="1:3" x14ac:dyDescent="0.25">
      <c r="A177" t="s">
        <v>127</v>
      </c>
      <c r="B177">
        <v>40</v>
      </c>
      <c r="C177" t="s">
        <v>75</v>
      </c>
    </row>
    <row r="178" spans="1:3" x14ac:dyDescent="0.25">
      <c r="A178" t="s">
        <v>27</v>
      </c>
      <c r="B178">
        <v>42</v>
      </c>
      <c r="C178" t="s">
        <v>75</v>
      </c>
    </row>
    <row r="179" spans="1:3" x14ac:dyDescent="0.25">
      <c r="A179" t="s">
        <v>129</v>
      </c>
      <c r="B179">
        <v>44</v>
      </c>
      <c r="C179" t="s">
        <v>75</v>
      </c>
    </row>
    <row r="180" spans="1:3" x14ac:dyDescent="0.25">
      <c r="A180" t="s">
        <v>130</v>
      </c>
      <c r="B180">
        <v>45</v>
      </c>
      <c r="C180" t="s">
        <v>75</v>
      </c>
    </row>
    <row r="181" spans="1:3" x14ac:dyDescent="0.25">
      <c r="A181" t="s">
        <v>31</v>
      </c>
      <c r="B181">
        <v>51</v>
      </c>
      <c r="C181" t="s">
        <v>75</v>
      </c>
    </row>
    <row r="182" spans="1:3" x14ac:dyDescent="0.25">
      <c r="A182" t="s">
        <v>32</v>
      </c>
      <c r="B182">
        <v>53</v>
      </c>
      <c r="C182" t="s">
        <v>75</v>
      </c>
    </row>
    <row r="183" spans="1:3" x14ac:dyDescent="0.25">
      <c r="A183" t="s">
        <v>40</v>
      </c>
      <c r="B183">
        <v>66</v>
      </c>
      <c r="C183" t="s">
        <v>75</v>
      </c>
    </row>
    <row r="184" spans="1:3" x14ac:dyDescent="0.25">
      <c r="A184" t="s">
        <v>136</v>
      </c>
      <c r="B184">
        <v>54</v>
      </c>
      <c r="C184" t="s">
        <v>75</v>
      </c>
    </row>
    <row r="185" spans="1:3" x14ac:dyDescent="0.25">
      <c r="A185" t="s">
        <v>33</v>
      </c>
      <c r="B185">
        <v>55</v>
      </c>
      <c r="C185" t="s">
        <v>75</v>
      </c>
    </row>
    <row r="186" spans="1:3" x14ac:dyDescent="0.25">
      <c r="A186" t="s">
        <v>138</v>
      </c>
      <c r="B186">
        <v>57</v>
      </c>
      <c r="C186" t="s">
        <v>75</v>
      </c>
    </row>
    <row r="187" spans="1:3" x14ac:dyDescent="0.25">
      <c r="A187" t="s">
        <v>38</v>
      </c>
      <c r="B187">
        <v>61</v>
      </c>
      <c r="C187" t="s">
        <v>75</v>
      </c>
    </row>
    <row r="188" spans="1:3" x14ac:dyDescent="0.25">
      <c r="A188" t="s">
        <v>143</v>
      </c>
      <c r="B188">
        <v>68</v>
      </c>
      <c r="C188" t="s">
        <v>75</v>
      </c>
    </row>
    <row r="189" spans="1:3" x14ac:dyDescent="0.25">
      <c r="A189" t="s">
        <v>146</v>
      </c>
      <c r="B189">
        <v>72</v>
      </c>
      <c r="C189" t="s">
        <v>75</v>
      </c>
    </row>
    <row r="190" spans="1:3" x14ac:dyDescent="0.25">
      <c r="A190" t="s">
        <v>44</v>
      </c>
      <c r="B190">
        <v>75</v>
      </c>
      <c r="C190" t="s">
        <v>75</v>
      </c>
    </row>
    <row r="191" spans="1:3" x14ac:dyDescent="0.25">
      <c r="A191" t="s">
        <v>150</v>
      </c>
      <c r="B191">
        <v>77</v>
      </c>
      <c r="C191" t="s">
        <v>75</v>
      </c>
    </row>
    <row r="192" spans="1:3" x14ac:dyDescent="0.25">
      <c r="A192" t="s">
        <v>151</v>
      </c>
      <c r="B192">
        <v>78</v>
      </c>
      <c r="C192" t="s">
        <v>75</v>
      </c>
    </row>
    <row r="193" spans="1:3" x14ac:dyDescent="0.25">
      <c r="A193" t="s">
        <v>156</v>
      </c>
      <c r="B193">
        <v>241</v>
      </c>
      <c r="C193" t="s">
        <v>75</v>
      </c>
    </row>
    <row r="194" spans="1:3" x14ac:dyDescent="0.25">
      <c r="A194" t="s">
        <v>157</v>
      </c>
      <c r="B194">
        <v>85</v>
      </c>
      <c r="C194" t="s">
        <v>75</v>
      </c>
    </row>
    <row r="195" spans="1:3" x14ac:dyDescent="0.25">
      <c r="A195" t="s">
        <v>158</v>
      </c>
      <c r="B195">
        <v>86</v>
      </c>
      <c r="C195" t="s">
        <v>75</v>
      </c>
    </row>
    <row r="196" spans="1:3" x14ac:dyDescent="0.25">
      <c r="A196" t="s">
        <v>48</v>
      </c>
      <c r="B196">
        <v>87</v>
      </c>
      <c r="C196" t="s">
        <v>75</v>
      </c>
    </row>
    <row r="197" spans="1:3" x14ac:dyDescent="0.25">
      <c r="A197" t="s">
        <v>50</v>
      </c>
      <c r="B197">
        <v>89</v>
      </c>
      <c r="C197" t="s">
        <v>75</v>
      </c>
    </row>
    <row r="198" spans="1:3" x14ac:dyDescent="0.25">
      <c r="A198" t="s">
        <v>160</v>
      </c>
      <c r="B198">
        <v>90</v>
      </c>
      <c r="C198" t="s">
        <v>75</v>
      </c>
    </row>
    <row r="199" spans="1:3" x14ac:dyDescent="0.25">
      <c r="A199" t="s">
        <v>161</v>
      </c>
      <c r="B199">
        <v>91</v>
      </c>
      <c r="C199" t="s">
        <v>75</v>
      </c>
    </row>
    <row r="200" spans="1:3" x14ac:dyDescent="0.25">
      <c r="A200" t="s">
        <v>51</v>
      </c>
      <c r="B200">
        <v>92</v>
      </c>
      <c r="C200" t="s">
        <v>75</v>
      </c>
    </row>
    <row r="201" spans="1:3" x14ac:dyDescent="0.25">
      <c r="A201" t="s">
        <v>163</v>
      </c>
      <c r="B201">
        <v>94</v>
      </c>
      <c r="C201" t="s">
        <v>75</v>
      </c>
    </row>
    <row r="202" spans="1:3" x14ac:dyDescent="0.25">
      <c r="A202" t="s">
        <v>56</v>
      </c>
      <c r="B202">
        <v>101</v>
      </c>
      <c r="C202" t="s">
        <v>75</v>
      </c>
    </row>
    <row r="203" spans="1:3" x14ac:dyDescent="0.25">
      <c r="A203" t="s">
        <v>252</v>
      </c>
      <c r="B203">
        <v>103</v>
      </c>
      <c r="C203" t="s">
        <v>75</v>
      </c>
    </row>
    <row r="204" spans="1:3" x14ac:dyDescent="0.25">
      <c r="A204" t="s">
        <v>170</v>
      </c>
      <c r="B204">
        <v>107</v>
      </c>
      <c r="C204" t="s">
        <v>75</v>
      </c>
    </row>
    <row r="205" spans="1:3" x14ac:dyDescent="0.25">
      <c r="A205" t="s">
        <v>62</v>
      </c>
      <c r="B205">
        <v>109</v>
      </c>
      <c r="C205" t="s">
        <v>75</v>
      </c>
    </row>
    <row r="206" spans="1:3" x14ac:dyDescent="0.25">
      <c r="A206" t="s">
        <v>66</v>
      </c>
      <c r="B206">
        <v>114</v>
      </c>
      <c r="C206" t="s">
        <v>75</v>
      </c>
    </row>
    <row r="207" spans="1:3" x14ac:dyDescent="0.25">
      <c r="A207" t="s">
        <v>176</v>
      </c>
      <c r="B207">
        <v>120</v>
      </c>
      <c r="C207" t="s">
        <v>75</v>
      </c>
    </row>
    <row r="208" spans="1:3" x14ac:dyDescent="0.25">
      <c r="A208" t="s">
        <v>177</v>
      </c>
      <c r="B208">
        <v>122</v>
      </c>
      <c r="C208" t="s">
        <v>75</v>
      </c>
    </row>
    <row r="209" spans="1:3" x14ac:dyDescent="0.25">
      <c r="A209" t="s">
        <v>181</v>
      </c>
      <c r="B209">
        <v>127</v>
      </c>
      <c r="C209" t="s">
        <v>75</v>
      </c>
    </row>
    <row r="210" spans="1:3" x14ac:dyDescent="0.25">
      <c r="A210" t="s">
        <v>184</v>
      </c>
      <c r="B210">
        <v>129</v>
      </c>
      <c r="C210" t="s">
        <v>75</v>
      </c>
    </row>
    <row r="211" spans="1:3" x14ac:dyDescent="0.25">
      <c r="A211" t="s">
        <v>185</v>
      </c>
      <c r="B211">
        <v>130</v>
      </c>
      <c r="C211" t="s">
        <v>75</v>
      </c>
    </row>
    <row r="212" spans="1:3" x14ac:dyDescent="0.25">
      <c r="A212" t="s">
        <v>75</v>
      </c>
      <c r="B212">
        <v>131</v>
      </c>
      <c r="C212" t="s">
        <v>75</v>
      </c>
    </row>
    <row r="213" spans="1:3" x14ac:dyDescent="0.25">
      <c r="A213" t="s">
        <v>186</v>
      </c>
      <c r="B213">
        <v>133</v>
      </c>
      <c r="C213" t="s">
        <v>75</v>
      </c>
    </row>
    <row r="214" spans="1:3" x14ac:dyDescent="0.25">
      <c r="A214" t="s">
        <v>81</v>
      </c>
      <c r="B214">
        <v>138</v>
      </c>
      <c r="C214" t="s">
        <v>75</v>
      </c>
    </row>
    <row r="215" spans="1:3" x14ac:dyDescent="0.25">
      <c r="A215" t="s">
        <v>192</v>
      </c>
      <c r="B215">
        <v>140</v>
      </c>
      <c r="C215" t="s">
        <v>75</v>
      </c>
    </row>
    <row r="216" spans="1:3" x14ac:dyDescent="0.25">
      <c r="A216" t="s">
        <v>194</v>
      </c>
      <c r="B216">
        <v>142</v>
      </c>
      <c r="C216" t="s">
        <v>75</v>
      </c>
    </row>
    <row r="217" spans="1:3" x14ac:dyDescent="0.25">
      <c r="A217" t="s">
        <v>195</v>
      </c>
      <c r="B217">
        <v>143</v>
      </c>
      <c r="C217" t="s">
        <v>75</v>
      </c>
    </row>
    <row r="218" spans="1:3" x14ac:dyDescent="0.25">
      <c r="A218" t="s">
        <v>216</v>
      </c>
      <c r="B218">
        <v>157</v>
      </c>
      <c r="C218" t="s">
        <v>75</v>
      </c>
    </row>
    <row r="219" spans="1:3" x14ac:dyDescent="0.25">
      <c r="A219" t="s">
        <v>218</v>
      </c>
      <c r="B219">
        <v>160</v>
      </c>
      <c r="C219" t="s">
        <v>75</v>
      </c>
    </row>
    <row r="220" spans="1:3" x14ac:dyDescent="0.25">
      <c r="A220" t="s">
        <v>219</v>
      </c>
      <c r="B220">
        <v>162</v>
      </c>
      <c r="C220" t="s">
        <v>75</v>
      </c>
    </row>
    <row r="221" spans="1:3" x14ac:dyDescent="0.25">
      <c r="A221" t="s">
        <v>220</v>
      </c>
      <c r="B221">
        <v>163</v>
      </c>
      <c r="C221" t="s">
        <v>75</v>
      </c>
    </row>
    <row r="222" spans="1:3" x14ac:dyDescent="0.25">
      <c r="A222" t="s">
        <v>96</v>
      </c>
      <c r="B222">
        <v>166</v>
      </c>
      <c r="C222" t="s">
        <v>75</v>
      </c>
    </row>
    <row r="223" spans="1:3" x14ac:dyDescent="0.25">
      <c r="A223" t="s">
        <v>223</v>
      </c>
      <c r="B223">
        <v>167</v>
      </c>
      <c r="C223" t="s">
        <v>75</v>
      </c>
    </row>
    <row r="224" spans="1:3" x14ac:dyDescent="0.25">
      <c r="A224" t="s">
        <v>254</v>
      </c>
      <c r="B224">
        <v>169</v>
      </c>
      <c r="C224" t="s">
        <v>75</v>
      </c>
    </row>
    <row r="225" spans="1:3" x14ac:dyDescent="0.25">
      <c r="A225" t="s">
        <v>231</v>
      </c>
      <c r="B225">
        <v>21</v>
      </c>
      <c r="C225" t="s">
        <v>270</v>
      </c>
    </row>
    <row r="226" spans="1:3" x14ac:dyDescent="0.25">
      <c r="A226" t="s">
        <v>15</v>
      </c>
      <c r="B226">
        <v>22</v>
      </c>
      <c r="C226" t="s">
        <v>270</v>
      </c>
    </row>
    <row r="227" spans="1:3" x14ac:dyDescent="0.25">
      <c r="A227" t="s">
        <v>19</v>
      </c>
      <c r="B227">
        <v>27</v>
      </c>
      <c r="C227" t="s">
        <v>270</v>
      </c>
    </row>
    <row r="228" spans="1:3" x14ac:dyDescent="0.25">
      <c r="A228" t="s">
        <v>127</v>
      </c>
      <c r="B228">
        <v>40</v>
      </c>
      <c r="C228" t="s">
        <v>270</v>
      </c>
    </row>
    <row r="229" spans="1:3" x14ac:dyDescent="0.25">
      <c r="A229" t="s">
        <v>30</v>
      </c>
      <c r="B229">
        <v>223</v>
      </c>
      <c r="C229" t="s">
        <v>270</v>
      </c>
    </row>
    <row r="230" spans="1:3" x14ac:dyDescent="0.25">
      <c r="A230" t="s">
        <v>54</v>
      </c>
      <c r="B230">
        <v>96</v>
      </c>
      <c r="C230" t="s">
        <v>270</v>
      </c>
    </row>
    <row r="231" spans="1:3" x14ac:dyDescent="0.25">
      <c r="A231" t="s">
        <v>164</v>
      </c>
      <c r="B231">
        <v>97</v>
      </c>
      <c r="C231" t="s">
        <v>270</v>
      </c>
    </row>
    <row r="232" spans="1:3" x14ac:dyDescent="0.25">
      <c r="A232" t="s">
        <v>166</v>
      </c>
      <c r="B232">
        <v>99</v>
      </c>
      <c r="C232" t="s">
        <v>270</v>
      </c>
    </row>
    <row r="233" spans="1:3" x14ac:dyDescent="0.25">
      <c r="A233" t="s">
        <v>60</v>
      </c>
      <c r="B233">
        <v>108</v>
      </c>
      <c r="C233" t="s">
        <v>270</v>
      </c>
    </row>
    <row r="234" spans="1:3" x14ac:dyDescent="0.25">
      <c r="A234" t="s">
        <v>62</v>
      </c>
      <c r="B234">
        <v>109</v>
      </c>
      <c r="C234" t="s">
        <v>270</v>
      </c>
    </row>
    <row r="235" spans="1:3" x14ac:dyDescent="0.25">
      <c r="A235" t="s">
        <v>61</v>
      </c>
      <c r="B235">
        <v>110</v>
      </c>
      <c r="C235" t="s">
        <v>270</v>
      </c>
    </row>
    <row r="236" spans="1:3" x14ac:dyDescent="0.25">
      <c r="A236" t="s">
        <v>63</v>
      </c>
      <c r="B236">
        <v>111</v>
      </c>
      <c r="C236" t="s">
        <v>270</v>
      </c>
    </row>
    <row r="237" spans="1:3" x14ac:dyDescent="0.25">
      <c r="A237" t="s">
        <v>64</v>
      </c>
      <c r="B237">
        <v>112</v>
      </c>
      <c r="C237" t="s">
        <v>270</v>
      </c>
    </row>
    <row r="238" spans="1:3" x14ac:dyDescent="0.25">
      <c r="A238" t="s">
        <v>65</v>
      </c>
      <c r="B238">
        <v>113</v>
      </c>
      <c r="C238" t="s">
        <v>270</v>
      </c>
    </row>
    <row r="239" spans="1:3" x14ac:dyDescent="0.25">
      <c r="A239" t="s">
        <v>185</v>
      </c>
      <c r="B239">
        <v>130</v>
      </c>
      <c r="C239" t="s">
        <v>270</v>
      </c>
    </row>
    <row r="240" spans="1:3" x14ac:dyDescent="0.25">
      <c r="A240" t="s">
        <v>200</v>
      </c>
      <c r="B240">
        <v>144</v>
      </c>
      <c r="C240" t="s">
        <v>270</v>
      </c>
    </row>
    <row r="241" spans="1:3" x14ac:dyDescent="0.25">
      <c r="A241" t="s">
        <v>209</v>
      </c>
      <c r="B241">
        <v>149</v>
      </c>
      <c r="C241" t="s">
        <v>270</v>
      </c>
    </row>
    <row r="242" spans="1:3" x14ac:dyDescent="0.25">
      <c r="A242" t="s">
        <v>213</v>
      </c>
      <c r="B242">
        <v>154</v>
      </c>
      <c r="C242" t="s">
        <v>270</v>
      </c>
    </row>
    <row r="243" spans="1:3" x14ac:dyDescent="0.25">
      <c r="A243" t="s">
        <v>214</v>
      </c>
      <c r="B243">
        <v>155</v>
      </c>
      <c r="C243" t="s">
        <v>270</v>
      </c>
    </row>
    <row r="244" spans="1:3" x14ac:dyDescent="0.25">
      <c r="A244" t="s">
        <v>215</v>
      </c>
      <c r="B244">
        <v>156</v>
      </c>
      <c r="C244" t="s">
        <v>270</v>
      </c>
    </row>
    <row r="245" spans="1:3" x14ac:dyDescent="0.25">
      <c r="A245" t="s">
        <v>218</v>
      </c>
      <c r="B245">
        <v>160</v>
      </c>
      <c r="C245" t="s">
        <v>270</v>
      </c>
    </row>
    <row r="246" spans="1:3" x14ac:dyDescent="0.25">
      <c r="A246" t="s">
        <v>220</v>
      </c>
      <c r="B246">
        <v>163</v>
      </c>
      <c r="C246" t="s">
        <v>270</v>
      </c>
    </row>
    <row r="247" spans="1:3" x14ac:dyDescent="0.25">
      <c r="A247" t="s">
        <v>227</v>
      </c>
      <c r="B247">
        <v>171</v>
      </c>
      <c r="C247" t="s">
        <v>270</v>
      </c>
    </row>
    <row r="248" spans="1:3" x14ac:dyDescent="0.25">
      <c r="A248" t="s">
        <v>245</v>
      </c>
      <c r="B248">
        <v>12</v>
      </c>
      <c r="C248" t="s">
        <v>271</v>
      </c>
    </row>
    <row r="249" spans="1:3" x14ac:dyDescent="0.25">
      <c r="A249" t="s">
        <v>11</v>
      </c>
      <c r="B249">
        <v>14</v>
      </c>
      <c r="C249" t="s">
        <v>271</v>
      </c>
    </row>
    <row r="250" spans="1:3" x14ac:dyDescent="0.25">
      <c r="A250" t="s">
        <v>186</v>
      </c>
      <c r="B250">
        <v>133</v>
      </c>
      <c r="C250" t="s">
        <v>271</v>
      </c>
    </row>
    <row r="251" spans="1:3" x14ac:dyDescent="0.25">
      <c r="A251" t="s">
        <v>207</v>
      </c>
      <c r="B251">
        <v>145</v>
      </c>
      <c r="C251" t="s">
        <v>271</v>
      </c>
    </row>
    <row r="252" spans="1:3" x14ac:dyDescent="0.25">
      <c r="A252" t="s">
        <v>221</v>
      </c>
      <c r="B252">
        <v>164</v>
      </c>
      <c r="C252" t="s">
        <v>271</v>
      </c>
    </row>
    <row r="253" spans="1:3" x14ac:dyDescent="0.25">
      <c r="A253" t="s">
        <v>222</v>
      </c>
      <c r="B253">
        <v>165</v>
      </c>
      <c r="C253" t="s">
        <v>271</v>
      </c>
    </row>
    <row r="254" spans="1:3" x14ac:dyDescent="0.25">
      <c r="A254" t="s">
        <v>228</v>
      </c>
      <c r="B254">
        <v>174</v>
      </c>
      <c r="C254" t="s">
        <v>271</v>
      </c>
    </row>
    <row r="255" spans="1:3" x14ac:dyDescent="0.25">
      <c r="A255" t="s">
        <v>106</v>
      </c>
      <c r="B255">
        <v>7</v>
      </c>
      <c r="C255" t="s">
        <v>272</v>
      </c>
    </row>
    <row r="256" spans="1:3" x14ac:dyDescent="0.25">
      <c r="A256" t="s">
        <v>107</v>
      </c>
      <c r="B256">
        <v>8</v>
      </c>
      <c r="C256" t="s">
        <v>272</v>
      </c>
    </row>
    <row r="257" spans="1:3" x14ac:dyDescent="0.25">
      <c r="A257" t="s">
        <v>6</v>
      </c>
      <c r="B257">
        <v>9</v>
      </c>
      <c r="C257" t="s">
        <v>272</v>
      </c>
    </row>
    <row r="258" spans="1:3" x14ac:dyDescent="0.25">
      <c r="A258" t="s">
        <v>112</v>
      </c>
      <c r="B258">
        <v>16</v>
      </c>
      <c r="C258" t="s">
        <v>272</v>
      </c>
    </row>
    <row r="259" spans="1:3" x14ac:dyDescent="0.25">
      <c r="A259" t="s">
        <v>13</v>
      </c>
      <c r="B259">
        <v>17</v>
      </c>
      <c r="C259" t="s">
        <v>272</v>
      </c>
    </row>
    <row r="260" spans="1:3" x14ac:dyDescent="0.25">
      <c r="A260" t="s">
        <v>19</v>
      </c>
      <c r="B260">
        <v>27</v>
      </c>
      <c r="C260" t="s">
        <v>272</v>
      </c>
    </row>
    <row r="261" spans="1:3" x14ac:dyDescent="0.25">
      <c r="A261" t="s">
        <v>21</v>
      </c>
      <c r="B261">
        <v>32</v>
      </c>
      <c r="C261" t="s">
        <v>272</v>
      </c>
    </row>
    <row r="262" spans="1:3" x14ac:dyDescent="0.25">
      <c r="A262" t="s">
        <v>128</v>
      </c>
      <c r="B262">
        <v>41</v>
      </c>
      <c r="C262" t="s">
        <v>272</v>
      </c>
    </row>
    <row r="263" spans="1:3" x14ac:dyDescent="0.25">
      <c r="A263" t="s">
        <v>29</v>
      </c>
      <c r="B263">
        <v>43</v>
      </c>
      <c r="C263" t="s">
        <v>272</v>
      </c>
    </row>
    <row r="264" spans="1:3" x14ac:dyDescent="0.25">
      <c r="A264" t="s">
        <v>132</v>
      </c>
      <c r="B264">
        <v>48</v>
      </c>
      <c r="C264" t="s">
        <v>272</v>
      </c>
    </row>
    <row r="265" spans="1:3" x14ac:dyDescent="0.25">
      <c r="A265" t="s">
        <v>32</v>
      </c>
      <c r="B265">
        <v>53</v>
      </c>
      <c r="C265" t="s">
        <v>272</v>
      </c>
    </row>
    <row r="266" spans="1:3" x14ac:dyDescent="0.25">
      <c r="A266" t="s">
        <v>136</v>
      </c>
      <c r="B266">
        <v>54</v>
      </c>
      <c r="C266" t="s">
        <v>272</v>
      </c>
    </row>
    <row r="267" spans="1:3" x14ac:dyDescent="0.25">
      <c r="A267" t="s">
        <v>37</v>
      </c>
      <c r="B267">
        <v>60</v>
      </c>
      <c r="C267" t="s">
        <v>272</v>
      </c>
    </row>
    <row r="268" spans="1:3" x14ac:dyDescent="0.25">
      <c r="A268" t="s">
        <v>143</v>
      </c>
      <c r="B268">
        <v>68</v>
      </c>
      <c r="C268" t="s">
        <v>272</v>
      </c>
    </row>
    <row r="269" spans="1:3" x14ac:dyDescent="0.25">
      <c r="A269" t="s">
        <v>145</v>
      </c>
      <c r="B269">
        <v>70</v>
      </c>
      <c r="C269" t="s">
        <v>272</v>
      </c>
    </row>
    <row r="270" spans="1:3" x14ac:dyDescent="0.25">
      <c r="A270" t="s">
        <v>44</v>
      </c>
      <c r="B270">
        <v>75</v>
      </c>
      <c r="C270" t="s">
        <v>272</v>
      </c>
    </row>
    <row r="271" spans="1:3" x14ac:dyDescent="0.25">
      <c r="A271" t="s">
        <v>152</v>
      </c>
      <c r="B271">
        <v>79</v>
      </c>
      <c r="C271" t="s">
        <v>272</v>
      </c>
    </row>
    <row r="272" spans="1:3" x14ac:dyDescent="0.25">
      <c r="A272" t="s">
        <v>155</v>
      </c>
      <c r="B272">
        <v>82</v>
      </c>
      <c r="C272" t="s">
        <v>272</v>
      </c>
    </row>
    <row r="273" spans="1:3" x14ac:dyDescent="0.25">
      <c r="A273" t="s">
        <v>168</v>
      </c>
      <c r="B273">
        <v>105</v>
      </c>
      <c r="C273" t="s">
        <v>272</v>
      </c>
    </row>
    <row r="274" spans="1:3" x14ac:dyDescent="0.25">
      <c r="A274" t="s">
        <v>169</v>
      </c>
      <c r="B274">
        <v>106</v>
      </c>
      <c r="C274" t="s">
        <v>272</v>
      </c>
    </row>
    <row r="275" spans="1:3" x14ac:dyDescent="0.25">
      <c r="A275" t="s">
        <v>66</v>
      </c>
      <c r="B275">
        <v>114</v>
      </c>
      <c r="C275" t="s">
        <v>272</v>
      </c>
    </row>
    <row r="276" spans="1:3" x14ac:dyDescent="0.25">
      <c r="A276" t="s">
        <v>183</v>
      </c>
      <c r="B276">
        <v>128</v>
      </c>
      <c r="C276" t="s">
        <v>272</v>
      </c>
    </row>
    <row r="277" spans="1:3" x14ac:dyDescent="0.25">
      <c r="A277" t="s">
        <v>184</v>
      </c>
      <c r="B277">
        <v>129</v>
      </c>
      <c r="C277" t="s">
        <v>272</v>
      </c>
    </row>
    <row r="278" spans="1:3" x14ac:dyDescent="0.25">
      <c r="A278" t="s">
        <v>190</v>
      </c>
      <c r="B278">
        <v>136</v>
      </c>
      <c r="C278" t="s">
        <v>272</v>
      </c>
    </row>
    <row r="279" spans="1:3" x14ac:dyDescent="0.25">
      <c r="A279" t="s">
        <v>210</v>
      </c>
      <c r="B279">
        <v>150</v>
      </c>
      <c r="C279" t="s">
        <v>272</v>
      </c>
    </row>
    <row r="280" spans="1:3" x14ac:dyDescent="0.25">
      <c r="A280" t="s">
        <v>95</v>
      </c>
      <c r="B280">
        <v>161</v>
      </c>
      <c r="C280" t="s">
        <v>272</v>
      </c>
    </row>
    <row r="281" spans="1:3" x14ac:dyDescent="0.25">
      <c r="A281" t="s">
        <v>96</v>
      </c>
      <c r="B281">
        <v>166</v>
      </c>
      <c r="C281" t="s">
        <v>272</v>
      </c>
    </row>
    <row r="282" spans="1:3" x14ac:dyDescent="0.25">
      <c r="A282" t="s">
        <v>229</v>
      </c>
      <c r="B282">
        <v>176</v>
      </c>
      <c r="C282" t="s">
        <v>272</v>
      </c>
    </row>
    <row r="283" spans="1:3" x14ac:dyDescent="0.25">
      <c r="A283" t="s">
        <v>100</v>
      </c>
      <c r="B283">
        <v>177</v>
      </c>
      <c r="C283" t="s">
        <v>272</v>
      </c>
    </row>
    <row r="284" spans="1:3" x14ac:dyDescent="0.25">
      <c r="A284" t="s">
        <v>101</v>
      </c>
      <c r="B284">
        <v>178</v>
      </c>
      <c r="C284" t="s">
        <v>272</v>
      </c>
    </row>
    <row r="285" spans="1:3" x14ac:dyDescent="0.25">
      <c r="A285" t="s">
        <v>11</v>
      </c>
      <c r="B285">
        <v>14</v>
      </c>
      <c r="C285" t="s">
        <v>273</v>
      </c>
    </row>
    <row r="286" spans="1:3" x14ac:dyDescent="0.25">
      <c r="A286" t="s">
        <v>16</v>
      </c>
      <c r="B286">
        <v>24</v>
      </c>
      <c r="C286" t="s">
        <v>273</v>
      </c>
    </row>
    <row r="287" spans="1:3" x14ac:dyDescent="0.25">
      <c r="A287" t="s">
        <v>23</v>
      </c>
      <c r="B287">
        <v>38</v>
      </c>
      <c r="C287" t="s">
        <v>273</v>
      </c>
    </row>
    <row r="288" spans="1:3" x14ac:dyDescent="0.25">
      <c r="A288" t="s">
        <v>128</v>
      </c>
      <c r="B288">
        <v>41</v>
      </c>
      <c r="C288" t="s">
        <v>273</v>
      </c>
    </row>
    <row r="289" spans="1:3" x14ac:dyDescent="0.25">
      <c r="A289" t="s">
        <v>130</v>
      </c>
      <c r="B289">
        <v>45</v>
      </c>
      <c r="C289" t="s">
        <v>273</v>
      </c>
    </row>
    <row r="290" spans="1:3" x14ac:dyDescent="0.25">
      <c r="A290" t="s">
        <v>147</v>
      </c>
      <c r="B290">
        <v>73</v>
      </c>
      <c r="C290" t="s">
        <v>273</v>
      </c>
    </row>
    <row r="291" spans="1:3" x14ac:dyDescent="0.25">
      <c r="A291" t="s">
        <v>150</v>
      </c>
      <c r="B291">
        <v>77</v>
      </c>
      <c r="C291" t="s">
        <v>273</v>
      </c>
    </row>
    <row r="292" spans="1:3" x14ac:dyDescent="0.25">
      <c r="A292" t="s">
        <v>163</v>
      </c>
      <c r="B292">
        <v>94</v>
      </c>
      <c r="C292" t="s">
        <v>273</v>
      </c>
    </row>
    <row r="293" spans="1:3" x14ac:dyDescent="0.25">
      <c r="A293" t="s">
        <v>173</v>
      </c>
      <c r="B293">
        <v>116</v>
      </c>
      <c r="C293" t="s">
        <v>273</v>
      </c>
    </row>
    <row r="294" spans="1:3" x14ac:dyDescent="0.25">
      <c r="A294" t="s">
        <v>239</v>
      </c>
      <c r="B294">
        <v>132</v>
      </c>
      <c r="C294" t="s">
        <v>273</v>
      </c>
    </row>
    <row r="295" spans="1:3" x14ac:dyDescent="0.25">
      <c r="A295" t="s">
        <v>80</v>
      </c>
      <c r="B295">
        <v>137</v>
      </c>
      <c r="C295" t="s">
        <v>273</v>
      </c>
    </row>
    <row r="296" spans="1:3" x14ac:dyDescent="0.25">
      <c r="A296" t="s">
        <v>207</v>
      </c>
      <c r="B296">
        <v>145</v>
      </c>
      <c r="C296" t="s">
        <v>273</v>
      </c>
    </row>
    <row r="297" spans="1:3" x14ac:dyDescent="0.25">
      <c r="A297" t="s">
        <v>216</v>
      </c>
      <c r="B297">
        <v>157</v>
      </c>
      <c r="C297" t="s">
        <v>273</v>
      </c>
    </row>
    <row r="298" spans="1:3" x14ac:dyDescent="0.25">
      <c r="A298" t="s">
        <v>127</v>
      </c>
      <c r="B298">
        <v>40</v>
      </c>
      <c r="C298" t="s">
        <v>274</v>
      </c>
    </row>
    <row r="299" spans="1:3" x14ac:dyDescent="0.25">
      <c r="A299" t="s">
        <v>137</v>
      </c>
      <c r="B299">
        <v>56</v>
      </c>
      <c r="C299" t="s">
        <v>274</v>
      </c>
    </row>
    <row r="300" spans="1:3" x14ac:dyDescent="0.25">
      <c r="A300" t="s">
        <v>138</v>
      </c>
      <c r="B300">
        <v>57</v>
      </c>
      <c r="C300" t="s">
        <v>274</v>
      </c>
    </row>
    <row r="301" spans="1:3" x14ac:dyDescent="0.25">
      <c r="A301" t="s">
        <v>140</v>
      </c>
      <c r="B301">
        <v>62</v>
      </c>
      <c r="C301" t="s">
        <v>274</v>
      </c>
    </row>
    <row r="302" spans="1:3" x14ac:dyDescent="0.25">
      <c r="A302" t="s">
        <v>40</v>
      </c>
      <c r="B302">
        <v>66</v>
      </c>
      <c r="C302" t="s">
        <v>274</v>
      </c>
    </row>
    <row r="303" spans="1:3" x14ac:dyDescent="0.25">
      <c r="A303" t="s">
        <v>43</v>
      </c>
      <c r="B303">
        <v>74</v>
      </c>
      <c r="C303" t="s">
        <v>274</v>
      </c>
    </row>
    <row r="304" spans="1:3" x14ac:dyDescent="0.25">
      <c r="A304" t="s">
        <v>154</v>
      </c>
      <c r="B304">
        <v>81</v>
      </c>
      <c r="C304" t="s">
        <v>274</v>
      </c>
    </row>
    <row r="305" spans="1:3" x14ac:dyDescent="0.25">
      <c r="A305" t="s">
        <v>47</v>
      </c>
      <c r="B305">
        <v>84</v>
      </c>
      <c r="C305" t="s">
        <v>274</v>
      </c>
    </row>
    <row r="306" spans="1:3" x14ac:dyDescent="0.25">
      <c r="A306" t="s">
        <v>48</v>
      </c>
      <c r="B306">
        <v>87</v>
      </c>
      <c r="C306" t="s">
        <v>274</v>
      </c>
    </row>
    <row r="307" spans="1:3" x14ac:dyDescent="0.25">
      <c r="A307" t="s">
        <v>52</v>
      </c>
      <c r="B307">
        <v>93</v>
      </c>
      <c r="C307" t="s">
        <v>274</v>
      </c>
    </row>
    <row r="308" spans="1:3" x14ac:dyDescent="0.25">
      <c r="A308" t="s">
        <v>63</v>
      </c>
      <c r="B308">
        <v>111</v>
      </c>
      <c r="C308" t="s">
        <v>274</v>
      </c>
    </row>
    <row r="309" spans="1:3" x14ac:dyDescent="0.25">
      <c r="A309" t="s">
        <v>70</v>
      </c>
      <c r="B309">
        <v>121</v>
      </c>
      <c r="C309" t="s">
        <v>274</v>
      </c>
    </row>
    <row r="310" spans="1:3" x14ac:dyDescent="0.25">
      <c r="A310" t="s">
        <v>180</v>
      </c>
      <c r="B310">
        <v>126</v>
      </c>
      <c r="C310" t="s">
        <v>274</v>
      </c>
    </row>
    <row r="311" spans="1:3" x14ac:dyDescent="0.25">
      <c r="A311" t="s">
        <v>214</v>
      </c>
      <c r="B311">
        <v>155</v>
      </c>
      <c r="C311" t="s">
        <v>274</v>
      </c>
    </row>
    <row r="312" spans="1:3" x14ac:dyDescent="0.25">
      <c r="A312" t="s">
        <v>215</v>
      </c>
      <c r="B312">
        <v>156</v>
      </c>
      <c r="C312" t="s">
        <v>274</v>
      </c>
    </row>
    <row r="313" spans="1:3" x14ac:dyDescent="0.25">
      <c r="A313" t="s">
        <v>218</v>
      </c>
      <c r="B313">
        <v>160</v>
      </c>
      <c r="C313" t="s">
        <v>274</v>
      </c>
    </row>
    <row r="314" spans="1:3" x14ac:dyDescent="0.25">
      <c r="A314" t="s">
        <v>17</v>
      </c>
      <c r="B314">
        <v>25</v>
      </c>
      <c r="C314" t="s">
        <v>275</v>
      </c>
    </row>
    <row r="315" spans="1:3" x14ac:dyDescent="0.25">
      <c r="A315" t="s">
        <v>122</v>
      </c>
      <c r="B315">
        <v>36</v>
      </c>
      <c r="C315" t="s">
        <v>275</v>
      </c>
    </row>
    <row r="316" spans="1:3" x14ac:dyDescent="0.25">
      <c r="A316" t="s">
        <v>28</v>
      </c>
      <c r="B316">
        <v>222</v>
      </c>
      <c r="C316" t="s">
        <v>275</v>
      </c>
    </row>
    <row r="317" spans="1:3" x14ac:dyDescent="0.25">
      <c r="A317" t="s">
        <v>136</v>
      </c>
      <c r="B317">
        <v>54</v>
      </c>
      <c r="C317" t="s">
        <v>275</v>
      </c>
    </row>
    <row r="318" spans="1:3" x14ac:dyDescent="0.25">
      <c r="A318" t="s">
        <v>33</v>
      </c>
      <c r="B318">
        <v>55</v>
      </c>
      <c r="C318" t="s">
        <v>275</v>
      </c>
    </row>
    <row r="319" spans="1:3" x14ac:dyDescent="0.25">
      <c r="A319" t="s">
        <v>34</v>
      </c>
      <c r="B319">
        <v>224</v>
      </c>
      <c r="C319" t="s">
        <v>275</v>
      </c>
    </row>
    <row r="320" spans="1:3" x14ac:dyDescent="0.25">
      <c r="A320" t="s">
        <v>38</v>
      </c>
      <c r="B320">
        <v>61</v>
      </c>
      <c r="C320" t="s">
        <v>275</v>
      </c>
    </row>
    <row r="321" spans="1:3" x14ac:dyDescent="0.25">
      <c r="A321" t="s">
        <v>142</v>
      </c>
      <c r="B321">
        <v>64</v>
      </c>
      <c r="C321" t="s">
        <v>275</v>
      </c>
    </row>
    <row r="322" spans="1:3" x14ac:dyDescent="0.25">
      <c r="A322" t="s">
        <v>41</v>
      </c>
      <c r="B322">
        <v>67</v>
      </c>
      <c r="C322" t="s">
        <v>275</v>
      </c>
    </row>
    <row r="323" spans="1:3" x14ac:dyDescent="0.25">
      <c r="A323" t="s">
        <v>143</v>
      </c>
      <c r="B323">
        <v>68</v>
      </c>
      <c r="C323" t="s">
        <v>275</v>
      </c>
    </row>
    <row r="324" spans="1:3" x14ac:dyDescent="0.25">
      <c r="A324" t="s">
        <v>145</v>
      </c>
      <c r="B324">
        <v>70</v>
      </c>
      <c r="C324" t="s">
        <v>275</v>
      </c>
    </row>
    <row r="325" spans="1:3" x14ac:dyDescent="0.25">
      <c r="A325" t="s">
        <v>44</v>
      </c>
      <c r="B325">
        <v>75</v>
      </c>
      <c r="C325" t="s">
        <v>275</v>
      </c>
    </row>
    <row r="326" spans="1:3" x14ac:dyDescent="0.25">
      <c r="A326" t="s">
        <v>150</v>
      </c>
      <c r="B326">
        <v>77</v>
      </c>
      <c r="C326" t="s">
        <v>275</v>
      </c>
    </row>
    <row r="327" spans="1:3" x14ac:dyDescent="0.25">
      <c r="A327" t="s">
        <v>151</v>
      </c>
      <c r="B327">
        <v>78</v>
      </c>
      <c r="C327" t="s">
        <v>275</v>
      </c>
    </row>
    <row r="328" spans="1:3" x14ac:dyDescent="0.25">
      <c r="A328" t="s">
        <v>158</v>
      </c>
      <c r="B328">
        <v>86</v>
      </c>
      <c r="C328" t="s">
        <v>275</v>
      </c>
    </row>
    <row r="329" spans="1:3" x14ac:dyDescent="0.25">
      <c r="A329" t="s">
        <v>161</v>
      </c>
      <c r="B329">
        <v>91</v>
      </c>
      <c r="C329" t="s">
        <v>275</v>
      </c>
    </row>
    <row r="330" spans="1:3" x14ac:dyDescent="0.25">
      <c r="A330" t="s">
        <v>56</v>
      </c>
      <c r="B330">
        <v>101</v>
      </c>
      <c r="C330" t="s">
        <v>275</v>
      </c>
    </row>
    <row r="331" spans="1:3" x14ac:dyDescent="0.25">
      <c r="A331" t="s">
        <v>62</v>
      </c>
      <c r="B331">
        <v>109</v>
      </c>
      <c r="C331" t="s">
        <v>275</v>
      </c>
    </row>
    <row r="332" spans="1:3" x14ac:dyDescent="0.25">
      <c r="A332" t="s">
        <v>181</v>
      </c>
      <c r="B332">
        <v>127</v>
      </c>
      <c r="C332" t="s">
        <v>275</v>
      </c>
    </row>
    <row r="333" spans="1:3" x14ac:dyDescent="0.25">
      <c r="A333" t="s">
        <v>75</v>
      </c>
      <c r="B333">
        <v>131</v>
      </c>
      <c r="C333" t="s">
        <v>275</v>
      </c>
    </row>
    <row r="334" spans="1:3" x14ac:dyDescent="0.25">
      <c r="A334" t="s">
        <v>81</v>
      </c>
      <c r="B334">
        <v>138</v>
      </c>
      <c r="C334" t="s">
        <v>275</v>
      </c>
    </row>
    <row r="335" spans="1:3" x14ac:dyDescent="0.25">
      <c r="A335" t="s">
        <v>82</v>
      </c>
      <c r="B335">
        <v>139</v>
      </c>
      <c r="C335" t="s">
        <v>275</v>
      </c>
    </row>
    <row r="336" spans="1:3" x14ac:dyDescent="0.25">
      <c r="A336" t="s">
        <v>194</v>
      </c>
      <c r="B336">
        <v>142</v>
      </c>
      <c r="C336" t="s">
        <v>275</v>
      </c>
    </row>
    <row r="337" spans="1:3" x14ac:dyDescent="0.25">
      <c r="A337" t="s">
        <v>219</v>
      </c>
      <c r="B337">
        <v>162</v>
      </c>
      <c r="C337" t="s">
        <v>275</v>
      </c>
    </row>
    <row r="338" spans="1:3" x14ac:dyDescent="0.25">
      <c r="A338" t="s">
        <v>96</v>
      </c>
      <c r="B338">
        <v>166</v>
      </c>
      <c r="C338" t="s">
        <v>275</v>
      </c>
    </row>
    <row r="339" spans="1:3" x14ac:dyDescent="0.25">
      <c r="A339" t="s">
        <v>16</v>
      </c>
      <c r="B339">
        <v>24</v>
      </c>
      <c r="C339" t="s">
        <v>276</v>
      </c>
    </row>
    <row r="340" spans="1:3" x14ac:dyDescent="0.25">
      <c r="A340" t="s">
        <v>122</v>
      </c>
      <c r="B340">
        <v>36</v>
      </c>
      <c r="C340" t="s">
        <v>276</v>
      </c>
    </row>
    <row r="341" spans="1:3" x14ac:dyDescent="0.25">
      <c r="A341" t="s">
        <v>128</v>
      </c>
      <c r="B341">
        <v>41</v>
      </c>
      <c r="C341" t="s">
        <v>276</v>
      </c>
    </row>
    <row r="342" spans="1:3" x14ac:dyDescent="0.25">
      <c r="A342" t="s">
        <v>134</v>
      </c>
      <c r="B342">
        <v>50</v>
      </c>
      <c r="C342" t="s">
        <v>276</v>
      </c>
    </row>
    <row r="343" spans="1:3" x14ac:dyDescent="0.25">
      <c r="A343" t="s">
        <v>41</v>
      </c>
      <c r="B343">
        <v>67</v>
      </c>
      <c r="C343" t="s">
        <v>276</v>
      </c>
    </row>
    <row r="344" spans="1:3" x14ac:dyDescent="0.25">
      <c r="A344" t="s">
        <v>150</v>
      </c>
      <c r="B344">
        <v>77</v>
      </c>
      <c r="C344" t="s">
        <v>276</v>
      </c>
    </row>
    <row r="345" spans="1:3" x14ac:dyDescent="0.25">
      <c r="A345" t="s">
        <v>151</v>
      </c>
      <c r="B345">
        <v>78</v>
      </c>
      <c r="C345" t="s">
        <v>276</v>
      </c>
    </row>
    <row r="346" spans="1:3" x14ac:dyDescent="0.25">
      <c r="A346" t="s">
        <v>161</v>
      </c>
      <c r="B346">
        <v>91</v>
      </c>
      <c r="C346" t="s">
        <v>276</v>
      </c>
    </row>
    <row r="347" spans="1:3" x14ac:dyDescent="0.25">
      <c r="A347" t="s">
        <v>51</v>
      </c>
      <c r="B347">
        <v>92</v>
      </c>
      <c r="C347" t="s">
        <v>276</v>
      </c>
    </row>
    <row r="348" spans="1:3" x14ac:dyDescent="0.25">
      <c r="A348" t="s">
        <v>167</v>
      </c>
      <c r="B348">
        <v>100</v>
      </c>
      <c r="C348" t="s">
        <v>276</v>
      </c>
    </row>
    <row r="349" spans="1:3" x14ac:dyDescent="0.25">
      <c r="A349" t="s">
        <v>170</v>
      </c>
      <c r="B349">
        <v>107</v>
      </c>
      <c r="C349" t="s">
        <v>276</v>
      </c>
    </row>
    <row r="350" spans="1:3" x14ac:dyDescent="0.25">
      <c r="A350" t="s">
        <v>81</v>
      </c>
      <c r="B350">
        <v>138</v>
      </c>
      <c r="C350" t="s">
        <v>276</v>
      </c>
    </row>
    <row r="351" spans="1:3" x14ac:dyDescent="0.25">
      <c r="A351" t="s">
        <v>192</v>
      </c>
      <c r="B351">
        <v>140</v>
      </c>
      <c r="C351" t="s">
        <v>276</v>
      </c>
    </row>
    <row r="352" spans="1:3" x14ac:dyDescent="0.25">
      <c r="A352" t="s">
        <v>213</v>
      </c>
      <c r="B352">
        <v>154</v>
      </c>
      <c r="C352" t="s">
        <v>276</v>
      </c>
    </row>
    <row r="353" spans="1:3" x14ac:dyDescent="0.25">
      <c r="A353" t="s">
        <v>220</v>
      </c>
      <c r="B353">
        <v>163</v>
      </c>
      <c r="C353" t="s">
        <v>276</v>
      </c>
    </row>
    <row r="354" spans="1:3" x14ac:dyDescent="0.25">
      <c r="A354" t="s">
        <v>100</v>
      </c>
      <c r="B354">
        <v>177</v>
      </c>
      <c r="C354" t="s">
        <v>276</v>
      </c>
    </row>
    <row r="355" spans="1:3" x14ac:dyDescent="0.25">
      <c r="A355" t="s">
        <v>104</v>
      </c>
      <c r="B355">
        <v>237</v>
      </c>
      <c r="C355" t="s">
        <v>277</v>
      </c>
    </row>
    <row r="356" spans="1:3" x14ac:dyDescent="0.25">
      <c r="A356" t="s">
        <v>105</v>
      </c>
      <c r="B356">
        <v>6</v>
      </c>
      <c r="C356" t="s">
        <v>277</v>
      </c>
    </row>
    <row r="357" spans="1:3" x14ac:dyDescent="0.25">
      <c r="A357" t="s">
        <v>106</v>
      </c>
      <c r="B357">
        <v>7</v>
      </c>
      <c r="C357" t="s">
        <v>277</v>
      </c>
    </row>
    <row r="358" spans="1:3" x14ac:dyDescent="0.25">
      <c r="A358" t="s">
        <v>107</v>
      </c>
      <c r="B358">
        <v>8</v>
      </c>
      <c r="C358" t="s">
        <v>277</v>
      </c>
    </row>
    <row r="359" spans="1:3" x14ac:dyDescent="0.25">
      <c r="A359" t="s">
        <v>6</v>
      </c>
      <c r="B359">
        <v>9</v>
      </c>
      <c r="C359" t="s">
        <v>277</v>
      </c>
    </row>
    <row r="360" spans="1:3" x14ac:dyDescent="0.25">
      <c r="A360" t="s">
        <v>7</v>
      </c>
      <c r="B360">
        <v>10</v>
      </c>
      <c r="C360" t="s">
        <v>277</v>
      </c>
    </row>
    <row r="361" spans="1:3" x14ac:dyDescent="0.25">
      <c r="A361" t="s">
        <v>8</v>
      </c>
      <c r="B361">
        <v>11</v>
      </c>
      <c r="C361" t="s">
        <v>277</v>
      </c>
    </row>
    <row r="362" spans="1:3" x14ac:dyDescent="0.25">
      <c r="A362" t="s">
        <v>10</v>
      </c>
      <c r="B362">
        <v>13</v>
      </c>
      <c r="C362" t="s">
        <v>277</v>
      </c>
    </row>
    <row r="363" spans="1:3" x14ac:dyDescent="0.25">
      <c r="A363" t="s">
        <v>12</v>
      </c>
      <c r="B363">
        <v>15</v>
      </c>
      <c r="C363" t="s">
        <v>277</v>
      </c>
    </row>
    <row r="364" spans="1:3" x14ac:dyDescent="0.25">
      <c r="A364" t="s">
        <v>113</v>
      </c>
      <c r="B364">
        <v>18</v>
      </c>
      <c r="C364" t="s">
        <v>277</v>
      </c>
    </row>
    <row r="365" spans="1:3" x14ac:dyDescent="0.25">
      <c r="A365" t="s">
        <v>116</v>
      </c>
      <c r="B365">
        <v>23</v>
      </c>
      <c r="C365" t="s">
        <v>277</v>
      </c>
    </row>
    <row r="366" spans="1:3" x14ac:dyDescent="0.25">
      <c r="A366" t="s">
        <v>17</v>
      </c>
      <c r="B366">
        <v>25</v>
      </c>
      <c r="C366" t="s">
        <v>277</v>
      </c>
    </row>
    <row r="367" spans="1:3" x14ac:dyDescent="0.25">
      <c r="A367" t="s">
        <v>232</v>
      </c>
      <c r="B367">
        <v>26</v>
      </c>
      <c r="C367" t="s">
        <v>277</v>
      </c>
    </row>
    <row r="368" spans="1:3" x14ac:dyDescent="0.25">
      <c r="A368" t="s">
        <v>117</v>
      </c>
      <c r="B368">
        <v>28</v>
      </c>
      <c r="C368" t="s">
        <v>277</v>
      </c>
    </row>
    <row r="369" spans="1:3" x14ac:dyDescent="0.25">
      <c r="A369" t="s">
        <v>20</v>
      </c>
      <c r="B369">
        <v>30</v>
      </c>
      <c r="C369" t="s">
        <v>277</v>
      </c>
    </row>
    <row r="370" spans="1:3" x14ac:dyDescent="0.25">
      <c r="A370" t="s">
        <v>119</v>
      </c>
      <c r="B370">
        <v>31</v>
      </c>
      <c r="C370" t="s">
        <v>277</v>
      </c>
    </row>
    <row r="371" spans="1:3" x14ac:dyDescent="0.25">
      <c r="A371" t="s">
        <v>21</v>
      </c>
      <c r="B371">
        <v>32</v>
      </c>
      <c r="C371" t="s">
        <v>277</v>
      </c>
    </row>
    <row r="372" spans="1:3" x14ac:dyDescent="0.25">
      <c r="A372" t="s">
        <v>120</v>
      </c>
      <c r="B372">
        <v>33</v>
      </c>
      <c r="C372" t="s">
        <v>277</v>
      </c>
    </row>
    <row r="373" spans="1:3" x14ac:dyDescent="0.25">
      <c r="A373" t="s">
        <v>125</v>
      </c>
      <c r="B373">
        <v>221</v>
      </c>
      <c r="C373" t="s">
        <v>277</v>
      </c>
    </row>
    <row r="374" spans="1:3" x14ac:dyDescent="0.25">
      <c r="A374" t="s">
        <v>24</v>
      </c>
      <c r="B374">
        <v>39</v>
      </c>
      <c r="C374" t="s">
        <v>277</v>
      </c>
    </row>
    <row r="375" spans="1:3" x14ac:dyDescent="0.25">
      <c r="A375" t="s">
        <v>28</v>
      </c>
      <c r="B375">
        <v>222</v>
      </c>
      <c r="C375" t="s">
        <v>277</v>
      </c>
    </row>
    <row r="376" spans="1:3" x14ac:dyDescent="0.25">
      <c r="A376" t="s">
        <v>129</v>
      </c>
      <c r="B376">
        <v>44</v>
      </c>
      <c r="C376" t="s">
        <v>277</v>
      </c>
    </row>
    <row r="377" spans="1:3" x14ac:dyDescent="0.25">
      <c r="A377" t="s">
        <v>133</v>
      </c>
      <c r="B377">
        <v>49</v>
      </c>
      <c r="C377" t="s">
        <v>277</v>
      </c>
    </row>
    <row r="378" spans="1:3" x14ac:dyDescent="0.25">
      <c r="A378" t="s">
        <v>31</v>
      </c>
      <c r="B378">
        <v>51</v>
      </c>
      <c r="C378" t="s">
        <v>277</v>
      </c>
    </row>
    <row r="379" spans="1:3" x14ac:dyDescent="0.25">
      <c r="A379" t="s">
        <v>136</v>
      </c>
      <c r="B379">
        <v>54</v>
      </c>
      <c r="C379" t="s">
        <v>277</v>
      </c>
    </row>
    <row r="380" spans="1:3" x14ac:dyDescent="0.25">
      <c r="A380" t="s">
        <v>40</v>
      </c>
      <c r="B380">
        <v>66</v>
      </c>
      <c r="C380" t="s">
        <v>277</v>
      </c>
    </row>
    <row r="381" spans="1:3" x14ac:dyDescent="0.25">
      <c r="A381" t="s">
        <v>144</v>
      </c>
      <c r="B381">
        <v>69</v>
      </c>
      <c r="C381" t="s">
        <v>277</v>
      </c>
    </row>
    <row r="382" spans="1:3" x14ac:dyDescent="0.25">
      <c r="A382" t="s">
        <v>45</v>
      </c>
      <c r="B382">
        <v>226</v>
      </c>
      <c r="C382" t="s">
        <v>277</v>
      </c>
    </row>
    <row r="383" spans="1:3" x14ac:dyDescent="0.25">
      <c r="A383" t="s">
        <v>159</v>
      </c>
      <c r="B383">
        <v>227</v>
      </c>
      <c r="C383" t="s">
        <v>277</v>
      </c>
    </row>
    <row r="384" spans="1:3" x14ac:dyDescent="0.25">
      <c r="A384" t="s">
        <v>50</v>
      </c>
      <c r="B384">
        <v>89</v>
      </c>
      <c r="C384" t="s">
        <v>277</v>
      </c>
    </row>
    <row r="385" spans="1:3" x14ac:dyDescent="0.25">
      <c r="A385" t="s">
        <v>160</v>
      </c>
      <c r="B385">
        <v>90</v>
      </c>
      <c r="C385" t="s">
        <v>277</v>
      </c>
    </row>
    <row r="386" spans="1:3" x14ac:dyDescent="0.25">
      <c r="A386" t="s">
        <v>55</v>
      </c>
      <c r="B386">
        <v>242</v>
      </c>
      <c r="C386" t="s">
        <v>277</v>
      </c>
    </row>
    <row r="387" spans="1:3" x14ac:dyDescent="0.25">
      <c r="A387" t="s">
        <v>57</v>
      </c>
      <c r="B387">
        <v>102</v>
      </c>
      <c r="C387" t="s">
        <v>277</v>
      </c>
    </row>
    <row r="388" spans="1:3" x14ac:dyDescent="0.25">
      <c r="A388" t="s">
        <v>168</v>
      </c>
      <c r="B388">
        <v>105</v>
      </c>
      <c r="C388" t="s">
        <v>277</v>
      </c>
    </row>
    <row r="389" spans="1:3" x14ac:dyDescent="0.25">
      <c r="A389" t="s">
        <v>169</v>
      </c>
      <c r="B389">
        <v>106</v>
      </c>
      <c r="C389" t="s">
        <v>277</v>
      </c>
    </row>
    <row r="390" spans="1:3" x14ac:dyDescent="0.25">
      <c r="A390" t="s">
        <v>60</v>
      </c>
      <c r="B390">
        <v>108</v>
      </c>
      <c r="C390" t="s">
        <v>277</v>
      </c>
    </row>
    <row r="391" spans="1:3" x14ac:dyDescent="0.25">
      <c r="A391" t="s">
        <v>68</v>
      </c>
      <c r="B391">
        <v>118</v>
      </c>
      <c r="C391" t="s">
        <v>277</v>
      </c>
    </row>
    <row r="392" spans="1:3" x14ac:dyDescent="0.25">
      <c r="A392" t="s">
        <v>179</v>
      </c>
      <c r="B392">
        <v>125</v>
      </c>
      <c r="C392" t="s">
        <v>277</v>
      </c>
    </row>
    <row r="393" spans="1:3" x14ac:dyDescent="0.25">
      <c r="A393" t="s">
        <v>183</v>
      </c>
      <c r="B393">
        <v>128</v>
      </c>
      <c r="C393" t="s">
        <v>277</v>
      </c>
    </row>
    <row r="394" spans="1:3" x14ac:dyDescent="0.25">
      <c r="A394" t="s">
        <v>187</v>
      </c>
      <c r="B394">
        <v>134</v>
      </c>
      <c r="C394" t="s">
        <v>277</v>
      </c>
    </row>
    <row r="395" spans="1:3" x14ac:dyDescent="0.25">
      <c r="A395" t="s">
        <v>188</v>
      </c>
      <c r="B395">
        <v>135</v>
      </c>
      <c r="C395" t="s">
        <v>277</v>
      </c>
    </row>
    <row r="396" spans="1:3" x14ac:dyDescent="0.25">
      <c r="A396" t="s">
        <v>82</v>
      </c>
      <c r="B396">
        <v>139</v>
      </c>
      <c r="C396" t="s">
        <v>277</v>
      </c>
    </row>
    <row r="397" spans="1:3" x14ac:dyDescent="0.25">
      <c r="A397" t="s">
        <v>84</v>
      </c>
      <c r="B397">
        <v>146</v>
      </c>
      <c r="C397" t="s">
        <v>277</v>
      </c>
    </row>
    <row r="398" spans="1:3" x14ac:dyDescent="0.25">
      <c r="A398" t="s">
        <v>85</v>
      </c>
      <c r="B398">
        <v>147</v>
      </c>
      <c r="C398" t="s">
        <v>277</v>
      </c>
    </row>
    <row r="399" spans="1:3" x14ac:dyDescent="0.25">
      <c r="A399" t="s">
        <v>92</v>
      </c>
      <c r="B399">
        <v>220</v>
      </c>
      <c r="C399" t="s">
        <v>277</v>
      </c>
    </row>
    <row r="400" spans="1:3" x14ac:dyDescent="0.25">
      <c r="A400" t="s">
        <v>99</v>
      </c>
      <c r="B400">
        <v>175</v>
      </c>
      <c r="C400" t="s">
        <v>277</v>
      </c>
    </row>
    <row r="401" spans="1:3" x14ac:dyDescent="0.25">
      <c r="A401" t="s">
        <v>101</v>
      </c>
      <c r="B401">
        <v>178</v>
      </c>
      <c r="C401" t="s">
        <v>277</v>
      </c>
    </row>
    <row r="402" spans="1:3" x14ac:dyDescent="0.25">
      <c r="A402" t="s">
        <v>1</v>
      </c>
      <c r="B402">
        <v>1</v>
      </c>
      <c r="C402" t="s">
        <v>278</v>
      </c>
    </row>
    <row r="403" spans="1:3" x14ac:dyDescent="0.25">
      <c r="A403" t="s">
        <v>2</v>
      </c>
      <c r="B403">
        <v>2</v>
      </c>
      <c r="C403" t="s">
        <v>278</v>
      </c>
    </row>
    <row r="404" spans="1:3" x14ac:dyDescent="0.25">
      <c r="A404" t="s">
        <v>106</v>
      </c>
      <c r="B404">
        <v>7</v>
      </c>
      <c r="C404" t="s">
        <v>278</v>
      </c>
    </row>
    <row r="405" spans="1:3" x14ac:dyDescent="0.25">
      <c r="A405" t="s">
        <v>12</v>
      </c>
      <c r="B405">
        <v>15</v>
      </c>
      <c r="C405" t="s">
        <v>278</v>
      </c>
    </row>
    <row r="406" spans="1:3" x14ac:dyDescent="0.25">
      <c r="A406" t="s">
        <v>13</v>
      </c>
      <c r="B406">
        <v>17</v>
      </c>
      <c r="C406" t="s">
        <v>278</v>
      </c>
    </row>
    <row r="407" spans="1:3" x14ac:dyDescent="0.25">
      <c r="A407" t="s">
        <v>231</v>
      </c>
      <c r="B407">
        <v>21</v>
      </c>
      <c r="C407" t="s">
        <v>278</v>
      </c>
    </row>
    <row r="408" spans="1:3" x14ac:dyDescent="0.25">
      <c r="A408" t="s">
        <v>15</v>
      </c>
      <c r="B408">
        <v>22</v>
      </c>
      <c r="C408" t="s">
        <v>278</v>
      </c>
    </row>
    <row r="409" spans="1:3" x14ac:dyDescent="0.25">
      <c r="A409" t="s">
        <v>19</v>
      </c>
      <c r="B409">
        <v>27</v>
      </c>
      <c r="C409" t="s">
        <v>278</v>
      </c>
    </row>
    <row r="410" spans="1:3" x14ac:dyDescent="0.25">
      <c r="A410" t="s">
        <v>20</v>
      </c>
      <c r="B410">
        <v>30</v>
      </c>
      <c r="C410" t="s">
        <v>278</v>
      </c>
    </row>
    <row r="411" spans="1:3" x14ac:dyDescent="0.25">
      <c r="A411" t="s">
        <v>121</v>
      </c>
      <c r="B411">
        <v>35</v>
      </c>
      <c r="C411" t="s">
        <v>278</v>
      </c>
    </row>
    <row r="412" spans="1:3" x14ac:dyDescent="0.25">
      <c r="A412" t="s">
        <v>123</v>
      </c>
      <c r="B412">
        <v>37</v>
      </c>
      <c r="C412" t="s">
        <v>278</v>
      </c>
    </row>
    <row r="413" spans="1:3" x14ac:dyDescent="0.25">
      <c r="A413" t="s">
        <v>134</v>
      </c>
      <c r="B413">
        <v>50</v>
      </c>
      <c r="C413" t="s">
        <v>278</v>
      </c>
    </row>
    <row r="414" spans="1:3" x14ac:dyDescent="0.25">
      <c r="A414" t="s">
        <v>32</v>
      </c>
      <c r="B414">
        <v>53</v>
      </c>
      <c r="C414" t="s">
        <v>278</v>
      </c>
    </row>
    <row r="415" spans="1:3" x14ac:dyDescent="0.25">
      <c r="A415" t="s">
        <v>136</v>
      </c>
      <c r="B415">
        <v>54</v>
      </c>
      <c r="C415" t="s">
        <v>278</v>
      </c>
    </row>
    <row r="416" spans="1:3" x14ac:dyDescent="0.25">
      <c r="A416" t="s">
        <v>34</v>
      </c>
      <c r="B416">
        <v>224</v>
      </c>
      <c r="C416" t="s">
        <v>278</v>
      </c>
    </row>
    <row r="417" spans="1:3" x14ac:dyDescent="0.25">
      <c r="A417" t="s">
        <v>36</v>
      </c>
      <c r="B417">
        <v>225</v>
      </c>
      <c r="C417" t="s">
        <v>278</v>
      </c>
    </row>
    <row r="418" spans="1:3" x14ac:dyDescent="0.25">
      <c r="A418" t="s">
        <v>142</v>
      </c>
      <c r="B418">
        <v>64</v>
      </c>
      <c r="C418" t="s">
        <v>278</v>
      </c>
    </row>
    <row r="419" spans="1:3" x14ac:dyDescent="0.25">
      <c r="A419" t="s">
        <v>40</v>
      </c>
      <c r="B419">
        <v>66</v>
      </c>
      <c r="C419" t="s">
        <v>278</v>
      </c>
    </row>
    <row r="420" spans="1:3" x14ac:dyDescent="0.25">
      <c r="A420" t="s">
        <v>146</v>
      </c>
      <c r="B420">
        <v>72</v>
      </c>
      <c r="C420" t="s">
        <v>278</v>
      </c>
    </row>
    <row r="421" spans="1:3" x14ac:dyDescent="0.25">
      <c r="A421" t="s">
        <v>155</v>
      </c>
      <c r="B421">
        <v>82</v>
      </c>
      <c r="C421" t="s">
        <v>278</v>
      </c>
    </row>
    <row r="422" spans="1:3" x14ac:dyDescent="0.25">
      <c r="A422" t="s">
        <v>47</v>
      </c>
      <c r="B422">
        <v>84</v>
      </c>
      <c r="C422" t="s">
        <v>278</v>
      </c>
    </row>
    <row r="423" spans="1:3" x14ac:dyDescent="0.25">
      <c r="A423" t="s">
        <v>158</v>
      </c>
      <c r="B423">
        <v>86</v>
      </c>
      <c r="C423" t="s">
        <v>278</v>
      </c>
    </row>
    <row r="424" spans="1:3" x14ac:dyDescent="0.25">
      <c r="A424" t="s">
        <v>48</v>
      </c>
      <c r="B424">
        <v>87</v>
      </c>
      <c r="C424" t="s">
        <v>278</v>
      </c>
    </row>
    <row r="425" spans="1:3" x14ac:dyDescent="0.25">
      <c r="A425" t="s">
        <v>51</v>
      </c>
      <c r="B425">
        <v>92</v>
      </c>
      <c r="C425" t="s">
        <v>278</v>
      </c>
    </row>
    <row r="426" spans="1:3" x14ac:dyDescent="0.25">
      <c r="A426" t="s">
        <v>53</v>
      </c>
      <c r="B426">
        <v>95</v>
      </c>
      <c r="C426" t="s">
        <v>278</v>
      </c>
    </row>
    <row r="427" spans="1:3" x14ac:dyDescent="0.25">
      <c r="A427" t="s">
        <v>54</v>
      </c>
      <c r="B427">
        <v>96</v>
      </c>
      <c r="C427" t="s">
        <v>278</v>
      </c>
    </row>
    <row r="428" spans="1:3" x14ac:dyDescent="0.25">
      <c r="A428" t="s">
        <v>167</v>
      </c>
      <c r="B428">
        <v>100</v>
      </c>
      <c r="C428" t="s">
        <v>278</v>
      </c>
    </row>
    <row r="429" spans="1:3" x14ac:dyDescent="0.25">
      <c r="A429" t="s">
        <v>57</v>
      </c>
      <c r="B429">
        <v>102</v>
      </c>
      <c r="C429" t="s">
        <v>278</v>
      </c>
    </row>
    <row r="430" spans="1:3" x14ac:dyDescent="0.25">
      <c r="A430" t="s">
        <v>170</v>
      </c>
      <c r="B430">
        <v>107</v>
      </c>
      <c r="C430" t="s">
        <v>278</v>
      </c>
    </row>
    <row r="431" spans="1:3" x14ac:dyDescent="0.25">
      <c r="A431" t="s">
        <v>60</v>
      </c>
      <c r="B431">
        <v>108</v>
      </c>
      <c r="C431" t="s">
        <v>278</v>
      </c>
    </row>
    <row r="432" spans="1:3" x14ac:dyDescent="0.25">
      <c r="A432" t="s">
        <v>62</v>
      </c>
      <c r="B432">
        <v>109</v>
      </c>
      <c r="C432" t="s">
        <v>278</v>
      </c>
    </row>
    <row r="433" spans="1:3" x14ac:dyDescent="0.25">
      <c r="A433" t="s">
        <v>63</v>
      </c>
      <c r="B433">
        <v>111</v>
      </c>
      <c r="C433" t="s">
        <v>278</v>
      </c>
    </row>
    <row r="434" spans="1:3" x14ac:dyDescent="0.25">
      <c r="A434" t="s">
        <v>175</v>
      </c>
      <c r="B434">
        <v>229</v>
      </c>
      <c r="C434" t="s">
        <v>278</v>
      </c>
    </row>
    <row r="435" spans="1:3" x14ac:dyDescent="0.25">
      <c r="A435" t="s">
        <v>176</v>
      </c>
      <c r="B435">
        <v>120</v>
      </c>
      <c r="C435" t="s">
        <v>278</v>
      </c>
    </row>
    <row r="436" spans="1:3" x14ac:dyDescent="0.25">
      <c r="A436" t="s">
        <v>71</v>
      </c>
      <c r="B436">
        <v>230</v>
      </c>
      <c r="C436" t="s">
        <v>278</v>
      </c>
    </row>
    <row r="437" spans="1:3" x14ac:dyDescent="0.25">
      <c r="A437" t="s">
        <v>177</v>
      </c>
      <c r="B437">
        <v>122</v>
      </c>
      <c r="C437" t="s">
        <v>278</v>
      </c>
    </row>
    <row r="438" spans="1:3" x14ac:dyDescent="0.25">
      <c r="A438" t="s">
        <v>181</v>
      </c>
      <c r="B438">
        <v>127</v>
      </c>
      <c r="C438" t="s">
        <v>278</v>
      </c>
    </row>
    <row r="439" spans="1:3" x14ac:dyDescent="0.25">
      <c r="A439" t="s">
        <v>188</v>
      </c>
      <c r="B439">
        <v>135</v>
      </c>
      <c r="C439" t="s">
        <v>278</v>
      </c>
    </row>
    <row r="440" spans="1:3" x14ac:dyDescent="0.25">
      <c r="A440" t="s">
        <v>82</v>
      </c>
      <c r="B440">
        <v>139</v>
      </c>
      <c r="C440" t="s">
        <v>278</v>
      </c>
    </row>
    <row r="441" spans="1:3" x14ac:dyDescent="0.25">
      <c r="A441" t="s">
        <v>86</v>
      </c>
      <c r="B441">
        <v>148</v>
      </c>
      <c r="C441" t="s">
        <v>278</v>
      </c>
    </row>
    <row r="442" spans="1:3" x14ac:dyDescent="0.25">
      <c r="A442" t="s">
        <v>220</v>
      </c>
      <c r="B442">
        <v>163</v>
      </c>
      <c r="C442" t="s">
        <v>278</v>
      </c>
    </row>
    <row r="443" spans="1:3" x14ac:dyDescent="0.25">
      <c r="A443" t="s">
        <v>224</v>
      </c>
      <c r="B443">
        <v>168</v>
      </c>
      <c r="C443" t="s">
        <v>278</v>
      </c>
    </row>
    <row r="444" spans="1:3" x14ac:dyDescent="0.25">
      <c r="A444" t="s">
        <v>226</v>
      </c>
      <c r="B444">
        <v>170</v>
      </c>
      <c r="C444" t="s">
        <v>278</v>
      </c>
    </row>
    <row r="445" spans="1:3" x14ac:dyDescent="0.25">
      <c r="A445" t="s">
        <v>97</v>
      </c>
      <c r="B445">
        <v>172</v>
      </c>
      <c r="C445" t="s">
        <v>278</v>
      </c>
    </row>
    <row r="446" spans="1:3" x14ac:dyDescent="0.25">
      <c r="A446" t="s">
        <v>98</v>
      </c>
      <c r="B446">
        <v>173</v>
      </c>
      <c r="C446" t="s">
        <v>278</v>
      </c>
    </row>
    <row r="447" spans="1:3" x14ac:dyDescent="0.25">
      <c r="A447" t="s">
        <v>101</v>
      </c>
      <c r="B447">
        <v>178</v>
      </c>
      <c r="C447" t="s">
        <v>278</v>
      </c>
    </row>
    <row r="448" spans="1:3" x14ac:dyDescent="0.25">
      <c r="A448" t="s">
        <v>3</v>
      </c>
      <c r="B448">
        <v>3</v>
      </c>
      <c r="C448" t="s">
        <v>279</v>
      </c>
    </row>
    <row r="449" spans="1:3" x14ac:dyDescent="0.25">
      <c r="A449" t="s">
        <v>4</v>
      </c>
      <c r="B449">
        <v>4</v>
      </c>
      <c r="C449" t="s">
        <v>279</v>
      </c>
    </row>
    <row r="450" spans="1:3" x14ac:dyDescent="0.25">
      <c r="A450" t="s">
        <v>5</v>
      </c>
      <c r="B450">
        <v>5</v>
      </c>
      <c r="C450" t="s">
        <v>279</v>
      </c>
    </row>
    <row r="451" spans="1:3" x14ac:dyDescent="0.25">
      <c r="A451" t="s">
        <v>105</v>
      </c>
      <c r="B451">
        <v>6</v>
      </c>
      <c r="C451" t="s">
        <v>279</v>
      </c>
    </row>
    <row r="452" spans="1:3" x14ac:dyDescent="0.25">
      <c r="A452" t="s">
        <v>107</v>
      </c>
      <c r="B452">
        <v>8</v>
      </c>
      <c r="C452" t="s">
        <v>279</v>
      </c>
    </row>
    <row r="453" spans="1:3" x14ac:dyDescent="0.25">
      <c r="A453" t="s">
        <v>6</v>
      </c>
      <c r="B453">
        <v>9</v>
      </c>
      <c r="C453" t="s">
        <v>279</v>
      </c>
    </row>
    <row r="454" spans="1:3" x14ac:dyDescent="0.25">
      <c r="A454" t="s">
        <v>7</v>
      </c>
      <c r="B454">
        <v>10</v>
      </c>
      <c r="C454" t="s">
        <v>279</v>
      </c>
    </row>
    <row r="455" spans="1:3" x14ac:dyDescent="0.25">
      <c r="A455" t="s">
        <v>8</v>
      </c>
      <c r="B455">
        <v>11</v>
      </c>
      <c r="C455" t="s">
        <v>279</v>
      </c>
    </row>
    <row r="456" spans="1:3" x14ac:dyDescent="0.25">
      <c r="A456" t="s">
        <v>10</v>
      </c>
      <c r="B456">
        <v>13</v>
      </c>
      <c r="C456" t="s">
        <v>279</v>
      </c>
    </row>
    <row r="457" spans="1:3" x14ac:dyDescent="0.25">
      <c r="A457" t="s">
        <v>11</v>
      </c>
      <c r="B457">
        <v>14</v>
      </c>
      <c r="C457" t="s">
        <v>279</v>
      </c>
    </row>
    <row r="458" spans="1:3" x14ac:dyDescent="0.25">
      <c r="A458" t="s">
        <v>112</v>
      </c>
      <c r="B458">
        <v>16</v>
      </c>
      <c r="C458" t="s">
        <v>279</v>
      </c>
    </row>
    <row r="459" spans="1:3" x14ac:dyDescent="0.25">
      <c r="A459" t="s">
        <v>113</v>
      </c>
      <c r="B459">
        <v>18</v>
      </c>
      <c r="C459" t="s">
        <v>279</v>
      </c>
    </row>
    <row r="460" spans="1:3" x14ac:dyDescent="0.25">
      <c r="A460" t="s">
        <v>14</v>
      </c>
      <c r="B460">
        <v>19</v>
      </c>
      <c r="C460" t="s">
        <v>279</v>
      </c>
    </row>
    <row r="461" spans="1:3" x14ac:dyDescent="0.25">
      <c r="A461" t="s">
        <v>116</v>
      </c>
      <c r="B461">
        <v>23</v>
      </c>
      <c r="C461" t="s">
        <v>279</v>
      </c>
    </row>
    <row r="462" spans="1:3" x14ac:dyDescent="0.25">
      <c r="A462" t="s">
        <v>16</v>
      </c>
      <c r="B462">
        <v>24</v>
      </c>
      <c r="C462" t="s">
        <v>279</v>
      </c>
    </row>
    <row r="463" spans="1:3" x14ac:dyDescent="0.25">
      <c r="A463" t="s">
        <v>17</v>
      </c>
      <c r="B463">
        <v>25</v>
      </c>
      <c r="C463" t="s">
        <v>279</v>
      </c>
    </row>
    <row r="464" spans="1:3" x14ac:dyDescent="0.25">
      <c r="A464" t="s">
        <v>232</v>
      </c>
      <c r="B464">
        <v>26</v>
      </c>
      <c r="C464" t="s">
        <v>279</v>
      </c>
    </row>
    <row r="465" spans="1:3" x14ac:dyDescent="0.25">
      <c r="A465" t="s">
        <v>117</v>
      </c>
      <c r="B465">
        <v>28</v>
      </c>
      <c r="C465" t="s">
        <v>279</v>
      </c>
    </row>
    <row r="466" spans="1:3" x14ac:dyDescent="0.25">
      <c r="A466" t="s">
        <v>119</v>
      </c>
      <c r="B466">
        <v>31</v>
      </c>
      <c r="C466" t="s">
        <v>279</v>
      </c>
    </row>
    <row r="467" spans="1:3" x14ac:dyDescent="0.25">
      <c r="A467" t="s">
        <v>21</v>
      </c>
      <c r="B467">
        <v>32</v>
      </c>
      <c r="C467" t="s">
        <v>279</v>
      </c>
    </row>
    <row r="468" spans="1:3" x14ac:dyDescent="0.25">
      <c r="A468" t="s">
        <v>120</v>
      </c>
      <c r="B468">
        <v>33</v>
      </c>
      <c r="C468" t="s">
        <v>279</v>
      </c>
    </row>
    <row r="469" spans="1:3" x14ac:dyDescent="0.25">
      <c r="A469" t="s">
        <v>22</v>
      </c>
      <c r="B469">
        <v>34</v>
      </c>
      <c r="C469" t="s">
        <v>279</v>
      </c>
    </row>
    <row r="470" spans="1:3" x14ac:dyDescent="0.25">
      <c r="A470" t="s">
        <v>23</v>
      </c>
      <c r="B470">
        <v>38</v>
      </c>
      <c r="C470" t="s">
        <v>279</v>
      </c>
    </row>
    <row r="471" spans="1:3" x14ac:dyDescent="0.25">
      <c r="A471" t="s">
        <v>24</v>
      </c>
      <c r="B471">
        <v>39</v>
      </c>
      <c r="C471" t="s">
        <v>279</v>
      </c>
    </row>
    <row r="472" spans="1:3" x14ac:dyDescent="0.25">
      <c r="A472" t="s">
        <v>126</v>
      </c>
      <c r="B472">
        <v>240</v>
      </c>
      <c r="C472" t="s">
        <v>279</v>
      </c>
    </row>
    <row r="473" spans="1:3" x14ac:dyDescent="0.25">
      <c r="A473" t="s">
        <v>128</v>
      </c>
      <c r="B473">
        <v>41</v>
      </c>
      <c r="C473" t="s">
        <v>279</v>
      </c>
    </row>
    <row r="474" spans="1:3" x14ac:dyDescent="0.25">
      <c r="A474" t="s">
        <v>28</v>
      </c>
      <c r="B474">
        <v>222</v>
      </c>
      <c r="C474" t="s">
        <v>279</v>
      </c>
    </row>
    <row r="475" spans="1:3" x14ac:dyDescent="0.25">
      <c r="A475" t="s">
        <v>29</v>
      </c>
      <c r="B475">
        <v>43</v>
      </c>
      <c r="C475" t="s">
        <v>279</v>
      </c>
    </row>
    <row r="476" spans="1:3" x14ac:dyDescent="0.25">
      <c r="A476" t="s">
        <v>129</v>
      </c>
      <c r="B476">
        <v>44</v>
      </c>
      <c r="C476" t="s">
        <v>279</v>
      </c>
    </row>
    <row r="477" spans="1:3" x14ac:dyDescent="0.25">
      <c r="A477" t="s">
        <v>131</v>
      </c>
      <c r="B477">
        <v>47</v>
      </c>
      <c r="C477" t="s">
        <v>279</v>
      </c>
    </row>
    <row r="478" spans="1:3" x14ac:dyDescent="0.25">
      <c r="A478" t="s">
        <v>30</v>
      </c>
      <c r="B478">
        <v>223</v>
      </c>
      <c r="C478" t="s">
        <v>279</v>
      </c>
    </row>
    <row r="479" spans="1:3" x14ac:dyDescent="0.25">
      <c r="A479" t="s">
        <v>132</v>
      </c>
      <c r="B479">
        <v>48</v>
      </c>
      <c r="C479" t="s">
        <v>279</v>
      </c>
    </row>
    <row r="480" spans="1:3" x14ac:dyDescent="0.25">
      <c r="A480" t="s">
        <v>133</v>
      </c>
      <c r="B480">
        <v>49</v>
      </c>
      <c r="C480" t="s">
        <v>279</v>
      </c>
    </row>
    <row r="481" spans="1:3" x14ac:dyDescent="0.25">
      <c r="A481" t="s">
        <v>31</v>
      </c>
      <c r="B481">
        <v>51</v>
      </c>
      <c r="C481" t="s">
        <v>279</v>
      </c>
    </row>
    <row r="482" spans="1:3" x14ac:dyDescent="0.25">
      <c r="A482" t="s">
        <v>135</v>
      </c>
      <c r="B482">
        <v>52</v>
      </c>
      <c r="C482" t="s">
        <v>279</v>
      </c>
    </row>
    <row r="483" spans="1:3" x14ac:dyDescent="0.25">
      <c r="A483" t="s">
        <v>136</v>
      </c>
      <c r="B483">
        <v>54</v>
      </c>
      <c r="C483" t="s">
        <v>279</v>
      </c>
    </row>
    <row r="484" spans="1:3" x14ac:dyDescent="0.25">
      <c r="A484" t="s">
        <v>33</v>
      </c>
      <c r="B484">
        <v>55</v>
      </c>
      <c r="C484" t="s">
        <v>279</v>
      </c>
    </row>
    <row r="485" spans="1:3" x14ac:dyDescent="0.25">
      <c r="A485" t="s">
        <v>137</v>
      </c>
      <c r="B485">
        <v>56</v>
      </c>
      <c r="C485" t="s">
        <v>279</v>
      </c>
    </row>
    <row r="486" spans="1:3" x14ac:dyDescent="0.25">
      <c r="A486" t="s">
        <v>35</v>
      </c>
      <c r="B486">
        <v>58</v>
      </c>
      <c r="C486" t="s">
        <v>279</v>
      </c>
    </row>
    <row r="487" spans="1:3" x14ac:dyDescent="0.25">
      <c r="A487" t="s">
        <v>139</v>
      </c>
      <c r="B487">
        <v>59</v>
      </c>
      <c r="C487" t="s">
        <v>279</v>
      </c>
    </row>
    <row r="488" spans="1:3" x14ac:dyDescent="0.25">
      <c r="A488" t="s">
        <v>37</v>
      </c>
      <c r="B488">
        <v>60</v>
      </c>
      <c r="C488" t="s">
        <v>279</v>
      </c>
    </row>
    <row r="489" spans="1:3" x14ac:dyDescent="0.25">
      <c r="A489" t="s">
        <v>38</v>
      </c>
      <c r="B489">
        <v>61</v>
      </c>
      <c r="C489" t="s">
        <v>279</v>
      </c>
    </row>
    <row r="490" spans="1:3" x14ac:dyDescent="0.25">
      <c r="A490" t="s">
        <v>140</v>
      </c>
      <c r="B490">
        <v>62</v>
      </c>
      <c r="C490" t="s">
        <v>279</v>
      </c>
    </row>
    <row r="491" spans="1:3" x14ac:dyDescent="0.25">
      <c r="A491" t="s">
        <v>141</v>
      </c>
      <c r="B491">
        <v>63</v>
      </c>
      <c r="C491" t="s">
        <v>279</v>
      </c>
    </row>
    <row r="492" spans="1:3" x14ac:dyDescent="0.25">
      <c r="A492" t="s">
        <v>41</v>
      </c>
      <c r="B492">
        <v>67</v>
      </c>
      <c r="C492" t="s">
        <v>279</v>
      </c>
    </row>
    <row r="493" spans="1:3" x14ac:dyDescent="0.25">
      <c r="A493" t="s">
        <v>144</v>
      </c>
      <c r="B493">
        <v>69</v>
      </c>
      <c r="C493" t="s">
        <v>279</v>
      </c>
    </row>
    <row r="494" spans="1:3" x14ac:dyDescent="0.25">
      <c r="A494" t="s">
        <v>145</v>
      </c>
      <c r="B494">
        <v>70</v>
      </c>
      <c r="C494" t="s">
        <v>279</v>
      </c>
    </row>
    <row r="495" spans="1:3" x14ac:dyDescent="0.25">
      <c r="A495" t="s">
        <v>42</v>
      </c>
      <c r="B495">
        <v>71</v>
      </c>
      <c r="C495" t="s">
        <v>279</v>
      </c>
    </row>
    <row r="496" spans="1:3" x14ac:dyDescent="0.25">
      <c r="A496" t="s">
        <v>44</v>
      </c>
      <c r="B496">
        <v>75</v>
      </c>
      <c r="C496" t="s">
        <v>279</v>
      </c>
    </row>
    <row r="497" spans="1:3" x14ac:dyDescent="0.25">
      <c r="A497" t="s">
        <v>148</v>
      </c>
      <c r="B497">
        <v>76</v>
      </c>
      <c r="C497" t="s">
        <v>279</v>
      </c>
    </row>
    <row r="498" spans="1:3" x14ac:dyDescent="0.25">
      <c r="A498" t="s">
        <v>150</v>
      </c>
      <c r="B498">
        <v>77</v>
      </c>
      <c r="C498" t="s">
        <v>279</v>
      </c>
    </row>
    <row r="499" spans="1:3" x14ac:dyDescent="0.25">
      <c r="A499" t="s">
        <v>151</v>
      </c>
      <c r="B499">
        <v>78</v>
      </c>
      <c r="C499" t="s">
        <v>279</v>
      </c>
    </row>
    <row r="500" spans="1:3" x14ac:dyDescent="0.25">
      <c r="A500" t="s">
        <v>153</v>
      </c>
      <c r="B500">
        <v>80</v>
      </c>
      <c r="C500" t="s">
        <v>279</v>
      </c>
    </row>
    <row r="501" spans="1:3" x14ac:dyDescent="0.25">
      <c r="A501" t="s">
        <v>154</v>
      </c>
      <c r="B501">
        <v>81</v>
      </c>
      <c r="C501" t="s">
        <v>279</v>
      </c>
    </row>
    <row r="502" spans="1:3" x14ac:dyDescent="0.25">
      <c r="A502" t="s">
        <v>46</v>
      </c>
      <c r="B502">
        <v>83</v>
      </c>
      <c r="C502" t="s">
        <v>279</v>
      </c>
    </row>
    <row r="503" spans="1:3" x14ac:dyDescent="0.25">
      <c r="A503" t="s">
        <v>156</v>
      </c>
      <c r="B503">
        <v>241</v>
      </c>
      <c r="C503" t="s">
        <v>279</v>
      </c>
    </row>
    <row r="504" spans="1:3" x14ac:dyDescent="0.25">
      <c r="A504" t="s">
        <v>161</v>
      </c>
      <c r="B504">
        <v>91</v>
      </c>
      <c r="C504" t="s">
        <v>279</v>
      </c>
    </row>
    <row r="505" spans="1:3" x14ac:dyDescent="0.25">
      <c r="A505" t="s">
        <v>162</v>
      </c>
      <c r="B505">
        <v>228</v>
      </c>
      <c r="C505" t="s">
        <v>279</v>
      </c>
    </row>
    <row r="506" spans="1:3" x14ac:dyDescent="0.25">
      <c r="A506" t="s">
        <v>163</v>
      </c>
      <c r="B506">
        <v>94</v>
      </c>
      <c r="C506" t="s">
        <v>279</v>
      </c>
    </row>
    <row r="507" spans="1:3" x14ac:dyDescent="0.25">
      <c r="A507" t="s">
        <v>56</v>
      </c>
      <c r="B507">
        <v>101</v>
      </c>
      <c r="C507" t="s">
        <v>279</v>
      </c>
    </row>
    <row r="508" spans="1:3" x14ac:dyDescent="0.25">
      <c r="A508" t="s">
        <v>168</v>
      </c>
      <c r="B508">
        <v>105</v>
      </c>
      <c r="C508" t="s">
        <v>279</v>
      </c>
    </row>
    <row r="509" spans="1:3" x14ac:dyDescent="0.25">
      <c r="A509" t="s">
        <v>66</v>
      </c>
      <c r="B509">
        <v>114</v>
      </c>
      <c r="C509" t="s">
        <v>279</v>
      </c>
    </row>
    <row r="510" spans="1:3" x14ac:dyDescent="0.25">
      <c r="A510" t="s">
        <v>67</v>
      </c>
      <c r="B510">
        <v>115</v>
      </c>
      <c r="C510" t="s">
        <v>279</v>
      </c>
    </row>
    <row r="511" spans="1:3" x14ac:dyDescent="0.25">
      <c r="A511" t="s">
        <v>172</v>
      </c>
      <c r="B511">
        <v>243</v>
      </c>
      <c r="C511" t="s">
        <v>279</v>
      </c>
    </row>
    <row r="512" spans="1:3" x14ac:dyDescent="0.25">
      <c r="A512" t="s">
        <v>173</v>
      </c>
      <c r="B512">
        <v>116</v>
      </c>
      <c r="C512" t="s">
        <v>279</v>
      </c>
    </row>
    <row r="513" spans="1:3" x14ac:dyDescent="0.25">
      <c r="A513" t="s">
        <v>68</v>
      </c>
      <c r="B513">
        <v>118</v>
      </c>
      <c r="C513" t="s">
        <v>279</v>
      </c>
    </row>
    <row r="514" spans="1:3" x14ac:dyDescent="0.25">
      <c r="A514" t="s">
        <v>69</v>
      </c>
      <c r="B514">
        <v>119</v>
      </c>
      <c r="C514" t="s">
        <v>279</v>
      </c>
    </row>
    <row r="515" spans="1:3" x14ac:dyDescent="0.25">
      <c r="A515" t="s">
        <v>70</v>
      </c>
      <c r="B515">
        <v>121</v>
      </c>
      <c r="C515" t="s">
        <v>279</v>
      </c>
    </row>
    <row r="516" spans="1:3" x14ac:dyDescent="0.25">
      <c r="A516" t="s">
        <v>72</v>
      </c>
      <c r="B516">
        <v>231</v>
      </c>
      <c r="C516" t="s">
        <v>279</v>
      </c>
    </row>
    <row r="517" spans="1:3" x14ac:dyDescent="0.25">
      <c r="A517" t="s">
        <v>178</v>
      </c>
      <c r="B517">
        <v>124</v>
      </c>
      <c r="C517" t="s">
        <v>279</v>
      </c>
    </row>
    <row r="518" spans="1:3" x14ac:dyDescent="0.25">
      <c r="A518" t="s">
        <v>179</v>
      </c>
      <c r="B518">
        <v>125</v>
      </c>
      <c r="C518" t="s">
        <v>279</v>
      </c>
    </row>
    <row r="519" spans="1:3" x14ac:dyDescent="0.25">
      <c r="A519" t="s">
        <v>182</v>
      </c>
      <c r="B519">
        <v>232</v>
      </c>
      <c r="C519" t="s">
        <v>279</v>
      </c>
    </row>
    <row r="520" spans="1:3" x14ac:dyDescent="0.25">
      <c r="A520" t="s">
        <v>183</v>
      </c>
      <c r="B520">
        <v>128</v>
      </c>
      <c r="C520" t="s">
        <v>279</v>
      </c>
    </row>
    <row r="521" spans="1:3" x14ac:dyDescent="0.25">
      <c r="A521" t="s">
        <v>184</v>
      </c>
      <c r="B521">
        <v>129</v>
      </c>
      <c r="C521" t="s">
        <v>279</v>
      </c>
    </row>
    <row r="522" spans="1:3" x14ac:dyDescent="0.25">
      <c r="A522" t="s">
        <v>239</v>
      </c>
      <c r="B522">
        <v>132</v>
      </c>
      <c r="C522" t="s">
        <v>279</v>
      </c>
    </row>
    <row r="523" spans="1:3" x14ac:dyDescent="0.25">
      <c r="A523" t="s">
        <v>187</v>
      </c>
      <c r="B523">
        <v>134</v>
      </c>
      <c r="C523" t="s">
        <v>279</v>
      </c>
    </row>
    <row r="524" spans="1:3" x14ac:dyDescent="0.25">
      <c r="A524" t="s">
        <v>190</v>
      </c>
      <c r="B524">
        <v>136</v>
      </c>
      <c r="C524" t="s">
        <v>279</v>
      </c>
    </row>
    <row r="525" spans="1:3" x14ac:dyDescent="0.25">
      <c r="A525" t="s">
        <v>80</v>
      </c>
      <c r="B525">
        <v>137</v>
      </c>
      <c r="C525" t="s">
        <v>279</v>
      </c>
    </row>
    <row r="526" spans="1:3" x14ac:dyDescent="0.25">
      <c r="A526" t="s">
        <v>81</v>
      </c>
      <c r="B526">
        <v>138</v>
      </c>
      <c r="C526" t="s">
        <v>279</v>
      </c>
    </row>
    <row r="527" spans="1:3" x14ac:dyDescent="0.25">
      <c r="A527" t="s">
        <v>193</v>
      </c>
      <c r="B527">
        <v>141</v>
      </c>
      <c r="C527" t="s">
        <v>279</v>
      </c>
    </row>
    <row r="528" spans="1:3" x14ac:dyDescent="0.25">
      <c r="A528" t="s">
        <v>85</v>
      </c>
      <c r="B528">
        <v>147</v>
      </c>
      <c r="C528" t="s">
        <v>279</v>
      </c>
    </row>
    <row r="529" spans="1:3" x14ac:dyDescent="0.25">
      <c r="A529" t="s">
        <v>208</v>
      </c>
      <c r="B529">
        <v>233</v>
      </c>
      <c r="C529" t="s">
        <v>279</v>
      </c>
    </row>
    <row r="530" spans="1:3" x14ac:dyDescent="0.25">
      <c r="A530" t="s">
        <v>87</v>
      </c>
      <c r="B530">
        <v>234</v>
      </c>
      <c r="C530" t="s">
        <v>279</v>
      </c>
    </row>
    <row r="531" spans="1:3" x14ac:dyDescent="0.25">
      <c r="A531" t="s">
        <v>210</v>
      </c>
      <c r="B531">
        <v>150</v>
      </c>
      <c r="C531" t="s">
        <v>279</v>
      </c>
    </row>
    <row r="532" spans="1:3" x14ac:dyDescent="0.25">
      <c r="A532" t="s">
        <v>88</v>
      </c>
      <c r="B532">
        <v>152</v>
      </c>
      <c r="C532" t="s">
        <v>279</v>
      </c>
    </row>
    <row r="533" spans="1:3" x14ac:dyDescent="0.25">
      <c r="A533" t="s">
        <v>89</v>
      </c>
      <c r="B533">
        <v>153</v>
      </c>
      <c r="C533" t="s">
        <v>279</v>
      </c>
    </row>
    <row r="534" spans="1:3" x14ac:dyDescent="0.25">
      <c r="A534" t="s">
        <v>212</v>
      </c>
      <c r="B534">
        <v>235</v>
      </c>
      <c r="C534" t="s">
        <v>279</v>
      </c>
    </row>
    <row r="535" spans="1:3" x14ac:dyDescent="0.25">
      <c r="A535" t="s">
        <v>213</v>
      </c>
      <c r="B535">
        <v>154</v>
      </c>
      <c r="C535" t="s">
        <v>279</v>
      </c>
    </row>
    <row r="536" spans="1:3" x14ac:dyDescent="0.25">
      <c r="A536" t="s">
        <v>93</v>
      </c>
      <c r="B536">
        <v>158</v>
      </c>
      <c r="C536" t="s">
        <v>279</v>
      </c>
    </row>
    <row r="537" spans="1:3" x14ac:dyDescent="0.25">
      <c r="A537" t="s">
        <v>217</v>
      </c>
      <c r="B537">
        <v>159</v>
      </c>
      <c r="C537" t="s">
        <v>279</v>
      </c>
    </row>
    <row r="538" spans="1:3" x14ac:dyDescent="0.25">
      <c r="A538" t="s">
        <v>95</v>
      </c>
      <c r="B538">
        <v>161</v>
      </c>
      <c r="C538" t="s">
        <v>279</v>
      </c>
    </row>
    <row r="539" spans="1:3" x14ac:dyDescent="0.25">
      <c r="A539" t="s">
        <v>219</v>
      </c>
      <c r="B539">
        <v>162</v>
      </c>
      <c r="C539" t="s">
        <v>279</v>
      </c>
    </row>
    <row r="540" spans="1:3" x14ac:dyDescent="0.25">
      <c r="A540" t="s">
        <v>96</v>
      </c>
      <c r="B540">
        <v>166</v>
      </c>
      <c r="C540" t="s">
        <v>279</v>
      </c>
    </row>
    <row r="541" spans="1:3" x14ac:dyDescent="0.25">
      <c r="A541" t="s">
        <v>226</v>
      </c>
      <c r="B541">
        <v>170</v>
      </c>
      <c r="C541" t="s">
        <v>279</v>
      </c>
    </row>
    <row r="542" spans="1:3" x14ac:dyDescent="0.25">
      <c r="A542" t="s">
        <v>99</v>
      </c>
      <c r="B542">
        <v>175</v>
      </c>
      <c r="C542" t="s">
        <v>279</v>
      </c>
    </row>
    <row r="543" spans="1:3" x14ac:dyDescent="0.25">
      <c r="A543" t="s">
        <v>229</v>
      </c>
      <c r="B543">
        <v>176</v>
      </c>
      <c r="C543" t="s">
        <v>279</v>
      </c>
    </row>
    <row r="544" spans="1:3" x14ac:dyDescent="0.25">
      <c r="A544" t="s">
        <v>100</v>
      </c>
      <c r="B544">
        <v>177</v>
      </c>
      <c r="C544" t="s">
        <v>279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C3FD-3E11-4503-BDD3-7A49CA285078}">
  <dimension ref="A1:C543"/>
  <sheetViews>
    <sheetView zoomScale="160" zoomScaleNormal="160" workbookViewId="0"/>
  </sheetViews>
  <sheetFormatPr defaultRowHeight="15" x14ac:dyDescent="0.25"/>
  <cols>
    <col min="1" max="1" width="70" bestFit="1" customWidth="1"/>
    <col min="2" max="2" width="5.28515625" bestFit="1" customWidth="1"/>
    <col min="3" max="3" width="18.7109375" bestFit="1" customWidth="1"/>
    <col min="4" max="4" width="11.7109375" bestFit="1" customWidth="1"/>
    <col min="6" max="6" width="37" bestFit="1" customWidth="1"/>
  </cols>
  <sheetData>
    <row r="1" spans="1:3" x14ac:dyDescent="0.25">
      <c r="A1" t="s">
        <v>284</v>
      </c>
      <c r="B1" t="s">
        <v>281</v>
      </c>
      <c r="C1" t="s">
        <v>283</v>
      </c>
    </row>
    <row r="2" spans="1:3" hidden="1" x14ac:dyDescent="0.25">
      <c r="A2" t="s">
        <v>29</v>
      </c>
      <c r="B2">
        <v>43</v>
      </c>
      <c r="C2" t="s">
        <v>266</v>
      </c>
    </row>
    <row r="3" spans="1:3" hidden="1" x14ac:dyDescent="0.25">
      <c r="A3" t="s">
        <v>245</v>
      </c>
      <c r="B3">
        <v>12</v>
      </c>
      <c r="C3" t="s">
        <v>266</v>
      </c>
    </row>
    <row r="4" spans="1:3" hidden="1" x14ac:dyDescent="0.25">
      <c r="A4" t="s">
        <v>118</v>
      </c>
      <c r="B4">
        <v>29</v>
      </c>
      <c r="C4" t="s">
        <v>266</v>
      </c>
    </row>
    <row r="5" spans="1:3" hidden="1" x14ac:dyDescent="0.25">
      <c r="A5" t="s">
        <v>131</v>
      </c>
      <c r="B5">
        <v>47</v>
      </c>
      <c r="C5" t="s">
        <v>266</v>
      </c>
    </row>
    <row r="6" spans="1:3" hidden="1" x14ac:dyDescent="0.25">
      <c r="A6" t="s">
        <v>132</v>
      </c>
      <c r="B6">
        <v>48</v>
      </c>
      <c r="C6" t="s">
        <v>266</v>
      </c>
    </row>
    <row r="7" spans="1:3" hidden="1" x14ac:dyDescent="0.25">
      <c r="A7" t="s">
        <v>128</v>
      </c>
      <c r="B7">
        <v>41</v>
      </c>
      <c r="C7" t="s">
        <v>266</v>
      </c>
    </row>
    <row r="8" spans="1:3" hidden="1" x14ac:dyDescent="0.25">
      <c r="A8" t="s">
        <v>132</v>
      </c>
      <c r="B8">
        <v>48</v>
      </c>
      <c r="C8" t="s">
        <v>266</v>
      </c>
    </row>
    <row r="9" spans="1:3" hidden="1" x14ac:dyDescent="0.25">
      <c r="A9" t="s">
        <v>141</v>
      </c>
      <c r="B9">
        <v>63</v>
      </c>
      <c r="C9" t="s">
        <v>266</v>
      </c>
    </row>
    <row r="10" spans="1:3" hidden="1" x14ac:dyDescent="0.25">
      <c r="A10" t="s">
        <v>43</v>
      </c>
      <c r="B10">
        <v>74</v>
      </c>
      <c r="C10" t="s">
        <v>266</v>
      </c>
    </row>
    <row r="11" spans="1:3" hidden="1" x14ac:dyDescent="0.25">
      <c r="A11" t="s">
        <v>139</v>
      </c>
      <c r="B11">
        <v>59</v>
      </c>
      <c r="C11" t="s">
        <v>266</v>
      </c>
    </row>
    <row r="12" spans="1:3" hidden="1" x14ac:dyDescent="0.25">
      <c r="A12" t="s">
        <v>145</v>
      </c>
      <c r="B12">
        <v>70</v>
      </c>
      <c r="C12" t="s">
        <v>266</v>
      </c>
    </row>
    <row r="13" spans="1:3" hidden="1" x14ac:dyDescent="0.25">
      <c r="A13" t="s">
        <v>155</v>
      </c>
      <c r="B13">
        <v>82</v>
      </c>
      <c r="C13" t="s">
        <v>266</v>
      </c>
    </row>
    <row r="14" spans="1:3" hidden="1" x14ac:dyDescent="0.25">
      <c r="A14" t="s">
        <v>49</v>
      </c>
      <c r="B14">
        <v>88</v>
      </c>
      <c r="C14" t="s">
        <v>266</v>
      </c>
    </row>
    <row r="15" spans="1:3" hidden="1" x14ac:dyDescent="0.25">
      <c r="A15" t="s">
        <v>54</v>
      </c>
      <c r="B15">
        <v>96</v>
      </c>
      <c r="C15" t="s">
        <v>266</v>
      </c>
    </row>
    <row r="16" spans="1:3" hidden="1" x14ac:dyDescent="0.25">
      <c r="A16" t="s">
        <v>57</v>
      </c>
      <c r="B16">
        <v>102</v>
      </c>
      <c r="C16" t="s">
        <v>266</v>
      </c>
    </row>
    <row r="17" spans="1:3" hidden="1" x14ac:dyDescent="0.25">
      <c r="A17" t="s">
        <v>169</v>
      </c>
      <c r="B17">
        <v>106</v>
      </c>
      <c r="C17" t="s">
        <v>266</v>
      </c>
    </row>
    <row r="18" spans="1:3" hidden="1" x14ac:dyDescent="0.25">
      <c r="A18" t="s">
        <v>170</v>
      </c>
      <c r="B18">
        <v>107</v>
      </c>
      <c r="C18" t="s">
        <v>266</v>
      </c>
    </row>
    <row r="19" spans="1:3" hidden="1" x14ac:dyDescent="0.25">
      <c r="A19" t="s">
        <v>64</v>
      </c>
      <c r="B19">
        <v>112</v>
      </c>
      <c r="C19" t="s">
        <v>266</v>
      </c>
    </row>
    <row r="20" spans="1:3" hidden="1" x14ac:dyDescent="0.25">
      <c r="A20" t="s">
        <v>73</v>
      </c>
      <c r="B20">
        <v>123</v>
      </c>
      <c r="C20" t="s">
        <v>266</v>
      </c>
    </row>
    <row r="21" spans="1:3" hidden="1" x14ac:dyDescent="0.25">
      <c r="A21" t="s">
        <v>94</v>
      </c>
      <c r="B21">
        <v>236</v>
      </c>
      <c r="C21" t="s">
        <v>266</v>
      </c>
    </row>
    <row r="22" spans="1:3" hidden="1" x14ac:dyDescent="0.25">
      <c r="A22" t="s">
        <v>219</v>
      </c>
      <c r="B22">
        <v>162</v>
      </c>
      <c r="C22" t="s">
        <v>266</v>
      </c>
    </row>
    <row r="23" spans="1:3" hidden="1" x14ac:dyDescent="0.25">
      <c r="A23" t="s">
        <v>220</v>
      </c>
      <c r="B23">
        <v>163</v>
      </c>
      <c r="C23" t="s">
        <v>266</v>
      </c>
    </row>
    <row r="24" spans="1:3" hidden="1" x14ac:dyDescent="0.25">
      <c r="A24" t="s">
        <v>221</v>
      </c>
      <c r="B24">
        <v>164</v>
      </c>
      <c r="C24" t="s">
        <v>266</v>
      </c>
    </row>
    <row r="25" spans="1:3" hidden="1" x14ac:dyDescent="0.25">
      <c r="A25" t="s">
        <v>222</v>
      </c>
      <c r="B25">
        <v>165</v>
      </c>
      <c r="C25" t="s">
        <v>266</v>
      </c>
    </row>
    <row r="26" spans="1:3" hidden="1" x14ac:dyDescent="0.25">
      <c r="A26" t="s">
        <v>224</v>
      </c>
      <c r="B26">
        <v>168</v>
      </c>
      <c r="C26" t="s">
        <v>266</v>
      </c>
    </row>
    <row r="27" spans="1:3" hidden="1" x14ac:dyDescent="0.25">
      <c r="A27" t="s">
        <v>226</v>
      </c>
      <c r="B27">
        <v>170</v>
      </c>
      <c r="C27" t="s">
        <v>266</v>
      </c>
    </row>
    <row r="28" spans="1:3" hidden="1" x14ac:dyDescent="0.25">
      <c r="A28" t="s">
        <v>227</v>
      </c>
      <c r="B28">
        <v>171</v>
      </c>
      <c r="C28" t="s">
        <v>266</v>
      </c>
    </row>
    <row r="29" spans="1:3" hidden="1" x14ac:dyDescent="0.25">
      <c r="A29" t="s">
        <v>97</v>
      </c>
      <c r="B29">
        <v>172</v>
      </c>
      <c r="C29" t="s">
        <v>266</v>
      </c>
    </row>
    <row r="30" spans="1:3" hidden="1" x14ac:dyDescent="0.25">
      <c r="A30" t="s">
        <v>228</v>
      </c>
      <c r="B30">
        <v>174</v>
      </c>
      <c r="C30" t="s">
        <v>266</v>
      </c>
    </row>
    <row r="31" spans="1:3" hidden="1" x14ac:dyDescent="0.25">
      <c r="A31" t="s">
        <v>29</v>
      </c>
      <c r="B31">
        <v>43</v>
      </c>
      <c r="C31" t="s">
        <v>267</v>
      </c>
    </row>
    <row r="32" spans="1:3" hidden="1" x14ac:dyDescent="0.25">
      <c r="A32" t="s">
        <v>110</v>
      </c>
      <c r="B32">
        <v>12</v>
      </c>
      <c r="C32" t="s">
        <v>282</v>
      </c>
    </row>
    <row r="33" spans="1:3" hidden="1" x14ac:dyDescent="0.25">
      <c r="A33" t="s">
        <v>118</v>
      </c>
      <c r="B33">
        <v>29</v>
      </c>
      <c r="C33" t="s">
        <v>267</v>
      </c>
    </row>
    <row r="34" spans="1:3" hidden="1" x14ac:dyDescent="0.25">
      <c r="A34" t="s">
        <v>131</v>
      </c>
      <c r="B34">
        <v>47</v>
      </c>
      <c r="C34" t="s">
        <v>267</v>
      </c>
    </row>
    <row r="35" spans="1:3" hidden="1" x14ac:dyDescent="0.25">
      <c r="A35" t="s">
        <v>132</v>
      </c>
      <c r="B35">
        <v>48</v>
      </c>
      <c r="C35" t="s">
        <v>267</v>
      </c>
    </row>
    <row r="36" spans="1:3" hidden="1" x14ac:dyDescent="0.25">
      <c r="A36" t="s">
        <v>128</v>
      </c>
      <c r="B36">
        <v>41</v>
      </c>
      <c r="C36" t="s">
        <v>267</v>
      </c>
    </row>
    <row r="37" spans="1:3" hidden="1" x14ac:dyDescent="0.25">
      <c r="A37" t="s">
        <v>132</v>
      </c>
      <c r="B37">
        <v>48</v>
      </c>
      <c r="C37" t="s">
        <v>267</v>
      </c>
    </row>
    <row r="38" spans="1:3" hidden="1" x14ac:dyDescent="0.25">
      <c r="A38" t="s">
        <v>141</v>
      </c>
      <c r="B38">
        <v>63</v>
      </c>
      <c r="C38" t="s">
        <v>267</v>
      </c>
    </row>
    <row r="39" spans="1:3" hidden="1" x14ac:dyDescent="0.25">
      <c r="A39" t="s">
        <v>43</v>
      </c>
      <c r="B39">
        <v>74</v>
      </c>
      <c r="C39" t="s">
        <v>267</v>
      </c>
    </row>
    <row r="40" spans="1:3" hidden="1" x14ac:dyDescent="0.25">
      <c r="A40" t="s">
        <v>139</v>
      </c>
      <c r="B40">
        <v>59</v>
      </c>
      <c r="C40" t="s">
        <v>267</v>
      </c>
    </row>
    <row r="41" spans="1:3" hidden="1" x14ac:dyDescent="0.25">
      <c r="A41" t="s">
        <v>145</v>
      </c>
      <c r="B41">
        <v>70</v>
      </c>
      <c r="C41" t="s">
        <v>267</v>
      </c>
    </row>
    <row r="42" spans="1:3" hidden="1" x14ac:dyDescent="0.25">
      <c r="A42" t="s">
        <v>155</v>
      </c>
      <c r="B42">
        <v>82</v>
      </c>
      <c r="C42" t="s">
        <v>267</v>
      </c>
    </row>
    <row r="43" spans="1:3" hidden="1" x14ac:dyDescent="0.25">
      <c r="A43" t="s">
        <v>49</v>
      </c>
      <c r="B43">
        <v>88</v>
      </c>
      <c r="C43" t="s">
        <v>267</v>
      </c>
    </row>
    <row r="44" spans="1:3" hidden="1" x14ac:dyDescent="0.25">
      <c r="A44" t="s">
        <v>54</v>
      </c>
      <c r="B44">
        <v>96</v>
      </c>
      <c r="C44" t="s">
        <v>267</v>
      </c>
    </row>
    <row r="45" spans="1:3" hidden="1" x14ac:dyDescent="0.25">
      <c r="A45" t="s">
        <v>57</v>
      </c>
      <c r="B45">
        <v>102</v>
      </c>
      <c r="C45" t="s">
        <v>267</v>
      </c>
    </row>
    <row r="46" spans="1:3" hidden="1" x14ac:dyDescent="0.25">
      <c r="A46" t="s">
        <v>169</v>
      </c>
      <c r="B46">
        <v>106</v>
      </c>
      <c r="C46" t="s">
        <v>267</v>
      </c>
    </row>
    <row r="47" spans="1:3" hidden="1" x14ac:dyDescent="0.25">
      <c r="A47" t="s">
        <v>170</v>
      </c>
      <c r="B47">
        <v>107</v>
      </c>
      <c r="C47" t="s">
        <v>267</v>
      </c>
    </row>
    <row r="48" spans="1:3" hidden="1" x14ac:dyDescent="0.25">
      <c r="A48" t="s">
        <v>64</v>
      </c>
      <c r="B48">
        <v>112</v>
      </c>
      <c r="C48" t="s">
        <v>267</v>
      </c>
    </row>
    <row r="49" spans="1:3" hidden="1" x14ac:dyDescent="0.25">
      <c r="A49" t="s">
        <v>73</v>
      </c>
      <c r="B49">
        <v>123</v>
      </c>
      <c r="C49" t="s">
        <v>267</v>
      </c>
    </row>
    <row r="50" spans="1:3" hidden="1" x14ac:dyDescent="0.25">
      <c r="A50" t="s">
        <v>94</v>
      </c>
      <c r="B50">
        <v>236</v>
      </c>
      <c r="C50" t="s">
        <v>267</v>
      </c>
    </row>
    <row r="51" spans="1:3" hidden="1" x14ac:dyDescent="0.25">
      <c r="A51" t="s">
        <v>219</v>
      </c>
      <c r="B51">
        <v>162</v>
      </c>
      <c r="C51" t="s">
        <v>267</v>
      </c>
    </row>
    <row r="52" spans="1:3" hidden="1" x14ac:dyDescent="0.25">
      <c r="A52" t="s">
        <v>220</v>
      </c>
      <c r="B52">
        <v>163</v>
      </c>
      <c r="C52" t="s">
        <v>267</v>
      </c>
    </row>
    <row r="53" spans="1:3" hidden="1" x14ac:dyDescent="0.25">
      <c r="A53" t="s">
        <v>221</v>
      </c>
      <c r="B53">
        <v>164</v>
      </c>
      <c r="C53" t="s">
        <v>267</v>
      </c>
    </row>
    <row r="54" spans="1:3" hidden="1" x14ac:dyDescent="0.25">
      <c r="A54" t="s">
        <v>222</v>
      </c>
      <c r="B54">
        <v>165</v>
      </c>
      <c r="C54" t="s">
        <v>267</v>
      </c>
    </row>
    <row r="55" spans="1:3" hidden="1" x14ac:dyDescent="0.25">
      <c r="A55" t="s">
        <v>224</v>
      </c>
      <c r="B55">
        <v>168</v>
      </c>
      <c r="C55" t="s">
        <v>267</v>
      </c>
    </row>
    <row r="56" spans="1:3" hidden="1" x14ac:dyDescent="0.25">
      <c r="A56" t="s">
        <v>226</v>
      </c>
      <c r="B56">
        <v>170</v>
      </c>
      <c r="C56" t="s">
        <v>267</v>
      </c>
    </row>
    <row r="57" spans="1:3" hidden="1" x14ac:dyDescent="0.25">
      <c r="A57" t="s">
        <v>227</v>
      </c>
      <c r="B57">
        <v>171</v>
      </c>
      <c r="C57" t="s">
        <v>267</v>
      </c>
    </row>
    <row r="58" spans="1:3" hidden="1" x14ac:dyDescent="0.25">
      <c r="A58" t="s">
        <v>97</v>
      </c>
      <c r="B58">
        <v>172</v>
      </c>
      <c r="C58" t="s">
        <v>267</v>
      </c>
    </row>
    <row r="59" spans="1:3" hidden="1" x14ac:dyDescent="0.25">
      <c r="A59" t="s">
        <v>228</v>
      </c>
      <c r="B59">
        <v>174</v>
      </c>
      <c r="C59" t="s">
        <v>267</v>
      </c>
    </row>
    <row r="60" spans="1:3" hidden="1" x14ac:dyDescent="0.25">
      <c r="A60" t="s">
        <v>3</v>
      </c>
      <c r="B60">
        <v>3</v>
      </c>
      <c r="C60" t="s">
        <v>268</v>
      </c>
    </row>
    <row r="61" spans="1:3" hidden="1" x14ac:dyDescent="0.25">
      <c r="A61" t="s">
        <v>4</v>
      </c>
      <c r="B61">
        <v>4</v>
      </c>
      <c r="C61" t="s">
        <v>268</v>
      </c>
    </row>
    <row r="62" spans="1:3" hidden="1" x14ac:dyDescent="0.25">
      <c r="A62" t="s">
        <v>5</v>
      </c>
      <c r="B62">
        <v>5</v>
      </c>
      <c r="C62" t="s">
        <v>268</v>
      </c>
    </row>
    <row r="63" spans="1:3" hidden="1" x14ac:dyDescent="0.25">
      <c r="A63" t="s">
        <v>82</v>
      </c>
      <c r="B63">
        <v>139</v>
      </c>
      <c r="C63" t="s">
        <v>268</v>
      </c>
    </row>
    <row r="64" spans="1:3" hidden="1" x14ac:dyDescent="0.25">
      <c r="A64" t="s">
        <v>193</v>
      </c>
      <c r="B64">
        <v>141</v>
      </c>
      <c r="C64" t="s">
        <v>268</v>
      </c>
    </row>
    <row r="65" spans="1:3" hidden="1" x14ac:dyDescent="0.25">
      <c r="A65" t="s">
        <v>84</v>
      </c>
      <c r="B65">
        <v>146</v>
      </c>
      <c r="C65" t="s">
        <v>268</v>
      </c>
    </row>
    <row r="66" spans="1:3" hidden="1" x14ac:dyDescent="0.25">
      <c r="A66" t="s">
        <v>105</v>
      </c>
      <c r="B66">
        <v>6</v>
      </c>
      <c r="C66" t="s">
        <v>268</v>
      </c>
    </row>
    <row r="67" spans="1:3" hidden="1" x14ac:dyDescent="0.25">
      <c r="A67" t="s">
        <v>7</v>
      </c>
      <c r="B67">
        <v>10</v>
      </c>
      <c r="C67" t="s">
        <v>268</v>
      </c>
    </row>
    <row r="68" spans="1:3" hidden="1" x14ac:dyDescent="0.25">
      <c r="A68" t="s">
        <v>113</v>
      </c>
      <c r="B68">
        <v>18</v>
      </c>
      <c r="C68" t="s">
        <v>268</v>
      </c>
    </row>
    <row r="69" spans="1:3" hidden="1" x14ac:dyDescent="0.25">
      <c r="A69" t="s">
        <v>115</v>
      </c>
      <c r="B69">
        <v>20</v>
      </c>
      <c r="C69" t="s">
        <v>268</v>
      </c>
    </row>
    <row r="70" spans="1:3" hidden="1" x14ac:dyDescent="0.25">
      <c r="A70" t="s">
        <v>116</v>
      </c>
      <c r="B70">
        <v>23</v>
      </c>
      <c r="C70" t="s">
        <v>268</v>
      </c>
    </row>
    <row r="71" spans="1:3" hidden="1" x14ac:dyDescent="0.25">
      <c r="A71" t="s">
        <v>17</v>
      </c>
      <c r="B71">
        <v>25</v>
      </c>
      <c r="C71" t="s">
        <v>268</v>
      </c>
    </row>
    <row r="72" spans="1:3" hidden="1" x14ac:dyDescent="0.25">
      <c r="A72" t="s">
        <v>232</v>
      </c>
      <c r="B72">
        <v>26</v>
      </c>
      <c r="C72" t="s">
        <v>268</v>
      </c>
    </row>
    <row r="73" spans="1:3" hidden="1" x14ac:dyDescent="0.25">
      <c r="A73" t="s">
        <v>121</v>
      </c>
      <c r="B73">
        <v>35</v>
      </c>
      <c r="C73" t="s">
        <v>268</v>
      </c>
    </row>
    <row r="74" spans="1:3" hidden="1" x14ac:dyDescent="0.25">
      <c r="A74" t="s">
        <v>24</v>
      </c>
      <c r="B74">
        <v>39</v>
      </c>
      <c r="C74" t="s">
        <v>268</v>
      </c>
    </row>
    <row r="75" spans="1:3" hidden="1" x14ac:dyDescent="0.25">
      <c r="A75" t="s">
        <v>127</v>
      </c>
      <c r="B75">
        <v>40</v>
      </c>
      <c r="C75" t="s">
        <v>268</v>
      </c>
    </row>
    <row r="76" spans="1:3" hidden="1" x14ac:dyDescent="0.25">
      <c r="A76" t="s">
        <v>29</v>
      </c>
      <c r="B76">
        <v>43</v>
      </c>
      <c r="C76" t="s">
        <v>268</v>
      </c>
    </row>
    <row r="77" spans="1:3" hidden="1" x14ac:dyDescent="0.25">
      <c r="A77" t="s">
        <v>131</v>
      </c>
      <c r="B77">
        <v>47</v>
      </c>
      <c r="C77" t="s">
        <v>268</v>
      </c>
    </row>
    <row r="78" spans="1:3" hidden="1" x14ac:dyDescent="0.25">
      <c r="A78" t="s">
        <v>132</v>
      </c>
      <c r="B78">
        <v>48</v>
      </c>
      <c r="C78" t="s">
        <v>268</v>
      </c>
    </row>
    <row r="79" spans="1:3" hidden="1" x14ac:dyDescent="0.25">
      <c r="A79" t="s">
        <v>141</v>
      </c>
      <c r="B79">
        <v>63</v>
      </c>
      <c r="C79" t="s">
        <v>268</v>
      </c>
    </row>
    <row r="80" spans="1:3" hidden="1" x14ac:dyDescent="0.25">
      <c r="A80" t="s">
        <v>43</v>
      </c>
      <c r="B80">
        <v>74</v>
      </c>
      <c r="C80" t="s">
        <v>268</v>
      </c>
    </row>
    <row r="81" spans="1:3" hidden="1" x14ac:dyDescent="0.25">
      <c r="A81" t="s">
        <v>153</v>
      </c>
      <c r="B81">
        <v>80</v>
      </c>
      <c r="C81" t="s">
        <v>268</v>
      </c>
    </row>
    <row r="82" spans="1:3" hidden="1" x14ac:dyDescent="0.25">
      <c r="A82" t="s">
        <v>154</v>
      </c>
      <c r="B82">
        <v>81</v>
      </c>
      <c r="C82" t="s">
        <v>268</v>
      </c>
    </row>
    <row r="83" spans="1:3" hidden="1" x14ac:dyDescent="0.25">
      <c r="A83" t="s">
        <v>45</v>
      </c>
      <c r="B83">
        <v>226</v>
      </c>
      <c r="C83" t="s">
        <v>268</v>
      </c>
    </row>
    <row r="84" spans="1:3" hidden="1" x14ac:dyDescent="0.25">
      <c r="A84" t="s">
        <v>46</v>
      </c>
      <c r="B84">
        <v>83</v>
      </c>
      <c r="C84" t="s">
        <v>268</v>
      </c>
    </row>
    <row r="85" spans="1:3" hidden="1" x14ac:dyDescent="0.25">
      <c r="A85" t="s">
        <v>47</v>
      </c>
      <c r="B85">
        <v>84</v>
      </c>
      <c r="C85" t="s">
        <v>268</v>
      </c>
    </row>
    <row r="86" spans="1:3" hidden="1" x14ac:dyDescent="0.25">
      <c r="A86" t="s">
        <v>52</v>
      </c>
      <c r="B86">
        <v>93</v>
      </c>
      <c r="C86" t="s">
        <v>268</v>
      </c>
    </row>
    <row r="87" spans="1:3" hidden="1" x14ac:dyDescent="0.25">
      <c r="A87" t="s">
        <v>164</v>
      </c>
      <c r="B87">
        <v>97</v>
      </c>
      <c r="C87" t="s">
        <v>268</v>
      </c>
    </row>
    <row r="88" spans="1:3" hidden="1" x14ac:dyDescent="0.25">
      <c r="A88" t="s">
        <v>165</v>
      </c>
      <c r="B88">
        <v>98</v>
      </c>
      <c r="C88" t="s">
        <v>268</v>
      </c>
    </row>
    <row r="89" spans="1:3" hidden="1" x14ac:dyDescent="0.25">
      <c r="A89" t="s">
        <v>166</v>
      </c>
      <c r="B89">
        <v>99</v>
      </c>
      <c r="C89" t="s">
        <v>268</v>
      </c>
    </row>
    <row r="90" spans="1:3" hidden="1" x14ac:dyDescent="0.25">
      <c r="A90" t="s">
        <v>57</v>
      </c>
      <c r="B90">
        <v>102</v>
      </c>
      <c r="C90" t="s">
        <v>268</v>
      </c>
    </row>
    <row r="91" spans="1:3" hidden="1" x14ac:dyDescent="0.25">
      <c r="A91" t="s">
        <v>168</v>
      </c>
      <c r="B91">
        <v>105</v>
      </c>
      <c r="C91" t="s">
        <v>268</v>
      </c>
    </row>
    <row r="92" spans="1:3" hidden="1" x14ac:dyDescent="0.25">
      <c r="A92" t="s">
        <v>169</v>
      </c>
      <c r="B92">
        <v>106</v>
      </c>
      <c r="C92" t="s">
        <v>268</v>
      </c>
    </row>
    <row r="93" spans="1:3" hidden="1" x14ac:dyDescent="0.25">
      <c r="A93" t="s">
        <v>63</v>
      </c>
      <c r="B93">
        <v>111</v>
      </c>
      <c r="C93" t="s">
        <v>268</v>
      </c>
    </row>
    <row r="94" spans="1:3" hidden="1" x14ac:dyDescent="0.25">
      <c r="A94" t="s">
        <v>65</v>
      </c>
      <c r="B94">
        <v>113</v>
      </c>
      <c r="C94" t="s">
        <v>268</v>
      </c>
    </row>
    <row r="95" spans="1:3" hidden="1" x14ac:dyDescent="0.25">
      <c r="A95" t="s">
        <v>174</v>
      </c>
      <c r="B95">
        <v>117</v>
      </c>
      <c r="C95" t="s">
        <v>268</v>
      </c>
    </row>
    <row r="96" spans="1:3" hidden="1" x14ac:dyDescent="0.25">
      <c r="A96" t="s">
        <v>68</v>
      </c>
      <c r="B96">
        <v>118</v>
      </c>
      <c r="C96" t="s">
        <v>268</v>
      </c>
    </row>
    <row r="97" spans="1:3" hidden="1" x14ac:dyDescent="0.25">
      <c r="A97" t="s">
        <v>72</v>
      </c>
      <c r="B97">
        <v>231</v>
      </c>
      <c r="C97" t="s">
        <v>268</v>
      </c>
    </row>
    <row r="98" spans="1:3" hidden="1" x14ac:dyDescent="0.25">
      <c r="A98" t="s">
        <v>180</v>
      </c>
      <c r="B98">
        <v>126</v>
      </c>
      <c r="C98" t="s">
        <v>268</v>
      </c>
    </row>
    <row r="99" spans="1:3" hidden="1" x14ac:dyDescent="0.25">
      <c r="A99" t="s">
        <v>187</v>
      </c>
      <c r="B99">
        <v>134</v>
      </c>
      <c r="C99" t="s">
        <v>268</v>
      </c>
    </row>
    <row r="100" spans="1:3" hidden="1" x14ac:dyDescent="0.25">
      <c r="A100" t="s">
        <v>190</v>
      </c>
      <c r="B100">
        <v>136</v>
      </c>
      <c r="C100" t="s">
        <v>268</v>
      </c>
    </row>
    <row r="101" spans="1:3" hidden="1" x14ac:dyDescent="0.25">
      <c r="A101" t="s">
        <v>82</v>
      </c>
      <c r="B101">
        <v>139</v>
      </c>
      <c r="C101" t="s">
        <v>268</v>
      </c>
    </row>
    <row r="102" spans="1:3" hidden="1" x14ac:dyDescent="0.25">
      <c r="A102" t="s">
        <v>193</v>
      </c>
      <c r="B102">
        <v>141</v>
      </c>
      <c r="C102" t="s">
        <v>268</v>
      </c>
    </row>
    <row r="103" spans="1:3" hidden="1" x14ac:dyDescent="0.25">
      <c r="A103" t="s">
        <v>84</v>
      </c>
      <c r="B103">
        <v>146</v>
      </c>
      <c r="C103" t="s">
        <v>268</v>
      </c>
    </row>
    <row r="104" spans="1:3" hidden="1" x14ac:dyDescent="0.25">
      <c r="A104" t="s">
        <v>85</v>
      </c>
      <c r="B104">
        <v>147</v>
      </c>
      <c r="C104" t="s">
        <v>268</v>
      </c>
    </row>
    <row r="105" spans="1:3" hidden="1" x14ac:dyDescent="0.25">
      <c r="A105" t="s">
        <v>89</v>
      </c>
      <c r="B105">
        <v>153</v>
      </c>
      <c r="C105" t="s">
        <v>268</v>
      </c>
    </row>
    <row r="106" spans="1:3" hidden="1" x14ac:dyDescent="0.25">
      <c r="A106" t="s">
        <v>212</v>
      </c>
      <c r="B106">
        <v>235</v>
      </c>
      <c r="C106" t="s">
        <v>268</v>
      </c>
    </row>
    <row r="107" spans="1:3" hidden="1" x14ac:dyDescent="0.25">
      <c r="A107" t="s">
        <v>248</v>
      </c>
      <c r="B107">
        <v>155</v>
      </c>
      <c r="C107" t="s">
        <v>268</v>
      </c>
    </row>
    <row r="108" spans="1:3" hidden="1" x14ac:dyDescent="0.25">
      <c r="A108" t="s">
        <v>215</v>
      </c>
      <c r="B108">
        <v>156</v>
      </c>
      <c r="C108" t="s">
        <v>268</v>
      </c>
    </row>
    <row r="109" spans="1:3" hidden="1" x14ac:dyDescent="0.25">
      <c r="A109" t="s">
        <v>93</v>
      </c>
      <c r="B109">
        <v>158</v>
      </c>
      <c r="C109" t="s">
        <v>268</v>
      </c>
    </row>
    <row r="110" spans="1:3" hidden="1" x14ac:dyDescent="0.25">
      <c r="A110" t="s">
        <v>217</v>
      </c>
      <c r="B110">
        <v>159</v>
      </c>
      <c r="C110" t="s">
        <v>268</v>
      </c>
    </row>
    <row r="111" spans="1:3" hidden="1" x14ac:dyDescent="0.25">
      <c r="A111" t="s">
        <v>95</v>
      </c>
      <c r="B111">
        <v>161</v>
      </c>
      <c r="C111" t="s">
        <v>268</v>
      </c>
    </row>
    <row r="112" spans="1:3" hidden="1" x14ac:dyDescent="0.25">
      <c r="A112" t="s">
        <v>99</v>
      </c>
      <c r="B112">
        <v>175</v>
      </c>
      <c r="C112" t="s">
        <v>268</v>
      </c>
    </row>
    <row r="113" spans="1:3" hidden="1" x14ac:dyDescent="0.25">
      <c r="A113" t="s">
        <v>101</v>
      </c>
      <c r="B113">
        <v>178</v>
      </c>
      <c r="C113" t="s">
        <v>268</v>
      </c>
    </row>
    <row r="114" spans="1:3" hidden="1" x14ac:dyDescent="0.25">
      <c r="A114" t="s">
        <v>106</v>
      </c>
      <c r="B114">
        <v>7</v>
      </c>
      <c r="C114" t="s">
        <v>269</v>
      </c>
    </row>
    <row r="115" spans="1:3" hidden="1" x14ac:dyDescent="0.25">
      <c r="A115" t="s">
        <v>104</v>
      </c>
      <c r="B115">
        <v>237</v>
      </c>
      <c r="C115" t="s">
        <v>269</v>
      </c>
    </row>
    <row r="116" spans="1:3" hidden="1" x14ac:dyDescent="0.25">
      <c r="A116" t="s">
        <v>1</v>
      </c>
      <c r="B116">
        <v>1</v>
      </c>
      <c r="C116" t="s">
        <v>269</v>
      </c>
    </row>
    <row r="117" spans="1:3" hidden="1" x14ac:dyDescent="0.25">
      <c r="A117" t="s">
        <v>11</v>
      </c>
      <c r="B117">
        <v>14</v>
      </c>
      <c r="C117" t="s">
        <v>269</v>
      </c>
    </row>
    <row r="118" spans="1:3" hidden="1" x14ac:dyDescent="0.25">
      <c r="A118" t="s">
        <v>251</v>
      </c>
      <c r="B118">
        <v>15</v>
      </c>
      <c r="C118" t="s">
        <v>269</v>
      </c>
    </row>
    <row r="119" spans="1:3" hidden="1" x14ac:dyDescent="0.25">
      <c r="A119" t="s">
        <v>14</v>
      </c>
      <c r="B119">
        <v>19</v>
      </c>
      <c r="C119" t="s">
        <v>269</v>
      </c>
    </row>
    <row r="120" spans="1:3" hidden="1" x14ac:dyDescent="0.25">
      <c r="A120" t="s">
        <v>22</v>
      </c>
      <c r="B120">
        <v>34</v>
      </c>
      <c r="C120" t="s">
        <v>269</v>
      </c>
    </row>
    <row r="121" spans="1:3" hidden="1" x14ac:dyDescent="0.25">
      <c r="A121" t="s">
        <v>127</v>
      </c>
      <c r="B121">
        <v>40</v>
      </c>
      <c r="C121" t="s">
        <v>269</v>
      </c>
    </row>
    <row r="122" spans="1:3" hidden="1" x14ac:dyDescent="0.25">
      <c r="A122" t="s">
        <v>27</v>
      </c>
      <c r="B122">
        <v>42</v>
      </c>
      <c r="C122" t="s">
        <v>269</v>
      </c>
    </row>
    <row r="123" spans="1:3" hidden="1" x14ac:dyDescent="0.25">
      <c r="A123" t="s">
        <v>129</v>
      </c>
      <c r="B123">
        <v>44</v>
      </c>
      <c r="C123" t="s">
        <v>269</v>
      </c>
    </row>
    <row r="124" spans="1:3" hidden="1" x14ac:dyDescent="0.25">
      <c r="A124" t="s">
        <v>130</v>
      </c>
      <c r="B124">
        <v>45</v>
      </c>
      <c r="C124" t="s">
        <v>269</v>
      </c>
    </row>
    <row r="125" spans="1:3" hidden="1" x14ac:dyDescent="0.25">
      <c r="A125" t="s">
        <v>31</v>
      </c>
      <c r="B125">
        <v>51</v>
      </c>
      <c r="C125" t="s">
        <v>269</v>
      </c>
    </row>
    <row r="126" spans="1:3" hidden="1" x14ac:dyDescent="0.25">
      <c r="A126" t="s">
        <v>32</v>
      </c>
      <c r="B126">
        <v>53</v>
      </c>
      <c r="C126" t="s">
        <v>269</v>
      </c>
    </row>
    <row r="127" spans="1:3" hidden="1" x14ac:dyDescent="0.25">
      <c r="A127" t="s">
        <v>40</v>
      </c>
      <c r="B127">
        <v>66</v>
      </c>
      <c r="C127" t="s">
        <v>269</v>
      </c>
    </row>
    <row r="128" spans="1:3" hidden="1" x14ac:dyDescent="0.25">
      <c r="A128" t="s">
        <v>136</v>
      </c>
      <c r="B128">
        <v>54</v>
      </c>
      <c r="C128" t="s">
        <v>269</v>
      </c>
    </row>
    <row r="129" spans="1:3" hidden="1" x14ac:dyDescent="0.25">
      <c r="A129" t="s">
        <v>33</v>
      </c>
      <c r="B129">
        <v>55</v>
      </c>
      <c r="C129" t="s">
        <v>269</v>
      </c>
    </row>
    <row r="130" spans="1:3" hidden="1" x14ac:dyDescent="0.25">
      <c r="A130" t="s">
        <v>138</v>
      </c>
      <c r="B130">
        <v>57</v>
      </c>
      <c r="C130" t="s">
        <v>269</v>
      </c>
    </row>
    <row r="131" spans="1:3" hidden="1" x14ac:dyDescent="0.25">
      <c r="A131" t="s">
        <v>38</v>
      </c>
      <c r="B131">
        <v>61</v>
      </c>
      <c r="C131" t="s">
        <v>269</v>
      </c>
    </row>
    <row r="132" spans="1:3" hidden="1" x14ac:dyDescent="0.25">
      <c r="A132" t="s">
        <v>143</v>
      </c>
      <c r="B132">
        <v>68</v>
      </c>
      <c r="C132" t="s">
        <v>269</v>
      </c>
    </row>
    <row r="133" spans="1:3" hidden="1" x14ac:dyDescent="0.25">
      <c r="A133" t="s">
        <v>146</v>
      </c>
      <c r="B133">
        <v>72</v>
      </c>
      <c r="C133" t="s">
        <v>269</v>
      </c>
    </row>
    <row r="134" spans="1:3" hidden="1" x14ac:dyDescent="0.25">
      <c r="A134" t="s">
        <v>44</v>
      </c>
      <c r="B134">
        <v>75</v>
      </c>
      <c r="C134" t="s">
        <v>269</v>
      </c>
    </row>
    <row r="135" spans="1:3" hidden="1" x14ac:dyDescent="0.25">
      <c r="A135" t="s">
        <v>150</v>
      </c>
      <c r="B135">
        <v>77</v>
      </c>
      <c r="C135" t="s">
        <v>269</v>
      </c>
    </row>
    <row r="136" spans="1:3" hidden="1" x14ac:dyDescent="0.25">
      <c r="A136" t="s">
        <v>151</v>
      </c>
      <c r="B136">
        <v>78</v>
      </c>
      <c r="C136" t="s">
        <v>269</v>
      </c>
    </row>
    <row r="137" spans="1:3" hidden="1" x14ac:dyDescent="0.25">
      <c r="A137" t="s">
        <v>156</v>
      </c>
      <c r="B137">
        <v>241</v>
      </c>
      <c r="C137" t="s">
        <v>269</v>
      </c>
    </row>
    <row r="138" spans="1:3" hidden="1" x14ac:dyDescent="0.25">
      <c r="A138" t="s">
        <v>157</v>
      </c>
      <c r="B138">
        <v>85</v>
      </c>
      <c r="C138" t="s">
        <v>269</v>
      </c>
    </row>
    <row r="139" spans="1:3" hidden="1" x14ac:dyDescent="0.25">
      <c r="A139" t="s">
        <v>158</v>
      </c>
      <c r="B139">
        <v>86</v>
      </c>
      <c r="C139" t="s">
        <v>269</v>
      </c>
    </row>
    <row r="140" spans="1:3" hidden="1" x14ac:dyDescent="0.25">
      <c r="A140" t="s">
        <v>48</v>
      </c>
      <c r="B140">
        <v>87</v>
      </c>
      <c r="C140" t="s">
        <v>269</v>
      </c>
    </row>
    <row r="141" spans="1:3" hidden="1" x14ac:dyDescent="0.25">
      <c r="A141" t="s">
        <v>50</v>
      </c>
      <c r="B141">
        <v>89</v>
      </c>
      <c r="C141" t="s">
        <v>269</v>
      </c>
    </row>
    <row r="142" spans="1:3" hidden="1" x14ac:dyDescent="0.25">
      <c r="A142" t="s">
        <v>160</v>
      </c>
      <c r="B142">
        <v>90</v>
      </c>
      <c r="C142" t="s">
        <v>269</v>
      </c>
    </row>
    <row r="143" spans="1:3" hidden="1" x14ac:dyDescent="0.25">
      <c r="A143" t="s">
        <v>161</v>
      </c>
      <c r="B143">
        <v>91</v>
      </c>
      <c r="C143" t="s">
        <v>269</v>
      </c>
    </row>
    <row r="144" spans="1:3" hidden="1" x14ac:dyDescent="0.25">
      <c r="A144" t="s">
        <v>51</v>
      </c>
      <c r="B144">
        <v>92</v>
      </c>
      <c r="C144" t="s">
        <v>269</v>
      </c>
    </row>
    <row r="145" spans="1:3" hidden="1" x14ac:dyDescent="0.25">
      <c r="A145" t="s">
        <v>163</v>
      </c>
      <c r="B145">
        <v>94</v>
      </c>
      <c r="C145" t="s">
        <v>269</v>
      </c>
    </row>
    <row r="146" spans="1:3" hidden="1" x14ac:dyDescent="0.25">
      <c r="A146" t="s">
        <v>56</v>
      </c>
      <c r="B146">
        <v>101</v>
      </c>
      <c r="C146" t="s">
        <v>269</v>
      </c>
    </row>
    <row r="147" spans="1:3" hidden="1" x14ac:dyDescent="0.25">
      <c r="A147" t="s">
        <v>252</v>
      </c>
      <c r="B147">
        <v>103</v>
      </c>
      <c r="C147" t="s">
        <v>269</v>
      </c>
    </row>
    <row r="148" spans="1:3" hidden="1" x14ac:dyDescent="0.25">
      <c r="A148" t="s">
        <v>170</v>
      </c>
      <c r="B148">
        <v>107</v>
      </c>
      <c r="C148" t="s">
        <v>269</v>
      </c>
    </row>
    <row r="149" spans="1:3" hidden="1" x14ac:dyDescent="0.25">
      <c r="A149" t="s">
        <v>62</v>
      </c>
      <c r="B149">
        <v>109</v>
      </c>
      <c r="C149" t="s">
        <v>269</v>
      </c>
    </row>
    <row r="150" spans="1:3" hidden="1" x14ac:dyDescent="0.25">
      <c r="A150" t="s">
        <v>66</v>
      </c>
      <c r="B150">
        <v>114</v>
      </c>
      <c r="C150" t="s">
        <v>269</v>
      </c>
    </row>
    <row r="151" spans="1:3" hidden="1" x14ac:dyDescent="0.25">
      <c r="A151" t="s">
        <v>176</v>
      </c>
      <c r="B151">
        <v>120</v>
      </c>
      <c r="C151" t="s">
        <v>269</v>
      </c>
    </row>
    <row r="152" spans="1:3" hidden="1" x14ac:dyDescent="0.25">
      <c r="A152" t="s">
        <v>177</v>
      </c>
      <c r="B152">
        <v>122</v>
      </c>
      <c r="C152" t="s">
        <v>269</v>
      </c>
    </row>
    <row r="153" spans="1:3" hidden="1" x14ac:dyDescent="0.25">
      <c r="A153" t="s">
        <v>181</v>
      </c>
      <c r="B153">
        <v>127</v>
      </c>
      <c r="C153" t="s">
        <v>269</v>
      </c>
    </row>
    <row r="154" spans="1:3" hidden="1" x14ac:dyDescent="0.25">
      <c r="A154" t="s">
        <v>184</v>
      </c>
      <c r="B154">
        <v>129</v>
      </c>
      <c r="C154" t="s">
        <v>269</v>
      </c>
    </row>
    <row r="155" spans="1:3" hidden="1" x14ac:dyDescent="0.25">
      <c r="A155" t="s">
        <v>185</v>
      </c>
      <c r="B155">
        <v>130</v>
      </c>
      <c r="C155" t="s">
        <v>269</v>
      </c>
    </row>
    <row r="156" spans="1:3" hidden="1" x14ac:dyDescent="0.25">
      <c r="A156" t="s">
        <v>75</v>
      </c>
      <c r="B156">
        <v>131</v>
      </c>
      <c r="C156" t="s">
        <v>269</v>
      </c>
    </row>
    <row r="157" spans="1:3" hidden="1" x14ac:dyDescent="0.25">
      <c r="A157" t="s">
        <v>186</v>
      </c>
      <c r="B157">
        <v>133</v>
      </c>
      <c r="C157" t="s">
        <v>269</v>
      </c>
    </row>
    <row r="158" spans="1:3" hidden="1" x14ac:dyDescent="0.25">
      <c r="A158" t="s">
        <v>81</v>
      </c>
      <c r="B158">
        <v>138</v>
      </c>
      <c r="C158" t="s">
        <v>269</v>
      </c>
    </row>
    <row r="159" spans="1:3" hidden="1" x14ac:dyDescent="0.25">
      <c r="A159" t="s">
        <v>192</v>
      </c>
      <c r="B159">
        <v>140</v>
      </c>
      <c r="C159" t="s">
        <v>269</v>
      </c>
    </row>
    <row r="160" spans="1:3" hidden="1" x14ac:dyDescent="0.25">
      <c r="A160" t="s">
        <v>194</v>
      </c>
      <c r="B160">
        <v>142</v>
      </c>
      <c r="C160" t="s">
        <v>269</v>
      </c>
    </row>
    <row r="161" spans="1:3" hidden="1" x14ac:dyDescent="0.25">
      <c r="A161" t="s">
        <v>195</v>
      </c>
      <c r="B161">
        <v>143</v>
      </c>
      <c r="C161" t="s">
        <v>269</v>
      </c>
    </row>
    <row r="162" spans="1:3" hidden="1" x14ac:dyDescent="0.25">
      <c r="A162" t="s">
        <v>216</v>
      </c>
      <c r="B162">
        <v>157</v>
      </c>
      <c r="C162" t="s">
        <v>269</v>
      </c>
    </row>
    <row r="163" spans="1:3" hidden="1" x14ac:dyDescent="0.25">
      <c r="A163" t="s">
        <v>218</v>
      </c>
      <c r="B163">
        <v>160</v>
      </c>
      <c r="C163" t="s">
        <v>269</v>
      </c>
    </row>
    <row r="164" spans="1:3" hidden="1" x14ac:dyDescent="0.25">
      <c r="A164" t="s">
        <v>219</v>
      </c>
      <c r="B164">
        <v>162</v>
      </c>
      <c r="C164" t="s">
        <v>269</v>
      </c>
    </row>
    <row r="165" spans="1:3" hidden="1" x14ac:dyDescent="0.25">
      <c r="A165" t="s">
        <v>220</v>
      </c>
      <c r="B165">
        <v>163</v>
      </c>
      <c r="C165" t="s">
        <v>269</v>
      </c>
    </row>
    <row r="166" spans="1:3" hidden="1" x14ac:dyDescent="0.25">
      <c r="A166" t="s">
        <v>96</v>
      </c>
      <c r="B166">
        <v>166</v>
      </c>
      <c r="C166" t="s">
        <v>269</v>
      </c>
    </row>
    <row r="167" spans="1:3" hidden="1" x14ac:dyDescent="0.25">
      <c r="A167" t="s">
        <v>223</v>
      </c>
      <c r="B167">
        <v>167</v>
      </c>
      <c r="C167" t="s">
        <v>269</v>
      </c>
    </row>
    <row r="168" spans="1:3" hidden="1" x14ac:dyDescent="0.25">
      <c r="A168" t="s">
        <v>254</v>
      </c>
      <c r="B168">
        <v>169</v>
      </c>
      <c r="C168" t="s">
        <v>269</v>
      </c>
    </row>
    <row r="169" spans="1:3" hidden="1" x14ac:dyDescent="0.25">
      <c r="A169" t="s">
        <v>106</v>
      </c>
      <c r="B169">
        <v>7</v>
      </c>
      <c r="C169" t="s">
        <v>75</v>
      </c>
    </row>
    <row r="170" spans="1:3" hidden="1" x14ac:dyDescent="0.25">
      <c r="A170" t="s">
        <v>104</v>
      </c>
      <c r="B170">
        <v>237</v>
      </c>
      <c r="C170" t="s">
        <v>75</v>
      </c>
    </row>
    <row r="171" spans="1:3" hidden="1" x14ac:dyDescent="0.25">
      <c r="A171" t="s">
        <v>1</v>
      </c>
      <c r="B171">
        <v>1</v>
      </c>
      <c r="C171" t="s">
        <v>75</v>
      </c>
    </row>
    <row r="172" spans="1:3" hidden="1" x14ac:dyDescent="0.25">
      <c r="A172" t="s">
        <v>11</v>
      </c>
      <c r="B172">
        <v>14</v>
      </c>
      <c r="C172" t="s">
        <v>75</v>
      </c>
    </row>
    <row r="173" spans="1:3" hidden="1" x14ac:dyDescent="0.25">
      <c r="A173" t="s">
        <v>251</v>
      </c>
      <c r="B173">
        <v>15</v>
      </c>
      <c r="C173" t="s">
        <v>75</v>
      </c>
    </row>
    <row r="174" spans="1:3" hidden="1" x14ac:dyDescent="0.25">
      <c r="A174" t="s">
        <v>14</v>
      </c>
      <c r="B174">
        <v>19</v>
      </c>
      <c r="C174" t="s">
        <v>75</v>
      </c>
    </row>
    <row r="175" spans="1:3" hidden="1" x14ac:dyDescent="0.25">
      <c r="A175" t="s">
        <v>22</v>
      </c>
      <c r="B175">
        <v>34</v>
      </c>
      <c r="C175" t="s">
        <v>75</v>
      </c>
    </row>
    <row r="176" spans="1:3" hidden="1" x14ac:dyDescent="0.25">
      <c r="A176" t="s">
        <v>127</v>
      </c>
      <c r="B176">
        <v>40</v>
      </c>
      <c r="C176" t="s">
        <v>75</v>
      </c>
    </row>
    <row r="177" spans="1:3" hidden="1" x14ac:dyDescent="0.25">
      <c r="A177" t="s">
        <v>27</v>
      </c>
      <c r="B177">
        <v>42</v>
      </c>
      <c r="C177" t="s">
        <v>75</v>
      </c>
    </row>
    <row r="178" spans="1:3" hidden="1" x14ac:dyDescent="0.25">
      <c r="A178" t="s">
        <v>129</v>
      </c>
      <c r="B178">
        <v>44</v>
      </c>
      <c r="C178" t="s">
        <v>75</v>
      </c>
    </row>
    <row r="179" spans="1:3" hidden="1" x14ac:dyDescent="0.25">
      <c r="A179" t="s">
        <v>130</v>
      </c>
      <c r="B179">
        <v>45</v>
      </c>
      <c r="C179" t="s">
        <v>75</v>
      </c>
    </row>
    <row r="180" spans="1:3" hidden="1" x14ac:dyDescent="0.25">
      <c r="A180" t="s">
        <v>31</v>
      </c>
      <c r="B180">
        <v>51</v>
      </c>
      <c r="C180" t="s">
        <v>75</v>
      </c>
    </row>
    <row r="181" spans="1:3" hidden="1" x14ac:dyDescent="0.25">
      <c r="A181" t="s">
        <v>32</v>
      </c>
      <c r="B181">
        <v>53</v>
      </c>
      <c r="C181" t="s">
        <v>75</v>
      </c>
    </row>
    <row r="182" spans="1:3" hidden="1" x14ac:dyDescent="0.25">
      <c r="A182" t="s">
        <v>40</v>
      </c>
      <c r="B182">
        <v>66</v>
      </c>
      <c r="C182" t="s">
        <v>75</v>
      </c>
    </row>
    <row r="183" spans="1:3" hidden="1" x14ac:dyDescent="0.25">
      <c r="A183" t="s">
        <v>136</v>
      </c>
      <c r="B183">
        <v>54</v>
      </c>
      <c r="C183" t="s">
        <v>75</v>
      </c>
    </row>
    <row r="184" spans="1:3" hidden="1" x14ac:dyDescent="0.25">
      <c r="A184" t="s">
        <v>33</v>
      </c>
      <c r="B184">
        <v>55</v>
      </c>
      <c r="C184" t="s">
        <v>75</v>
      </c>
    </row>
    <row r="185" spans="1:3" hidden="1" x14ac:dyDescent="0.25">
      <c r="A185" t="s">
        <v>138</v>
      </c>
      <c r="B185">
        <v>57</v>
      </c>
      <c r="C185" t="s">
        <v>75</v>
      </c>
    </row>
    <row r="186" spans="1:3" hidden="1" x14ac:dyDescent="0.25">
      <c r="A186" t="s">
        <v>38</v>
      </c>
      <c r="B186">
        <v>61</v>
      </c>
      <c r="C186" t="s">
        <v>75</v>
      </c>
    </row>
    <row r="187" spans="1:3" hidden="1" x14ac:dyDescent="0.25">
      <c r="A187" t="s">
        <v>143</v>
      </c>
      <c r="B187">
        <v>68</v>
      </c>
      <c r="C187" t="s">
        <v>75</v>
      </c>
    </row>
    <row r="188" spans="1:3" hidden="1" x14ac:dyDescent="0.25">
      <c r="A188" t="s">
        <v>146</v>
      </c>
      <c r="B188">
        <v>72</v>
      </c>
      <c r="C188" t="s">
        <v>75</v>
      </c>
    </row>
    <row r="189" spans="1:3" hidden="1" x14ac:dyDescent="0.25">
      <c r="A189" t="s">
        <v>44</v>
      </c>
      <c r="B189">
        <v>75</v>
      </c>
      <c r="C189" t="s">
        <v>75</v>
      </c>
    </row>
    <row r="190" spans="1:3" hidden="1" x14ac:dyDescent="0.25">
      <c r="A190" t="s">
        <v>150</v>
      </c>
      <c r="B190">
        <v>77</v>
      </c>
      <c r="C190" t="s">
        <v>75</v>
      </c>
    </row>
    <row r="191" spans="1:3" hidden="1" x14ac:dyDescent="0.25">
      <c r="A191" t="s">
        <v>151</v>
      </c>
      <c r="B191">
        <v>78</v>
      </c>
      <c r="C191" t="s">
        <v>75</v>
      </c>
    </row>
    <row r="192" spans="1:3" hidden="1" x14ac:dyDescent="0.25">
      <c r="A192" t="s">
        <v>156</v>
      </c>
      <c r="B192">
        <v>241</v>
      </c>
      <c r="C192" t="s">
        <v>75</v>
      </c>
    </row>
    <row r="193" spans="1:3" hidden="1" x14ac:dyDescent="0.25">
      <c r="A193" t="s">
        <v>157</v>
      </c>
      <c r="B193">
        <v>85</v>
      </c>
      <c r="C193" t="s">
        <v>75</v>
      </c>
    </row>
    <row r="194" spans="1:3" hidden="1" x14ac:dyDescent="0.25">
      <c r="A194" t="s">
        <v>158</v>
      </c>
      <c r="B194">
        <v>86</v>
      </c>
      <c r="C194" t="s">
        <v>75</v>
      </c>
    </row>
    <row r="195" spans="1:3" hidden="1" x14ac:dyDescent="0.25">
      <c r="A195" t="s">
        <v>48</v>
      </c>
      <c r="B195">
        <v>87</v>
      </c>
      <c r="C195" t="s">
        <v>75</v>
      </c>
    </row>
    <row r="196" spans="1:3" hidden="1" x14ac:dyDescent="0.25">
      <c r="A196" t="s">
        <v>50</v>
      </c>
      <c r="B196">
        <v>89</v>
      </c>
      <c r="C196" t="s">
        <v>75</v>
      </c>
    </row>
    <row r="197" spans="1:3" hidden="1" x14ac:dyDescent="0.25">
      <c r="A197" t="s">
        <v>160</v>
      </c>
      <c r="B197">
        <v>90</v>
      </c>
      <c r="C197" t="s">
        <v>75</v>
      </c>
    </row>
    <row r="198" spans="1:3" hidden="1" x14ac:dyDescent="0.25">
      <c r="A198" t="s">
        <v>161</v>
      </c>
      <c r="B198">
        <v>91</v>
      </c>
      <c r="C198" t="s">
        <v>75</v>
      </c>
    </row>
    <row r="199" spans="1:3" hidden="1" x14ac:dyDescent="0.25">
      <c r="A199" t="s">
        <v>51</v>
      </c>
      <c r="B199">
        <v>92</v>
      </c>
      <c r="C199" t="s">
        <v>75</v>
      </c>
    </row>
    <row r="200" spans="1:3" hidden="1" x14ac:dyDescent="0.25">
      <c r="A200" t="s">
        <v>163</v>
      </c>
      <c r="B200">
        <v>94</v>
      </c>
      <c r="C200" t="s">
        <v>75</v>
      </c>
    </row>
    <row r="201" spans="1:3" hidden="1" x14ac:dyDescent="0.25">
      <c r="A201" t="s">
        <v>56</v>
      </c>
      <c r="B201">
        <v>101</v>
      </c>
      <c r="C201" t="s">
        <v>75</v>
      </c>
    </row>
    <row r="202" spans="1:3" hidden="1" x14ac:dyDescent="0.25">
      <c r="A202" t="s">
        <v>252</v>
      </c>
      <c r="B202">
        <v>103</v>
      </c>
      <c r="C202" t="s">
        <v>75</v>
      </c>
    </row>
    <row r="203" spans="1:3" hidden="1" x14ac:dyDescent="0.25">
      <c r="A203" t="s">
        <v>170</v>
      </c>
      <c r="B203">
        <v>107</v>
      </c>
      <c r="C203" t="s">
        <v>75</v>
      </c>
    </row>
    <row r="204" spans="1:3" hidden="1" x14ac:dyDescent="0.25">
      <c r="A204" t="s">
        <v>62</v>
      </c>
      <c r="B204">
        <v>109</v>
      </c>
      <c r="C204" t="s">
        <v>75</v>
      </c>
    </row>
    <row r="205" spans="1:3" hidden="1" x14ac:dyDescent="0.25">
      <c r="A205" t="s">
        <v>66</v>
      </c>
      <c r="B205">
        <v>114</v>
      </c>
      <c r="C205" t="s">
        <v>75</v>
      </c>
    </row>
    <row r="206" spans="1:3" hidden="1" x14ac:dyDescent="0.25">
      <c r="A206" t="s">
        <v>176</v>
      </c>
      <c r="B206">
        <v>120</v>
      </c>
      <c r="C206" t="s">
        <v>75</v>
      </c>
    </row>
    <row r="207" spans="1:3" hidden="1" x14ac:dyDescent="0.25">
      <c r="A207" t="s">
        <v>177</v>
      </c>
      <c r="B207">
        <v>122</v>
      </c>
      <c r="C207" t="s">
        <v>75</v>
      </c>
    </row>
    <row r="208" spans="1:3" hidden="1" x14ac:dyDescent="0.25">
      <c r="A208" t="s">
        <v>181</v>
      </c>
      <c r="B208">
        <v>127</v>
      </c>
      <c r="C208" t="s">
        <v>75</v>
      </c>
    </row>
    <row r="209" spans="1:3" hidden="1" x14ac:dyDescent="0.25">
      <c r="A209" t="s">
        <v>184</v>
      </c>
      <c r="B209">
        <v>129</v>
      </c>
      <c r="C209" t="s">
        <v>75</v>
      </c>
    </row>
    <row r="210" spans="1:3" hidden="1" x14ac:dyDescent="0.25">
      <c r="A210" t="s">
        <v>185</v>
      </c>
      <c r="B210">
        <v>130</v>
      </c>
      <c r="C210" t="s">
        <v>75</v>
      </c>
    </row>
    <row r="211" spans="1:3" hidden="1" x14ac:dyDescent="0.25">
      <c r="A211" t="s">
        <v>75</v>
      </c>
      <c r="B211">
        <v>131</v>
      </c>
      <c r="C211" t="s">
        <v>75</v>
      </c>
    </row>
    <row r="212" spans="1:3" hidden="1" x14ac:dyDescent="0.25">
      <c r="A212" t="s">
        <v>186</v>
      </c>
      <c r="B212">
        <v>133</v>
      </c>
      <c r="C212" t="s">
        <v>75</v>
      </c>
    </row>
    <row r="213" spans="1:3" hidden="1" x14ac:dyDescent="0.25">
      <c r="A213" t="s">
        <v>81</v>
      </c>
      <c r="B213">
        <v>138</v>
      </c>
      <c r="C213" t="s">
        <v>75</v>
      </c>
    </row>
    <row r="214" spans="1:3" hidden="1" x14ac:dyDescent="0.25">
      <c r="A214" t="s">
        <v>192</v>
      </c>
      <c r="B214">
        <v>140</v>
      </c>
      <c r="C214" t="s">
        <v>75</v>
      </c>
    </row>
    <row r="215" spans="1:3" hidden="1" x14ac:dyDescent="0.25">
      <c r="A215" t="s">
        <v>194</v>
      </c>
      <c r="B215">
        <v>142</v>
      </c>
      <c r="C215" t="s">
        <v>75</v>
      </c>
    </row>
    <row r="216" spans="1:3" hidden="1" x14ac:dyDescent="0.25">
      <c r="A216" t="s">
        <v>195</v>
      </c>
      <c r="B216">
        <v>143</v>
      </c>
      <c r="C216" t="s">
        <v>75</v>
      </c>
    </row>
    <row r="217" spans="1:3" hidden="1" x14ac:dyDescent="0.25">
      <c r="A217" t="s">
        <v>216</v>
      </c>
      <c r="B217">
        <v>157</v>
      </c>
      <c r="C217" t="s">
        <v>75</v>
      </c>
    </row>
    <row r="218" spans="1:3" hidden="1" x14ac:dyDescent="0.25">
      <c r="A218" t="s">
        <v>218</v>
      </c>
      <c r="B218">
        <v>160</v>
      </c>
      <c r="C218" t="s">
        <v>75</v>
      </c>
    </row>
    <row r="219" spans="1:3" hidden="1" x14ac:dyDescent="0.25">
      <c r="A219" t="s">
        <v>219</v>
      </c>
      <c r="B219">
        <v>162</v>
      </c>
      <c r="C219" t="s">
        <v>75</v>
      </c>
    </row>
    <row r="220" spans="1:3" hidden="1" x14ac:dyDescent="0.25">
      <c r="A220" t="s">
        <v>220</v>
      </c>
      <c r="B220">
        <v>163</v>
      </c>
      <c r="C220" t="s">
        <v>75</v>
      </c>
    </row>
    <row r="221" spans="1:3" hidden="1" x14ac:dyDescent="0.25">
      <c r="A221" t="s">
        <v>96</v>
      </c>
      <c r="B221">
        <v>166</v>
      </c>
      <c r="C221" t="s">
        <v>75</v>
      </c>
    </row>
    <row r="222" spans="1:3" hidden="1" x14ac:dyDescent="0.25">
      <c r="A222" t="s">
        <v>223</v>
      </c>
      <c r="B222">
        <v>167</v>
      </c>
      <c r="C222" t="s">
        <v>75</v>
      </c>
    </row>
    <row r="223" spans="1:3" hidden="1" x14ac:dyDescent="0.25">
      <c r="A223" t="s">
        <v>254</v>
      </c>
      <c r="B223">
        <v>169</v>
      </c>
      <c r="C223" t="s">
        <v>75</v>
      </c>
    </row>
    <row r="224" spans="1:3" x14ac:dyDescent="0.25">
      <c r="A224" t="s">
        <v>231</v>
      </c>
      <c r="B224">
        <v>21</v>
      </c>
      <c r="C224" t="s">
        <v>270</v>
      </c>
    </row>
    <row r="225" spans="1:3" x14ac:dyDescent="0.25">
      <c r="A225" t="s">
        <v>15</v>
      </c>
      <c r="B225">
        <v>22</v>
      </c>
      <c r="C225" t="s">
        <v>270</v>
      </c>
    </row>
    <row r="226" spans="1:3" x14ac:dyDescent="0.25">
      <c r="A226" t="s">
        <v>19</v>
      </c>
      <c r="B226">
        <v>27</v>
      </c>
      <c r="C226" t="s">
        <v>270</v>
      </c>
    </row>
    <row r="227" spans="1:3" x14ac:dyDescent="0.25">
      <c r="A227" t="s">
        <v>127</v>
      </c>
      <c r="B227">
        <v>40</v>
      </c>
      <c r="C227" t="s">
        <v>270</v>
      </c>
    </row>
    <row r="228" spans="1:3" x14ac:dyDescent="0.25">
      <c r="A228" t="s">
        <v>30</v>
      </c>
      <c r="B228">
        <v>223</v>
      </c>
      <c r="C228" t="s">
        <v>270</v>
      </c>
    </row>
    <row r="229" spans="1:3" x14ac:dyDescent="0.25">
      <c r="A229" t="s">
        <v>54</v>
      </c>
      <c r="B229">
        <v>96</v>
      </c>
      <c r="C229" t="s">
        <v>270</v>
      </c>
    </row>
    <row r="230" spans="1:3" x14ac:dyDescent="0.25">
      <c r="A230" t="s">
        <v>164</v>
      </c>
      <c r="B230">
        <v>97</v>
      </c>
      <c r="C230" t="s">
        <v>270</v>
      </c>
    </row>
    <row r="231" spans="1:3" x14ac:dyDescent="0.25">
      <c r="A231" t="s">
        <v>166</v>
      </c>
      <c r="B231">
        <v>99</v>
      </c>
      <c r="C231" t="s">
        <v>270</v>
      </c>
    </row>
    <row r="232" spans="1:3" x14ac:dyDescent="0.25">
      <c r="A232" t="s">
        <v>60</v>
      </c>
      <c r="B232">
        <v>108</v>
      </c>
      <c r="C232" t="s">
        <v>270</v>
      </c>
    </row>
    <row r="233" spans="1:3" x14ac:dyDescent="0.25">
      <c r="A233" t="s">
        <v>62</v>
      </c>
      <c r="B233">
        <v>109</v>
      </c>
      <c r="C233" t="s">
        <v>270</v>
      </c>
    </row>
    <row r="234" spans="1:3" x14ac:dyDescent="0.25">
      <c r="A234" t="s">
        <v>61</v>
      </c>
      <c r="B234">
        <v>110</v>
      </c>
      <c r="C234" t="s">
        <v>270</v>
      </c>
    </row>
    <row r="235" spans="1:3" x14ac:dyDescent="0.25">
      <c r="A235" t="s">
        <v>63</v>
      </c>
      <c r="B235">
        <v>111</v>
      </c>
      <c r="C235" t="s">
        <v>270</v>
      </c>
    </row>
    <row r="236" spans="1:3" x14ac:dyDescent="0.25">
      <c r="A236" t="s">
        <v>64</v>
      </c>
      <c r="B236">
        <v>112</v>
      </c>
      <c r="C236" t="s">
        <v>270</v>
      </c>
    </row>
    <row r="237" spans="1:3" x14ac:dyDescent="0.25">
      <c r="A237" t="s">
        <v>65</v>
      </c>
      <c r="B237">
        <v>113</v>
      </c>
      <c r="C237" t="s">
        <v>270</v>
      </c>
    </row>
    <row r="238" spans="1:3" x14ac:dyDescent="0.25">
      <c r="A238" t="s">
        <v>185</v>
      </c>
      <c r="B238">
        <v>130</v>
      </c>
      <c r="C238" t="s">
        <v>270</v>
      </c>
    </row>
    <row r="239" spans="1:3" x14ac:dyDescent="0.25">
      <c r="A239" t="s">
        <v>200</v>
      </c>
      <c r="B239">
        <v>144</v>
      </c>
      <c r="C239" t="s">
        <v>270</v>
      </c>
    </row>
    <row r="240" spans="1:3" x14ac:dyDescent="0.25">
      <c r="A240" t="s">
        <v>209</v>
      </c>
      <c r="B240">
        <v>149</v>
      </c>
      <c r="C240" t="s">
        <v>270</v>
      </c>
    </row>
    <row r="241" spans="1:3" x14ac:dyDescent="0.25">
      <c r="A241" t="s">
        <v>213</v>
      </c>
      <c r="B241">
        <v>154</v>
      </c>
      <c r="C241" t="s">
        <v>270</v>
      </c>
    </row>
    <row r="242" spans="1:3" x14ac:dyDescent="0.25">
      <c r="A242" t="s">
        <v>214</v>
      </c>
      <c r="B242">
        <v>155</v>
      </c>
      <c r="C242" t="s">
        <v>270</v>
      </c>
    </row>
    <row r="243" spans="1:3" x14ac:dyDescent="0.25">
      <c r="A243" t="s">
        <v>215</v>
      </c>
      <c r="B243">
        <v>156</v>
      </c>
      <c r="C243" t="s">
        <v>270</v>
      </c>
    </row>
    <row r="244" spans="1:3" x14ac:dyDescent="0.25">
      <c r="A244" t="s">
        <v>218</v>
      </c>
      <c r="B244">
        <v>160</v>
      </c>
      <c r="C244" t="s">
        <v>270</v>
      </c>
    </row>
    <row r="245" spans="1:3" x14ac:dyDescent="0.25">
      <c r="A245" t="s">
        <v>220</v>
      </c>
      <c r="B245">
        <v>163</v>
      </c>
      <c r="C245" t="s">
        <v>270</v>
      </c>
    </row>
    <row r="246" spans="1:3" x14ac:dyDescent="0.25">
      <c r="A246" t="s">
        <v>227</v>
      </c>
      <c r="B246">
        <v>171</v>
      </c>
      <c r="C246" t="s">
        <v>270</v>
      </c>
    </row>
    <row r="247" spans="1:3" hidden="1" x14ac:dyDescent="0.25">
      <c r="A247" t="s">
        <v>245</v>
      </c>
      <c r="B247">
        <v>12</v>
      </c>
      <c r="C247" t="s">
        <v>271</v>
      </c>
    </row>
    <row r="248" spans="1:3" hidden="1" x14ac:dyDescent="0.25">
      <c r="A248" t="s">
        <v>11</v>
      </c>
      <c r="B248">
        <v>14</v>
      </c>
      <c r="C248" t="s">
        <v>271</v>
      </c>
    </row>
    <row r="249" spans="1:3" hidden="1" x14ac:dyDescent="0.25">
      <c r="A249" t="s">
        <v>186</v>
      </c>
      <c r="B249">
        <v>133</v>
      </c>
      <c r="C249" t="s">
        <v>271</v>
      </c>
    </row>
    <row r="250" spans="1:3" hidden="1" x14ac:dyDescent="0.25">
      <c r="A250" t="s">
        <v>207</v>
      </c>
      <c r="B250">
        <v>145</v>
      </c>
      <c r="C250" t="s">
        <v>271</v>
      </c>
    </row>
    <row r="251" spans="1:3" hidden="1" x14ac:dyDescent="0.25">
      <c r="A251" t="s">
        <v>221</v>
      </c>
      <c r="B251">
        <v>164</v>
      </c>
      <c r="C251" t="s">
        <v>271</v>
      </c>
    </row>
    <row r="252" spans="1:3" hidden="1" x14ac:dyDescent="0.25">
      <c r="A252" t="s">
        <v>222</v>
      </c>
      <c r="B252">
        <v>165</v>
      </c>
      <c r="C252" t="s">
        <v>271</v>
      </c>
    </row>
    <row r="253" spans="1:3" hidden="1" x14ac:dyDescent="0.25">
      <c r="A253" t="s">
        <v>228</v>
      </c>
      <c r="B253">
        <v>174</v>
      </c>
      <c r="C253" t="s">
        <v>271</v>
      </c>
    </row>
    <row r="254" spans="1:3" hidden="1" x14ac:dyDescent="0.25">
      <c r="A254" t="s">
        <v>106</v>
      </c>
      <c r="B254">
        <v>7</v>
      </c>
      <c r="C254" t="s">
        <v>272</v>
      </c>
    </row>
    <row r="255" spans="1:3" hidden="1" x14ac:dyDescent="0.25">
      <c r="A255" t="s">
        <v>107</v>
      </c>
      <c r="B255">
        <v>8</v>
      </c>
      <c r="C255" t="s">
        <v>272</v>
      </c>
    </row>
    <row r="256" spans="1:3" hidden="1" x14ac:dyDescent="0.25">
      <c r="A256" t="s">
        <v>6</v>
      </c>
      <c r="B256">
        <v>9</v>
      </c>
      <c r="C256" t="s">
        <v>272</v>
      </c>
    </row>
    <row r="257" spans="1:3" hidden="1" x14ac:dyDescent="0.25">
      <c r="A257" t="s">
        <v>112</v>
      </c>
      <c r="B257">
        <v>16</v>
      </c>
      <c r="C257" t="s">
        <v>272</v>
      </c>
    </row>
    <row r="258" spans="1:3" hidden="1" x14ac:dyDescent="0.25">
      <c r="A258" t="s">
        <v>13</v>
      </c>
      <c r="B258">
        <v>17</v>
      </c>
      <c r="C258" t="s">
        <v>272</v>
      </c>
    </row>
    <row r="259" spans="1:3" hidden="1" x14ac:dyDescent="0.25">
      <c r="A259" t="s">
        <v>19</v>
      </c>
      <c r="B259">
        <v>27</v>
      </c>
      <c r="C259" t="s">
        <v>272</v>
      </c>
    </row>
    <row r="260" spans="1:3" hidden="1" x14ac:dyDescent="0.25">
      <c r="A260" t="s">
        <v>21</v>
      </c>
      <c r="B260">
        <v>32</v>
      </c>
      <c r="C260" t="s">
        <v>272</v>
      </c>
    </row>
    <row r="261" spans="1:3" hidden="1" x14ac:dyDescent="0.25">
      <c r="A261" t="s">
        <v>128</v>
      </c>
      <c r="B261">
        <v>41</v>
      </c>
      <c r="C261" t="s">
        <v>272</v>
      </c>
    </row>
    <row r="262" spans="1:3" hidden="1" x14ac:dyDescent="0.25">
      <c r="A262" t="s">
        <v>29</v>
      </c>
      <c r="B262">
        <v>43</v>
      </c>
      <c r="C262" t="s">
        <v>272</v>
      </c>
    </row>
    <row r="263" spans="1:3" hidden="1" x14ac:dyDescent="0.25">
      <c r="A263" t="s">
        <v>132</v>
      </c>
      <c r="B263">
        <v>48</v>
      </c>
      <c r="C263" t="s">
        <v>272</v>
      </c>
    </row>
    <row r="264" spans="1:3" hidden="1" x14ac:dyDescent="0.25">
      <c r="A264" t="s">
        <v>32</v>
      </c>
      <c r="B264">
        <v>53</v>
      </c>
      <c r="C264" t="s">
        <v>272</v>
      </c>
    </row>
    <row r="265" spans="1:3" hidden="1" x14ac:dyDescent="0.25">
      <c r="A265" t="s">
        <v>136</v>
      </c>
      <c r="B265">
        <v>54</v>
      </c>
      <c r="C265" t="s">
        <v>272</v>
      </c>
    </row>
    <row r="266" spans="1:3" hidden="1" x14ac:dyDescent="0.25">
      <c r="A266" t="s">
        <v>37</v>
      </c>
      <c r="B266">
        <v>60</v>
      </c>
      <c r="C266" t="s">
        <v>272</v>
      </c>
    </row>
    <row r="267" spans="1:3" hidden="1" x14ac:dyDescent="0.25">
      <c r="A267" t="s">
        <v>143</v>
      </c>
      <c r="B267">
        <v>68</v>
      </c>
      <c r="C267" t="s">
        <v>272</v>
      </c>
    </row>
    <row r="268" spans="1:3" hidden="1" x14ac:dyDescent="0.25">
      <c r="A268" t="s">
        <v>145</v>
      </c>
      <c r="B268">
        <v>70</v>
      </c>
      <c r="C268" t="s">
        <v>272</v>
      </c>
    </row>
    <row r="269" spans="1:3" hidden="1" x14ac:dyDescent="0.25">
      <c r="A269" t="s">
        <v>44</v>
      </c>
      <c r="B269">
        <v>75</v>
      </c>
      <c r="C269" t="s">
        <v>272</v>
      </c>
    </row>
    <row r="270" spans="1:3" hidden="1" x14ac:dyDescent="0.25">
      <c r="A270" t="s">
        <v>152</v>
      </c>
      <c r="B270">
        <v>79</v>
      </c>
      <c r="C270" t="s">
        <v>272</v>
      </c>
    </row>
    <row r="271" spans="1:3" hidden="1" x14ac:dyDescent="0.25">
      <c r="A271" t="s">
        <v>155</v>
      </c>
      <c r="B271">
        <v>82</v>
      </c>
      <c r="C271" t="s">
        <v>272</v>
      </c>
    </row>
    <row r="272" spans="1:3" hidden="1" x14ac:dyDescent="0.25">
      <c r="A272" t="s">
        <v>168</v>
      </c>
      <c r="B272">
        <v>105</v>
      </c>
      <c r="C272" t="s">
        <v>272</v>
      </c>
    </row>
    <row r="273" spans="1:3" hidden="1" x14ac:dyDescent="0.25">
      <c r="A273" t="s">
        <v>169</v>
      </c>
      <c r="B273">
        <v>106</v>
      </c>
      <c r="C273" t="s">
        <v>272</v>
      </c>
    </row>
    <row r="274" spans="1:3" hidden="1" x14ac:dyDescent="0.25">
      <c r="A274" t="s">
        <v>66</v>
      </c>
      <c r="B274">
        <v>114</v>
      </c>
      <c r="C274" t="s">
        <v>272</v>
      </c>
    </row>
    <row r="275" spans="1:3" hidden="1" x14ac:dyDescent="0.25">
      <c r="A275" t="s">
        <v>183</v>
      </c>
      <c r="B275">
        <v>128</v>
      </c>
      <c r="C275" t="s">
        <v>272</v>
      </c>
    </row>
    <row r="276" spans="1:3" hidden="1" x14ac:dyDescent="0.25">
      <c r="A276" t="s">
        <v>184</v>
      </c>
      <c r="B276">
        <v>129</v>
      </c>
      <c r="C276" t="s">
        <v>272</v>
      </c>
    </row>
    <row r="277" spans="1:3" hidden="1" x14ac:dyDescent="0.25">
      <c r="A277" t="s">
        <v>190</v>
      </c>
      <c r="B277">
        <v>136</v>
      </c>
      <c r="C277" t="s">
        <v>272</v>
      </c>
    </row>
    <row r="278" spans="1:3" hidden="1" x14ac:dyDescent="0.25">
      <c r="A278" t="s">
        <v>210</v>
      </c>
      <c r="B278">
        <v>150</v>
      </c>
      <c r="C278" t="s">
        <v>272</v>
      </c>
    </row>
    <row r="279" spans="1:3" hidden="1" x14ac:dyDescent="0.25">
      <c r="A279" t="s">
        <v>95</v>
      </c>
      <c r="B279">
        <v>161</v>
      </c>
      <c r="C279" t="s">
        <v>272</v>
      </c>
    </row>
    <row r="280" spans="1:3" hidden="1" x14ac:dyDescent="0.25">
      <c r="A280" t="s">
        <v>96</v>
      </c>
      <c r="B280">
        <v>166</v>
      </c>
      <c r="C280" t="s">
        <v>272</v>
      </c>
    </row>
    <row r="281" spans="1:3" hidden="1" x14ac:dyDescent="0.25">
      <c r="A281" t="s">
        <v>229</v>
      </c>
      <c r="B281">
        <v>176</v>
      </c>
      <c r="C281" t="s">
        <v>272</v>
      </c>
    </row>
    <row r="282" spans="1:3" hidden="1" x14ac:dyDescent="0.25">
      <c r="A282" t="s">
        <v>100</v>
      </c>
      <c r="B282">
        <v>177</v>
      </c>
      <c r="C282" t="s">
        <v>272</v>
      </c>
    </row>
    <row r="283" spans="1:3" hidden="1" x14ac:dyDescent="0.25">
      <c r="A283" t="s">
        <v>101</v>
      </c>
      <c r="B283">
        <v>178</v>
      </c>
      <c r="C283" t="s">
        <v>272</v>
      </c>
    </row>
    <row r="284" spans="1:3" hidden="1" x14ac:dyDescent="0.25">
      <c r="A284" t="s">
        <v>11</v>
      </c>
      <c r="B284">
        <v>14</v>
      </c>
      <c r="C284" t="s">
        <v>273</v>
      </c>
    </row>
    <row r="285" spans="1:3" hidden="1" x14ac:dyDescent="0.25">
      <c r="A285" t="s">
        <v>16</v>
      </c>
      <c r="B285">
        <v>24</v>
      </c>
      <c r="C285" t="s">
        <v>273</v>
      </c>
    </row>
    <row r="286" spans="1:3" hidden="1" x14ac:dyDescent="0.25">
      <c r="A286" t="s">
        <v>23</v>
      </c>
      <c r="B286">
        <v>38</v>
      </c>
      <c r="C286" t="s">
        <v>273</v>
      </c>
    </row>
    <row r="287" spans="1:3" hidden="1" x14ac:dyDescent="0.25">
      <c r="A287" t="s">
        <v>128</v>
      </c>
      <c r="B287">
        <v>41</v>
      </c>
      <c r="C287" t="s">
        <v>273</v>
      </c>
    </row>
    <row r="288" spans="1:3" hidden="1" x14ac:dyDescent="0.25">
      <c r="A288" t="s">
        <v>130</v>
      </c>
      <c r="B288">
        <v>45</v>
      </c>
      <c r="C288" t="s">
        <v>273</v>
      </c>
    </row>
    <row r="289" spans="1:3" hidden="1" x14ac:dyDescent="0.25">
      <c r="A289" t="s">
        <v>147</v>
      </c>
      <c r="B289">
        <v>73</v>
      </c>
      <c r="C289" t="s">
        <v>273</v>
      </c>
    </row>
    <row r="290" spans="1:3" hidden="1" x14ac:dyDescent="0.25">
      <c r="A290" t="s">
        <v>150</v>
      </c>
      <c r="B290">
        <v>77</v>
      </c>
      <c r="C290" t="s">
        <v>273</v>
      </c>
    </row>
    <row r="291" spans="1:3" hidden="1" x14ac:dyDescent="0.25">
      <c r="A291" t="s">
        <v>163</v>
      </c>
      <c r="B291">
        <v>94</v>
      </c>
      <c r="C291" t="s">
        <v>273</v>
      </c>
    </row>
    <row r="292" spans="1:3" hidden="1" x14ac:dyDescent="0.25">
      <c r="A292" t="s">
        <v>173</v>
      </c>
      <c r="B292">
        <v>116</v>
      </c>
      <c r="C292" t="s">
        <v>273</v>
      </c>
    </row>
    <row r="293" spans="1:3" hidden="1" x14ac:dyDescent="0.25">
      <c r="A293" t="s">
        <v>239</v>
      </c>
      <c r="B293">
        <v>132</v>
      </c>
      <c r="C293" t="s">
        <v>273</v>
      </c>
    </row>
    <row r="294" spans="1:3" hidden="1" x14ac:dyDescent="0.25">
      <c r="A294" t="s">
        <v>80</v>
      </c>
      <c r="B294">
        <v>137</v>
      </c>
      <c r="C294" t="s">
        <v>273</v>
      </c>
    </row>
    <row r="295" spans="1:3" hidden="1" x14ac:dyDescent="0.25">
      <c r="A295" t="s">
        <v>207</v>
      </c>
      <c r="B295">
        <v>145</v>
      </c>
      <c r="C295" t="s">
        <v>273</v>
      </c>
    </row>
    <row r="296" spans="1:3" hidden="1" x14ac:dyDescent="0.25">
      <c r="A296" t="s">
        <v>216</v>
      </c>
      <c r="B296">
        <v>157</v>
      </c>
      <c r="C296" t="s">
        <v>273</v>
      </c>
    </row>
    <row r="297" spans="1:3" hidden="1" x14ac:dyDescent="0.25">
      <c r="A297" t="s">
        <v>127</v>
      </c>
      <c r="B297">
        <v>40</v>
      </c>
      <c r="C297" t="s">
        <v>274</v>
      </c>
    </row>
    <row r="298" spans="1:3" hidden="1" x14ac:dyDescent="0.25">
      <c r="A298" t="s">
        <v>137</v>
      </c>
      <c r="B298">
        <v>56</v>
      </c>
      <c r="C298" t="s">
        <v>274</v>
      </c>
    </row>
    <row r="299" spans="1:3" hidden="1" x14ac:dyDescent="0.25">
      <c r="A299" t="s">
        <v>138</v>
      </c>
      <c r="B299">
        <v>57</v>
      </c>
      <c r="C299" t="s">
        <v>274</v>
      </c>
    </row>
    <row r="300" spans="1:3" hidden="1" x14ac:dyDescent="0.25">
      <c r="A300" t="s">
        <v>140</v>
      </c>
      <c r="B300">
        <v>62</v>
      </c>
      <c r="C300" t="s">
        <v>274</v>
      </c>
    </row>
    <row r="301" spans="1:3" hidden="1" x14ac:dyDescent="0.25">
      <c r="A301" t="s">
        <v>40</v>
      </c>
      <c r="B301">
        <v>66</v>
      </c>
      <c r="C301" t="s">
        <v>274</v>
      </c>
    </row>
    <row r="302" spans="1:3" hidden="1" x14ac:dyDescent="0.25">
      <c r="A302" t="s">
        <v>43</v>
      </c>
      <c r="B302">
        <v>74</v>
      </c>
      <c r="C302" t="s">
        <v>274</v>
      </c>
    </row>
    <row r="303" spans="1:3" hidden="1" x14ac:dyDescent="0.25">
      <c r="A303" t="s">
        <v>154</v>
      </c>
      <c r="B303">
        <v>81</v>
      </c>
      <c r="C303" t="s">
        <v>274</v>
      </c>
    </row>
    <row r="304" spans="1:3" hidden="1" x14ac:dyDescent="0.25">
      <c r="A304" t="s">
        <v>47</v>
      </c>
      <c r="B304">
        <v>84</v>
      </c>
      <c r="C304" t="s">
        <v>274</v>
      </c>
    </row>
    <row r="305" spans="1:3" hidden="1" x14ac:dyDescent="0.25">
      <c r="A305" t="s">
        <v>48</v>
      </c>
      <c r="B305">
        <v>87</v>
      </c>
      <c r="C305" t="s">
        <v>274</v>
      </c>
    </row>
    <row r="306" spans="1:3" hidden="1" x14ac:dyDescent="0.25">
      <c r="A306" t="s">
        <v>52</v>
      </c>
      <c r="B306">
        <v>93</v>
      </c>
      <c r="C306" t="s">
        <v>274</v>
      </c>
    </row>
    <row r="307" spans="1:3" hidden="1" x14ac:dyDescent="0.25">
      <c r="A307" t="s">
        <v>63</v>
      </c>
      <c r="B307">
        <v>111</v>
      </c>
      <c r="C307" t="s">
        <v>274</v>
      </c>
    </row>
    <row r="308" spans="1:3" hidden="1" x14ac:dyDescent="0.25">
      <c r="A308" t="s">
        <v>70</v>
      </c>
      <c r="B308">
        <v>121</v>
      </c>
      <c r="C308" t="s">
        <v>274</v>
      </c>
    </row>
    <row r="309" spans="1:3" hidden="1" x14ac:dyDescent="0.25">
      <c r="A309" t="s">
        <v>180</v>
      </c>
      <c r="B309">
        <v>126</v>
      </c>
      <c r="C309" t="s">
        <v>274</v>
      </c>
    </row>
    <row r="310" spans="1:3" hidden="1" x14ac:dyDescent="0.25">
      <c r="A310" t="s">
        <v>214</v>
      </c>
      <c r="B310">
        <v>155</v>
      </c>
      <c r="C310" t="s">
        <v>274</v>
      </c>
    </row>
    <row r="311" spans="1:3" hidden="1" x14ac:dyDescent="0.25">
      <c r="A311" t="s">
        <v>215</v>
      </c>
      <c r="B311">
        <v>156</v>
      </c>
      <c r="C311" t="s">
        <v>274</v>
      </c>
    </row>
    <row r="312" spans="1:3" hidden="1" x14ac:dyDescent="0.25">
      <c r="A312" t="s">
        <v>218</v>
      </c>
      <c r="B312">
        <v>160</v>
      </c>
      <c r="C312" t="s">
        <v>274</v>
      </c>
    </row>
    <row r="313" spans="1:3" hidden="1" x14ac:dyDescent="0.25">
      <c r="A313" t="s">
        <v>17</v>
      </c>
      <c r="B313">
        <v>25</v>
      </c>
      <c r="C313" t="s">
        <v>275</v>
      </c>
    </row>
    <row r="314" spans="1:3" hidden="1" x14ac:dyDescent="0.25">
      <c r="A314" t="s">
        <v>122</v>
      </c>
      <c r="B314">
        <v>36</v>
      </c>
      <c r="C314" t="s">
        <v>275</v>
      </c>
    </row>
    <row r="315" spans="1:3" hidden="1" x14ac:dyDescent="0.25">
      <c r="A315" t="s">
        <v>28</v>
      </c>
      <c r="B315">
        <v>222</v>
      </c>
      <c r="C315" t="s">
        <v>275</v>
      </c>
    </row>
    <row r="316" spans="1:3" hidden="1" x14ac:dyDescent="0.25">
      <c r="A316" t="s">
        <v>136</v>
      </c>
      <c r="B316">
        <v>54</v>
      </c>
      <c r="C316" t="s">
        <v>275</v>
      </c>
    </row>
    <row r="317" spans="1:3" hidden="1" x14ac:dyDescent="0.25">
      <c r="A317" t="s">
        <v>33</v>
      </c>
      <c r="B317">
        <v>55</v>
      </c>
      <c r="C317" t="s">
        <v>275</v>
      </c>
    </row>
    <row r="318" spans="1:3" hidden="1" x14ac:dyDescent="0.25">
      <c r="A318" t="s">
        <v>34</v>
      </c>
      <c r="B318">
        <v>224</v>
      </c>
      <c r="C318" t="s">
        <v>275</v>
      </c>
    </row>
    <row r="319" spans="1:3" hidden="1" x14ac:dyDescent="0.25">
      <c r="A319" t="s">
        <v>38</v>
      </c>
      <c r="B319">
        <v>61</v>
      </c>
      <c r="C319" t="s">
        <v>275</v>
      </c>
    </row>
    <row r="320" spans="1:3" hidden="1" x14ac:dyDescent="0.25">
      <c r="A320" t="s">
        <v>142</v>
      </c>
      <c r="B320">
        <v>64</v>
      </c>
      <c r="C320" t="s">
        <v>275</v>
      </c>
    </row>
    <row r="321" spans="1:3" hidden="1" x14ac:dyDescent="0.25">
      <c r="A321" t="s">
        <v>41</v>
      </c>
      <c r="B321">
        <v>67</v>
      </c>
      <c r="C321" t="s">
        <v>275</v>
      </c>
    </row>
    <row r="322" spans="1:3" hidden="1" x14ac:dyDescent="0.25">
      <c r="A322" t="s">
        <v>143</v>
      </c>
      <c r="B322">
        <v>68</v>
      </c>
      <c r="C322" t="s">
        <v>275</v>
      </c>
    </row>
    <row r="323" spans="1:3" hidden="1" x14ac:dyDescent="0.25">
      <c r="A323" t="s">
        <v>145</v>
      </c>
      <c r="B323">
        <v>70</v>
      </c>
      <c r="C323" t="s">
        <v>275</v>
      </c>
    </row>
    <row r="324" spans="1:3" hidden="1" x14ac:dyDescent="0.25">
      <c r="A324" t="s">
        <v>44</v>
      </c>
      <c r="B324">
        <v>75</v>
      </c>
      <c r="C324" t="s">
        <v>275</v>
      </c>
    </row>
    <row r="325" spans="1:3" hidden="1" x14ac:dyDescent="0.25">
      <c r="A325" t="s">
        <v>150</v>
      </c>
      <c r="B325">
        <v>77</v>
      </c>
      <c r="C325" t="s">
        <v>275</v>
      </c>
    </row>
    <row r="326" spans="1:3" hidden="1" x14ac:dyDescent="0.25">
      <c r="A326" t="s">
        <v>151</v>
      </c>
      <c r="B326">
        <v>78</v>
      </c>
      <c r="C326" t="s">
        <v>275</v>
      </c>
    </row>
    <row r="327" spans="1:3" hidden="1" x14ac:dyDescent="0.25">
      <c r="A327" t="s">
        <v>158</v>
      </c>
      <c r="B327">
        <v>86</v>
      </c>
      <c r="C327" t="s">
        <v>275</v>
      </c>
    </row>
    <row r="328" spans="1:3" hidden="1" x14ac:dyDescent="0.25">
      <c r="A328" t="s">
        <v>161</v>
      </c>
      <c r="B328">
        <v>91</v>
      </c>
      <c r="C328" t="s">
        <v>275</v>
      </c>
    </row>
    <row r="329" spans="1:3" hidden="1" x14ac:dyDescent="0.25">
      <c r="A329" t="s">
        <v>56</v>
      </c>
      <c r="B329">
        <v>101</v>
      </c>
      <c r="C329" t="s">
        <v>275</v>
      </c>
    </row>
    <row r="330" spans="1:3" hidden="1" x14ac:dyDescent="0.25">
      <c r="A330" t="s">
        <v>62</v>
      </c>
      <c r="B330">
        <v>109</v>
      </c>
      <c r="C330" t="s">
        <v>275</v>
      </c>
    </row>
    <row r="331" spans="1:3" hidden="1" x14ac:dyDescent="0.25">
      <c r="A331" t="s">
        <v>181</v>
      </c>
      <c r="B331">
        <v>127</v>
      </c>
      <c r="C331" t="s">
        <v>275</v>
      </c>
    </row>
    <row r="332" spans="1:3" hidden="1" x14ac:dyDescent="0.25">
      <c r="A332" t="s">
        <v>75</v>
      </c>
      <c r="B332">
        <v>131</v>
      </c>
      <c r="C332" t="s">
        <v>275</v>
      </c>
    </row>
    <row r="333" spans="1:3" hidden="1" x14ac:dyDescent="0.25">
      <c r="A333" t="s">
        <v>81</v>
      </c>
      <c r="B333">
        <v>138</v>
      </c>
      <c r="C333" t="s">
        <v>275</v>
      </c>
    </row>
    <row r="334" spans="1:3" hidden="1" x14ac:dyDescent="0.25">
      <c r="A334" t="s">
        <v>82</v>
      </c>
      <c r="B334">
        <v>139</v>
      </c>
      <c r="C334" t="s">
        <v>275</v>
      </c>
    </row>
    <row r="335" spans="1:3" hidden="1" x14ac:dyDescent="0.25">
      <c r="A335" t="s">
        <v>194</v>
      </c>
      <c r="B335">
        <v>142</v>
      </c>
      <c r="C335" t="s">
        <v>275</v>
      </c>
    </row>
    <row r="336" spans="1:3" hidden="1" x14ac:dyDescent="0.25">
      <c r="A336" t="s">
        <v>219</v>
      </c>
      <c r="B336">
        <v>162</v>
      </c>
      <c r="C336" t="s">
        <v>275</v>
      </c>
    </row>
    <row r="337" spans="1:3" hidden="1" x14ac:dyDescent="0.25">
      <c r="A337" t="s">
        <v>96</v>
      </c>
      <c r="B337">
        <v>166</v>
      </c>
      <c r="C337" t="s">
        <v>275</v>
      </c>
    </row>
    <row r="338" spans="1:3" hidden="1" x14ac:dyDescent="0.25">
      <c r="A338" t="s">
        <v>16</v>
      </c>
      <c r="B338">
        <v>24</v>
      </c>
      <c r="C338" t="s">
        <v>276</v>
      </c>
    </row>
    <row r="339" spans="1:3" hidden="1" x14ac:dyDescent="0.25">
      <c r="A339" t="s">
        <v>122</v>
      </c>
      <c r="B339">
        <v>36</v>
      </c>
      <c r="C339" t="s">
        <v>276</v>
      </c>
    </row>
    <row r="340" spans="1:3" hidden="1" x14ac:dyDescent="0.25">
      <c r="A340" t="s">
        <v>128</v>
      </c>
      <c r="B340">
        <v>41</v>
      </c>
      <c r="C340" t="s">
        <v>276</v>
      </c>
    </row>
    <row r="341" spans="1:3" hidden="1" x14ac:dyDescent="0.25">
      <c r="A341" t="s">
        <v>134</v>
      </c>
      <c r="B341">
        <v>50</v>
      </c>
      <c r="C341" t="s">
        <v>276</v>
      </c>
    </row>
    <row r="342" spans="1:3" hidden="1" x14ac:dyDescent="0.25">
      <c r="A342" t="s">
        <v>41</v>
      </c>
      <c r="B342">
        <v>67</v>
      </c>
      <c r="C342" t="s">
        <v>276</v>
      </c>
    </row>
    <row r="343" spans="1:3" hidden="1" x14ac:dyDescent="0.25">
      <c r="A343" t="s">
        <v>150</v>
      </c>
      <c r="B343">
        <v>77</v>
      </c>
      <c r="C343" t="s">
        <v>276</v>
      </c>
    </row>
    <row r="344" spans="1:3" hidden="1" x14ac:dyDescent="0.25">
      <c r="A344" t="s">
        <v>151</v>
      </c>
      <c r="B344">
        <v>78</v>
      </c>
      <c r="C344" t="s">
        <v>276</v>
      </c>
    </row>
    <row r="345" spans="1:3" hidden="1" x14ac:dyDescent="0.25">
      <c r="A345" t="s">
        <v>161</v>
      </c>
      <c r="B345">
        <v>91</v>
      </c>
      <c r="C345" t="s">
        <v>276</v>
      </c>
    </row>
    <row r="346" spans="1:3" hidden="1" x14ac:dyDescent="0.25">
      <c r="A346" t="s">
        <v>51</v>
      </c>
      <c r="B346">
        <v>92</v>
      </c>
      <c r="C346" t="s">
        <v>276</v>
      </c>
    </row>
    <row r="347" spans="1:3" hidden="1" x14ac:dyDescent="0.25">
      <c r="A347" t="s">
        <v>167</v>
      </c>
      <c r="B347">
        <v>100</v>
      </c>
      <c r="C347" t="s">
        <v>276</v>
      </c>
    </row>
    <row r="348" spans="1:3" hidden="1" x14ac:dyDescent="0.25">
      <c r="A348" t="s">
        <v>170</v>
      </c>
      <c r="B348">
        <v>107</v>
      </c>
      <c r="C348" t="s">
        <v>276</v>
      </c>
    </row>
    <row r="349" spans="1:3" hidden="1" x14ac:dyDescent="0.25">
      <c r="A349" t="s">
        <v>81</v>
      </c>
      <c r="B349">
        <v>138</v>
      </c>
      <c r="C349" t="s">
        <v>276</v>
      </c>
    </row>
    <row r="350" spans="1:3" hidden="1" x14ac:dyDescent="0.25">
      <c r="A350" t="s">
        <v>192</v>
      </c>
      <c r="B350">
        <v>140</v>
      </c>
      <c r="C350" t="s">
        <v>276</v>
      </c>
    </row>
    <row r="351" spans="1:3" hidden="1" x14ac:dyDescent="0.25">
      <c r="A351" t="s">
        <v>213</v>
      </c>
      <c r="B351">
        <v>154</v>
      </c>
      <c r="C351" t="s">
        <v>276</v>
      </c>
    </row>
    <row r="352" spans="1:3" hidden="1" x14ac:dyDescent="0.25">
      <c r="A352" t="s">
        <v>220</v>
      </c>
      <c r="B352">
        <v>163</v>
      </c>
      <c r="C352" t="s">
        <v>276</v>
      </c>
    </row>
    <row r="353" spans="1:3" hidden="1" x14ac:dyDescent="0.25">
      <c r="A353" t="s">
        <v>100</v>
      </c>
      <c r="B353">
        <v>177</v>
      </c>
      <c r="C353" t="s">
        <v>276</v>
      </c>
    </row>
    <row r="354" spans="1:3" hidden="1" x14ac:dyDescent="0.25">
      <c r="A354" t="s">
        <v>104</v>
      </c>
      <c r="B354">
        <v>237</v>
      </c>
      <c r="C354" t="s">
        <v>277</v>
      </c>
    </row>
    <row r="355" spans="1:3" hidden="1" x14ac:dyDescent="0.25">
      <c r="A355" t="s">
        <v>105</v>
      </c>
      <c r="B355">
        <v>6</v>
      </c>
      <c r="C355" t="s">
        <v>277</v>
      </c>
    </row>
    <row r="356" spans="1:3" hidden="1" x14ac:dyDescent="0.25">
      <c r="A356" t="s">
        <v>106</v>
      </c>
      <c r="B356">
        <v>7</v>
      </c>
      <c r="C356" t="s">
        <v>277</v>
      </c>
    </row>
    <row r="357" spans="1:3" hidden="1" x14ac:dyDescent="0.25">
      <c r="A357" t="s">
        <v>107</v>
      </c>
      <c r="B357">
        <v>8</v>
      </c>
      <c r="C357" t="s">
        <v>277</v>
      </c>
    </row>
    <row r="358" spans="1:3" hidden="1" x14ac:dyDescent="0.25">
      <c r="A358" t="s">
        <v>6</v>
      </c>
      <c r="B358">
        <v>9</v>
      </c>
      <c r="C358" t="s">
        <v>277</v>
      </c>
    </row>
    <row r="359" spans="1:3" hidden="1" x14ac:dyDescent="0.25">
      <c r="A359" t="s">
        <v>7</v>
      </c>
      <c r="B359">
        <v>10</v>
      </c>
      <c r="C359" t="s">
        <v>277</v>
      </c>
    </row>
    <row r="360" spans="1:3" hidden="1" x14ac:dyDescent="0.25">
      <c r="A360" t="s">
        <v>8</v>
      </c>
      <c r="B360">
        <v>11</v>
      </c>
      <c r="C360" t="s">
        <v>277</v>
      </c>
    </row>
    <row r="361" spans="1:3" hidden="1" x14ac:dyDescent="0.25">
      <c r="A361" t="s">
        <v>10</v>
      </c>
      <c r="B361">
        <v>13</v>
      </c>
      <c r="C361" t="s">
        <v>277</v>
      </c>
    </row>
    <row r="362" spans="1:3" hidden="1" x14ac:dyDescent="0.25">
      <c r="A362" t="s">
        <v>12</v>
      </c>
      <c r="B362">
        <v>15</v>
      </c>
      <c r="C362" t="s">
        <v>277</v>
      </c>
    </row>
    <row r="363" spans="1:3" hidden="1" x14ac:dyDescent="0.25">
      <c r="A363" t="s">
        <v>113</v>
      </c>
      <c r="B363">
        <v>18</v>
      </c>
      <c r="C363" t="s">
        <v>277</v>
      </c>
    </row>
    <row r="364" spans="1:3" hidden="1" x14ac:dyDescent="0.25">
      <c r="A364" t="s">
        <v>116</v>
      </c>
      <c r="B364">
        <v>23</v>
      </c>
      <c r="C364" t="s">
        <v>277</v>
      </c>
    </row>
    <row r="365" spans="1:3" hidden="1" x14ac:dyDescent="0.25">
      <c r="A365" t="s">
        <v>17</v>
      </c>
      <c r="B365">
        <v>25</v>
      </c>
      <c r="C365" t="s">
        <v>277</v>
      </c>
    </row>
    <row r="366" spans="1:3" hidden="1" x14ac:dyDescent="0.25">
      <c r="A366" t="s">
        <v>232</v>
      </c>
      <c r="B366">
        <v>26</v>
      </c>
      <c r="C366" t="s">
        <v>277</v>
      </c>
    </row>
    <row r="367" spans="1:3" hidden="1" x14ac:dyDescent="0.25">
      <c r="A367" t="s">
        <v>117</v>
      </c>
      <c r="B367">
        <v>28</v>
      </c>
      <c r="C367" t="s">
        <v>277</v>
      </c>
    </row>
    <row r="368" spans="1:3" hidden="1" x14ac:dyDescent="0.25">
      <c r="A368" t="s">
        <v>20</v>
      </c>
      <c r="B368">
        <v>30</v>
      </c>
      <c r="C368" t="s">
        <v>277</v>
      </c>
    </row>
    <row r="369" spans="1:3" hidden="1" x14ac:dyDescent="0.25">
      <c r="A369" t="s">
        <v>119</v>
      </c>
      <c r="B369">
        <v>31</v>
      </c>
      <c r="C369" t="s">
        <v>277</v>
      </c>
    </row>
    <row r="370" spans="1:3" hidden="1" x14ac:dyDescent="0.25">
      <c r="A370" t="s">
        <v>21</v>
      </c>
      <c r="B370">
        <v>32</v>
      </c>
      <c r="C370" t="s">
        <v>277</v>
      </c>
    </row>
    <row r="371" spans="1:3" hidden="1" x14ac:dyDescent="0.25">
      <c r="A371" t="s">
        <v>120</v>
      </c>
      <c r="B371">
        <v>33</v>
      </c>
      <c r="C371" t="s">
        <v>277</v>
      </c>
    </row>
    <row r="372" spans="1:3" hidden="1" x14ac:dyDescent="0.25">
      <c r="A372" t="s">
        <v>125</v>
      </c>
      <c r="B372">
        <v>221</v>
      </c>
      <c r="C372" t="s">
        <v>277</v>
      </c>
    </row>
    <row r="373" spans="1:3" hidden="1" x14ac:dyDescent="0.25">
      <c r="A373" t="s">
        <v>24</v>
      </c>
      <c r="B373">
        <v>39</v>
      </c>
      <c r="C373" t="s">
        <v>277</v>
      </c>
    </row>
    <row r="374" spans="1:3" hidden="1" x14ac:dyDescent="0.25">
      <c r="A374" t="s">
        <v>28</v>
      </c>
      <c r="B374">
        <v>222</v>
      </c>
      <c r="C374" t="s">
        <v>277</v>
      </c>
    </row>
    <row r="375" spans="1:3" hidden="1" x14ac:dyDescent="0.25">
      <c r="A375" t="s">
        <v>129</v>
      </c>
      <c r="B375">
        <v>44</v>
      </c>
      <c r="C375" t="s">
        <v>277</v>
      </c>
    </row>
    <row r="376" spans="1:3" hidden="1" x14ac:dyDescent="0.25">
      <c r="A376" t="s">
        <v>133</v>
      </c>
      <c r="B376">
        <v>49</v>
      </c>
      <c r="C376" t="s">
        <v>277</v>
      </c>
    </row>
    <row r="377" spans="1:3" hidden="1" x14ac:dyDescent="0.25">
      <c r="A377" t="s">
        <v>31</v>
      </c>
      <c r="B377">
        <v>51</v>
      </c>
      <c r="C377" t="s">
        <v>277</v>
      </c>
    </row>
    <row r="378" spans="1:3" hidden="1" x14ac:dyDescent="0.25">
      <c r="A378" t="s">
        <v>136</v>
      </c>
      <c r="B378">
        <v>54</v>
      </c>
      <c r="C378" t="s">
        <v>277</v>
      </c>
    </row>
    <row r="379" spans="1:3" hidden="1" x14ac:dyDescent="0.25">
      <c r="A379" t="s">
        <v>40</v>
      </c>
      <c r="B379">
        <v>66</v>
      </c>
      <c r="C379" t="s">
        <v>277</v>
      </c>
    </row>
    <row r="380" spans="1:3" hidden="1" x14ac:dyDescent="0.25">
      <c r="A380" t="s">
        <v>144</v>
      </c>
      <c r="B380">
        <v>69</v>
      </c>
      <c r="C380" t="s">
        <v>277</v>
      </c>
    </row>
    <row r="381" spans="1:3" hidden="1" x14ac:dyDescent="0.25">
      <c r="A381" t="s">
        <v>45</v>
      </c>
      <c r="B381">
        <v>226</v>
      </c>
      <c r="C381" t="s">
        <v>277</v>
      </c>
    </row>
    <row r="382" spans="1:3" hidden="1" x14ac:dyDescent="0.25">
      <c r="A382" t="s">
        <v>159</v>
      </c>
      <c r="B382">
        <v>227</v>
      </c>
      <c r="C382" t="s">
        <v>277</v>
      </c>
    </row>
    <row r="383" spans="1:3" hidden="1" x14ac:dyDescent="0.25">
      <c r="A383" t="s">
        <v>50</v>
      </c>
      <c r="B383">
        <v>89</v>
      </c>
      <c r="C383" t="s">
        <v>277</v>
      </c>
    </row>
    <row r="384" spans="1:3" hidden="1" x14ac:dyDescent="0.25">
      <c r="A384" t="s">
        <v>160</v>
      </c>
      <c r="B384">
        <v>90</v>
      </c>
      <c r="C384" t="s">
        <v>277</v>
      </c>
    </row>
    <row r="385" spans="1:3" hidden="1" x14ac:dyDescent="0.25">
      <c r="A385" t="s">
        <v>55</v>
      </c>
      <c r="B385">
        <v>242</v>
      </c>
      <c r="C385" t="s">
        <v>277</v>
      </c>
    </row>
    <row r="386" spans="1:3" hidden="1" x14ac:dyDescent="0.25">
      <c r="A386" t="s">
        <v>57</v>
      </c>
      <c r="B386">
        <v>102</v>
      </c>
      <c r="C386" t="s">
        <v>277</v>
      </c>
    </row>
    <row r="387" spans="1:3" hidden="1" x14ac:dyDescent="0.25">
      <c r="A387" t="s">
        <v>168</v>
      </c>
      <c r="B387">
        <v>105</v>
      </c>
      <c r="C387" t="s">
        <v>277</v>
      </c>
    </row>
    <row r="388" spans="1:3" hidden="1" x14ac:dyDescent="0.25">
      <c r="A388" t="s">
        <v>169</v>
      </c>
      <c r="B388">
        <v>106</v>
      </c>
      <c r="C388" t="s">
        <v>277</v>
      </c>
    </row>
    <row r="389" spans="1:3" hidden="1" x14ac:dyDescent="0.25">
      <c r="A389" t="s">
        <v>60</v>
      </c>
      <c r="B389">
        <v>108</v>
      </c>
      <c r="C389" t="s">
        <v>277</v>
      </c>
    </row>
    <row r="390" spans="1:3" hidden="1" x14ac:dyDescent="0.25">
      <c r="A390" t="s">
        <v>68</v>
      </c>
      <c r="B390">
        <v>118</v>
      </c>
      <c r="C390" t="s">
        <v>277</v>
      </c>
    </row>
    <row r="391" spans="1:3" hidden="1" x14ac:dyDescent="0.25">
      <c r="A391" t="s">
        <v>179</v>
      </c>
      <c r="B391">
        <v>125</v>
      </c>
      <c r="C391" t="s">
        <v>277</v>
      </c>
    </row>
    <row r="392" spans="1:3" hidden="1" x14ac:dyDescent="0.25">
      <c r="A392" t="s">
        <v>183</v>
      </c>
      <c r="B392">
        <v>128</v>
      </c>
      <c r="C392" t="s">
        <v>277</v>
      </c>
    </row>
    <row r="393" spans="1:3" hidden="1" x14ac:dyDescent="0.25">
      <c r="A393" t="s">
        <v>187</v>
      </c>
      <c r="B393">
        <v>134</v>
      </c>
      <c r="C393" t="s">
        <v>277</v>
      </c>
    </row>
    <row r="394" spans="1:3" hidden="1" x14ac:dyDescent="0.25">
      <c r="A394" t="s">
        <v>188</v>
      </c>
      <c r="B394">
        <v>135</v>
      </c>
      <c r="C394" t="s">
        <v>277</v>
      </c>
    </row>
    <row r="395" spans="1:3" hidden="1" x14ac:dyDescent="0.25">
      <c r="A395" t="s">
        <v>82</v>
      </c>
      <c r="B395">
        <v>139</v>
      </c>
      <c r="C395" t="s">
        <v>277</v>
      </c>
    </row>
    <row r="396" spans="1:3" hidden="1" x14ac:dyDescent="0.25">
      <c r="A396" t="s">
        <v>84</v>
      </c>
      <c r="B396">
        <v>146</v>
      </c>
      <c r="C396" t="s">
        <v>277</v>
      </c>
    </row>
    <row r="397" spans="1:3" hidden="1" x14ac:dyDescent="0.25">
      <c r="A397" t="s">
        <v>85</v>
      </c>
      <c r="B397">
        <v>147</v>
      </c>
      <c r="C397" t="s">
        <v>277</v>
      </c>
    </row>
    <row r="398" spans="1:3" hidden="1" x14ac:dyDescent="0.25">
      <c r="A398" t="s">
        <v>92</v>
      </c>
      <c r="B398">
        <v>220</v>
      </c>
      <c r="C398" t="s">
        <v>277</v>
      </c>
    </row>
    <row r="399" spans="1:3" hidden="1" x14ac:dyDescent="0.25">
      <c r="A399" t="s">
        <v>99</v>
      </c>
      <c r="B399">
        <v>175</v>
      </c>
      <c r="C399" t="s">
        <v>277</v>
      </c>
    </row>
    <row r="400" spans="1:3" hidden="1" x14ac:dyDescent="0.25">
      <c r="A400" t="s">
        <v>101</v>
      </c>
      <c r="B400">
        <v>178</v>
      </c>
      <c r="C400" t="s">
        <v>277</v>
      </c>
    </row>
    <row r="401" spans="1:3" hidden="1" x14ac:dyDescent="0.25">
      <c r="A401" t="s">
        <v>1</v>
      </c>
      <c r="B401">
        <v>1</v>
      </c>
      <c r="C401" t="s">
        <v>278</v>
      </c>
    </row>
    <row r="402" spans="1:3" hidden="1" x14ac:dyDescent="0.25">
      <c r="A402" t="s">
        <v>2</v>
      </c>
      <c r="B402">
        <v>2</v>
      </c>
      <c r="C402" t="s">
        <v>278</v>
      </c>
    </row>
    <row r="403" spans="1:3" hidden="1" x14ac:dyDescent="0.25">
      <c r="A403" t="s">
        <v>106</v>
      </c>
      <c r="B403">
        <v>7</v>
      </c>
      <c r="C403" t="s">
        <v>278</v>
      </c>
    </row>
    <row r="404" spans="1:3" hidden="1" x14ac:dyDescent="0.25">
      <c r="A404" t="s">
        <v>12</v>
      </c>
      <c r="B404">
        <v>15</v>
      </c>
      <c r="C404" t="s">
        <v>278</v>
      </c>
    </row>
    <row r="405" spans="1:3" hidden="1" x14ac:dyDescent="0.25">
      <c r="A405" t="s">
        <v>13</v>
      </c>
      <c r="B405">
        <v>17</v>
      </c>
      <c r="C405" t="s">
        <v>278</v>
      </c>
    </row>
    <row r="406" spans="1:3" hidden="1" x14ac:dyDescent="0.25">
      <c r="A406" t="s">
        <v>231</v>
      </c>
      <c r="B406">
        <v>21</v>
      </c>
      <c r="C406" t="s">
        <v>278</v>
      </c>
    </row>
    <row r="407" spans="1:3" hidden="1" x14ac:dyDescent="0.25">
      <c r="A407" t="s">
        <v>15</v>
      </c>
      <c r="B407">
        <v>22</v>
      </c>
      <c r="C407" t="s">
        <v>278</v>
      </c>
    </row>
    <row r="408" spans="1:3" hidden="1" x14ac:dyDescent="0.25">
      <c r="A408" t="s">
        <v>19</v>
      </c>
      <c r="B408">
        <v>27</v>
      </c>
      <c r="C408" t="s">
        <v>278</v>
      </c>
    </row>
    <row r="409" spans="1:3" hidden="1" x14ac:dyDescent="0.25">
      <c r="A409" t="s">
        <v>20</v>
      </c>
      <c r="B409">
        <v>30</v>
      </c>
      <c r="C409" t="s">
        <v>278</v>
      </c>
    </row>
    <row r="410" spans="1:3" hidden="1" x14ac:dyDescent="0.25">
      <c r="A410" t="s">
        <v>121</v>
      </c>
      <c r="B410">
        <v>35</v>
      </c>
      <c r="C410" t="s">
        <v>278</v>
      </c>
    </row>
    <row r="411" spans="1:3" hidden="1" x14ac:dyDescent="0.25">
      <c r="A411" t="s">
        <v>123</v>
      </c>
      <c r="B411">
        <v>37</v>
      </c>
      <c r="C411" t="s">
        <v>278</v>
      </c>
    </row>
    <row r="412" spans="1:3" hidden="1" x14ac:dyDescent="0.25">
      <c r="A412" t="s">
        <v>134</v>
      </c>
      <c r="B412">
        <v>50</v>
      </c>
      <c r="C412" t="s">
        <v>278</v>
      </c>
    </row>
    <row r="413" spans="1:3" hidden="1" x14ac:dyDescent="0.25">
      <c r="A413" t="s">
        <v>32</v>
      </c>
      <c r="B413">
        <v>53</v>
      </c>
      <c r="C413" t="s">
        <v>278</v>
      </c>
    </row>
    <row r="414" spans="1:3" hidden="1" x14ac:dyDescent="0.25">
      <c r="A414" t="s">
        <v>136</v>
      </c>
      <c r="B414">
        <v>54</v>
      </c>
      <c r="C414" t="s">
        <v>278</v>
      </c>
    </row>
    <row r="415" spans="1:3" hidden="1" x14ac:dyDescent="0.25">
      <c r="A415" t="s">
        <v>34</v>
      </c>
      <c r="B415">
        <v>224</v>
      </c>
      <c r="C415" t="s">
        <v>278</v>
      </c>
    </row>
    <row r="416" spans="1:3" hidden="1" x14ac:dyDescent="0.25">
      <c r="A416" t="s">
        <v>36</v>
      </c>
      <c r="B416">
        <v>225</v>
      </c>
      <c r="C416" t="s">
        <v>278</v>
      </c>
    </row>
    <row r="417" spans="1:3" hidden="1" x14ac:dyDescent="0.25">
      <c r="A417" t="s">
        <v>142</v>
      </c>
      <c r="B417">
        <v>64</v>
      </c>
      <c r="C417" t="s">
        <v>278</v>
      </c>
    </row>
    <row r="418" spans="1:3" hidden="1" x14ac:dyDescent="0.25">
      <c r="A418" t="s">
        <v>40</v>
      </c>
      <c r="B418">
        <v>66</v>
      </c>
      <c r="C418" t="s">
        <v>278</v>
      </c>
    </row>
    <row r="419" spans="1:3" hidden="1" x14ac:dyDescent="0.25">
      <c r="A419" t="s">
        <v>146</v>
      </c>
      <c r="B419">
        <v>72</v>
      </c>
      <c r="C419" t="s">
        <v>278</v>
      </c>
    </row>
    <row r="420" spans="1:3" hidden="1" x14ac:dyDescent="0.25">
      <c r="A420" t="s">
        <v>155</v>
      </c>
      <c r="B420">
        <v>82</v>
      </c>
      <c r="C420" t="s">
        <v>278</v>
      </c>
    </row>
    <row r="421" spans="1:3" hidden="1" x14ac:dyDescent="0.25">
      <c r="A421" t="s">
        <v>47</v>
      </c>
      <c r="B421">
        <v>84</v>
      </c>
      <c r="C421" t="s">
        <v>278</v>
      </c>
    </row>
    <row r="422" spans="1:3" hidden="1" x14ac:dyDescent="0.25">
      <c r="A422" t="s">
        <v>158</v>
      </c>
      <c r="B422">
        <v>86</v>
      </c>
      <c r="C422" t="s">
        <v>278</v>
      </c>
    </row>
    <row r="423" spans="1:3" hidden="1" x14ac:dyDescent="0.25">
      <c r="A423" t="s">
        <v>48</v>
      </c>
      <c r="B423">
        <v>87</v>
      </c>
      <c r="C423" t="s">
        <v>278</v>
      </c>
    </row>
    <row r="424" spans="1:3" hidden="1" x14ac:dyDescent="0.25">
      <c r="A424" t="s">
        <v>51</v>
      </c>
      <c r="B424">
        <v>92</v>
      </c>
      <c r="C424" t="s">
        <v>278</v>
      </c>
    </row>
    <row r="425" spans="1:3" hidden="1" x14ac:dyDescent="0.25">
      <c r="A425" t="s">
        <v>53</v>
      </c>
      <c r="B425">
        <v>95</v>
      </c>
      <c r="C425" t="s">
        <v>278</v>
      </c>
    </row>
    <row r="426" spans="1:3" hidden="1" x14ac:dyDescent="0.25">
      <c r="A426" t="s">
        <v>54</v>
      </c>
      <c r="B426">
        <v>96</v>
      </c>
      <c r="C426" t="s">
        <v>278</v>
      </c>
    </row>
    <row r="427" spans="1:3" hidden="1" x14ac:dyDescent="0.25">
      <c r="A427" t="s">
        <v>167</v>
      </c>
      <c r="B427">
        <v>100</v>
      </c>
      <c r="C427" t="s">
        <v>278</v>
      </c>
    </row>
    <row r="428" spans="1:3" hidden="1" x14ac:dyDescent="0.25">
      <c r="A428" t="s">
        <v>57</v>
      </c>
      <c r="B428">
        <v>102</v>
      </c>
      <c r="C428" t="s">
        <v>278</v>
      </c>
    </row>
    <row r="429" spans="1:3" hidden="1" x14ac:dyDescent="0.25">
      <c r="A429" t="s">
        <v>170</v>
      </c>
      <c r="B429">
        <v>107</v>
      </c>
      <c r="C429" t="s">
        <v>278</v>
      </c>
    </row>
    <row r="430" spans="1:3" hidden="1" x14ac:dyDescent="0.25">
      <c r="A430" t="s">
        <v>60</v>
      </c>
      <c r="B430">
        <v>108</v>
      </c>
      <c r="C430" t="s">
        <v>278</v>
      </c>
    </row>
    <row r="431" spans="1:3" hidden="1" x14ac:dyDescent="0.25">
      <c r="A431" t="s">
        <v>62</v>
      </c>
      <c r="B431">
        <v>109</v>
      </c>
      <c r="C431" t="s">
        <v>278</v>
      </c>
    </row>
    <row r="432" spans="1:3" hidden="1" x14ac:dyDescent="0.25">
      <c r="A432" t="s">
        <v>63</v>
      </c>
      <c r="B432">
        <v>111</v>
      </c>
      <c r="C432" t="s">
        <v>278</v>
      </c>
    </row>
    <row r="433" spans="1:3" hidden="1" x14ac:dyDescent="0.25">
      <c r="A433" t="s">
        <v>175</v>
      </c>
      <c r="B433">
        <v>229</v>
      </c>
      <c r="C433" t="s">
        <v>278</v>
      </c>
    </row>
    <row r="434" spans="1:3" hidden="1" x14ac:dyDescent="0.25">
      <c r="A434" t="s">
        <v>176</v>
      </c>
      <c r="B434">
        <v>120</v>
      </c>
      <c r="C434" t="s">
        <v>278</v>
      </c>
    </row>
    <row r="435" spans="1:3" hidden="1" x14ac:dyDescent="0.25">
      <c r="A435" t="s">
        <v>71</v>
      </c>
      <c r="B435">
        <v>230</v>
      </c>
      <c r="C435" t="s">
        <v>278</v>
      </c>
    </row>
    <row r="436" spans="1:3" hidden="1" x14ac:dyDescent="0.25">
      <c r="A436" t="s">
        <v>177</v>
      </c>
      <c r="B436">
        <v>122</v>
      </c>
      <c r="C436" t="s">
        <v>278</v>
      </c>
    </row>
    <row r="437" spans="1:3" hidden="1" x14ac:dyDescent="0.25">
      <c r="A437" t="s">
        <v>181</v>
      </c>
      <c r="B437">
        <v>127</v>
      </c>
      <c r="C437" t="s">
        <v>278</v>
      </c>
    </row>
    <row r="438" spans="1:3" hidden="1" x14ac:dyDescent="0.25">
      <c r="A438" t="s">
        <v>188</v>
      </c>
      <c r="B438">
        <v>135</v>
      </c>
      <c r="C438" t="s">
        <v>278</v>
      </c>
    </row>
    <row r="439" spans="1:3" hidden="1" x14ac:dyDescent="0.25">
      <c r="A439" t="s">
        <v>82</v>
      </c>
      <c r="B439">
        <v>139</v>
      </c>
      <c r="C439" t="s">
        <v>278</v>
      </c>
    </row>
    <row r="440" spans="1:3" hidden="1" x14ac:dyDescent="0.25">
      <c r="A440" t="s">
        <v>86</v>
      </c>
      <c r="B440">
        <v>148</v>
      </c>
      <c r="C440" t="s">
        <v>278</v>
      </c>
    </row>
    <row r="441" spans="1:3" hidden="1" x14ac:dyDescent="0.25">
      <c r="A441" t="s">
        <v>220</v>
      </c>
      <c r="B441">
        <v>163</v>
      </c>
      <c r="C441" t="s">
        <v>278</v>
      </c>
    </row>
    <row r="442" spans="1:3" hidden="1" x14ac:dyDescent="0.25">
      <c r="A442" t="s">
        <v>224</v>
      </c>
      <c r="B442">
        <v>168</v>
      </c>
      <c r="C442" t="s">
        <v>278</v>
      </c>
    </row>
    <row r="443" spans="1:3" hidden="1" x14ac:dyDescent="0.25">
      <c r="A443" t="s">
        <v>226</v>
      </c>
      <c r="B443">
        <v>170</v>
      </c>
      <c r="C443" t="s">
        <v>278</v>
      </c>
    </row>
    <row r="444" spans="1:3" hidden="1" x14ac:dyDescent="0.25">
      <c r="A444" t="s">
        <v>97</v>
      </c>
      <c r="B444">
        <v>172</v>
      </c>
      <c r="C444" t="s">
        <v>278</v>
      </c>
    </row>
    <row r="445" spans="1:3" hidden="1" x14ac:dyDescent="0.25">
      <c r="A445" t="s">
        <v>98</v>
      </c>
      <c r="B445">
        <v>173</v>
      </c>
      <c r="C445" t="s">
        <v>278</v>
      </c>
    </row>
    <row r="446" spans="1:3" hidden="1" x14ac:dyDescent="0.25">
      <c r="A446" t="s">
        <v>101</v>
      </c>
      <c r="B446">
        <v>178</v>
      </c>
      <c r="C446" t="s">
        <v>278</v>
      </c>
    </row>
    <row r="447" spans="1:3" hidden="1" x14ac:dyDescent="0.25">
      <c r="A447" t="s">
        <v>3</v>
      </c>
      <c r="B447">
        <v>3</v>
      </c>
      <c r="C447" t="s">
        <v>279</v>
      </c>
    </row>
    <row r="448" spans="1:3" hidden="1" x14ac:dyDescent="0.25">
      <c r="A448" t="s">
        <v>4</v>
      </c>
      <c r="B448">
        <v>4</v>
      </c>
      <c r="C448" t="s">
        <v>279</v>
      </c>
    </row>
    <row r="449" spans="1:3" hidden="1" x14ac:dyDescent="0.25">
      <c r="A449" t="s">
        <v>5</v>
      </c>
      <c r="B449">
        <v>5</v>
      </c>
      <c r="C449" t="s">
        <v>279</v>
      </c>
    </row>
    <row r="450" spans="1:3" hidden="1" x14ac:dyDescent="0.25">
      <c r="A450" t="s">
        <v>105</v>
      </c>
      <c r="B450">
        <v>6</v>
      </c>
      <c r="C450" t="s">
        <v>279</v>
      </c>
    </row>
    <row r="451" spans="1:3" hidden="1" x14ac:dyDescent="0.25">
      <c r="A451" t="s">
        <v>107</v>
      </c>
      <c r="B451">
        <v>8</v>
      </c>
      <c r="C451" t="s">
        <v>279</v>
      </c>
    </row>
    <row r="452" spans="1:3" hidden="1" x14ac:dyDescent="0.25">
      <c r="A452" t="s">
        <v>6</v>
      </c>
      <c r="B452">
        <v>9</v>
      </c>
      <c r="C452" t="s">
        <v>279</v>
      </c>
    </row>
    <row r="453" spans="1:3" hidden="1" x14ac:dyDescent="0.25">
      <c r="A453" t="s">
        <v>7</v>
      </c>
      <c r="B453">
        <v>10</v>
      </c>
      <c r="C453" t="s">
        <v>279</v>
      </c>
    </row>
    <row r="454" spans="1:3" hidden="1" x14ac:dyDescent="0.25">
      <c r="A454" t="s">
        <v>8</v>
      </c>
      <c r="B454">
        <v>11</v>
      </c>
      <c r="C454" t="s">
        <v>279</v>
      </c>
    </row>
    <row r="455" spans="1:3" hidden="1" x14ac:dyDescent="0.25">
      <c r="A455" t="s">
        <v>10</v>
      </c>
      <c r="B455">
        <v>13</v>
      </c>
      <c r="C455" t="s">
        <v>279</v>
      </c>
    </row>
    <row r="456" spans="1:3" hidden="1" x14ac:dyDescent="0.25">
      <c r="A456" t="s">
        <v>11</v>
      </c>
      <c r="B456">
        <v>14</v>
      </c>
      <c r="C456" t="s">
        <v>279</v>
      </c>
    </row>
    <row r="457" spans="1:3" hidden="1" x14ac:dyDescent="0.25">
      <c r="A457" t="s">
        <v>112</v>
      </c>
      <c r="B457">
        <v>16</v>
      </c>
      <c r="C457" t="s">
        <v>279</v>
      </c>
    </row>
    <row r="458" spans="1:3" hidden="1" x14ac:dyDescent="0.25">
      <c r="A458" t="s">
        <v>113</v>
      </c>
      <c r="B458">
        <v>18</v>
      </c>
      <c r="C458" t="s">
        <v>279</v>
      </c>
    </row>
    <row r="459" spans="1:3" hidden="1" x14ac:dyDescent="0.25">
      <c r="A459" t="s">
        <v>14</v>
      </c>
      <c r="B459">
        <v>19</v>
      </c>
      <c r="C459" t="s">
        <v>279</v>
      </c>
    </row>
    <row r="460" spans="1:3" hidden="1" x14ac:dyDescent="0.25">
      <c r="A460" t="s">
        <v>116</v>
      </c>
      <c r="B460">
        <v>23</v>
      </c>
      <c r="C460" t="s">
        <v>279</v>
      </c>
    </row>
    <row r="461" spans="1:3" hidden="1" x14ac:dyDescent="0.25">
      <c r="A461" t="s">
        <v>16</v>
      </c>
      <c r="B461">
        <v>24</v>
      </c>
      <c r="C461" t="s">
        <v>279</v>
      </c>
    </row>
    <row r="462" spans="1:3" hidden="1" x14ac:dyDescent="0.25">
      <c r="A462" t="s">
        <v>17</v>
      </c>
      <c r="B462">
        <v>25</v>
      </c>
      <c r="C462" t="s">
        <v>279</v>
      </c>
    </row>
    <row r="463" spans="1:3" hidden="1" x14ac:dyDescent="0.25">
      <c r="A463" t="s">
        <v>232</v>
      </c>
      <c r="B463">
        <v>26</v>
      </c>
      <c r="C463" t="s">
        <v>279</v>
      </c>
    </row>
    <row r="464" spans="1:3" hidden="1" x14ac:dyDescent="0.25">
      <c r="A464" t="s">
        <v>117</v>
      </c>
      <c r="B464">
        <v>28</v>
      </c>
      <c r="C464" t="s">
        <v>279</v>
      </c>
    </row>
    <row r="465" spans="1:3" hidden="1" x14ac:dyDescent="0.25">
      <c r="A465" t="s">
        <v>119</v>
      </c>
      <c r="B465">
        <v>31</v>
      </c>
      <c r="C465" t="s">
        <v>279</v>
      </c>
    </row>
    <row r="466" spans="1:3" hidden="1" x14ac:dyDescent="0.25">
      <c r="A466" t="s">
        <v>21</v>
      </c>
      <c r="B466">
        <v>32</v>
      </c>
      <c r="C466" t="s">
        <v>279</v>
      </c>
    </row>
    <row r="467" spans="1:3" hidden="1" x14ac:dyDescent="0.25">
      <c r="A467" t="s">
        <v>120</v>
      </c>
      <c r="B467">
        <v>33</v>
      </c>
      <c r="C467" t="s">
        <v>279</v>
      </c>
    </row>
    <row r="468" spans="1:3" hidden="1" x14ac:dyDescent="0.25">
      <c r="A468" t="s">
        <v>22</v>
      </c>
      <c r="B468">
        <v>34</v>
      </c>
      <c r="C468" t="s">
        <v>279</v>
      </c>
    </row>
    <row r="469" spans="1:3" hidden="1" x14ac:dyDescent="0.25">
      <c r="A469" t="s">
        <v>23</v>
      </c>
      <c r="B469">
        <v>38</v>
      </c>
      <c r="C469" t="s">
        <v>279</v>
      </c>
    </row>
    <row r="470" spans="1:3" hidden="1" x14ac:dyDescent="0.25">
      <c r="A470" t="s">
        <v>24</v>
      </c>
      <c r="B470">
        <v>39</v>
      </c>
      <c r="C470" t="s">
        <v>279</v>
      </c>
    </row>
    <row r="471" spans="1:3" hidden="1" x14ac:dyDescent="0.25">
      <c r="A471" t="s">
        <v>126</v>
      </c>
      <c r="B471">
        <v>240</v>
      </c>
      <c r="C471" t="s">
        <v>279</v>
      </c>
    </row>
    <row r="472" spans="1:3" hidden="1" x14ac:dyDescent="0.25">
      <c r="A472" t="s">
        <v>128</v>
      </c>
      <c r="B472">
        <v>41</v>
      </c>
      <c r="C472" t="s">
        <v>279</v>
      </c>
    </row>
    <row r="473" spans="1:3" hidden="1" x14ac:dyDescent="0.25">
      <c r="A473" t="s">
        <v>28</v>
      </c>
      <c r="B473">
        <v>222</v>
      </c>
      <c r="C473" t="s">
        <v>279</v>
      </c>
    </row>
    <row r="474" spans="1:3" hidden="1" x14ac:dyDescent="0.25">
      <c r="A474" t="s">
        <v>29</v>
      </c>
      <c r="B474">
        <v>43</v>
      </c>
      <c r="C474" t="s">
        <v>279</v>
      </c>
    </row>
    <row r="475" spans="1:3" hidden="1" x14ac:dyDescent="0.25">
      <c r="A475" t="s">
        <v>129</v>
      </c>
      <c r="B475">
        <v>44</v>
      </c>
      <c r="C475" t="s">
        <v>279</v>
      </c>
    </row>
    <row r="476" spans="1:3" hidden="1" x14ac:dyDescent="0.25">
      <c r="A476" t="s">
        <v>131</v>
      </c>
      <c r="B476">
        <v>47</v>
      </c>
      <c r="C476" t="s">
        <v>279</v>
      </c>
    </row>
    <row r="477" spans="1:3" hidden="1" x14ac:dyDescent="0.25">
      <c r="A477" t="s">
        <v>30</v>
      </c>
      <c r="B477">
        <v>223</v>
      </c>
      <c r="C477" t="s">
        <v>279</v>
      </c>
    </row>
    <row r="478" spans="1:3" hidden="1" x14ac:dyDescent="0.25">
      <c r="A478" t="s">
        <v>132</v>
      </c>
      <c r="B478">
        <v>48</v>
      </c>
      <c r="C478" t="s">
        <v>279</v>
      </c>
    </row>
    <row r="479" spans="1:3" hidden="1" x14ac:dyDescent="0.25">
      <c r="A479" t="s">
        <v>133</v>
      </c>
      <c r="B479">
        <v>49</v>
      </c>
      <c r="C479" t="s">
        <v>279</v>
      </c>
    </row>
    <row r="480" spans="1:3" hidden="1" x14ac:dyDescent="0.25">
      <c r="A480" t="s">
        <v>31</v>
      </c>
      <c r="B480">
        <v>51</v>
      </c>
      <c r="C480" t="s">
        <v>279</v>
      </c>
    </row>
    <row r="481" spans="1:3" hidden="1" x14ac:dyDescent="0.25">
      <c r="A481" t="s">
        <v>135</v>
      </c>
      <c r="B481">
        <v>52</v>
      </c>
      <c r="C481" t="s">
        <v>279</v>
      </c>
    </row>
    <row r="482" spans="1:3" hidden="1" x14ac:dyDescent="0.25">
      <c r="A482" t="s">
        <v>136</v>
      </c>
      <c r="B482">
        <v>54</v>
      </c>
      <c r="C482" t="s">
        <v>279</v>
      </c>
    </row>
    <row r="483" spans="1:3" hidden="1" x14ac:dyDescent="0.25">
      <c r="A483" t="s">
        <v>33</v>
      </c>
      <c r="B483">
        <v>55</v>
      </c>
      <c r="C483" t="s">
        <v>279</v>
      </c>
    </row>
    <row r="484" spans="1:3" hidden="1" x14ac:dyDescent="0.25">
      <c r="A484" t="s">
        <v>137</v>
      </c>
      <c r="B484">
        <v>56</v>
      </c>
      <c r="C484" t="s">
        <v>279</v>
      </c>
    </row>
    <row r="485" spans="1:3" hidden="1" x14ac:dyDescent="0.25">
      <c r="A485" t="s">
        <v>35</v>
      </c>
      <c r="B485">
        <v>58</v>
      </c>
      <c r="C485" t="s">
        <v>279</v>
      </c>
    </row>
    <row r="486" spans="1:3" hidden="1" x14ac:dyDescent="0.25">
      <c r="A486" t="s">
        <v>139</v>
      </c>
      <c r="B486">
        <v>59</v>
      </c>
      <c r="C486" t="s">
        <v>279</v>
      </c>
    </row>
    <row r="487" spans="1:3" hidden="1" x14ac:dyDescent="0.25">
      <c r="A487" t="s">
        <v>37</v>
      </c>
      <c r="B487">
        <v>60</v>
      </c>
      <c r="C487" t="s">
        <v>279</v>
      </c>
    </row>
    <row r="488" spans="1:3" hidden="1" x14ac:dyDescent="0.25">
      <c r="A488" t="s">
        <v>38</v>
      </c>
      <c r="B488">
        <v>61</v>
      </c>
      <c r="C488" t="s">
        <v>279</v>
      </c>
    </row>
    <row r="489" spans="1:3" hidden="1" x14ac:dyDescent="0.25">
      <c r="A489" t="s">
        <v>140</v>
      </c>
      <c r="B489">
        <v>62</v>
      </c>
      <c r="C489" t="s">
        <v>279</v>
      </c>
    </row>
    <row r="490" spans="1:3" hidden="1" x14ac:dyDescent="0.25">
      <c r="A490" t="s">
        <v>141</v>
      </c>
      <c r="B490">
        <v>63</v>
      </c>
      <c r="C490" t="s">
        <v>279</v>
      </c>
    </row>
    <row r="491" spans="1:3" hidden="1" x14ac:dyDescent="0.25">
      <c r="A491" t="s">
        <v>41</v>
      </c>
      <c r="B491">
        <v>67</v>
      </c>
      <c r="C491" t="s">
        <v>279</v>
      </c>
    </row>
    <row r="492" spans="1:3" hidden="1" x14ac:dyDescent="0.25">
      <c r="A492" t="s">
        <v>144</v>
      </c>
      <c r="B492">
        <v>69</v>
      </c>
      <c r="C492" t="s">
        <v>279</v>
      </c>
    </row>
    <row r="493" spans="1:3" hidden="1" x14ac:dyDescent="0.25">
      <c r="A493" t="s">
        <v>145</v>
      </c>
      <c r="B493">
        <v>70</v>
      </c>
      <c r="C493" t="s">
        <v>279</v>
      </c>
    </row>
    <row r="494" spans="1:3" hidden="1" x14ac:dyDescent="0.25">
      <c r="A494" t="s">
        <v>42</v>
      </c>
      <c r="B494">
        <v>71</v>
      </c>
      <c r="C494" t="s">
        <v>279</v>
      </c>
    </row>
    <row r="495" spans="1:3" hidden="1" x14ac:dyDescent="0.25">
      <c r="A495" t="s">
        <v>44</v>
      </c>
      <c r="B495">
        <v>75</v>
      </c>
      <c r="C495" t="s">
        <v>279</v>
      </c>
    </row>
    <row r="496" spans="1:3" hidden="1" x14ac:dyDescent="0.25">
      <c r="A496" t="s">
        <v>148</v>
      </c>
      <c r="B496">
        <v>76</v>
      </c>
      <c r="C496" t="s">
        <v>279</v>
      </c>
    </row>
    <row r="497" spans="1:3" hidden="1" x14ac:dyDescent="0.25">
      <c r="A497" t="s">
        <v>150</v>
      </c>
      <c r="B497">
        <v>77</v>
      </c>
      <c r="C497" t="s">
        <v>279</v>
      </c>
    </row>
    <row r="498" spans="1:3" hidden="1" x14ac:dyDescent="0.25">
      <c r="A498" t="s">
        <v>151</v>
      </c>
      <c r="B498">
        <v>78</v>
      </c>
      <c r="C498" t="s">
        <v>279</v>
      </c>
    </row>
    <row r="499" spans="1:3" hidden="1" x14ac:dyDescent="0.25">
      <c r="A499" t="s">
        <v>153</v>
      </c>
      <c r="B499">
        <v>80</v>
      </c>
      <c r="C499" t="s">
        <v>279</v>
      </c>
    </row>
    <row r="500" spans="1:3" hidden="1" x14ac:dyDescent="0.25">
      <c r="A500" t="s">
        <v>154</v>
      </c>
      <c r="B500">
        <v>81</v>
      </c>
      <c r="C500" t="s">
        <v>279</v>
      </c>
    </row>
    <row r="501" spans="1:3" hidden="1" x14ac:dyDescent="0.25">
      <c r="A501" t="s">
        <v>46</v>
      </c>
      <c r="B501">
        <v>83</v>
      </c>
      <c r="C501" t="s">
        <v>279</v>
      </c>
    </row>
    <row r="502" spans="1:3" hidden="1" x14ac:dyDescent="0.25">
      <c r="A502" t="s">
        <v>156</v>
      </c>
      <c r="B502">
        <v>241</v>
      </c>
      <c r="C502" t="s">
        <v>279</v>
      </c>
    </row>
    <row r="503" spans="1:3" hidden="1" x14ac:dyDescent="0.25">
      <c r="A503" t="s">
        <v>161</v>
      </c>
      <c r="B503">
        <v>91</v>
      </c>
      <c r="C503" t="s">
        <v>279</v>
      </c>
    </row>
    <row r="504" spans="1:3" hidden="1" x14ac:dyDescent="0.25">
      <c r="A504" t="s">
        <v>162</v>
      </c>
      <c r="B504">
        <v>228</v>
      </c>
      <c r="C504" t="s">
        <v>279</v>
      </c>
    </row>
    <row r="505" spans="1:3" hidden="1" x14ac:dyDescent="0.25">
      <c r="A505" t="s">
        <v>163</v>
      </c>
      <c r="B505">
        <v>94</v>
      </c>
      <c r="C505" t="s">
        <v>279</v>
      </c>
    </row>
    <row r="506" spans="1:3" hidden="1" x14ac:dyDescent="0.25">
      <c r="A506" t="s">
        <v>56</v>
      </c>
      <c r="B506">
        <v>101</v>
      </c>
      <c r="C506" t="s">
        <v>279</v>
      </c>
    </row>
    <row r="507" spans="1:3" hidden="1" x14ac:dyDescent="0.25">
      <c r="A507" t="s">
        <v>168</v>
      </c>
      <c r="B507">
        <v>105</v>
      </c>
      <c r="C507" t="s">
        <v>279</v>
      </c>
    </row>
    <row r="508" spans="1:3" hidden="1" x14ac:dyDescent="0.25">
      <c r="A508" t="s">
        <v>66</v>
      </c>
      <c r="B508">
        <v>114</v>
      </c>
      <c r="C508" t="s">
        <v>279</v>
      </c>
    </row>
    <row r="509" spans="1:3" hidden="1" x14ac:dyDescent="0.25">
      <c r="A509" t="s">
        <v>67</v>
      </c>
      <c r="B509">
        <v>115</v>
      </c>
      <c r="C509" t="s">
        <v>279</v>
      </c>
    </row>
    <row r="510" spans="1:3" hidden="1" x14ac:dyDescent="0.25">
      <c r="A510" t="s">
        <v>172</v>
      </c>
      <c r="B510">
        <v>243</v>
      </c>
      <c r="C510" t="s">
        <v>279</v>
      </c>
    </row>
    <row r="511" spans="1:3" hidden="1" x14ac:dyDescent="0.25">
      <c r="A511" t="s">
        <v>173</v>
      </c>
      <c r="B511">
        <v>116</v>
      </c>
      <c r="C511" t="s">
        <v>279</v>
      </c>
    </row>
    <row r="512" spans="1:3" hidden="1" x14ac:dyDescent="0.25">
      <c r="A512" t="s">
        <v>68</v>
      </c>
      <c r="B512">
        <v>118</v>
      </c>
      <c r="C512" t="s">
        <v>279</v>
      </c>
    </row>
    <row r="513" spans="1:3" hidden="1" x14ac:dyDescent="0.25">
      <c r="A513" t="s">
        <v>69</v>
      </c>
      <c r="B513">
        <v>119</v>
      </c>
      <c r="C513" t="s">
        <v>279</v>
      </c>
    </row>
    <row r="514" spans="1:3" hidden="1" x14ac:dyDescent="0.25">
      <c r="A514" t="s">
        <v>70</v>
      </c>
      <c r="B514">
        <v>121</v>
      </c>
      <c r="C514" t="s">
        <v>279</v>
      </c>
    </row>
    <row r="515" spans="1:3" hidden="1" x14ac:dyDescent="0.25">
      <c r="A515" t="s">
        <v>72</v>
      </c>
      <c r="B515">
        <v>231</v>
      </c>
      <c r="C515" t="s">
        <v>279</v>
      </c>
    </row>
    <row r="516" spans="1:3" hidden="1" x14ac:dyDescent="0.25">
      <c r="A516" t="s">
        <v>178</v>
      </c>
      <c r="B516">
        <v>124</v>
      </c>
      <c r="C516" t="s">
        <v>279</v>
      </c>
    </row>
    <row r="517" spans="1:3" hidden="1" x14ac:dyDescent="0.25">
      <c r="A517" t="s">
        <v>179</v>
      </c>
      <c r="B517">
        <v>125</v>
      </c>
      <c r="C517" t="s">
        <v>279</v>
      </c>
    </row>
    <row r="518" spans="1:3" hidden="1" x14ac:dyDescent="0.25">
      <c r="A518" t="s">
        <v>182</v>
      </c>
      <c r="B518">
        <v>232</v>
      </c>
      <c r="C518" t="s">
        <v>279</v>
      </c>
    </row>
    <row r="519" spans="1:3" hidden="1" x14ac:dyDescent="0.25">
      <c r="A519" t="s">
        <v>183</v>
      </c>
      <c r="B519">
        <v>128</v>
      </c>
      <c r="C519" t="s">
        <v>279</v>
      </c>
    </row>
    <row r="520" spans="1:3" hidden="1" x14ac:dyDescent="0.25">
      <c r="A520" t="s">
        <v>184</v>
      </c>
      <c r="B520">
        <v>129</v>
      </c>
      <c r="C520" t="s">
        <v>279</v>
      </c>
    </row>
    <row r="521" spans="1:3" hidden="1" x14ac:dyDescent="0.25">
      <c r="A521" t="s">
        <v>239</v>
      </c>
      <c r="B521">
        <v>132</v>
      </c>
      <c r="C521" t="s">
        <v>279</v>
      </c>
    </row>
    <row r="522" spans="1:3" hidden="1" x14ac:dyDescent="0.25">
      <c r="A522" t="s">
        <v>187</v>
      </c>
      <c r="B522">
        <v>134</v>
      </c>
      <c r="C522" t="s">
        <v>279</v>
      </c>
    </row>
    <row r="523" spans="1:3" hidden="1" x14ac:dyDescent="0.25">
      <c r="A523" t="s">
        <v>190</v>
      </c>
      <c r="B523">
        <v>136</v>
      </c>
      <c r="C523" t="s">
        <v>279</v>
      </c>
    </row>
    <row r="524" spans="1:3" hidden="1" x14ac:dyDescent="0.25">
      <c r="A524" t="s">
        <v>80</v>
      </c>
      <c r="B524">
        <v>137</v>
      </c>
      <c r="C524" t="s">
        <v>279</v>
      </c>
    </row>
    <row r="525" spans="1:3" hidden="1" x14ac:dyDescent="0.25">
      <c r="A525" t="s">
        <v>81</v>
      </c>
      <c r="B525">
        <v>138</v>
      </c>
      <c r="C525" t="s">
        <v>279</v>
      </c>
    </row>
    <row r="526" spans="1:3" hidden="1" x14ac:dyDescent="0.25">
      <c r="A526" t="s">
        <v>193</v>
      </c>
      <c r="B526">
        <v>141</v>
      </c>
      <c r="C526" t="s">
        <v>279</v>
      </c>
    </row>
    <row r="527" spans="1:3" hidden="1" x14ac:dyDescent="0.25">
      <c r="A527" t="s">
        <v>85</v>
      </c>
      <c r="B527">
        <v>147</v>
      </c>
      <c r="C527" t="s">
        <v>279</v>
      </c>
    </row>
    <row r="528" spans="1:3" hidden="1" x14ac:dyDescent="0.25">
      <c r="A528" t="s">
        <v>208</v>
      </c>
      <c r="B528">
        <v>233</v>
      </c>
      <c r="C528" t="s">
        <v>279</v>
      </c>
    </row>
    <row r="529" spans="1:3" hidden="1" x14ac:dyDescent="0.25">
      <c r="A529" t="s">
        <v>87</v>
      </c>
      <c r="B529">
        <v>234</v>
      </c>
      <c r="C529" t="s">
        <v>279</v>
      </c>
    </row>
    <row r="530" spans="1:3" hidden="1" x14ac:dyDescent="0.25">
      <c r="A530" t="s">
        <v>210</v>
      </c>
      <c r="B530">
        <v>150</v>
      </c>
      <c r="C530" t="s">
        <v>279</v>
      </c>
    </row>
    <row r="531" spans="1:3" hidden="1" x14ac:dyDescent="0.25">
      <c r="A531" t="s">
        <v>88</v>
      </c>
      <c r="B531">
        <v>152</v>
      </c>
      <c r="C531" t="s">
        <v>279</v>
      </c>
    </row>
    <row r="532" spans="1:3" hidden="1" x14ac:dyDescent="0.25">
      <c r="A532" t="s">
        <v>89</v>
      </c>
      <c r="B532">
        <v>153</v>
      </c>
      <c r="C532" t="s">
        <v>279</v>
      </c>
    </row>
    <row r="533" spans="1:3" hidden="1" x14ac:dyDescent="0.25">
      <c r="A533" t="s">
        <v>212</v>
      </c>
      <c r="B533">
        <v>235</v>
      </c>
      <c r="C533" t="s">
        <v>279</v>
      </c>
    </row>
    <row r="534" spans="1:3" hidden="1" x14ac:dyDescent="0.25">
      <c r="A534" t="s">
        <v>213</v>
      </c>
      <c r="B534">
        <v>154</v>
      </c>
      <c r="C534" t="s">
        <v>279</v>
      </c>
    </row>
    <row r="535" spans="1:3" hidden="1" x14ac:dyDescent="0.25">
      <c r="A535" t="s">
        <v>93</v>
      </c>
      <c r="B535">
        <v>158</v>
      </c>
      <c r="C535" t="s">
        <v>279</v>
      </c>
    </row>
    <row r="536" spans="1:3" hidden="1" x14ac:dyDescent="0.25">
      <c r="A536" t="s">
        <v>217</v>
      </c>
      <c r="B536">
        <v>159</v>
      </c>
      <c r="C536" t="s">
        <v>279</v>
      </c>
    </row>
    <row r="537" spans="1:3" hidden="1" x14ac:dyDescent="0.25">
      <c r="A537" t="s">
        <v>95</v>
      </c>
      <c r="B537">
        <v>161</v>
      </c>
      <c r="C537" t="s">
        <v>279</v>
      </c>
    </row>
    <row r="538" spans="1:3" hidden="1" x14ac:dyDescent="0.25">
      <c r="A538" t="s">
        <v>219</v>
      </c>
      <c r="B538">
        <v>162</v>
      </c>
      <c r="C538" t="s">
        <v>279</v>
      </c>
    </row>
    <row r="539" spans="1:3" hidden="1" x14ac:dyDescent="0.25">
      <c r="A539" t="s">
        <v>96</v>
      </c>
      <c r="B539">
        <v>166</v>
      </c>
      <c r="C539" t="s">
        <v>279</v>
      </c>
    </row>
    <row r="540" spans="1:3" hidden="1" x14ac:dyDescent="0.25">
      <c r="A540" t="s">
        <v>226</v>
      </c>
      <c r="B540">
        <v>170</v>
      </c>
      <c r="C540" t="s">
        <v>279</v>
      </c>
    </row>
    <row r="541" spans="1:3" hidden="1" x14ac:dyDescent="0.25">
      <c r="A541" t="s">
        <v>99</v>
      </c>
      <c r="B541">
        <v>175</v>
      </c>
      <c r="C541" t="s">
        <v>279</v>
      </c>
    </row>
    <row r="542" spans="1:3" hidden="1" x14ac:dyDescent="0.25">
      <c r="A542" t="s">
        <v>229</v>
      </c>
      <c r="B542">
        <v>176</v>
      </c>
      <c r="C542" t="s">
        <v>279</v>
      </c>
    </row>
    <row r="543" spans="1:3" hidden="1" x14ac:dyDescent="0.25">
      <c r="A543" t="s">
        <v>100</v>
      </c>
      <c r="B543">
        <v>177</v>
      </c>
      <c r="C543" t="s">
        <v>279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35FB-A4F5-418B-BCCD-9A5E6DD24F81}">
  <sheetPr>
    <tabColor rgb="FF00B0F0"/>
  </sheetPr>
  <dimension ref="A1:Q232"/>
  <sheetViews>
    <sheetView zoomScale="205" zoomScaleNormal="205" workbookViewId="0">
      <selection activeCell="A19" sqref="A19"/>
    </sheetView>
  </sheetViews>
  <sheetFormatPr defaultRowHeight="15" x14ac:dyDescent="0.25"/>
  <cols>
    <col min="1" max="1" width="44.85546875" bestFit="1" customWidth="1"/>
    <col min="2" max="2" width="4" bestFit="1" customWidth="1"/>
    <col min="3" max="3" width="11.28515625" bestFit="1" customWidth="1"/>
    <col min="5" max="5" width="10.42578125" customWidth="1"/>
    <col min="7" max="7" width="14.5703125" bestFit="1" customWidth="1"/>
    <col min="8" max="11" width="9.42578125" customWidth="1"/>
    <col min="12" max="12" width="12.7109375" bestFit="1" customWidth="1"/>
    <col min="16" max="16" width="21.5703125" bestFit="1" customWidth="1"/>
  </cols>
  <sheetData>
    <row r="1" spans="1:17" x14ac:dyDescent="0.25">
      <c r="A1" t="s">
        <v>280</v>
      </c>
      <c r="B1" t="s">
        <v>281</v>
      </c>
      <c r="C1" t="s">
        <v>266</v>
      </c>
      <c r="D1" t="s">
        <v>267</v>
      </c>
      <c r="E1" t="s">
        <v>268</v>
      </c>
      <c r="F1" t="s">
        <v>269</v>
      </c>
      <c r="G1" t="s">
        <v>75</v>
      </c>
      <c r="H1" t="s">
        <v>272</v>
      </c>
      <c r="I1" t="s">
        <v>270</v>
      </c>
      <c r="J1" t="s">
        <v>273</v>
      </c>
      <c r="K1" t="s">
        <v>274</v>
      </c>
      <c r="L1" t="s">
        <v>275</v>
      </c>
      <c r="M1" t="s">
        <v>271</v>
      </c>
      <c r="N1" t="s">
        <v>277</v>
      </c>
      <c r="O1" t="s">
        <v>278</v>
      </c>
      <c r="P1" t="s">
        <v>279</v>
      </c>
      <c r="Q1" t="s">
        <v>276</v>
      </c>
    </row>
    <row r="2" spans="1:17" x14ac:dyDescent="0.25">
      <c r="A2" t="s">
        <v>1</v>
      </c>
      <c r="B2">
        <v>1</v>
      </c>
      <c r="C2" t="str">
        <f>IFERROR(IF(VLOOKUP(A2,Adviento!A:C,3,FALSE)=Table15[[#Headers],[Adviento]],Table15[[#Headers],[Adviento]],""),"")</f>
        <v/>
      </c>
      <c r="D2" t="str">
        <f>IFERROR(IF(VLOOKUP(A2,Navidad!A:C,3,FALSE)=Table15[[#Headers],[Navidad]],Table15[[#Headers],[Navidad]],""),"")</f>
        <v/>
      </c>
      <c r="E2" t="str">
        <f>IFERROR(IF(VLOOKUP(A2,Cuaresma!A:C,3,FALSE)=Table15[[#Headers],[Cuaresma]],Table15[[#Headers],[Cuaresma]],""),"")</f>
        <v/>
      </c>
      <c r="F2" t="str">
        <f>IFERROR(IF(VLOOKUP(A2,Pascua!A:C,3,FALSE)=Table15[[#Headers],[Pascua]],Table15[[#Headers],[Pascua]],""),"")</f>
        <v>Pascua</v>
      </c>
      <c r="G2" t="str">
        <f>IFERROR(IF(VLOOKUP(A2,Pentecostés!A:C,3,FALSE)=Table15[[#Headers],[Pentecostés]],Table15[[#Headers],[Pentecostés]],""),"")</f>
        <v>Pentecostés</v>
      </c>
      <c r="H2" t="str">
        <f>IFERROR(IF(VLOOKUP(A2,Entrada!A:C,3,FALSE)=Table15[[#Headers],[Entrada]],Table15[[#Headers],[Entrada]],""),"")</f>
        <v/>
      </c>
      <c r="I2" t="str">
        <f>IFERROR(IF(VLOOKUP(A2,Virgen!A:C,3,FALSE)=Table15[[#Headers],[Virgen]],Table15[[#Headers],[Virgen]],""),"")</f>
        <v/>
      </c>
      <c r="J2" t="str">
        <f>IFERROR(IF(VLOOKUP(A2,Paz!A:C,3,FALSE)=Table15[[#Headers],[Paz]],Table15[[#Headers],[Paz]],""),"")</f>
        <v/>
      </c>
      <c r="K2" t="str">
        <f>IFERROR(IF(VLOOKUP(A2,Pan!A:C,3,FALSE)=Table15[[#Headers],[Pan]],Table15[[#Headers],[Pan]],""),"")</f>
        <v/>
      </c>
      <c r="L2" t="str">
        <f>IFERROR(IF(VLOOKUP(A2,Comunión!A:C,3,FALSE)=Table15[[#Headers],[Comunión]],Table15[[#Headers],[Comunión]],""),"")</f>
        <v/>
      </c>
      <c r="M2" t="str">
        <f>IFERROR(IF(VLOOKUP(A2,Niños!A:C,3,FALSE)=Table15[[#Headers],[Niños]],Table15[[#Headers],[Niños]],""),"")</f>
        <v/>
      </c>
      <c r="N2" t="str">
        <f>IFERROR(IF(VLOOKUP(A2,Laudes!A:C,3,FALSE)=Table15[[#Headers],[Laudes]],Table15[[#Headers],[Laudes]],""),"")</f>
        <v/>
      </c>
      <c r="O2" s="10" t="str">
        <f>IFERROR(IF(VLOOKUP(A2,'Nuevo Testamento'!A:C,3,FALSE)=Table15[[#Headers],[Nuevo Testamento]],Table15[[#Headers],[Nuevo Testamento]],""),"")</f>
        <v>Nuevo Testamento</v>
      </c>
      <c r="P2" t="str">
        <f>IFERROR(IF(VLOOKUP(A2,'Antiguo Testamento'!A:C,3,FALSE)=Table15[[#Headers],[Antiguo Testamento]],Table15[[#Headers],[Antiguo Testamento]],""),"")</f>
        <v/>
      </c>
      <c r="Q2" t="str">
        <f>IFERROR(IF(VLOOKUP(A2,Final!A:C,3,FALSE)=Table15[[#Headers],[Final]],Table15[[#Headers],[Final]],""),"")</f>
        <v/>
      </c>
    </row>
    <row r="3" spans="1:17" x14ac:dyDescent="0.25">
      <c r="A3" t="s">
        <v>2</v>
      </c>
      <c r="B3">
        <v>2</v>
      </c>
      <c r="C3" t="str">
        <f>IFERROR(IF(VLOOKUP(A3,Adviento!A:C,3,FALSE)=Table15[[#Headers],[Adviento]],Table15[[#Headers],[Adviento]],""),"")</f>
        <v/>
      </c>
      <c r="D3" t="str">
        <f>IFERROR(IF(VLOOKUP(A3,Navidad!A:C,3,FALSE)=Table15[[#Headers],[Navidad]],Table15[[#Headers],[Navidad]],""),"")</f>
        <v/>
      </c>
      <c r="E3" t="str">
        <f>IFERROR(IF(VLOOKUP(A3,Cuaresma!A:C,3,FALSE)=Table15[[#Headers],[Cuaresma]],Table15[[#Headers],[Cuaresma]],""),"")</f>
        <v/>
      </c>
      <c r="F3" t="str">
        <f>IFERROR(IF(VLOOKUP(A3,Pascua!A:C,3,FALSE)=Table15[[#Headers],[Pascua]],Table15[[#Headers],[Pascua]],""),"")</f>
        <v/>
      </c>
      <c r="G3" t="str">
        <f>IFERROR(IF(VLOOKUP(A3,Pentecostés!A:C,3,FALSE)=Table15[[#Headers],[Pentecostés]],Table15[[#Headers],[Pentecostés]],""),"")</f>
        <v/>
      </c>
      <c r="H3" t="str">
        <f>IFERROR(IF(VLOOKUP(A3,Entrada!A:C,3,FALSE)=Table15[[#Headers],[Entrada]],Table15[[#Headers],[Entrada]],""),"")</f>
        <v/>
      </c>
      <c r="I3" t="str">
        <f>IFERROR(IF(VLOOKUP(A3,Virgen!A:C,3,FALSE)=Table15[[#Headers],[Virgen]],Table15[[#Headers],[Virgen]],""),"")</f>
        <v/>
      </c>
      <c r="J3" t="str">
        <f>IFERROR(IF(VLOOKUP(A3,Paz!A:C,3,FALSE)=Table15[[#Headers],[Paz]],Table15[[#Headers],[Paz]],""),"")</f>
        <v/>
      </c>
      <c r="K3" t="str">
        <f>IFERROR(IF(VLOOKUP(A3,Pan!A:C,3,FALSE)=Table15[[#Headers],[Pan]],Table15[[#Headers],[Pan]],""),"")</f>
        <v/>
      </c>
      <c r="L3" t="str">
        <f>IFERROR(IF(VLOOKUP(A3,Comunión!A:C,3,FALSE)=Table15[[#Headers],[Comunión]],Table15[[#Headers],[Comunión]],""),"")</f>
        <v/>
      </c>
      <c r="M3" t="str">
        <f>IFERROR(IF(VLOOKUP(A3,Niños!A:C,3,FALSE)=Table15[[#Headers],[Niños]],Table15[[#Headers],[Niños]],""),"")</f>
        <v/>
      </c>
      <c r="N3" t="str">
        <f>IFERROR(IF(VLOOKUP(A3,Laudes!A:C,3,FALSE)=Table15[[#Headers],[Laudes]],Table15[[#Headers],[Laudes]],""),"")</f>
        <v/>
      </c>
      <c r="O3" t="str">
        <f>IFERROR(IF(VLOOKUP(A3,'Nuevo Testamento'!A:C,3,FALSE)=Table15[[#Headers],[Nuevo Testamento]],Table15[[#Headers],[Nuevo Testamento]],""),"")</f>
        <v>Nuevo Testamento</v>
      </c>
      <c r="P3" t="str">
        <f>IFERROR(IF(VLOOKUP(A3,'Antiguo Testamento'!A:C,3,FALSE)=Table15[[#Headers],[Antiguo Testamento]],Table15[[#Headers],[Antiguo Testamento]],""),"")</f>
        <v/>
      </c>
      <c r="Q3" t="str">
        <f>IFERROR(IF(VLOOKUP(A3,Final!A:C,3,FALSE)=Table15[[#Headers],[Final]],Table15[[#Headers],[Final]],""),"")</f>
        <v/>
      </c>
    </row>
    <row r="4" spans="1:17" x14ac:dyDescent="0.25">
      <c r="A4" t="s">
        <v>3</v>
      </c>
      <c r="B4">
        <v>3</v>
      </c>
      <c r="C4" t="str">
        <f>IFERROR(IF(VLOOKUP(A4,Adviento!A:C,3,FALSE)=Table15[[#Headers],[Adviento]],Table15[[#Headers],[Adviento]],""),"")</f>
        <v/>
      </c>
      <c r="D4" t="str">
        <f>IFERROR(IF(VLOOKUP(A4,Navidad!A:C,3,FALSE)=Table15[[#Headers],[Navidad]],Table15[[#Headers],[Navidad]],""),"")</f>
        <v/>
      </c>
      <c r="E4" t="str">
        <f>IFERROR(IF(VLOOKUP(A4,Cuaresma!A:C,3,FALSE)=Table15[[#Headers],[Cuaresma]],Table15[[#Headers],[Cuaresma]],""),"")</f>
        <v>Cuaresma</v>
      </c>
      <c r="F4" t="str">
        <f>IFERROR(IF(VLOOKUP(A4,Pascua!A:C,3,FALSE)=Table15[[#Headers],[Pascua]],Table15[[#Headers],[Pascua]],""),"")</f>
        <v/>
      </c>
      <c r="G4" t="str">
        <f>IFERROR(IF(VLOOKUP(A4,Pentecostés!A:C,3,FALSE)=Table15[[#Headers],[Pentecostés]],Table15[[#Headers],[Pentecostés]],""),"")</f>
        <v/>
      </c>
      <c r="H4" t="str">
        <f>IFERROR(IF(VLOOKUP(A4,Entrada!A:C,3,FALSE)=Table15[[#Headers],[Entrada]],Table15[[#Headers],[Entrada]],""),"")</f>
        <v/>
      </c>
      <c r="I4" t="str">
        <f>IFERROR(IF(VLOOKUP(A4,Virgen!A:C,3,FALSE)=Table15[[#Headers],[Virgen]],Table15[[#Headers],[Virgen]],""),"")</f>
        <v/>
      </c>
      <c r="J4" t="str">
        <f>IFERROR(IF(VLOOKUP(A4,Paz!A:C,3,FALSE)=Table15[[#Headers],[Paz]],Table15[[#Headers],[Paz]],""),"")</f>
        <v/>
      </c>
      <c r="K4" t="str">
        <f>IFERROR(IF(VLOOKUP(A4,Pan!A:C,3,FALSE)=Table15[[#Headers],[Pan]],Table15[[#Headers],[Pan]],""),"")</f>
        <v/>
      </c>
      <c r="L4" t="str">
        <f>IFERROR(IF(VLOOKUP(A4,Comunión!A:C,3,FALSE)=Table15[[#Headers],[Comunión]],Table15[[#Headers],[Comunión]],""),"")</f>
        <v/>
      </c>
      <c r="M4" t="str">
        <f>IFERROR(IF(VLOOKUP(A4,Niños!A:C,3,FALSE)=Table15[[#Headers],[Niños]],Table15[[#Headers],[Niños]],""),"")</f>
        <v/>
      </c>
      <c r="N4" t="str">
        <f>IFERROR(IF(VLOOKUP(A4,Laudes!A:C,3,FALSE)=Table15[[#Headers],[Laudes]],Table15[[#Headers],[Laudes]],""),"")</f>
        <v/>
      </c>
      <c r="O4" t="str">
        <f>IFERROR(IF(VLOOKUP(A4,'Nuevo Testamento'!A:C,3,FALSE)=Table15[[#Headers],[Nuevo Testamento]],Table15[[#Headers],[Nuevo Testamento]],""),"")</f>
        <v/>
      </c>
      <c r="P4" t="str">
        <f>IFERROR(IF(VLOOKUP(A4,'Antiguo Testamento'!A:C,3,FALSE)=Table15[[#Headers],[Antiguo Testamento]],Table15[[#Headers],[Antiguo Testamento]],""),"")</f>
        <v>Antiguo Testamento</v>
      </c>
      <c r="Q4" t="str">
        <f>IFERROR(IF(VLOOKUP(A4,Final!A:C,3,FALSE)=Table15[[#Headers],[Final]],Table15[[#Headers],[Final]],""),"")</f>
        <v/>
      </c>
    </row>
    <row r="5" spans="1:17" x14ac:dyDescent="0.25">
      <c r="A5" t="s">
        <v>4</v>
      </c>
      <c r="B5">
        <v>4</v>
      </c>
      <c r="C5" t="str">
        <f>IFERROR(IF(VLOOKUP(A5,Adviento!A:C,3,FALSE)=Table15[[#Headers],[Adviento]],Table15[[#Headers],[Adviento]],""),"")</f>
        <v/>
      </c>
      <c r="D5" t="str">
        <f>IFERROR(IF(VLOOKUP(A5,Navidad!A:C,3,FALSE)=Table15[[#Headers],[Navidad]],Table15[[#Headers],[Navidad]],""),"")</f>
        <v/>
      </c>
      <c r="E5" t="str">
        <f>IFERROR(IF(VLOOKUP(A5,Cuaresma!A:C,3,FALSE)=Table15[[#Headers],[Cuaresma]],Table15[[#Headers],[Cuaresma]],""),"")</f>
        <v>Cuaresma</v>
      </c>
      <c r="F5" t="str">
        <f>IFERROR(IF(VLOOKUP(A5,Pascua!A:C,3,FALSE)=Table15[[#Headers],[Pascua]],Table15[[#Headers],[Pascua]],""),"")</f>
        <v/>
      </c>
      <c r="G5" t="str">
        <f>IFERROR(IF(VLOOKUP(A5,Pentecostés!A:C,3,FALSE)=Table15[[#Headers],[Pentecostés]],Table15[[#Headers],[Pentecostés]],""),"")</f>
        <v/>
      </c>
      <c r="H5" t="str">
        <f>IFERROR(IF(VLOOKUP(A5,Entrada!A:C,3,FALSE)=Table15[[#Headers],[Entrada]],Table15[[#Headers],[Entrada]],""),"")</f>
        <v/>
      </c>
      <c r="I5" t="str">
        <f>IFERROR(IF(VLOOKUP(A5,Virgen!A:C,3,FALSE)=Table15[[#Headers],[Virgen]],Table15[[#Headers],[Virgen]],""),"")</f>
        <v/>
      </c>
      <c r="J5" t="str">
        <f>IFERROR(IF(VLOOKUP(A5,Paz!A:C,3,FALSE)=Table15[[#Headers],[Paz]],Table15[[#Headers],[Paz]],""),"")</f>
        <v/>
      </c>
      <c r="K5" t="str">
        <f>IFERROR(IF(VLOOKUP(A5,Pan!A:C,3,FALSE)=Table15[[#Headers],[Pan]],Table15[[#Headers],[Pan]],""),"")</f>
        <v/>
      </c>
      <c r="L5" t="str">
        <f>IFERROR(IF(VLOOKUP(A5,Comunión!A:C,3,FALSE)=Table15[[#Headers],[Comunión]],Table15[[#Headers],[Comunión]],""),"")</f>
        <v/>
      </c>
      <c r="M5" t="str">
        <f>IFERROR(IF(VLOOKUP(A5,Niños!A:C,3,FALSE)=Table15[[#Headers],[Niños]],Table15[[#Headers],[Niños]],""),"")</f>
        <v/>
      </c>
      <c r="N5" t="str">
        <f>IFERROR(IF(VLOOKUP(A5,Laudes!A:C,3,FALSE)=Table15[[#Headers],[Laudes]],Table15[[#Headers],[Laudes]],""),"")</f>
        <v/>
      </c>
      <c r="O5" t="str">
        <f>IFERROR(IF(VLOOKUP(A5,'Nuevo Testamento'!A:C,3,FALSE)=Table15[[#Headers],[Nuevo Testamento]],Table15[[#Headers],[Nuevo Testamento]],""),"")</f>
        <v/>
      </c>
      <c r="P5" t="str">
        <f>IFERROR(IF(VLOOKUP(A5,'Antiguo Testamento'!A:C,3,FALSE)=Table15[[#Headers],[Antiguo Testamento]],Table15[[#Headers],[Antiguo Testamento]],""),"")</f>
        <v>Antiguo Testamento</v>
      </c>
      <c r="Q5" t="str">
        <f>IFERROR(IF(VLOOKUP(A5,Final!A:C,3,FALSE)=Table15[[#Headers],[Final]],Table15[[#Headers],[Final]],""),"")</f>
        <v/>
      </c>
    </row>
    <row r="6" spans="1:17" x14ac:dyDescent="0.25">
      <c r="A6" t="s">
        <v>5</v>
      </c>
      <c r="B6">
        <v>5</v>
      </c>
      <c r="C6" t="str">
        <f>IFERROR(IF(VLOOKUP(A6,Adviento!A:C,3,FALSE)=Table15[[#Headers],[Adviento]],Table15[[#Headers],[Adviento]],""),"")</f>
        <v/>
      </c>
      <c r="D6" t="str">
        <f>IFERROR(IF(VLOOKUP(A6,Navidad!A:C,3,FALSE)=Table15[[#Headers],[Navidad]],Table15[[#Headers],[Navidad]],""),"")</f>
        <v/>
      </c>
      <c r="E6" t="str">
        <f>IFERROR(IF(VLOOKUP(A6,Cuaresma!A:C,3,FALSE)=Table15[[#Headers],[Cuaresma]],Table15[[#Headers],[Cuaresma]],""),"")</f>
        <v>Cuaresma</v>
      </c>
      <c r="F6" t="str">
        <f>IFERROR(IF(VLOOKUP(A6,Pascua!A:C,3,FALSE)=Table15[[#Headers],[Pascua]],Table15[[#Headers],[Pascua]],""),"")</f>
        <v/>
      </c>
      <c r="G6" t="str">
        <f>IFERROR(IF(VLOOKUP(A6,Pentecostés!A:C,3,FALSE)=Table15[[#Headers],[Pentecostés]],Table15[[#Headers],[Pentecostés]],""),"")</f>
        <v/>
      </c>
      <c r="H6" t="str">
        <f>IFERROR(IF(VLOOKUP(A6,Entrada!A:C,3,FALSE)=Table15[[#Headers],[Entrada]],Table15[[#Headers],[Entrada]],""),"")</f>
        <v/>
      </c>
      <c r="I6" t="str">
        <f>IFERROR(IF(VLOOKUP(A6,Virgen!A:C,3,FALSE)=Table15[[#Headers],[Virgen]],Table15[[#Headers],[Virgen]],""),"")</f>
        <v/>
      </c>
      <c r="J6" t="str">
        <f>IFERROR(IF(VLOOKUP(A6,Paz!A:C,3,FALSE)=Table15[[#Headers],[Paz]],Table15[[#Headers],[Paz]],""),"")</f>
        <v/>
      </c>
      <c r="K6" t="str">
        <f>IFERROR(IF(VLOOKUP(A6,Pan!A:C,3,FALSE)=Table15[[#Headers],[Pan]],Table15[[#Headers],[Pan]],""),"")</f>
        <v/>
      </c>
      <c r="L6" t="str">
        <f>IFERROR(IF(VLOOKUP(A6,Comunión!A:C,3,FALSE)=Table15[[#Headers],[Comunión]],Table15[[#Headers],[Comunión]],""),"")</f>
        <v/>
      </c>
      <c r="M6" t="str">
        <f>IFERROR(IF(VLOOKUP(A6,Niños!A:C,3,FALSE)=Table15[[#Headers],[Niños]],Table15[[#Headers],[Niños]],""),"")</f>
        <v/>
      </c>
      <c r="N6" t="str">
        <f>IFERROR(IF(VLOOKUP(A6,Laudes!A:C,3,FALSE)=Table15[[#Headers],[Laudes]],Table15[[#Headers],[Laudes]],""),"")</f>
        <v/>
      </c>
      <c r="O6" t="str">
        <f>IFERROR(IF(VLOOKUP(A6,'Nuevo Testamento'!A:C,3,FALSE)=Table15[[#Headers],[Nuevo Testamento]],Table15[[#Headers],[Nuevo Testamento]],""),"")</f>
        <v/>
      </c>
      <c r="P6" t="str">
        <f>IFERROR(IF(VLOOKUP(A6,'Antiguo Testamento'!A:C,3,FALSE)=Table15[[#Headers],[Antiguo Testamento]],Table15[[#Headers],[Antiguo Testamento]],""),"")</f>
        <v>Antiguo Testamento</v>
      </c>
      <c r="Q6" t="str">
        <f>IFERROR(IF(VLOOKUP(A6,Final!A:C,3,FALSE)=Table15[[#Headers],[Final]],Table15[[#Headers],[Final]],""),"")</f>
        <v/>
      </c>
    </row>
    <row r="7" spans="1:17" x14ac:dyDescent="0.25">
      <c r="A7" t="s">
        <v>105</v>
      </c>
      <c r="B7">
        <v>6</v>
      </c>
      <c r="C7" t="str">
        <f>IFERROR(IF(VLOOKUP(A7,Adviento!A:C,3,FALSE)=Table15[[#Headers],[Adviento]],Table15[[#Headers],[Adviento]],""),"")</f>
        <v/>
      </c>
      <c r="D7" t="str">
        <f>IFERROR(IF(VLOOKUP(A7,Navidad!A:C,3,FALSE)=Table15[[#Headers],[Navidad]],Table15[[#Headers],[Navidad]],""),"")</f>
        <v/>
      </c>
      <c r="E7" t="str">
        <f>IFERROR(IF(VLOOKUP(A7,Cuaresma!A:C,3,FALSE)=Table15[[#Headers],[Cuaresma]],Table15[[#Headers],[Cuaresma]],""),"")</f>
        <v>Cuaresma</v>
      </c>
      <c r="F7" t="str">
        <f>IFERROR(IF(VLOOKUP(A7,Pascua!A:C,3,FALSE)=Table15[[#Headers],[Pascua]],Table15[[#Headers],[Pascua]],""),"")</f>
        <v/>
      </c>
      <c r="G7" t="str">
        <f>IFERROR(IF(VLOOKUP(A7,Pentecostés!A:C,3,FALSE)=Table15[[#Headers],[Pentecostés]],Table15[[#Headers],[Pentecostés]],""),"")</f>
        <v/>
      </c>
      <c r="H7" t="str">
        <f>IFERROR(IF(VLOOKUP(A7,Entrada!A:C,3,FALSE)=Table15[[#Headers],[Entrada]],Table15[[#Headers],[Entrada]],""),"")</f>
        <v/>
      </c>
      <c r="I7" t="str">
        <f>IFERROR(IF(VLOOKUP(A7,Virgen!A:C,3,FALSE)=Table15[[#Headers],[Virgen]],Table15[[#Headers],[Virgen]],""),"")</f>
        <v/>
      </c>
      <c r="J7" t="str">
        <f>IFERROR(IF(VLOOKUP(A7,Paz!A:C,3,FALSE)=Table15[[#Headers],[Paz]],Table15[[#Headers],[Paz]],""),"")</f>
        <v/>
      </c>
      <c r="K7" t="str">
        <f>IFERROR(IF(VLOOKUP(A7,Pan!A:C,3,FALSE)=Table15[[#Headers],[Pan]],Table15[[#Headers],[Pan]],""),"")</f>
        <v/>
      </c>
      <c r="L7" t="str">
        <f>IFERROR(IF(VLOOKUP(A7,Comunión!A:C,3,FALSE)=Table15[[#Headers],[Comunión]],Table15[[#Headers],[Comunión]],""),"")</f>
        <v/>
      </c>
      <c r="M7" t="str">
        <f>IFERROR(IF(VLOOKUP(A7,Niños!A:C,3,FALSE)=Table15[[#Headers],[Niños]],Table15[[#Headers],[Niños]],""),"")</f>
        <v/>
      </c>
      <c r="N7" t="str">
        <f>IFERROR(IF(VLOOKUP(A7,Laudes!A:C,3,FALSE)=Table15[[#Headers],[Laudes]],Table15[[#Headers],[Laudes]],""),"")</f>
        <v>Laudes</v>
      </c>
      <c r="O7" t="str">
        <f>IFERROR(IF(VLOOKUP(A7,'Nuevo Testamento'!A:C,3,FALSE)=Table15[[#Headers],[Nuevo Testamento]],Table15[[#Headers],[Nuevo Testamento]],""),"")</f>
        <v/>
      </c>
      <c r="P7" t="str">
        <f>IFERROR(IF(VLOOKUP(A7,'Antiguo Testamento'!A:C,3,FALSE)=Table15[[#Headers],[Antiguo Testamento]],Table15[[#Headers],[Antiguo Testamento]],""),"")</f>
        <v>Antiguo Testamento</v>
      </c>
      <c r="Q7" t="str">
        <f>IFERROR(IF(VLOOKUP(A7,Final!A:C,3,FALSE)=Table15[[#Headers],[Final]],Table15[[#Headers],[Final]],""),"")</f>
        <v/>
      </c>
    </row>
    <row r="8" spans="1:17" x14ac:dyDescent="0.25">
      <c r="A8" t="s">
        <v>106</v>
      </c>
      <c r="B8">
        <v>7</v>
      </c>
      <c r="C8" t="str">
        <f>IFERROR(IF(VLOOKUP(A8,Adviento!A:C,3,FALSE)=Table15[[#Headers],[Adviento]],Table15[[#Headers],[Adviento]],""),"")</f>
        <v/>
      </c>
      <c r="D8" t="str">
        <f>IFERROR(IF(VLOOKUP(A8,Navidad!A:C,3,FALSE)=Table15[[#Headers],[Navidad]],Table15[[#Headers],[Navidad]],""),"")</f>
        <v/>
      </c>
      <c r="E8" t="str">
        <f>IFERROR(IF(VLOOKUP(A8,Cuaresma!A:C,3,FALSE)=Table15[[#Headers],[Cuaresma]],Table15[[#Headers],[Cuaresma]],""),"")</f>
        <v/>
      </c>
      <c r="F8" t="str">
        <f>IFERROR(IF(VLOOKUP(A8,Pascua!A:C,3,FALSE)=Table15[[#Headers],[Pascua]],Table15[[#Headers],[Pascua]],""),"")</f>
        <v>Pascua</v>
      </c>
      <c r="G8" t="str">
        <f>IFERROR(IF(VLOOKUP(A8,Pentecostés!A:C,3,FALSE)=Table15[[#Headers],[Pentecostés]],Table15[[#Headers],[Pentecostés]],""),"")</f>
        <v>Pentecostés</v>
      </c>
      <c r="H8" t="str">
        <f>IFERROR(IF(VLOOKUP(A8,Entrada!A:C,3,FALSE)=Table15[[#Headers],[Entrada]],Table15[[#Headers],[Entrada]],""),"")</f>
        <v>Entrada</v>
      </c>
      <c r="I8" t="str">
        <f>IFERROR(IF(VLOOKUP(A8,Virgen!A:C,3,FALSE)=Table15[[#Headers],[Virgen]],Table15[[#Headers],[Virgen]],""),"")</f>
        <v/>
      </c>
      <c r="J8" t="str">
        <f>IFERROR(IF(VLOOKUP(A8,Paz!A:C,3,FALSE)=Table15[[#Headers],[Paz]],Table15[[#Headers],[Paz]],""),"")</f>
        <v/>
      </c>
      <c r="K8" t="str">
        <f>IFERROR(IF(VLOOKUP(A8,Pan!A:C,3,FALSE)=Table15[[#Headers],[Pan]],Table15[[#Headers],[Pan]],""),"")</f>
        <v/>
      </c>
      <c r="L8" t="str">
        <f>IFERROR(IF(VLOOKUP(A8,Comunión!A:C,3,FALSE)=Table15[[#Headers],[Comunión]],Table15[[#Headers],[Comunión]],""),"")</f>
        <v/>
      </c>
      <c r="M8" t="str">
        <f>IFERROR(IF(VLOOKUP(A8,Niños!A:C,3,FALSE)=Table15[[#Headers],[Niños]],Table15[[#Headers],[Niños]],""),"")</f>
        <v/>
      </c>
      <c r="N8" t="str">
        <f>IFERROR(IF(VLOOKUP(A8,Laudes!A:C,3,FALSE)=Table15[[#Headers],[Laudes]],Table15[[#Headers],[Laudes]],""),"")</f>
        <v>Laudes</v>
      </c>
      <c r="O8" t="str">
        <f>IFERROR(IF(VLOOKUP(A8,'Nuevo Testamento'!A:C,3,FALSE)=Table15[[#Headers],[Nuevo Testamento]],Table15[[#Headers],[Nuevo Testamento]],""),"")</f>
        <v>Nuevo Testamento</v>
      </c>
      <c r="P8" t="str">
        <f>IFERROR(IF(VLOOKUP(A8,'Antiguo Testamento'!A:C,3,FALSE)=Table15[[#Headers],[Antiguo Testamento]],Table15[[#Headers],[Antiguo Testamento]],""),"")</f>
        <v/>
      </c>
      <c r="Q8" t="str">
        <f>IFERROR(IF(VLOOKUP(A8,Final!A:C,3,FALSE)=Table15[[#Headers],[Final]],Table15[[#Headers],[Final]],""),"")</f>
        <v/>
      </c>
    </row>
    <row r="9" spans="1:17" x14ac:dyDescent="0.25">
      <c r="A9" t="s">
        <v>107</v>
      </c>
      <c r="B9">
        <v>8</v>
      </c>
      <c r="C9" t="str">
        <f>IFERROR(IF(VLOOKUP(A9,Adviento!A:C,3,FALSE)=Table15[[#Headers],[Adviento]],Table15[[#Headers],[Adviento]],""),"")</f>
        <v/>
      </c>
      <c r="D9" t="str">
        <f>IFERROR(IF(VLOOKUP(A9,Navidad!A:C,3,FALSE)=Table15[[#Headers],[Navidad]],Table15[[#Headers],[Navidad]],""),"")</f>
        <v/>
      </c>
      <c r="E9" t="str">
        <f>IFERROR(IF(VLOOKUP(A9,Cuaresma!A:C,3,FALSE)=Table15[[#Headers],[Cuaresma]],Table15[[#Headers],[Cuaresma]],""),"")</f>
        <v/>
      </c>
      <c r="F9" t="str">
        <f>IFERROR(IF(VLOOKUP(A9,Pascua!A:C,3,FALSE)=Table15[[#Headers],[Pascua]],Table15[[#Headers],[Pascua]],""),"")</f>
        <v/>
      </c>
      <c r="G9" t="str">
        <f>IFERROR(IF(VLOOKUP(A9,Pentecostés!A:C,3,FALSE)=Table15[[#Headers],[Pentecostés]],Table15[[#Headers],[Pentecostés]],""),"")</f>
        <v/>
      </c>
      <c r="H9" t="str">
        <f>IFERROR(IF(VLOOKUP(A9,Entrada!A:C,3,FALSE)=Table15[[#Headers],[Entrada]],Table15[[#Headers],[Entrada]],""),"")</f>
        <v>Entrada</v>
      </c>
      <c r="I9" t="str">
        <f>IFERROR(IF(VLOOKUP(A9,Virgen!A:C,3,FALSE)=Table15[[#Headers],[Virgen]],Table15[[#Headers],[Virgen]],""),"")</f>
        <v/>
      </c>
      <c r="J9" t="str">
        <f>IFERROR(IF(VLOOKUP(A9,Paz!A:C,3,FALSE)=Table15[[#Headers],[Paz]],Table15[[#Headers],[Paz]],""),"")</f>
        <v/>
      </c>
      <c r="K9" t="str">
        <f>IFERROR(IF(VLOOKUP(A9,Pan!A:C,3,FALSE)=Table15[[#Headers],[Pan]],Table15[[#Headers],[Pan]],""),"")</f>
        <v/>
      </c>
      <c r="L9" t="str">
        <f>IFERROR(IF(VLOOKUP(A9,Comunión!A:C,3,FALSE)=Table15[[#Headers],[Comunión]],Table15[[#Headers],[Comunión]],""),"")</f>
        <v/>
      </c>
      <c r="M9" t="str">
        <f>IFERROR(IF(VLOOKUP(A9,Niños!A:C,3,FALSE)=Table15[[#Headers],[Niños]],Table15[[#Headers],[Niños]],""),"")</f>
        <v/>
      </c>
      <c r="N9" t="str">
        <f>IFERROR(IF(VLOOKUP(A9,Laudes!A:C,3,FALSE)=Table15[[#Headers],[Laudes]],Table15[[#Headers],[Laudes]],""),"")</f>
        <v>Laudes</v>
      </c>
      <c r="O9" t="str">
        <f>IFERROR(IF(VLOOKUP(A9,'Nuevo Testamento'!A:C,3,FALSE)=Table15[[#Headers],[Nuevo Testamento]],Table15[[#Headers],[Nuevo Testamento]],""),"")</f>
        <v/>
      </c>
      <c r="P9" t="str">
        <f>IFERROR(IF(VLOOKUP(A9,'Antiguo Testamento'!A:C,3,FALSE)=Table15[[#Headers],[Antiguo Testamento]],Table15[[#Headers],[Antiguo Testamento]],""),"")</f>
        <v>Antiguo Testamento</v>
      </c>
      <c r="Q9" t="str">
        <f>IFERROR(IF(VLOOKUP(A9,Final!A:C,3,FALSE)=Table15[[#Headers],[Final]],Table15[[#Headers],[Final]],""),"")</f>
        <v/>
      </c>
    </row>
    <row r="10" spans="1:17" x14ac:dyDescent="0.25">
      <c r="A10" t="s">
        <v>6</v>
      </c>
      <c r="B10">
        <v>9</v>
      </c>
      <c r="C10" t="str">
        <f>IFERROR(IF(VLOOKUP(A10,Adviento!A:C,3,FALSE)=Table15[[#Headers],[Adviento]],Table15[[#Headers],[Adviento]],""),"")</f>
        <v/>
      </c>
      <c r="D10" t="str">
        <f>IFERROR(IF(VLOOKUP(A10,Navidad!A:C,3,FALSE)=Table15[[#Headers],[Navidad]],Table15[[#Headers],[Navidad]],""),"")</f>
        <v/>
      </c>
      <c r="E10" t="str">
        <f>IFERROR(IF(VLOOKUP(A10,Cuaresma!A:C,3,FALSE)=Table15[[#Headers],[Cuaresma]],Table15[[#Headers],[Cuaresma]],""),"")</f>
        <v/>
      </c>
      <c r="F10" t="str">
        <f>IFERROR(IF(VLOOKUP(A10,Pascua!A:C,3,FALSE)=Table15[[#Headers],[Pascua]],Table15[[#Headers],[Pascua]],""),"")</f>
        <v/>
      </c>
      <c r="G10" t="str">
        <f>IFERROR(IF(VLOOKUP(A10,Pentecostés!A:C,3,FALSE)=Table15[[#Headers],[Pentecostés]],Table15[[#Headers],[Pentecostés]],""),"")</f>
        <v/>
      </c>
      <c r="H10" t="str">
        <f>IFERROR(IF(VLOOKUP(A10,Entrada!A:C,3,FALSE)=Table15[[#Headers],[Entrada]],Table15[[#Headers],[Entrada]],""),"")</f>
        <v>Entrada</v>
      </c>
      <c r="I10" t="str">
        <f>IFERROR(IF(VLOOKUP(A10,Virgen!A:C,3,FALSE)=Table15[[#Headers],[Virgen]],Table15[[#Headers],[Virgen]],""),"")</f>
        <v/>
      </c>
      <c r="J10" t="str">
        <f>IFERROR(IF(VLOOKUP(A10,Paz!A:C,3,FALSE)=Table15[[#Headers],[Paz]],Table15[[#Headers],[Paz]],""),"")</f>
        <v/>
      </c>
      <c r="K10" t="str">
        <f>IFERROR(IF(VLOOKUP(A10,Pan!A:C,3,FALSE)=Table15[[#Headers],[Pan]],Table15[[#Headers],[Pan]],""),"")</f>
        <v/>
      </c>
      <c r="L10" t="str">
        <f>IFERROR(IF(VLOOKUP(A10,Comunión!A:C,3,FALSE)=Table15[[#Headers],[Comunión]],Table15[[#Headers],[Comunión]],""),"")</f>
        <v/>
      </c>
      <c r="M10" t="str">
        <f>IFERROR(IF(VLOOKUP(A10,Niños!A:C,3,FALSE)=Table15[[#Headers],[Niños]],Table15[[#Headers],[Niños]],""),"")</f>
        <v/>
      </c>
      <c r="N10" t="str">
        <f>IFERROR(IF(VLOOKUP(A10,Laudes!A:C,3,FALSE)=Table15[[#Headers],[Laudes]],Table15[[#Headers],[Laudes]],""),"")</f>
        <v>Laudes</v>
      </c>
      <c r="O10" t="str">
        <f>IFERROR(IF(VLOOKUP(A10,'Nuevo Testamento'!A:C,3,FALSE)=Table15[[#Headers],[Nuevo Testamento]],Table15[[#Headers],[Nuevo Testamento]],""),"")</f>
        <v/>
      </c>
      <c r="P10" t="str">
        <f>IFERROR(IF(VLOOKUP(A10,'Antiguo Testamento'!A:C,3,FALSE)=Table15[[#Headers],[Antiguo Testamento]],Table15[[#Headers],[Antiguo Testamento]],""),"")</f>
        <v>Antiguo Testamento</v>
      </c>
      <c r="Q10" t="str">
        <f>IFERROR(IF(VLOOKUP(A10,Final!A:C,3,FALSE)=Table15[[#Headers],[Final]],Table15[[#Headers],[Final]],""),"")</f>
        <v/>
      </c>
    </row>
    <row r="11" spans="1:17" x14ac:dyDescent="0.25">
      <c r="A11" t="s">
        <v>7</v>
      </c>
      <c r="B11">
        <v>10</v>
      </c>
      <c r="C11" t="str">
        <f>IFERROR(IF(VLOOKUP(A11,Adviento!A:C,3,FALSE)=Table15[[#Headers],[Adviento]],Table15[[#Headers],[Adviento]],""),"")</f>
        <v/>
      </c>
      <c r="D11" t="str">
        <f>IFERROR(IF(VLOOKUP(A11,Navidad!A:C,3,FALSE)=Table15[[#Headers],[Navidad]],Table15[[#Headers],[Navidad]],""),"")</f>
        <v/>
      </c>
      <c r="E11" t="str">
        <f>IFERROR(IF(VLOOKUP(A11,Cuaresma!A:C,3,FALSE)=Table15[[#Headers],[Cuaresma]],Table15[[#Headers],[Cuaresma]],""),"")</f>
        <v>Cuaresma</v>
      </c>
      <c r="F11" t="str">
        <f>IFERROR(IF(VLOOKUP(A11,Pascua!A:C,3,FALSE)=Table15[[#Headers],[Pascua]],Table15[[#Headers],[Pascua]],""),"")</f>
        <v/>
      </c>
      <c r="G11" t="str">
        <f>IFERROR(IF(VLOOKUP(A11,Pentecostés!A:C,3,FALSE)=Table15[[#Headers],[Pentecostés]],Table15[[#Headers],[Pentecostés]],""),"")</f>
        <v/>
      </c>
      <c r="H11" t="str">
        <f>IFERROR(IF(VLOOKUP(A11,Entrada!A:C,3,FALSE)=Table15[[#Headers],[Entrada]],Table15[[#Headers],[Entrada]],""),"")</f>
        <v/>
      </c>
      <c r="I11" t="str">
        <f>IFERROR(IF(VLOOKUP(A11,Virgen!A:C,3,FALSE)=Table15[[#Headers],[Virgen]],Table15[[#Headers],[Virgen]],""),"")</f>
        <v/>
      </c>
      <c r="J11" t="str">
        <f>IFERROR(IF(VLOOKUP(A11,Paz!A:C,3,FALSE)=Table15[[#Headers],[Paz]],Table15[[#Headers],[Paz]],""),"")</f>
        <v/>
      </c>
      <c r="K11" t="str">
        <f>IFERROR(IF(VLOOKUP(A11,Pan!A:C,3,FALSE)=Table15[[#Headers],[Pan]],Table15[[#Headers],[Pan]],""),"")</f>
        <v/>
      </c>
      <c r="L11" t="str">
        <f>IFERROR(IF(VLOOKUP(A11,Comunión!A:C,3,FALSE)=Table15[[#Headers],[Comunión]],Table15[[#Headers],[Comunión]],""),"")</f>
        <v/>
      </c>
      <c r="M11" t="str">
        <f>IFERROR(IF(VLOOKUP(A11,Niños!A:C,3,FALSE)=Table15[[#Headers],[Niños]],Table15[[#Headers],[Niños]],""),"")</f>
        <v/>
      </c>
      <c r="N11" t="str">
        <f>IFERROR(IF(VLOOKUP(A11,Laudes!A:C,3,FALSE)=Table15[[#Headers],[Laudes]],Table15[[#Headers],[Laudes]],""),"")</f>
        <v>Laudes</v>
      </c>
      <c r="O11" t="str">
        <f>IFERROR(IF(VLOOKUP(A11,'Nuevo Testamento'!A:C,3,FALSE)=Table15[[#Headers],[Nuevo Testamento]],Table15[[#Headers],[Nuevo Testamento]],""),"")</f>
        <v/>
      </c>
      <c r="P11" t="str">
        <f>IFERROR(IF(VLOOKUP(A11,'Antiguo Testamento'!A:C,3,FALSE)=Table15[[#Headers],[Antiguo Testamento]],Table15[[#Headers],[Antiguo Testamento]],""),"")</f>
        <v>Antiguo Testamento</v>
      </c>
      <c r="Q11" t="str">
        <f>IFERROR(IF(VLOOKUP(A11,Final!A:C,3,FALSE)=Table15[[#Headers],[Final]],Table15[[#Headers],[Final]],""),"")</f>
        <v/>
      </c>
    </row>
    <row r="12" spans="1:17" x14ac:dyDescent="0.25">
      <c r="A12" t="s">
        <v>8</v>
      </c>
      <c r="B12">
        <v>11</v>
      </c>
      <c r="C12" t="str">
        <f>IFERROR(IF(VLOOKUP(A12,Adviento!A:C,3,FALSE)=Table15[[#Headers],[Adviento]],Table15[[#Headers],[Adviento]],""),"")</f>
        <v/>
      </c>
      <c r="D12" t="str">
        <f>IFERROR(IF(VLOOKUP(A12,Navidad!A:C,3,FALSE)=Table15[[#Headers],[Navidad]],Table15[[#Headers],[Navidad]],""),"")</f>
        <v/>
      </c>
      <c r="E12" t="str">
        <f>IFERROR(IF(VLOOKUP(A12,Cuaresma!A:C,3,FALSE)=Table15[[#Headers],[Cuaresma]],Table15[[#Headers],[Cuaresma]],""),"")</f>
        <v/>
      </c>
      <c r="F12" t="str">
        <f>IFERROR(IF(VLOOKUP(A12,Pascua!A:C,3,FALSE)=Table15[[#Headers],[Pascua]],Table15[[#Headers],[Pascua]],""),"")</f>
        <v/>
      </c>
      <c r="G12" t="str">
        <f>IFERROR(IF(VLOOKUP(A12,Pentecostés!A:C,3,FALSE)=Table15[[#Headers],[Pentecostés]],Table15[[#Headers],[Pentecostés]],""),"")</f>
        <v/>
      </c>
      <c r="H12" t="str">
        <f>IFERROR(IF(VLOOKUP(A12,Entrada!A:C,3,FALSE)=Table15[[#Headers],[Entrada]],Table15[[#Headers],[Entrada]],""),"")</f>
        <v/>
      </c>
      <c r="I12" t="str">
        <f>IFERROR(IF(VLOOKUP(A12,Virgen!A:C,3,FALSE)=Table15[[#Headers],[Virgen]],Table15[[#Headers],[Virgen]],""),"")</f>
        <v/>
      </c>
      <c r="J12" t="str">
        <f>IFERROR(IF(VLOOKUP(A12,Paz!A:C,3,FALSE)=Table15[[#Headers],[Paz]],Table15[[#Headers],[Paz]],""),"")</f>
        <v/>
      </c>
      <c r="K12" t="str">
        <f>IFERROR(IF(VLOOKUP(A12,Pan!A:C,3,FALSE)=Table15[[#Headers],[Pan]],Table15[[#Headers],[Pan]],""),"")</f>
        <v/>
      </c>
      <c r="L12" t="str">
        <f>IFERROR(IF(VLOOKUP(A12,Comunión!A:C,3,FALSE)=Table15[[#Headers],[Comunión]],Table15[[#Headers],[Comunión]],""),"")</f>
        <v/>
      </c>
      <c r="M12" t="str">
        <f>IFERROR(IF(VLOOKUP(A12,Niños!A:C,3,FALSE)=Table15[[#Headers],[Niños]],Table15[[#Headers],[Niños]],""),"")</f>
        <v/>
      </c>
      <c r="N12" t="str">
        <f>IFERROR(IF(VLOOKUP(A12,Laudes!A:C,3,FALSE)=Table15[[#Headers],[Laudes]],Table15[[#Headers],[Laudes]],""),"")</f>
        <v>Laudes</v>
      </c>
      <c r="O12" t="str">
        <f>IFERROR(IF(VLOOKUP(A12,'Nuevo Testamento'!A:C,3,FALSE)=Table15[[#Headers],[Nuevo Testamento]],Table15[[#Headers],[Nuevo Testamento]],""),"")</f>
        <v/>
      </c>
      <c r="P12" t="str">
        <f>IFERROR(IF(VLOOKUP(A12,'Antiguo Testamento'!A:C,3,FALSE)=Table15[[#Headers],[Antiguo Testamento]],Table15[[#Headers],[Antiguo Testamento]],""),"")</f>
        <v>Antiguo Testamento</v>
      </c>
      <c r="Q12" t="str">
        <f>IFERROR(IF(VLOOKUP(A12,Final!A:C,3,FALSE)=Table15[[#Headers],[Final]],Table15[[#Headers],[Final]],""),"")</f>
        <v/>
      </c>
    </row>
    <row r="13" spans="1:17" x14ac:dyDescent="0.25">
      <c r="A13" t="s">
        <v>110</v>
      </c>
      <c r="B13">
        <v>12</v>
      </c>
      <c r="C13" t="str">
        <f>IFERROR(IF(VLOOKUP(A13,Adviento!A:C,3,FALSE)=Table15[[#Headers],[Adviento]],Table15[[#Headers],[Adviento]],""),"")</f>
        <v>Adviento</v>
      </c>
      <c r="D13" t="str">
        <f>IFERROR(IF(VLOOKUP(A13,Navidad!A:C,3,FALSE)=Table15[[#Headers],[Navidad]],Table15[[#Headers],[Navidad]],""),"")</f>
        <v>Navidad</v>
      </c>
      <c r="E13" t="str">
        <f>IFERROR(IF(VLOOKUP(A13,Cuaresma!A:C,3,FALSE)=Table15[[#Headers],[Cuaresma]],Table15[[#Headers],[Cuaresma]],""),"")</f>
        <v/>
      </c>
      <c r="F13" t="str">
        <f>IFERROR(IF(VLOOKUP(A13,Pascua!A:C,3,FALSE)=Table15[[#Headers],[Pascua]],Table15[[#Headers],[Pascua]],""),"")</f>
        <v/>
      </c>
      <c r="G13" t="str">
        <f>IFERROR(IF(VLOOKUP(A13,Pentecostés!A:C,3,FALSE)=Table15[[#Headers],[Pentecostés]],Table15[[#Headers],[Pentecostés]],""),"")</f>
        <v/>
      </c>
      <c r="H13" t="str">
        <f>IFERROR(IF(VLOOKUP(A13,Entrada!A:C,3,FALSE)=Table15[[#Headers],[Entrada]],Table15[[#Headers],[Entrada]],""),"")</f>
        <v/>
      </c>
      <c r="I13" t="str">
        <f>IFERROR(IF(VLOOKUP(A13,Virgen!A:C,3,FALSE)=Table15[[#Headers],[Virgen]],Table15[[#Headers],[Virgen]],""),"")</f>
        <v/>
      </c>
      <c r="J13" t="str">
        <f>IFERROR(IF(VLOOKUP(A13,Paz!A:C,3,FALSE)=Table15[[#Headers],[Paz]],Table15[[#Headers],[Paz]],""),"")</f>
        <v/>
      </c>
      <c r="K13" t="str">
        <f>IFERROR(IF(VLOOKUP(A13,Pan!A:C,3,FALSE)=Table15[[#Headers],[Pan]],Table15[[#Headers],[Pan]],""),"")</f>
        <v/>
      </c>
      <c r="L13" t="str">
        <f>IFERROR(IF(VLOOKUP(A13,Comunión!A:C,3,FALSE)=Table15[[#Headers],[Comunión]],Table15[[#Headers],[Comunión]],""),"")</f>
        <v/>
      </c>
      <c r="M13" t="str">
        <f>IFERROR(IF(VLOOKUP(A13,Niños!A:C,3,FALSE)=Table15[[#Headers],[Niños]],Table15[[#Headers],[Niños]],""),"")</f>
        <v>Niños</v>
      </c>
      <c r="N13" t="str">
        <f>IFERROR(IF(VLOOKUP(A13,Laudes!A:C,3,FALSE)=Table15[[#Headers],[Laudes]],Table15[[#Headers],[Laudes]],""),"")</f>
        <v/>
      </c>
      <c r="O13" t="str">
        <f>IFERROR(IF(VLOOKUP(A13,'Nuevo Testamento'!A:C,3,FALSE)=Table15[[#Headers],[Nuevo Testamento]],Table15[[#Headers],[Nuevo Testamento]],""),"")</f>
        <v/>
      </c>
      <c r="P13" t="str">
        <f>IFERROR(IF(VLOOKUP(A13,'Antiguo Testamento'!A:C,3,FALSE)=Table15[[#Headers],[Antiguo Testamento]],Table15[[#Headers],[Antiguo Testamento]],""),"")</f>
        <v/>
      </c>
      <c r="Q13" t="str">
        <f>IFERROR(IF(VLOOKUP(A13,Final!A:C,3,FALSE)=Table15[[#Headers],[Final]],Table15[[#Headers],[Final]],""),"")</f>
        <v/>
      </c>
    </row>
    <row r="14" spans="1:17" x14ac:dyDescent="0.25">
      <c r="A14" t="s">
        <v>10</v>
      </c>
      <c r="B14">
        <v>13</v>
      </c>
      <c r="C14" t="str">
        <f>IFERROR(IF(VLOOKUP(A14,Adviento!A:C,3,FALSE)=Table15[[#Headers],[Adviento]],Table15[[#Headers],[Adviento]],""),"")</f>
        <v/>
      </c>
      <c r="D14" t="str">
        <f>IFERROR(IF(VLOOKUP(A14,Navidad!A:C,3,FALSE)=Table15[[#Headers],[Navidad]],Table15[[#Headers],[Navidad]],""),"")</f>
        <v/>
      </c>
      <c r="E14" t="str">
        <f>IFERROR(IF(VLOOKUP(A14,Cuaresma!A:C,3,FALSE)=Table15[[#Headers],[Cuaresma]],Table15[[#Headers],[Cuaresma]],""),"")</f>
        <v/>
      </c>
      <c r="F14" t="str">
        <f>IFERROR(IF(VLOOKUP(A14,Pascua!A:C,3,FALSE)=Table15[[#Headers],[Pascua]],Table15[[#Headers],[Pascua]],""),"")</f>
        <v/>
      </c>
      <c r="G14" t="str">
        <f>IFERROR(IF(VLOOKUP(A14,Pentecostés!A:C,3,FALSE)=Table15[[#Headers],[Pentecostés]],Table15[[#Headers],[Pentecostés]],""),"")</f>
        <v/>
      </c>
      <c r="H14" t="str">
        <f>IFERROR(IF(VLOOKUP(A14,Entrada!A:C,3,FALSE)=Table15[[#Headers],[Entrada]],Table15[[#Headers],[Entrada]],""),"")</f>
        <v/>
      </c>
      <c r="I14" t="str">
        <f>IFERROR(IF(VLOOKUP(A14,Virgen!A:C,3,FALSE)=Table15[[#Headers],[Virgen]],Table15[[#Headers],[Virgen]],""),"")</f>
        <v/>
      </c>
      <c r="J14" t="str">
        <f>IFERROR(IF(VLOOKUP(A14,Paz!A:C,3,FALSE)=Table15[[#Headers],[Paz]],Table15[[#Headers],[Paz]],""),"")</f>
        <v/>
      </c>
      <c r="K14" t="str">
        <f>IFERROR(IF(VLOOKUP(A14,Pan!A:C,3,FALSE)=Table15[[#Headers],[Pan]],Table15[[#Headers],[Pan]],""),"")</f>
        <v/>
      </c>
      <c r="L14" t="str">
        <f>IFERROR(IF(VLOOKUP(A14,Comunión!A:C,3,FALSE)=Table15[[#Headers],[Comunión]],Table15[[#Headers],[Comunión]],""),"")</f>
        <v/>
      </c>
      <c r="M14" t="str">
        <f>IFERROR(IF(VLOOKUP(A14,Niños!A:C,3,FALSE)=Table15[[#Headers],[Niños]],Table15[[#Headers],[Niños]],""),"")</f>
        <v/>
      </c>
      <c r="N14" t="str">
        <f>IFERROR(IF(VLOOKUP(A14,Laudes!A:C,3,FALSE)=Table15[[#Headers],[Laudes]],Table15[[#Headers],[Laudes]],""),"")</f>
        <v>Laudes</v>
      </c>
      <c r="O14" t="str">
        <f>IFERROR(IF(VLOOKUP(A14,'Nuevo Testamento'!A:C,3,FALSE)=Table15[[#Headers],[Nuevo Testamento]],Table15[[#Headers],[Nuevo Testamento]],""),"")</f>
        <v/>
      </c>
      <c r="P14" t="str">
        <f>IFERROR(IF(VLOOKUP(A14,'Antiguo Testamento'!A:C,3,FALSE)=Table15[[#Headers],[Antiguo Testamento]],Table15[[#Headers],[Antiguo Testamento]],""),"")</f>
        <v>Antiguo Testamento</v>
      </c>
      <c r="Q14" t="str">
        <f>IFERROR(IF(VLOOKUP(A14,Final!A:C,3,FALSE)=Table15[[#Headers],[Final]],Table15[[#Headers],[Final]],""),"")</f>
        <v/>
      </c>
    </row>
    <row r="15" spans="1:17" x14ac:dyDescent="0.25">
      <c r="A15" t="s">
        <v>11</v>
      </c>
      <c r="B15">
        <v>14</v>
      </c>
      <c r="C15" t="str">
        <f>IFERROR(IF(VLOOKUP(A15,Adviento!A:C,3,FALSE)=Table15[[#Headers],[Adviento]],Table15[[#Headers],[Adviento]],""),"")</f>
        <v/>
      </c>
      <c r="D15" t="str">
        <f>IFERROR(IF(VLOOKUP(A15,Navidad!A:C,3,FALSE)=Table15[[#Headers],[Navidad]],Table15[[#Headers],[Navidad]],""),"")</f>
        <v/>
      </c>
      <c r="E15" t="str">
        <f>IFERROR(IF(VLOOKUP(A15,Cuaresma!A:C,3,FALSE)=Table15[[#Headers],[Cuaresma]],Table15[[#Headers],[Cuaresma]],""),"")</f>
        <v/>
      </c>
      <c r="F15" t="str">
        <f>IFERROR(IF(VLOOKUP(A15,Pascua!A:C,3,FALSE)=Table15[[#Headers],[Pascua]],Table15[[#Headers],[Pascua]],""),"")</f>
        <v>Pascua</v>
      </c>
      <c r="G15" t="str">
        <f>IFERROR(IF(VLOOKUP(A15,Pentecostés!A:C,3,FALSE)=Table15[[#Headers],[Pentecostés]],Table15[[#Headers],[Pentecostés]],""),"")</f>
        <v>Pentecostés</v>
      </c>
      <c r="H15" t="str">
        <f>IFERROR(IF(VLOOKUP(A15,Entrada!A:C,3,FALSE)=Table15[[#Headers],[Entrada]],Table15[[#Headers],[Entrada]],""),"")</f>
        <v/>
      </c>
      <c r="I15" t="str">
        <f>IFERROR(IF(VLOOKUP(A15,Virgen!A:C,3,FALSE)=Table15[[#Headers],[Virgen]],Table15[[#Headers],[Virgen]],""),"")</f>
        <v/>
      </c>
      <c r="J15" t="str">
        <f>IFERROR(IF(VLOOKUP(A15,Paz!A:C,3,FALSE)=Table15[[#Headers],[Paz]],Table15[[#Headers],[Paz]],""),"")</f>
        <v>Paz</v>
      </c>
      <c r="K15" t="str">
        <f>IFERROR(IF(VLOOKUP(A15,Pan!A:C,3,FALSE)=Table15[[#Headers],[Pan]],Table15[[#Headers],[Pan]],""),"")</f>
        <v/>
      </c>
      <c r="L15" t="str">
        <f>IFERROR(IF(VLOOKUP(A15,Comunión!A:C,3,FALSE)=Table15[[#Headers],[Comunión]],Table15[[#Headers],[Comunión]],""),"")</f>
        <v/>
      </c>
      <c r="M15" t="str">
        <f>IFERROR(IF(VLOOKUP(A15,Niños!A:C,3,FALSE)=Table15[[#Headers],[Niños]],Table15[[#Headers],[Niños]],""),"")</f>
        <v>Niños</v>
      </c>
      <c r="N15" t="str">
        <f>IFERROR(IF(VLOOKUP(A15,Laudes!A:C,3,FALSE)=Table15[[#Headers],[Laudes]],Table15[[#Headers],[Laudes]],""),"")</f>
        <v/>
      </c>
      <c r="O15" t="str">
        <f>IFERROR(IF(VLOOKUP(A15,'Nuevo Testamento'!A:C,3,FALSE)=Table15[[#Headers],[Nuevo Testamento]],Table15[[#Headers],[Nuevo Testamento]],""),"")</f>
        <v/>
      </c>
      <c r="P15" t="str">
        <f>IFERROR(IF(VLOOKUP(A15,'Antiguo Testamento'!A:C,3,FALSE)=Table15[[#Headers],[Antiguo Testamento]],Table15[[#Headers],[Antiguo Testamento]],""),"")</f>
        <v>Antiguo Testamento</v>
      </c>
      <c r="Q15" t="str">
        <f>IFERROR(IF(VLOOKUP(A15,Final!A:C,3,FALSE)=Table15[[#Headers],[Final]],Table15[[#Headers],[Final]],""),"")</f>
        <v/>
      </c>
    </row>
    <row r="16" spans="1:17" x14ac:dyDescent="0.25">
      <c r="A16" t="s">
        <v>12</v>
      </c>
      <c r="B16">
        <v>15</v>
      </c>
      <c r="C16" t="str">
        <f>IFERROR(IF(VLOOKUP(A16,Adviento!A:C,3,FALSE)=Table15[[#Headers],[Adviento]],Table15[[#Headers],[Adviento]],""),"")</f>
        <v/>
      </c>
      <c r="D16" t="str">
        <f>IFERROR(IF(VLOOKUP(A16,Navidad!A:C,3,FALSE)=Table15[[#Headers],[Navidad]],Table15[[#Headers],[Navidad]],""),"")</f>
        <v/>
      </c>
      <c r="E16" t="str">
        <f>IFERROR(IF(VLOOKUP(A16,Cuaresma!A:C,3,FALSE)=Table15[[#Headers],[Cuaresma]],Table15[[#Headers],[Cuaresma]],""),"")</f>
        <v/>
      </c>
      <c r="F16" t="str">
        <f>IFERROR(IF(VLOOKUP(A16,Pascua!A:C,3,FALSE)=Table15[[#Headers],[Pascua]],Table15[[#Headers],[Pascua]],""),"")</f>
        <v>Pascua</v>
      </c>
      <c r="G16" t="str">
        <f>IFERROR(IF(VLOOKUP(A16,Pentecostés!A:C,3,FALSE)=Table15[[#Headers],[Pentecostés]],Table15[[#Headers],[Pentecostés]],""),"")</f>
        <v>Pentecostés</v>
      </c>
      <c r="H16" t="str">
        <f>IFERROR(IF(VLOOKUP(A16,Entrada!A:C,3,FALSE)=Table15[[#Headers],[Entrada]],Table15[[#Headers],[Entrada]],""),"")</f>
        <v/>
      </c>
      <c r="I16" t="str">
        <f>IFERROR(IF(VLOOKUP(A16,Virgen!A:C,3,FALSE)=Table15[[#Headers],[Virgen]],Table15[[#Headers],[Virgen]],""),"")</f>
        <v/>
      </c>
      <c r="J16" t="str">
        <f>IFERROR(IF(VLOOKUP(A16,Paz!A:C,3,FALSE)=Table15[[#Headers],[Paz]],Table15[[#Headers],[Paz]],""),"")</f>
        <v/>
      </c>
      <c r="K16" t="str">
        <f>IFERROR(IF(VLOOKUP(A16,Pan!A:C,3,FALSE)=Table15[[#Headers],[Pan]],Table15[[#Headers],[Pan]],""),"")</f>
        <v/>
      </c>
      <c r="L16" t="str">
        <f>IFERROR(IF(VLOOKUP(A16,Comunión!A:C,3,FALSE)=Table15[[#Headers],[Comunión]],Table15[[#Headers],[Comunión]],""),"")</f>
        <v/>
      </c>
      <c r="M16" t="str">
        <f>IFERROR(IF(VLOOKUP(A16,Niños!A:C,3,FALSE)=Table15[[#Headers],[Niños]],Table15[[#Headers],[Niños]],""),"")</f>
        <v/>
      </c>
      <c r="N16" t="str">
        <f>IFERROR(IF(VLOOKUP(A16,Laudes!A:C,3,FALSE)=Table15[[#Headers],[Laudes]],Table15[[#Headers],[Laudes]],""),"")</f>
        <v>Laudes</v>
      </c>
      <c r="O16" t="str">
        <f>IFERROR(IF(VLOOKUP(A16,'Nuevo Testamento'!A:C,3,FALSE)=Table15[[#Headers],[Nuevo Testamento]],Table15[[#Headers],[Nuevo Testamento]],""),"")</f>
        <v>Nuevo Testamento</v>
      </c>
      <c r="P16" t="str">
        <f>IFERROR(IF(VLOOKUP(A16,'Antiguo Testamento'!A:C,3,FALSE)=Table15[[#Headers],[Antiguo Testamento]],Table15[[#Headers],[Antiguo Testamento]],""),"")</f>
        <v/>
      </c>
      <c r="Q16" t="str">
        <f>IFERROR(IF(VLOOKUP(A16,Final!A:C,3,FALSE)=Table15[[#Headers],[Final]],Table15[[#Headers],[Final]],""),"")</f>
        <v/>
      </c>
    </row>
    <row r="17" spans="1:17" x14ac:dyDescent="0.25">
      <c r="A17" t="s">
        <v>112</v>
      </c>
      <c r="B17">
        <v>16</v>
      </c>
      <c r="C17" t="str">
        <f>IFERROR(IF(VLOOKUP(A17,Adviento!A:C,3,FALSE)=Table15[[#Headers],[Adviento]],Table15[[#Headers],[Adviento]],""),"")</f>
        <v/>
      </c>
      <c r="D17" t="str">
        <f>IFERROR(IF(VLOOKUP(A17,Navidad!A:C,3,FALSE)=Table15[[#Headers],[Navidad]],Table15[[#Headers],[Navidad]],""),"")</f>
        <v/>
      </c>
      <c r="E17" t="str">
        <f>IFERROR(IF(VLOOKUP(A17,Cuaresma!A:C,3,FALSE)=Table15[[#Headers],[Cuaresma]],Table15[[#Headers],[Cuaresma]],""),"")</f>
        <v/>
      </c>
      <c r="F17" t="str">
        <f>IFERROR(IF(VLOOKUP(A17,Pascua!A:C,3,FALSE)=Table15[[#Headers],[Pascua]],Table15[[#Headers],[Pascua]],""),"")</f>
        <v/>
      </c>
      <c r="G17" t="str">
        <f>IFERROR(IF(VLOOKUP(A17,Pentecostés!A:C,3,FALSE)=Table15[[#Headers],[Pentecostés]],Table15[[#Headers],[Pentecostés]],""),"")</f>
        <v/>
      </c>
      <c r="H17" t="str">
        <f>IFERROR(IF(VLOOKUP(A17,Entrada!A:C,3,FALSE)=Table15[[#Headers],[Entrada]],Table15[[#Headers],[Entrada]],""),"")</f>
        <v>Entrada</v>
      </c>
      <c r="I17" t="str">
        <f>IFERROR(IF(VLOOKUP(A17,Virgen!A:C,3,FALSE)=Table15[[#Headers],[Virgen]],Table15[[#Headers],[Virgen]],""),"")</f>
        <v/>
      </c>
      <c r="J17" t="str">
        <f>IFERROR(IF(VLOOKUP(A17,Paz!A:C,3,FALSE)=Table15[[#Headers],[Paz]],Table15[[#Headers],[Paz]],""),"")</f>
        <v/>
      </c>
      <c r="K17" t="str">
        <f>IFERROR(IF(VLOOKUP(A17,Pan!A:C,3,FALSE)=Table15[[#Headers],[Pan]],Table15[[#Headers],[Pan]],""),"")</f>
        <v/>
      </c>
      <c r="L17" t="str">
        <f>IFERROR(IF(VLOOKUP(A17,Comunión!A:C,3,FALSE)=Table15[[#Headers],[Comunión]],Table15[[#Headers],[Comunión]],""),"")</f>
        <v/>
      </c>
      <c r="M17" t="str">
        <f>IFERROR(IF(VLOOKUP(A17,Niños!A:C,3,FALSE)=Table15[[#Headers],[Niños]],Table15[[#Headers],[Niños]],""),"")</f>
        <v/>
      </c>
      <c r="N17" t="str">
        <f>IFERROR(IF(VLOOKUP(A17,Laudes!A:C,3,FALSE)=Table15[[#Headers],[Laudes]],Table15[[#Headers],[Laudes]],""),"")</f>
        <v/>
      </c>
      <c r="O17" t="str">
        <f>IFERROR(IF(VLOOKUP(A17,'Nuevo Testamento'!A:C,3,FALSE)=Table15[[#Headers],[Nuevo Testamento]],Table15[[#Headers],[Nuevo Testamento]],""),"")</f>
        <v/>
      </c>
      <c r="P17" t="str">
        <f>IFERROR(IF(VLOOKUP(A17,'Antiguo Testamento'!A:C,3,FALSE)=Table15[[#Headers],[Antiguo Testamento]],Table15[[#Headers],[Antiguo Testamento]],""),"")</f>
        <v>Antiguo Testamento</v>
      </c>
      <c r="Q17" t="str">
        <f>IFERROR(IF(VLOOKUP(A17,Final!A:C,3,FALSE)=Table15[[#Headers],[Final]],Table15[[#Headers],[Final]],""),"")</f>
        <v/>
      </c>
    </row>
    <row r="18" spans="1:17" x14ac:dyDescent="0.25">
      <c r="A18" t="s">
        <v>13</v>
      </c>
      <c r="B18">
        <v>17</v>
      </c>
      <c r="C18" t="str">
        <f>IFERROR(IF(VLOOKUP(A18,Adviento!A:C,3,FALSE)=Table15[[#Headers],[Adviento]],Table15[[#Headers],[Adviento]],""),"")</f>
        <v/>
      </c>
      <c r="D18" t="str">
        <f>IFERROR(IF(VLOOKUP(A18,Navidad!A:C,3,FALSE)=Table15[[#Headers],[Navidad]],Table15[[#Headers],[Navidad]],""),"")</f>
        <v/>
      </c>
      <c r="E18" t="str">
        <f>IFERROR(IF(VLOOKUP(A18,Cuaresma!A:C,3,FALSE)=Table15[[#Headers],[Cuaresma]],Table15[[#Headers],[Cuaresma]],""),"")</f>
        <v/>
      </c>
      <c r="F18" t="str">
        <f>IFERROR(IF(VLOOKUP(A18,Pascua!A:C,3,FALSE)=Table15[[#Headers],[Pascua]],Table15[[#Headers],[Pascua]],""),"")</f>
        <v/>
      </c>
      <c r="G18" t="str">
        <f>IFERROR(IF(VLOOKUP(A18,Pentecostés!A:C,3,FALSE)=Table15[[#Headers],[Pentecostés]],Table15[[#Headers],[Pentecostés]],""),"")</f>
        <v/>
      </c>
      <c r="H18" t="str">
        <f>IFERROR(IF(VLOOKUP(A18,Entrada!A:C,3,FALSE)=Table15[[#Headers],[Entrada]],Table15[[#Headers],[Entrada]],""),"")</f>
        <v>Entrada</v>
      </c>
      <c r="I18" t="str">
        <f>IFERROR(IF(VLOOKUP(A18,Virgen!A:C,3,FALSE)=Table15[[#Headers],[Virgen]],Table15[[#Headers],[Virgen]],""),"")</f>
        <v/>
      </c>
      <c r="J18" t="str">
        <f>IFERROR(IF(VLOOKUP(A18,Paz!A:C,3,FALSE)=Table15[[#Headers],[Paz]],Table15[[#Headers],[Paz]],""),"")</f>
        <v/>
      </c>
      <c r="K18" t="str">
        <f>IFERROR(IF(VLOOKUP(A18,Pan!A:C,3,FALSE)=Table15[[#Headers],[Pan]],Table15[[#Headers],[Pan]],""),"")</f>
        <v/>
      </c>
      <c r="L18" t="str">
        <f>IFERROR(IF(VLOOKUP(A18,Comunión!A:C,3,FALSE)=Table15[[#Headers],[Comunión]],Table15[[#Headers],[Comunión]],""),"")</f>
        <v/>
      </c>
      <c r="M18" t="str">
        <f>IFERROR(IF(VLOOKUP(A18,Niños!A:C,3,FALSE)=Table15[[#Headers],[Niños]],Table15[[#Headers],[Niños]],""),"")</f>
        <v/>
      </c>
      <c r="N18" t="str">
        <f>IFERROR(IF(VLOOKUP(A18,Laudes!A:C,3,FALSE)=Table15[[#Headers],[Laudes]],Table15[[#Headers],[Laudes]],""),"")</f>
        <v/>
      </c>
      <c r="O18" t="str">
        <f>IFERROR(IF(VLOOKUP(A18,'Nuevo Testamento'!A:C,3,FALSE)=Table15[[#Headers],[Nuevo Testamento]],Table15[[#Headers],[Nuevo Testamento]],""),"")</f>
        <v>Nuevo Testamento</v>
      </c>
      <c r="P18" t="str">
        <f>IFERROR(IF(VLOOKUP(A18,'Antiguo Testamento'!A:C,3,FALSE)=Table15[[#Headers],[Antiguo Testamento]],Table15[[#Headers],[Antiguo Testamento]],""),"")</f>
        <v/>
      </c>
      <c r="Q18" t="str">
        <f>IFERROR(IF(VLOOKUP(A18,Final!A:C,3,FALSE)=Table15[[#Headers],[Final]],Table15[[#Headers],[Final]],""),"")</f>
        <v/>
      </c>
    </row>
    <row r="19" spans="1:17" x14ac:dyDescent="0.25">
      <c r="A19" t="s">
        <v>113</v>
      </c>
      <c r="B19">
        <v>18</v>
      </c>
      <c r="C19" t="str">
        <f>IFERROR(IF(VLOOKUP(A19,Adviento!A:C,3,FALSE)=Table15[[#Headers],[Adviento]],Table15[[#Headers],[Adviento]],""),"")</f>
        <v/>
      </c>
      <c r="D19" t="str">
        <f>IFERROR(IF(VLOOKUP(A19,Navidad!A:C,3,FALSE)=Table15[[#Headers],[Navidad]],Table15[[#Headers],[Navidad]],""),"")</f>
        <v/>
      </c>
      <c r="E19" t="str">
        <f>IFERROR(IF(VLOOKUP(A19,Cuaresma!A:C,3,FALSE)=Table15[[#Headers],[Cuaresma]],Table15[[#Headers],[Cuaresma]],""),"")</f>
        <v>Cuaresma</v>
      </c>
      <c r="F19" t="str">
        <f>IFERROR(IF(VLOOKUP(A19,Pascua!A:C,3,FALSE)=Table15[[#Headers],[Pascua]],Table15[[#Headers],[Pascua]],""),"")</f>
        <v/>
      </c>
      <c r="G19" t="str">
        <f>IFERROR(IF(VLOOKUP(A19,Pentecostés!A:C,3,FALSE)=Table15[[#Headers],[Pentecostés]],Table15[[#Headers],[Pentecostés]],""),"")</f>
        <v/>
      </c>
      <c r="H19" t="str">
        <f>IFERROR(IF(VLOOKUP(A19,Entrada!A:C,3,FALSE)=Table15[[#Headers],[Entrada]],Table15[[#Headers],[Entrada]],""),"")</f>
        <v/>
      </c>
      <c r="I19" t="str">
        <f>IFERROR(IF(VLOOKUP(A19,Virgen!A:C,3,FALSE)=Table15[[#Headers],[Virgen]],Table15[[#Headers],[Virgen]],""),"")</f>
        <v/>
      </c>
      <c r="J19" t="str">
        <f>IFERROR(IF(VLOOKUP(A19,Paz!A:C,3,FALSE)=Table15[[#Headers],[Paz]],Table15[[#Headers],[Paz]],""),"")</f>
        <v/>
      </c>
      <c r="K19" t="str">
        <f>IFERROR(IF(VLOOKUP(A19,Pan!A:C,3,FALSE)=Table15[[#Headers],[Pan]],Table15[[#Headers],[Pan]],""),"")</f>
        <v/>
      </c>
      <c r="L19" t="str">
        <f>IFERROR(IF(VLOOKUP(A19,Comunión!A:C,3,FALSE)=Table15[[#Headers],[Comunión]],Table15[[#Headers],[Comunión]],""),"")</f>
        <v/>
      </c>
      <c r="M19" t="str">
        <f>IFERROR(IF(VLOOKUP(A19,Niños!A:C,3,FALSE)=Table15[[#Headers],[Niños]],Table15[[#Headers],[Niños]],""),"")</f>
        <v/>
      </c>
      <c r="N19" t="str">
        <f>IFERROR(IF(VLOOKUP(A19,Laudes!A:C,3,FALSE)=Table15[[#Headers],[Laudes]],Table15[[#Headers],[Laudes]],""),"")</f>
        <v>Laudes</v>
      </c>
      <c r="O19" t="str">
        <f>IFERROR(IF(VLOOKUP(A19,'Nuevo Testamento'!A:C,3,FALSE)=Table15[[#Headers],[Nuevo Testamento]],Table15[[#Headers],[Nuevo Testamento]],""),"")</f>
        <v/>
      </c>
      <c r="P19" t="str">
        <f>IFERROR(IF(VLOOKUP(A19,'Antiguo Testamento'!A:C,3,FALSE)=Table15[[#Headers],[Antiguo Testamento]],Table15[[#Headers],[Antiguo Testamento]],""),"")</f>
        <v>Antiguo Testamento</v>
      </c>
      <c r="Q19" t="str">
        <f>IFERROR(IF(VLOOKUP(A19,Final!A:C,3,FALSE)=Table15[[#Headers],[Final]],Table15[[#Headers],[Final]],""),"")</f>
        <v/>
      </c>
    </row>
    <row r="20" spans="1:17" x14ac:dyDescent="0.25">
      <c r="A20" t="s">
        <v>14</v>
      </c>
      <c r="B20">
        <v>19</v>
      </c>
      <c r="C20" t="str">
        <f>IFERROR(IF(VLOOKUP(A20,Adviento!A:C,3,FALSE)=Table15[[#Headers],[Adviento]],Table15[[#Headers],[Adviento]],""),"")</f>
        <v/>
      </c>
      <c r="D20" t="str">
        <f>IFERROR(IF(VLOOKUP(A20,Navidad!A:C,3,FALSE)=Table15[[#Headers],[Navidad]],Table15[[#Headers],[Navidad]],""),"")</f>
        <v/>
      </c>
      <c r="E20" t="str">
        <f>IFERROR(IF(VLOOKUP(A20,Cuaresma!A:C,3,FALSE)=Table15[[#Headers],[Cuaresma]],Table15[[#Headers],[Cuaresma]],""),"")</f>
        <v/>
      </c>
      <c r="F20" t="str">
        <f>IFERROR(IF(VLOOKUP(A20,Pascua!A:C,3,FALSE)=Table15[[#Headers],[Pascua]],Table15[[#Headers],[Pascua]],""),"")</f>
        <v>Pascua</v>
      </c>
      <c r="G20" t="str">
        <f>IFERROR(IF(VLOOKUP(A20,Pentecostés!A:C,3,FALSE)=Table15[[#Headers],[Pentecostés]],Table15[[#Headers],[Pentecostés]],""),"")</f>
        <v>Pentecostés</v>
      </c>
      <c r="H20" t="str">
        <f>IFERROR(IF(VLOOKUP(A20,Entrada!A:C,3,FALSE)=Table15[[#Headers],[Entrada]],Table15[[#Headers],[Entrada]],""),"")</f>
        <v/>
      </c>
      <c r="I20" t="str">
        <f>IFERROR(IF(VLOOKUP(A20,Virgen!A:C,3,FALSE)=Table15[[#Headers],[Virgen]],Table15[[#Headers],[Virgen]],""),"")</f>
        <v/>
      </c>
      <c r="J20" t="str">
        <f>IFERROR(IF(VLOOKUP(A20,Paz!A:C,3,FALSE)=Table15[[#Headers],[Paz]],Table15[[#Headers],[Paz]],""),"")</f>
        <v/>
      </c>
      <c r="K20" t="str">
        <f>IFERROR(IF(VLOOKUP(A20,Pan!A:C,3,FALSE)=Table15[[#Headers],[Pan]],Table15[[#Headers],[Pan]],""),"")</f>
        <v/>
      </c>
      <c r="L20" t="str">
        <f>IFERROR(IF(VLOOKUP(A20,Comunión!A:C,3,FALSE)=Table15[[#Headers],[Comunión]],Table15[[#Headers],[Comunión]],""),"")</f>
        <v/>
      </c>
      <c r="M20" t="str">
        <f>IFERROR(IF(VLOOKUP(A20,Niños!A:C,3,FALSE)=Table15[[#Headers],[Niños]],Table15[[#Headers],[Niños]],""),"")</f>
        <v/>
      </c>
      <c r="N20" t="str">
        <f>IFERROR(IF(VLOOKUP(A20,Laudes!A:C,3,FALSE)=Table15[[#Headers],[Laudes]],Table15[[#Headers],[Laudes]],""),"")</f>
        <v/>
      </c>
      <c r="O20" t="str">
        <f>IFERROR(IF(VLOOKUP(A20,'Nuevo Testamento'!A:C,3,FALSE)=Table15[[#Headers],[Nuevo Testamento]],Table15[[#Headers],[Nuevo Testamento]],""),"")</f>
        <v/>
      </c>
      <c r="P20" t="str">
        <f>IFERROR(IF(VLOOKUP(A20,'Antiguo Testamento'!A:C,3,FALSE)=Table15[[#Headers],[Antiguo Testamento]],Table15[[#Headers],[Antiguo Testamento]],""),"")</f>
        <v>Antiguo Testamento</v>
      </c>
      <c r="Q20" t="str">
        <f>IFERROR(IF(VLOOKUP(A20,Final!A:C,3,FALSE)=Table15[[#Headers],[Final]],Table15[[#Headers],[Final]],""),"")</f>
        <v/>
      </c>
    </row>
    <row r="21" spans="1:17" x14ac:dyDescent="0.25">
      <c r="A21" t="s">
        <v>115</v>
      </c>
      <c r="B21">
        <v>20</v>
      </c>
      <c r="C21" t="str">
        <f>IFERROR(IF(VLOOKUP(A21,Adviento!A:C,3,FALSE)=Table15[[#Headers],[Adviento]],Table15[[#Headers],[Adviento]],""),"")</f>
        <v/>
      </c>
      <c r="D21" t="str">
        <f>IFERROR(IF(VLOOKUP(A21,Navidad!A:C,3,FALSE)=Table15[[#Headers],[Navidad]],Table15[[#Headers],[Navidad]],""),"")</f>
        <v/>
      </c>
      <c r="E21" t="str">
        <f>IFERROR(IF(VLOOKUP(A21,Cuaresma!A:C,3,FALSE)=Table15[[#Headers],[Cuaresma]],Table15[[#Headers],[Cuaresma]],""),"")</f>
        <v>Cuaresma</v>
      </c>
      <c r="F21" t="str">
        <f>IFERROR(IF(VLOOKUP(A21,Pascua!A:C,3,FALSE)=Table15[[#Headers],[Pascua]],Table15[[#Headers],[Pascua]],""),"")</f>
        <v/>
      </c>
      <c r="G21" t="str">
        <f>IFERROR(IF(VLOOKUP(A21,Pentecostés!A:C,3,FALSE)=Table15[[#Headers],[Pentecostés]],Table15[[#Headers],[Pentecostés]],""),"")</f>
        <v/>
      </c>
      <c r="H21" t="str">
        <f>IFERROR(IF(VLOOKUP(A21,Entrada!A:C,3,FALSE)=Table15[[#Headers],[Entrada]],Table15[[#Headers],[Entrada]],""),"")</f>
        <v/>
      </c>
      <c r="I21" t="str">
        <f>IFERROR(IF(VLOOKUP(A21,Virgen!A:C,3,FALSE)=Table15[[#Headers],[Virgen]],Table15[[#Headers],[Virgen]],""),"")</f>
        <v/>
      </c>
      <c r="J21" t="str">
        <f>IFERROR(IF(VLOOKUP(A21,Paz!A:C,3,FALSE)=Table15[[#Headers],[Paz]],Table15[[#Headers],[Paz]],""),"")</f>
        <v/>
      </c>
      <c r="K21" t="str">
        <f>IFERROR(IF(VLOOKUP(A21,Pan!A:C,3,FALSE)=Table15[[#Headers],[Pan]],Table15[[#Headers],[Pan]],""),"")</f>
        <v/>
      </c>
      <c r="L21" t="str">
        <f>IFERROR(IF(VLOOKUP(A21,Comunión!A:C,3,FALSE)=Table15[[#Headers],[Comunión]],Table15[[#Headers],[Comunión]],""),"")</f>
        <v/>
      </c>
      <c r="M21" t="str">
        <f>IFERROR(IF(VLOOKUP(A21,Niños!A:C,3,FALSE)=Table15[[#Headers],[Niños]],Table15[[#Headers],[Niños]],""),"")</f>
        <v/>
      </c>
      <c r="N21" t="str">
        <f>IFERROR(IF(VLOOKUP(A21,Laudes!A:C,3,FALSE)=Table15[[#Headers],[Laudes]],Table15[[#Headers],[Laudes]],""),"")</f>
        <v/>
      </c>
      <c r="O21" t="str">
        <f>IFERROR(IF(VLOOKUP(A21,'Nuevo Testamento'!A:C,3,FALSE)=Table15[[#Headers],[Nuevo Testamento]],Table15[[#Headers],[Nuevo Testamento]],""),"")</f>
        <v/>
      </c>
      <c r="P21" t="str">
        <f>IFERROR(IF(VLOOKUP(A21,'Antiguo Testamento'!A:C,3,FALSE)=Table15[[#Headers],[Antiguo Testamento]],Table15[[#Headers],[Antiguo Testamento]],""),"")</f>
        <v/>
      </c>
      <c r="Q21" t="str">
        <f>IFERROR(IF(VLOOKUP(A21,Final!A:C,3,FALSE)=Table15[[#Headers],[Final]],Table15[[#Headers],[Final]],""),"")</f>
        <v/>
      </c>
    </row>
    <row r="22" spans="1:17" x14ac:dyDescent="0.25">
      <c r="A22" t="s">
        <v>231</v>
      </c>
      <c r="B22">
        <v>21</v>
      </c>
      <c r="C22" t="str">
        <f>IFERROR(IF(VLOOKUP(A22,Adviento!A:C,3,FALSE)=Table15[[#Headers],[Adviento]],Table15[[#Headers],[Adviento]],""),"")</f>
        <v/>
      </c>
      <c r="D22" t="str">
        <f>IFERROR(IF(VLOOKUP(A22,Navidad!A:C,3,FALSE)=Table15[[#Headers],[Navidad]],Table15[[#Headers],[Navidad]],""),"")</f>
        <v/>
      </c>
      <c r="E22" t="str">
        <f>IFERROR(IF(VLOOKUP(A22,Cuaresma!A:C,3,FALSE)=Table15[[#Headers],[Cuaresma]],Table15[[#Headers],[Cuaresma]],""),"")</f>
        <v/>
      </c>
      <c r="F22" t="str">
        <f>IFERROR(IF(VLOOKUP(A22,Pascua!A:C,3,FALSE)=Table15[[#Headers],[Pascua]],Table15[[#Headers],[Pascua]],""),"")</f>
        <v/>
      </c>
      <c r="G22" t="str">
        <f>IFERROR(IF(VLOOKUP(A22,Pentecostés!A:C,3,FALSE)=Table15[[#Headers],[Pentecostés]],Table15[[#Headers],[Pentecostés]],""),"")</f>
        <v/>
      </c>
      <c r="H22" t="str">
        <f>IFERROR(IF(VLOOKUP(A22,Entrada!A:C,3,FALSE)=Table15[[#Headers],[Entrada]],Table15[[#Headers],[Entrada]],""),"")</f>
        <v/>
      </c>
      <c r="I22" t="str">
        <f>IFERROR(IF(VLOOKUP(A22,Virgen!A:C,3,FALSE)=Table15[[#Headers],[Virgen]],Table15[[#Headers],[Virgen]],""),"")</f>
        <v>Virgen</v>
      </c>
      <c r="J22" t="str">
        <f>IFERROR(IF(VLOOKUP(A22,Paz!A:C,3,FALSE)=Table15[[#Headers],[Paz]],Table15[[#Headers],[Paz]],""),"")</f>
        <v/>
      </c>
      <c r="K22" t="str">
        <f>IFERROR(IF(VLOOKUP(A22,Pan!A:C,3,FALSE)=Table15[[#Headers],[Pan]],Table15[[#Headers],[Pan]],""),"")</f>
        <v/>
      </c>
      <c r="L22" t="str">
        <f>IFERROR(IF(VLOOKUP(A22,Comunión!A:C,3,FALSE)=Table15[[#Headers],[Comunión]],Table15[[#Headers],[Comunión]],""),"")</f>
        <v/>
      </c>
      <c r="M22" t="str">
        <f>IFERROR(IF(VLOOKUP(A22,Niños!A:C,3,FALSE)=Table15[[#Headers],[Niños]],Table15[[#Headers],[Niños]],""),"")</f>
        <v/>
      </c>
      <c r="N22" t="str">
        <f>IFERROR(IF(VLOOKUP(A22,Laudes!A:C,3,FALSE)=Table15[[#Headers],[Laudes]],Table15[[#Headers],[Laudes]],""),"")</f>
        <v/>
      </c>
      <c r="O22" t="str">
        <f>IFERROR(IF(VLOOKUP(A22,'Nuevo Testamento'!A:C,3,FALSE)=Table15[[#Headers],[Nuevo Testamento]],Table15[[#Headers],[Nuevo Testamento]],""),"")</f>
        <v>Nuevo Testamento</v>
      </c>
      <c r="P22" t="str">
        <f>IFERROR(IF(VLOOKUP(A22,'Antiguo Testamento'!A:C,3,FALSE)=Table15[[#Headers],[Antiguo Testamento]],Table15[[#Headers],[Antiguo Testamento]],""),"")</f>
        <v/>
      </c>
      <c r="Q22" t="str">
        <f>IFERROR(IF(VLOOKUP(A22,Final!A:C,3,FALSE)=Table15[[#Headers],[Final]],Table15[[#Headers],[Final]],""),"")</f>
        <v/>
      </c>
    </row>
    <row r="23" spans="1:17" x14ac:dyDescent="0.25">
      <c r="A23" t="s">
        <v>15</v>
      </c>
      <c r="B23">
        <v>22</v>
      </c>
      <c r="C23" t="str">
        <f>IFERROR(IF(VLOOKUP(A23,Adviento!A:C,3,FALSE)=Table15[[#Headers],[Adviento]],Table15[[#Headers],[Adviento]],""),"")</f>
        <v/>
      </c>
      <c r="D23" t="str">
        <f>IFERROR(IF(VLOOKUP(A23,Navidad!A:C,3,FALSE)=Table15[[#Headers],[Navidad]],Table15[[#Headers],[Navidad]],""),"")</f>
        <v/>
      </c>
      <c r="E23" t="str">
        <f>IFERROR(IF(VLOOKUP(A23,Cuaresma!A:C,3,FALSE)=Table15[[#Headers],[Cuaresma]],Table15[[#Headers],[Cuaresma]],""),"")</f>
        <v/>
      </c>
      <c r="F23" t="str">
        <f>IFERROR(IF(VLOOKUP(A23,Pascua!A:C,3,FALSE)=Table15[[#Headers],[Pascua]],Table15[[#Headers],[Pascua]],""),"")</f>
        <v/>
      </c>
      <c r="G23" t="str">
        <f>IFERROR(IF(VLOOKUP(A23,Pentecostés!A:C,3,FALSE)=Table15[[#Headers],[Pentecostés]],Table15[[#Headers],[Pentecostés]],""),"")</f>
        <v/>
      </c>
      <c r="H23" t="str">
        <f>IFERROR(IF(VLOOKUP(A23,Entrada!A:C,3,FALSE)=Table15[[#Headers],[Entrada]],Table15[[#Headers],[Entrada]],""),"")</f>
        <v/>
      </c>
      <c r="I23" t="str">
        <f>IFERROR(IF(VLOOKUP(A23,Virgen!A:C,3,FALSE)=Table15[[#Headers],[Virgen]],Table15[[#Headers],[Virgen]],""),"")</f>
        <v>Virgen</v>
      </c>
      <c r="J23" t="str">
        <f>IFERROR(IF(VLOOKUP(A23,Paz!A:C,3,FALSE)=Table15[[#Headers],[Paz]],Table15[[#Headers],[Paz]],""),"")</f>
        <v/>
      </c>
      <c r="K23" t="str">
        <f>IFERROR(IF(VLOOKUP(A23,Pan!A:C,3,FALSE)=Table15[[#Headers],[Pan]],Table15[[#Headers],[Pan]],""),"")</f>
        <v/>
      </c>
      <c r="L23" t="str">
        <f>IFERROR(IF(VLOOKUP(A23,Comunión!A:C,3,FALSE)=Table15[[#Headers],[Comunión]],Table15[[#Headers],[Comunión]],""),"")</f>
        <v/>
      </c>
      <c r="M23" t="str">
        <f>IFERROR(IF(VLOOKUP(A23,Niños!A:C,3,FALSE)=Table15[[#Headers],[Niños]],Table15[[#Headers],[Niños]],""),"")</f>
        <v/>
      </c>
      <c r="N23" t="str">
        <f>IFERROR(IF(VLOOKUP(A23,Laudes!A:C,3,FALSE)=Table15[[#Headers],[Laudes]],Table15[[#Headers],[Laudes]],""),"")</f>
        <v/>
      </c>
      <c r="O23" t="str">
        <f>IFERROR(IF(VLOOKUP(A23,'Nuevo Testamento'!A:C,3,FALSE)=Table15[[#Headers],[Nuevo Testamento]],Table15[[#Headers],[Nuevo Testamento]],""),"")</f>
        <v>Nuevo Testamento</v>
      </c>
      <c r="P23" t="str">
        <f>IFERROR(IF(VLOOKUP(A23,'Antiguo Testamento'!A:C,3,FALSE)=Table15[[#Headers],[Antiguo Testamento]],Table15[[#Headers],[Antiguo Testamento]],""),"")</f>
        <v/>
      </c>
      <c r="Q23" t="str">
        <f>IFERROR(IF(VLOOKUP(A23,Final!A:C,3,FALSE)=Table15[[#Headers],[Final]],Table15[[#Headers],[Final]],""),"")</f>
        <v/>
      </c>
    </row>
    <row r="24" spans="1:17" x14ac:dyDescent="0.25">
      <c r="A24" t="s">
        <v>116</v>
      </c>
      <c r="B24">
        <v>23</v>
      </c>
      <c r="C24" t="str">
        <f>IFERROR(IF(VLOOKUP(A24,Adviento!A:C,3,FALSE)=Table15[[#Headers],[Adviento]],Table15[[#Headers],[Adviento]],""),"")</f>
        <v/>
      </c>
      <c r="D24" t="str">
        <f>IFERROR(IF(VLOOKUP(A24,Navidad!A:C,3,FALSE)=Table15[[#Headers],[Navidad]],Table15[[#Headers],[Navidad]],""),"")</f>
        <v/>
      </c>
      <c r="E24" t="str">
        <f>IFERROR(IF(VLOOKUP(A24,Cuaresma!A:C,3,FALSE)=Table15[[#Headers],[Cuaresma]],Table15[[#Headers],[Cuaresma]],""),"")</f>
        <v>Cuaresma</v>
      </c>
      <c r="F24" t="str">
        <f>IFERROR(IF(VLOOKUP(A24,Pascua!A:C,3,FALSE)=Table15[[#Headers],[Pascua]],Table15[[#Headers],[Pascua]],""),"")</f>
        <v/>
      </c>
      <c r="G24" t="str">
        <f>IFERROR(IF(VLOOKUP(A24,Pentecostés!A:C,3,FALSE)=Table15[[#Headers],[Pentecostés]],Table15[[#Headers],[Pentecostés]],""),"")</f>
        <v/>
      </c>
      <c r="H24" t="str">
        <f>IFERROR(IF(VLOOKUP(A24,Entrada!A:C,3,FALSE)=Table15[[#Headers],[Entrada]],Table15[[#Headers],[Entrada]],""),"")</f>
        <v/>
      </c>
      <c r="I24" t="str">
        <f>IFERROR(IF(VLOOKUP(A24,Virgen!A:C,3,FALSE)=Table15[[#Headers],[Virgen]],Table15[[#Headers],[Virgen]],""),"")</f>
        <v/>
      </c>
      <c r="J24" t="str">
        <f>IFERROR(IF(VLOOKUP(A24,Paz!A:C,3,FALSE)=Table15[[#Headers],[Paz]],Table15[[#Headers],[Paz]],""),"")</f>
        <v/>
      </c>
      <c r="K24" t="str">
        <f>IFERROR(IF(VLOOKUP(A24,Pan!A:C,3,FALSE)=Table15[[#Headers],[Pan]],Table15[[#Headers],[Pan]],""),"")</f>
        <v/>
      </c>
      <c r="L24" t="str">
        <f>IFERROR(IF(VLOOKUP(A24,Comunión!A:C,3,FALSE)=Table15[[#Headers],[Comunión]],Table15[[#Headers],[Comunión]],""),"")</f>
        <v/>
      </c>
      <c r="M24" t="str">
        <f>IFERROR(IF(VLOOKUP(A24,Niños!A:C,3,FALSE)=Table15[[#Headers],[Niños]],Table15[[#Headers],[Niños]],""),"")</f>
        <v/>
      </c>
      <c r="N24" t="str">
        <f>IFERROR(IF(VLOOKUP(A24,Laudes!A:C,3,FALSE)=Table15[[#Headers],[Laudes]],Table15[[#Headers],[Laudes]],""),"")</f>
        <v>Laudes</v>
      </c>
      <c r="O24" t="str">
        <f>IFERROR(IF(VLOOKUP(A24,'Nuevo Testamento'!A:C,3,FALSE)=Table15[[#Headers],[Nuevo Testamento]],Table15[[#Headers],[Nuevo Testamento]],""),"")</f>
        <v/>
      </c>
      <c r="P24" t="str">
        <f>IFERROR(IF(VLOOKUP(A24,'Antiguo Testamento'!A:C,3,FALSE)=Table15[[#Headers],[Antiguo Testamento]],Table15[[#Headers],[Antiguo Testamento]],""),"")</f>
        <v>Antiguo Testamento</v>
      </c>
      <c r="Q24" t="str">
        <f>IFERROR(IF(VLOOKUP(A24,Final!A:C,3,FALSE)=Table15[[#Headers],[Final]],Table15[[#Headers],[Final]],""),"")</f>
        <v/>
      </c>
    </row>
    <row r="25" spans="1:17" x14ac:dyDescent="0.25">
      <c r="A25" t="s">
        <v>16</v>
      </c>
      <c r="B25">
        <v>24</v>
      </c>
      <c r="C25" t="str">
        <f>IFERROR(IF(VLOOKUP(A25,Adviento!A:C,3,FALSE)=Table15[[#Headers],[Adviento]],Table15[[#Headers],[Adviento]],""),"")</f>
        <v/>
      </c>
      <c r="D25" t="str">
        <f>IFERROR(IF(VLOOKUP(A25,Navidad!A:C,3,FALSE)=Table15[[#Headers],[Navidad]],Table15[[#Headers],[Navidad]],""),"")</f>
        <v/>
      </c>
      <c r="E25" t="str">
        <f>IFERROR(IF(VLOOKUP(A25,Cuaresma!A:C,3,FALSE)=Table15[[#Headers],[Cuaresma]],Table15[[#Headers],[Cuaresma]],""),"")</f>
        <v/>
      </c>
      <c r="F25" t="str">
        <f>IFERROR(IF(VLOOKUP(A25,Pascua!A:C,3,FALSE)=Table15[[#Headers],[Pascua]],Table15[[#Headers],[Pascua]],""),"")</f>
        <v/>
      </c>
      <c r="G25" t="str">
        <f>IFERROR(IF(VLOOKUP(A25,Pentecostés!A:C,3,FALSE)=Table15[[#Headers],[Pentecostés]],Table15[[#Headers],[Pentecostés]],""),"")</f>
        <v/>
      </c>
      <c r="H25" t="str">
        <f>IFERROR(IF(VLOOKUP(A25,Entrada!A:C,3,FALSE)=Table15[[#Headers],[Entrada]],Table15[[#Headers],[Entrada]],""),"")</f>
        <v/>
      </c>
      <c r="I25" t="str">
        <f>IFERROR(IF(VLOOKUP(A25,Virgen!A:C,3,FALSE)=Table15[[#Headers],[Virgen]],Table15[[#Headers],[Virgen]],""),"")</f>
        <v/>
      </c>
      <c r="J25" t="str">
        <f>IFERROR(IF(VLOOKUP(A25,Paz!A:C,3,FALSE)=Table15[[#Headers],[Paz]],Table15[[#Headers],[Paz]],""),"")</f>
        <v>Paz</v>
      </c>
      <c r="K25" t="str">
        <f>IFERROR(IF(VLOOKUP(A25,Pan!A:C,3,FALSE)=Table15[[#Headers],[Pan]],Table15[[#Headers],[Pan]],""),"")</f>
        <v/>
      </c>
      <c r="L25" t="str">
        <f>IFERROR(IF(VLOOKUP(A25,Comunión!A:C,3,FALSE)=Table15[[#Headers],[Comunión]],Table15[[#Headers],[Comunión]],""),"")</f>
        <v/>
      </c>
      <c r="M25" t="str">
        <f>IFERROR(IF(VLOOKUP(A25,Niños!A:C,3,FALSE)=Table15[[#Headers],[Niños]],Table15[[#Headers],[Niños]],""),"")</f>
        <v/>
      </c>
      <c r="N25" t="str">
        <f>IFERROR(IF(VLOOKUP(A25,Laudes!A:C,3,FALSE)=Table15[[#Headers],[Laudes]],Table15[[#Headers],[Laudes]],""),"")</f>
        <v/>
      </c>
      <c r="O25" t="str">
        <f>IFERROR(IF(VLOOKUP(A25,'Nuevo Testamento'!A:C,3,FALSE)=Table15[[#Headers],[Nuevo Testamento]],Table15[[#Headers],[Nuevo Testamento]],""),"")</f>
        <v/>
      </c>
      <c r="P25" t="str">
        <f>IFERROR(IF(VLOOKUP(A25,'Antiguo Testamento'!A:C,3,FALSE)=Table15[[#Headers],[Antiguo Testamento]],Table15[[#Headers],[Antiguo Testamento]],""),"")</f>
        <v>Antiguo Testamento</v>
      </c>
      <c r="Q25" t="str">
        <f>IFERROR(IF(VLOOKUP(A25,Final!A:C,3,FALSE)=Table15[[#Headers],[Final]],Table15[[#Headers],[Final]],""),"")</f>
        <v>Final</v>
      </c>
    </row>
    <row r="26" spans="1:17" x14ac:dyDescent="0.25">
      <c r="A26" t="s">
        <v>17</v>
      </c>
      <c r="B26">
        <v>25</v>
      </c>
      <c r="C26" t="str">
        <f>IFERROR(IF(VLOOKUP(A26,Adviento!A:C,3,FALSE)=Table15[[#Headers],[Adviento]],Table15[[#Headers],[Adviento]],""),"")</f>
        <v/>
      </c>
      <c r="D26" t="str">
        <f>IFERROR(IF(VLOOKUP(A26,Navidad!A:C,3,FALSE)=Table15[[#Headers],[Navidad]],Table15[[#Headers],[Navidad]],""),"")</f>
        <v/>
      </c>
      <c r="E26" t="str">
        <f>IFERROR(IF(VLOOKUP(A26,Cuaresma!A:C,3,FALSE)=Table15[[#Headers],[Cuaresma]],Table15[[#Headers],[Cuaresma]],""),"")</f>
        <v>Cuaresma</v>
      </c>
      <c r="F26" t="str">
        <f>IFERROR(IF(VLOOKUP(A26,Pascua!A:C,3,FALSE)=Table15[[#Headers],[Pascua]],Table15[[#Headers],[Pascua]],""),"")</f>
        <v/>
      </c>
      <c r="G26" t="str">
        <f>IFERROR(IF(VLOOKUP(A26,Pentecostés!A:C,3,FALSE)=Table15[[#Headers],[Pentecostés]],Table15[[#Headers],[Pentecostés]],""),"")</f>
        <v/>
      </c>
      <c r="H26" t="str">
        <f>IFERROR(IF(VLOOKUP(A26,Entrada!A:C,3,FALSE)=Table15[[#Headers],[Entrada]],Table15[[#Headers],[Entrada]],""),"")</f>
        <v/>
      </c>
      <c r="I26" t="str">
        <f>IFERROR(IF(VLOOKUP(A26,Virgen!A:C,3,FALSE)=Table15[[#Headers],[Virgen]],Table15[[#Headers],[Virgen]],""),"")</f>
        <v/>
      </c>
      <c r="J26" t="str">
        <f>IFERROR(IF(VLOOKUP(A26,Paz!A:C,3,FALSE)=Table15[[#Headers],[Paz]],Table15[[#Headers],[Paz]],""),"")</f>
        <v/>
      </c>
      <c r="K26" t="str">
        <f>IFERROR(IF(VLOOKUP(A26,Pan!A:C,3,FALSE)=Table15[[#Headers],[Pan]],Table15[[#Headers],[Pan]],""),"")</f>
        <v/>
      </c>
      <c r="L26" t="str">
        <f>IFERROR(IF(VLOOKUP(A26,Comunión!A:C,3,FALSE)=Table15[[#Headers],[Comunión]],Table15[[#Headers],[Comunión]],""),"")</f>
        <v>Comunión</v>
      </c>
      <c r="M26" t="str">
        <f>IFERROR(IF(VLOOKUP(A26,Niños!A:C,3,FALSE)=Table15[[#Headers],[Niños]],Table15[[#Headers],[Niños]],""),"")</f>
        <v/>
      </c>
      <c r="N26" t="str">
        <f>IFERROR(IF(VLOOKUP(A26,Laudes!A:C,3,FALSE)=Table15[[#Headers],[Laudes]],Table15[[#Headers],[Laudes]],""),"")</f>
        <v>Laudes</v>
      </c>
      <c r="O26" t="str">
        <f>IFERROR(IF(VLOOKUP(A26,'Nuevo Testamento'!A:C,3,FALSE)=Table15[[#Headers],[Nuevo Testamento]],Table15[[#Headers],[Nuevo Testamento]],""),"")</f>
        <v/>
      </c>
      <c r="P26" t="str">
        <f>IFERROR(IF(VLOOKUP(A26,'Antiguo Testamento'!A:C,3,FALSE)=Table15[[#Headers],[Antiguo Testamento]],Table15[[#Headers],[Antiguo Testamento]],""),"")</f>
        <v>Antiguo Testamento</v>
      </c>
      <c r="Q26" t="str">
        <f>IFERROR(IF(VLOOKUP(A26,Final!A:C,3,FALSE)=Table15[[#Headers],[Final]],Table15[[#Headers],[Final]],""),"")</f>
        <v/>
      </c>
    </row>
    <row r="27" spans="1:17" x14ac:dyDescent="0.25">
      <c r="A27" t="s">
        <v>232</v>
      </c>
      <c r="B27">
        <v>26</v>
      </c>
      <c r="C27" t="str">
        <f>IFERROR(IF(VLOOKUP(A27,Adviento!A:C,3,FALSE)=Table15[[#Headers],[Adviento]],Table15[[#Headers],[Adviento]],""),"")</f>
        <v/>
      </c>
      <c r="D27" t="str">
        <f>IFERROR(IF(VLOOKUP(A27,Navidad!A:C,3,FALSE)=Table15[[#Headers],[Navidad]],Table15[[#Headers],[Navidad]],""),"")</f>
        <v/>
      </c>
      <c r="E27" t="str">
        <f>IFERROR(IF(VLOOKUP(A27,Cuaresma!A:C,3,FALSE)=Table15[[#Headers],[Cuaresma]],Table15[[#Headers],[Cuaresma]],""),"")</f>
        <v>Cuaresma</v>
      </c>
      <c r="F27" t="str">
        <f>IFERROR(IF(VLOOKUP(A27,Pascua!A:C,3,FALSE)=Table15[[#Headers],[Pascua]],Table15[[#Headers],[Pascua]],""),"")</f>
        <v/>
      </c>
      <c r="G27" t="str">
        <f>IFERROR(IF(VLOOKUP(A27,Pentecostés!A:C,3,FALSE)=Table15[[#Headers],[Pentecostés]],Table15[[#Headers],[Pentecostés]],""),"")</f>
        <v/>
      </c>
      <c r="H27" t="str">
        <f>IFERROR(IF(VLOOKUP(A27,Entrada!A:C,3,FALSE)=Table15[[#Headers],[Entrada]],Table15[[#Headers],[Entrada]],""),"")</f>
        <v/>
      </c>
      <c r="I27" t="str">
        <f>IFERROR(IF(VLOOKUP(A27,Virgen!A:C,3,FALSE)=Table15[[#Headers],[Virgen]],Table15[[#Headers],[Virgen]],""),"")</f>
        <v/>
      </c>
      <c r="J27" t="str">
        <f>IFERROR(IF(VLOOKUP(A27,Paz!A:C,3,FALSE)=Table15[[#Headers],[Paz]],Table15[[#Headers],[Paz]],""),"")</f>
        <v/>
      </c>
      <c r="K27" t="str">
        <f>IFERROR(IF(VLOOKUP(A27,Pan!A:C,3,FALSE)=Table15[[#Headers],[Pan]],Table15[[#Headers],[Pan]],""),"")</f>
        <v/>
      </c>
      <c r="L27" t="str">
        <f>IFERROR(IF(VLOOKUP(A27,Comunión!A:C,3,FALSE)=Table15[[#Headers],[Comunión]],Table15[[#Headers],[Comunión]],""),"")</f>
        <v/>
      </c>
      <c r="M27" t="str">
        <f>IFERROR(IF(VLOOKUP(A27,Niños!A:C,3,FALSE)=Table15[[#Headers],[Niños]],Table15[[#Headers],[Niños]],""),"")</f>
        <v/>
      </c>
      <c r="N27" t="str">
        <f>IFERROR(IF(VLOOKUP(A27,Laudes!A:C,3,FALSE)=Table15[[#Headers],[Laudes]],Table15[[#Headers],[Laudes]],""),"")</f>
        <v>Laudes</v>
      </c>
      <c r="O27" t="str">
        <f>IFERROR(IF(VLOOKUP(A27,'Nuevo Testamento'!A:C,3,FALSE)=Table15[[#Headers],[Nuevo Testamento]],Table15[[#Headers],[Nuevo Testamento]],""),"")</f>
        <v/>
      </c>
      <c r="P27" t="str">
        <f>IFERROR(IF(VLOOKUP(A27,'Antiguo Testamento'!A:C,3,FALSE)=Table15[[#Headers],[Antiguo Testamento]],Table15[[#Headers],[Antiguo Testamento]],""),"")</f>
        <v>Antiguo Testamento</v>
      </c>
      <c r="Q27" t="str">
        <f>IFERROR(IF(VLOOKUP(A27,Final!A:C,3,FALSE)=Table15[[#Headers],[Final]],Table15[[#Headers],[Final]],""),"")</f>
        <v/>
      </c>
    </row>
    <row r="28" spans="1:17" x14ac:dyDescent="0.25">
      <c r="A28" t="s">
        <v>19</v>
      </c>
      <c r="B28">
        <v>27</v>
      </c>
      <c r="C28" t="str">
        <f>IFERROR(IF(VLOOKUP(A28,Adviento!A:C,3,FALSE)=Table15[[#Headers],[Adviento]],Table15[[#Headers],[Adviento]],""),"")</f>
        <v/>
      </c>
      <c r="D28" t="str">
        <f>IFERROR(IF(VLOOKUP(A28,Navidad!A:C,3,FALSE)=Table15[[#Headers],[Navidad]],Table15[[#Headers],[Navidad]],""),"")</f>
        <v/>
      </c>
      <c r="E28" t="str">
        <f>IFERROR(IF(VLOOKUP(A28,Cuaresma!A:C,3,FALSE)=Table15[[#Headers],[Cuaresma]],Table15[[#Headers],[Cuaresma]],""),"")</f>
        <v/>
      </c>
      <c r="F28" t="str">
        <f>IFERROR(IF(VLOOKUP(A28,Pascua!A:C,3,FALSE)=Table15[[#Headers],[Pascua]],Table15[[#Headers],[Pascua]],""),"")</f>
        <v/>
      </c>
      <c r="G28" t="str">
        <f>IFERROR(IF(VLOOKUP(A28,Pentecostés!A:C,3,FALSE)=Table15[[#Headers],[Pentecostés]],Table15[[#Headers],[Pentecostés]],""),"")</f>
        <v/>
      </c>
      <c r="H28" t="str">
        <f>IFERROR(IF(VLOOKUP(A28,Entrada!A:C,3,FALSE)=Table15[[#Headers],[Entrada]],Table15[[#Headers],[Entrada]],""),"")</f>
        <v>Entrada</v>
      </c>
      <c r="I28" t="str">
        <f>IFERROR(IF(VLOOKUP(A28,Virgen!A:C,3,FALSE)=Table15[[#Headers],[Virgen]],Table15[[#Headers],[Virgen]],""),"")</f>
        <v>Virgen</v>
      </c>
      <c r="J28" t="str">
        <f>IFERROR(IF(VLOOKUP(A28,Paz!A:C,3,FALSE)=Table15[[#Headers],[Paz]],Table15[[#Headers],[Paz]],""),"")</f>
        <v/>
      </c>
      <c r="K28" t="str">
        <f>IFERROR(IF(VLOOKUP(A28,Pan!A:C,3,FALSE)=Table15[[#Headers],[Pan]],Table15[[#Headers],[Pan]],""),"")</f>
        <v/>
      </c>
      <c r="L28" t="str">
        <f>IFERROR(IF(VLOOKUP(A28,Comunión!A:C,3,FALSE)=Table15[[#Headers],[Comunión]],Table15[[#Headers],[Comunión]],""),"")</f>
        <v/>
      </c>
      <c r="M28" t="str">
        <f>IFERROR(IF(VLOOKUP(A28,Niños!A:C,3,FALSE)=Table15[[#Headers],[Niños]],Table15[[#Headers],[Niños]],""),"")</f>
        <v/>
      </c>
      <c r="N28" t="str">
        <f>IFERROR(IF(VLOOKUP(A28,Laudes!A:C,3,FALSE)=Table15[[#Headers],[Laudes]],Table15[[#Headers],[Laudes]],""),"")</f>
        <v/>
      </c>
      <c r="O28" t="str">
        <f>IFERROR(IF(VLOOKUP(A28,'Nuevo Testamento'!A:C,3,FALSE)=Table15[[#Headers],[Nuevo Testamento]],Table15[[#Headers],[Nuevo Testamento]],""),"")</f>
        <v>Nuevo Testamento</v>
      </c>
      <c r="P28" t="str">
        <f>IFERROR(IF(VLOOKUP(A28,'Antiguo Testamento'!A:C,3,FALSE)=Table15[[#Headers],[Antiguo Testamento]],Table15[[#Headers],[Antiguo Testamento]],""),"")</f>
        <v/>
      </c>
      <c r="Q28" t="str">
        <f>IFERROR(IF(VLOOKUP(A28,Final!A:C,3,FALSE)=Table15[[#Headers],[Final]],Table15[[#Headers],[Final]],""),"")</f>
        <v/>
      </c>
    </row>
    <row r="29" spans="1:17" x14ac:dyDescent="0.25">
      <c r="A29" t="s">
        <v>117</v>
      </c>
      <c r="B29">
        <v>28</v>
      </c>
      <c r="C29" t="str">
        <f>IFERROR(IF(VLOOKUP(A29,Adviento!A:C,3,FALSE)=Table15[[#Headers],[Adviento]],Table15[[#Headers],[Adviento]],""),"")</f>
        <v/>
      </c>
      <c r="D29" t="str">
        <f>IFERROR(IF(VLOOKUP(A29,Navidad!A:C,3,FALSE)=Table15[[#Headers],[Navidad]],Table15[[#Headers],[Navidad]],""),"")</f>
        <v/>
      </c>
      <c r="E29" t="str">
        <f>IFERROR(IF(VLOOKUP(A29,Cuaresma!A:C,3,FALSE)=Table15[[#Headers],[Cuaresma]],Table15[[#Headers],[Cuaresma]],""),"")</f>
        <v/>
      </c>
      <c r="F29" t="str">
        <f>IFERROR(IF(VLOOKUP(A29,Pascua!A:C,3,FALSE)=Table15[[#Headers],[Pascua]],Table15[[#Headers],[Pascua]],""),"")</f>
        <v/>
      </c>
      <c r="G29" t="str">
        <f>IFERROR(IF(VLOOKUP(A29,Pentecostés!A:C,3,FALSE)=Table15[[#Headers],[Pentecostés]],Table15[[#Headers],[Pentecostés]],""),"")</f>
        <v/>
      </c>
      <c r="H29" t="str">
        <f>IFERROR(IF(VLOOKUP(A29,Entrada!A:C,3,FALSE)=Table15[[#Headers],[Entrada]],Table15[[#Headers],[Entrada]],""),"")</f>
        <v/>
      </c>
      <c r="I29" t="str">
        <f>IFERROR(IF(VLOOKUP(A29,Virgen!A:C,3,FALSE)=Table15[[#Headers],[Virgen]],Table15[[#Headers],[Virgen]],""),"")</f>
        <v/>
      </c>
      <c r="J29" t="str">
        <f>IFERROR(IF(VLOOKUP(A29,Paz!A:C,3,FALSE)=Table15[[#Headers],[Paz]],Table15[[#Headers],[Paz]],""),"")</f>
        <v/>
      </c>
      <c r="K29" t="str">
        <f>IFERROR(IF(VLOOKUP(A29,Pan!A:C,3,FALSE)=Table15[[#Headers],[Pan]],Table15[[#Headers],[Pan]],""),"")</f>
        <v/>
      </c>
      <c r="L29" t="str">
        <f>IFERROR(IF(VLOOKUP(A29,Comunión!A:C,3,FALSE)=Table15[[#Headers],[Comunión]],Table15[[#Headers],[Comunión]],""),"")</f>
        <v/>
      </c>
      <c r="M29" t="str">
        <f>IFERROR(IF(VLOOKUP(A29,Niños!A:C,3,FALSE)=Table15[[#Headers],[Niños]],Table15[[#Headers],[Niños]],""),"")</f>
        <v/>
      </c>
      <c r="N29" t="str">
        <f>IFERROR(IF(VLOOKUP(A29,Laudes!A:C,3,FALSE)=Table15[[#Headers],[Laudes]],Table15[[#Headers],[Laudes]],""),"")</f>
        <v>Laudes</v>
      </c>
      <c r="O29" t="str">
        <f>IFERROR(IF(VLOOKUP(A29,'Nuevo Testamento'!A:C,3,FALSE)=Table15[[#Headers],[Nuevo Testamento]],Table15[[#Headers],[Nuevo Testamento]],""),"")</f>
        <v/>
      </c>
      <c r="P29" t="str">
        <f>IFERROR(IF(VLOOKUP(A29,'Antiguo Testamento'!A:C,3,FALSE)=Table15[[#Headers],[Antiguo Testamento]],Table15[[#Headers],[Antiguo Testamento]],""),"")</f>
        <v>Antiguo Testamento</v>
      </c>
      <c r="Q29" t="str">
        <f>IFERROR(IF(VLOOKUP(A29,Final!A:C,3,FALSE)=Table15[[#Headers],[Final]],Table15[[#Headers],[Final]],""),"")</f>
        <v/>
      </c>
    </row>
    <row r="30" spans="1:17" x14ac:dyDescent="0.25">
      <c r="A30" t="s">
        <v>118</v>
      </c>
      <c r="B30">
        <v>29</v>
      </c>
      <c r="C30" t="str">
        <f>IFERROR(IF(VLOOKUP(A30,Adviento!A:C,3,FALSE)=Table15[[#Headers],[Adviento]],Table15[[#Headers],[Adviento]],""),"")</f>
        <v>Adviento</v>
      </c>
      <c r="D30" t="str">
        <f>IFERROR(IF(VLOOKUP(A30,Navidad!A:C,3,FALSE)=Table15[[#Headers],[Navidad]],Table15[[#Headers],[Navidad]],""),"")</f>
        <v>Navidad</v>
      </c>
      <c r="E30" t="str">
        <f>IFERROR(IF(VLOOKUP(A30,Cuaresma!A:C,3,FALSE)=Table15[[#Headers],[Cuaresma]],Table15[[#Headers],[Cuaresma]],""),"")</f>
        <v/>
      </c>
      <c r="F30" t="str">
        <f>IFERROR(IF(VLOOKUP(A30,Pascua!A:C,3,FALSE)=Table15[[#Headers],[Pascua]],Table15[[#Headers],[Pascua]],""),"")</f>
        <v/>
      </c>
      <c r="G30" t="str">
        <f>IFERROR(IF(VLOOKUP(A30,Pentecostés!A:C,3,FALSE)=Table15[[#Headers],[Pentecostés]],Table15[[#Headers],[Pentecostés]],""),"")</f>
        <v/>
      </c>
      <c r="H30" t="str">
        <f>IFERROR(IF(VLOOKUP(A30,Entrada!A:C,3,FALSE)=Table15[[#Headers],[Entrada]],Table15[[#Headers],[Entrada]],""),"")</f>
        <v/>
      </c>
      <c r="I30" t="str">
        <f>IFERROR(IF(VLOOKUP(A30,Virgen!A:C,3,FALSE)=Table15[[#Headers],[Virgen]],Table15[[#Headers],[Virgen]],""),"")</f>
        <v/>
      </c>
      <c r="J30" t="str">
        <f>IFERROR(IF(VLOOKUP(A30,Paz!A:C,3,FALSE)=Table15[[#Headers],[Paz]],Table15[[#Headers],[Paz]],""),"")</f>
        <v/>
      </c>
      <c r="K30" t="str">
        <f>IFERROR(IF(VLOOKUP(A30,Pan!A:C,3,FALSE)=Table15[[#Headers],[Pan]],Table15[[#Headers],[Pan]],""),"")</f>
        <v/>
      </c>
      <c r="L30" t="str">
        <f>IFERROR(IF(VLOOKUP(A30,Comunión!A:C,3,FALSE)=Table15[[#Headers],[Comunión]],Table15[[#Headers],[Comunión]],""),"")</f>
        <v/>
      </c>
      <c r="M30" t="str">
        <f>IFERROR(IF(VLOOKUP(A30,Niños!A:C,3,FALSE)=Table15[[#Headers],[Niños]],Table15[[#Headers],[Niños]],""),"")</f>
        <v/>
      </c>
      <c r="N30" t="str">
        <f>IFERROR(IF(VLOOKUP(A30,Laudes!A:C,3,FALSE)=Table15[[#Headers],[Laudes]],Table15[[#Headers],[Laudes]],""),"")</f>
        <v/>
      </c>
      <c r="O30" t="str">
        <f>IFERROR(IF(VLOOKUP(A30,'Nuevo Testamento'!A:C,3,FALSE)=Table15[[#Headers],[Nuevo Testamento]],Table15[[#Headers],[Nuevo Testamento]],""),"")</f>
        <v/>
      </c>
      <c r="P30" t="str">
        <f>IFERROR(IF(VLOOKUP(A30,'Antiguo Testamento'!A:C,3,FALSE)=Table15[[#Headers],[Antiguo Testamento]],Table15[[#Headers],[Antiguo Testamento]],""),"")</f>
        <v/>
      </c>
      <c r="Q30" t="str">
        <f>IFERROR(IF(VLOOKUP(A30,Final!A:C,3,FALSE)=Table15[[#Headers],[Final]],Table15[[#Headers],[Final]],""),"")</f>
        <v/>
      </c>
    </row>
    <row r="31" spans="1:17" x14ac:dyDescent="0.25">
      <c r="A31" t="s">
        <v>20</v>
      </c>
      <c r="B31">
        <v>30</v>
      </c>
      <c r="C31" t="str">
        <f>IFERROR(IF(VLOOKUP(A31,Adviento!A:C,3,FALSE)=Table15[[#Headers],[Adviento]],Table15[[#Headers],[Adviento]],""),"")</f>
        <v/>
      </c>
      <c r="D31" t="str">
        <f>IFERROR(IF(VLOOKUP(A31,Navidad!A:C,3,FALSE)=Table15[[#Headers],[Navidad]],Table15[[#Headers],[Navidad]],""),"")</f>
        <v/>
      </c>
      <c r="E31" t="str">
        <f>IFERROR(IF(VLOOKUP(A31,Cuaresma!A:C,3,FALSE)=Table15[[#Headers],[Cuaresma]],Table15[[#Headers],[Cuaresma]],""),"")</f>
        <v/>
      </c>
      <c r="F31" t="str">
        <f>IFERROR(IF(VLOOKUP(A31,Pascua!A:C,3,FALSE)=Table15[[#Headers],[Pascua]],Table15[[#Headers],[Pascua]],""),"")</f>
        <v/>
      </c>
      <c r="G31" t="str">
        <f>IFERROR(IF(VLOOKUP(A31,Pentecostés!A:C,3,FALSE)=Table15[[#Headers],[Pentecostés]],Table15[[#Headers],[Pentecostés]],""),"")</f>
        <v/>
      </c>
      <c r="H31" t="str">
        <f>IFERROR(IF(VLOOKUP(A31,Entrada!A:C,3,FALSE)=Table15[[#Headers],[Entrada]],Table15[[#Headers],[Entrada]],""),"")</f>
        <v/>
      </c>
      <c r="I31" t="str">
        <f>IFERROR(IF(VLOOKUP(A31,Virgen!A:C,3,FALSE)=Table15[[#Headers],[Virgen]],Table15[[#Headers],[Virgen]],""),"")</f>
        <v/>
      </c>
      <c r="J31" t="str">
        <f>IFERROR(IF(VLOOKUP(A31,Paz!A:C,3,FALSE)=Table15[[#Headers],[Paz]],Table15[[#Headers],[Paz]],""),"")</f>
        <v/>
      </c>
      <c r="K31" t="str">
        <f>IFERROR(IF(VLOOKUP(A31,Pan!A:C,3,FALSE)=Table15[[#Headers],[Pan]],Table15[[#Headers],[Pan]],""),"")</f>
        <v/>
      </c>
      <c r="L31" t="str">
        <f>IFERROR(IF(VLOOKUP(A31,Comunión!A:C,3,FALSE)=Table15[[#Headers],[Comunión]],Table15[[#Headers],[Comunión]],""),"")</f>
        <v/>
      </c>
      <c r="M31" t="str">
        <f>IFERROR(IF(VLOOKUP(A31,Niños!A:C,3,FALSE)=Table15[[#Headers],[Niños]],Table15[[#Headers],[Niños]],""),"")</f>
        <v/>
      </c>
      <c r="N31" t="str">
        <f>IFERROR(IF(VLOOKUP(A31,Laudes!A:C,3,FALSE)=Table15[[#Headers],[Laudes]],Table15[[#Headers],[Laudes]],""),"")</f>
        <v>Laudes</v>
      </c>
      <c r="O31" t="str">
        <f>IFERROR(IF(VLOOKUP(A31,'Nuevo Testamento'!A:C,3,FALSE)=Table15[[#Headers],[Nuevo Testamento]],Table15[[#Headers],[Nuevo Testamento]],""),"")</f>
        <v>Nuevo Testamento</v>
      </c>
      <c r="P31" t="str">
        <f>IFERROR(IF(VLOOKUP(A31,'Antiguo Testamento'!A:C,3,FALSE)=Table15[[#Headers],[Antiguo Testamento]],Table15[[#Headers],[Antiguo Testamento]],""),"")</f>
        <v/>
      </c>
      <c r="Q31" t="str">
        <f>IFERROR(IF(VLOOKUP(A31,Final!A:C,3,FALSE)=Table15[[#Headers],[Final]],Table15[[#Headers],[Final]],""),"")</f>
        <v/>
      </c>
    </row>
    <row r="32" spans="1:17" x14ac:dyDescent="0.25">
      <c r="A32" t="s">
        <v>119</v>
      </c>
      <c r="B32">
        <v>31</v>
      </c>
      <c r="C32" t="str">
        <f>IFERROR(IF(VLOOKUP(A32,Adviento!A:C,3,FALSE)=Table15[[#Headers],[Adviento]],Table15[[#Headers],[Adviento]],""),"")</f>
        <v/>
      </c>
      <c r="D32" t="str">
        <f>IFERROR(IF(VLOOKUP(A32,Navidad!A:C,3,FALSE)=Table15[[#Headers],[Navidad]],Table15[[#Headers],[Navidad]],""),"")</f>
        <v/>
      </c>
      <c r="E32" t="str">
        <f>IFERROR(IF(VLOOKUP(A32,Cuaresma!A:C,3,FALSE)=Table15[[#Headers],[Cuaresma]],Table15[[#Headers],[Cuaresma]],""),"")</f>
        <v/>
      </c>
      <c r="F32" t="str">
        <f>IFERROR(IF(VLOOKUP(A32,Pascua!A:C,3,FALSE)=Table15[[#Headers],[Pascua]],Table15[[#Headers],[Pascua]],""),"")</f>
        <v/>
      </c>
      <c r="G32" t="str">
        <f>IFERROR(IF(VLOOKUP(A32,Pentecostés!A:C,3,FALSE)=Table15[[#Headers],[Pentecostés]],Table15[[#Headers],[Pentecostés]],""),"")</f>
        <v/>
      </c>
      <c r="H32" t="str">
        <f>IFERROR(IF(VLOOKUP(A32,Entrada!A:C,3,FALSE)=Table15[[#Headers],[Entrada]],Table15[[#Headers],[Entrada]],""),"")</f>
        <v/>
      </c>
      <c r="I32" t="str">
        <f>IFERROR(IF(VLOOKUP(A32,Virgen!A:C,3,FALSE)=Table15[[#Headers],[Virgen]],Table15[[#Headers],[Virgen]],""),"")</f>
        <v/>
      </c>
      <c r="J32" t="str">
        <f>IFERROR(IF(VLOOKUP(A32,Paz!A:C,3,FALSE)=Table15[[#Headers],[Paz]],Table15[[#Headers],[Paz]],""),"")</f>
        <v/>
      </c>
      <c r="K32" t="str">
        <f>IFERROR(IF(VLOOKUP(A32,Pan!A:C,3,FALSE)=Table15[[#Headers],[Pan]],Table15[[#Headers],[Pan]],""),"")</f>
        <v/>
      </c>
      <c r="L32" t="str">
        <f>IFERROR(IF(VLOOKUP(A32,Comunión!A:C,3,FALSE)=Table15[[#Headers],[Comunión]],Table15[[#Headers],[Comunión]],""),"")</f>
        <v/>
      </c>
      <c r="M32" t="str">
        <f>IFERROR(IF(VLOOKUP(A32,Niños!A:C,3,FALSE)=Table15[[#Headers],[Niños]],Table15[[#Headers],[Niños]],""),"")</f>
        <v/>
      </c>
      <c r="N32" t="str">
        <f>IFERROR(IF(VLOOKUP(A32,Laudes!A:C,3,FALSE)=Table15[[#Headers],[Laudes]],Table15[[#Headers],[Laudes]],""),"")</f>
        <v>Laudes</v>
      </c>
      <c r="O32" t="str">
        <f>IFERROR(IF(VLOOKUP(A32,'Nuevo Testamento'!A:C,3,FALSE)=Table15[[#Headers],[Nuevo Testamento]],Table15[[#Headers],[Nuevo Testamento]],""),"")</f>
        <v/>
      </c>
      <c r="P32" t="str">
        <f>IFERROR(IF(VLOOKUP(A32,'Antiguo Testamento'!A:C,3,FALSE)=Table15[[#Headers],[Antiguo Testamento]],Table15[[#Headers],[Antiguo Testamento]],""),"")</f>
        <v>Antiguo Testamento</v>
      </c>
      <c r="Q32" t="str">
        <f>IFERROR(IF(VLOOKUP(A32,Final!A:C,3,FALSE)=Table15[[#Headers],[Final]],Table15[[#Headers],[Final]],""),"")</f>
        <v/>
      </c>
    </row>
    <row r="33" spans="1:17" x14ac:dyDescent="0.25">
      <c r="A33" t="s">
        <v>21</v>
      </c>
      <c r="B33">
        <v>32</v>
      </c>
      <c r="C33" t="str">
        <f>IFERROR(IF(VLOOKUP(A33,Adviento!A:C,3,FALSE)=Table15[[#Headers],[Adviento]],Table15[[#Headers],[Adviento]],""),"")</f>
        <v/>
      </c>
      <c r="D33" t="str">
        <f>IFERROR(IF(VLOOKUP(A33,Navidad!A:C,3,FALSE)=Table15[[#Headers],[Navidad]],Table15[[#Headers],[Navidad]],""),"")</f>
        <v/>
      </c>
      <c r="E33" t="str">
        <f>IFERROR(IF(VLOOKUP(A33,Cuaresma!A:C,3,FALSE)=Table15[[#Headers],[Cuaresma]],Table15[[#Headers],[Cuaresma]],""),"")</f>
        <v/>
      </c>
      <c r="F33" t="str">
        <f>IFERROR(IF(VLOOKUP(A33,Pascua!A:C,3,FALSE)=Table15[[#Headers],[Pascua]],Table15[[#Headers],[Pascua]],""),"")</f>
        <v/>
      </c>
      <c r="G33" t="str">
        <f>IFERROR(IF(VLOOKUP(A33,Pentecostés!A:C,3,FALSE)=Table15[[#Headers],[Pentecostés]],Table15[[#Headers],[Pentecostés]],""),"")</f>
        <v/>
      </c>
      <c r="H33" t="str">
        <f>IFERROR(IF(VLOOKUP(A33,Entrada!A:C,3,FALSE)=Table15[[#Headers],[Entrada]],Table15[[#Headers],[Entrada]],""),"")</f>
        <v>Entrada</v>
      </c>
      <c r="I33" t="str">
        <f>IFERROR(IF(VLOOKUP(A33,Virgen!A:C,3,FALSE)=Table15[[#Headers],[Virgen]],Table15[[#Headers],[Virgen]],""),"")</f>
        <v/>
      </c>
      <c r="J33" t="str">
        <f>IFERROR(IF(VLOOKUP(A33,Paz!A:C,3,FALSE)=Table15[[#Headers],[Paz]],Table15[[#Headers],[Paz]],""),"")</f>
        <v/>
      </c>
      <c r="K33" t="str">
        <f>IFERROR(IF(VLOOKUP(A33,Pan!A:C,3,FALSE)=Table15[[#Headers],[Pan]],Table15[[#Headers],[Pan]],""),"")</f>
        <v/>
      </c>
      <c r="L33" t="str">
        <f>IFERROR(IF(VLOOKUP(A33,Comunión!A:C,3,FALSE)=Table15[[#Headers],[Comunión]],Table15[[#Headers],[Comunión]],""),"")</f>
        <v/>
      </c>
      <c r="M33" t="str">
        <f>IFERROR(IF(VLOOKUP(A33,Niños!A:C,3,FALSE)=Table15[[#Headers],[Niños]],Table15[[#Headers],[Niños]],""),"")</f>
        <v/>
      </c>
      <c r="N33" t="str">
        <f>IFERROR(IF(VLOOKUP(A33,Laudes!A:C,3,FALSE)=Table15[[#Headers],[Laudes]],Table15[[#Headers],[Laudes]],""),"")</f>
        <v>Laudes</v>
      </c>
      <c r="O33" t="str">
        <f>IFERROR(IF(VLOOKUP(A33,'Nuevo Testamento'!A:C,3,FALSE)=Table15[[#Headers],[Nuevo Testamento]],Table15[[#Headers],[Nuevo Testamento]],""),"")</f>
        <v/>
      </c>
      <c r="P33" t="str">
        <f>IFERROR(IF(VLOOKUP(A33,'Antiguo Testamento'!A:C,3,FALSE)=Table15[[#Headers],[Antiguo Testamento]],Table15[[#Headers],[Antiguo Testamento]],""),"")</f>
        <v>Antiguo Testamento</v>
      </c>
      <c r="Q33" t="str">
        <f>IFERROR(IF(VLOOKUP(A33,Final!A:C,3,FALSE)=Table15[[#Headers],[Final]],Table15[[#Headers],[Final]],""),"")</f>
        <v/>
      </c>
    </row>
    <row r="34" spans="1:17" x14ac:dyDescent="0.25">
      <c r="A34" t="s">
        <v>120</v>
      </c>
      <c r="B34">
        <v>33</v>
      </c>
      <c r="C34" t="str">
        <f>IFERROR(IF(VLOOKUP(A34,Adviento!A:C,3,FALSE)=Table15[[#Headers],[Adviento]],Table15[[#Headers],[Adviento]],""),"")</f>
        <v/>
      </c>
      <c r="D34" t="str">
        <f>IFERROR(IF(VLOOKUP(A34,Navidad!A:C,3,FALSE)=Table15[[#Headers],[Navidad]],Table15[[#Headers],[Navidad]],""),"")</f>
        <v/>
      </c>
      <c r="E34" t="str">
        <f>IFERROR(IF(VLOOKUP(A34,Cuaresma!A:C,3,FALSE)=Table15[[#Headers],[Cuaresma]],Table15[[#Headers],[Cuaresma]],""),"")</f>
        <v/>
      </c>
      <c r="F34" t="str">
        <f>IFERROR(IF(VLOOKUP(A34,Pascua!A:C,3,FALSE)=Table15[[#Headers],[Pascua]],Table15[[#Headers],[Pascua]],""),"")</f>
        <v/>
      </c>
      <c r="G34" t="str">
        <f>IFERROR(IF(VLOOKUP(A34,Pentecostés!A:C,3,FALSE)=Table15[[#Headers],[Pentecostés]],Table15[[#Headers],[Pentecostés]],""),"")</f>
        <v/>
      </c>
      <c r="H34" t="str">
        <f>IFERROR(IF(VLOOKUP(A34,Entrada!A:C,3,FALSE)=Table15[[#Headers],[Entrada]],Table15[[#Headers],[Entrada]],""),"")</f>
        <v/>
      </c>
      <c r="I34" t="str">
        <f>IFERROR(IF(VLOOKUP(A34,Virgen!A:C,3,FALSE)=Table15[[#Headers],[Virgen]],Table15[[#Headers],[Virgen]],""),"")</f>
        <v/>
      </c>
      <c r="J34" t="str">
        <f>IFERROR(IF(VLOOKUP(A34,Paz!A:C,3,FALSE)=Table15[[#Headers],[Paz]],Table15[[#Headers],[Paz]],""),"")</f>
        <v/>
      </c>
      <c r="K34" t="str">
        <f>IFERROR(IF(VLOOKUP(A34,Pan!A:C,3,FALSE)=Table15[[#Headers],[Pan]],Table15[[#Headers],[Pan]],""),"")</f>
        <v/>
      </c>
      <c r="L34" t="str">
        <f>IFERROR(IF(VLOOKUP(A34,Comunión!A:C,3,FALSE)=Table15[[#Headers],[Comunión]],Table15[[#Headers],[Comunión]],""),"")</f>
        <v/>
      </c>
      <c r="M34" t="str">
        <f>IFERROR(IF(VLOOKUP(A34,Niños!A:C,3,FALSE)=Table15[[#Headers],[Niños]],Table15[[#Headers],[Niños]],""),"")</f>
        <v/>
      </c>
      <c r="N34" t="str">
        <f>IFERROR(IF(VLOOKUP(A34,Laudes!A:C,3,FALSE)=Table15[[#Headers],[Laudes]],Table15[[#Headers],[Laudes]],""),"")</f>
        <v>Laudes</v>
      </c>
      <c r="O34" t="str">
        <f>IFERROR(IF(VLOOKUP(A34,'Nuevo Testamento'!A:C,3,FALSE)=Table15[[#Headers],[Nuevo Testamento]],Table15[[#Headers],[Nuevo Testamento]],""),"")</f>
        <v/>
      </c>
      <c r="P34" t="str">
        <f>IFERROR(IF(VLOOKUP(A34,'Antiguo Testamento'!A:C,3,FALSE)=Table15[[#Headers],[Antiguo Testamento]],Table15[[#Headers],[Antiguo Testamento]],""),"")</f>
        <v>Antiguo Testamento</v>
      </c>
      <c r="Q34" t="str">
        <f>IFERROR(IF(VLOOKUP(A34,Final!A:C,3,FALSE)=Table15[[#Headers],[Final]],Table15[[#Headers],[Final]],""),"")</f>
        <v/>
      </c>
    </row>
    <row r="35" spans="1:17" x14ac:dyDescent="0.25">
      <c r="A35" t="s">
        <v>22</v>
      </c>
      <c r="B35">
        <v>34</v>
      </c>
      <c r="C35" t="str">
        <f>IFERROR(IF(VLOOKUP(A35,Adviento!A:C,3,FALSE)=Table15[[#Headers],[Adviento]],Table15[[#Headers],[Adviento]],""),"")</f>
        <v/>
      </c>
      <c r="D35" t="str">
        <f>IFERROR(IF(VLOOKUP(A35,Navidad!A:C,3,FALSE)=Table15[[#Headers],[Navidad]],Table15[[#Headers],[Navidad]],""),"")</f>
        <v/>
      </c>
      <c r="E35" t="str">
        <f>IFERROR(IF(VLOOKUP(A35,Cuaresma!A:C,3,FALSE)=Table15[[#Headers],[Cuaresma]],Table15[[#Headers],[Cuaresma]],""),"")</f>
        <v/>
      </c>
      <c r="F35" t="str">
        <f>IFERROR(IF(VLOOKUP(A35,Pascua!A:C,3,FALSE)=Table15[[#Headers],[Pascua]],Table15[[#Headers],[Pascua]],""),"")</f>
        <v>Pascua</v>
      </c>
      <c r="G35" t="str">
        <f>IFERROR(IF(VLOOKUP(A35,Pentecostés!A:C,3,FALSE)=Table15[[#Headers],[Pentecostés]],Table15[[#Headers],[Pentecostés]],""),"")</f>
        <v>Pentecostés</v>
      </c>
      <c r="H35" t="str">
        <f>IFERROR(IF(VLOOKUP(A35,Entrada!A:C,3,FALSE)=Table15[[#Headers],[Entrada]],Table15[[#Headers],[Entrada]],""),"")</f>
        <v/>
      </c>
      <c r="I35" t="str">
        <f>IFERROR(IF(VLOOKUP(A35,Virgen!A:C,3,FALSE)=Table15[[#Headers],[Virgen]],Table15[[#Headers],[Virgen]],""),"")</f>
        <v/>
      </c>
      <c r="J35" t="str">
        <f>IFERROR(IF(VLOOKUP(A35,Paz!A:C,3,FALSE)=Table15[[#Headers],[Paz]],Table15[[#Headers],[Paz]],""),"")</f>
        <v/>
      </c>
      <c r="K35" t="str">
        <f>IFERROR(IF(VLOOKUP(A35,Pan!A:C,3,FALSE)=Table15[[#Headers],[Pan]],Table15[[#Headers],[Pan]],""),"")</f>
        <v/>
      </c>
      <c r="L35" t="str">
        <f>IFERROR(IF(VLOOKUP(A35,Comunión!A:C,3,FALSE)=Table15[[#Headers],[Comunión]],Table15[[#Headers],[Comunión]],""),"")</f>
        <v/>
      </c>
      <c r="M35" t="str">
        <f>IFERROR(IF(VLOOKUP(A35,Niños!A:C,3,FALSE)=Table15[[#Headers],[Niños]],Table15[[#Headers],[Niños]],""),"")</f>
        <v/>
      </c>
      <c r="N35" t="str">
        <f>IFERROR(IF(VLOOKUP(A35,Laudes!A:C,3,FALSE)=Table15[[#Headers],[Laudes]],Table15[[#Headers],[Laudes]],""),"")</f>
        <v/>
      </c>
      <c r="O35" t="str">
        <f>IFERROR(IF(VLOOKUP(A35,'Nuevo Testamento'!A:C,3,FALSE)=Table15[[#Headers],[Nuevo Testamento]],Table15[[#Headers],[Nuevo Testamento]],""),"")</f>
        <v/>
      </c>
      <c r="P35" t="str">
        <f>IFERROR(IF(VLOOKUP(A35,'Antiguo Testamento'!A:C,3,FALSE)=Table15[[#Headers],[Antiguo Testamento]],Table15[[#Headers],[Antiguo Testamento]],""),"")</f>
        <v>Antiguo Testamento</v>
      </c>
      <c r="Q35" t="str">
        <f>IFERROR(IF(VLOOKUP(A35,Final!A:C,3,FALSE)=Table15[[#Headers],[Final]],Table15[[#Headers],[Final]],""),"")</f>
        <v/>
      </c>
    </row>
    <row r="36" spans="1:17" x14ac:dyDescent="0.25">
      <c r="A36" t="s">
        <v>121</v>
      </c>
      <c r="B36">
        <v>35</v>
      </c>
      <c r="C36" t="str">
        <f>IFERROR(IF(VLOOKUP(A36,Adviento!A:C,3,FALSE)=Table15[[#Headers],[Adviento]],Table15[[#Headers],[Adviento]],""),"")</f>
        <v/>
      </c>
      <c r="D36" t="str">
        <f>IFERROR(IF(VLOOKUP(A36,Navidad!A:C,3,FALSE)=Table15[[#Headers],[Navidad]],Table15[[#Headers],[Navidad]],""),"")</f>
        <v/>
      </c>
      <c r="E36" t="str">
        <f>IFERROR(IF(VLOOKUP(A36,Cuaresma!A:C,3,FALSE)=Table15[[#Headers],[Cuaresma]],Table15[[#Headers],[Cuaresma]],""),"")</f>
        <v>Cuaresma</v>
      </c>
      <c r="F36" t="str">
        <f>IFERROR(IF(VLOOKUP(A36,Pascua!A:C,3,FALSE)=Table15[[#Headers],[Pascua]],Table15[[#Headers],[Pascua]],""),"")</f>
        <v/>
      </c>
      <c r="G36" t="str">
        <f>IFERROR(IF(VLOOKUP(A36,Pentecostés!A:C,3,FALSE)=Table15[[#Headers],[Pentecostés]],Table15[[#Headers],[Pentecostés]],""),"")</f>
        <v/>
      </c>
      <c r="H36" t="str">
        <f>IFERROR(IF(VLOOKUP(A36,Entrada!A:C,3,FALSE)=Table15[[#Headers],[Entrada]],Table15[[#Headers],[Entrada]],""),"")</f>
        <v/>
      </c>
      <c r="I36" t="str">
        <f>IFERROR(IF(VLOOKUP(A36,Virgen!A:C,3,FALSE)=Table15[[#Headers],[Virgen]],Table15[[#Headers],[Virgen]],""),"")</f>
        <v/>
      </c>
      <c r="J36" t="str">
        <f>IFERROR(IF(VLOOKUP(A36,Paz!A:C,3,FALSE)=Table15[[#Headers],[Paz]],Table15[[#Headers],[Paz]],""),"")</f>
        <v/>
      </c>
      <c r="K36" t="str">
        <f>IFERROR(IF(VLOOKUP(A36,Pan!A:C,3,FALSE)=Table15[[#Headers],[Pan]],Table15[[#Headers],[Pan]],""),"")</f>
        <v/>
      </c>
      <c r="L36" t="str">
        <f>IFERROR(IF(VLOOKUP(A36,Comunión!A:C,3,FALSE)=Table15[[#Headers],[Comunión]],Table15[[#Headers],[Comunión]],""),"")</f>
        <v/>
      </c>
      <c r="M36" t="str">
        <f>IFERROR(IF(VLOOKUP(A36,Niños!A:C,3,FALSE)=Table15[[#Headers],[Niños]],Table15[[#Headers],[Niños]],""),"")</f>
        <v/>
      </c>
      <c r="N36" t="str">
        <f>IFERROR(IF(VLOOKUP(A36,Laudes!A:C,3,FALSE)=Table15[[#Headers],[Laudes]],Table15[[#Headers],[Laudes]],""),"")</f>
        <v/>
      </c>
      <c r="O36" t="str">
        <f>IFERROR(IF(VLOOKUP(A36,'Nuevo Testamento'!A:C,3,FALSE)=Table15[[#Headers],[Nuevo Testamento]],Table15[[#Headers],[Nuevo Testamento]],""),"")</f>
        <v>Nuevo Testamento</v>
      </c>
      <c r="P36" t="str">
        <f>IFERROR(IF(VLOOKUP(A36,'Antiguo Testamento'!A:C,3,FALSE)=Table15[[#Headers],[Antiguo Testamento]],Table15[[#Headers],[Antiguo Testamento]],""),"")</f>
        <v/>
      </c>
      <c r="Q36" t="str">
        <f>IFERROR(IF(VLOOKUP(A36,Final!A:C,3,FALSE)=Table15[[#Headers],[Final]],Table15[[#Headers],[Final]],""),"")</f>
        <v/>
      </c>
    </row>
    <row r="37" spans="1:17" x14ac:dyDescent="0.25">
      <c r="A37" t="s">
        <v>122</v>
      </c>
      <c r="B37">
        <v>36</v>
      </c>
      <c r="C37" t="str">
        <f>IFERROR(IF(VLOOKUP(A37,Adviento!A:C,3,FALSE)=Table15[[#Headers],[Adviento]],Table15[[#Headers],[Adviento]],""),"")</f>
        <v/>
      </c>
      <c r="D37" t="str">
        <f>IFERROR(IF(VLOOKUP(A37,Navidad!A:C,3,FALSE)=Table15[[#Headers],[Navidad]],Table15[[#Headers],[Navidad]],""),"")</f>
        <v/>
      </c>
      <c r="E37" t="str">
        <f>IFERROR(IF(VLOOKUP(A37,Cuaresma!A:C,3,FALSE)=Table15[[#Headers],[Cuaresma]],Table15[[#Headers],[Cuaresma]],""),"")</f>
        <v/>
      </c>
      <c r="F37" t="str">
        <f>IFERROR(IF(VLOOKUP(A37,Pascua!A:C,3,FALSE)=Table15[[#Headers],[Pascua]],Table15[[#Headers],[Pascua]],""),"")</f>
        <v/>
      </c>
      <c r="G37" t="str">
        <f>IFERROR(IF(VLOOKUP(A37,Pentecostés!A:C,3,FALSE)=Table15[[#Headers],[Pentecostés]],Table15[[#Headers],[Pentecostés]],""),"")</f>
        <v/>
      </c>
      <c r="H37" t="str">
        <f>IFERROR(IF(VLOOKUP(A37,Entrada!A:C,3,FALSE)=Table15[[#Headers],[Entrada]],Table15[[#Headers],[Entrada]],""),"")</f>
        <v/>
      </c>
      <c r="I37" t="str">
        <f>IFERROR(IF(VLOOKUP(A37,Virgen!A:C,3,FALSE)=Table15[[#Headers],[Virgen]],Table15[[#Headers],[Virgen]],""),"")</f>
        <v/>
      </c>
      <c r="J37" t="str">
        <f>IFERROR(IF(VLOOKUP(A37,Paz!A:C,3,FALSE)=Table15[[#Headers],[Paz]],Table15[[#Headers],[Paz]],""),"")</f>
        <v/>
      </c>
      <c r="K37" t="str">
        <f>IFERROR(IF(VLOOKUP(A37,Pan!A:C,3,FALSE)=Table15[[#Headers],[Pan]],Table15[[#Headers],[Pan]],""),"")</f>
        <v/>
      </c>
      <c r="L37" t="str">
        <f>IFERROR(IF(VLOOKUP(A37,Comunión!A:C,3,FALSE)=Table15[[#Headers],[Comunión]],Table15[[#Headers],[Comunión]],""),"")</f>
        <v>Comunión</v>
      </c>
      <c r="M37" t="str">
        <f>IFERROR(IF(VLOOKUP(A37,Niños!A:C,3,FALSE)=Table15[[#Headers],[Niños]],Table15[[#Headers],[Niños]],""),"")</f>
        <v/>
      </c>
      <c r="N37" t="str">
        <f>IFERROR(IF(VLOOKUP(A37,Laudes!A:C,3,FALSE)=Table15[[#Headers],[Laudes]],Table15[[#Headers],[Laudes]],""),"")</f>
        <v/>
      </c>
      <c r="O37" t="str">
        <f>IFERROR(IF(VLOOKUP(A37,'Nuevo Testamento'!A:C,3,FALSE)=Table15[[#Headers],[Nuevo Testamento]],Table15[[#Headers],[Nuevo Testamento]],""),"")</f>
        <v/>
      </c>
      <c r="P37" t="str">
        <f>IFERROR(IF(VLOOKUP(A37,'Antiguo Testamento'!A:C,3,FALSE)=Table15[[#Headers],[Antiguo Testamento]],Table15[[#Headers],[Antiguo Testamento]],""),"")</f>
        <v/>
      </c>
      <c r="Q37" t="str">
        <f>IFERROR(IF(VLOOKUP(A37,Final!A:C,3,FALSE)=Table15[[#Headers],[Final]],Table15[[#Headers],[Final]],""),"")</f>
        <v>Final</v>
      </c>
    </row>
    <row r="38" spans="1:17" x14ac:dyDescent="0.25">
      <c r="A38" t="s">
        <v>123</v>
      </c>
      <c r="B38">
        <v>37</v>
      </c>
      <c r="C38" t="str">
        <f>IFERROR(IF(VLOOKUP(A38,Adviento!A:C,3,FALSE)=Table15[[#Headers],[Adviento]],Table15[[#Headers],[Adviento]],""),"")</f>
        <v/>
      </c>
      <c r="D38" t="str">
        <f>IFERROR(IF(VLOOKUP(A38,Navidad!A:C,3,FALSE)=Table15[[#Headers],[Navidad]],Table15[[#Headers],[Navidad]],""),"")</f>
        <v/>
      </c>
      <c r="E38" t="str">
        <f>IFERROR(IF(VLOOKUP(A38,Cuaresma!A:C,3,FALSE)=Table15[[#Headers],[Cuaresma]],Table15[[#Headers],[Cuaresma]],""),"")</f>
        <v/>
      </c>
      <c r="F38" t="str">
        <f>IFERROR(IF(VLOOKUP(A38,Pascua!A:C,3,FALSE)=Table15[[#Headers],[Pascua]],Table15[[#Headers],[Pascua]],""),"")</f>
        <v/>
      </c>
      <c r="G38" t="str">
        <f>IFERROR(IF(VLOOKUP(A38,Pentecostés!A:C,3,FALSE)=Table15[[#Headers],[Pentecostés]],Table15[[#Headers],[Pentecostés]],""),"")</f>
        <v/>
      </c>
      <c r="H38" t="str">
        <f>IFERROR(IF(VLOOKUP(A38,Entrada!A:C,3,FALSE)=Table15[[#Headers],[Entrada]],Table15[[#Headers],[Entrada]],""),"")</f>
        <v/>
      </c>
      <c r="I38" t="str">
        <f>IFERROR(IF(VLOOKUP(A38,Virgen!A:C,3,FALSE)=Table15[[#Headers],[Virgen]],Table15[[#Headers],[Virgen]],""),"")</f>
        <v/>
      </c>
      <c r="J38" t="str">
        <f>IFERROR(IF(VLOOKUP(A38,Paz!A:C,3,FALSE)=Table15[[#Headers],[Paz]],Table15[[#Headers],[Paz]],""),"")</f>
        <v/>
      </c>
      <c r="K38" t="str">
        <f>IFERROR(IF(VLOOKUP(A38,Pan!A:C,3,FALSE)=Table15[[#Headers],[Pan]],Table15[[#Headers],[Pan]],""),"")</f>
        <v/>
      </c>
      <c r="L38" t="str">
        <f>IFERROR(IF(VLOOKUP(A38,Comunión!A:C,3,FALSE)=Table15[[#Headers],[Comunión]],Table15[[#Headers],[Comunión]],""),"")</f>
        <v/>
      </c>
      <c r="M38" t="str">
        <f>IFERROR(IF(VLOOKUP(A38,Niños!A:C,3,FALSE)=Table15[[#Headers],[Niños]],Table15[[#Headers],[Niños]],""),"")</f>
        <v/>
      </c>
      <c r="N38" t="str">
        <f>IFERROR(IF(VLOOKUP(A38,Laudes!A:C,3,FALSE)=Table15[[#Headers],[Laudes]],Table15[[#Headers],[Laudes]],""),"")</f>
        <v/>
      </c>
      <c r="O38" t="str">
        <f>IFERROR(IF(VLOOKUP(A38,'Nuevo Testamento'!A:C,3,FALSE)=Table15[[#Headers],[Nuevo Testamento]],Table15[[#Headers],[Nuevo Testamento]],""),"")</f>
        <v>Nuevo Testamento</v>
      </c>
      <c r="P38" t="str">
        <f>IFERROR(IF(VLOOKUP(A38,'Antiguo Testamento'!A:C,3,FALSE)=Table15[[#Headers],[Antiguo Testamento]],Table15[[#Headers],[Antiguo Testamento]],""),"")</f>
        <v/>
      </c>
      <c r="Q38" t="str">
        <f>IFERROR(IF(VLOOKUP(A38,Final!A:C,3,FALSE)=Table15[[#Headers],[Final]],Table15[[#Headers],[Final]],""),"")</f>
        <v/>
      </c>
    </row>
    <row r="39" spans="1:17" x14ac:dyDescent="0.25">
      <c r="A39" t="s">
        <v>23</v>
      </c>
      <c r="B39">
        <v>38</v>
      </c>
      <c r="C39" t="str">
        <f>IFERROR(IF(VLOOKUP(A39,Adviento!A:C,3,FALSE)=Table15[[#Headers],[Adviento]],Table15[[#Headers],[Adviento]],""),"")</f>
        <v/>
      </c>
      <c r="D39" t="str">
        <f>IFERROR(IF(VLOOKUP(A39,Navidad!A:C,3,FALSE)=Table15[[#Headers],[Navidad]],Table15[[#Headers],[Navidad]],""),"")</f>
        <v/>
      </c>
      <c r="E39" t="str">
        <f>IFERROR(IF(VLOOKUP(A39,Cuaresma!A:C,3,FALSE)=Table15[[#Headers],[Cuaresma]],Table15[[#Headers],[Cuaresma]],""),"")</f>
        <v/>
      </c>
      <c r="F39" t="str">
        <f>IFERROR(IF(VLOOKUP(A39,Pascua!A:C,3,FALSE)=Table15[[#Headers],[Pascua]],Table15[[#Headers],[Pascua]],""),"")</f>
        <v/>
      </c>
      <c r="G39" t="str">
        <f>IFERROR(IF(VLOOKUP(A39,Pentecostés!A:C,3,FALSE)=Table15[[#Headers],[Pentecostés]],Table15[[#Headers],[Pentecostés]],""),"")</f>
        <v/>
      </c>
      <c r="H39" t="str">
        <f>IFERROR(IF(VLOOKUP(A39,Entrada!A:C,3,FALSE)=Table15[[#Headers],[Entrada]],Table15[[#Headers],[Entrada]],""),"")</f>
        <v/>
      </c>
      <c r="I39" t="str">
        <f>IFERROR(IF(VLOOKUP(A39,Virgen!A:C,3,FALSE)=Table15[[#Headers],[Virgen]],Table15[[#Headers],[Virgen]],""),"")</f>
        <v/>
      </c>
      <c r="J39" t="str">
        <f>IFERROR(IF(VLOOKUP(A39,Paz!A:C,3,FALSE)=Table15[[#Headers],[Paz]],Table15[[#Headers],[Paz]],""),"")</f>
        <v>Paz</v>
      </c>
      <c r="K39" t="str">
        <f>IFERROR(IF(VLOOKUP(A39,Pan!A:C,3,FALSE)=Table15[[#Headers],[Pan]],Table15[[#Headers],[Pan]],""),"")</f>
        <v/>
      </c>
      <c r="L39" t="str">
        <f>IFERROR(IF(VLOOKUP(A39,Comunión!A:C,3,FALSE)=Table15[[#Headers],[Comunión]],Table15[[#Headers],[Comunión]],""),"")</f>
        <v/>
      </c>
      <c r="M39" t="str">
        <f>IFERROR(IF(VLOOKUP(A39,Niños!A:C,3,FALSE)=Table15[[#Headers],[Niños]],Table15[[#Headers],[Niños]],""),"")</f>
        <v/>
      </c>
      <c r="N39" t="str">
        <f>IFERROR(IF(VLOOKUP(A39,Laudes!A:C,3,FALSE)=Table15[[#Headers],[Laudes]],Table15[[#Headers],[Laudes]],""),"")</f>
        <v/>
      </c>
      <c r="O39" t="str">
        <f>IFERROR(IF(VLOOKUP(A39,'Nuevo Testamento'!A:C,3,FALSE)=Table15[[#Headers],[Nuevo Testamento]],Table15[[#Headers],[Nuevo Testamento]],""),"")</f>
        <v/>
      </c>
      <c r="P39" t="str">
        <f>IFERROR(IF(VLOOKUP(A39,'Antiguo Testamento'!A:C,3,FALSE)=Table15[[#Headers],[Antiguo Testamento]],Table15[[#Headers],[Antiguo Testamento]],""),"")</f>
        <v>Antiguo Testamento</v>
      </c>
      <c r="Q39" t="str">
        <f>IFERROR(IF(VLOOKUP(A39,Final!A:C,3,FALSE)=Table15[[#Headers],[Final]],Table15[[#Headers],[Final]],""),"")</f>
        <v/>
      </c>
    </row>
    <row r="40" spans="1:17" x14ac:dyDescent="0.25">
      <c r="A40" t="s">
        <v>24</v>
      </c>
      <c r="B40">
        <v>39</v>
      </c>
      <c r="C40" t="str">
        <f>IFERROR(IF(VLOOKUP(A40,Adviento!A:C,3,FALSE)=Table15[[#Headers],[Adviento]],Table15[[#Headers],[Adviento]],""),"")</f>
        <v/>
      </c>
      <c r="D40" t="str">
        <f>IFERROR(IF(VLOOKUP(A40,Navidad!A:C,3,FALSE)=Table15[[#Headers],[Navidad]],Table15[[#Headers],[Navidad]],""),"")</f>
        <v/>
      </c>
      <c r="E40" t="str">
        <f>IFERROR(IF(VLOOKUP(A40,Cuaresma!A:C,3,FALSE)=Table15[[#Headers],[Cuaresma]],Table15[[#Headers],[Cuaresma]],""),"")</f>
        <v>Cuaresma</v>
      </c>
      <c r="F40" t="str">
        <f>IFERROR(IF(VLOOKUP(A40,Pascua!A:C,3,FALSE)=Table15[[#Headers],[Pascua]],Table15[[#Headers],[Pascua]],""),"")</f>
        <v/>
      </c>
      <c r="G40" t="str">
        <f>IFERROR(IF(VLOOKUP(A40,Pentecostés!A:C,3,FALSE)=Table15[[#Headers],[Pentecostés]],Table15[[#Headers],[Pentecostés]],""),"")</f>
        <v/>
      </c>
      <c r="H40" t="str">
        <f>IFERROR(IF(VLOOKUP(A40,Entrada!A:C,3,FALSE)=Table15[[#Headers],[Entrada]],Table15[[#Headers],[Entrada]],""),"")</f>
        <v/>
      </c>
      <c r="I40" t="str">
        <f>IFERROR(IF(VLOOKUP(A40,Virgen!A:C,3,FALSE)=Table15[[#Headers],[Virgen]],Table15[[#Headers],[Virgen]],""),"")</f>
        <v/>
      </c>
      <c r="J40" t="str">
        <f>IFERROR(IF(VLOOKUP(A40,Paz!A:C,3,FALSE)=Table15[[#Headers],[Paz]],Table15[[#Headers],[Paz]],""),"")</f>
        <v/>
      </c>
      <c r="K40" t="str">
        <f>IFERROR(IF(VLOOKUP(A40,Pan!A:C,3,FALSE)=Table15[[#Headers],[Pan]],Table15[[#Headers],[Pan]],""),"")</f>
        <v/>
      </c>
      <c r="L40" t="str">
        <f>IFERROR(IF(VLOOKUP(A40,Comunión!A:C,3,FALSE)=Table15[[#Headers],[Comunión]],Table15[[#Headers],[Comunión]],""),"")</f>
        <v/>
      </c>
      <c r="M40" t="str">
        <f>IFERROR(IF(VLOOKUP(A40,Niños!A:C,3,FALSE)=Table15[[#Headers],[Niños]],Table15[[#Headers],[Niños]],""),"")</f>
        <v/>
      </c>
      <c r="N40" t="str">
        <f>IFERROR(IF(VLOOKUP(A40,Laudes!A:C,3,FALSE)=Table15[[#Headers],[Laudes]],Table15[[#Headers],[Laudes]],""),"")</f>
        <v>Laudes</v>
      </c>
      <c r="O40" t="str">
        <f>IFERROR(IF(VLOOKUP(A40,'Nuevo Testamento'!A:C,3,FALSE)=Table15[[#Headers],[Nuevo Testamento]],Table15[[#Headers],[Nuevo Testamento]],""),"")</f>
        <v/>
      </c>
      <c r="P40" t="str">
        <f>IFERROR(IF(VLOOKUP(A40,'Antiguo Testamento'!A:C,3,FALSE)=Table15[[#Headers],[Antiguo Testamento]],Table15[[#Headers],[Antiguo Testamento]],""),"")</f>
        <v>Antiguo Testamento</v>
      </c>
      <c r="Q40" t="str">
        <f>IFERROR(IF(VLOOKUP(A40,Final!A:C,3,FALSE)=Table15[[#Headers],[Final]],Table15[[#Headers],[Final]],""),"")</f>
        <v/>
      </c>
    </row>
    <row r="41" spans="1:17" x14ac:dyDescent="0.25">
      <c r="A41" t="s">
        <v>127</v>
      </c>
      <c r="B41">
        <v>40</v>
      </c>
      <c r="C41" t="str">
        <f>IFERROR(IF(VLOOKUP(A41,Adviento!A:C,3,FALSE)=Table15[[#Headers],[Adviento]],Table15[[#Headers],[Adviento]],""),"")</f>
        <v/>
      </c>
      <c r="D41" t="str">
        <f>IFERROR(IF(VLOOKUP(A41,Navidad!A:C,3,FALSE)=Table15[[#Headers],[Navidad]],Table15[[#Headers],[Navidad]],""),"")</f>
        <v/>
      </c>
      <c r="E41" t="str">
        <f>IFERROR(IF(VLOOKUP(A41,Cuaresma!A:C,3,FALSE)=Table15[[#Headers],[Cuaresma]],Table15[[#Headers],[Cuaresma]],""),"")</f>
        <v>Cuaresma</v>
      </c>
      <c r="F41" t="str">
        <f>IFERROR(IF(VLOOKUP(A41,Pascua!A:C,3,FALSE)=Table15[[#Headers],[Pascua]],Table15[[#Headers],[Pascua]],""),"")</f>
        <v>Pascua</v>
      </c>
      <c r="G41" t="str">
        <f>IFERROR(IF(VLOOKUP(A41,Pentecostés!A:C,3,FALSE)=Table15[[#Headers],[Pentecostés]],Table15[[#Headers],[Pentecostés]],""),"")</f>
        <v>Pentecostés</v>
      </c>
      <c r="H41" t="str">
        <f>IFERROR(IF(VLOOKUP(A41,Entrada!A:C,3,FALSE)=Table15[[#Headers],[Entrada]],Table15[[#Headers],[Entrada]],""),"")</f>
        <v/>
      </c>
      <c r="I41" t="str">
        <f>IFERROR(IF(VLOOKUP(A41,Virgen!A:C,3,FALSE)=Table15[[#Headers],[Virgen]],Table15[[#Headers],[Virgen]],""),"")</f>
        <v>Virgen</v>
      </c>
      <c r="J41" t="str">
        <f>IFERROR(IF(VLOOKUP(A41,Paz!A:C,3,FALSE)=Table15[[#Headers],[Paz]],Table15[[#Headers],[Paz]],""),"")</f>
        <v/>
      </c>
      <c r="K41" t="str">
        <f>IFERROR(IF(VLOOKUP(A41,Pan!A:C,3,FALSE)=Table15[[#Headers],[Pan]],Table15[[#Headers],[Pan]],""),"")</f>
        <v>Pan</v>
      </c>
      <c r="L41" t="str">
        <f>IFERROR(IF(VLOOKUP(A41,Comunión!A:C,3,FALSE)=Table15[[#Headers],[Comunión]],Table15[[#Headers],[Comunión]],""),"")</f>
        <v/>
      </c>
      <c r="M41" t="str">
        <f>IFERROR(IF(VLOOKUP(A41,Niños!A:C,3,FALSE)=Table15[[#Headers],[Niños]],Table15[[#Headers],[Niños]],""),"")</f>
        <v/>
      </c>
      <c r="N41" t="str">
        <f>IFERROR(IF(VLOOKUP(A41,Laudes!A:C,3,FALSE)=Table15[[#Headers],[Laudes]],Table15[[#Headers],[Laudes]],""),"")</f>
        <v/>
      </c>
      <c r="O41" t="str">
        <f>IFERROR(IF(VLOOKUP(A41,'Nuevo Testamento'!A:C,3,FALSE)=Table15[[#Headers],[Nuevo Testamento]],Table15[[#Headers],[Nuevo Testamento]],""),"")</f>
        <v/>
      </c>
      <c r="P41" t="str">
        <f>IFERROR(IF(VLOOKUP(A41,'Antiguo Testamento'!A:C,3,FALSE)=Table15[[#Headers],[Antiguo Testamento]],Table15[[#Headers],[Antiguo Testamento]],""),"")</f>
        <v/>
      </c>
      <c r="Q41" t="str">
        <f>IFERROR(IF(VLOOKUP(A41,Final!A:C,3,FALSE)=Table15[[#Headers],[Final]],Table15[[#Headers],[Final]],""),"")</f>
        <v/>
      </c>
    </row>
    <row r="42" spans="1:17" x14ac:dyDescent="0.25">
      <c r="A42" t="s">
        <v>128</v>
      </c>
      <c r="B42">
        <v>41</v>
      </c>
      <c r="C42" t="str">
        <f>IFERROR(IF(VLOOKUP(A42,Adviento!A:C,3,FALSE)=Table15[[#Headers],[Adviento]],Table15[[#Headers],[Adviento]],""),"")</f>
        <v>Adviento</v>
      </c>
      <c r="D42" t="str">
        <f>IFERROR(IF(VLOOKUP(A42,Navidad!A:C,3,FALSE)=Table15[[#Headers],[Navidad]],Table15[[#Headers],[Navidad]],""),"")</f>
        <v>Navidad</v>
      </c>
      <c r="E42" t="str">
        <f>IFERROR(IF(VLOOKUP(A42,Cuaresma!A:C,3,FALSE)=Table15[[#Headers],[Cuaresma]],Table15[[#Headers],[Cuaresma]],""),"")</f>
        <v/>
      </c>
      <c r="F42" t="str">
        <f>IFERROR(IF(VLOOKUP(A42,Pascua!A:C,3,FALSE)=Table15[[#Headers],[Pascua]],Table15[[#Headers],[Pascua]],""),"")</f>
        <v/>
      </c>
      <c r="G42" t="str">
        <f>IFERROR(IF(VLOOKUP(A42,Pentecostés!A:C,3,FALSE)=Table15[[#Headers],[Pentecostés]],Table15[[#Headers],[Pentecostés]],""),"")</f>
        <v/>
      </c>
      <c r="H42" t="str">
        <f>IFERROR(IF(VLOOKUP(A42,Entrada!A:C,3,FALSE)=Table15[[#Headers],[Entrada]],Table15[[#Headers],[Entrada]],""),"")</f>
        <v>Entrada</v>
      </c>
      <c r="I42" t="str">
        <f>IFERROR(IF(VLOOKUP(A42,Virgen!A:C,3,FALSE)=Table15[[#Headers],[Virgen]],Table15[[#Headers],[Virgen]],""),"")</f>
        <v/>
      </c>
      <c r="J42" t="str">
        <f>IFERROR(IF(VLOOKUP(A42,Paz!A:C,3,FALSE)=Table15[[#Headers],[Paz]],Table15[[#Headers],[Paz]],""),"")</f>
        <v>Paz</v>
      </c>
      <c r="K42" t="str">
        <f>IFERROR(IF(VLOOKUP(A42,Pan!A:C,3,FALSE)=Table15[[#Headers],[Pan]],Table15[[#Headers],[Pan]],""),"")</f>
        <v/>
      </c>
      <c r="L42" t="str">
        <f>IFERROR(IF(VLOOKUP(A42,Comunión!A:C,3,FALSE)=Table15[[#Headers],[Comunión]],Table15[[#Headers],[Comunión]],""),"")</f>
        <v/>
      </c>
      <c r="M42" t="str">
        <f>IFERROR(IF(VLOOKUP(A42,Niños!A:C,3,FALSE)=Table15[[#Headers],[Niños]],Table15[[#Headers],[Niños]],""),"")</f>
        <v/>
      </c>
      <c r="N42" t="str">
        <f>IFERROR(IF(VLOOKUP(A42,Laudes!A:C,3,FALSE)=Table15[[#Headers],[Laudes]],Table15[[#Headers],[Laudes]],""),"")</f>
        <v/>
      </c>
      <c r="O42" t="str">
        <f>IFERROR(IF(VLOOKUP(A42,'Nuevo Testamento'!A:C,3,FALSE)=Table15[[#Headers],[Nuevo Testamento]],Table15[[#Headers],[Nuevo Testamento]],""),"")</f>
        <v/>
      </c>
      <c r="P42" t="str">
        <f>IFERROR(IF(VLOOKUP(A42,'Antiguo Testamento'!A:C,3,FALSE)=Table15[[#Headers],[Antiguo Testamento]],Table15[[#Headers],[Antiguo Testamento]],""),"")</f>
        <v>Antiguo Testamento</v>
      </c>
      <c r="Q42" t="str">
        <f>IFERROR(IF(VLOOKUP(A42,Final!A:C,3,FALSE)=Table15[[#Headers],[Final]],Table15[[#Headers],[Final]],""),"")</f>
        <v>Final</v>
      </c>
    </row>
    <row r="43" spans="1:17" x14ac:dyDescent="0.25">
      <c r="A43" t="s">
        <v>27</v>
      </c>
      <c r="B43">
        <v>42</v>
      </c>
      <c r="C43" t="str">
        <f>IFERROR(IF(VLOOKUP(A43,Adviento!A:C,3,FALSE)=Table15[[#Headers],[Adviento]],Table15[[#Headers],[Adviento]],""),"")</f>
        <v/>
      </c>
      <c r="D43" t="str">
        <f>IFERROR(IF(VLOOKUP(A43,Navidad!A:C,3,FALSE)=Table15[[#Headers],[Navidad]],Table15[[#Headers],[Navidad]],""),"")</f>
        <v/>
      </c>
      <c r="E43" t="str">
        <f>IFERROR(IF(VLOOKUP(A43,Cuaresma!A:C,3,FALSE)=Table15[[#Headers],[Cuaresma]],Table15[[#Headers],[Cuaresma]],""),"")</f>
        <v/>
      </c>
      <c r="F43" t="str">
        <f>IFERROR(IF(VLOOKUP(A43,Pascua!A:C,3,FALSE)=Table15[[#Headers],[Pascua]],Table15[[#Headers],[Pascua]],""),"")</f>
        <v>Pascua</v>
      </c>
      <c r="G43" t="str">
        <f>IFERROR(IF(VLOOKUP(A43,Pentecostés!A:C,3,FALSE)=Table15[[#Headers],[Pentecostés]],Table15[[#Headers],[Pentecostés]],""),"")</f>
        <v>Pentecostés</v>
      </c>
      <c r="H43" t="str">
        <f>IFERROR(IF(VLOOKUP(A43,Entrada!A:C,3,FALSE)=Table15[[#Headers],[Entrada]],Table15[[#Headers],[Entrada]],""),"")</f>
        <v/>
      </c>
      <c r="I43" t="str">
        <f>IFERROR(IF(VLOOKUP(A43,Virgen!A:C,3,FALSE)=Table15[[#Headers],[Virgen]],Table15[[#Headers],[Virgen]],""),"")</f>
        <v/>
      </c>
      <c r="J43" t="str">
        <f>IFERROR(IF(VLOOKUP(A43,Paz!A:C,3,FALSE)=Table15[[#Headers],[Paz]],Table15[[#Headers],[Paz]],""),"")</f>
        <v/>
      </c>
      <c r="K43" t="str">
        <f>IFERROR(IF(VLOOKUP(A43,Pan!A:C,3,FALSE)=Table15[[#Headers],[Pan]],Table15[[#Headers],[Pan]],""),"")</f>
        <v/>
      </c>
      <c r="L43" t="str">
        <f>IFERROR(IF(VLOOKUP(A43,Comunión!A:C,3,FALSE)=Table15[[#Headers],[Comunión]],Table15[[#Headers],[Comunión]],""),"")</f>
        <v/>
      </c>
      <c r="M43" t="str">
        <f>IFERROR(IF(VLOOKUP(A43,Niños!A:C,3,FALSE)=Table15[[#Headers],[Niños]],Table15[[#Headers],[Niños]],""),"")</f>
        <v/>
      </c>
      <c r="N43" t="str">
        <f>IFERROR(IF(VLOOKUP(A43,Laudes!A:C,3,FALSE)=Table15[[#Headers],[Laudes]],Table15[[#Headers],[Laudes]],""),"")</f>
        <v/>
      </c>
      <c r="O43" t="str">
        <f>IFERROR(IF(VLOOKUP(A43,'Nuevo Testamento'!A:C,3,FALSE)=Table15[[#Headers],[Nuevo Testamento]],Table15[[#Headers],[Nuevo Testamento]],""),"")</f>
        <v/>
      </c>
      <c r="P43" t="str">
        <f>IFERROR(IF(VLOOKUP(A43,'Antiguo Testamento'!A:C,3,FALSE)=Table15[[#Headers],[Antiguo Testamento]],Table15[[#Headers],[Antiguo Testamento]],""),"")</f>
        <v/>
      </c>
      <c r="Q43" t="str">
        <f>IFERROR(IF(VLOOKUP(A43,Final!A:C,3,FALSE)=Table15[[#Headers],[Final]],Table15[[#Headers],[Final]],""),"")</f>
        <v/>
      </c>
    </row>
    <row r="44" spans="1:17" x14ac:dyDescent="0.25">
      <c r="A44" t="s">
        <v>29</v>
      </c>
      <c r="B44">
        <v>43</v>
      </c>
      <c r="C44" t="str">
        <f>IFERROR(IF(VLOOKUP(A44,Adviento!A:C,3,FALSE)=Table15[[#Headers],[Adviento]],Table15[[#Headers],[Adviento]],""),"")</f>
        <v>Adviento</v>
      </c>
      <c r="D44" t="str">
        <f>IFERROR(IF(VLOOKUP(A44,Navidad!A:C,3,FALSE)=Table15[[#Headers],[Navidad]],Table15[[#Headers],[Navidad]],""),"")</f>
        <v>Navidad</v>
      </c>
      <c r="E44" t="str">
        <f>IFERROR(IF(VLOOKUP(A44,Cuaresma!A:C,3,FALSE)=Table15[[#Headers],[Cuaresma]],Table15[[#Headers],[Cuaresma]],""),"")</f>
        <v>Cuaresma</v>
      </c>
      <c r="F44" t="str">
        <f>IFERROR(IF(VLOOKUP(A44,Pascua!A:C,3,FALSE)=Table15[[#Headers],[Pascua]],Table15[[#Headers],[Pascua]],""),"")</f>
        <v/>
      </c>
      <c r="G44" t="str">
        <f>IFERROR(IF(VLOOKUP(A44,Pentecostés!A:C,3,FALSE)=Table15[[#Headers],[Pentecostés]],Table15[[#Headers],[Pentecostés]],""),"")</f>
        <v/>
      </c>
      <c r="H44" t="str">
        <f>IFERROR(IF(VLOOKUP(A44,Entrada!A:C,3,FALSE)=Table15[[#Headers],[Entrada]],Table15[[#Headers],[Entrada]],""),"")</f>
        <v>Entrada</v>
      </c>
      <c r="I44" t="str">
        <f>IFERROR(IF(VLOOKUP(A44,Virgen!A:C,3,FALSE)=Table15[[#Headers],[Virgen]],Table15[[#Headers],[Virgen]],""),"")</f>
        <v/>
      </c>
      <c r="J44" t="str">
        <f>IFERROR(IF(VLOOKUP(A44,Paz!A:C,3,FALSE)=Table15[[#Headers],[Paz]],Table15[[#Headers],[Paz]],""),"")</f>
        <v/>
      </c>
      <c r="K44" t="str">
        <f>IFERROR(IF(VLOOKUP(A44,Pan!A:C,3,FALSE)=Table15[[#Headers],[Pan]],Table15[[#Headers],[Pan]],""),"")</f>
        <v/>
      </c>
      <c r="L44" t="str">
        <f>IFERROR(IF(VLOOKUP(A44,Comunión!A:C,3,FALSE)=Table15[[#Headers],[Comunión]],Table15[[#Headers],[Comunión]],""),"")</f>
        <v/>
      </c>
      <c r="M44" t="str">
        <f>IFERROR(IF(VLOOKUP(A44,Niños!A:C,3,FALSE)=Table15[[#Headers],[Niños]],Table15[[#Headers],[Niños]],""),"")</f>
        <v/>
      </c>
      <c r="N44" t="str">
        <f>IFERROR(IF(VLOOKUP(A44,Laudes!A:C,3,FALSE)=Table15[[#Headers],[Laudes]],Table15[[#Headers],[Laudes]],""),"")</f>
        <v/>
      </c>
      <c r="O44" t="str">
        <f>IFERROR(IF(VLOOKUP(A44,'Nuevo Testamento'!A:C,3,FALSE)=Table15[[#Headers],[Nuevo Testamento]],Table15[[#Headers],[Nuevo Testamento]],""),"")</f>
        <v/>
      </c>
      <c r="P44" t="str">
        <f>IFERROR(IF(VLOOKUP(A44,'Antiguo Testamento'!A:C,3,FALSE)=Table15[[#Headers],[Antiguo Testamento]],Table15[[#Headers],[Antiguo Testamento]],""),"")</f>
        <v>Antiguo Testamento</v>
      </c>
      <c r="Q44" t="str">
        <f>IFERROR(IF(VLOOKUP(A44,Final!A:C,3,FALSE)=Table15[[#Headers],[Final]],Table15[[#Headers],[Final]],""),"")</f>
        <v/>
      </c>
    </row>
    <row r="45" spans="1:17" x14ac:dyDescent="0.25">
      <c r="A45" t="s">
        <v>129</v>
      </c>
      <c r="B45">
        <v>44</v>
      </c>
      <c r="C45" t="str">
        <f>IFERROR(IF(VLOOKUP(A45,Adviento!A:C,3,FALSE)=Table15[[#Headers],[Adviento]],Table15[[#Headers],[Adviento]],""),"")</f>
        <v/>
      </c>
      <c r="D45" t="str">
        <f>IFERROR(IF(VLOOKUP(A45,Navidad!A:C,3,FALSE)=Table15[[#Headers],[Navidad]],Table15[[#Headers],[Navidad]],""),"")</f>
        <v/>
      </c>
      <c r="E45" t="str">
        <f>IFERROR(IF(VLOOKUP(A45,Cuaresma!A:C,3,FALSE)=Table15[[#Headers],[Cuaresma]],Table15[[#Headers],[Cuaresma]],""),"")</f>
        <v/>
      </c>
      <c r="F45" t="str">
        <f>IFERROR(IF(VLOOKUP(A45,Pascua!A:C,3,FALSE)=Table15[[#Headers],[Pascua]],Table15[[#Headers],[Pascua]],""),"")</f>
        <v>Pascua</v>
      </c>
      <c r="G45" t="str">
        <f>IFERROR(IF(VLOOKUP(A45,Pentecostés!A:C,3,FALSE)=Table15[[#Headers],[Pentecostés]],Table15[[#Headers],[Pentecostés]],""),"")</f>
        <v>Pentecostés</v>
      </c>
      <c r="H45" t="str">
        <f>IFERROR(IF(VLOOKUP(A45,Entrada!A:C,3,FALSE)=Table15[[#Headers],[Entrada]],Table15[[#Headers],[Entrada]],""),"")</f>
        <v/>
      </c>
      <c r="I45" t="str">
        <f>IFERROR(IF(VLOOKUP(A45,Virgen!A:C,3,FALSE)=Table15[[#Headers],[Virgen]],Table15[[#Headers],[Virgen]],""),"")</f>
        <v/>
      </c>
      <c r="J45" t="str">
        <f>IFERROR(IF(VLOOKUP(A45,Paz!A:C,3,FALSE)=Table15[[#Headers],[Paz]],Table15[[#Headers],[Paz]],""),"")</f>
        <v/>
      </c>
      <c r="K45" t="str">
        <f>IFERROR(IF(VLOOKUP(A45,Pan!A:C,3,FALSE)=Table15[[#Headers],[Pan]],Table15[[#Headers],[Pan]],""),"")</f>
        <v/>
      </c>
      <c r="L45" t="str">
        <f>IFERROR(IF(VLOOKUP(A45,Comunión!A:C,3,FALSE)=Table15[[#Headers],[Comunión]],Table15[[#Headers],[Comunión]],""),"")</f>
        <v/>
      </c>
      <c r="M45" t="str">
        <f>IFERROR(IF(VLOOKUP(A45,Niños!A:C,3,FALSE)=Table15[[#Headers],[Niños]],Table15[[#Headers],[Niños]],""),"")</f>
        <v/>
      </c>
      <c r="N45" t="str">
        <f>IFERROR(IF(VLOOKUP(A45,Laudes!A:C,3,FALSE)=Table15[[#Headers],[Laudes]],Table15[[#Headers],[Laudes]],""),"")</f>
        <v>Laudes</v>
      </c>
      <c r="O45" t="str">
        <f>IFERROR(IF(VLOOKUP(A45,'Nuevo Testamento'!A:C,3,FALSE)=Table15[[#Headers],[Nuevo Testamento]],Table15[[#Headers],[Nuevo Testamento]],""),"")</f>
        <v/>
      </c>
      <c r="P45" t="str">
        <f>IFERROR(IF(VLOOKUP(A45,'Antiguo Testamento'!A:C,3,FALSE)=Table15[[#Headers],[Antiguo Testamento]],Table15[[#Headers],[Antiguo Testamento]],""),"")</f>
        <v>Antiguo Testamento</v>
      </c>
      <c r="Q45" t="str">
        <f>IFERROR(IF(VLOOKUP(A45,Final!A:C,3,FALSE)=Table15[[#Headers],[Final]],Table15[[#Headers],[Final]],""),"")</f>
        <v/>
      </c>
    </row>
    <row r="46" spans="1:17" x14ac:dyDescent="0.25">
      <c r="A46" t="s">
        <v>130</v>
      </c>
      <c r="B46">
        <v>45</v>
      </c>
      <c r="C46" t="str">
        <f>IFERROR(IF(VLOOKUP(A46,Adviento!A:C,3,FALSE)=Table15[[#Headers],[Adviento]],Table15[[#Headers],[Adviento]],""),"")</f>
        <v/>
      </c>
      <c r="D46" t="str">
        <f>IFERROR(IF(VLOOKUP(A46,Navidad!A:C,3,FALSE)=Table15[[#Headers],[Navidad]],Table15[[#Headers],[Navidad]],""),"")</f>
        <v/>
      </c>
      <c r="E46" t="str">
        <f>IFERROR(IF(VLOOKUP(A46,Cuaresma!A:C,3,FALSE)=Table15[[#Headers],[Cuaresma]],Table15[[#Headers],[Cuaresma]],""),"")</f>
        <v/>
      </c>
      <c r="F46" t="str">
        <f>IFERROR(IF(VLOOKUP(A46,Pascua!A:C,3,FALSE)=Table15[[#Headers],[Pascua]],Table15[[#Headers],[Pascua]],""),"")</f>
        <v>Pascua</v>
      </c>
      <c r="G46" t="str">
        <f>IFERROR(IF(VLOOKUP(A46,Pentecostés!A:C,3,FALSE)=Table15[[#Headers],[Pentecostés]],Table15[[#Headers],[Pentecostés]],""),"")</f>
        <v>Pentecostés</v>
      </c>
      <c r="H46" t="str">
        <f>IFERROR(IF(VLOOKUP(A46,Entrada!A:C,3,FALSE)=Table15[[#Headers],[Entrada]],Table15[[#Headers],[Entrada]],""),"")</f>
        <v/>
      </c>
      <c r="I46" t="str">
        <f>IFERROR(IF(VLOOKUP(A46,Virgen!A:C,3,FALSE)=Table15[[#Headers],[Virgen]],Table15[[#Headers],[Virgen]],""),"")</f>
        <v/>
      </c>
      <c r="J46" t="str">
        <f>IFERROR(IF(VLOOKUP(A46,Paz!A:C,3,FALSE)=Table15[[#Headers],[Paz]],Table15[[#Headers],[Paz]],""),"")</f>
        <v>Paz</v>
      </c>
      <c r="K46" t="str">
        <f>IFERROR(IF(VLOOKUP(A46,Pan!A:C,3,FALSE)=Table15[[#Headers],[Pan]],Table15[[#Headers],[Pan]],""),"")</f>
        <v/>
      </c>
      <c r="L46" t="str">
        <f>IFERROR(IF(VLOOKUP(A46,Comunión!A:C,3,FALSE)=Table15[[#Headers],[Comunión]],Table15[[#Headers],[Comunión]],""),"")</f>
        <v/>
      </c>
      <c r="M46" t="str">
        <f>IFERROR(IF(VLOOKUP(A46,Niños!A:C,3,FALSE)=Table15[[#Headers],[Niños]],Table15[[#Headers],[Niños]],""),"")</f>
        <v/>
      </c>
      <c r="N46" t="str">
        <f>IFERROR(IF(VLOOKUP(A46,Laudes!A:C,3,FALSE)=Table15[[#Headers],[Laudes]],Table15[[#Headers],[Laudes]],""),"")</f>
        <v/>
      </c>
      <c r="O46" t="str">
        <f>IFERROR(IF(VLOOKUP(A46,'Nuevo Testamento'!A:C,3,FALSE)=Table15[[#Headers],[Nuevo Testamento]],Table15[[#Headers],[Nuevo Testamento]],""),"")</f>
        <v/>
      </c>
      <c r="P46" t="str">
        <f>IFERROR(IF(VLOOKUP(A46,'Antiguo Testamento'!A:C,3,FALSE)=Table15[[#Headers],[Antiguo Testamento]],Table15[[#Headers],[Antiguo Testamento]],""),"")</f>
        <v/>
      </c>
      <c r="Q46" t="str">
        <f>IFERROR(IF(VLOOKUP(A46,Final!A:C,3,FALSE)=Table15[[#Headers],[Final]],Table15[[#Headers],[Final]],""),"")</f>
        <v/>
      </c>
    </row>
    <row r="47" spans="1:17" x14ac:dyDescent="0.25">
      <c r="A47" t="s">
        <v>131</v>
      </c>
      <c r="B47">
        <v>47</v>
      </c>
      <c r="C47" t="str">
        <f>IFERROR(IF(VLOOKUP(A47,Adviento!A:C,3,FALSE)=Table15[[#Headers],[Adviento]],Table15[[#Headers],[Adviento]],""),"")</f>
        <v>Adviento</v>
      </c>
      <c r="D47" t="str">
        <f>IFERROR(IF(VLOOKUP(A47,Navidad!A:C,3,FALSE)=Table15[[#Headers],[Navidad]],Table15[[#Headers],[Navidad]],""),"")</f>
        <v>Navidad</v>
      </c>
      <c r="E47" t="str">
        <f>IFERROR(IF(VLOOKUP(A47,Cuaresma!A:C,3,FALSE)=Table15[[#Headers],[Cuaresma]],Table15[[#Headers],[Cuaresma]],""),"")</f>
        <v>Cuaresma</v>
      </c>
      <c r="F47" t="str">
        <f>IFERROR(IF(VLOOKUP(A47,Pascua!A:C,3,FALSE)=Table15[[#Headers],[Pascua]],Table15[[#Headers],[Pascua]],""),"")</f>
        <v/>
      </c>
      <c r="G47" t="str">
        <f>IFERROR(IF(VLOOKUP(A47,Pentecostés!A:C,3,FALSE)=Table15[[#Headers],[Pentecostés]],Table15[[#Headers],[Pentecostés]],""),"")</f>
        <v/>
      </c>
      <c r="H47" t="str">
        <f>IFERROR(IF(VLOOKUP(A47,Entrada!A:C,3,FALSE)=Table15[[#Headers],[Entrada]],Table15[[#Headers],[Entrada]],""),"")</f>
        <v/>
      </c>
      <c r="I47" t="str">
        <f>IFERROR(IF(VLOOKUP(A47,Virgen!A:C,3,FALSE)=Table15[[#Headers],[Virgen]],Table15[[#Headers],[Virgen]],""),"")</f>
        <v/>
      </c>
      <c r="J47" t="str">
        <f>IFERROR(IF(VLOOKUP(A47,Paz!A:C,3,FALSE)=Table15[[#Headers],[Paz]],Table15[[#Headers],[Paz]],""),"")</f>
        <v/>
      </c>
      <c r="K47" t="str">
        <f>IFERROR(IF(VLOOKUP(A47,Pan!A:C,3,FALSE)=Table15[[#Headers],[Pan]],Table15[[#Headers],[Pan]],""),"")</f>
        <v/>
      </c>
      <c r="L47" t="str">
        <f>IFERROR(IF(VLOOKUP(A47,Comunión!A:C,3,FALSE)=Table15[[#Headers],[Comunión]],Table15[[#Headers],[Comunión]],""),"")</f>
        <v/>
      </c>
      <c r="M47" t="str">
        <f>IFERROR(IF(VLOOKUP(A47,Niños!A:C,3,FALSE)=Table15[[#Headers],[Niños]],Table15[[#Headers],[Niños]],""),"")</f>
        <v/>
      </c>
      <c r="N47" t="str">
        <f>IFERROR(IF(VLOOKUP(A47,Laudes!A:C,3,FALSE)=Table15[[#Headers],[Laudes]],Table15[[#Headers],[Laudes]],""),"")</f>
        <v/>
      </c>
      <c r="O47" t="str">
        <f>IFERROR(IF(VLOOKUP(A47,'Nuevo Testamento'!A:C,3,FALSE)=Table15[[#Headers],[Nuevo Testamento]],Table15[[#Headers],[Nuevo Testamento]],""),"")</f>
        <v/>
      </c>
      <c r="P47" t="str">
        <f>IFERROR(IF(VLOOKUP(A47,'Antiguo Testamento'!A:C,3,FALSE)=Table15[[#Headers],[Antiguo Testamento]],Table15[[#Headers],[Antiguo Testamento]],""),"")</f>
        <v>Antiguo Testamento</v>
      </c>
      <c r="Q47" t="str">
        <f>IFERROR(IF(VLOOKUP(A47,Final!A:C,3,FALSE)=Table15[[#Headers],[Final]],Table15[[#Headers],[Final]],""),"")</f>
        <v/>
      </c>
    </row>
    <row r="48" spans="1:17" x14ac:dyDescent="0.25">
      <c r="A48" t="s">
        <v>132</v>
      </c>
      <c r="B48">
        <v>48</v>
      </c>
      <c r="C48" t="str">
        <f>IFERROR(IF(VLOOKUP(A48,Adviento!A:C,3,FALSE)=Table15[[#Headers],[Adviento]],Table15[[#Headers],[Adviento]],""),"")</f>
        <v>Adviento</v>
      </c>
      <c r="D48" t="str">
        <f>IFERROR(IF(VLOOKUP(A48,Navidad!A:C,3,FALSE)=Table15[[#Headers],[Navidad]],Table15[[#Headers],[Navidad]],""),"")</f>
        <v>Navidad</v>
      </c>
      <c r="E48" t="str">
        <f>IFERROR(IF(VLOOKUP(A48,Cuaresma!A:C,3,FALSE)=Table15[[#Headers],[Cuaresma]],Table15[[#Headers],[Cuaresma]],""),"")</f>
        <v>Cuaresma</v>
      </c>
      <c r="F48" t="str">
        <f>IFERROR(IF(VLOOKUP(A48,Pascua!A:C,3,FALSE)=Table15[[#Headers],[Pascua]],Table15[[#Headers],[Pascua]],""),"")</f>
        <v/>
      </c>
      <c r="G48" t="str">
        <f>IFERROR(IF(VLOOKUP(A48,Pentecostés!A:C,3,FALSE)=Table15[[#Headers],[Pentecostés]],Table15[[#Headers],[Pentecostés]],""),"")</f>
        <v/>
      </c>
      <c r="H48" t="str">
        <f>IFERROR(IF(VLOOKUP(A48,Entrada!A:C,3,FALSE)=Table15[[#Headers],[Entrada]],Table15[[#Headers],[Entrada]],""),"")</f>
        <v>Entrada</v>
      </c>
      <c r="I48" t="str">
        <f>IFERROR(IF(VLOOKUP(A48,Virgen!A:C,3,FALSE)=Table15[[#Headers],[Virgen]],Table15[[#Headers],[Virgen]],""),"")</f>
        <v/>
      </c>
      <c r="J48" t="str">
        <f>IFERROR(IF(VLOOKUP(A48,Paz!A:C,3,FALSE)=Table15[[#Headers],[Paz]],Table15[[#Headers],[Paz]],""),"")</f>
        <v/>
      </c>
      <c r="K48" t="str">
        <f>IFERROR(IF(VLOOKUP(A48,Pan!A:C,3,FALSE)=Table15[[#Headers],[Pan]],Table15[[#Headers],[Pan]],""),"")</f>
        <v/>
      </c>
      <c r="L48" t="str">
        <f>IFERROR(IF(VLOOKUP(A48,Comunión!A:C,3,FALSE)=Table15[[#Headers],[Comunión]],Table15[[#Headers],[Comunión]],""),"")</f>
        <v/>
      </c>
      <c r="M48" t="str">
        <f>IFERROR(IF(VLOOKUP(A48,Niños!A:C,3,FALSE)=Table15[[#Headers],[Niños]],Table15[[#Headers],[Niños]],""),"")</f>
        <v/>
      </c>
      <c r="N48" t="str">
        <f>IFERROR(IF(VLOOKUP(A48,Laudes!A:C,3,FALSE)=Table15[[#Headers],[Laudes]],Table15[[#Headers],[Laudes]],""),"")</f>
        <v/>
      </c>
      <c r="O48" t="str">
        <f>IFERROR(IF(VLOOKUP(A48,'Nuevo Testamento'!A:C,3,FALSE)=Table15[[#Headers],[Nuevo Testamento]],Table15[[#Headers],[Nuevo Testamento]],""),"")</f>
        <v/>
      </c>
      <c r="P48" t="str">
        <f>IFERROR(IF(VLOOKUP(A48,'Antiguo Testamento'!A:C,3,FALSE)=Table15[[#Headers],[Antiguo Testamento]],Table15[[#Headers],[Antiguo Testamento]],""),"")</f>
        <v>Antiguo Testamento</v>
      </c>
      <c r="Q48" t="str">
        <f>IFERROR(IF(VLOOKUP(A48,Final!A:C,3,FALSE)=Table15[[#Headers],[Final]],Table15[[#Headers],[Final]],""),"")</f>
        <v/>
      </c>
    </row>
    <row r="49" spans="1:17" x14ac:dyDescent="0.25">
      <c r="A49" t="s">
        <v>133</v>
      </c>
      <c r="B49">
        <v>49</v>
      </c>
      <c r="C49" t="str">
        <f>IFERROR(IF(VLOOKUP(A49,Adviento!A:C,3,FALSE)=Table15[[#Headers],[Adviento]],Table15[[#Headers],[Adviento]],""),"")</f>
        <v/>
      </c>
      <c r="D49" t="str">
        <f>IFERROR(IF(VLOOKUP(A49,Navidad!A:C,3,FALSE)=Table15[[#Headers],[Navidad]],Table15[[#Headers],[Navidad]],""),"")</f>
        <v/>
      </c>
      <c r="E49" t="str">
        <f>IFERROR(IF(VLOOKUP(A49,Cuaresma!A:C,3,FALSE)=Table15[[#Headers],[Cuaresma]],Table15[[#Headers],[Cuaresma]],""),"")</f>
        <v/>
      </c>
      <c r="F49" t="str">
        <f>IFERROR(IF(VLOOKUP(A49,Pascua!A:C,3,FALSE)=Table15[[#Headers],[Pascua]],Table15[[#Headers],[Pascua]],""),"")</f>
        <v/>
      </c>
      <c r="G49" t="str">
        <f>IFERROR(IF(VLOOKUP(A49,Pentecostés!A:C,3,FALSE)=Table15[[#Headers],[Pentecostés]],Table15[[#Headers],[Pentecostés]],""),"")</f>
        <v/>
      </c>
      <c r="H49" t="str">
        <f>IFERROR(IF(VLOOKUP(A49,Entrada!A:C,3,FALSE)=Table15[[#Headers],[Entrada]],Table15[[#Headers],[Entrada]],""),"")</f>
        <v/>
      </c>
      <c r="I49" t="str">
        <f>IFERROR(IF(VLOOKUP(A49,Virgen!A:C,3,FALSE)=Table15[[#Headers],[Virgen]],Table15[[#Headers],[Virgen]],""),"")</f>
        <v/>
      </c>
      <c r="J49" t="str">
        <f>IFERROR(IF(VLOOKUP(A49,Paz!A:C,3,FALSE)=Table15[[#Headers],[Paz]],Table15[[#Headers],[Paz]],""),"")</f>
        <v/>
      </c>
      <c r="K49" t="str">
        <f>IFERROR(IF(VLOOKUP(A49,Pan!A:C,3,FALSE)=Table15[[#Headers],[Pan]],Table15[[#Headers],[Pan]],""),"")</f>
        <v/>
      </c>
      <c r="L49" t="str">
        <f>IFERROR(IF(VLOOKUP(A49,Comunión!A:C,3,FALSE)=Table15[[#Headers],[Comunión]],Table15[[#Headers],[Comunión]],""),"")</f>
        <v/>
      </c>
      <c r="M49" t="str">
        <f>IFERROR(IF(VLOOKUP(A49,Niños!A:C,3,FALSE)=Table15[[#Headers],[Niños]],Table15[[#Headers],[Niños]],""),"")</f>
        <v/>
      </c>
      <c r="N49" t="str">
        <f>IFERROR(IF(VLOOKUP(A49,Laudes!A:C,3,FALSE)=Table15[[#Headers],[Laudes]],Table15[[#Headers],[Laudes]],""),"")</f>
        <v>Laudes</v>
      </c>
      <c r="O49" t="str">
        <f>IFERROR(IF(VLOOKUP(A49,'Nuevo Testamento'!A:C,3,FALSE)=Table15[[#Headers],[Nuevo Testamento]],Table15[[#Headers],[Nuevo Testamento]],""),"")</f>
        <v/>
      </c>
      <c r="P49" t="str">
        <f>IFERROR(IF(VLOOKUP(A49,'Antiguo Testamento'!A:C,3,FALSE)=Table15[[#Headers],[Antiguo Testamento]],Table15[[#Headers],[Antiguo Testamento]],""),"")</f>
        <v>Antiguo Testamento</v>
      </c>
      <c r="Q49" t="str">
        <f>IFERROR(IF(VLOOKUP(A49,Final!A:C,3,FALSE)=Table15[[#Headers],[Final]],Table15[[#Headers],[Final]],""),"")</f>
        <v/>
      </c>
    </row>
    <row r="50" spans="1:17" x14ac:dyDescent="0.25">
      <c r="A50" t="s">
        <v>134</v>
      </c>
      <c r="B50">
        <v>50</v>
      </c>
      <c r="C50" t="str">
        <f>IFERROR(IF(VLOOKUP(A50,Adviento!A:C,3,FALSE)=Table15[[#Headers],[Adviento]],Table15[[#Headers],[Adviento]],""),"")</f>
        <v/>
      </c>
      <c r="D50" t="str">
        <f>IFERROR(IF(VLOOKUP(A50,Navidad!A:C,3,FALSE)=Table15[[#Headers],[Navidad]],Table15[[#Headers],[Navidad]],""),"")</f>
        <v/>
      </c>
      <c r="E50" t="str">
        <f>IFERROR(IF(VLOOKUP(A50,Cuaresma!A:C,3,FALSE)=Table15[[#Headers],[Cuaresma]],Table15[[#Headers],[Cuaresma]],""),"")</f>
        <v/>
      </c>
      <c r="F50" t="str">
        <f>IFERROR(IF(VLOOKUP(A50,Pascua!A:C,3,FALSE)=Table15[[#Headers],[Pascua]],Table15[[#Headers],[Pascua]],""),"")</f>
        <v/>
      </c>
      <c r="G50" t="str">
        <f>IFERROR(IF(VLOOKUP(A50,Pentecostés!A:C,3,FALSE)=Table15[[#Headers],[Pentecostés]],Table15[[#Headers],[Pentecostés]],""),"")</f>
        <v/>
      </c>
      <c r="H50" t="str">
        <f>IFERROR(IF(VLOOKUP(A50,Entrada!A:C,3,FALSE)=Table15[[#Headers],[Entrada]],Table15[[#Headers],[Entrada]],""),"")</f>
        <v/>
      </c>
      <c r="I50" t="str">
        <f>IFERROR(IF(VLOOKUP(A50,Virgen!A:C,3,FALSE)=Table15[[#Headers],[Virgen]],Table15[[#Headers],[Virgen]],""),"")</f>
        <v/>
      </c>
      <c r="J50" t="str">
        <f>IFERROR(IF(VLOOKUP(A50,Paz!A:C,3,FALSE)=Table15[[#Headers],[Paz]],Table15[[#Headers],[Paz]],""),"")</f>
        <v/>
      </c>
      <c r="K50" t="str">
        <f>IFERROR(IF(VLOOKUP(A50,Pan!A:C,3,FALSE)=Table15[[#Headers],[Pan]],Table15[[#Headers],[Pan]],""),"")</f>
        <v/>
      </c>
      <c r="L50" t="str">
        <f>IFERROR(IF(VLOOKUP(A50,Comunión!A:C,3,FALSE)=Table15[[#Headers],[Comunión]],Table15[[#Headers],[Comunión]],""),"")</f>
        <v/>
      </c>
      <c r="M50" t="str">
        <f>IFERROR(IF(VLOOKUP(A50,Niños!A:C,3,FALSE)=Table15[[#Headers],[Niños]],Table15[[#Headers],[Niños]],""),"")</f>
        <v/>
      </c>
      <c r="N50" t="str">
        <f>IFERROR(IF(VLOOKUP(A50,Laudes!A:C,3,FALSE)=Table15[[#Headers],[Laudes]],Table15[[#Headers],[Laudes]],""),"")</f>
        <v/>
      </c>
      <c r="O50" t="str">
        <f>IFERROR(IF(VLOOKUP(A50,'Nuevo Testamento'!A:C,3,FALSE)=Table15[[#Headers],[Nuevo Testamento]],Table15[[#Headers],[Nuevo Testamento]],""),"")</f>
        <v>Nuevo Testamento</v>
      </c>
      <c r="P50" t="str">
        <f>IFERROR(IF(VLOOKUP(A50,'Antiguo Testamento'!A:C,3,FALSE)=Table15[[#Headers],[Antiguo Testamento]],Table15[[#Headers],[Antiguo Testamento]],""),"")</f>
        <v/>
      </c>
      <c r="Q50" t="str">
        <f>IFERROR(IF(VLOOKUP(A50,Final!A:C,3,FALSE)=Table15[[#Headers],[Final]],Table15[[#Headers],[Final]],""),"")</f>
        <v>Final</v>
      </c>
    </row>
    <row r="51" spans="1:17" x14ac:dyDescent="0.25">
      <c r="A51" t="s">
        <v>31</v>
      </c>
      <c r="B51">
        <v>51</v>
      </c>
      <c r="C51" t="str">
        <f>IFERROR(IF(VLOOKUP(A51,Adviento!A:C,3,FALSE)=Table15[[#Headers],[Adviento]],Table15[[#Headers],[Adviento]],""),"")</f>
        <v/>
      </c>
      <c r="D51" t="str">
        <f>IFERROR(IF(VLOOKUP(A51,Navidad!A:C,3,FALSE)=Table15[[#Headers],[Navidad]],Table15[[#Headers],[Navidad]],""),"")</f>
        <v/>
      </c>
      <c r="E51" t="str">
        <f>IFERROR(IF(VLOOKUP(A51,Cuaresma!A:C,3,FALSE)=Table15[[#Headers],[Cuaresma]],Table15[[#Headers],[Cuaresma]],""),"")</f>
        <v/>
      </c>
      <c r="F51" t="str">
        <f>IFERROR(IF(VLOOKUP(A51,Pascua!A:C,3,FALSE)=Table15[[#Headers],[Pascua]],Table15[[#Headers],[Pascua]],""),"")</f>
        <v>Pascua</v>
      </c>
      <c r="G51" t="str">
        <f>IFERROR(IF(VLOOKUP(A51,Pentecostés!A:C,3,FALSE)=Table15[[#Headers],[Pentecostés]],Table15[[#Headers],[Pentecostés]],""),"")</f>
        <v>Pentecostés</v>
      </c>
      <c r="H51" t="str">
        <f>IFERROR(IF(VLOOKUP(A51,Entrada!A:C,3,FALSE)=Table15[[#Headers],[Entrada]],Table15[[#Headers],[Entrada]],""),"")</f>
        <v/>
      </c>
      <c r="I51" t="str">
        <f>IFERROR(IF(VLOOKUP(A51,Virgen!A:C,3,FALSE)=Table15[[#Headers],[Virgen]],Table15[[#Headers],[Virgen]],""),"")</f>
        <v/>
      </c>
      <c r="J51" t="str">
        <f>IFERROR(IF(VLOOKUP(A51,Paz!A:C,3,FALSE)=Table15[[#Headers],[Paz]],Table15[[#Headers],[Paz]],""),"")</f>
        <v/>
      </c>
      <c r="K51" t="str">
        <f>IFERROR(IF(VLOOKUP(A51,Pan!A:C,3,FALSE)=Table15[[#Headers],[Pan]],Table15[[#Headers],[Pan]],""),"")</f>
        <v/>
      </c>
      <c r="L51" t="str">
        <f>IFERROR(IF(VLOOKUP(A51,Comunión!A:C,3,FALSE)=Table15[[#Headers],[Comunión]],Table15[[#Headers],[Comunión]],""),"")</f>
        <v/>
      </c>
      <c r="M51" t="str">
        <f>IFERROR(IF(VLOOKUP(A51,Niños!A:C,3,FALSE)=Table15[[#Headers],[Niños]],Table15[[#Headers],[Niños]],""),"")</f>
        <v/>
      </c>
      <c r="N51" t="str">
        <f>IFERROR(IF(VLOOKUP(A51,Laudes!A:C,3,FALSE)=Table15[[#Headers],[Laudes]],Table15[[#Headers],[Laudes]],""),"")</f>
        <v>Laudes</v>
      </c>
      <c r="O51" t="str">
        <f>IFERROR(IF(VLOOKUP(A51,'Nuevo Testamento'!A:C,3,FALSE)=Table15[[#Headers],[Nuevo Testamento]],Table15[[#Headers],[Nuevo Testamento]],""),"")</f>
        <v/>
      </c>
      <c r="P51" t="str">
        <f>IFERROR(IF(VLOOKUP(A51,'Antiguo Testamento'!A:C,3,FALSE)=Table15[[#Headers],[Antiguo Testamento]],Table15[[#Headers],[Antiguo Testamento]],""),"")</f>
        <v>Antiguo Testamento</v>
      </c>
      <c r="Q51" t="str">
        <f>IFERROR(IF(VLOOKUP(A51,Final!A:C,3,FALSE)=Table15[[#Headers],[Final]],Table15[[#Headers],[Final]],""),"")</f>
        <v/>
      </c>
    </row>
    <row r="52" spans="1:17" x14ac:dyDescent="0.25">
      <c r="A52" t="s">
        <v>135</v>
      </c>
      <c r="B52">
        <v>52</v>
      </c>
      <c r="C52" t="str">
        <f>IFERROR(IF(VLOOKUP(A52,Adviento!A:C,3,FALSE)=Table15[[#Headers],[Adviento]],Table15[[#Headers],[Adviento]],""),"")</f>
        <v/>
      </c>
      <c r="D52" t="str">
        <f>IFERROR(IF(VLOOKUP(A52,Navidad!A:C,3,FALSE)=Table15[[#Headers],[Navidad]],Table15[[#Headers],[Navidad]],""),"")</f>
        <v/>
      </c>
      <c r="E52" t="str">
        <f>IFERROR(IF(VLOOKUP(A52,Cuaresma!A:C,3,FALSE)=Table15[[#Headers],[Cuaresma]],Table15[[#Headers],[Cuaresma]],""),"")</f>
        <v/>
      </c>
      <c r="F52" t="str">
        <f>IFERROR(IF(VLOOKUP(A52,Pascua!A:C,3,FALSE)=Table15[[#Headers],[Pascua]],Table15[[#Headers],[Pascua]],""),"")</f>
        <v/>
      </c>
      <c r="G52" t="str">
        <f>IFERROR(IF(VLOOKUP(A52,Pentecostés!A:C,3,FALSE)=Table15[[#Headers],[Pentecostés]],Table15[[#Headers],[Pentecostés]],""),"")</f>
        <v/>
      </c>
      <c r="H52" t="str">
        <f>IFERROR(IF(VLOOKUP(A52,Entrada!A:C,3,FALSE)=Table15[[#Headers],[Entrada]],Table15[[#Headers],[Entrada]],""),"")</f>
        <v/>
      </c>
      <c r="I52" t="str">
        <f>IFERROR(IF(VLOOKUP(A52,Virgen!A:C,3,FALSE)=Table15[[#Headers],[Virgen]],Table15[[#Headers],[Virgen]],""),"")</f>
        <v/>
      </c>
      <c r="J52" t="str">
        <f>IFERROR(IF(VLOOKUP(A52,Paz!A:C,3,FALSE)=Table15[[#Headers],[Paz]],Table15[[#Headers],[Paz]],""),"")</f>
        <v/>
      </c>
      <c r="K52" t="str">
        <f>IFERROR(IF(VLOOKUP(A52,Pan!A:C,3,FALSE)=Table15[[#Headers],[Pan]],Table15[[#Headers],[Pan]],""),"")</f>
        <v/>
      </c>
      <c r="L52" t="str">
        <f>IFERROR(IF(VLOOKUP(A52,Comunión!A:C,3,FALSE)=Table15[[#Headers],[Comunión]],Table15[[#Headers],[Comunión]],""),"")</f>
        <v/>
      </c>
      <c r="M52" t="str">
        <f>IFERROR(IF(VLOOKUP(A52,Niños!A:C,3,FALSE)=Table15[[#Headers],[Niños]],Table15[[#Headers],[Niños]],""),"")</f>
        <v/>
      </c>
      <c r="N52" t="str">
        <f>IFERROR(IF(VLOOKUP(A52,Laudes!A:C,3,FALSE)=Table15[[#Headers],[Laudes]],Table15[[#Headers],[Laudes]],""),"")</f>
        <v/>
      </c>
      <c r="O52" t="str">
        <f>IFERROR(IF(VLOOKUP(A52,'Nuevo Testamento'!A:C,3,FALSE)=Table15[[#Headers],[Nuevo Testamento]],Table15[[#Headers],[Nuevo Testamento]],""),"")</f>
        <v/>
      </c>
      <c r="P52" t="str">
        <f>IFERROR(IF(VLOOKUP(A52,'Antiguo Testamento'!A:C,3,FALSE)=Table15[[#Headers],[Antiguo Testamento]],Table15[[#Headers],[Antiguo Testamento]],""),"")</f>
        <v>Antiguo Testamento</v>
      </c>
      <c r="Q52" t="str">
        <f>IFERROR(IF(VLOOKUP(A52,Final!A:C,3,FALSE)=Table15[[#Headers],[Final]],Table15[[#Headers],[Final]],""),"")</f>
        <v/>
      </c>
    </row>
    <row r="53" spans="1:17" x14ac:dyDescent="0.25">
      <c r="A53" t="s">
        <v>32</v>
      </c>
      <c r="B53">
        <v>53</v>
      </c>
      <c r="C53" t="str">
        <f>IFERROR(IF(VLOOKUP(A53,Adviento!A:C,3,FALSE)=Table15[[#Headers],[Adviento]],Table15[[#Headers],[Adviento]],""),"")</f>
        <v/>
      </c>
      <c r="D53" t="str">
        <f>IFERROR(IF(VLOOKUP(A53,Navidad!A:C,3,FALSE)=Table15[[#Headers],[Navidad]],Table15[[#Headers],[Navidad]],""),"")</f>
        <v/>
      </c>
      <c r="E53" t="str">
        <f>IFERROR(IF(VLOOKUP(A53,Cuaresma!A:C,3,FALSE)=Table15[[#Headers],[Cuaresma]],Table15[[#Headers],[Cuaresma]],""),"")</f>
        <v/>
      </c>
      <c r="F53" t="str">
        <f>IFERROR(IF(VLOOKUP(A53,Pascua!A:C,3,FALSE)=Table15[[#Headers],[Pascua]],Table15[[#Headers],[Pascua]],""),"")</f>
        <v>Pascua</v>
      </c>
      <c r="G53" t="str">
        <f>IFERROR(IF(VLOOKUP(A53,Pentecostés!A:C,3,FALSE)=Table15[[#Headers],[Pentecostés]],Table15[[#Headers],[Pentecostés]],""),"")</f>
        <v>Pentecostés</v>
      </c>
      <c r="H53" t="str">
        <f>IFERROR(IF(VLOOKUP(A53,Entrada!A:C,3,FALSE)=Table15[[#Headers],[Entrada]],Table15[[#Headers],[Entrada]],""),"")</f>
        <v>Entrada</v>
      </c>
      <c r="I53" t="str">
        <f>IFERROR(IF(VLOOKUP(A53,Virgen!A:C,3,FALSE)=Table15[[#Headers],[Virgen]],Table15[[#Headers],[Virgen]],""),"")</f>
        <v/>
      </c>
      <c r="J53" t="str">
        <f>IFERROR(IF(VLOOKUP(A53,Paz!A:C,3,FALSE)=Table15[[#Headers],[Paz]],Table15[[#Headers],[Paz]],""),"")</f>
        <v/>
      </c>
      <c r="K53" t="str">
        <f>IFERROR(IF(VLOOKUP(A53,Pan!A:C,3,FALSE)=Table15[[#Headers],[Pan]],Table15[[#Headers],[Pan]],""),"")</f>
        <v/>
      </c>
      <c r="L53" t="str">
        <f>IFERROR(IF(VLOOKUP(A53,Comunión!A:C,3,FALSE)=Table15[[#Headers],[Comunión]],Table15[[#Headers],[Comunión]],""),"")</f>
        <v/>
      </c>
      <c r="M53" t="str">
        <f>IFERROR(IF(VLOOKUP(A53,Niños!A:C,3,FALSE)=Table15[[#Headers],[Niños]],Table15[[#Headers],[Niños]],""),"")</f>
        <v/>
      </c>
      <c r="N53" t="str">
        <f>IFERROR(IF(VLOOKUP(A53,Laudes!A:C,3,FALSE)=Table15[[#Headers],[Laudes]],Table15[[#Headers],[Laudes]],""),"")</f>
        <v/>
      </c>
      <c r="O53" t="str">
        <f>IFERROR(IF(VLOOKUP(A53,'Nuevo Testamento'!A:C,3,FALSE)=Table15[[#Headers],[Nuevo Testamento]],Table15[[#Headers],[Nuevo Testamento]],""),"")</f>
        <v>Nuevo Testamento</v>
      </c>
      <c r="P53" t="str">
        <f>IFERROR(IF(VLOOKUP(A53,'Antiguo Testamento'!A:C,3,FALSE)=Table15[[#Headers],[Antiguo Testamento]],Table15[[#Headers],[Antiguo Testamento]],""),"")</f>
        <v/>
      </c>
      <c r="Q53" t="str">
        <f>IFERROR(IF(VLOOKUP(A53,Final!A:C,3,FALSE)=Table15[[#Headers],[Final]],Table15[[#Headers],[Final]],""),"")</f>
        <v/>
      </c>
    </row>
    <row r="54" spans="1:17" x14ac:dyDescent="0.25">
      <c r="A54" t="s">
        <v>136</v>
      </c>
      <c r="B54">
        <v>54</v>
      </c>
      <c r="C54" t="str">
        <f>IFERROR(IF(VLOOKUP(A54,Adviento!A:C,3,FALSE)=Table15[[#Headers],[Adviento]],Table15[[#Headers],[Adviento]],""),"")</f>
        <v/>
      </c>
      <c r="D54" t="str">
        <f>IFERROR(IF(VLOOKUP(A54,Navidad!A:C,3,FALSE)=Table15[[#Headers],[Navidad]],Table15[[#Headers],[Navidad]],""),"")</f>
        <v/>
      </c>
      <c r="E54" t="str">
        <f>IFERROR(IF(VLOOKUP(A54,Cuaresma!A:C,3,FALSE)=Table15[[#Headers],[Cuaresma]],Table15[[#Headers],[Cuaresma]],""),"")</f>
        <v/>
      </c>
      <c r="F54" t="str">
        <f>IFERROR(IF(VLOOKUP(A54,Pascua!A:C,3,FALSE)=Table15[[#Headers],[Pascua]],Table15[[#Headers],[Pascua]],""),"")</f>
        <v>Pascua</v>
      </c>
      <c r="G54" t="str">
        <f>IFERROR(IF(VLOOKUP(A54,Pentecostés!A:C,3,FALSE)=Table15[[#Headers],[Pentecostés]],Table15[[#Headers],[Pentecostés]],""),"")</f>
        <v>Pentecostés</v>
      </c>
      <c r="H54" t="str">
        <f>IFERROR(IF(VLOOKUP(A54,Entrada!A:C,3,FALSE)=Table15[[#Headers],[Entrada]],Table15[[#Headers],[Entrada]],""),"")</f>
        <v>Entrada</v>
      </c>
      <c r="I54" t="str">
        <f>IFERROR(IF(VLOOKUP(A54,Virgen!A:C,3,FALSE)=Table15[[#Headers],[Virgen]],Table15[[#Headers],[Virgen]],""),"")</f>
        <v/>
      </c>
      <c r="J54" t="str">
        <f>IFERROR(IF(VLOOKUP(A54,Paz!A:C,3,FALSE)=Table15[[#Headers],[Paz]],Table15[[#Headers],[Paz]],""),"")</f>
        <v/>
      </c>
      <c r="K54" t="str">
        <f>IFERROR(IF(VLOOKUP(A54,Pan!A:C,3,FALSE)=Table15[[#Headers],[Pan]],Table15[[#Headers],[Pan]],""),"")</f>
        <v/>
      </c>
      <c r="L54" t="str">
        <f>IFERROR(IF(VLOOKUP(A54,Comunión!A:C,3,FALSE)=Table15[[#Headers],[Comunión]],Table15[[#Headers],[Comunión]],""),"")</f>
        <v>Comunión</v>
      </c>
      <c r="M54" t="str">
        <f>IFERROR(IF(VLOOKUP(A54,Niños!A:C,3,FALSE)=Table15[[#Headers],[Niños]],Table15[[#Headers],[Niños]],""),"")</f>
        <v/>
      </c>
      <c r="N54" t="str">
        <f>IFERROR(IF(VLOOKUP(A54,Laudes!A:C,3,FALSE)=Table15[[#Headers],[Laudes]],Table15[[#Headers],[Laudes]],""),"")</f>
        <v>Laudes</v>
      </c>
      <c r="O54" t="str">
        <f>IFERROR(IF(VLOOKUP(A54,'Nuevo Testamento'!A:C,3,FALSE)=Table15[[#Headers],[Nuevo Testamento]],Table15[[#Headers],[Nuevo Testamento]],""),"")</f>
        <v>Nuevo Testamento</v>
      </c>
      <c r="P54" t="str">
        <f>IFERROR(IF(VLOOKUP(A54,'Antiguo Testamento'!A:C,3,FALSE)=Table15[[#Headers],[Antiguo Testamento]],Table15[[#Headers],[Antiguo Testamento]],""),"")</f>
        <v>Antiguo Testamento</v>
      </c>
      <c r="Q54" t="str">
        <f>IFERROR(IF(VLOOKUP(A54,Final!A:C,3,FALSE)=Table15[[#Headers],[Final]],Table15[[#Headers],[Final]],""),"")</f>
        <v/>
      </c>
    </row>
    <row r="55" spans="1:17" x14ac:dyDescent="0.25">
      <c r="A55" t="s">
        <v>33</v>
      </c>
      <c r="B55">
        <v>55</v>
      </c>
      <c r="C55" t="str">
        <f>IFERROR(IF(VLOOKUP(A55,Adviento!A:C,3,FALSE)=Table15[[#Headers],[Adviento]],Table15[[#Headers],[Adviento]],""),"")</f>
        <v/>
      </c>
      <c r="D55" t="str">
        <f>IFERROR(IF(VLOOKUP(A55,Navidad!A:C,3,FALSE)=Table15[[#Headers],[Navidad]],Table15[[#Headers],[Navidad]],""),"")</f>
        <v/>
      </c>
      <c r="E55" t="str">
        <f>IFERROR(IF(VLOOKUP(A55,Cuaresma!A:C,3,FALSE)=Table15[[#Headers],[Cuaresma]],Table15[[#Headers],[Cuaresma]],""),"")</f>
        <v/>
      </c>
      <c r="F55" t="str">
        <f>IFERROR(IF(VLOOKUP(A55,Pascua!A:C,3,FALSE)=Table15[[#Headers],[Pascua]],Table15[[#Headers],[Pascua]],""),"")</f>
        <v>Pascua</v>
      </c>
      <c r="G55" t="str">
        <f>IFERROR(IF(VLOOKUP(A55,Pentecostés!A:C,3,FALSE)=Table15[[#Headers],[Pentecostés]],Table15[[#Headers],[Pentecostés]],""),"")</f>
        <v>Pentecostés</v>
      </c>
      <c r="H55" t="str">
        <f>IFERROR(IF(VLOOKUP(A55,Entrada!A:C,3,FALSE)=Table15[[#Headers],[Entrada]],Table15[[#Headers],[Entrada]],""),"")</f>
        <v/>
      </c>
      <c r="I55" t="str">
        <f>IFERROR(IF(VLOOKUP(A55,Virgen!A:C,3,FALSE)=Table15[[#Headers],[Virgen]],Table15[[#Headers],[Virgen]],""),"")</f>
        <v/>
      </c>
      <c r="J55" t="str">
        <f>IFERROR(IF(VLOOKUP(A55,Paz!A:C,3,FALSE)=Table15[[#Headers],[Paz]],Table15[[#Headers],[Paz]],""),"")</f>
        <v/>
      </c>
      <c r="K55" t="str">
        <f>IFERROR(IF(VLOOKUP(A55,Pan!A:C,3,FALSE)=Table15[[#Headers],[Pan]],Table15[[#Headers],[Pan]],""),"")</f>
        <v/>
      </c>
      <c r="L55" t="str">
        <f>IFERROR(IF(VLOOKUP(A55,Comunión!A:C,3,FALSE)=Table15[[#Headers],[Comunión]],Table15[[#Headers],[Comunión]],""),"")</f>
        <v>Comunión</v>
      </c>
      <c r="M55" t="str">
        <f>IFERROR(IF(VLOOKUP(A55,Niños!A:C,3,FALSE)=Table15[[#Headers],[Niños]],Table15[[#Headers],[Niños]],""),"")</f>
        <v/>
      </c>
      <c r="N55" t="str">
        <f>IFERROR(IF(VLOOKUP(A55,Laudes!A:C,3,FALSE)=Table15[[#Headers],[Laudes]],Table15[[#Headers],[Laudes]],""),"")</f>
        <v/>
      </c>
      <c r="O55" t="str">
        <f>IFERROR(IF(VLOOKUP(A55,'Nuevo Testamento'!A:C,3,FALSE)=Table15[[#Headers],[Nuevo Testamento]],Table15[[#Headers],[Nuevo Testamento]],""),"")</f>
        <v/>
      </c>
      <c r="P55" t="str">
        <f>IFERROR(IF(VLOOKUP(A55,'Antiguo Testamento'!A:C,3,FALSE)=Table15[[#Headers],[Antiguo Testamento]],Table15[[#Headers],[Antiguo Testamento]],""),"")</f>
        <v>Antiguo Testamento</v>
      </c>
      <c r="Q55" t="str">
        <f>IFERROR(IF(VLOOKUP(A55,Final!A:C,3,FALSE)=Table15[[#Headers],[Final]],Table15[[#Headers],[Final]],""),"")</f>
        <v/>
      </c>
    </row>
    <row r="56" spans="1:17" x14ac:dyDescent="0.25">
      <c r="A56" t="s">
        <v>137</v>
      </c>
      <c r="B56">
        <v>56</v>
      </c>
      <c r="C56" t="str">
        <f>IFERROR(IF(VLOOKUP(A56,Adviento!A:C,3,FALSE)=Table15[[#Headers],[Adviento]],Table15[[#Headers],[Adviento]],""),"")</f>
        <v/>
      </c>
      <c r="D56" t="str">
        <f>IFERROR(IF(VLOOKUP(A56,Navidad!A:C,3,FALSE)=Table15[[#Headers],[Navidad]],Table15[[#Headers],[Navidad]],""),"")</f>
        <v/>
      </c>
      <c r="E56" t="str">
        <f>IFERROR(IF(VLOOKUP(A56,Cuaresma!A:C,3,FALSE)=Table15[[#Headers],[Cuaresma]],Table15[[#Headers],[Cuaresma]],""),"")</f>
        <v/>
      </c>
      <c r="F56" t="str">
        <f>IFERROR(IF(VLOOKUP(A56,Pascua!A:C,3,FALSE)=Table15[[#Headers],[Pascua]],Table15[[#Headers],[Pascua]],""),"")</f>
        <v/>
      </c>
      <c r="G56" t="str">
        <f>IFERROR(IF(VLOOKUP(A56,Pentecostés!A:C,3,FALSE)=Table15[[#Headers],[Pentecostés]],Table15[[#Headers],[Pentecostés]],""),"")</f>
        <v/>
      </c>
      <c r="H56" t="str">
        <f>IFERROR(IF(VLOOKUP(A56,Entrada!A:C,3,FALSE)=Table15[[#Headers],[Entrada]],Table15[[#Headers],[Entrada]],""),"")</f>
        <v/>
      </c>
      <c r="I56" t="str">
        <f>IFERROR(IF(VLOOKUP(A56,Virgen!A:C,3,FALSE)=Table15[[#Headers],[Virgen]],Table15[[#Headers],[Virgen]],""),"")</f>
        <v/>
      </c>
      <c r="J56" t="str">
        <f>IFERROR(IF(VLOOKUP(A56,Paz!A:C,3,FALSE)=Table15[[#Headers],[Paz]],Table15[[#Headers],[Paz]],""),"")</f>
        <v/>
      </c>
      <c r="K56" t="str">
        <f>IFERROR(IF(VLOOKUP(A56,Pan!A:C,3,FALSE)=Table15[[#Headers],[Pan]],Table15[[#Headers],[Pan]],""),"")</f>
        <v>Pan</v>
      </c>
      <c r="L56" t="str">
        <f>IFERROR(IF(VLOOKUP(A56,Comunión!A:C,3,FALSE)=Table15[[#Headers],[Comunión]],Table15[[#Headers],[Comunión]],""),"")</f>
        <v/>
      </c>
      <c r="M56" t="str">
        <f>IFERROR(IF(VLOOKUP(A56,Niños!A:C,3,FALSE)=Table15[[#Headers],[Niños]],Table15[[#Headers],[Niños]],""),"")</f>
        <v/>
      </c>
      <c r="N56" t="str">
        <f>IFERROR(IF(VLOOKUP(A56,Laudes!A:C,3,FALSE)=Table15[[#Headers],[Laudes]],Table15[[#Headers],[Laudes]],""),"")</f>
        <v/>
      </c>
      <c r="O56" t="str">
        <f>IFERROR(IF(VLOOKUP(A56,'Nuevo Testamento'!A:C,3,FALSE)=Table15[[#Headers],[Nuevo Testamento]],Table15[[#Headers],[Nuevo Testamento]],""),"")</f>
        <v/>
      </c>
      <c r="P56" t="str">
        <f>IFERROR(IF(VLOOKUP(A56,'Antiguo Testamento'!A:C,3,FALSE)=Table15[[#Headers],[Antiguo Testamento]],Table15[[#Headers],[Antiguo Testamento]],""),"")</f>
        <v>Antiguo Testamento</v>
      </c>
      <c r="Q56" t="str">
        <f>IFERROR(IF(VLOOKUP(A56,Final!A:C,3,FALSE)=Table15[[#Headers],[Final]],Table15[[#Headers],[Final]],""),"")</f>
        <v/>
      </c>
    </row>
    <row r="57" spans="1:17" x14ac:dyDescent="0.25">
      <c r="A57" t="s">
        <v>138</v>
      </c>
      <c r="B57">
        <v>57</v>
      </c>
      <c r="C57" t="str">
        <f>IFERROR(IF(VLOOKUP(A57,Adviento!A:C,3,FALSE)=Table15[[#Headers],[Adviento]],Table15[[#Headers],[Adviento]],""),"")</f>
        <v/>
      </c>
      <c r="D57" t="str">
        <f>IFERROR(IF(VLOOKUP(A57,Navidad!A:C,3,FALSE)=Table15[[#Headers],[Navidad]],Table15[[#Headers],[Navidad]],""),"")</f>
        <v/>
      </c>
      <c r="E57" t="str">
        <f>IFERROR(IF(VLOOKUP(A57,Cuaresma!A:C,3,FALSE)=Table15[[#Headers],[Cuaresma]],Table15[[#Headers],[Cuaresma]],""),"")</f>
        <v/>
      </c>
      <c r="F57" t="str">
        <f>IFERROR(IF(VLOOKUP(A57,Pascua!A:C,3,FALSE)=Table15[[#Headers],[Pascua]],Table15[[#Headers],[Pascua]],""),"")</f>
        <v>Pascua</v>
      </c>
      <c r="G57" t="str">
        <f>IFERROR(IF(VLOOKUP(A57,Pentecostés!A:C,3,FALSE)=Table15[[#Headers],[Pentecostés]],Table15[[#Headers],[Pentecostés]],""),"")</f>
        <v>Pentecostés</v>
      </c>
      <c r="H57" t="str">
        <f>IFERROR(IF(VLOOKUP(A57,Entrada!A:C,3,FALSE)=Table15[[#Headers],[Entrada]],Table15[[#Headers],[Entrada]],""),"")</f>
        <v/>
      </c>
      <c r="I57" t="str">
        <f>IFERROR(IF(VLOOKUP(A57,Virgen!A:C,3,FALSE)=Table15[[#Headers],[Virgen]],Table15[[#Headers],[Virgen]],""),"")</f>
        <v/>
      </c>
      <c r="J57" t="str">
        <f>IFERROR(IF(VLOOKUP(A57,Paz!A:C,3,FALSE)=Table15[[#Headers],[Paz]],Table15[[#Headers],[Paz]],""),"")</f>
        <v/>
      </c>
      <c r="K57" t="str">
        <f>IFERROR(IF(VLOOKUP(A57,Pan!A:C,3,FALSE)=Table15[[#Headers],[Pan]],Table15[[#Headers],[Pan]],""),"")</f>
        <v>Pan</v>
      </c>
      <c r="L57" t="str">
        <f>IFERROR(IF(VLOOKUP(A57,Comunión!A:C,3,FALSE)=Table15[[#Headers],[Comunión]],Table15[[#Headers],[Comunión]],""),"")</f>
        <v/>
      </c>
      <c r="M57" t="str">
        <f>IFERROR(IF(VLOOKUP(A57,Niños!A:C,3,FALSE)=Table15[[#Headers],[Niños]],Table15[[#Headers],[Niños]],""),"")</f>
        <v/>
      </c>
      <c r="N57" t="str">
        <f>IFERROR(IF(VLOOKUP(A57,Laudes!A:C,3,FALSE)=Table15[[#Headers],[Laudes]],Table15[[#Headers],[Laudes]],""),"")</f>
        <v/>
      </c>
      <c r="O57" t="str">
        <f>IFERROR(IF(VLOOKUP(A57,'Nuevo Testamento'!A:C,3,FALSE)=Table15[[#Headers],[Nuevo Testamento]],Table15[[#Headers],[Nuevo Testamento]],""),"")</f>
        <v/>
      </c>
      <c r="P57" t="str">
        <f>IFERROR(IF(VLOOKUP(A57,'Antiguo Testamento'!A:C,3,FALSE)=Table15[[#Headers],[Antiguo Testamento]],Table15[[#Headers],[Antiguo Testamento]],""),"")</f>
        <v/>
      </c>
      <c r="Q57" t="str">
        <f>IFERROR(IF(VLOOKUP(A57,Final!A:C,3,FALSE)=Table15[[#Headers],[Final]],Table15[[#Headers],[Final]],""),"")</f>
        <v/>
      </c>
    </row>
    <row r="58" spans="1:17" x14ac:dyDescent="0.25">
      <c r="A58" t="s">
        <v>35</v>
      </c>
      <c r="B58">
        <v>58</v>
      </c>
      <c r="C58" t="str">
        <f>IFERROR(IF(VLOOKUP(A58,Adviento!A:C,3,FALSE)=Table15[[#Headers],[Adviento]],Table15[[#Headers],[Adviento]],""),"")</f>
        <v/>
      </c>
      <c r="D58" t="str">
        <f>IFERROR(IF(VLOOKUP(A58,Navidad!A:C,3,FALSE)=Table15[[#Headers],[Navidad]],Table15[[#Headers],[Navidad]],""),"")</f>
        <v/>
      </c>
      <c r="E58" t="str">
        <f>IFERROR(IF(VLOOKUP(A58,Cuaresma!A:C,3,FALSE)=Table15[[#Headers],[Cuaresma]],Table15[[#Headers],[Cuaresma]],""),"")</f>
        <v/>
      </c>
      <c r="F58" t="str">
        <f>IFERROR(IF(VLOOKUP(A58,Pascua!A:C,3,FALSE)=Table15[[#Headers],[Pascua]],Table15[[#Headers],[Pascua]],""),"")</f>
        <v/>
      </c>
      <c r="G58" t="str">
        <f>IFERROR(IF(VLOOKUP(A58,Pentecostés!A:C,3,FALSE)=Table15[[#Headers],[Pentecostés]],Table15[[#Headers],[Pentecostés]],""),"")</f>
        <v/>
      </c>
      <c r="H58" t="str">
        <f>IFERROR(IF(VLOOKUP(A58,Entrada!A:C,3,FALSE)=Table15[[#Headers],[Entrada]],Table15[[#Headers],[Entrada]],""),"")</f>
        <v/>
      </c>
      <c r="I58" t="str">
        <f>IFERROR(IF(VLOOKUP(A58,Virgen!A:C,3,FALSE)=Table15[[#Headers],[Virgen]],Table15[[#Headers],[Virgen]],""),"")</f>
        <v/>
      </c>
      <c r="J58" t="str">
        <f>IFERROR(IF(VLOOKUP(A58,Paz!A:C,3,FALSE)=Table15[[#Headers],[Paz]],Table15[[#Headers],[Paz]],""),"")</f>
        <v/>
      </c>
      <c r="K58" t="str">
        <f>IFERROR(IF(VLOOKUP(A58,Pan!A:C,3,FALSE)=Table15[[#Headers],[Pan]],Table15[[#Headers],[Pan]],""),"")</f>
        <v/>
      </c>
      <c r="L58" t="str">
        <f>IFERROR(IF(VLOOKUP(A58,Comunión!A:C,3,FALSE)=Table15[[#Headers],[Comunión]],Table15[[#Headers],[Comunión]],""),"")</f>
        <v/>
      </c>
      <c r="M58" t="str">
        <f>IFERROR(IF(VLOOKUP(A58,Niños!A:C,3,FALSE)=Table15[[#Headers],[Niños]],Table15[[#Headers],[Niños]],""),"")</f>
        <v/>
      </c>
      <c r="N58" t="str">
        <f>IFERROR(IF(VLOOKUP(A58,Laudes!A:C,3,FALSE)=Table15[[#Headers],[Laudes]],Table15[[#Headers],[Laudes]],""),"")</f>
        <v/>
      </c>
      <c r="O58" t="str">
        <f>IFERROR(IF(VLOOKUP(A58,'Nuevo Testamento'!A:C,3,FALSE)=Table15[[#Headers],[Nuevo Testamento]],Table15[[#Headers],[Nuevo Testamento]],""),"")</f>
        <v/>
      </c>
      <c r="P58" t="str">
        <f>IFERROR(IF(VLOOKUP(A58,'Antiguo Testamento'!A:C,3,FALSE)=Table15[[#Headers],[Antiguo Testamento]],Table15[[#Headers],[Antiguo Testamento]],""),"")</f>
        <v>Antiguo Testamento</v>
      </c>
      <c r="Q58" t="str">
        <f>IFERROR(IF(VLOOKUP(A58,Final!A:C,3,FALSE)=Table15[[#Headers],[Final]],Table15[[#Headers],[Final]],""),"")</f>
        <v/>
      </c>
    </row>
    <row r="59" spans="1:17" x14ac:dyDescent="0.25">
      <c r="A59" t="s">
        <v>139</v>
      </c>
      <c r="B59">
        <v>59</v>
      </c>
      <c r="C59" t="str">
        <f>IFERROR(IF(VLOOKUP(A59,Adviento!A:C,3,FALSE)=Table15[[#Headers],[Adviento]],Table15[[#Headers],[Adviento]],""),"")</f>
        <v>Adviento</v>
      </c>
      <c r="D59" t="str">
        <f>IFERROR(IF(VLOOKUP(A59,Navidad!A:C,3,FALSE)=Table15[[#Headers],[Navidad]],Table15[[#Headers],[Navidad]],""),"")</f>
        <v>Navidad</v>
      </c>
      <c r="E59" t="str">
        <f>IFERROR(IF(VLOOKUP(A59,Cuaresma!A:C,3,FALSE)=Table15[[#Headers],[Cuaresma]],Table15[[#Headers],[Cuaresma]],""),"")</f>
        <v/>
      </c>
      <c r="F59" t="str">
        <f>IFERROR(IF(VLOOKUP(A59,Pascua!A:C,3,FALSE)=Table15[[#Headers],[Pascua]],Table15[[#Headers],[Pascua]],""),"")</f>
        <v/>
      </c>
      <c r="G59" t="str">
        <f>IFERROR(IF(VLOOKUP(A59,Pentecostés!A:C,3,FALSE)=Table15[[#Headers],[Pentecostés]],Table15[[#Headers],[Pentecostés]],""),"")</f>
        <v/>
      </c>
      <c r="H59" t="str">
        <f>IFERROR(IF(VLOOKUP(A59,Entrada!A:C,3,FALSE)=Table15[[#Headers],[Entrada]],Table15[[#Headers],[Entrada]],""),"")</f>
        <v/>
      </c>
      <c r="I59" t="str">
        <f>IFERROR(IF(VLOOKUP(A59,Virgen!A:C,3,FALSE)=Table15[[#Headers],[Virgen]],Table15[[#Headers],[Virgen]],""),"")</f>
        <v/>
      </c>
      <c r="J59" t="str">
        <f>IFERROR(IF(VLOOKUP(A59,Paz!A:C,3,FALSE)=Table15[[#Headers],[Paz]],Table15[[#Headers],[Paz]],""),"")</f>
        <v/>
      </c>
      <c r="K59" t="str">
        <f>IFERROR(IF(VLOOKUP(A59,Pan!A:C,3,FALSE)=Table15[[#Headers],[Pan]],Table15[[#Headers],[Pan]],""),"")</f>
        <v/>
      </c>
      <c r="L59" t="str">
        <f>IFERROR(IF(VLOOKUP(A59,Comunión!A:C,3,FALSE)=Table15[[#Headers],[Comunión]],Table15[[#Headers],[Comunión]],""),"")</f>
        <v/>
      </c>
      <c r="M59" t="str">
        <f>IFERROR(IF(VLOOKUP(A59,Niños!A:C,3,FALSE)=Table15[[#Headers],[Niños]],Table15[[#Headers],[Niños]],""),"")</f>
        <v/>
      </c>
      <c r="N59" t="str">
        <f>IFERROR(IF(VLOOKUP(A59,Laudes!A:C,3,FALSE)=Table15[[#Headers],[Laudes]],Table15[[#Headers],[Laudes]],""),"")</f>
        <v/>
      </c>
      <c r="O59" t="str">
        <f>IFERROR(IF(VLOOKUP(A59,'Nuevo Testamento'!A:C,3,FALSE)=Table15[[#Headers],[Nuevo Testamento]],Table15[[#Headers],[Nuevo Testamento]],""),"")</f>
        <v/>
      </c>
      <c r="P59" t="str">
        <f>IFERROR(IF(VLOOKUP(A59,'Antiguo Testamento'!A:C,3,FALSE)=Table15[[#Headers],[Antiguo Testamento]],Table15[[#Headers],[Antiguo Testamento]],""),"")</f>
        <v>Antiguo Testamento</v>
      </c>
      <c r="Q59" t="str">
        <f>IFERROR(IF(VLOOKUP(A59,Final!A:C,3,FALSE)=Table15[[#Headers],[Final]],Table15[[#Headers],[Final]],""),"")</f>
        <v/>
      </c>
    </row>
    <row r="60" spans="1:17" x14ac:dyDescent="0.25">
      <c r="A60" t="s">
        <v>37</v>
      </c>
      <c r="B60">
        <v>60</v>
      </c>
      <c r="C60" t="str">
        <f>IFERROR(IF(VLOOKUP(A60,Adviento!A:C,3,FALSE)=Table15[[#Headers],[Adviento]],Table15[[#Headers],[Adviento]],""),"")</f>
        <v/>
      </c>
      <c r="D60" t="str">
        <f>IFERROR(IF(VLOOKUP(A60,Navidad!A:C,3,FALSE)=Table15[[#Headers],[Navidad]],Table15[[#Headers],[Navidad]],""),"")</f>
        <v/>
      </c>
      <c r="E60" t="str">
        <f>IFERROR(IF(VLOOKUP(A60,Cuaresma!A:C,3,FALSE)=Table15[[#Headers],[Cuaresma]],Table15[[#Headers],[Cuaresma]],""),"")</f>
        <v/>
      </c>
      <c r="F60" t="str">
        <f>IFERROR(IF(VLOOKUP(A60,Pascua!A:C,3,FALSE)=Table15[[#Headers],[Pascua]],Table15[[#Headers],[Pascua]],""),"")</f>
        <v/>
      </c>
      <c r="G60" t="str">
        <f>IFERROR(IF(VLOOKUP(A60,Pentecostés!A:C,3,FALSE)=Table15[[#Headers],[Pentecostés]],Table15[[#Headers],[Pentecostés]],""),"")</f>
        <v/>
      </c>
      <c r="H60" t="str">
        <f>IFERROR(IF(VLOOKUP(A60,Entrada!A:C,3,FALSE)=Table15[[#Headers],[Entrada]],Table15[[#Headers],[Entrada]],""),"")</f>
        <v>Entrada</v>
      </c>
      <c r="I60" t="str">
        <f>IFERROR(IF(VLOOKUP(A60,Virgen!A:C,3,FALSE)=Table15[[#Headers],[Virgen]],Table15[[#Headers],[Virgen]],""),"")</f>
        <v/>
      </c>
      <c r="J60" t="str">
        <f>IFERROR(IF(VLOOKUP(A60,Paz!A:C,3,FALSE)=Table15[[#Headers],[Paz]],Table15[[#Headers],[Paz]],""),"")</f>
        <v/>
      </c>
      <c r="K60" t="str">
        <f>IFERROR(IF(VLOOKUP(A60,Pan!A:C,3,FALSE)=Table15[[#Headers],[Pan]],Table15[[#Headers],[Pan]],""),"")</f>
        <v/>
      </c>
      <c r="L60" t="str">
        <f>IFERROR(IF(VLOOKUP(A60,Comunión!A:C,3,FALSE)=Table15[[#Headers],[Comunión]],Table15[[#Headers],[Comunión]],""),"")</f>
        <v/>
      </c>
      <c r="M60" t="str">
        <f>IFERROR(IF(VLOOKUP(A60,Niños!A:C,3,FALSE)=Table15[[#Headers],[Niños]],Table15[[#Headers],[Niños]],""),"")</f>
        <v/>
      </c>
      <c r="N60" t="str">
        <f>IFERROR(IF(VLOOKUP(A60,Laudes!A:C,3,FALSE)=Table15[[#Headers],[Laudes]],Table15[[#Headers],[Laudes]],""),"")</f>
        <v/>
      </c>
      <c r="O60" t="str">
        <f>IFERROR(IF(VLOOKUP(A60,'Nuevo Testamento'!A:C,3,FALSE)=Table15[[#Headers],[Nuevo Testamento]],Table15[[#Headers],[Nuevo Testamento]],""),"")</f>
        <v/>
      </c>
      <c r="P60" t="str">
        <f>IFERROR(IF(VLOOKUP(A60,'Antiguo Testamento'!A:C,3,FALSE)=Table15[[#Headers],[Antiguo Testamento]],Table15[[#Headers],[Antiguo Testamento]],""),"")</f>
        <v>Antiguo Testamento</v>
      </c>
      <c r="Q60" t="str">
        <f>IFERROR(IF(VLOOKUP(A60,Final!A:C,3,FALSE)=Table15[[#Headers],[Final]],Table15[[#Headers],[Final]],""),"")</f>
        <v/>
      </c>
    </row>
    <row r="61" spans="1:17" x14ac:dyDescent="0.25">
      <c r="A61" t="s">
        <v>38</v>
      </c>
      <c r="B61">
        <v>61</v>
      </c>
      <c r="C61" t="str">
        <f>IFERROR(IF(VLOOKUP(A61,Adviento!A:C,3,FALSE)=Table15[[#Headers],[Adviento]],Table15[[#Headers],[Adviento]],""),"")</f>
        <v/>
      </c>
      <c r="D61" t="str">
        <f>IFERROR(IF(VLOOKUP(A61,Navidad!A:C,3,FALSE)=Table15[[#Headers],[Navidad]],Table15[[#Headers],[Navidad]],""),"")</f>
        <v/>
      </c>
      <c r="E61" t="str">
        <f>IFERROR(IF(VLOOKUP(A61,Cuaresma!A:C,3,FALSE)=Table15[[#Headers],[Cuaresma]],Table15[[#Headers],[Cuaresma]],""),"")</f>
        <v/>
      </c>
      <c r="F61" t="str">
        <f>IFERROR(IF(VLOOKUP(A61,Pascua!A:C,3,FALSE)=Table15[[#Headers],[Pascua]],Table15[[#Headers],[Pascua]],""),"")</f>
        <v>Pascua</v>
      </c>
      <c r="G61" t="str">
        <f>IFERROR(IF(VLOOKUP(A61,Pentecostés!A:C,3,FALSE)=Table15[[#Headers],[Pentecostés]],Table15[[#Headers],[Pentecostés]],""),"")</f>
        <v>Pentecostés</v>
      </c>
      <c r="H61" t="str">
        <f>IFERROR(IF(VLOOKUP(A61,Entrada!A:C,3,FALSE)=Table15[[#Headers],[Entrada]],Table15[[#Headers],[Entrada]],""),"")</f>
        <v/>
      </c>
      <c r="I61" t="str">
        <f>IFERROR(IF(VLOOKUP(A61,Virgen!A:C,3,FALSE)=Table15[[#Headers],[Virgen]],Table15[[#Headers],[Virgen]],""),"")</f>
        <v/>
      </c>
      <c r="J61" t="str">
        <f>IFERROR(IF(VLOOKUP(A61,Paz!A:C,3,FALSE)=Table15[[#Headers],[Paz]],Table15[[#Headers],[Paz]],""),"")</f>
        <v/>
      </c>
      <c r="K61" t="str">
        <f>IFERROR(IF(VLOOKUP(A61,Pan!A:C,3,FALSE)=Table15[[#Headers],[Pan]],Table15[[#Headers],[Pan]],""),"")</f>
        <v/>
      </c>
      <c r="L61" t="str">
        <f>IFERROR(IF(VLOOKUP(A61,Comunión!A:C,3,FALSE)=Table15[[#Headers],[Comunión]],Table15[[#Headers],[Comunión]],""),"")</f>
        <v>Comunión</v>
      </c>
      <c r="M61" t="str">
        <f>IFERROR(IF(VLOOKUP(A61,Niños!A:C,3,FALSE)=Table15[[#Headers],[Niños]],Table15[[#Headers],[Niños]],""),"")</f>
        <v/>
      </c>
      <c r="N61" t="str">
        <f>IFERROR(IF(VLOOKUP(A61,Laudes!A:C,3,FALSE)=Table15[[#Headers],[Laudes]],Table15[[#Headers],[Laudes]],""),"")</f>
        <v/>
      </c>
      <c r="O61" t="str">
        <f>IFERROR(IF(VLOOKUP(A61,'Nuevo Testamento'!A:C,3,FALSE)=Table15[[#Headers],[Nuevo Testamento]],Table15[[#Headers],[Nuevo Testamento]],""),"")</f>
        <v/>
      </c>
      <c r="P61" t="str">
        <f>IFERROR(IF(VLOOKUP(A61,'Antiguo Testamento'!A:C,3,FALSE)=Table15[[#Headers],[Antiguo Testamento]],Table15[[#Headers],[Antiguo Testamento]],""),"")</f>
        <v>Antiguo Testamento</v>
      </c>
      <c r="Q61" t="str">
        <f>IFERROR(IF(VLOOKUP(A61,Final!A:C,3,FALSE)=Table15[[#Headers],[Final]],Table15[[#Headers],[Final]],""),"")</f>
        <v/>
      </c>
    </row>
    <row r="62" spans="1:17" x14ac:dyDescent="0.25">
      <c r="A62" t="s">
        <v>140</v>
      </c>
      <c r="B62">
        <v>62</v>
      </c>
      <c r="C62" t="str">
        <f>IFERROR(IF(VLOOKUP(A62,Adviento!A:C,3,FALSE)=Table15[[#Headers],[Adviento]],Table15[[#Headers],[Adviento]],""),"")</f>
        <v/>
      </c>
      <c r="D62" t="str">
        <f>IFERROR(IF(VLOOKUP(A62,Navidad!A:C,3,FALSE)=Table15[[#Headers],[Navidad]],Table15[[#Headers],[Navidad]],""),"")</f>
        <v/>
      </c>
      <c r="E62" t="str">
        <f>IFERROR(IF(VLOOKUP(A62,Cuaresma!A:C,3,FALSE)=Table15[[#Headers],[Cuaresma]],Table15[[#Headers],[Cuaresma]],""),"")</f>
        <v/>
      </c>
      <c r="F62" t="str">
        <f>IFERROR(IF(VLOOKUP(A62,Pascua!A:C,3,FALSE)=Table15[[#Headers],[Pascua]],Table15[[#Headers],[Pascua]],""),"")</f>
        <v/>
      </c>
      <c r="G62" t="str">
        <f>IFERROR(IF(VLOOKUP(A62,Pentecostés!A:C,3,FALSE)=Table15[[#Headers],[Pentecostés]],Table15[[#Headers],[Pentecostés]],""),"")</f>
        <v/>
      </c>
      <c r="H62" t="str">
        <f>IFERROR(IF(VLOOKUP(A62,Entrada!A:C,3,FALSE)=Table15[[#Headers],[Entrada]],Table15[[#Headers],[Entrada]],""),"")</f>
        <v/>
      </c>
      <c r="I62" t="str">
        <f>IFERROR(IF(VLOOKUP(A62,Virgen!A:C,3,FALSE)=Table15[[#Headers],[Virgen]],Table15[[#Headers],[Virgen]],""),"")</f>
        <v/>
      </c>
      <c r="J62" t="str">
        <f>IFERROR(IF(VLOOKUP(A62,Paz!A:C,3,FALSE)=Table15[[#Headers],[Paz]],Table15[[#Headers],[Paz]],""),"")</f>
        <v/>
      </c>
      <c r="K62" t="str">
        <f>IFERROR(IF(VLOOKUP(A62,Pan!A:C,3,FALSE)=Table15[[#Headers],[Pan]],Table15[[#Headers],[Pan]],""),"")</f>
        <v>Pan</v>
      </c>
      <c r="L62" t="str">
        <f>IFERROR(IF(VLOOKUP(A62,Comunión!A:C,3,FALSE)=Table15[[#Headers],[Comunión]],Table15[[#Headers],[Comunión]],""),"")</f>
        <v/>
      </c>
      <c r="M62" t="str">
        <f>IFERROR(IF(VLOOKUP(A62,Niños!A:C,3,FALSE)=Table15[[#Headers],[Niños]],Table15[[#Headers],[Niños]],""),"")</f>
        <v/>
      </c>
      <c r="N62" t="str">
        <f>IFERROR(IF(VLOOKUP(A62,Laudes!A:C,3,FALSE)=Table15[[#Headers],[Laudes]],Table15[[#Headers],[Laudes]],""),"")</f>
        <v/>
      </c>
      <c r="O62" t="str">
        <f>IFERROR(IF(VLOOKUP(A62,'Nuevo Testamento'!A:C,3,FALSE)=Table15[[#Headers],[Nuevo Testamento]],Table15[[#Headers],[Nuevo Testamento]],""),"")</f>
        <v/>
      </c>
      <c r="P62" t="str">
        <f>IFERROR(IF(VLOOKUP(A62,'Antiguo Testamento'!A:C,3,FALSE)=Table15[[#Headers],[Antiguo Testamento]],Table15[[#Headers],[Antiguo Testamento]],""),"")</f>
        <v>Antiguo Testamento</v>
      </c>
      <c r="Q62" t="str">
        <f>IFERROR(IF(VLOOKUP(A62,Final!A:C,3,FALSE)=Table15[[#Headers],[Final]],Table15[[#Headers],[Final]],""),"")</f>
        <v/>
      </c>
    </row>
    <row r="63" spans="1:17" x14ac:dyDescent="0.25">
      <c r="A63" t="s">
        <v>141</v>
      </c>
      <c r="B63">
        <v>63</v>
      </c>
      <c r="C63" t="str">
        <f>IFERROR(IF(VLOOKUP(A63,Adviento!A:C,3,FALSE)=Table15[[#Headers],[Adviento]],Table15[[#Headers],[Adviento]],""),"")</f>
        <v>Adviento</v>
      </c>
      <c r="D63" t="str">
        <f>IFERROR(IF(VLOOKUP(A63,Navidad!A:C,3,FALSE)=Table15[[#Headers],[Navidad]],Table15[[#Headers],[Navidad]],""),"")</f>
        <v>Navidad</v>
      </c>
      <c r="E63" t="str">
        <f>IFERROR(IF(VLOOKUP(A63,Cuaresma!A:C,3,FALSE)=Table15[[#Headers],[Cuaresma]],Table15[[#Headers],[Cuaresma]],""),"")</f>
        <v>Cuaresma</v>
      </c>
      <c r="F63" t="str">
        <f>IFERROR(IF(VLOOKUP(A63,Pascua!A:C,3,FALSE)=Table15[[#Headers],[Pascua]],Table15[[#Headers],[Pascua]],""),"")</f>
        <v/>
      </c>
      <c r="G63" t="str">
        <f>IFERROR(IF(VLOOKUP(A63,Pentecostés!A:C,3,FALSE)=Table15[[#Headers],[Pentecostés]],Table15[[#Headers],[Pentecostés]],""),"")</f>
        <v/>
      </c>
      <c r="H63" t="str">
        <f>IFERROR(IF(VLOOKUP(A63,Entrada!A:C,3,FALSE)=Table15[[#Headers],[Entrada]],Table15[[#Headers],[Entrada]],""),"")</f>
        <v/>
      </c>
      <c r="I63" t="str">
        <f>IFERROR(IF(VLOOKUP(A63,Virgen!A:C,3,FALSE)=Table15[[#Headers],[Virgen]],Table15[[#Headers],[Virgen]],""),"")</f>
        <v/>
      </c>
      <c r="J63" t="str">
        <f>IFERROR(IF(VLOOKUP(A63,Paz!A:C,3,FALSE)=Table15[[#Headers],[Paz]],Table15[[#Headers],[Paz]],""),"")</f>
        <v/>
      </c>
      <c r="K63" t="str">
        <f>IFERROR(IF(VLOOKUP(A63,Pan!A:C,3,FALSE)=Table15[[#Headers],[Pan]],Table15[[#Headers],[Pan]],""),"")</f>
        <v/>
      </c>
      <c r="L63" t="str">
        <f>IFERROR(IF(VLOOKUP(A63,Comunión!A:C,3,FALSE)=Table15[[#Headers],[Comunión]],Table15[[#Headers],[Comunión]],""),"")</f>
        <v/>
      </c>
      <c r="M63" t="str">
        <f>IFERROR(IF(VLOOKUP(A63,Niños!A:C,3,FALSE)=Table15[[#Headers],[Niños]],Table15[[#Headers],[Niños]],""),"")</f>
        <v/>
      </c>
      <c r="N63" t="str">
        <f>IFERROR(IF(VLOOKUP(A63,Laudes!A:C,3,FALSE)=Table15[[#Headers],[Laudes]],Table15[[#Headers],[Laudes]],""),"")</f>
        <v/>
      </c>
      <c r="O63" t="str">
        <f>IFERROR(IF(VLOOKUP(A63,'Nuevo Testamento'!A:C,3,FALSE)=Table15[[#Headers],[Nuevo Testamento]],Table15[[#Headers],[Nuevo Testamento]],""),"")</f>
        <v/>
      </c>
      <c r="P63" t="str">
        <f>IFERROR(IF(VLOOKUP(A63,'Antiguo Testamento'!A:C,3,FALSE)=Table15[[#Headers],[Antiguo Testamento]],Table15[[#Headers],[Antiguo Testamento]],""),"")</f>
        <v>Antiguo Testamento</v>
      </c>
      <c r="Q63" t="str">
        <f>IFERROR(IF(VLOOKUP(A63,Final!A:C,3,FALSE)=Table15[[#Headers],[Final]],Table15[[#Headers],[Final]],""),"")</f>
        <v/>
      </c>
    </row>
    <row r="64" spans="1:17" x14ac:dyDescent="0.25">
      <c r="A64" t="s">
        <v>142</v>
      </c>
      <c r="B64">
        <v>64</v>
      </c>
      <c r="C64" t="str">
        <f>IFERROR(IF(VLOOKUP(A64,Adviento!A:C,3,FALSE)=Table15[[#Headers],[Adviento]],Table15[[#Headers],[Adviento]],""),"")</f>
        <v/>
      </c>
      <c r="D64" t="str">
        <f>IFERROR(IF(VLOOKUP(A64,Navidad!A:C,3,FALSE)=Table15[[#Headers],[Navidad]],Table15[[#Headers],[Navidad]],""),"")</f>
        <v/>
      </c>
      <c r="E64" t="str">
        <f>IFERROR(IF(VLOOKUP(A64,Cuaresma!A:C,3,FALSE)=Table15[[#Headers],[Cuaresma]],Table15[[#Headers],[Cuaresma]],""),"")</f>
        <v/>
      </c>
      <c r="F64" t="str">
        <f>IFERROR(IF(VLOOKUP(A64,Pascua!A:C,3,FALSE)=Table15[[#Headers],[Pascua]],Table15[[#Headers],[Pascua]],""),"")</f>
        <v/>
      </c>
      <c r="G64" t="str">
        <f>IFERROR(IF(VLOOKUP(A64,Pentecostés!A:C,3,FALSE)=Table15[[#Headers],[Pentecostés]],Table15[[#Headers],[Pentecostés]],""),"")</f>
        <v/>
      </c>
      <c r="H64" t="str">
        <f>IFERROR(IF(VLOOKUP(A64,Entrada!A:C,3,FALSE)=Table15[[#Headers],[Entrada]],Table15[[#Headers],[Entrada]],""),"")</f>
        <v/>
      </c>
      <c r="I64" t="str">
        <f>IFERROR(IF(VLOOKUP(A64,Virgen!A:C,3,FALSE)=Table15[[#Headers],[Virgen]],Table15[[#Headers],[Virgen]],""),"")</f>
        <v/>
      </c>
      <c r="J64" t="str">
        <f>IFERROR(IF(VLOOKUP(A64,Paz!A:C,3,FALSE)=Table15[[#Headers],[Paz]],Table15[[#Headers],[Paz]],""),"")</f>
        <v/>
      </c>
      <c r="K64" t="str">
        <f>IFERROR(IF(VLOOKUP(A64,Pan!A:C,3,FALSE)=Table15[[#Headers],[Pan]],Table15[[#Headers],[Pan]],""),"")</f>
        <v/>
      </c>
      <c r="L64" t="str">
        <f>IFERROR(IF(VLOOKUP(A64,Comunión!A:C,3,FALSE)=Table15[[#Headers],[Comunión]],Table15[[#Headers],[Comunión]],""),"")</f>
        <v>Comunión</v>
      </c>
      <c r="M64" t="str">
        <f>IFERROR(IF(VLOOKUP(A64,Niños!A:C,3,FALSE)=Table15[[#Headers],[Niños]],Table15[[#Headers],[Niños]],""),"")</f>
        <v/>
      </c>
      <c r="N64" t="str">
        <f>IFERROR(IF(VLOOKUP(A64,Laudes!A:C,3,FALSE)=Table15[[#Headers],[Laudes]],Table15[[#Headers],[Laudes]],""),"")</f>
        <v/>
      </c>
      <c r="O64" t="str">
        <f>IFERROR(IF(VLOOKUP(A64,'Nuevo Testamento'!A:C,3,FALSE)=Table15[[#Headers],[Nuevo Testamento]],Table15[[#Headers],[Nuevo Testamento]],""),"")</f>
        <v>Nuevo Testamento</v>
      </c>
      <c r="P64" t="str">
        <f>IFERROR(IF(VLOOKUP(A64,'Antiguo Testamento'!A:C,3,FALSE)=Table15[[#Headers],[Antiguo Testamento]],Table15[[#Headers],[Antiguo Testamento]],""),"")</f>
        <v/>
      </c>
      <c r="Q64" t="str">
        <f>IFERROR(IF(VLOOKUP(A64,Final!A:C,3,FALSE)=Table15[[#Headers],[Final]],Table15[[#Headers],[Final]],""),"")</f>
        <v/>
      </c>
    </row>
    <row r="65" spans="1:17" x14ac:dyDescent="0.25">
      <c r="A65" t="s">
        <v>39</v>
      </c>
      <c r="B65">
        <v>65</v>
      </c>
      <c r="C65" t="str">
        <f>IFERROR(IF(VLOOKUP(A65,Adviento!A:C,3,FALSE)=Table15[[#Headers],[Adviento]],Table15[[#Headers],[Adviento]],""),"")</f>
        <v/>
      </c>
      <c r="D65" t="str">
        <f>IFERROR(IF(VLOOKUP(A65,Navidad!A:C,3,FALSE)=Table15[[#Headers],[Navidad]],Table15[[#Headers],[Navidad]],""),"")</f>
        <v/>
      </c>
      <c r="E65" t="str">
        <f>IFERROR(IF(VLOOKUP(A65,Cuaresma!A:C,3,FALSE)=Table15[[#Headers],[Cuaresma]],Table15[[#Headers],[Cuaresma]],""),"")</f>
        <v/>
      </c>
      <c r="F65" t="str">
        <f>IFERROR(IF(VLOOKUP(A65,Pascua!A:C,3,FALSE)=Table15[[#Headers],[Pascua]],Table15[[#Headers],[Pascua]],""),"")</f>
        <v/>
      </c>
      <c r="G65" t="str">
        <f>IFERROR(IF(VLOOKUP(A65,Pentecostés!A:C,3,FALSE)=Table15[[#Headers],[Pentecostés]],Table15[[#Headers],[Pentecostés]],""),"")</f>
        <v/>
      </c>
      <c r="H65" t="str">
        <f>IFERROR(IF(VLOOKUP(A65,Entrada!A:C,3,FALSE)=Table15[[#Headers],[Entrada]],Table15[[#Headers],[Entrada]],""),"")</f>
        <v/>
      </c>
      <c r="I65" t="str">
        <f>IFERROR(IF(VLOOKUP(A65,Virgen!A:C,3,FALSE)=Table15[[#Headers],[Virgen]],Table15[[#Headers],[Virgen]],""),"")</f>
        <v/>
      </c>
      <c r="J65" t="str">
        <f>IFERROR(IF(VLOOKUP(A65,Paz!A:C,3,FALSE)=Table15[[#Headers],[Paz]],Table15[[#Headers],[Paz]],""),"")</f>
        <v/>
      </c>
      <c r="K65" t="str">
        <f>IFERROR(IF(VLOOKUP(A65,Pan!A:C,3,FALSE)=Table15[[#Headers],[Pan]],Table15[[#Headers],[Pan]],""),"")</f>
        <v/>
      </c>
      <c r="L65" t="str">
        <f>IFERROR(IF(VLOOKUP(A65,Comunión!A:C,3,FALSE)=Table15[[#Headers],[Comunión]],Table15[[#Headers],[Comunión]],""),"")</f>
        <v/>
      </c>
      <c r="M65" t="str">
        <f>IFERROR(IF(VLOOKUP(A65,Niños!A:C,3,FALSE)=Table15[[#Headers],[Niños]],Table15[[#Headers],[Niños]],""),"")</f>
        <v/>
      </c>
      <c r="N65" t="str">
        <f>IFERROR(IF(VLOOKUP(A65,Laudes!A:C,3,FALSE)=Table15[[#Headers],[Laudes]],Table15[[#Headers],[Laudes]],""),"")</f>
        <v/>
      </c>
      <c r="O65" t="str">
        <f>IFERROR(IF(VLOOKUP(A65,'Nuevo Testamento'!A:C,3,FALSE)=Table15[[#Headers],[Nuevo Testamento]],Table15[[#Headers],[Nuevo Testamento]],""),"")</f>
        <v/>
      </c>
      <c r="P65" t="str">
        <f>IFERROR(IF(VLOOKUP(A65,'Antiguo Testamento'!A:C,3,FALSE)=Table15[[#Headers],[Antiguo Testamento]],Table15[[#Headers],[Antiguo Testamento]],""),"")</f>
        <v/>
      </c>
      <c r="Q65" t="str">
        <f>IFERROR(IF(VLOOKUP(A65,Final!A:C,3,FALSE)=Table15[[#Headers],[Final]],Table15[[#Headers],[Final]],""),"")</f>
        <v/>
      </c>
    </row>
    <row r="66" spans="1:17" x14ac:dyDescent="0.25">
      <c r="A66" t="s">
        <v>40</v>
      </c>
      <c r="B66">
        <v>66</v>
      </c>
      <c r="C66" t="str">
        <f>IFERROR(IF(VLOOKUP(A66,Adviento!A:C,3,FALSE)=Table15[[#Headers],[Adviento]],Table15[[#Headers],[Adviento]],""),"")</f>
        <v/>
      </c>
      <c r="D66" t="str">
        <f>IFERROR(IF(VLOOKUP(A66,Navidad!A:C,3,FALSE)=Table15[[#Headers],[Navidad]],Table15[[#Headers],[Navidad]],""),"")</f>
        <v/>
      </c>
      <c r="E66" t="str">
        <f>IFERROR(IF(VLOOKUP(A66,Cuaresma!A:C,3,FALSE)=Table15[[#Headers],[Cuaresma]],Table15[[#Headers],[Cuaresma]],""),"")</f>
        <v/>
      </c>
      <c r="F66" t="str">
        <f>IFERROR(IF(VLOOKUP(A66,Pascua!A:C,3,FALSE)=Table15[[#Headers],[Pascua]],Table15[[#Headers],[Pascua]],""),"")</f>
        <v>Pascua</v>
      </c>
      <c r="G66" t="str">
        <f>IFERROR(IF(VLOOKUP(A66,Pentecostés!A:C,3,FALSE)=Table15[[#Headers],[Pentecostés]],Table15[[#Headers],[Pentecostés]],""),"")</f>
        <v>Pentecostés</v>
      </c>
      <c r="H66" t="str">
        <f>IFERROR(IF(VLOOKUP(A66,Entrada!A:C,3,FALSE)=Table15[[#Headers],[Entrada]],Table15[[#Headers],[Entrada]],""),"")</f>
        <v/>
      </c>
      <c r="I66" t="str">
        <f>IFERROR(IF(VLOOKUP(A66,Virgen!A:C,3,FALSE)=Table15[[#Headers],[Virgen]],Table15[[#Headers],[Virgen]],""),"")</f>
        <v/>
      </c>
      <c r="J66" t="str">
        <f>IFERROR(IF(VLOOKUP(A66,Paz!A:C,3,FALSE)=Table15[[#Headers],[Paz]],Table15[[#Headers],[Paz]],""),"")</f>
        <v/>
      </c>
      <c r="K66" t="str">
        <f>IFERROR(IF(VLOOKUP(A66,Pan!A:C,3,FALSE)=Table15[[#Headers],[Pan]],Table15[[#Headers],[Pan]],""),"")</f>
        <v>Pan</v>
      </c>
      <c r="L66" t="str">
        <f>IFERROR(IF(VLOOKUP(A66,Comunión!A:C,3,FALSE)=Table15[[#Headers],[Comunión]],Table15[[#Headers],[Comunión]],""),"")</f>
        <v/>
      </c>
      <c r="M66" t="str">
        <f>IFERROR(IF(VLOOKUP(A66,Niños!A:C,3,FALSE)=Table15[[#Headers],[Niños]],Table15[[#Headers],[Niños]],""),"")</f>
        <v/>
      </c>
      <c r="N66" t="str">
        <f>IFERROR(IF(VLOOKUP(A66,Laudes!A:C,3,FALSE)=Table15[[#Headers],[Laudes]],Table15[[#Headers],[Laudes]],""),"")</f>
        <v>Laudes</v>
      </c>
      <c r="O66" t="str">
        <f>IFERROR(IF(VLOOKUP(A66,'Nuevo Testamento'!A:C,3,FALSE)=Table15[[#Headers],[Nuevo Testamento]],Table15[[#Headers],[Nuevo Testamento]],""),"")</f>
        <v>Nuevo Testamento</v>
      </c>
      <c r="P66" t="str">
        <f>IFERROR(IF(VLOOKUP(A66,'Antiguo Testamento'!A:C,3,FALSE)=Table15[[#Headers],[Antiguo Testamento]],Table15[[#Headers],[Antiguo Testamento]],""),"")</f>
        <v/>
      </c>
      <c r="Q66" t="str">
        <f>IFERROR(IF(VLOOKUP(A66,Final!A:C,3,FALSE)=Table15[[#Headers],[Final]],Table15[[#Headers],[Final]],""),"")</f>
        <v/>
      </c>
    </row>
    <row r="67" spans="1:17" x14ac:dyDescent="0.25">
      <c r="A67" t="s">
        <v>41</v>
      </c>
      <c r="B67">
        <v>67</v>
      </c>
      <c r="C67" t="str">
        <f>IFERROR(IF(VLOOKUP(A67,Adviento!A:C,3,FALSE)=Table15[[#Headers],[Adviento]],Table15[[#Headers],[Adviento]],""),"")</f>
        <v/>
      </c>
      <c r="D67" t="str">
        <f>IFERROR(IF(VLOOKUP(A67,Navidad!A:C,3,FALSE)=Table15[[#Headers],[Navidad]],Table15[[#Headers],[Navidad]],""),"")</f>
        <v/>
      </c>
      <c r="E67" t="str">
        <f>IFERROR(IF(VLOOKUP(A67,Cuaresma!A:C,3,FALSE)=Table15[[#Headers],[Cuaresma]],Table15[[#Headers],[Cuaresma]],""),"")</f>
        <v/>
      </c>
      <c r="F67" t="str">
        <f>IFERROR(IF(VLOOKUP(A67,Pascua!A:C,3,FALSE)=Table15[[#Headers],[Pascua]],Table15[[#Headers],[Pascua]],""),"")</f>
        <v/>
      </c>
      <c r="G67" t="str">
        <f>IFERROR(IF(VLOOKUP(A67,Pentecostés!A:C,3,FALSE)=Table15[[#Headers],[Pentecostés]],Table15[[#Headers],[Pentecostés]],""),"")</f>
        <v/>
      </c>
      <c r="H67" t="str">
        <f>IFERROR(IF(VLOOKUP(A67,Entrada!A:C,3,FALSE)=Table15[[#Headers],[Entrada]],Table15[[#Headers],[Entrada]],""),"")</f>
        <v/>
      </c>
      <c r="I67" t="str">
        <f>IFERROR(IF(VLOOKUP(A67,Virgen!A:C,3,FALSE)=Table15[[#Headers],[Virgen]],Table15[[#Headers],[Virgen]],""),"")</f>
        <v/>
      </c>
      <c r="J67" t="str">
        <f>IFERROR(IF(VLOOKUP(A67,Paz!A:C,3,FALSE)=Table15[[#Headers],[Paz]],Table15[[#Headers],[Paz]],""),"")</f>
        <v/>
      </c>
      <c r="K67" t="str">
        <f>IFERROR(IF(VLOOKUP(A67,Pan!A:C,3,FALSE)=Table15[[#Headers],[Pan]],Table15[[#Headers],[Pan]],""),"")</f>
        <v/>
      </c>
      <c r="L67" t="str">
        <f>IFERROR(IF(VLOOKUP(A67,Comunión!A:C,3,FALSE)=Table15[[#Headers],[Comunión]],Table15[[#Headers],[Comunión]],""),"")</f>
        <v>Comunión</v>
      </c>
      <c r="M67" t="str">
        <f>IFERROR(IF(VLOOKUP(A67,Niños!A:C,3,FALSE)=Table15[[#Headers],[Niños]],Table15[[#Headers],[Niños]],""),"")</f>
        <v/>
      </c>
      <c r="N67" t="str">
        <f>IFERROR(IF(VLOOKUP(A67,Laudes!A:C,3,FALSE)=Table15[[#Headers],[Laudes]],Table15[[#Headers],[Laudes]],""),"")</f>
        <v/>
      </c>
      <c r="O67" t="str">
        <f>IFERROR(IF(VLOOKUP(A67,'Nuevo Testamento'!A:C,3,FALSE)=Table15[[#Headers],[Nuevo Testamento]],Table15[[#Headers],[Nuevo Testamento]],""),"")</f>
        <v/>
      </c>
      <c r="P67" t="str">
        <f>IFERROR(IF(VLOOKUP(A67,'Antiguo Testamento'!A:C,3,FALSE)=Table15[[#Headers],[Antiguo Testamento]],Table15[[#Headers],[Antiguo Testamento]],""),"")</f>
        <v>Antiguo Testamento</v>
      </c>
      <c r="Q67" t="str">
        <f>IFERROR(IF(VLOOKUP(A67,Final!A:C,3,FALSE)=Table15[[#Headers],[Final]],Table15[[#Headers],[Final]],""),"")</f>
        <v>Final</v>
      </c>
    </row>
    <row r="68" spans="1:17" x14ac:dyDescent="0.25">
      <c r="A68" t="s">
        <v>143</v>
      </c>
      <c r="B68">
        <v>68</v>
      </c>
      <c r="C68" t="str">
        <f>IFERROR(IF(VLOOKUP(A68,Adviento!A:C,3,FALSE)=Table15[[#Headers],[Adviento]],Table15[[#Headers],[Adviento]],""),"")</f>
        <v/>
      </c>
      <c r="D68" t="str">
        <f>IFERROR(IF(VLOOKUP(A68,Navidad!A:C,3,FALSE)=Table15[[#Headers],[Navidad]],Table15[[#Headers],[Navidad]],""),"")</f>
        <v/>
      </c>
      <c r="E68" t="str">
        <f>IFERROR(IF(VLOOKUP(A68,Cuaresma!A:C,3,FALSE)=Table15[[#Headers],[Cuaresma]],Table15[[#Headers],[Cuaresma]],""),"")</f>
        <v/>
      </c>
      <c r="F68" t="str">
        <f>IFERROR(IF(VLOOKUP(A68,Pascua!A:C,3,FALSE)=Table15[[#Headers],[Pascua]],Table15[[#Headers],[Pascua]],""),"")</f>
        <v>Pascua</v>
      </c>
      <c r="G68" t="str">
        <f>IFERROR(IF(VLOOKUP(A68,Pentecostés!A:C,3,FALSE)=Table15[[#Headers],[Pentecostés]],Table15[[#Headers],[Pentecostés]],""),"")</f>
        <v>Pentecostés</v>
      </c>
      <c r="H68" t="str">
        <f>IFERROR(IF(VLOOKUP(A68,Entrada!A:C,3,FALSE)=Table15[[#Headers],[Entrada]],Table15[[#Headers],[Entrada]],""),"")</f>
        <v>Entrada</v>
      </c>
      <c r="I68" t="str">
        <f>IFERROR(IF(VLOOKUP(A68,Virgen!A:C,3,FALSE)=Table15[[#Headers],[Virgen]],Table15[[#Headers],[Virgen]],""),"")</f>
        <v/>
      </c>
      <c r="J68" t="str">
        <f>IFERROR(IF(VLOOKUP(A68,Paz!A:C,3,FALSE)=Table15[[#Headers],[Paz]],Table15[[#Headers],[Paz]],""),"")</f>
        <v/>
      </c>
      <c r="K68" t="str">
        <f>IFERROR(IF(VLOOKUP(A68,Pan!A:C,3,FALSE)=Table15[[#Headers],[Pan]],Table15[[#Headers],[Pan]],""),"")</f>
        <v/>
      </c>
      <c r="L68" t="str">
        <f>IFERROR(IF(VLOOKUP(A68,Comunión!A:C,3,FALSE)=Table15[[#Headers],[Comunión]],Table15[[#Headers],[Comunión]],""),"")</f>
        <v>Comunión</v>
      </c>
      <c r="M68" t="str">
        <f>IFERROR(IF(VLOOKUP(A68,Niños!A:C,3,FALSE)=Table15[[#Headers],[Niños]],Table15[[#Headers],[Niños]],""),"")</f>
        <v/>
      </c>
      <c r="N68" t="str">
        <f>IFERROR(IF(VLOOKUP(A68,Laudes!A:C,3,FALSE)=Table15[[#Headers],[Laudes]],Table15[[#Headers],[Laudes]],""),"")</f>
        <v/>
      </c>
      <c r="O68" t="str">
        <f>IFERROR(IF(VLOOKUP(A68,'Nuevo Testamento'!A:C,3,FALSE)=Table15[[#Headers],[Nuevo Testamento]],Table15[[#Headers],[Nuevo Testamento]],""),"")</f>
        <v/>
      </c>
      <c r="P68" t="str">
        <f>IFERROR(IF(VLOOKUP(A68,'Antiguo Testamento'!A:C,3,FALSE)=Table15[[#Headers],[Antiguo Testamento]],Table15[[#Headers],[Antiguo Testamento]],""),"")</f>
        <v/>
      </c>
      <c r="Q68" t="str">
        <f>IFERROR(IF(VLOOKUP(A68,Final!A:C,3,FALSE)=Table15[[#Headers],[Final]],Table15[[#Headers],[Final]],""),"")</f>
        <v/>
      </c>
    </row>
    <row r="69" spans="1:17" x14ac:dyDescent="0.25">
      <c r="A69" t="s">
        <v>144</v>
      </c>
      <c r="B69">
        <v>69</v>
      </c>
      <c r="C69" t="str">
        <f>IFERROR(IF(VLOOKUP(A69,Adviento!A:C,3,FALSE)=Table15[[#Headers],[Adviento]],Table15[[#Headers],[Adviento]],""),"")</f>
        <v/>
      </c>
      <c r="D69" t="str">
        <f>IFERROR(IF(VLOOKUP(A69,Navidad!A:C,3,FALSE)=Table15[[#Headers],[Navidad]],Table15[[#Headers],[Navidad]],""),"")</f>
        <v/>
      </c>
      <c r="E69" t="str">
        <f>IFERROR(IF(VLOOKUP(A69,Cuaresma!A:C,3,FALSE)=Table15[[#Headers],[Cuaresma]],Table15[[#Headers],[Cuaresma]],""),"")</f>
        <v/>
      </c>
      <c r="F69" t="str">
        <f>IFERROR(IF(VLOOKUP(A69,Pascua!A:C,3,FALSE)=Table15[[#Headers],[Pascua]],Table15[[#Headers],[Pascua]],""),"")</f>
        <v/>
      </c>
      <c r="G69" t="str">
        <f>IFERROR(IF(VLOOKUP(A69,Pentecostés!A:C,3,FALSE)=Table15[[#Headers],[Pentecostés]],Table15[[#Headers],[Pentecostés]],""),"")</f>
        <v/>
      </c>
      <c r="H69" t="str">
        <f>IFERROR(IF(VLOOKUP(A69,Entrada!A:C,3,FALSE)=Table15[[#Headers],[Entrada]],Table15[[#Headers],[Entrada]],""),"")</f>
        <v/>
      </c>
      <c r="I69" t="str">
        <f>IFERROR(IF(VLOOKUP(A69,Virgen!A:C,3,FALSE)=Table15[[#Headers],[Virgen]],Table15[[#Headers],[Virgen]],""),"")</f>
        <v/>
      </c>
      <c r="J69" t="str">
        <f>IFERROR(IF(VLOOKUP(A69,Paz!A:C,3,FALSE)=Table15[[#Headers],[Paz]],Table15[[#Headers],[Paz]],""),"")</f>
        <v/>
      </c>
      <c r="K69" t="str">
        <f>IFERROR(IF(VLOOKUP(A69,Pan!A:C,3,FALSE)=Table15[[#Headers],[Pan]],Table15[[#Headers],[Pan]],""),"")</f>
        <v/>
      </c>
      <c r="L69" t="str">
        <f>IFERROR(IF(VLOOKUP(A69,Comunión!A:C,3,FALSE)=Table15[[#Headers],[Comunión]],Table15[[#Headers],[Comunión]],""),"")</f>
        <v/>
      </c>
      <c r="M69" t="str">
        <f>IFERROR(IF(VLOOKUP(A69,Niños!A:C,3,FALSE)=Table15[[#Headers],[Niños]],Table15[[#Headers],[Niños]],""),"")</f>
        <v/>
      </c>
      <c r="N69" t="str">
        <f>IFERROR(IF(VLOOKUP(A69,Laudes!A:C,3,FALSE)=Table15[[#Headers],[Laudes]],Table15[[#Headers],[Laudes]],""),"")</f>
        <v>Laudes</v>
      </c>
      <c r="O69" t="str">
        <f>IFERROR(IF(VLOOKUP(A69,'Nuevo Testamento'!A:C,3,FALSE)=Table15[[#Headers],[Nuevo Testamento]],Table15[[#Headers],[Nuevo Testamento]],""),"")</f>
        <v/>
      </c>
      <c r="P69" t="str">
        <f>IFERROR(IF(VLOOKUP(A69,'Antiguo Testamento'!A:C,3,FALSE)=Table15[[#Headers],[Antiguo Testamento]],Table15[[#Headers],[Antiguo Testamento]],""),"")</f>
        <v>Antiguo Testamento</v>
      </c>
      <c r="Q69" t="str">
        <f>IFERROR(IF(VLOOKUP(A69,Final!A:C,3,FALSE)=Table15[[#Headers],[Final]],Table15[[#Headers],[Final]],""),"")</f>
        <v/>
      </c>
    </row>
    <row r="70" spans="1:17" x14ac:dyDescent="0.25">
      <c r="A70" t="s">
        <v>145</v>
      </c>
      <c r="B70">
        <v>70</v>
      </c>
      <c r="C70" t="str">
        <f>IFERROR(IF(VLOOKUP(A70,Adviento!A:C,3,FALSE)=Table15[[#Headers],[Adviento]],Table15[[#Headers],[Adviento]],""),"")</f>
        <v>Adviento</v>
      </c>
      <c r="D70" t="str">
        <f>IFERROR(IF(VLOOKUP(A70,Navidad!A:C,3,FALSE)=Table15[[#Headers],[Navidad]],Table15[[#Headers],[Navidad]],""),"")</f>
        <v>Navidad</v>
      </c>
      <c r="E70" t="str">
        <f>IFERROR(IF(VLOOKUP(A70,Cuaresma!A:C,3,FALSE)=Table15[[#Headers],[Cuaresma]],Table15[[#Headers],[Cuaresma]],""),"")</f>
        <v/>
      </c>
      <c r="F70" t="str">
        <f>IFERROR(IF(VLOOKUP(A70,Pascua!A:C,3,FALSE)=Table15[[#Headers],[Pascua]],Table15[[#Headers],[Pascua]],""),"")</f>
        <v/>
      </c>
      <c r="G70" t="str">
        <f>IFERROR(IF(VLOOKUP(A70,Pentecostés!A:C,3,FALSE)=Table15[[#Headers],[Pentecostés]],Table15[[#Headers],[Pentecostés]],""),"")</f>
        <v/>
      </c>
      <c r="H70" t="str">
        <f>IFERROR(IF(VLOOKUP(A70,Entrada!A:C,3,FALSE)=Table15[[#Headers],[Entrada]],Table15[[#Headers],[Entrada]],""),"")</f>
        <v>Entrada</v>
      </c>
      <c r="I70" t="str">
        <f>IFERROR(IF(VLOOKUP(A70,Virgen!A:C,3,FALSE)=Table15[[#Headers],[Virgen]],Table15[[#Headers],[Virgen]],""),"")</f>
        <v/>
      </c>
      <c r="J70" t="str">
        <f>IFERROR(IF(VLOOKUP(A70,Paz!A:C,3,FALSE)=Table15[[#Headers],[Paz]],Table15[[#Headers],[Paz]],""),"")</f>
        <v/>
      </c>
      <c r="K70" t="str">
        <f>IFERROR(IF(VLOOKUP(A70,Pan!A:C,3,FALSE)=Table15[[#Headers],[Pan]],Table15[[#Headers],[Pan]],""),"")</f>
        <v/>
      </c>
      <c r="L70" t="str">
        <f>IFERROR(IF(VLOOKUP(A70,Comunión!A:C,3,FALSE)=Table15[[#Headers],[Comunión]],Table15[[#Headers],[Comunión]],""),"")</f>
        <v>Comunión</v>
      </c>
      <c r="M70" t="str">
        <f>IFERROR(IF(VLOOKUP(A70,Niños!A:C,3,FALSE)=Table15[[#Headers],[Niños]],Table15[[#Headers],[Niños]],""),"")</f>
        <v/>
      </c>
      <c r="N70" t="str">
        <f>IFERROR(IF(VLOOKUP(A70,Laudes!A:C,3,FALSE)=Table15[[#Headers],[Laudes]],Table15[[#Headers],[Laudes]],""),"")</f>
        <v/>
      </c>
      <c r="O70" t="str">
        <f>IFERROR(IF(VLOOKUP(A70,'Nuevo Testamento'!A:C,3,FALSE)=Table15[[#Headers],[Nuevo Testamento]],Table15[[#Headers],[Nuevo Testamento]],""),"")</f>
        <v/>
      </c>
      <c r="P70" t="str">
        <f>IFERROR(IF(VLOOKUP(A70,'Antiguo Testamento'!A:C,3,FALSE)=Table15[[#Headers],[Antiguo Testamento]],Table15[[#Headers],[Antiguo Testamento]],""),"")</f>
        <v>Antiguo Testamento</v>
      </c>
      <c r="Q70" t="str">
        <f>IFERROR(IF(VLOOKUP(A70,Final!A:C,3,FALSE)=Table15[[#Headers],[Final]],Table15[[#Headers],[Final]],""),"")</f>
        <v/>
      </c>
    </row>
    <row r="71" spans="1:17" x14ac:dyDescent="0.25">
      <c r="A71" t="s">
        <v>42</v>
      </c>
      <c r="B71">
        <v>71</v>
      </c>
      <c r="C71" t="str">
        <f>IFERROR(IF(VLOOKUP(A71,Adviento!A:C,3,FALSE)=Table15[[#Headers],[Adviento]],Table15[[#Headers],[Adviento]],""),"")</f>
        <v/>
      </c>
      <c r="D71" t="str">
        <f>IFERROR(IF(VLOOKUP(A71,Navidad!A:C,3,FALSE)=Table15[[#Headers],[Navidad]],Table15[[#Headers],[Navidad]],""),"")</f>
        <v/>
      </c>
      <c r="E71" t="str">
        <f>IFERROR(IF(VLOOKUP(A71,Cuaresma!A:C,3,FALSE)=Table15[[#Headers],[Cuaresma]],Table15[[#Headers],[Cuaresma]],""),"")</f>
        <v/>
      </c>
      <c r="F71" t="str">
        <f>IFERROR(IF(VLOOKUP(A71,Pascua!A:C,3,FALSE)=Table15[[#Headers],[Pascua]],Table15[[#Headers],[Pascua]],""),"")</f>
        <v/>
      </c>
      <c r="G71" t="str">
        <f>IFERROR(IF(VLOOKUP(A71,Pentecostés!A:C,3,FALSE)=Table15[[#Headers],[Pentecostés]],Table15[[#Headers],[Pentecostés]],""),"")</f>
        <v/>
      </c>
      <c r="H71" t="str">
        <f>IFERROR(IF(VLOOKUP(A71,Entrada!A:C,3,FALSE)=Table15[[#Headers],[Entrada]],Table15[[#Headers],[Entrada]],""),"")</f>
        <v/>
      </c>
      <c r="I71" t="str">
        <f>IFERROR(IF(VLOOKUP(A71,Virgen!A:C,3,FALSE)=Table15[[#Headers],[Virgen]],Table15[[#Headers],[Virgen]],""),"")</f>
        <v/>
      </c>
      <c r="J71" t="str">
        <f>IFERROR(IF(VLOOKUP(A71,Paz!A:C,3,FALSE)=Table15[[#Headers],[Paz]],Table15[[#Headers],[Paz]],""),"")</f>
        <v/>
      </c>
      <c r="K71" t="str">
        <f>IFERROR(IF(VLOOKUP(A71,Pan!A:C,3,FALSE)=Table15[[#Headers],[Pan]],Table15[[#Headers],[Pan]],""),"")</f>
        <v/>
      </c>
      <c r="L71" t="str">
        <f>IFERROR(IF(VLOOKUP(A71,Comunión!A:C,3,FALSE)=Table15[[#Headers],[Comunión]],Table15[[#Headers],[Comunión]],""),"")</f>
        <v/>
      </c>
      <c r="M71" t="str">
        <f>IFERROR(IF(VLOOKUP(A71,Niños!A:C,3,FALSE)=Table15[[#Headers],[Niños]],Table15[[#Headers],[Niños]],""),"")</f>
        <v/>
      </c>
      <c r="N71" t="str">
        <f>IFERROR(IF(VLOOKUP(A71,Laudes!A:C,3,FALSE)=Table15[[#Headers],[Laudes]],Table15[[#Headers],[Laudes]],""),"")</f>
        <v/>
      </c>
      <c r="O71" t="str">
        <f>IFERROR(IF(VLOOKUP(A71,'Nuevo Testamento'!A:C,3,FALSE)=Table15[[#Headers],[Nuevo Testamento]],Table15[[#Headers],[Nuevo Testamento]],""),"")</f>
        <v/>
      </c>
      <c r="P71" t="str">
        <f>IFERROR(IF(VLOOKUP(A71,'Antiguo Testamento'!A:C,3,FALSE)=Table15[[#Headers],[Antiguo Testamento]],Table15[[#Headers],[Antiguo Testamento]],""),"")</f>
        <v>Antiguo Testamento</v>
      </c>
      <c r="Q71" t="str">
        <f>IFERROR(IF(VLOOKUP(A71,Final!A:C,3,FALSE)=Table15[[#Headers],[Final]],Table15[[#Headers],[Final]],""),"")</f>
        <v/>
      </c>
    </row>
    <row r="72" spans="1:17" x14ac:dyDescent="0.25">
      <c r="A72" t="s">
        <v>146</v>
      </c>
      <c r="B72">
        <v>72</v>
      </c>
      <c r="C72" t="str">
        <f>IFERROR(IF(VLOOKUP(A72,Adviento!A:C,3,FALSE)=Table15[[#Headers],[Adviento]],Table15[[#Headers],[Adviento]],""),"")</f>
        <v/>
      </c>
      <c r="D72" t="str">
        <f>IFERROR(IF(VLOOKUP(A72,Navidad!A:C,3,FALSE)=Table15[[#Headers],[Navidad]],Table15[[#Headers],[Navidad]],""),"")</f>
        <v/>
      </c>
      <c r="E72" t="str">
        <f>IFERROR(IF(VLOOKUP(A72,Cuaresma!A:C,3,FALSE)=Table15[[#Headers],[Cuaresma]],Table15[[#Headers],[Cuaresma]],""),"")</f>
        <v/>
      </c>
      <c r="F72" t="str">
        <f>IFERROR(IF(VLOOKUP(A72,Pascua!A:C,3,FALSE)=Table15[[#Headers],[Pascua]],Table15[[#Headers],[Pascua]],""),"")</f>
        <v>Pascua</v>
      </c>
      <c r="G72" t="str">
        <f>IFERROR(IF(VLOOKUP(A72,Pentecostés!A:C,3,FALSE)=Table15[[#Headers],[Pentecostés]],Table15[[#Headers],[Pentecostés]],""),"")</f>
        <v>Pentecostés</v>
      </c>
      <c r="H72" t="str">
        <f>IFERROR(IF(VLOOKUP(A72,Entrada!A:C,3,FALSE)=Table15[[#Headers],[Entrada]],Table15[[#Headers],[Entrada]],""),"")</f>
        <v/>
      </c>
      <c r="I72" t="str">
        <f>IFERROR(IF(VLOOKUP(A72,Virgen!A:C,3,FALSE)=Table15[[#Headers],[Virgen]],Table15[[#Headers],[Virgen]],""),"")</f>
        <v/>
      </c>
      <c r="J72" t="str">
        <f>IFERROR(IF(VLOOKUP(A72,Paz!A:C,3,FALSE)=Table15[[#Headers],[Paz]],Table15[[#Headers],[Paz]],""),"")</f>
        <v/>
      </c>
      <c r="K72" t="str">
        <f>IFERROR(IF(VLOOKUP(A72,Pan!A:C,3,FALSE)=Table15[[#Headers],[Pan]],Table15[[#Headers],[Pan]],""),"")</f>
        <v/>
      </c>
      <c r="L72" t="str">
        <f>IFERROR(IF(VLOOKUP(A72,Comunión!A:C,3,FALSE)=Table15[[#Headers],[Comunión]],Table15[[#Headers],[Comunión]],""),"")</f>
        <v/>
      </c>
      <c r="M72" t="str">
        <f>IFERROR(IF(VLOOKUP(A72,Niños!A:C,3,FALSE)=Table15[[#Headers],[Niños]],Table15[[#Headers],[Niños]],""),"")</f>
        <v/>
      </c>
      <c r="N72" t="str">
        <f>IFERROR(IF(VLOOKUP(A72,Laudes!A:C,3,FALSE)=Table15[[#Headers],[Laudes]],Table15[[#Headers],[Laudes]],""),"")</f>
        <v/>
      </c>
      <c r="O72" t="str">
        <f>IFERROR(IF(VLOOKUP(A72,'Nuevo Testamento'!A:C,3,FALSE)=Table15[[#Headers],[Nuevo Testamento]],Table15[[#Headers],[Nuevo Testamento]],""),"")</f>
        <v>Nuevo Testamento</v>
      </c>
      <c r="P72" t="str">
        <f>IFERROR(IF(VLOOKUP(A72,'Antiguo Testamento'!A:C,3,FALSE)=Table15[[#Headers],[Antiguo Testamento]],Table15[[#Headers],[Antiguo Testamento]],""),"")</f>
        <v/>
      </c>
      <c r="Q72" t="str">
        <f>IFERROR(IF(VLOOKUP(A72,Final!A:C,3,FALSE)=Table15[[#Headers],[Final]],Table15[[#Headers],[Final]],""),"")</f>
        <v/>
      </c>
    </row>
    <row r="73" spans="1:17" x14ac:dyDescent="0.25">
      <c r="A73" t="s">
        <v>147</v>
      </c>
      <c r="B73">
        <v>73</v>
      </c>
      <c r="C73" t="str">
        <f>IFERROR(IF(VLOOKUP(A73,Adviento!A:C,3,FALSE)=Table15[[#Headers],[Adviento]],Table15[[#Headers],[Adviento]],""),"")</f>
        <v/>
      </c>
      <c r="D73" t="str">
        <f>IFERROR(IF(VLOOKUP(A73,Navidad!A:C,3,FALSE)=Table15[[#Headers],[Navidad]],Table15[[#Headers],[Navidad]],""),"")</f>
        <v/>
      </c>
      <c r="E73" t="str">
        <f>IFERROR(IF(VLOOKUP(A73,Cuaresma!A:C,3,FALSE)=Table15[[#Headers],[Cuaresma]],Table15[[#Headers],[Cuaresma]],""),"")</f>
        <v/>
      </c>
      <c r="F73" t="str">
        <f>IFERROR(IF(VLOOKUP(A73,Pascua!A:C,3,FALSE)=Table15[[#Headers],[Pascua]],Table15[[#Headers],[Pascua]],""),"")</f>
        <v/>
      </c>
      <c r="G73" t="str">
        <f>IFERROR(IF(VLOOKUP(A73,Pentecostés!A:C,3,FALSE)=Table15[[#Headers],[Pentecostés]],Table15[[#Headers],[Pentecostés]],""),"")</f>
        <v/>
      </c>
      <c r="H73" t="str">
        <f>IFERROR(IF(VLOOKUP(A73,Entrada!A:C,3,FALSE)=Table15[[#Headers],[Entrada]],Table15[[#Headers],[Entrada]],""),"")</f>
        <v/>
      </c>
      <c r="I73" t="str">
        <f>IFERROR(IF(VLOOKUP(A73,Virgen!A:C,3,FALSE)=Table15[[#Headers],[Virgen]],Table15[[#Headers],[Virgen]],""),"")</f>
        <v/>
      </c>
      <c r="J73" t="str">
        <f>IFERROR(IF(VLOOKUP(A73,Paz!A:C,3,FALSE)=Table15[[#Headers],[Paz]],Table15[[#Headers],[Paz]],""),"")</f>
        <v>Paz</v>
      </c>
      <c r="K73" t="str">
        <f>IFERROR(IF(VLOOKUP(A73,Pan!A:C,3,FALSE)=Table15[[#Headers],[Pan]],Table15[[#Headers],[Pan]],""),"")</f>
        <v/>
      </c>
      <c r="L73" t="str">
        <f>IFERROR(IF(VLOOKUP(A73,Comunión!A:C,3,FALSE)=Table15[[#Headers],[Comunión]],Table15[[#Headers],[Comunión]],""),"")</f>
        <v/>
      </c>
      <c r="M73" t="str">
        <f>IFERROR(IF(VLOOKUP(A73,Niños!A:C,3,FALSE)=Table15[[#Headers],[Niños]],Table15[[#Headers],[Niños]],""),"")</f>
        <v/>
      </c>
      <c r="N73" t="str">
        <f>IFERROR(IF(VLOOKUP(A73,Laudes!A:C,3,FALSE)=Table15[[#Headers],[Laudes]],Table15[[#Headers],[Laudes]],""),"")</f>
        <v/>
      </c>
      <c r="O73" t="str">
        <f>IFERROR(IF(VLOOKUP(A73,'Nuevo Testamento'!A:C,3,FALSE)=Table15[[#Headers],[Nuevo Testamento]],Table15[[#Headers],[Nuevo Testamento]],""),"")</f>
        <v/>
      </c>
      <c r="P73" t="str">
        <f>IFERROR(IF(VLOOKUP(A73,'Antiguo Testamento'!A:C,3,FALSE)=Table15[[#Headers],[Antiguo Testamento]],Table15[[#Headers],[Antiguo Testamento]],""),"")</f>
        <v/>
      </c>
      <c r="Q73" t="str">
        <f>IFERROR(IF(VLOOKUP(A73,Final!A:C,3,FALSE)=Table15[[#Headers],[Final]],Table15[[#Headers],[Final]],""),"")</f>
        <v/>
      </c>
    </row>
    <row r="74" spans="1:17" x14ac:dyDescent="0.25">
      <c r="A74" t="s">
        <v>43</v>
      </c>
      <c r="B74">
        <v>74</v>
      </c>
      <c r="C74" t="str">
        <f>IFERROR(IF(VLOOKUP(A74,Adviento!A:C,3,FALSE)=Table15[[#Headers],[Adviento]],Table15[[#Headers],[Adviento]],""),"")</f>
        <v>Adviento</v>
      </c>
      <c r="D74" t="str">
        <f>IFERROR(IF(VLOOKUP(A74,Navidad!A:C,3,FALSE)=Table15[[#Headers],[Navidad]],Table15[[#Headers],[Navidad]],""),"")</f>
        <v>Navidad</v>
      </c>
      <c r="E74" t="str">
        <f>IFERROR(IF(VLOOKUP(A74,Cuaresma!A:C,3,FALSE)=Table15[[#Headers],[Cuaresma]],Table15[[#Headers],[Cuaresma]],""),"")</f>
        <v>Cuaresma</v>
      </c>
      <c r="F74" t="str">
        <f>IFERROR(IF(VLOOKUP(A74,Pascua!A:C,3,FALSE)=Table15[[#Headers],[Pascua]],Table15[[#Headers],[Pascua]],""),"")</f>
        <v/>
      </c>
      <c r="G74" t="str">
        <f>IFERROR(IF(VLOOKUP(A74,Pentecostés!A:C,3,FALSE)=Table15[[#Headers],[Pentecostés]],Table15[[#Headers],[Pentecostés]],""),"")</f>
        <v/>
      </c>
      <c r="H74" t="str">
        <f>IFERROR(IF(VLOOKUP(A74,Entrada!A:C,3,FALSE)=Table15[[#Headers],[Entrada]],Table15[[#Headers],[Entrada]],""),"")</f>
        <v/>
      </c>
      <c r="I74" t="str">
        <f>IFERROR(IF(VLOOKUP(A74,Virgen!A:C,3,FALSE)=Table15[[#Headers],[Virgen]],Table15[[#Headers],[Virgen]],""),"")</f>
        <v/>
      </c>
      <c r="J74" t="str">
        <f>IFERROR(IF(VLOOKUP(A74,Paz!A:C,3,FALSE)=Table15[[#Headers],[Paz]],Table15[[#Headers],[Paz]],""),"")</f>
        <v/>
      </c>
      <c r="K74" t="str">
        <f>IFERROR(IF(VLOOKUP(A74,Pan!A:C,3,FALSE)=Table15[[#Headers],[Pan]],Table15[[#Headers],[Pan]],""),"")</f>
        <v>Pan</v>
      </c>
      <c r="L74" t="str">
        <f>IFERROR(IF(VLOOKUP(A74,Comunión!A:C,3,FALSE)=Table15[[#Headers],[Comunión]],Table15[[#Headers],[Comunión]],""),"")</f>
        <v/>
      </c>
      <c r="M74" t="str">
        <f>IFERROR(IF(VLOOKUP(A74,Niños!A:C,3,FALSE)=Table15[[#Headers],[Niños]],Table15[[#Headers],[Niños]],""),"")</f>
        <v/>
      </c>
      <c r="N74" t="str">
        <f>IFERROR(IF(VLOOKUP(A74,Laudes!A:C,3,FALSE)=Table15[[#Headers],[Laudes]],Table15[[#Headers],[Laudes]],""),"")</f>
        <v/>
      </c>
      <c r="O74" t="str">
        <f>IFERROR(IF(VLOOKUP(A74,'Nuevo Testamento'!A:C,3,FALSE)=Table15[[#Headers],[Nuevo Testamento]],Table15[[#Headers],[Nuevo Testamento]],""),"")</f>
        <v/>
      </c>
      <c r="P74" t="str">
        <f>IFERROR(IF(VLOOKUP(A74,'Antiguo Testamento'!A:C,3,FALSE)=Table15[[#Headers],[Antiguo Testamento]],Table15[[#Headers],[Antiguo Testamento]],""),"")</f>
        <v/>
      </c>
      <c r="Q74" t="str">
        <f>IFERROR(IF(VLOOKUP(A74,Final!A:C,3,FALSE)=Table15[[#Headers],[Final]],Table15[[#Headers],[Final]],""),"")</f>
        <v/>
      </c>
    </row>
    <row r="75" spans="1:17" x14ac:dyDescent="0.25">
      <c r="A75" t="s">
        <v>44</v>
      </c>
      <c r="B75">
        <v>75</v>
      </c>
      <c r="C75" t="str">
        <f>IFERROR(IF(VLOOKUP(A75,Adviento!A:C,3,FALSE)=Table15[[#Headers],[Adviento]],Table15[[#Headers],[Adviento]],""),"")</f>
        <v/>
      </c>
      <c r="D75" t="str">
        <f>IFERROR(IF(VLOOKUP(A75,Navidad!A:C,3,FALSE)=Table15[[#Headers],[Navidad]],Table15[[#Headers],[Navidad]],""),"")</f>
        <v/>
      </c>
      <c r="E75" t="str">
        <f>IFERROR(IF(VLOOKUP(A75,Cuaresma!A:C,3,FALSE)=Table15[[#Headers],[Cuaresma]],Table15[[#Headers],[Cuaresma]],""),"")</f>
        <v/>
      </c>
      <c r="F75" t="str">
        <f>IFERROR(IF(VLOOKUP(A75,Pascua!A:C,3,FALSE)=Table15[[#Headers],[Pascua]],Table15[[#Headers],[Pascua]],""),"")</f>
        <v>Pascua</v>
      </c>
      <c r="G75" t="str">
        <f>IFERROR(IF(VLOOKUP(A75,Pentecostés!A:C,3,FALSE)=Table15[[#Headers],[Pentecostés]],Table15[[#Headers],[Pentecostés]],""),"")</f>
        <v>Pentecostés</v>
      </c>
      <c r="H75" t="str">
        <f>IFERROR(IF(VLOOKUP(A75,Entrada!A:C,3,FALSE)=Table15[[#Headers],[Entrada]],Table15[[#Headers],[Entrada]],""),"")</f>
        <v>Entrada</v>
      </c>
      <c r="I75" t="str">
        <f>IFERROR(IF(VLOOKUP(A75,Virgen!A:C,3,FALSE)=Table15[[#Headers],[Virgen]],Table15[[#Headers],[Virgen]],""),"")</f>
        <v/>
      </c>
      <c r="J75" t="str">
        <f>IFERROR(IF(VLOOKUP(A75,Paz!A:C,3,FALSE)=Table15[[#Headers],[Paz]],Table15[[#Headers],[Paz]],""),"")</f>
        <v/>
      </c>
      <c r="K75" t="str">
        <f>IFERROR(IF(VLOOKUP(A75,Pan!A:C,3,FALSE)=Table15[[#Headers],[Pan]],Table15[[#Headers],[Pan]],""),"")</f>
        <v/>
      </c>
      <c r="L75" t="str">
        <f>IFERROR(IF(VLOOKUP(A75,Comunión!A:C,3,FALSE)=Table15[[#Headers],[Comunión]],Table15[[#Headers],[Comunión]],""),"")</f>
        <v>Comunión</v>
      </c>
      <c r="M75" t="str">
        <f>IFERROR(IF(VLOOKUP(A75,Niños!A:C,3,FALSE)=Table15[[#Headers],[Niños]],Table15[[#Headers],[Niños]],""),"")</f>
        <v/>
      </c>
      <c r="N75" t="str">
        <f>IFERROR(IF(VLOOKUP(A75,Laudes!A:C,3,FALSE)=Table15[[#Headers],[Laudes]],Table15[[#Headers],[Laudes]],""),"")</f>
        <v/>
      </c>
      <c r="O75" t="str">
        <f>IFERROR(IF(VLOOKUP(A75,'Nuevo Testamento'!A:C,3,FALSE)=Table15[[#Headers],[Nuevo Testamento]],Table15[[#Headers],[Nuevo Testamento]],""),"")</f>
        <v/>
      </c>
      <c r="P75" t="str">
        <f>IFERROR(IF(VLOOKUP(A75,'Antiguo Testamento'!A:C,3,FALSE)=Table15[[#Headers],[Antiguo Testamento]],Table15[[#Headers],[Antiguo Testamento]],""),"")</f>
        <v>Antiguo Testamento</v>
      </c>
      <c r="Q75" t="str">
        <f>IFERROR(IF(VLOOKUP(A75,Final!A:C,3,FALSE)=Table15[[#Headers],[Final]],Table15[[#Headers],[Final]],""),"")</f>
        <v/>
      </c>
    </row>
    <row r="76" spans="1:17" x14ac:dyDescent="0.25">
      <c r="A76" t="s">
        <v>148</v>
      </c>
      <c r="B76">
        <v>76</v>
      </c>
      <c r="C76" t="str">
        <f>IFERROR(IF(VLOOKUP(A76,Adviento!A:C,3,FALSE)=Table15[[#Headers],[Adviento]],Table15[[#Headers],[Adviento]],""),"")</f>
        <v/>
      </c>
      <c r="D76" t="str">
        <f>IFERROR(IF(VLOOKUP(A76,Navidad!A:C,3,FALSE)=Table15[[#Headers],[Navidad]],Table15[[#Headers],[Navidad]],""),"")</f>
        <v/>
      </c>
      <c r="E76" t="str">
        <f>IFERROR(IF(VLOOKUP(A76,Cuaresma!A:C,3,FALSE)=Table15[[#Headers],[Cuaresma]],Table15[[#Headers],[Cuaresma]],""),"")</f>
        <v/>
      </c>
      <c r="F76" t="str">
        <f>IFERROR(IF(VLOOKUP(A76,Pascua!A:C,3,FALSE)=Table15[[#Headers],[Pascua]],Table15[[#Headers],[Pascua]],""),"")</f>
        <v/>
      </c>
      <c r="G76" t="str">
        <f>IFERROR(IF(VLOOKUP(A76,Pentecostés!A:C,3,FALSE)=Table15[[#Headers],[Pentecostés]],Table15[[#Headers],[Pentecostés]],""),"")</f>
        <v/>
      </c>
      <c r="H76" t="str">
        <f>IFERROR(IF(VLOOKUP(A76,Entrada!A:C,3,FALSE)=Table15[[#Headers],[Entrada]],Table15[[#Headers],[Entrada]],""),"")</f>
        <v/>
      </c>
      <c r="I76" t="str">
        <f>IFERROR(IF(VLOOKUP(A76,Virgen!A:C,3,FALSE)=Table15[[#Headers],[Virgen]],Table15[[#Headers],[Virgen]],""),"")</f>
        <v/>
      </c>
      <c r="J76" t="str">
        <f>IFERROR(IF(VLOOKUP(A76,Paz!A:C,3,FALSE)=Table15[[#Headers],[Paz]],Table15[[#Headers],[Paz]],""),"")</f>
        <v/>
      </c>
      <c r="K76" t="str">
        <f>IFERROR(IF(VLOOKUP(A76,Pan!A:C,3,FALSE)=Table15[[#Headers],[Pan]],Table15[[#Headers],[Pan]],""),"")</f>
        <v/>
      </c>
      <c r="L76" t="str">
        <f>IFERROR(IF(VLOOKUP(A76,Comunión!A:C,3,FALSE)=Table15[[#Headers],[Comunión]],Table15[[#Headers],[Comunión]],""),"")</f>
        <v/>
      </c>
      <c r="M76" t="str">
        <f>IFERROR(IF(VLOOKUP(A76,Niños!A:C,3,FALSE)=Table15[[#Headers],[Niños]],Table15[[#Headers],[Niños]],""),"")</f>
        <v/>
      </c>
      <c r="N76" t="str">
        <f>IFERROR(IF(VLOOKUP(A76,Laudes!A:C,3,FALSE)=Table15[[#Headers],[Laudes]],Table15[[#Headers],[Laudes]],""),"")</f>
        <v/>
      </c>
      <c r="O76" t="str">
        <f>IFERROR(IF(VLOOKUP(A76,'Nuevo Testamento'!A:C,3,FALSE)=Table15[[#Headers],[Nuevo Testamento]],Table15[[#Headers],[Nuevo Testamento]],""),"")</f>
        <v/>
      </c>
      <c r="P76" t="str">
        <f>IFERROR(IF(VLOOKUP(A76,'Antiguo Testamento'!A:C,3,FALSE)=Table15[[#Headers],[Antiguo Testamento]],Table15[[#Headers],[Antiguo Testamento]],""),"")</f>
        <v>Antiguo Testamento</v>
      </c>
      <c r="Q76" t="str">
        <f>IFERROR(IF(VLOOKUP(A76,Final!A:C,3,FALSE)=Table15[[#Headers],[Final]],Table15[[#Headers],[Final]],""),"")</f>
        <v/>
      </c>
    </row>
    <row r="77" spans="1:17" x14ac:dyDescent="0.25">
      <c r="A77" t="s">
        <v>150</v>
      </c>
      <c r="B77">
        <v>77</v>
      </c>
      <c r="C77" t="str">
        <f>IFERROR(IF(VLOOKUP(A77,Adviento!A:C,3,FALSE)=Table15[[#Headers],[Adviento]],Table15[[#Headers],[Adviento]],""),"")</f>
        <v/>
      </c>
      <c r="D77" t="str">
        <f>IFERROR(IF(VLOOKUP(A77,Navidad!A:C,3,FALSE)=Table15[[#Headers],[Navidad]],Table15[[#Headers],[Navidad]],""),"")</f>
        <v/>
      </c>
      <c r="E77" t="str">
        <f>IFERROR(IF(VLOOKUP(A77,Cuaresma!A:C,3,FALSE)=Table15[[#Headers],[Cuaresma]],Table15[[#Headers],[Cuaresma]],""),"")</f>
        <v/>
      </c>
      <c r="F77" t="str">
        <f>IFERROR(IF(VLOOKUP(A77,Pascua!A:C,3,FALSE)=Table15[[#Headers],[Pascua]],Table15[[#Headers],[Pascua]],""),"")</f>
        <v>Pascua</v>
      </c>
      <c r="G77" t="str">
        <f>IFERROR(IF(VLOOKUP(A77,Pentecostés!A:C,3,FALSE)=Table15[[#Headers],[Pentecostés]],Table15[[#Headers],[Pentecostés]],""),"")</f>
        <v>Pentecostés</v>
      </c>
      <c r="H77" t="str">
        <f>IFERROR(IF(VLOOKUP(A77,Entrada!A:C,3,FALSE)=Table15[[#Headers],[Entrada]],Table15[[#Headers],[Entrada]],""),"")</f>
        <v/>
      </c>
      <c r="I77" t="str">
        <f>IFERROR(IF(VLOOKUP(A77,Virgen!A:C,3,FALSE)=Table15[[#Headers],[Virgen]],Table15[[#Headers],[Virgen]],""),"")</f>
        <v/>
      </c>
      <c r="J77" t="str">
        <f>IFERROR(IF(VLOOKUP(A77,Paz!A:C,3,FALSE)=Table15[[#Headers],[Paz]],Table15[[#Headers],[Paz]],""),"")</f>
        <v>Paz</v>
      </c>
      <c r="K77" t="str">
        <f>IFERROR(IF(VLOOKUP(A77,Pan!A:C,3,FALSE)=Table15[[#Headers],[Pan]],Table15[[#Headers],[Pan]],""),"")</f>
        <v/>
      </c>
      <c r="L77" t="str">
        <f>IFERROR(IF(VLOOKUP(A77,Comunión!A:C,3,FALSE)=Table15[[#Headers],[Comunión]],Table15[[#Headers],[Comunión]],""),"")</f>
        <v>Comunión</v>
      </c>
      <c r="M77" t="str">
        <f>IFERROR(IF(VLOOKUP(A77,Niños!A:C,3,FALSE)=Table15[[#Headers],[Niños]],Table15[[#Headers],[Niños]],""),"")</f>
        <v/>
      </c>
      <c r="N77" t="str">
        <f>IFERROR(IF(VLOOKUP(A77,Laudes!A:C,3,FALSE)=Table15[[#Headers],[Laudes]],Table15[[#Headers],[Laudes]],""),"")</f>
        <v/>
      </c>
      <c r="O77" t="str">
        <f>IFERROR(IF(VLOOKUP(A77,'Nuevo Testamento'!A:C,3,FALSE)=Table15[[#Headers],[Nuevo Testamento]],Table15[[#Headers],[Nuevo Testamento]],""),"")</f>
        <v/>
      </c>
      <c r="P77" t="str">
        <f>IFERROR(IF(VLOOKUP(A77,'Antiguo Testamento'!A:C,3,FALSE)=Table15[[#Headers],[Antiguo Testamento]],Table15[[#Headers],[Antiguo Testamento]],""),"")</f>
        <v>Antiguo Testamento</v>
      </c>
      <c r="Q77" t="str">
        <f>IFERROR(IF(VLOOKUP(A77,Final!A:C,3,FALSE)=Table15[[#Headers],[Final]],Table15[[#Headers],[Final]],""),"")</f>
        <v>Final</v>
      </c>
    </row>
    <row r="78" spans="1:17" x14ac:dyDescent="0.25">
      <c r="A78" t="s">
        <v>151</v>
      </c>
      <c r="B78">
        <v>78</v>
      </c>
      <c r="C78" t="str">
        <f>IFERROR(IF(VLOOKUP(A78,Adviento!A:C,3,FALSE)=Table15[[#Headers],[Adviento]],Table15[[#Headers],[Adviento]],""),"")</f>
        <v/>
      </c>
      <c r="D78" t="str">
        <f>IFERROR(IF(VLOOKUP(A78,Navidad!A:C,3,FALSE)=Table15[[#Headers],[Navidad]],Table15[[#Headers],[Navidad]],""),"")</f>
        <v/>
      </c>
      <c r="E78" t="str">
        <f>IFERROR(IF(VLOOKUP(A78,Cuaresma!A:C,3,FALSE)=Table15[[#Headers],[Cuaresma]],Table15[[#Headers],[Cuaresma]],""),"")</f>
        <v/>
      </c>
      <c r="F78" t="str">
        <f>IFERROR(IF(VLOOKUP(A78,Pascua!A:C,3,FALSE)=Table15[[#Headers],[Pascua]],Table15[[#Headers],[Pascua]],""),"")</f>
        <v>Pascua</v>
      </c>
      <c r="G78" t="str">
        <f>IFERROR(IF(VLOOKUP(A78,Pentecostés!A:C,3,FALSE)=Table15[[#Headers],[Pentecostés]],Table15[[#Headers],[Pentecostés]],""),"")</f>
        <v>Pentecostés</v>
      </c>
      <c r="H78" t="str">
        <f>IFERROR(IF(VLOOKUP(A78,Entrada!A:C,3,FALSE)=Table15[[#Headers],[Entrada]],Table15[[#Headers],[Entrada]],""),"")</f>
        <v/>
      </c>
      <c r="I78" t="str">
        <f>IFERROR(IF(VLOOKUP(A78,Virgen!A:C,3,FALSE)=Table15[[#Headers],[Virgen]],Table15[[#Headers],[Virgen]],""),"")</f>
        <v/>
      </c>
      <c r="J78" t="str">
        <f>IFERROR(IF(VLOOKUP(A78,Paz!A:C,3,FALSE)=Table15[[#Headers],[Paz]],Table15[[#Headers],[Paz]],""),"")</f>
        <v/>
      </c>
      <c r="K78" t="str">
        <f>IFERROR(IF(VLOOKUP(A78,Pan!A:C,3,FALSE)=Table15[[#Headers],[Pan]],Table15[[#Headers],[Pan]],""),"")</f>
        <v/>
      </c>
      <c r="L78" t="str">
        <f>IFERROR(IF(VLOOKUP(A78,Comunión!A:C,3,FALSE)=Table15[[#Headers],[Comunión]],Table15[[#Headers],[Comunión]],""),"")</f>
        <v>Comunión</v>
      </c>
      <c r="M78" t="str">
        <f>IFERROR(IF(VLOOKUP(A78,Niños!A:C,3,FALSE)=Table15[[#Headers],[Niños]],Table15[[#Headers],[Niños]],""),"")</f>
        <v/>
      </c>
      <c r="N78" t="str">
        <f>IFERROR(IF(VLOOKUP(A78,Laudes!A:C,3,FALSE)=Table15[[#Headers],[Laudes]],Table15[[#Headers],[Laudes]],""),"")</f>
        <v/>
      </c>
      <c r="O78" t="str">
        <f>IFERROR(IF(VLOOKUP(A78,'Nuevo Testamento'!A:C,3,FALSE)=Table15[[#Headers],[Nuevo Testamento]],Table15[[#Headers],[Nuevo Testamento]],""),"")</f>
        <v/>
      </c>
      <c r="P78" t="str">
        <f>IFERROR(IF(VLOOKUP(A78,'Antiguo Testamento'!A:C,3,FALSE)=Table15[[#Headers],[Antiguo Testamento]],Table15[[#Headers],[Antiguo Testamento]],""),"")</f>
        <v>Antiguo Testamento</v>
      </c>
      <c r="Q78" t="str">
        <f>IFERROR(IF(VLOOKUP(A78,Final!A:C,3,FALSE)=Table15[[#Headers],[Final]],Table15[[#Headers],[Final]],""),"")</f>
        <v>Final</v>
      </c>
    </row>
    <row r="79" spans="1:17" x14ac:dyDescent="0.25">
      <c r="A79" t="s">
        <v>152</v>
      </c>
      <c r="B79">
        <v>79</v>
      </c>
      <c r="C79" t="str">
        <f>IFERROR(IF(VLOOKUP(A79,Adviento!A:C,3,FALSE)=Table15[[#Headers],[Adviento]],Table15[[#Headers],[Adviento]],""),"")</f>
        <v/>
      </c>
      <c r="D79" t="str">
        <f>IFERROR(IF(VLOOKUP(A79,Navidad!A:C,3,FALSE)=Table15[[#Headers],[Navidad]],Table15[[#Headers],[Navidad]],""),"")</f>
        <v/>
      </c>
      <c r="E79" t="str">
        <f>IFERROR(IF(VLOOKUP(A79,Cuaresma!A:C,3,FALSE)=Table15[[#Headers],[Cuaresma]],Table15[[#Headers],[Cuaresma]],""),"")</f>
        <v/>
      </c>
      <c r="F79" t="str">
        <f>IFERROR(IF(VLOOKUP(A79,Pascua!A:C,3,FALSE)=Table15[[#Headers],[Pascua]],Table15[[#Headers],[Pascua]],""),"")</f>
        <v/>
      </c>
      <c r="G79" t="str">
        <f>IFERROR(IF(VLOOKUP(A79,Pentecostés!A:C,3,FALSE)=Table15[[#Headers],[Pentecostés]],Table15[[#Headers],[Pentecostés]],""),"")</f>
        <v/>
      </c>
      <c r="H79" t="str">
        <f>IFERROR(IF(VLOOKUP(A79,Entrada!A:C,3,FALSE)=Table15[[#Headers],[Entrada]],Table15[[#Headers],[Entrada]],""),"")</f>
        <v>Entrada</v>
      </c>
      <c r="I79" t="str">
        <f>IFERROR(IF(VLOOKUP(A79,Virgen!A:C,3,FALSE)=Table15[[#Headers],[Virgen]],Table15[[#Headers],[Virgen]],""),"")</f>
        <v/>
      </c>
      <c r="J79" t="str">
        <f>IFERROR(IF(VLOOKUP(A79,Paz!A:C,3,FALSE)=Table15[[#Headers],[Paz]],Table15[[#Headers],[Paz]],""),"")</f>
        <v/>
      </c>
      <c r="K79" t="str">
        <f>IFERROR(IF(VLOOKUP(A79,Pan!A:C,3,FALSE)=Table15[[#Headers],[Pan]],Table15[[#Headers],[Pan]],""),"")</f>
        <v/>
      </c>
      <c r="L79" t="str">
        <f>IFERROR(IF(VLOOKUP(A79,Comunión!A:C,3,FALSE)=Table15[[#Headers],[Comunión]],Table15[[#Headers],[Comunión]],""),"")</f>
        <v/>
      </c>
      <c r="M79" t="str">
        <f>IFERROR(IF(VLOOKUP(A79,Niños!A:C,3,FALSE)=Table15[[#Headers],[Niños]],Table15[[#Headers],[Niños]],""),"")</f>
        <v/>
      </c>
      <c r="N79" t="str">
        <f>IFERROR(IF(VLOOKUP(A79,Laudes!A:C,3,FALSE)=Table15[[#Headers],[Laudes]],Table15[[#Headers],[Laudes]],""),"")</f>
        <v/>
      </c>
      <c r="O79" t="str">
        <f>IFERROR(IF(VLOOKUP(A79,'Nuevo Testamento'!A:C,3,FALSE)=Table15[[#Headers],[Nuevo Testamento]],Table15[[#Headers],[Nuevo Testamento]],""),"")</f>
        <v/>
      </c>
      <c r="P79" t="str">
        <f>IFERROR(IF(VLOOKUP(A79,'Antiguo Testamento'!A:C,3,FALSE)=Table15[[#Headers],[Antiguo Testamento]],Table15[[#Headers],[Antiguo Testamento]],""),"")</f>
        <v/>
      </c>
      <c r="Q79" t="str">
        <f>IFERROR(IF(VLOOKUP(A79,Final!A:C,3,FALSE)=Table15[[#Headers],[Final]],Table15[[#Headers],[Final]],""),"")</f>
        <v/>
      </c>
    </row>
    <row r="80" spans="1:17" x14ac:dyDescent="0.25">
      <c r="A80" t="s">
        <v>153</v>
      </c>
      <c r="B80">
        <v>80</v>
      </c>
      <c r="C80" t="str">
        <f>IFERROR(IF(VLOOKUP(A80,Adviento!A:C,3,FALSE)=Table15[[#Headers],[Adviento]],Table15[[#Headers],[Adviento]],""),"")</f>
        <v/>
      </c>
      <c r="D80" t="str">
        <f>IFERROR(IF(VLOOKUP(A80,Navidad!A:C,3,FALSE)=Table15[[#Headers],[Navidad]],Table15[[#Headers],[Navidad]],""),"")</f>
        <v/>
      </c>
      <c r="E80" t="str">
        <f>IFERROR(IF(VLOOKUP(A80,Cuaresma!A:C,3,FALSE)=Table15[[#Headers],[Cuaresma]],Table15[[#Headers],[Cuaresma]],""),"")</f>
        <v>Cuaresma</v>
      </c>
      <c r="F80" t="str">
        <f>IFERROR(IF(VLOOKUP(A80,Pascua!A:C,3,FALSE)=Table15[[#Headers],[Pascua]],Table15[[#Headers],[Pascua]],""),"")</f>
        <v/>
      </c>
      <c r="G80" t="str">
        <f>IFERROR(IF(VLOOKUP(A80,Pentecostés!A:C,3,FALSE)=Table15[[#Headers],[Pentecostés]],Table15[[#Headers],[Pentecostés]],""),"")</f>
        <v/>
      </c>
      <c r="H80" t="str">
        <f>IFERROR(IF(VLOOKUP(A80,Entrada!A:C,3,FALSE)=Table15[[#Headers],[Entrada]],Table15[[#Headers],[Entrada]],""),"")</f>
        <v/>
      </c>
      <c r="I80" t="str">
        <f>IFERROR(IF(VLOOKUP(A80,Virgen!A:C,3,FALSE)=Table15[[#Headers],[Virgen]],Table15[[#Headers],[Virgen]],""),"")</f>
        <v/>
      </c>
      <c r="J80" t="str">
        <f>IFERROR(IF(VLOOKUP(A80,Paz!A:C,3,FALSE)=Table15[[#Headers],[Paz]],Table15[[#Headers],[Paz]],""),"")</f>
        <v/>
      </c>
      <c r="K80" t="str">
        <f>IFERROR(IF(VLOOKUP(A80,Pan!A:C,3,FALSE)=Table15[[#Headers],[Pan]],Table15[[#Headers],[Pan]],""),"")</f>
        <v/>
      </c>
      <c r="L80" t="str">
        <f>IFERROR(IF(VLOOKUP(A80,Comunión!A:C,3,FALSE)=Table15[[#Headers],[Comunión]],Table15[[#Headers],[Comunión]],""),"")</f>
        <v/>
      </c>
      <c r="M80" t="str">
        <f>IFERROR(IF(VLOOKUP(A80,Niños!A:C,3,FALSE)=Table15[[#Headers],[Niños]],Table15[[#Headers],[Niños]],""),"")</f>
        <v/>
      </c>
      <c r="N80" t="str">
        <f>IFERROR(IF(VLOOKUP(A80,Laudes!A:C,3,FALSE)=Table15[[#Headers],[Laudes]],Table15[[#Headers],[Laudes]],""),"")</f>
        <v/>
      </c>
      <c r="O80" t="str">
        <f>IFERROR(IF(VLOOKUP(A80,'Nuevo Testamento'!A:C,3,FALSE)=Table15[[#Headers],[Nuevo Testamento]],Table15[[#Headers],[Nuevo Testamento]],""),"")</f>
        <v/>
      </c>
      <c r="P80" t="str">
        <f>IFERROR(IF(VLOOKUP(A80,'Antiguo Testamento'!A:C,3,FALSE)=Table15[[#Headers],[Antiguo Testamento]],Table15[[#Headers],[Antiguo Testamento]],""),"")</f>
        <v>Antiguo Testamento</v>
      </c>
      <c r="Q80" t="str">
        <f>IFERROR(IF(VLOOKUP(A80,Final!A:C,3,FALSE)=Table15[[#Headers],[Final]],Table15[[#Headers],[Final]],""),"")</f>
        <v/>
      </c>
    </row>
    <row r="81" spans="1:17" x14ac:dyDescent="0.25">
      <c r="A81" t="s">
        <v>154</v>
      </c>
      <c r="B81">
        <v>81</v>
      </c>
      <c r="C81" t="str">
        <f>IFERROR(IF(VLOOKUP(A81,Adviento!A:C,3,FALSE)=Table15[[#Headers],[Adviento]],Table15[[#Headers],[Adviento]],""),"")</f>
        <v/>
      </c>
      <c r="D81" t="str">
        <f>IFERROR(IF(VLOOKUP(A81,Navidad!A:C,3,FALSE)=Table15[[#Headers],[Navidad]],Table15[[#Headers],[Navidad]],""),"")</f>
        <v/>
      </c>
      <c r="E81" t="str">
        <f>IFERROR(IF(VLOOKUP(A81,Cuaresma!A:C,3,FALSE)=Table15[[#Headers],[Cuaresma]],Table15[[#Headers],[Cuaresma]],""),"")</f>
        <v>Cuaresma</v>
      </c>
      <c r="F81" t="str">
        <f>IFERROR(IF(VLOOKUP(A81,Pascua!A:C,3,FALSE)=Table15[[#Headers],[Pascua]],Table15[[#Headers],[Pascua]],""),"")</f>
        <v/>
      </c>
      <c r="G81" t="str">
        <f>IFERROR(IF(VLOOKUP(A81,Pentecostés!A:C,3,FALSE)=Table15[[#Headers],[Pentecostés]],Table15[[#Headers],[Pentecostés]],""),"")</f>
        <v/>
      </c>
      <c r="H81" t="str">
        <f>IFERROR(IF(VLOOKUP(A81,Entrada!A:C,3,FALSE)=Table15[[#Headers],[Entrada]],Table15[[#Headers],[Entrada]],""),"")</f>
        <v/>
      </c>
      <c r="I81" t="str">
        <f>IFERROR(IF(VLOOKUP(A81,Virgen!A:C,3,FALSE)=Table15[[#Headers],[Virgen]],Table15[[#Headers],[Virgen]],""),"")</f>
        <v/>
      </c>
      <c r="J81" t="str">
        <f>IFERROR(IF(VLOOKUP(A81,Paz!A:C,3,FALSE)=Table15[[#Headers],[Paz]],Table15[[#Headers],[Paz]],""),"")</f>
        <v/>
      </c>
      <c r="K81" t="str">
        <f>IFERROR(IF(VLOOKUP(A81,Pan!A:C,3,FALSE)=Table15[[#Headers],[Pan]],Table15[[#Headers],[Pan]],""),"")</f>
        <v>Pan</v>
      </c>
      <c r="L81" t="str">
        <f>IFERROR(IF(VLOOKUP(A81,Comunión!A:C,3,FALSE)=Table15[[#Headers],[Comunión]],Table15[[#Headers],[Comunión]],""),"")</f>
        <v/>
      </c>
      <c r="M81" t="str">
        <f>IFERROR(IF(VLOOKUP(A81,Niños!A:C,3,FALSE)=Table15[[#Headers],[Niños]],Table15[[#Headers],[Niños]],""),"")</f>
        <v/>
      </c>
      <c r="N81" t="str">
        <f>IFERROR(IF(VLOOKUP(A81,Laudes!A:C,3,FALSE)=Table15[[#Headers],[Laudes]],Table15[[#Headers],[Laudes]],""),"")</f>
        <v/>
      </c>
      <c r="O81" t="str">
        <f>IFERROR(IF(VLOOKUP(A81,'Nuevo Testamento'!A:C,3,FALSE)=Table15[[#Headers],[Nuevo Testamento]],Table15[[#Headers],[Nuevo Testamento]],""),"")</f>
        <v/>
      </c>
      <c r="P81" t="str">
        <f>IFERROR(IF(VLOOKUP(A81,'Antiguo Testamento'!A:C,3,FALSE)=Table15[[#Headers],[Antiguo Testamento]],Table15[[#Headers],[Antiguo Testamento]],""),"")</f>
        <v>Antiguo Testamento</v>
      </c>
      <c r="Q81" t="str">
        <f>IFERROR(IF(VLOOKUP(A81,Final!A:C,3,FALSE)=Table15[[#Headers],[Final]],Table15[[#Headers],[Final]],""),"")</f>
        <v/>
      </c>
    </row>
    <row r="82" spans="1:17" x14ac:dyDescent="0.25">
      <c r="A82" t="s">
        <v>155</v>
      </c>
      <c r="B82">
        <v>82</v>
      </c>
      <c r="C82" t="str">
        <f>IFERROR(IF(VLOOKUP(A82,Adviento!A:C,3,FALSE)=Table15[[#Headers],[Adviento]],Table15[[#Headers],[Adviento]],""),"")</f>
        <v>Adviento</v>
      </c>
      <c r="D82" t="str">
        <f>IFERROR(IF(VLOOKUP(A82,Navidad!A:C,3,FALSE)=Table15[[#Headers],[Navidad]],Table15[[#Headers],[Navidad]],""),"")</f>
        <v>Navidad</v>
      </c>
      <c r="E82" t="str">
        <f>IFERROR(IF(VLOOKUP(A82,Cuaresma!A:C,3,FALSE)=Table15[[#Headers],[Cuaresma]],Table15[[#Headers],[Cuaresma]],""),"")</f>
        <v/>
      </c>
      <c r="F82" t="str">
        <f>IFERROR(IF(VLOOKUP(A82,Pascua!A:C,3,FALSE)=Table15[[#Headers],[Pascua]],Table15[[#Headers],[Pascua]],""),"")</f>
        <v/>
      </c>
      <c r="G82" t="str">
        <f>IFERROR(IF(VLOOKUP(A82,Pentecostés!A:C,3,FALSE)=Table15[[#Headers],[Pentecostés]],Table15[[#Headers],[Pentecostés]],""),"")</f>
        <v/>
      </c>
      <c r="H82" t="str">
        <f>IFERROR(IF(VLOOKUP(A82,Entrada!A:C,3,FALSE)=Table15[[#Headers],[Entrada]],Table15[[#Headers],[Entrada]],""),"")</f>
        <v>Entrada</v>
      </c>
      <c r="I82" t="str">
        <f>IFERROR(IF(VLOOKUP(A82,Virgen!A:C,3,FALSE)=Table15[[#Headers],[Virgen]],Table15[[#Headers],[Virgen]],""),"")</f>
        <v/>
      </c>
      <c r="J82" t="str">
        <f>IFERROR(IF(VLOOKUP(A82,Paz!A:C,3,FALSE)=Table15[[#Headers],[Paz]],Table15[[#Headers],[Paz]],""),"")</f>
        <v/>
      </c>
      <c r="K82" t="str">
        <f>IFERROR(IF(VLOOKUP(A82,Pan!A:C,3,FALSE)=Table15[[#Headers],[Pan]],Table15[[#Headers],[Pan]],""),"")</f>
        <v/>
      </c>
      <c r="L82" t="str">
        <f>IFERROR(IF(VLOOKUP(A82,Comunión!A:C,3,FALSE)=Table15[[#Headers],[Comunión]],Table15[[#Headers],[Comunión]],""),"")</f>
        <v/>
      </c>
      <c r="M82" t="str">
        <f>IFERROR(IF(VLOOKUP(A82,Niños!A:C,3,FALSE)=Table15[[#Headers],[Niños]],Table15[[#Headers],[Niños]],""),"")</f>
        <v/>
      </c>
      <c r="N82" t="str">
        <f>IFERROR(IF(VLOOKUP(A82,Laudes!A:C,3,FALSE)=Table15[[#Headers],[Laudes]],Table15[[#Headers],[Laudes]],""),"")</f>
        <v/>
      </c>
      <c r="O82" t="str">
        <f>IFERROR(IF(VLOOKUP(A82,'Nuevo Testamento'!A:C,3,FALSE)=Table15[[#Headers],[Nuevo Testamento]],Table15[[#Headers],[Nuevo Testamento]],""),"")</f>
        <v>Nuevo Testamento</v>
      </c>
      <c r="P82" t="str">
        <f>IFERROR(IF(VLOOKUP(A82,'Antiguo Testamento'!A:C,3,FALSE)=Table15[[#Headers],[Antiguo Testamento]],Table15[[#Headers],[Antiguo Testamento]],""),"")</f>
        <v/>
      </c>
      <c r="Q82" t="str">
        <f>IFERROR(IF(VLOOKUP(A82,Final!A:C,3,FALSE)=Table15[[#Headers],[Final]],Table15[[#Headers],[Final]],""),"")</f>
        <v/>
      </c>
    </row>
    <row r="83" spans="1:17" x14ac:dyDescent="0.25">
      <c r="A83" t="s">
        <v>46</v>
      </c>
      <c r="B83">
        <v>83</v>
      </c>
      <c r="C83" t="str">
        <f>IFERROR(IF(VLOOKUP(A83,Adviento!A:C,3,FALSE)=Table15[[#Headers],[Adviento]],Table15[[#Headers],[Adviento]],""),"")</f>
        <v/>
      </c>
      <c r="D83" t="str">
        <f>IFERROR(IF(VLOOKUP(A83,Navidad!A:C,3,FALSE)=Table15[[#Headers],[Navidad]],Table15[[#Headers],[Navidad]],""),"")</f>
        <v/>
      </c>
      <c r="E83" t="str">
        <f>IFERROR(IF(VLOOKUP(A83,Cuaresma!A:C,3,FALSE)=Table15[[#Headers],[Cuaresma]],Table15[[#Headers],[Cuaresma]],""),"")</f>
        <v>Cuaresma</v>
      </c>
      <c r="F83" t="str">
        <f>IFERROR(IF(VLOOKUP(A83,Pascua!A:C,3,FALSE)=Table15[[#Headers],[Pascua]],Table15[[#Headers],[Pascua]],""),"")</f>
        <v/>
      </c>
      <c r="G83" t="str">
        <f>IFERROR(IF(VLOOKUP(A83,Pentecostés!A:C,3,FALSE)=Table15[[#Headers],[Pentecostés]],Table15[[#Headers],[Pentecostés]],""),"")</f>
        <v/>
      </c>
      <c r="H83" t="str">
        <f>IFERROR(IF(VLOOKUP(A83,Entrada!A:C,3,FALSE)=Table15[[#Headers],[Entrada]],Table15[[#Headers],[Entrada]],""),"")</f>
        <v/>
      </c>
      <c r="I83" t="str">
        <f>IFERROR(IF(VLOOKUP(A83,Virgen!A:C,3,FALSE)=Table15[[#Headers],[Virgen]],Table15[[#Headers],[Virgen]],""),"")</f>
        <v/>
      </c>
      <c r="J83" t="str">
        <f>IFERROR(IF(VLOOKUP(A83,Paz!A:C,3,FALSE)=Table15[[#Headers],[Paz]],Table15[[#Headers],[Paz]],""),"")</f>
        <v/>
      </c>
      <c r="K83" t="str">
        <f>IFERROR(IF(VLOOKUP(A83,Pan!A:C,3,FALSE)=Table15[[#Headers],[Pan]],Table15[[#Headers],[Pan]],""),"")</f>
        <v/>
      </c>
      <c r="L83" t="str">
        <f>IFERROR(IF(VLOOKUP(A83,Comunión!A:C,3,FALSE)=Table15[[#Headers],[Comunión]],Table15[[#Headers],[Comunión]],""),"")</f>
        <v/>
      </c>
      <c r="M83" t="str">
        <f>IFERROR(IF(VLOOKUP(A83,Niños!A:C,3,FALSE)=Table15[[#Headers],[Niños]],Table15[[#Headers],[Niños]],""),"")</f>
        <v/>
      </c>
      <c r="N83" t="str">
        <f>IFERROR(IF(VLOOKUP(A83,Laudes!A:C,3,FALSE)=Table15[[#Headers],[Laudes]],Table15[[#Headers],[Laudes]],""),"")</f>
        <v/>
      </c>
      <c r="O83" t="str">
        <f>IFERROR(IF(VLOOKUP(A83,'Nuevo Testamento'!A:C,3,FALSE)=Table15[[#Headers],[Nuevo Testamento]],Table15[[#Headers],[Nuevo Testamento]],""),"")</f>
        <v/>
      </c>
      <c r="P83" t="str">
        <f>IFERROR(IF(VLOOKUP(A83,'Antiguo Testamento'!A:C,3,FALSE)=Table15[[#Headers],[Antiguo Testamento]],Table15[[#Headers],[Antiguo Testamento]],""),"")</f>
        <v>Antiguo Testamento</v>
      </c>
      <c r="Q83" t="str">
        <f>IFERROR(IF(VLOOKUP(A83,Final!A:C,3,FALSE)=Table15[[#Headers],[Final]],Table15[[#Headers],[Final]],""),"")</f>
        <v/>
      </c>
    </row>
    <row r="84" spans="1:17" x14ac:dyDescent="0.25">
      <c r="A84" t="s">
        <v>47</v>
      </c>
      <c r="B84">
        <v>84</v>
      </c>
      <c r="C84" t="str">
        <f>IFERROR(IF(VLOOKUP(A84,Adviento!A:C,3,FALSE)=Table15[[#Headers],[Adviento]],Table15[[#Headers],[Adviento]],""),"")</f>
        <v/>
      </c>
      <c r="D84" t="str">
        <f>IFERROR(IF(VLOOKUP(A84,Navidad!A:C,3,FALSE)=Table15[[#Headers],[Navidad]],Table15[[#Headers],[Navidad]],""),"")</f>
        <v/>
      </c>
      <c r="E84" t="str">
        <f>IFERROR(IF(VLOOKUP(A84,Cuaresma!A:C,3,FALSE)=Table15[[#Headers],[Cuaresma]],Table15[[#Headers],[Cuaresma]],""),"")</f>
        <v>Cuaresma</v>
      </c>
      <c r="F84" t="str">
        <f>IFERROR(IF(VLOOKUP(A84,Pascua!A:C,3,FALSE)=Table15[[#Headers],[Pascua]],Table15[[#Headers],[Pascua]],""),"")</f>
        <v/>
      </c>
      <c r="G84" t="str">
        <f>IFERROR(IF(VLOOKUP(A84,Pentecostés!A:C,3,FALSE)=Table15[[#Headers],[Pentecostés]],Table15[[#Headers],[Pentecostés]],""),"")</f>
        <v/>
      </c>
      <c r="H84" t="str">
        <f>IFERROR(IF(VLOOKUP(A84,Entrada!A:C,3,FALSE)=Table15[[#Headers],[Entrada]],Table15[[#Headers],[Entrada]],""),"")</f>
        <v/>
      </c>
      <c r="I84" t="str">
        <f>IFERROR(IF(VLOOKUP(A84,Virgen!A:C,3,FALSE)=Table15[[#Headers],[Virgen]],Table15[[#Headers],[Virgen]],""),"")</f>
        <v/>
      </c>
      <c r="J84" t="str">
        <f>IFERROR(IF(VLOOKUP(A84,Paz!A:C,3,FALSE)=Table15[[#Headers],[Paz]],Table15[[#Headers],[Paz]],""),"")</f>
        <v/>
      </c>
      <c r="K84" t="str">
        <f>IFERROR(IF(VLOOKUP(A84,Pan!A:C,3,FALSE)=Table15[[#Headers],[Pan]],Table15[[#Headers],[Pan]],""),"")</f>
        <v>Pan</v>
      </c>
      <c r="L84" t="str">
        <f>IFERROR(IF(VLOOKUP(A84,Comunión!A:C,3,FALSE)=Table15[[#Headers],[Comunión]],Table15[[#Headers],[Comunión]],""),"")</f>
        <v/>
      </c>
      <c r="M84" t="str">
        <f>IFERROR(IF(VLOOKUP(A84,Niños!A:C,3,FALSE)=Table15[[#Headers],[Niños]],Table15[[#Headers],[Niños]],""),"")</f>
        <v/>
      </c>
      <c r="N84" t="str">
        <f>IFERROR(IF(VLOOKUP(A84,Laudes!A:C,3,FALSE)=Table15[[#Headers],[Laudes]],Table15[[#Headers],[Laudes]],""),"")</f>
        <v/>
      </c>
      <c r="O84" t="str">
        <f>IFERROR(IF(VLOOKUP(A84,'Nuevo Testamento'!A:C,3,FALSE)=Table15[[#Headers],[Nuevo Testamento]],Table15[[#Headers],[Nuevo Testamento]],""),"")</f>
        <v>Nuevo Testamento</v>
      </c>
      <c r="P84" t="str">
        <f>IFERROR(IF(VLOOKUP(A84,'Antiguo Testamento'!A:C,3,FALSE)=Table15[[#Headers],[Antiguo Testamento]],Table15[[#Headers],[Antiguo Testamento]],""),"")</f>
        <v/>
      </c>
      <c r="Q84" t="str">
        <f>IFERROR(IF(VLOOKUP(A84,Final!A:C,3,FALSE)=Table15[[#Headers],[Final]],Table15[[#Headers],[Final]],""),"")</f>
        <v/>
      </c>
    </row>
    <row r="85" spans="1:17" x14ac:dyDescent="0.25">
      <c r="A85" t="s">
        <v>157</v>
      </c>
      <c r="B85">
        <v>85</v>
      </c>
      <c r="C85" t="str">
        <f>IFERROR(IF(VLOOKUP(A85,Adviento!A:C,3,FALSE)=Table15[[#Headers],[Adviento]],Table15[[#Headers],[Adviento]],""),"")</f>
        <v/>
      </c>
      <c r="D85" t="str">
        <f>IFERROR(IF(VLOOKUP(A85,Navidad!A:C,3,FALSE)=Table15[[#Headers],[Navidad]],Table15[[#Headers],[Navidad]],""),"")</f>
        <v/>
      </c>
      <c r="E85" t="str">
        <f>IFERROR(IF(VLOOKUP(A85,Cuaresma!A:C,3,FALSE)=Table15[[#Headers],[Cuaresma]],Table15[[#Headers],[Cuaresma]],""),"")</f>
        <v/>
      </c>
      <c r="F85" t="str">
        <f>IFERROR(IF(VLOOKUP(A85,Pascua!A:C,3,FALSE)=Table15[[#Headers],[Pascua]],Table15[[#Headers],[Pascua]],""),"")</f>
        <v>Pascua</v>
      </c>
      <c r="G85" t="str">
        <f>IFERROR(IF(VLOOKUP(A85,Pentecostés!A:C,3,FALSE)=Table15[[#Headers],[Pentecostés]],Table15[[#Headers],[Pentecostés]],""),"")</f>
        <v>Pentecostés</v>
      </c>
      <c r="H85" t="str">
        <f>IFERROR(IF(VLOOKUP(A85,Entrada!A:C,3,FALSE)=Table15[[#Headers],[Entrada]],Table15[[#Headers],[Entrada]],""),"")</f>
        <v/>
      </c>
      <c r="I85" t="str">
        <f>IFERROR(IF(VLOOKUP(A85,Virgen!A:C,3,FALSE)=Table15[[#Headers],[Virgen]],Table15[[#Headers],[Virgen]],""),"")</f>
        <v/>
      </c>
      <c r="J85" t="str">
        <f>IFERROR(IF(VLOOKUP(A85,Paz!A:C,3,FALSE)=Table15[[#Headers],[Paz]],Table15[[#Headers],[Paz]],""),"")</f>
        <v/>
      </c>
      <c r="K85" t="str">
        <f>IFERROR(IF(VLOOKUP(A85,Pan!A:C,3,FALSE)=Table15[[#Headers],[Pan]],Table15[[#Headers],[Pan]],""),"")</f>
        <v/>
      </c>
      <c r="L85" t="str">
        <f>IFERROR(IF(VLOOKUP(A85,Comunión!A:C,3,FALSE)=Table15[[#Headers],[Comunión]],Table15[[#Headers],[Comunión]],""),"")</f>
        <v/>
      </c>
      <c r="M85" t="str">
        <f>IFERROR(IF(VLOOKUP(A85,Niños!A:C,3,FALSE)=Table15[[#Headers],[Niños]],Table15[[#Headers],[Niños]],""),"")</f>
        <v/>
      </c>
      <c r="N85" t="str">
        <f>IFERROR(IF(VLOOKUP(A85,Laudes!A:C,3,FALSE)=Table15[[#Headers],[Laudes]],Table15[[#Headers],[Laudes]],""),"")</f>
        <v/>
      </c>
      <c r="O85" t="str">
        <f>IFERROR(IF(VLOOKUP(A85,'Nuevo Testamento'!A:C,3,FALSE)=Table15[[#Headers],[Nuevo Testamento]],Table15[[#Headers],[Nuevo Testamento]],""),"")</f>
        <v/>
      </c>
      <c r="P85" t="str">
        <f>IFERROR(IF(VLOOKUP(A85,'Antiguo Testamento'!A:C,3,FALSE)=Table15[[#Headers],[Antiguo Testamento]],Table15[[#Headers],[Antiguo Testamento]],""),"")</f>
        <v/>
      </c>
      <c r="Q85" t="str">
        <f>IFERROR(IF(VLOOKUP(A85,Final!A:C,3,FALSE)=Table15[[#Headers],[Final]],Table15[[#Headers],[Final]],""),"")</f>
        <v/>
      </c>
    </row>
    <row r="86" spans="1:17" x14ac:dyDescent="0.25">
      <c r="A86" t="s">
        <v>158</v>
      </c>
      <c r="B86">
        <v>86</v>
      </c>
      <c r="C86" t="str">
        <f>IFERROR(IF(VLOOKUP(A86,Adviento!A:C,3,FALSE)=Table15[[#Headers],[Adviento]],Table15[[#Headers],[Adviento]],""),"")</f>
        <v/>
      </c>
      <c r="D86" t="str">
        <f>IFERROR(IF(VLOOKUP(A86,Navidad!A:C,3,FALSE)=Table15[[#Headers],[Navidad]],Table15[[#Headers],[Navidad]],""),"")</f>
        <v/>
      </c>
      <c r="E86" t="str">
        <f>IFERROR(IF(VLOOKUP(A86,Cuaresma!A:C,3,FALSE)=Table15[[#Headers],[Cuaresma]],Table15[[#Headers],[Cuaresma]],""),"")</f>
        <v/>
      </c>
      <c r="F86" t="str">
        <f>IFERROR(IF(VLOOKUP(A86,Pascua!A:C,3,FALSE)=Table15[[#Headers],[Pascua]],Table15[[#Headers],[Pascua]],""),"")</f>
        <v>Pascua</v>
      </c>
      <c r="G86" t="str">
        <f>IFERROR(IF(VLOOKUP(A86,Pentecostés!A:C,3,FALSE)=Table15[[#Headers],[Pentecostés]],Table15[[#Headers],[Pentecostés]],""),"")</f>
        <v>Pentecostés</v>
      </c>
      <c r="H86" t="str">
        <f>IFERROR(IF(VLOOKUP(A86,Entrada!A:C,3,FALSE)=Table15[[#Headers],[Entrada]],Table15[[#Headers],[Entrada]],""),"")</f>
        <v/>
      </c>
      <c r="I86" t="str">
        <f>IFERROR(IF(VLOOKUP(A86,Virgen!A:C,3,FALSE)=Table15[[#Headers],[Virgen]],Table15[[#Headers],[Virgen]],""),"")</f>
        <v/>
      </c>
      <c r="J86" t="str">
        <f>IFERROR(IF(VLOOKUP(A86,Paz!A:C,3,FALSE)=Table15[[#Headers],[Paz]],Table15[[#Headers],[Paz]],""),"")</f>
        <v/>
      </c>
      <c r="K86" t="str">
        <f>IFERROR(IF(VLOOKUP(A86,Pan!A:C,3,FALSE)=Table15[[#Headers],[Pan]],Table15[[#Headers],[Pan]],""),"")</f>
        <v/>
      </c>
      <c r="L86" t="str">
        <f>IFERROR(IF(VLOOKUP(A86,Comunión!A:C,3,FALSE)=Table15[[#Headers],[Comunión]],Table15[[#Headers],[Comunión]],""),"")</f>
        <v>Comunión</v>
      </c>
      <c r="M86" t="str">
        <f>IFERROR(IF(VLOOKUP(A86,Niños!A:C,3,FALSE)=Table15[[#Headers],[Niños]],Table15[[#Headers],[Niños]],""),"")</f>
        <v/>
      </c>
      <c r="N86" t="str">
        <f>IFERROR(IF(VLOOKUP(A86,Laudes!A:C,3,FALSE)=Table15[[#Headers],[Laudes]],Table15[[#Headers],[Laudes]],""),"")</f>
        <v/>
      </c>
      <c r="O86" t="str">
        <f>IFERROR(IF(VLOOKUP(A86,'Nuevo Testamento'!A:C,3,FALSE)=Table15[[#Headers],[Nuevo Testamento]],Table15[[#Headers],[Nuevo Testamento]],""),"")</f>
        <v>Nuevo Testamento</v>
      </c>
      <c r="P86" t="str">
        <f>IFERROR(IF(VLOOKUP(A86,'Antiguo Testamento'!A:C,3,FALSE)=Table15[[#Headers],[Antiguo Testamento]],Table15[[#Headers],[Antiguo Testamento]],""),"")</f>
        <v/>
      </c>
      <c r="Q86" t="str">
        <f>IFERROR(IF(VLOOKUP(A86,Final!A:C,3,FALSE)=Table15[[#Headers],[Final]],Table15[[#Headers],[Final]],""),"")</f>
        <v/>
      </c>
    </row>
    <row r="87" spans="1:17" x14ac:dyDescent="0.25">
      <c r="A87" t="s">
        <v>48</v>
      </c>
      <c r="B87">
        <v>87</v>
      </c>
      <c r="C87" t="str">
        <f>IFERROR(IF(VLOOKUP(A87,Adviento!A:C,3,FALSE)=Table15[[#Headers],[Adviento]],Table15[[#Headers],[Adviento]],""),"")</f>
        <v/>
      </c>
      <c r="D87" t="str">
        <f>IFERROR(IF(VLOOKUP(A87,Navidad!A:C,3,FALSE)=Table15[[#Headers],[Navidad]],Table15[[#Headers],[Navidad]],""),"")</f>
        <v/>
      </c>
      <c r="E87" t="str">
        <f>IFERROR(IF(VLOOKUP(A87,Cuaresma!A:C,3,FALSE)=Table15[[#Headers],[Cuaresma]],Table15[[#Headers],[Cuaresma]],""),"")</f>
        <v/>
      </c>
      <c r="F87" t="str">
        <f>IFERROR(IF(VLOOKUP(A87,Pascua!A:C,3,FALSE)=Table15[[#Headers],[Pascua]],Table15[[#Headers],[Pascua]],""),"")</f>
        <v>Pascua</v>
      </c>
      <c r="G87" t="str">
        <f>IFERROR(IF(VLOOKUP(A87,Pentecostés!A:C,3,FALSE)=Table15[[#Headers],[Pentecostés]],Table15[[#Headers],[Pentecostés]],""),"")</f>
        <v>Pentecostés</v>
      </c>
      <c r="H87" t="str">
        <f>IFERROR(IF(VLOOKUP(A87,Entrada!A:C,3,FALSE)=Table15[[#Headers],[Entrada]],Table15[[#Headers],[Entrada]],""),"")</f>
        <v/>
      </c>
      <c r="I87" t="str">
        <f>IFERROR(IF(VLOOKUP(A87,Virgen!A:C,3,FALSE)=Table15[[#Headers],[Virgen]],Table15[[#Headers],[Virgen]],""),"")</f>
        <v/>
      </c>
      <c r="J87" t="str">
        <f>IFERROR(IF(VLOOKUP(A87,Paz!A:C,3,FALSE)=Table15[[#Headers],[Paz]],Table15[[#Headers],[Paz]],""),"")</f>
        <v/>
      </c>
      <c r="K87" t="str">
        <f>IFERROR(IF(VLOOKUP(A87,Pan!A:C,3,FALSE)=Table15[[#Headers],[Pan]],Table15[[#Headers],[Pan]],""),"")</f>
        <v>Pan</v>
      </c>
      <c r="L87" t="str">
        <f>IFERROR(IF(VLOOKUP(A87,Comunión!A:C,3,FALSE)=Table15[[#Headers],[Comunión]],Table15[[#Headers],[Comunión]],""),"")</f>
        <v/>
      </c>
      <c r="M87" t="str">
        <f>IFERROR(IF(VLOOKUP(A87,Niños!A:C,3,FALSE)=Table15[[#Headers],[Niños]],Table15[[#Headers],[Niños]],""),"")</f>
        <v/>
      </c>
      <c r="N87" t="str">
        <f>IFERROR(IF(VLOOKUP(A87,Laudes!A:C,3,FALSE)=Table15[[#Headers],[Laudes]],Table15[[#Headers],[Laudes]],""),"")</f>
        <v/>
      </c>
      <c r="O87" t="str">
        <f>IFERROR(IF(VLOOKUP(A87,'Nuevo Testamento'!A:C,3,FALSE)=Table15[[#Headers],[Nuevo Testamento]],Table15[[#Headers],[Nuevo Testamento]],""),"")</f>
        <v>Nuevo Testamento</v>
      </c>
      <c r="P87" t="str">
        <f>IFERROR(IF(VLOOKUP(A87,'Antiguo Testamento'!A:C,3,FALSE)=Table15[[#Headers],[Antiguo Testamento]],Table15[[#Headers],[Antiguo Testamento]],""),"")</f>
        <v/>
      </c>
      <c r="Q87" t="str">
        <f>IFERROR(IF(VLOOKUP(A87,Final!A:C,3,FALSE)=Table15[[#Headers],[Final]],Table15[[#Headers],[Final]],""),"")</f>
        <v/>
      </c>
    </row>
    <row r="88" spans="1:17" x14ac:dyDescent="0.25">
      <c r="A88" t="s">
        <v>49</v>
      </c>
      <c r="B88">
        <v>88</v>
      </c>
      <c r="C88" t="str">
        <f>IFERROR(IF(VLOOKUP(A88,Adviento!A:C,3,FALSE)=Table15[[#Headers],[Adviento]],Table15[[#Headers],[Adviento]],""),"")</f>
        <v>Adviento</v>
      </c>
      <c r="D88" t="str">
        <f>IFERROR(IF(VLOOKUP(A88,Navidad!A:C,3,FALSE)=Table15[[#Headers],[Navidad]],Table15[[#Headers],[Navidad]],""),"")</f>
        <v>Navidad</v>
      </c>
      <c r="E88" t="str">
        <f>IFERROR(IF(VLOOKUP(A88,Cuaresma!A:C,3,FALSE)=Table15[[#Headers],[Cuaresma]],Table15[[#Headers],[Cuaresma]],""),"")</f>
        <v/>
      </c>
      <c r="F88" t="str">
        <f>IFERROR(IF(VLOOKUP(A88,Pascua!A:C,3,FALSE)=Table15[[#Headers],[Pascua]],Table15[[#Headers],[Pascua]],""),"")</f>
        <v/>
      </c>
      <c r="G88" t="str">
        <f>IFERROR(IF(VLOOKUP(A88,Pentecostés!A:C,3,FALSE)=Table15[[#Headers],[Pentecostés]],Table15[[#Headers],[Pentecostés]],""),"")</f>
        <v/>
      </c>
      <c r="H88" t="str">
        <f>IFERROR(IF(VLOOKUP(A88,Entrada!A:C,3,FALSE)=Table15[[#Headers],[Entrada]],Table15[[#Headers],[Entrada]],""),"")</f>
        <v/>
      </c>
      <c r="I88" t="str">
        <f>IFERROR(IF(VLOOKUP(A88,Virgen!A:C,3,FALSE)=Table15[[#Headers],[Virgen]],Table15[[#Headers],[Virgen]],""),"")</f>
        <v/>
      </c>
      <c r="J88" t="str">
        <f>IFERROR(IF(VLOOKUP(A88,Paz!A:C,3,FALSE)=Table15[[#Headers],[Paz]],Table15[[#Headers],[Paz]],""),"")</f>
        <v/>
      </c>
      <c r="K88" t="str">
        <f>IFERROR(IF(VLOOKUP(A88,Pan!A:C,3,FALSE)=Table15[[#Headers],[Pan]],Table15[[#Headers],[Pan]],""),"")</f>
        <v/>
      </c>
      <c r="L88" t="str">
        <f>IFERROR(IF(VLOOKUP(A88,Comunión!A:C,3,FALSE)=Table15[[#Headers],[Comunión]],Table15[[#Headers],[Comunión]],""),"")</f>
        <v/>
      </c>
      <c r="M88" t="str">
        <f>IFERROR(IF(VLOOKUP(A88,Niños!A:C,3,FALSE)=Table15[[#Headers],[Niños]],Table15[[#Headers],[Niños]],""),"")</f>
        <v/>
      </c>
      <c r="N88" t="str">
        <f>IFERROR(IF(VLOOKUP(A88,Laudes!A:C,3,FALSE)=Table15[[#Headers],[Laudes]],Table15[[#Headers],[Laudes]],""),"")</f>
        <v/>
      </c>
      <c r="O88" t="str">
        <f>IFERROR(IF(VLOOKUP(A88,'Nuevo Testamento'!A:C,3,FALSE)=Table15[[#Headers],[Nuevo Testamento]],Table15[[#Headers],[Nuevo Testamento]],""),"")</f>
        <v/>
      </c>
      <c r="P88" t="str">
        <f>IFERROR(IF(VLOOKUP(A88,'Antiguo Testamento'!A:C,3,FALSE)=Table15[[#Headers],[Antiguo Testamento]],Table15[[#Headers],[Antiguo Testamento]],""),"")</f>
        <v/>
      </c>
      <c r="Q88" t="str">
        <f>IFERROR(IF(VLOOKUP(A88,Final!A:C,3,FALSE)=Table15[[#Headers],[Final]],Table15[[#Headers],[Final]],""),"")</f>
        <v/>
      </c>
    </row>
    <row r="89" spans="1:17" x14ac:dyDescent="0.25">
      <c r="A89" t="s">
        <v>50</v>
      </c>
      <c r="B89">
        <v>89</v>
      </c>
      <c r="C89" t="str">
        <f>IFERROR(IF(VLOOKUP(A89,Adviento!A:C,3,FALSE)=Table15[[#Headers],[Adviento]],Table15[[#Headers],[Adviento]],""),"")</f>
        <v/>
      </c>
      <c r="D89" t="str">
        <f>IFERROR(IF(VLOOKUP(A89,Navidad!A:C,3,FALSE)=Table15[[#Headers],[Navidad]],Table15[[#Headers],[Navidad]],""),"")</f>
        <v/>
      </c>
      <c r="E89" t="str">
        <f>IFERROR(IF(VLOOKUP(A89,Cuaresma!A:C,3,FALSE)=Table15[[#Headers],[Cuaresma]],Table15[[#Headers],[Cuaresma]],""),"")</f>
        <v/>
      </c>
      <c r="F89" t="str">
        <f>IFERROR(IF(VLOOKUP(A89,Pascua!A:C,3,FALSE)=Table15[[#Headers],[Pascua]],Table15[[#Headers],[Pascua]],""),"")</f>
        <v>Pascua</v>
      </c>
      <c r="G89" t="str">
        <f>IFERROR(IF(VLOOKUP(A89,Pentecostés!A:C,3,FALSE)=Table15[[#Headers],[Pentecostés]],Table15[[#Headers],[Pentecostés]],""),"")</f>
        <v>Pentecostés</v>
      </c>
      <c r="H89" t="str">
        <f>IFERROR(IF(VLOOKUP(A89,Entrada!A:C,3,FALSE)=Table15[[#Headers],[Entrada]],Table15[[#Headers],[Entrada]],""),"")</f>
        <v/>
      </c>
      <c r="I89" t="str">
        <f>IFERROR(IF(VLOOKUP(A89,Virgen!A:C,3,FALSE)=Table15[[#Headers],[Virgen]],Table15[[#Headers],[Virgen]],""),"")</f>
        <v/>
      </c>
      <c r="J89" t="str">
        <f>IFERROR(IF(VLOOKUP(A89,Paz!A:C,3,FALSE)=Table15[[#Headers],[Paz]],Table15[[#Headers],[Paz]],""),"")</f>
        <v/>
      </c>
      <c r="K89" t="str">
        <f>IFERROR(IF(VLOOKUP(A89,Pan!A:C,3,FALSE)=Table15[[#Headers],[Pan]],Table15[[#Headers],[Pan]],""),"")</f>
        <v/>
      </c>
      <c r="L89" t="str">
        <f>IFERROR(IF(VLOOKUP(A89,Comunión!A:C,3,FALSE)=Table15[[#Headers],[Comunión]],Table15[[#Headers],[Comunión]],""),"")</f>
        <v/>
      </c>
      <c r="M89" t="str">
        <f>IFERROR(IF(VLOOKUP(A89,Niños!A:C,3,FALSE)=Table15[[#Headers],[Niños]],Table15[[#Headers],[Niños]],""),"")</f>
        <v/>
      </c>
      <c r="N89" t="str">
        <f>IFERROR(IF(VLOOKUP(A89,Laudes!A:C,3,FALSE)=Table15[[#Headers],[Laudes]],Table15[[#Headers],[Laudes]],""),"")</f>
        <v>Laudes</v>
      </c>
      <c r="O89" t="str">
        <f>IFERROR(IF(VLOOKUP(A89,'Nuevo Testamento'!A:C,3,FALSE)=Table15[[#Headers],[Nuevo Testamento]],Table15[[#Headers],[Nuevo Testamento]],""),"")</f>
        <v/>
      </c>
      <c r="P89" t="str">
        <f>IFERROR(IF(VLOOKUP(A89,'Antiguo Testamento'!A:C,3,FALSE)=Table15[[#Headers],[Antiguo Testamento]],Table15[[#Headers],[Antiguo Testamento]],""),"")</f>
        <v/>
      </c>
      <c r="Q89" t="str">
        <f>IFERROR(IF(VLOOKUP(A89,Final!A:C,3,FALSE)=Table15[[#Headers],[Final]],Table15[[#Headers],[Final]],""),"")</f>
        <v/>
      </c>
    </row>
    <row r="90" spans="1:17" x14ac:dyDescent="0.25">
      <c r="A90" t="s">
        <v>160</v>
      </c>
      <c r="B90">
        <v>90</v>
      </c>
      <c r="C90" t="str">
        <f>IFERROR(IF(VLOOKUP(A90,Adviento!A:C,3,FALSE)=Table15[[#Headers],[Adviento]],Table15[[#Headers],[Adviento]],""),"")</f>
        <v/>
      </c>
      <c r="D90" t="str">
        <f>IFERROR(IF(VLOOKUP(A90,Navidad!A:C,3,FALSE)=Table15[[#Headers],[Navidad]],Table15[[#Headers],[Navidad]],""),"")</f>
        <v/>
      </c>
      <c r="E90" t="str">
        <f>IFERROR(IF(VLOOKUP(A90,Cuaresma!A:C,3,FALSE)=Table15[[#Headers],[Cuaresma]],Table15[[#Headers],[Cuaresma]],""),"")</f>
        <v/>
      </c>
      <c r="F90" t="str">
        <f>IFERROR(IF(VLOOKUP(A90,Pascua!A:C,3,FALSE)=Table15[[#Headers],[Pascua]],Table15[[#Headers],[Pascua]],""),"")</f>
        <v>Pascua</v>
      </c>
      <c r="G90" t="str">
        <f>IFERROR(IF(VLOOKUP(A90,Pentecostés!A:C,3,FALSE)=Table15[[#Headers],[Pentecostés]],Table15[[#Headers],[Pentecostés]],""),"")</f>
        <v>Pentecostés</v>
      </c>
      <c r="H90" t="str">
        <f>IFERROR(IF(VLOOKUP(A90,Entrada!A:C,3,FALSE)=Table15[[#Headers],[Entrada]],Table15[[#Headers],[Entrada]],""),"")</f>
        <v/>
      </c>
      <c r="I90" t="str">
        <f>IFERROR(IF(VLOOKUP(A90,Virgen!A:C,3,FALSE)=Table15[[#Headers],[Virgen]],Table15[[#Headers],[Virgen]],""),"")</f>
        <v/>
      </c>
      <c r="J90" t="str">
        <f>IFERROR(IF(VLOOKUP(A90,Paz!A:C,3,FALSE)=Table15[[#Headers],[Paz]],Table15[[#Headers],[Paz]],""),"")</f>
        <v/>
      </c>
      <c r="K90" t="str">
        <f>IFERROR(IF(VLOOKUP(A90,Pan!A:C,3,FALSE)=Table15[[#Headers],[Pan]],Table15[[#Headers],[Pan]],""),"")</f>
        <v/>
      </c>
      <c r="L90" t="str">
        <f>IFERROR(IF(VLOOKUP(A90,Comunión!A:C,3,FALSE)=Table15[[#Headers],[Comunión]],Table15[[#Headers],[Comunión]],""),"")</f>
        <v/>
      </c>
      <c r="M90" t="str">
        <f>IFERROR(IF(VLOOKUP(A90,Niños!A:C,3,FALSE)=Table15[[#Headers],[Niños]],Table15[[#Headers],[Niños]],""),"")</f>
        <v/>
      </c>
      <c r="N90" t="str">
        <f>IFERROR(IF(VLOOKUP(A90,Laudes!A:C,3,FALSE)=Table15[[#Headers],[Laudes]],Table15[[#Headers],[Laudes]],""),"")</f>
        <v>Laudes</v>
      </c>
      <c r="O90" t="str">
        <f>IFERROR(IF(VLOOKUP(A90,'Nuevo Testamento'!A:C,3,FALSE)=Table15[[#Headers],[Nuevo Testamento]],Table15[[#Headers],[Nuevo Testamento]],""),"")</f>
        <v/>
      </c>
      <c r="P90" t="str">
        <f>IFERROR(IF(VLOOKUP(A90,'Antiguo Testamento'!A:C,3,FALSE)=Table15[[#Headers],[Antiguo Testamento]],Table15[[#Headers],[Antiguo Testamento]],""),"")</f>
        <v/>
      </c>
      <c r="Q90" t="str">
        <f>IFERROR(IF(VLOOKUP(A90,Final!A:C,3,FALSE)=Table15[[#Headers],[Final]],Table15[[#Headers],[Final]],""),"")</f>
        <v/>
      </c>
    </row>
    <row r="91" spans="1:17" x14ac:dyDescent="0.25">
      <c r="A91" t="s">
        <v>161</v>
      </c>
      <c r="B91">
        <v>91</v>
      </c>
      <c r="C91" t="str">
        <f>IFERROR(IF(VLOOKUP(A91,Adviento!A:C,3,FALSE)=Table15[[#Headers],[Adviento]],Table15[[#Headers],[Adviento]],""),"")</f>
        <v/>
      </c>
      <c r="D91" t="str">
        <f>IFERROR(IF(VLOOKUP(A91,Navidad!A:C,3,FALSE)=Table15[[#Headers],[Navidad]],Table15[[#Headers],[Navidad]],""),"")</f>
        <v/>
      </c>
      <c r="E91" t="str">
        <f>IFERROR(IF(VLOOKUP(A91,Cuaresma!A:C,3,FALSE)=Table15[[#Headers],[Cuaresma]],Table15[[#Headers],[Cuaresma]],""),"")</f>
        <v/>
      </c>
      <c r="F91" t="str">
        <f>IFERROR(IF(VLOOKUP(A91,Pascua!A:C,3,FALSE)=Table15[[#Headers],[Pascua]],Table15[[#Headers],[Pascua]],""),"")</f>
        <v>Pascua</v>
      </c>
      <c r="G91" t="str">
        <f>IFERROR(IF(VLOOKUP(A91,Pentecostés!A:C,3,FALSE)=Table15[[#Headers],[Pentecostés]],Table15[[#Headers],[Pentecostés]],""),"")</f>
        <v>Pentecostés</v>
      </c>
      <c r="H91" t="str">
        <f>IFERROR(IF(VLOOKUP(A91,Entrada!A:C,3,FALSE)=Table15[[#Headers],[Entrada]],Table15[[#Headers],[Entrada]],""),"")</f>
        <v/>
      </c>
      <c r="I91" t="str">
        <f>IFERROR(IF(VLOOKUP(A91,Virgen!A:C,3,FALSE)=Table15[[#Headers],[Virgen]],Table15[[#Headers],[Virgen]],""),"")</f>
        <v/>
      </c>
      <c r="J91" t="str">
        <f>IFERROR(IF(VLOOKUP(A91,Paz!A:C,3,FALSE)=Table15[[#Headers],[Paz]],Table15[[#Headers],[Paz]],""),"")</f>
        <v/>
      </c>
      <c r="K91" t="str">
        <f>IFERROR(IF(VLOOKUP(A91,Pan!A:C,3,FALSE)=Table15[[#Headers],[Pan]],Table15[[#Headers],[Pan]],""),"")</f>
        <v/>
      </c>
      <c r="L91" t="str">
        <f>IFERROR(IF(VLOOKUP(A91,Comunión!A:C,3,FALSE)=Table15[[#Headers],[Comunión]],Table15[[#Headers],[Comunión]],""),"")</f>
        <v>Comunión</v>
      </c>
      <c r="M91" t="str">
        <f>IFERROR(IF(VLOOKUP(A91,Niños!A:C,3,FALSE)=Table15[[#Headers],[Niños]],Table15[[#Headers],[Niños]],""),"")</f>
        <v/>
      </c>
      <c r="N91" t="str">
        <f>IFERROR(IF(VLOOKUP(A91,Laudes!A:C,3,FALSE)=Table15[[#Headers],[Laudes]],Table15[[#Headers],[Laudes]],""),"")</f>
        <v/>
      </c>
      <c r="O91" t="str">
        <f>IFERROR(IF(VLOOKUP(A91,'Nuevo Testamento'!A:C,3,FALSE)=Table15[[#Headers],[Nuevo Testamento]],Table15[[#Headers],[Nuevo Testamento]],""),"")</f>
        <v/>
      </c>
      <c r="P91" t="str">
        <f>IFERROR(IF(VLOOKUP(A91,'Antiguo Testamento'!A:C,3,FALSE)=Table15[[#Headers],[Antiguo Testamento]],Table15[[#Headers],[Antiguo Testamento]],""),"")</f>
        <v>Antiguo Testamento</v>
      </c>
      <c r="Q91" t="str">
        <f>IFERROR(IF(VLOOKUP(A91,Final!A:C,3,FALSE)=Table15[[#Headers],[Final]],Table15[[#Headers],[Final]],""),"")</f>
        <v>Final</v>
      </c>
    </row>
    <row r="92" spans="1:17" x14ac:dyDescent="0.25">
      <c r="A92" t="s">
        <v>51</v>
      </c>
      <c r="B92">
        <v>92</v>
      </c>
      <c r="C92" t="str">
        <f>IFERROR(IF(VLOOKUP(A92,Adviento!A:C,3,FALSE)=Table15[[#Headers],[Adviento]],Table15[[#Headers],[Adviento]],""),"")</f>
        <v/>
      </c>
      <c r="D92" t="str">
        <f>IFERROR(IF(VLOOKUP(A92,Navidad!A:C,3,FALSE)=Table15[[#Headers],[Navidad]],Table15[[#Headers],[Navidad]],""),"")</f>
        <v/>
      </c>
      <c r="E92" t="str">
        <f>IFERROR(IF(VLOOKUP(A92,Cuaresma!A:C,3,FALSE)=Table15[[#Headers],[Cuaresma]],Table15[[#Headers],[Cuaresma]],""),"")</f>
        <v/>
      </c>
      <c r="F92" t="str">
        <f>IFERROR(IF(VLOOKUP(A92,Pascua!A:C,3,FALSE)=Table15[[#Headers],[Pascua]],Table15[[#Headers],[Pascua]],""),"")</f>
        <v>Pascua</v>
      </c>
      <c r="G92" t="str">
        <f>IFERROR(IF(VLOOKUP(A92,Pentecostés!A:C,3,FALSE)=Table15[[#Headers],[Pentecostés]],Table15[[#Headers],[Pentecostés]],""),"")</f>
        <v>Pentecostés</v>
      </c>
      <c r="H92" t="str">
        <f>IFERROR(IF(VLOOKUP(A92,Entrada!A:C,3,FALSE)=Table15[[#Headers],[Entrada]],Table15[[#Headers],[Entrada]],""),"")</f>
        <v/>
      </c>
      <c r="I92" t="str">
        <f>IFERROR(IF(VLOOKUP(A92,Virgen!A:C,3,FALSE)=Table15[[#Headers],[Virgen]],Table15[[#Headers],[Virgen]],""),"")</f>
        <v/>
      </c>
      <c r="J92" t="str">
        <f>IFERROR(IF(VLOOKUP(A92,Paz!A:C,3,FALSE)=Table15[[#Headers],[Paz]],Table15[[#Headers],[Paz]],""),"")</f>
        <v/>
      </c>
      <c r="K92" t="str">
        <f>IFERROR(IF(VLOOKUP(A92,Pan!A:C,3,FALSE)=Table15[[#Headers],[Pan]],Table15[[#Headers],[Pan]],""),"")</f>
        <v/>
      </c>
      <c r="L92" t="str">
        <f>IFERROR(IF(VLOOKUP(A92,Comunión!A:C,3,FALSE)=Table15[[#Headers],[Comunión]],Table15[[#Headers],[Comunión]],""),"")</f>
        <v/>
      </c>
      <c r="M92" t="str">
        <f>IFERROR(IF(VLOOKUP(A92,Niños!A:C,3,FALSE)=Table15[[#Headers],[Niños]],Table15[[#Headers],[Niños]],""),"")</f>
        <v/>
      </c>
      <c r="N92" t="str">
        <f>IFERROR(IF(VLOOKUP(A92,Laudes!A:C,3,FALSE)=Table15[[#Headers],[Laudes]],Table15[[#Headers],[Laudes]],""),"")</f>
        <v/>
      </c>
      <c r="O92" t="str">
        <f>IFERROR(IF(VLOOKUP(A92,'Nuevo Testamento'!A:C,3,FALSE)=Table15[[#Headers],[Nuevo Testamento]],Table15[[#Headers],[Nuevo Testamento]],""),"")</f>
        <v>Nuevo Testamento</v>
      </c>
      <c r="P92" t="str">
        <f>IFERROR(IF(VLOOKUP(A92,'Antiguo Testamento'!A:C,3,FALSE)=Table15[[#Headers],[Antiguo Testamento]],Table15[[#Headers],[Antiguo Testamento]],""),"")</f>
        <v/>
      </c>
      <c r="Q92" t="str">
        <f>IFERROR(IF(VLOOKUP(A92,Final!A:C,3,FALSE)=Table15[[#Headers],[Final]],Table15[[#Headers],[Final]],""),"")</f>
        <v>Final</v>
      </c>
    </row>
    <row r="93" spans="1:17" x14ac:dyDescent="0.25">
      <c r="A93" t="s">
        <v>52</v>
      </c>
      <c r="B93">
        <v>93</v>
      </c>
      <c r="C93" t="str">
        <f>IFERROR(IF(VLOOKUP(A93,Adviento!A:C,3,FALSE)=Table15[[#Headers],[Adviento]],Table15[[#Headers],[Adviento]],""),"")</f>
        <v/>
      </c>
      <c r="D93" t="str">
        <f>IFERROR(IF(VLOOKUP(A93,Navidad!A:C,3,FALSE)=Table15[[#Headers],[Navidad]],Table15[[#Headers],[Navidad]],""),"")</f>
        <v/>
      </c>
      <c r="E93" t="str">
        <f>IFERROR(IF(VLOOKUP(A93,Cuaresma!A:C,3,FALSE)=Table15[[#Headers],[Cuaresma]],Table15[[#Headers],[Cuaresma]],""),"")</f>
        <v>Cuaresma</v>
      </c>
      <c r="F93" t="str">
        <f>IFERROR(IF(VLOOKUP(A93,Pascua!A:C,3,FALSE)=Table15[[#Headers],[Pascua]],Table15[[#Headers],[Pascua]],""),"")</f>
        <v/>
      </c>
      <c r="G93" t="str">
        <f>IFERROR(IF(VLOOKUP(A93,Pentecostés!A:C,3,FALSE)=Table15[[#Headers],[Pentecostés]],Table15[[#Headers],[Pentecostés]],""),"")</f>
        <v/>
      </c>
      <c r="H93" t="str">
        <f>IFERROR(IF(VLOOKUP(A93,Entrada!A:C,3,FALSE)=Table15[[#Headers],[Entrada]],Table15[[#Headers],[Entrada]],""),"")</f>
        <v/>
      </c>
      <c r="I93" t="str">
        <f>IFERROR(IF(VLOOKUP(A93,Virgen!A:C,3,FALSE)=Table15[[#Headers],[Virgen]],Table15[[#Headers],[Virgen]],""),"")</f>
        <v/>
      </c>
      <c r="J93" t="str">
        <f>IFERROR(IF(VLOOKUP(A93,Paz!A:C,3,FALSE)=Table15[[#Headers],[Paz]],Table15[[#Headers],[Paz]],""),"")</f>
        <v/>
      </c>
      <c r="K93" t="str">
        <f>IFERROR(IF(VLOOKUP(A93,Pan!A:C,3,FALSE)=Table15[[#Headers],[Pan]],Table15[[#Headers],[Pan]],""),"")</f>
        <v>Pan</v>
      </c>
      <c r="L93" t="str">
        <f>IFERROR(IF(VLOOKUP(A93,Comunión!A:C,3,FALSE)=Table15[[#Headers],[Comunión]],Table15[[#Headers],[Comunión]],""),"")</f>
        <v/>
      </c>
      <c r="M93" t="str">
        <f>IFERROR(IF(VLOOKUP(A93,Niños!A:C,3,FALSE)=Table15[[#Headers],[Niños]],Table15[[#Headers],[Niños]],""),"")</f>
        <v/>
      </c>
      <c r="N93" t="str">
        <f>IFERROR(IF(VLOOKUP(A93,Laudes!A:C,3,FALSE)=Table15[[#Headers],[Laudes]],Table15[[#Headers],[Laudes]],""),"")</f>
        <v/>
      </c>
      <c r="O93" t="str">
        <f>IFERROR(IF(VLOOKUP(A93,'Nuevo Testamento'!A:C,3,FALSE)=Table15[[#Headers],[Nuevo Testamento]],Table15[[#Headers],[Nuevo Testamento]],""),"")</f>
        <v/>
      </c>
      <c r="P93" t="str">
        <f>IFERROR(IF(VLOOKUP(A93,'Antiguo Testamento'!A:C,3,FALSE)=Table15[[#Headers],[Antiguo Testamento]],Table15[[#Headers],[Antiguo Testamento]],""),"")</f>
        <v/>
      </c>
      <c r="Q93" t="str">
        <f>IFERROR(IF(VLOOKUP(A93,Final!A:C,3,FALSE)=Table15[[#Headers],[Final]],Table15[[#Headers],[Final]],""),"")</f>
        <v/>
      </c>
    </row>
    <row r="94" spans="1:17" x14ac:dyDescent="0.25">
      <c r="A94" t="s">
        <v>163</v>
      </c>
      <c r="B94">
        <v>94</v>
      </c>
      <c r="C94" t="str">
        <f>IFERROR(IF(VLOOKUP(A94,Adviento!A:C,3,FALSE)=Table15[[#Headers],[Adviento]],Table15[[#Headers],[Adviento]],""),"")</f>
        <v/>
      </c>
      <c r="D94" t="str">
        <f>IFERROR(IF(VLOOKUP(A94,Navidad!A:C,3,FALSE)=Table15[[#Headers],[Navidad]],Table15[[#Headers],[Navidad]],""),"")</f>
        <v/>
      </c>
      <c r="E94" t="str">
        <f>IFERROR(IF(VLOOKUP(A94,Cuaresma!A:C,3,FALSE)=Table15[[#Headers],[Cuaresma]],Table15[[#Headers],[Cuaresma]],""),"")</f>
        <v/>
      </c>
      <c r="F94" t="str">
        <f>IFERROR(IF(VLOOKUP(A94,Pascua!A:C,3,FALSE)=Table15[[#Headers],[Pascua]],Table15[[#Headers],[Pascua]],""),"")</f>
        <v>Pascua</v>
      </c>
      <c r="G94" t="str">
        <f>IFERROR(IF(VLOOKUP(A94,Pentecostés!A:C,3,FALSE)=Table15[[#Headers],[Pentecostés]],Table15[[#Headers],[Pentecostés]],""),"")</f>
        <v>Pentecostés</v>
      </c>
      <c r="H94" t="str">
        <f>IFERROR(IF(VLOOKUP(A94,Entrada!A:C,3,FALSE)=Table15[[#Headers],[Entrada]],Table15[[#Headers],[Entrada]],""),"")</f>
        <v/>
      </c>
      <c r="I94" t="str">
        <f>IFERROR(IF(VLOOKUP(A94,Virgen!A:C,3,FALSE)=Table15[[#Headers],[Virgen]],Table15[[#Headers],[Virgen]],""),"")</f>
        <v/>
      </c>
      <c r="J94" t="str">
        <f>IFERROR(IF(VLOOKUP(A94,Paz!A:C,3,FALSE)=Table15[[#Headers],[Paz]],Table15[[#Headers],[Paz]],""),"")</f>
        <v>Paz</v>
      </c>
      <c r="K94" t="str">
        <f>IFERROR(IF(VLOOKUP(A94,Pan!A:C,3,FALSE)=Table15[[#Headers],[Pan]],Table15[[#Headers],[Pan]],""),"")</f>
        <v/>
      </c>
      <c r="L94" t="str">
        <f>IFERROR(IF(VLOOKUP(A94,Comunión!A:C,3,FALSE)=Table15[[#Headers],[Comunión]],Table15[[#Headers],[Comunión]],""),"")</f>
        <v/>
      </c>
      <c r="M94" t="str">
        <f>IFERROR(IF(VLOOKUP(A94,Niños!A:C,3,FALSE)=Table15[[#Headers],[Niños]],Table15[[#Headers],[Niños]],""),"")</f>
        <v/>
      </c>
      <c r="N94" t="str">
        <f>IFERROR(IF(VLOOKUP(A94,Laudes!A:C,3,FALSE)=Table15[[#Headers],[Laudes]],Table15[[#Headers],[Laudes]],""),"")</f>
        <v/>
      </c>
      <c r="O94" t="str">
        <f>IFERROR(IF(VLOOKUP(A94,'Nuevo Testamento'!A:C,3,FALSE)=Table15[[#Headers],[Nuevo Testamento]],Table15[[#Headers],[Nuevo Testamento]],""),"")</f>
        <v/>
      </c>
      <c r="P94" t="str">
        <f>IFERROR(IF(VLOOKUP(A94,'Antiguo Testamento'!A:C,3,FALSE)=Table15[[#Headers],[Antiguo Testamento]],Table15[[#Headers],[Antiguo Testamento]],""),"")</f>
        <v>Antiguo Testamento</v>
      </c>
      <c r="Q94" t="str">
        <f>IFERROR(IF(VLOOKUP(A94,Final!A:C,3,FALSE)=Table15[[#Headers],[Final]],Table15[[#Headers],[Final]],""),"")</f>
        <v/>
      </c>
    </row>
    <row r="95" spans="1:17" x14ac:dyDescent="0.25">
      <c r="A95" t="s">
        <v>53</v>
      </c>
      <c r="B95">
        <v>95</v>
      </c>
      <c r="C95" t="str">
        <f>IFERROR(IF(VLOOKUP(A95,Adviento!A:C,3,FALSE)=Table15[[#Headers],[Adviento]],Table15[[#Headers],[Adviento]],""),"")</f>
        <v/>
      </c>
      <c r="D95" t="str">
        <f>IFERROR(IF(VLOOKUP(A95,Navidad!A:C,3,FALSE)=Table15[[#Headers],[Navidad]],Table15[[#Headers],[Navidad]],""),"")</f>
        <v/>
      </c>
      <c r="E95" t="str">
        <f>IFERROR(IF(VLOOKUP(A95,Cuaresma!A:C,3,FALSE)=Table15[[#Headers],[Cuaresma]],Table15[[#Headers],[Cuaresma]],""),"")</f>
        <v/>
      </c>
      <c r="F95" t="str">
        <f>IFERROR(IF(VLOOKUP(A95,Pascua!A:C,3,FALSE)=Table15[[#Headers],[Pascua]],Table15[[#Headers],[Pascua]],""),"")</f>
        <v/>
      </c>
      <c r="G95" t="str">
        <f>IFERROR(IF(VLOOKUP(A95,Pentecostés!A:C,3,FALSE)=Table15[[#Headers],[Pentecostés]],Table15[[#Headers],[Pentecostés]],""),"")</f>
        <v/>
      </c>
      <c r="H95" t="str">
        <f>IFERROR(IF(VLOOKUP(A95,Entrada!A:C,3,FALSE)=Table15[[#Headers],[Entrada]],Table15[[#Headers],[Entrada]],""),"")</f>
        <v/>
      </c>
      <c r="I95" t="str">
        <f>IFERROR(IF(VLOOKUP(A95,Virgen!A:C,3,FALSE)=Table15[[#Headers],[Virgen]],Table15[[#Headers],[Virgen]],""),"")</f>
        <v/>
      </c>
      <c r="J95" t="str">
        <f>IFERROR(IF(VLOOKUP(A95,Paz!A:C,3,FALSE)=Table15[[#Headers],[Paz]],Table15[[#Headers],[Paz]],""),"")</f>
        <v/>
      </c>
      <c r="K95" t="str">
        <f>IFERROR(IF(VLOOKUP(A95,Pan!A:C,3,FALSE)=Table15[[#Headers],[Pan]],Table15[[#Headers],[Pan]],""),"")</f>
        <v/>
      </c>
      <c r="L95" t="str">
        <f>IFERROR(IF(VLOOKUP(A95,Comunión!A:C,3,FALSE)=Table15[[#Headers],[Comunión]],Table15[[#Headers],[Comunión]],""),"")</f>
        <v/>
      </c>
      <c r="M95" t="str">
        <f>IFERROR(IF(VLOOKUP(A95,Niños!A:C,3,FALSE)=Table15[[#Headers],[Niños]],Table15[[#Headers],[Niños]],""),"")</f>
        <v/>
      </c>
      <c r="N95" t="str">
        <f>IFERROR(IF(VLOOKUP(A95,Laudes!A:C,3,FALSE)=Table15[[#Headers],[Laudes]],Table15[[#Headers],[Laudes]],""),"")</f>
        <v/>
      </c>
      <c r="O95" t="str">
        <f>IFERROR(IF(VLOOKUP(A95,'Nuevo Testamento'!A:C,3,FALSE)=Table15[[#Headers],[Nuevo Testamento]],Table15[[#Headers],[Nuevo Testamento]],""),"")</f>
        <v>Nuevo Testamento</v>
      </c>
      <c r="P95" t="str">
        <f>IFERROR(IF(VLOOKUP(A95,'Antiguo Testamento'!A:C,3,FALSE)=Table15[[#Headers],[Antiguo Testamento]],Table15[[#Headers],[Antiguo Testamento]],""),"")</f>
        <v/>
      </c>
      <c r="Q95" t="str">
        <f>IFERROR(IF(VLOOKUP(A95,Final!A:C,3,FALSE)=Table15[[#Headers],[Final]],Table15[[#Headers],[Final]],""),"")</f>
        <v/>
      </c>
    </row>
    <row r="96" spans="1:17" x14ac:dyDescent="0.25">
      <c r="A96" t="s">
        <v>54</v>
      </c>
      <c r="B96">
        <v>96</v>
      </c>
      <c r="C96" t="str">
        <f>IFERROR(IF(VLOOKUP(A96,Adviento!A:C,3,FALSE)=Table15[[#Headers],[Adviento]],Table15[[#Headers],[Adviento]],""),"")</f>
        <v>Adviento</v>
      </c>
      <c r="D96" t="str">
        <f>IFERROR(IF(VLOOKUP(A96,Navidad!A:C,3,FALSE)=Table15[[#Headers],[Navidad]],Table15[[#Headers],[Navidad]],""),"")</f>
        <v>Navidad</v>
      </c>
      <c r="E96" t="str">
        <f>IFERROR(IF(VLOOKUP(A96,Cuaresma!A:C,3,FALSE)=Table15[[#Headers],[Cuaresma]],Table15[[#Headers],[Cuaresma]],""),"")</f>
        <v/>
      </c>
      <c r="F96" t="str">
        <f>IFERROR(IF(VLOOKUP(A96,Pascua!A:C,3,FALSE)=Table15[[#Headers],[Pascua]],Table15[[#Headers],[Pascua]],""),"")</f>
        <v/>
      </c>
      <c r="G96" t="str">
        <f>IFERROR(IF(VLOOKUP(A96,Pentecostés!A:C,3,FALSE)=Table15[[#Headers],[Pentecostés]],Table15[[#Headers],[Pentecostés]],""),"")</f>
        <v/>
      </c>
      <c r="H96" t="str">
        <f>IFERROR(IF(VLOOKUP(A96,Entrada!A:C,3,FALSE)=Table15[[#Headers],[Entrada]],Table15[[#Headers],[Entrada]],""),"")</f>
        <v/>
      </c>
      <c r="I96" t="str">
        <f>IFERROR(IF(VLOOKUP(A96,Virgen!A:C,3,FALSE)=Table15[[#Headers],[Virgen]],Table15[[#Headers],[Virgen]],""),"")</f>
        <v>Virgen</v>
      </c>
      <c r="J96" t="str">
        <f>IFERROR(IF(VLOOKUP(A96,Paz!A:C,3,FALSE)=Table15[[#Headers],[Paz]],Table15[[#Headers],[Paz]],""),"")</f>
        <v/>
      </c>
      <c r="K96" t="str">
        <f>IFERROR(IF(VLOOKUP(A96,Pan!A:C,3,FALSE)=Table15[[#Headers],[Pan]],Table15[[#Headers],[Pan]],""),"")</f>
        <v/>
      </c>
      <c r="L96" t="str">
        <f>IFERROR(IF(VLOOKUP(A96,Comunión!A:C,3,FALSE)=Table15[[#Headers],[Comunión]],Table15[[#Headers],[Comunión]],""),"")</f>
        <v/>
      </c>
      <c r="M96" t="str">
        <f>IFERROR(IF(VLOOKUP(A96,Niños!A:C,3,FALSE)=Table15[[#Headers],[Niños]],Table15[[#Headers],[Niños]],""),"")</f>
        <v/>
      </c>
      <c r="N96" t="str">
        <f>IFERROR(IF(VLOOKUP(A96,Laudes!A:C,3,FALSE)=Table15[[#Headers],[Laudes]],Table15[[#Headers],[Laudes]],""),"")</f>
        <v/>
      </c>
      <c r="O96" t="str">
        <f>IFERROR(IF(VLOOKUP(A96,'Nuevo Testamento'!A:C,3,FALSE)=Table15[[#Headers],[Nuevo Testamento]],Table15[[#Headers],[Nuevo Testamento]],""),"")</f>
        <v>Nuevo Testamento</v>
      </c>
      <c r="P96" t="str">
        <f>IFERROR(IF(VLOOKUP(A96,'Antiguo Testamento'!A:C,3,FALSE)=Table15[[#Headers],[Antiguo Testamento]],Table15[[#Headers],[Antiguo Testamento]],""),"")</f>
        <v/>
      </c>
      <c r="Q96" t="str">
        <f>IFERROR(IF(VLOOKUP(A96,Final!A:C,3,FALSE)=Table15[[#Headers],[Final]],Table15[[#Headers],[Final]],""),"")</f>
        <v/>
      </c>
    </row>
    <row r="97" spans="1:17" x14ac:dyDescent="0.25">
      <c r="A97" t="s">
        <v>164</v>
      </c>
      <c r="B97">
        <v>97</v>
      </c>
      <c r="C97" t="str">
        <f>IFERROR(IF(VLOOKUP(A97,Adviento!A:C,3,FALSE)=Table15[[#Headers],[Adviento]],Table15[[#Headers],[Adviento]],""),"")</f>
        <v/>
      </c>
      <c r="D97" t="str">
        <f>IFERROR(IF(VLOOKUP(A97,Navidad!A:C,3,FALSE)=Table15[[#Headers],[Navidad]],Table15[[#Headers],[Navidad]],""),"")</f>
        <v/>
      </c>
      <c r="E97" t="str">
        <f>IFERROR(IF(VLOOKUP(A97,Cuaresma!A:C,3,FALSE)=Table15[[#Headers],[Cuaresma]],Table15[[#Headers],[Cuaresma]],""),"")</f>
        <v>Cuaresma</v>
      </c>
      <c r="F97" t="str">
        <f>IFERROR(IF(VLOOKUP(A97,Pascua!A:C,3,FALSE)=Table15[[#Headers],[Pascua]],Table15[[#Headers],[Pascua]],""),"")</f>
        <v/>
      </c>
      <c r="G97" t="str">
        <f>IFERROR(IF(VLOOKUP(A97,Pentecostés!A:C,3,FALSE)=Table15[[#Headers],[Pentecostés]],Table15[[#Headers],[Pentecostés]],""),"")</f>
        <v/>
      </c>
      <c r="H97" t="str">
        <f>IFERROR(IF(VLOOKUP(A97,Entrada!A:C,3,FALSE)=Table15[[#Headers],[Entrada]],Table15[[#Headers],[Entrada]],""),"")</f>
        <v/>
      </c>
      <c r="I97" t="str">
        <f>IFERROR(IF(VLOOKUP(A97,Virgen!A:C,3,FALSE)=Table15[[#Headers],[Virgen]],Table15[[#Headers],[Virgen]],""),"")</f>
        <v>Virgen</v>
      </c>
      <c r="J97" t="str">
        <f>IFERROR(IF(VLOOKUP(A97,Paz!A:C,3,FALSE)=Table15[[#Headers],[Paz]],Table15[[#Headers],[Paz]],""),"")</f>
        <v/>
      </c>
      <c r="K97" t="str">
        <f>IFERROR(IF(VLOOKUP(A97,Pan!A:C,3,FALSE)=Table15[[#Headers],[Pan]],Table15[[#Headers],[Pan]],""),"")</f>
        <v/>
      </c>
      <c r="L97" t="str">
        <f>IFERROR(IF(VLOOKUP(A97,Comunión!A:C,3,FALSE)=Table15[[#Headers],[Comunión]],Table15[[#Headers],[Comunión]],""),"")</f>
        <v/>
      </c>
      <c r="M97" t="str">
        <f>IFERROR(IF(VLOOKUP(A97,Niños!A:C,3,FALSE)=Table15[[#Headers],[Niños]],Table15[[#Headers],[Niños]],""),"")</f>
        <v/>
      </c>
      <c r="N97" t="str">
        <f>IFERROR(IF(VLOOKUP(A97,Laudes!A:C,3,FALSE)=Table15[[#Headers],[Laudes]],Table15[[#Headers],[Laudes]],""),"")</f>
        <v/>
      </c>
      <c r="O97" t="str">
        <f>IFERROR(IF(VLOOKUP(A97,'Nuevo Testamento'!A:C,3,FALSE)=Table15[[#Headers],[Nuevo Testamento]],Table15[[#Headers],[Nuevo Testamento]],""),"")</f>
        <v/>
      </c>
      <c r="P97" t="str">
        <f>IFERROR(IF(VLOOKUP(A97,'Antiguo Testamento'!A:C,3,FALSE)=Table15[[#Headers],[Antiguo Testamento]],Table15[[#Headers],[Antiguo Testamento]],""),"")</f>
        <v/>
      </c>
      <c r="Q97" t="str">
        <f>IFERROR(IF(VLOOKUP(A97,Final!A:C,3,FALSE)=Table15[[#Headers],[Final]],Table15[[#Headers],[Final]],""),"")</f>
        <v/>
      </c>
    </row>
    <row r="98" spans="1:17" x14ac:dyDescent="0.25">
      <c r="A98" t="s">
        <v>165</v>
      </c>
      <c r="B98">
        <v>98</v>
      </c>
      <c r="C98" t="str">
        <f>IFERROR(IF(VLOOKUP(A98,Adviento!A:C,3,FALSE)=Table15[[#Headers],[Adviento]],Table15[[#Headers],[Adviento]],""),"")</f>
        <v/>
      </c>
      <c r="D98" t="str">
        <f>IFERROR(IF(VLOOKUP(A98,Navidad!A:C,3,FALSE)=Table15[[#Headers],[Navidad]],Table15[[#Headers],[Navidad]],""),"")</f>
        <v/>
      </c>
      <c r="E98" t="str">
        <f>IFERROR(IF(VLOOKUP(A98,Cuaresma!A:C,3,FALSE)=Table15[[#Headers],[Cuaresma]],Table15[[#Headers],[Cuaresma]],""),"")</f>
        <v>Cuaresma</v>
      </c>
      <c r="F98" t="str">
        <f>IFERROR(IF(VLOOKUP(A98,Pascua!A:C,3,FALSE)=Table15[[#Headers],[Pascua]],Table15[[#Headers],[Pascua]],""),"")</f>
        <v/>
      </c>
      <c r="G98" t="str">
        <f>IFERROR(IF(VLOOKUP(A98,Pentecostés!A:C,3,FALSE)=Table15[[#Headers],[Pentecostés]],Table15[[#Headers],[Pentecostés]],""),"")</f>
        <v/>
      </c>
      <c r="H98" t="str">
        <f>IFERROR(IF(VLOOKUP(A98,Entrada!A:C,3,FALSE)=Table15[[#Headers],[Entrada]],Table15[[#Headers],[Entrada]],""),"")</f>
        <v/>
      </c>
      <c r="I98" t="str">
        <f>IFERROR(IF(VLOOKUP(A98,Virgen!A:C,3,FALSE)=Table15[[#Headers],[Virgen]],Table15[[#Headers],[Virgen]],""),"")</f>
        <v/>
      </c>
      <c r="J98" t="str">
        <f>IFERROR(IF(VLOOKUP(A98,Paz!A:C,3,FALSE)=Table15[[#Headers],[Paz]],Table15[[#Headers],[Paz]],""),"")</f>
        <v/>
      </c>
      <c r="K98" t="str">
        <f>IFERROR(IF(VLOOKUP(A98,Pan!A:C,3,FALSE)=Table15[[#Headers],[Pan]],Table15[[#Headers],[Pan]],""),"")</f>
        <v/>
      </c>
      <c r="L98" t="str">
        <f>IFERROR(IF(VLOOKUP(A98,Comunión!A:C,3,FALSE)=Table15[[#Headers],[Comunión]],Table15[[#Headers],[Comunión]],""),"")</f>
        <v/>
      </c>
      <c r="M98" t="str">
        <f>IFERROR(IF(VLOOKUP(A98,Niños!A:C,3,FALSE)=Table15[[#Headers],[Niños]],Table15[[#Headers],[Niños]],""),"")</f>
        <v/>
      </c>
      <c r="N98" t="str">
        <f>IFERROR(IF(VLOOKUP(A98,Laudes!A:C,3,FALSE)=Table15[[#Headers],[Laudes]],Table15[[#Headers],[Laudes]],""),"")</f>
        <v/>
      </c>
      <c r="O98" t="str">
        <f>IFERROR(IF(VLOOKUP(A98,'Nuevo Testamento'!A:C,3,FALSE)=Table15[[#Headers],[Nuevo Testamento]],Table15[[#Headers],[Nuevo Testamento]],""),"")</f>
        <v/>
      </c>
      <c r="P98" t="str">
        <f>IFERROR(IF(VLOOKUP(A98,'Antiguo Testamento'!A:C,3,FALSE)=Table15[[#Headers],[Antiguo Testamento]],Table15[[#Headers],[Antiguo Testamento]],""),"")</f>
        <v/>
      </c>
      <c r="Q98" t="str">
        <f>IFERROR(IF(VLOOKUP(A98,Final!A:C,3,FALSE)=Table15[[#Headers],[Final]],Table15[[#Headers],[Final]],""),"")</f>
        <v/>
      </c>
    </row>
    <row r="99" spans="1:17" x14ac:dyDescent="0.25">
      <c r="A99" t="s">
        <v>166</v>
      </c>
      <c r="B99">
        <v>99</v>
      </c>
      <c r="C99" t="str">
        <f>IFERROR(IF(VLOOKUP(A99,Adviento!A:C,3,FALSE)=Table15[[#Headers],[Adviento]],Table15[[#Headers],[Adviento]],""),"")</f>
        <v/>
      </c>
      <c r="D99" t="str">
        <f>IFERROR(IF(VLOOKUP(A99,Navidad!A:C,3,FALSE)=Table15[[#Headers],[Navidad]],Table15[[#Headers],[Navidad]],""),"")</f>
        <v/>
      </c>
      <c r="E99" t="str">
        <f>IFERROR(IF(VLOOKUP(A99,Cuaresma!A:C,3,FALSE)=Table15[[#Headers],[Cuaresma]],Table15[[#Headers],[Cuaresma]],""),"")</f>
        <v>Cuaresma</v>
      </c>
      <c r="F99" t="str">
        <f>IFERROR(IF(VLOOKUP(A99,Pascua!A:C,3,FALSE)=Table15[[#Headers],[Pascua]],Table15[[#Headers],[Pascua]],""),"")</f>
        <v/>
      </c>
      <c r="G99" t="str">
        <f>IFERROR(IF(VLOOKUP(A99,Pentecostés!A:C,3,FALSE)=Table15[[#Headers],[Pentecostés]],Table15[[#Headers],[Pentecostés]],""),"")</f>
        <v/>
      </c>
      <c r="H99" t="str">
        <f>IFERROR(IF(VLOOKUP(A99,Entrada!A:C,3,FALSE)=Table15[[#Headers],[Entrada]],Table15[[#Headers],[Entrada]],""),"")</f>
        <v/>
      </c>
      <c r="I99" t="str">
        <f>IFERROR(IF(VLOOKUP(A99,Virgen!A:C,3,FALSE)=Table15[[#Headers],[Virgen]],Table15[[#Headers],[Virgen]],""),"")</f>
        <v>Virgen</v>
      </c>
      <c r="J99" t="str">
        <f>IFERROR(IF(VLOOKUP(A99,Paz!A:C,3,FALSE)=Table15[[#Headers],[Paz]],Table15[[#Headers],[Paz]],""),"")</f>
        <v/>
      </c>
      <c r="K99" t="str">
        <f>IFERROR(IF(VLOOKUP(A99,Pan!A:C,3,FALSE)=Table15[[#Headers],[Pan]],Table15[[#Headers],[Pan]],""),"")</f>
        <v/>
      </c>
      <c r="L99" t="str">
        <f>IFERROR(IF(VLOOKUP(A99,Comunión!A:C,3,FALSE)=Table15[[#Headers],[Comunión]],Table15[[#Headers],[Comunión]],""),"")</f>
        <v/>
      </c>
      <c r="M99" t="str">
        <f>IFERROR(IF(VLOOKUP(A99,Niños!A:C,3,FALSE)=Table15[[#Headers],[Niños]],Table15[[#Headers],[Niños]],""),"")</f>
        <v/>
      </c>
      <c r="N99" t="str">
        <f>IFERROR(IF(VLOOKUP(A99,Laudes!A:C,3,FALSE)=Table15[[#Headers],[Laudes]],Table15[[#Headers],[Laudes]],""),"")</f>
        <v/>
      </c>
      <c r="O99" t="str">
        <f>IFERROR(IF(VLOOKUP(A99,'Nuevo Testamento'!A:C,3,FALSE)=Table15[[#Headers],[Nuevo Testamento]],Table15[[#Headers],[Nuevo Testamento]],""),"")</f>
        <v/>
      </c>
      <c r="P99" t="str">
        <f>IFERROR(IF(VLOOKUP(A99,'Antiguo Testamento'!A:C,3,FALSE)=Table15[[#Headers],[Antiguo Testamento]],Table15[[#Headers],[Antiguo Testamento]],""),"")</f>
        <v/>
      </c>
      <c r="Q99" t="str">
        <f>IFERROR(IF(VLOOKUP(A99,Final!A:C,3,FALSE)=Table15[[#Headers],[Final]],Table15[[#Headers],[Final]],""),"")</f>
        <v/>
      </c>
    </row>
    <row r="100" spans="1:17" x14ac:dyDescent="0.25">
      <c r="A100" t="s">
        <v>167</v>
      </c>
      <c r="B100">
        <v>100</v>
      </c>
      <c r="C100" t="str">
        <f>IFERROR(IF(VLOOKUP(A100,Adviento!A:C,3,FALSE)=Table15[[#Headers],[Adviento]],Table15[[#Headers],[Adviento]],""),"")</f>
        <v/>
      </c>
      <c r="D100" t="str">
        <f>IFERROR(IF(VLOOKUP(A100,Navidad!A:C,3,FALSE)=Table15[[#Headers],[Navidad]],Table15[[#Headers],[Navidad]],""),"")</f>
        <v/>
      </c>
      <c r="E100" t="str">
        <f>IFERROR(IF(VLOOKUP(A100,Cuaresma!A:C,3,FALSE)=Table15[[#Headers],[Cuaresma]],Table15[[#Headers],[Cuaresma]],""),"")</f>
        <v/>
      </c>
      <c r="F100" t="str">
        <f>IFERROR(IF(VLOOKUP(A100,Pascua!A:C,3,FALSE)=Table15[[#Headers],[Pascua]],Table15[[#Headers],[Pascua]],""),"")</f>
        <v/>
      </c>
      <c r="G100" t="str">
        <f>IFERROR(IF(VLOOKUP(A100,Pentecostés!A:C,3,FALSE)=Table15[[#Headers],[Pentecostés]],Table15[[#Headers],[Pentecostés]],""),"")</f>
        <v/>
      </c>
      <c r="H100" t="str">
        <f>IFERROR(IF(VLOOKUP(A100,Entrada!A:C,3,FALSE)=Table15[[#Headers],[Entrada]],Table15[[#Headers],[Entrada]],""),"")</f>
        <v/>
      </c>
      <c r="I100" t="str">
        <f>IFERROR(IF(VLOOKUP(A100,Virgen!A:C,3,FALSE)=Table15[[#Headers],[Virgen]],Table15[[#Headers],[Virgen]],""),"")</f>
        <v/>
      </c>
      <c r="J100" t="str">
        <f>IFERROR(IF(VLOOKUP(A100,Paz!A:C,3,FALSE)=Table15[[#Headers],[Paz]],Table15[[#Headers],[Paz]],""),"")</f>
        <v/>
      </c>
      <c r="K100" t="str">
        <f>IFERROR(IF(VLOOKUP(A100,Pan!A:C,3,FALSE)=Table15[[#Headers],[Pan]],Table15[[#Headers],[Pan]],""),"")</f>
        <v/>
      </c>
      <c r="L100" t="str">
        <f>IFERROR(IF(VLOOKUP(A100,Comunión!A:C,3,FALSE)=Table15[[#Headers],[Comunión]],Table15[[#Headers],[Comunión]],""),"")</f>
        <v/>
      </c>
      <c r="M100" t="str">
        <f>IFERROR(IF(VLOOKUP(A100,Niños!A:C,3,FALSE)=Table15[[#Headers],[Niños]],Table15[[#Headers],[Niños]],""),"")</f>
        <v/>
      </c>
      <c r="N100" t="str">
        <f>IFERROR(IF(VLOOKUP(A100,Laudes!A:C,3,FALSE)=Table15[[#Headers],[Laudes]],Table15[[#Headers],[Laudes]],""),"")</f>
        <v/>
      </c>
      <c r="O100" t="str">
        <f>IFERROR(IF(VLOOKUP(A100,'Nuevo Testamento'!A:C,3,FALSE)=Table15[[#Headers],[Nuevo Testamento]],Table15[[#Headers],[Nuevo Testamento]],""),"")</f>
        <v>Nuevo Testamento</v>
      </c>
      <c r="P100" t="str">
        <f>IFERROR(IF(VLOOKUP(A100,'Antiguo Testamento'!A:C,3,FALSE)=Table15[[#Headers],[Antiguo Testamento]],Table15[[#Headers],[Antiguo Testamento]],""),"")</f>
        <v/>
      </c>
      <c r="Q100" t="str">
        <f>IFERROR(IF(VLOOKUP(A100,Final!A:C,3,FALSE)=Table15[[#Headers],[Final]],Table15[[#Headers],[Final]],""),"")</f>
        <v>Final</v>
      </c>
    </row>
    <row r="101" spans="1:17" x14ac:dyDescent="0.25">
      <c r="A101" t="s">
        <v>56</v>
      </c>
      <c r="B101">
        <v>101</v>
      </c>
      <c r="C101" t="str">
        <f>IFERROR(IF(VLOOKUP(A101,Adviento!A:C,3,FALSE)=Table15[[#Headers],[Adviento]],Table15[[#Headers],[Adviento]],""),"")</f>
        <v/>
      </c>
      <c r="D101" t="str">
        <f>IFERROR(IF(VLOOKUP(A101,Navidad!A:C,3,FALSE)=Table15[[#Headers],[Navidad]],Table15[[#Headers],[Navidad]],""),"")</f>
        <v/>
      </c>
      <c r="E101" t="str">
        <f>IFERROR(IF(VLOOKUP(A101,Cuaresma!A:C,3,FALSE)=Table15[[#Headers],[Cuaresma]],Table15[[#Headers],[Cuaresma]],""),"")</f>
        <v/>
      </c>
      <c r="F101" t="str">
        <f>IFERROR(IF(VLOOKUP(A101,Pascua!A:C,3,FALSE)=Table15[[#Headers],[Pascua]],Table15[[#Headers],[Pascua]],""),"")</f>
        <v>Pascua</v>
      </c>
      <c r="G101" t="str">
        <f>IFERROR(IF(VLOOKUP(A101,Pentecostés!A:C,3,FALSE)=Table15[[#Headers],[Pentecostés]],Table15[[#Headers],[Pentecostés]],""),"")</f>
        <v>Pentecostés</v>
      </c>
      <c r="H101" t="str">
        <f>IFERROR(IF(VLOOKUP(A101,Entrada!A:C,3,FALSE)=Table15[[#Headers],[Entrada]],Table15[[#Headers],[Entrada]],""),"")</f>
        <v/>
      </c>
      <c r="I101" t="str">
        <f>IFERROR(IF(VLOOKUP(A101,Virgen!A:C,3,FALSE)=Table15[[#Headers],[Virgen]],Table15[[#Headers],[Virgen]],""),"")</f>
        <v/>
      </c>
      <c r="J101" t="str">
        <f>IFERROR(IF(VLOOKUP(A101,Paz!A:C,3,FALSE)=Table15[[#Headers],[Paz]],Table15[[#Headers],[Paz]],""),"")</f>
        <v/>
      </c>
      <c r="K101" t="str">
        <f>IFERROR(IF(VLOOKUP(A101,Pan!A:C,3,FALSE)=Table15[[#Headers],[Pan]],Table15[[#Headers],[Pan]],""),"")</f>
        <v/>
      </c>
      <c r="L101" t="str">
        <f>IFERROR(IF(VLOOKUP(A101,Comunión!A:C,3,FALSE)=Table15[[#Headers],[Comunión]],Table15[[#Headers],[Comunión]],""),"")</f>
        <v>Comunión</v>
      </c>
      <c r="M101" t="str">
        <f>IFERROR(IF(VLOOKUP(A101,Niños!A:C,3,FALSE)=Table15[[#Headers],[Niños]],Table15[[#Headers],[Niños]],""),"")</f>
        <v/>
      </c>
      <c r="N101" t="str">
        <f>IFERROR(IF(VLOOKUP(A101,Laudes!A:C,3,FALSE)=Table15[[#Headers],[Laudes]],Table15[[#Headers],[Laudes]],""),"")</f>
        <v/>
      </c>
      <c r="O101" t="str">
        <f>IFERROR(IF(VLOOKUP(A101,'Nuevo Testamento'!A:C,3,FALSE)=Table15[[#Headers],[Nuevo Testamento]],Table15[[#Headers],[Nuevo Testamento]],""),"")</f>
        <v/>
      </c>
      <c r="P101" t="str">
        <f>IFERROR(IF(VLOOKUP(A101,'Antiguo Testamento'!A:C,3,FALSE)=Table15[[#Headers],[Antiguo Testamento]],Table15[[#Headers],[Antiguo Testamento]],""),"")</f>
        <v>Antiguo Testamento</v>
      </c>
      <c r="Q101" t="str">
        <f>IFERROR(IF(VLOOKUP(A101,Final!A:C,3,FALSE)=Table15[[#Headers],[Final]],Table15[[#Headers],[Final]],""),"")</f>
        <v/>
      </c>
    </row>
    <row r="102" spans="1:17" x14ac:dyDescent="0.25">
      <c r="A102" t="s">
        <v>57</v>
      </c>
      <c r="B102">
        <v>102</v>
      </c>
      <c r="C102" t="str">
        <f>IFERROR(IF(VLOOKUP(A102,Adviento!A:C,3,FALSE)=Table15[[#Headers],[Adviento]],Table15[[#Headers],[Adviento]],""),"")</f>
        <v>Adviento</v>
      </c>
      <c r="D102" t="str">
        <f>IFERROR(IF(VLOOKUP(A102,Navidad!A:C,3,FALSE)=Table15[[#Headers],[Navidad]],Table15[[#Headers],[Navidad]],""),"")</f>
        <v>Navidad</v>
      </c>
      <c r="E102" t="str">
        <f>IFERROR(IF(VLOOKUP(A102,Cuaresma!A:C,3,FALSE)=Table15[[#Headers],[Cuaresma]],Table15[[#Headers],[Cuaresma]],""),"")</f>
        <v>Cuaresma</v>
      </c>
      <c r="F102" t="str">
        <f>IFERROR(IF(VLOOKUP(A102,Pascua!A:C,3,FALSE)=Table15[[#Headers],[Pascua]],Table15[[#Headers],[Pascua]],""),"")</f>
        <v/>
      </c>
      <c r="G102" t="str">
        <f>IFERROR(IF(VLOOKUP(A102,Pentecostés!A:C,3,FALSE)=Table15[[#Headers],[Pentecostés]],Table15[[#Headers],[Pentecostés]],""),"")</f>
        <v/>
      </c>
      <c r="H102" t="str">
        <f>IFERROR(IF(VLOOKUP(A102,Entrada!A:C,3,FALSE)=Table15[[#Headers],[Entrada]],Table15[[#Headers],[Entrada]],""),"")</f>
        <v/>
      </c>
      <c r="I102" t="str">
        <f>IFERROR(IF(VLOOKUP(A102,Virgen!A:C,3,FALSE)=Table15[[#Headers],[Virgen]],Table15[[#Headers],[Virgen]],""),"")</f>
        <v/>
      </c>
      <c r="J102" t="str">
        <f>IFERROR(IF(VLOOKUP(A102,Paz!A:C,3,FALSE)=Table15[[#Headers],[Paz]],Table15[[#Headers],[Paz]],""),"")</f>
        <v/>
      </c>
      <c r="K102" t="str">
        <f>IFERROR(IF(VLOOKUP(A102,Pan!A:C,3,FALSE)=Table15[[#Headers],[Pan]],Table15[[#Headers],[Pan]],""),"")</f>
        <v/>
      </c>
      <c r="L102" t="str">
        <f>IFERROR(IF(VLOOKUP(A102,Comunión!A:C,3,FALSE)=Table15[[#Headers],[Comunión]],Table15[[#Headers],[Comunión]],""),"")</f>
        <v/>
      </c>
      <c r="M102" t="str">
        <f>IFERROR(IF(VLOOKUP(A102,Niños!A:C,3,FALSE)=Table15[[#Headers],[Niños]],Table15[[#Headers],[Niños]],""),"")</f>
        <v/>
      </c>
      <c r="N102" t="str">
        <f>IFERROR(IF(VLOOKUP(A102,Laudes!A:C,3,FALSE)=Table15[[#Headers],[Laudes]],Table15[[#Headers],[Laudes]],""),"")</f>
        <v>Laudes</v>
      </c>
      <c r="O102" t="str">
        <f>IFERROR(IF(VLOOKUP(A102,'Nuevo Testamento'!A:C,3,FALSE)=Table15[[#Headers],[Nuevo Testamento]],Table15[[#Headers],[Nuevo Testamento]],""),"")</f>
        <v>Nuevo Testamento</v>
      </c>
      <c r="P102" t="str">
        <f>IFERROR(IF(VLOOKUP(A102,'Antiguo Testamento'!A:C,3,FALSE)=Table15[[#Headers],[Antiguo Testamento]],Table15[[#Headers],[Antiguo Testamento]],""),"")</f>
        <v/>
      </c>
      <c r="Q102" t="str">
        <f>IFERROR(IF(VLOOKUP(A102,Final!A:C,3,FALSE)=Table15[[#Headers],[Final]],Table15[[#Headers],[Final]],""),"")</f>
        <v/>
      </c>
    </row>
    <row r="103" spans="1:17" x14ac:dyDescent="0.25">
      <c r="A103" t="s">
        <v>252</v>
      </c>
      <c r="B103">
        <v>103</v>
      </c>
      <c r="C103" t="str">
        <f>IFERROR(IF(VLOOKUP(A103,Adviento!A:C,3,FALSE)=Table15[[#Headers],[Adviento]],Table15[[#Headers],[Adviento]],""),"")</f>
        <v/>
      </c>
      <c r="D103" t="str">
        <f>IFERROR(IF(VLOOKUP(A103,Navidad!A:C,3,FALSE)=Table15[[#Headers],[Navidad]],Table15[[#Headers],[Navidad]],""),"")</f>
        <v/>
      </c>
      <c r="E103" t="str">
        <f>IFERROR(IF(VLOOKUP(A103,Cuaresma!A:C,3,FALSE)=Table15[[#Headers],[Cuaresma]],Table15[[#Headers],[Cuaresma]],""),"")</f>
        <v/>
      </c>
      <c r="F103" t="str">
        <f>IFERROR(IF(VLOOKUP(A103,Pascua!A:C,3,FALSE)=Table15[[#Headers],[Pascua]],Table15[[#Headers],[Pascua]],""),"")</f>
        <v>Pascua</v>
      </c>
      <c r="G103" t="str">
        <f>IFERROR(IF(VLOOKUP(A103,Pentecostés!A:C,3,FALSE)=Table15[[#Headers],[Pentecostés]],Table15[[#Headers],[Pentecostés]],""),"")</f>
        <v>Pentecostés</v>
      </c>
      <c r="H103" t="str">
        <f>IFERROR(IF(VLOOKUP(A103,Entrada!A:C,3,FALSE)=Table15[[#Headers],[Entrada]],Table15[[#Headers],[Entrada]],""),"")</f>
        <v/>
      </c>
      <c r="I103" t="str">
        <f>IFERROR(IF(VLOOKUP(A103,Virgen!A:C,3,FALSE)=Table15[[#Headers],[Virgen]],Table15[[#Headers],[Virgen]],""),"")</f>
        <v/>
      </c>
      <c r="J103" t="str">
        <f>IFERROR(IF(VLOOKUP(A103,Paz!A:C,3,FALSE)=Table15[[#Headers],[Paz]],Table15[[#Headers],[Paz]],""),"")</f>
        <v/>
      </c>
      <c r="K103" t="str">
        <f>IFERROR(IF(VLOOKUP(A103,Pan!A:C,3,FALSE)=Table15[[#Headers],[Pan]],Table15[[#Headers],[Pan]],""),"")</f>
        <v/>
      </c>
      <c r="L103" t="str">
        <f>IFERROR(IF(VLOOKUP(A103,Comunión!A:C,3,FALSE)=Table15[[#Headers],[Comunión]],Table15[[#Headers],[Comunión]],""),"")</f>
        <v/>
      </c>
      <c r="M103" t="str">
        <f>IFERROR(IF(VLOOKUP(A103,Niños!A:C,3,FALSE)=Table15[[#Headers],[Niños]],Table15[[#Headers],[Niños]],""),"")</f>
        <v/>
      </c>
      <c r="N103" t="str">
        <f>IFERROR(IF(VLOOKUP(A103,Laudes!A:C,3,FALSE)=Table15[[#Headers],[Laudes]],Table15[[#Headers],[Laudes]],""),"")</f>
        <v/>
      </c>
      <c r="O103" t="str">
        <f>IFERROR(IF(VLOOKUP(A103,'Nuevo Testamento'!A:C,3,FALSE)=Table15[[#Headers],[Nuevo Testamento]],Table15[[#Headers],[Nuevo Testamento]],""),"")</f>
        <v/>
      </c>
      <c r="P103" t="str">
        <f>IFERROR(IF(VLOOKUP(A103,'Antiguo Testamento'!A:C,3,FALSE)=Table15[[#Headers],[Antiguo Testamento]],Table15[[#Headers],[Antiguo Testamento]],""),"")</f>
        <v/>
      </c>
      <c r="Q103" t="str">
        <f>IFERROR(IF(VLOOKUP(A103,Final!A:C,3,FALSE)=Table15[[#Headers],[Final]],Table15[[#Headers],[Final]],""),"")</f>
        <v/>
      </c>
    </row>
    <row r="104" spans="1:17" x14ac:dyDescent="0.25">
      <c r="A104" t="s">
        <v>168</v>
      </c>
      <c r="B104">
        <v>105</v>
      </c>
      <c r="C104" t="str">
        <f>IFERROR(IF(VLOOKUP(A104,Adviento!A:C,3,FALSE)=Table15[[#Headers],[Adviento]],Table15[[#Headers],[Adviento]],""),"")</f>
        <v/>
      </c>
      <c r="D104" t="str">
        <f>IFERROR(IF(VLOOKUP(A104,Navidad!A:C,3,FALSE)=Table15[[#Headers],[Navidad]],Table15[[#Headers],[Navidad]],""),"")</f>
        <v/>
      </c>
      <c r="E104" t="str">
        <f>IFERROR(IF(VLOOKUP(A104,Cuaresma!A:C,3,FALSE)=Table15[[#Headers],[Cuaresma]],Table15[[#Headers],[Cuaresma]],""),"")</f>
        <v>Cuaresma</v>
      </c>
      <c r="F104" t="str">
        <f>IFERROR(IF(VLOOKUP(A104,Pascua!A:C,3,FALSE)=Table15[[#Headers],[Pascua]],Table15[[#Headers],[Pascua]],""),"")</f>
        <v/>
      </c>
      <c r="G104" t="str">
        <f>IFERROR(IF(VLOOKUP(A104,Pentecostés!A:C,3,FALSE)=Table15[[#Headers],[Pentecostés]],Table15[[#Headers],[Pentecostés]],""),"")</f>
        <v/>
      </c>
      <c r="H104" t="str">
        <f>IFERROR(IF(VLOOKUP(A104,Entrada!A:C,3,FALSE)=Table15[[#Headers],[Entrada]],Table15[[#Headers],[Entrada]],""),"")</f>
        <v>Entrada</v>
      </c>
      <c r="I104" t="str">
        <f>IFERROR(IF(VLOOKUP(A104,Virgen!A:C,3,FALSE)=Table15[[#Headers],[Virgen]],Table15[[#Headers],[Virgen]],""),"")</f>
        <v/>
      </c>
      <c r="J104" t="str">
        <f>IFERROR(IF(VLOOKUP(A104,Paz!A:C,3,FALSE)=Table15[[#Headers],[Paz]],Table15[[#Headers],[Paz]],""),"")</f>
        <v/>
      </c>
      <c r="K104" t="str">
        <f>IFERROR(IF(VLOOKUP(A104,Pan!A:C,3,FALSE)=Table15[[#Headers],[Pan]],Table15[[#Headers],[Pan]],""),"")</f>
        <v/>
      </c>
      <c r="L104" t="str">
        <f>IFERROR(IF(VLOOKUP(A104,Comunión!A:C,3,FALSE)=Table15[[#Headers],[Comunión]],Table15[[#Headers],[Comunión]],""),"")</f>
        <v/>
      </c>
      <c r="M104" t="str">
        <f>IFERROR(IF(VLOOKUP(A104,Niños!A:C,3,FALSE)=Table15[[#Headers],[Niños]],Table15[[#Headers],[Niños]],""),"")</f>
        <v/>
      </c>
      <c r="N104" t="str">
        <f>IFERROR(IF(VLOOKUP(A104,Laudes!A:C,3,FALSE)=Table15[[#Headers],[Laudes]],Table15[[#Headers],[Laudes]],""),"")</f>
        <v>Laudes</v>
      </c>
      <c r="O104" t="str">
        <f>IFERROR(IF(VLOOKUP(A104,'Nuevo Testamento'!A:C,3,FALSE)=Table15[[#Headers],[Nuevo Testamento]],Table15[[#Headers],[Nuevo Testamento]],""),"")</f>
        <v/>
      </c>
      <c r="P104" t="str">
        <f>IFERROR(IF(VLOOKUP(A104,'Antiguo Testamento'!A:C,3,FALSE)=Table15[[#Headers],[Antiguo Testamento]],Table15[[#Headers],[Antiguo Testamento]],""),"")</f>
        <v>Antiguo Testamento</v>
      </c>
      <c r="Q104" t="str">
        <f>IFERROR(IF(VLOOKUP(A104,Final!A:C,3,FALSE)=Table15[[#Headers],[Final]],Table15[[#Headers],[Final]],""),"")</f>
        <v/>
      </c>
    </row>
    <row r="105" spans="1:17" x14ac:dyDescent="0.25">
      <c r="A105" t="s">
        <v>169</v>
      </c>
      <c r="B105">
        <v>106</v>
      </c>
      <c r="C105" t="str">
        <f>IFERROR(IF(VLOOKUP(A105,Adviento!A:C,3,FALSE)=Table15[[#Headers],[Adviento]],Table15[[#Headers],[Adviento]],""),"")</f>
        <v>Adviento</v>
      </c>
      <c r="D105" t="str">
        <f>IFERROR(IF(VLOOKUP(A105,Navidad!A:C,3,FALSE)=Table15[[#Headers],[Navidad]],Table15[[#Headers],[Navidad]],""),"")</f>
        <v>Navidad</v>
      </c>
      <c r="E105" t="str">
        <f>IFERROR(IF(VLOOKUP(A105,Cuaresma!A:C,3,FALSE)=Table15[[#Headers],[Cuaresma]],Table15[[#Headers],[Cuaresma]],""),"")</f>
        <v>Cuaresma</v>
      </c>
      <c r="F105" t="str">
        <f>IFERROR(IF(VLOOKUP(A105,Pascua!A:C,3,FALSE)=Table15[[#Headers],[Pascua]],Table15[[#Headers],[Pascua]],""),"")</f>
        <v/>
      </c>
      <c r="G105" t="str">
        <f>IFERROR(IF(VLOOKUP(A105,Pentecostés!A:C,3,FALSE)=Table15[[#Headers],[Pentecostés]],Table15[[#Headers],[Pentecostés]],""),"")</f>
        <v/>
      </c>
      <c r="H105" t="str">
        <f>IFERROR(IF(VLOOKUP(A105,Entrada!A:C,3,FALSE)=Table15[[#Headers],[Entrada]],Table15[[#Headers],[Entrada]],""),"")</f>
        <v>Entrada</v>
      </c>
      <c r="I105" t="str">
        <f>IFERROR(IF(VLOOKUP(A105,Virgen!A:C,3,FALSE)=Table15[[#Headers],[Virgen]],Table15[[#Headers],[Virgen]],""),"")</f>
        <v/>
      </c>
      <c r="J105" t="str">
        <f>IFERROR(IF(VLOOKUP(A105,Paz!A:C,3,FALSE)=Table15[[#Headers],[Paz]],Table15[[#Headers],[Paz]],""),"")</f>
        <v/>
      </c>
      <c r="K105" t="str">
        <f>IFERROR(IF(VLOOKUP(A105,Pan!A:C,3,FALSE)=Table15[[#Headers],[Pan]],Table15[[#Headers],[Pan]],""),"")</f>
        <v/>
      </c>
      <c r="L105" t="str">
        <f>IFERROR(IF(VLOOKUP(A105,Comunión!A:C,3,FALSE)=Table15[[#Headers],[Comunión]],Table15[[#Headers],[Comunión]],""),"")</f>
        <v/>
      </c>
      <c r="M105" t="str">
        <f>IFERROR(IF(VLOOKUP(A105,Niños!A:C,3,FALSE)=Table15[[#Headers],[Niños]],Table15[[#Headers],[Niños]],""),"")</f>
        <v/>
      </c>
      <c r="N105" t="str">
        <f>IFERROR(IF(VLOOKUP(A105,Laudes!A:C,3,FALSE)=Table15[[#Headers],[Laudes]],Table15[[#Headers],[Laudes]],""),"")</f>
        <v>Laudes</v>
      </c>
      <c r="O105" t="str">
        <f>IFERROR(IF(VLOOKUP(A105,'Nuevo Testamento'!A:C,3,FALSE)=Table15[[#Headers],[Nuevo Testamento]],Table15[[#Headers],[Nuevo Testamento]],""),"")</f>
        <v/>
      </c>
      <c r="P105" t="str">
        <f>IFERROR(IF(VLOOKUP(A105,'Antiguo Testamento'!A:C,3,FALSE)=Table15[[#Headers],[Antiguo Testamento]],Table15[[#Headers],[Antiguo Testamento]],""),"")</f>
        <v/>
      </c>
      <c r="Q105" t="str">
        <f>IFERROR(IF(VLOOKUP(A105,Final!A:C,3,FALSE)=Table15[[#Headers],[Final]],Table15[[#Headers],[Final]],""),"")</f>
        <v/>
      </c>
    </row>
    <row r="106" spans="1:17" x14ac:dyDescent="0.25">
      <c r="A106" t="s">
        <v>170</v>
      </c>
      <c r="B106">
        <v>107</v>
      </c>
      <c r="C106" t="str">
        <f>IFERROR(IF(VLOOKUP(A106,Adviento!A:C,3,FALSE)=Table15[[#Headers],[Adviento]],Table15[[#Headers],[Adviento]],""),"")</f>
        <v>Adviento</v>
      </c>
      <c r="D106" t="str">
        <f>IFERROR(IF(VLOOKUP(A106,Navidad!A:C,3,FALSE)=Table15[[#Headers],[Navidad]],Table15[[#Headers],[Navidad]],""),"")</f>
        <v>Navidad</v>
      </c>
      <c r="E106" t="str">
        <f>IFERROR(IF(VLOOKUP(A106,Cuaresma!A:C,3,FALSE)=Table15[[#Headers],[Cuaresma]],Table15[[#Headers],[Cuaresma]],""),"")</f>
        <v/>
      </c>
      <c r="F106" t="str">
        <f>IFERROR(IF(VLOOKUP(A106,Pascua!A:C,3,FALSE)=Table15[[#Headers],[Pascua]],Table15[[#Headers],[Pascua]],""),"")</f>
        <v>Pascua</v>
      </c>
      <c r="G106" t="str">
        <f>IFERROR(IF(VLOOKUP(A106,Pentecostés!A:C,3,FALSE)=Table15[[#Headers],[Pentecostés]],Table15[[#Headers],[Pentecostés]],""),"")</f>
        <v>Pentecostés</v>
      </c>
      <c r="H106" t="str">
        <f>IFERROR(IF(VLOOKUP(A106,Entrada!A:C,3,FALSE)=Table15[[#Headers],[Entrada]],Table15[[#Headers],[Entrada]],""),"")</f>
        <v/>
      </c>
      <c r="I106" t="str">
        <f>IFERROR(IF(VLOOKUP(A106,Virgen!A:C,3,FALSE)=Table15[[#Headers],[Virgen]],Table15[[#Headers],[Virgen]],""),"")</f>
        <v/>
      </c>
      <c r="J106" t="str">
        <f>IFERROR(IF(VLOOKUP(A106,Paz!A:C,3,FALSE)=Table15[[#Headers],[Paz]],Table15[[#Headers],[Paz]],""),"")</f>
        <v/>
      </c>
      <c r="K106" t="str">
        <f>IFERROR(IF(VLOOKUP(A106,Pan!A:C,3,FALSE)=Table15[[#Headers],[Pan]],Table15[[#Headers],[Pan]],""),"")</f>
        <v/>
      </c>
      <c r="L106" t="str">
        <f>IFERROR(IF(VLOOKUP(A106,Comunión!A:C,3,FALSE)=Table15[[#Headers],[Comunión]],Table15[[#Headers],[Comunión]],""),"")</f>
        <v/>
      </c>
      <c r="M106" t="str">
        <f>IFERROR(IF(VLOOKUP(A106,Niños!A:C,3,FALSE)=Table15[[#Headers],[Niños]],Table15[[#Headers],[Niños]],""),"")</f>
        <v/>
      </c>
      <c r="N106" t="str">
        <f>IFERROR(IF(VLOOKUP(A106,Laudes!A:C,3,FALSE)=Table15[[#Headers],[Laudes]],Table15[[#Headers],[Laudes]],""),"")</f>
        <v/>
      </c>
      <c r="O106" t="str">
        <f>IFERROR(IF(VLOOKUP(A106,'Nuevo Testamento'!A:C,3,FALSE)=Table15[[#Headers],[Nuevo Testamento]],Table15[[#Headers],[Nuevo Testamento]],""),"")</f>
        <v>Nuevo Testamento</v>
      </c>
      <c r="P106" t="str">
        <f>IFERROR(IF(VLOOKUP(A106,'Antiguo Testamento'!A:C,3,FALSE)=Table15[[#Headers],[Antiguo Testamento]],Table15[[#Headers],[Antiguo Testamento]],""),"")</f>
        <v/>
      </c>
      <c r="Q106" t="str">
        <f>IFERROR(IF(VLOOKUP(A106,Final!A:C,3,FALSE)=Table15[[#Headers],[Final]],Table15[[#Headers],[Final]],""),"")</f>
        <v>Final</v>
      </c>
    </row>
    <row r="107" spans="1:17" x14ac:dyDescent="0.25">
      <c r="A107" t="s">
        <v>60</v>
      </c>
      <c r="B107">
        <v>108</v>
      </c>
      <c r="C107" t="str">
        <f>IFERROR(IF(VLOOKUP(A107,Adviento!A:C,3,FALSE)=Table15[[#Headers],[Adviento]],Table15[[#Headers],[Adviento]],""),"")</f>
        <v/>
      </c>
      <c r="D107" t="str">
        <f>IFERROR(IF(VLOOKUP(A107,Navidad!A:C,3,FALSE)=Table15[[#Headers],[Navidad]],Table15[[#Headers],[Navidad]],""),"")</f>
        <v/>
      </c>
      <c r="E107" t="str">
        <f>IFERROR(IF(VLOOKUP(A107,Cuaresma!A:C,3,FALSE)=Table15[[#Headers],[Cuaresma]],Table15[[#Headers],[Cuaresma]],""),"")</f>
        <v/>
      </c>
      <c r="F107" t="str">
        <f>IFERROR(IF(VLOOKUP(A107,Pascua!A:C,3,FALSE)=Table15[[#Headers],[Pascua]],Table15[[#Headers],[Pascua]],""),"")</f>
        <v/>
      </c>
      <c r="G107" t="str">
        <f>IFERROR(IF(VLOOKUP(A107,Pentecostés!A:C,3,FALSE)=Table15[[#Headers],[Pentecostés]],Table15[[#Headers],[Pentecostés]],""),"")</f>
        <v/>
      </c>
      <c r="H107" t="str">
        <f>IFERROR(IF(VLOOKUP(A107,Entrada!A:C,3,FALSE)=Table15[[#Headers],[Entrada]],Table15[[#Headers],[Entrada]],""),"")</f>
        <v/>
      </c>
      <c r="I107" t="str">
        <f>IFERROR(IF(VLOOKUP(A107,Virgen!A:C,3,FALSE)=Table15[[#Headers],[Virgen]],Table15[[#Headers],[Virgen]],""),"")</f>
        <v>Virgen</v>
      </c>
      <c r="J107" t="str">
        <f>IFERROR(IF(VLOOKUP(A107,Paz!A:C,3,FALSE)=Table15[[#Headers],[Paz]],Table15[[#Headers],[Paz]],""),"")</f>
        <v/>
      </c>
      <c r="K107" t="str">
        <f>IFERROR(IF(VLOOKUP(A107,Pan!A:C,3,FALSE)=Table15[[#Headers],[Pan]],Table15[[#Headers],[Pan]],""),"")</f>
        <v/>
      </c>
      <c r="L107" t="str">
        <f>IFERROR(IF(VLOOKUP(A107,Comunión!A:C,3,FALSE)=Table15[[#Headers],[Comunión]],Table15[[#Headers],[Comunión]],""),"")</f>
        <v/>
      </c>
      <c r="M107" t="str">
        <f>IFERROR(IF(VLOOKUP(A107,Niños!A:C,3,FALSE)=Table15[[#Headers],[Niños]],Table15[[#Headers],[Niños]],""),"")</f>
        <v/>
      </c>
      <c r="N107" t="str">
        <f>IFERROR(IF(VLOOKUP(A107,Laudes!A:C,3,FALSE)=Table15[[#Headers],[Laudes]],Table15[[#Headers],[Laudes]],""),"")</f>
        <v>Laudes</v>
      </c>
      <c r="O107" t="str">
        <f>IFERROR(IF(VLOOKUP(A107,'Nuevo Testamento'!A:C,3,FALSE)=Table15[[#Headers],[Nuevo Testamento]],Table15[[#Headers],[Nuevo Testamento]],""),"")</f>
        <v>Nuevo Testamento</v>
      </c>
      <c r="P107" t="str">
        <f>IFERROR(IF(VLOOKUP(A107,'Antiguo Testamento'!A:C,3,FALSE)=Table15[[#Headers],[Antiguo Testamento]],Table15[[#Headers],[Antiguo Testamento]],""),"")</f>
        <v/>
      </c>
      <c r="Q107" t="str">
        <f>IFERROR(IF(VLOOKUP(A107,Final!A:C,3,FALSE)=Table15[[#Headers],[Final]],Table15[[#Headers],[Final]],""),"")</f>
        <v/>
      </c>
    </row>
    <row r="108" spans="1:17" x14ac:dyDescent="0.25">
      <c r="A108" t="s">
        <v>62</v>
      </c>
      <c r="B108">
        <v>109</v>
      </c>
      <c r="C108" t="str">
        <f>IFERROR(IF(VLOOKUP(A108,Adviento!A:C,3,FALSE)=Table15[[#Headers],[Adviento]],Table15[[#Headers],[Adviento]],""),"")</f>
        <v/>
      </c>
      <c r="D108" t="str">
        <f>IFERROR(IF(VLOOKUP(A108,Navidad!A:C,3,FALSE)=Table15[[#Headers],[Navidad]],Table15[[#Headers],[Navidad]],""),"")</f>
        <v/>
      </c>
      <c r="E108" t="str">
        <f>IFERROR(IF(VLOOKUP(A108,Cuaresma!A:C,3,FALSE)=Table15[[#Headers],[Cuaresma]],Table15[[#Headers],[Cuaresma]],""),"")</f>
        <v/>
      </c>
      <c r="F108" t="str">
        <f>IFERROR(IF(VLOOKUP(A108,Pascua!A:C,3,FALSE)=Table15[[#Headers],[Pascua]],Table15[[#Headers],[Pascua]],""),"")</f>
        <v>Pascua</v>
      </c>
      <c r="G108" t="str">
        <f>IFERROR(IF(VLOOKUP(A108,Pentecostés!A:C,3,FALSE)=Table15[[#Headers],[Pentecostés]],Table15[[#Headers],[Pentecostés]],""),"")</f>
        <v>Pentecostés</v>
      </c>
      <c r="H108" t="str">
        <f>IFERROR(IF(VLOOKUP(A108,Entrada!A:C,3,FALSE)=Table15[[#Headers],[Entrada]],Table15[[#Headers],[Entrada]],""),"")</f>
        <v/>
      </c>
      <c r="I108" t="str">
        <f>IFERROR(IF(VLOOKUP(A108,Virgen!A:C,3,FALSE)=Table15[[#Headers],[Virgen]],Table15[[#Headers],[Virgen]],""),"")</f>
        <v>Virgen</v>
      </c>
      <c r="J108" t="str">
        <f>IFERROR(IF(VLOOKUP(A108,Paz!A:C,3,FALSE)=Table15[[#Headers],[Paz]],Table15[[#Headers],[Paz]],""),"")</f>
        <v/>
      </c>
      <c r="K108" t="str">
        <f>IFERROR(IF(VLOOKUP(A108,Pan!A:C,3,FALSE)=Table15[[#Headers],[Pan]],Table15[[#Headers],[Pan]],""),"")</f>
        <v/>
      </c>
      <c r="L108" t="str">
        <f>IFERROR(IF(VLOOKUP(A108,Comunión!A:C,3,FALSE)=Table15[[#Headers],[Comunión]],Table15[[#Headers],[Comunión]],""),"")</f>
        <v>Comunión</v>
      </c>
      <c r="M108" t="str">
        <f>IFERROR(IF(VLOOKUP(A108,Niños!A:C,3,FALSE)=Table15[[#Headers],[Niños]],Table15[[#Headers],[Niños]],""),"")</f>
        <v/>
      </c>
      <c r="N108" t="str">
        <f>IFERROR(IF(VLOOKUP(A108,Laudes!A:C,3,FALSE)=Table15[[#Headers],[Laudes]],Table15[[#Headers],[Laudes]],""),"")</f>
        <v/>
      </c>
      <c r="O108" t="str">
        <f>IFERROR(IF(VLOOKUP(A108,'Nuevo Testamento'!A:C,3,FALSE)=Table15[[#Headers],[Nuevo Testamento]],Table15[[#Headers],[Nuevo Testamento]],""),"")</f>
        <v>Nuevo Testamento</v>
      </c>
      <c r="P108" t="str">
        <f>IFERROR(IF(VLOOKUP(A108,'Antiguo Testamento'!A:C,3,FALSE)=Table15[[#Headers],[Antiguo Testamento]],Table15[[#Headers],[Antiguo Testamento]],""),"")</f>
        <v/>
      </c>
      <c r="Q108" t="str">
        <f>IFERROR(IF(VLOOKUP(A108,Final!A:C,3,FALSE)=Table15[[#Headers],[Final]],Table15[[#Headers],[Final]],""),"")</f>
        <v/>
      </c>
    </row>
    <row r="109" spans="1:17" x14ac:dyDescent="0.25">
      <c r="A109" t="s">
        <v>61</v>
      </c>
      <c r="B109">
        <v>110</v>
      </c>
      <c r="C109" t="str">
        <f>IFERROR(IF(VLOOKUP(A109,Adviento!A:C,3,FALSE)=Table15[[#Headers],[Adviento]],Table15[[#Headers],[Adviento]],""),"")</f>
        <v/>
      </c>
      <c r="D109" t="str">
        <f>IFERROR(IF(VLOOKUP(A109,Navidad!A:C,3,FALSE)=Table15[[#Headers],[Navidad]],Table15[[#Headers],[Navidad]],""),"")</f>
        <v/>
      </c>
      <c r="E109" t="str">
        <f>IFERROR(IF(VLOOKUP(A109,Cuaresma!A:C,3,FALSE)=Table15[[#Headers],[Cuaresma]],Table15[[#Headers],[Cuaresma]],""),"")</f>
        <v/>
      </c>
      <c r="F109" t="str">
        <f>IFERROR(IF(VLOOKUP(A109,Pascua!A:C,3,FALSE)=Table15[[#Headers],[Pascua]],Table15[[#Headers],[Pascua]],""),"")</f>
        <v/>
      </c>
      <c r="G109" t="str">
        <f>IFERROR(IF(VLOOKUP(A109,Pentecostés!A:C,3,FALSE)=Table15[[#Headers],[Pentecostés]],Table15[[#Headers],[Pentecostés]],""),"")</f>
        <v/>
      </c>
      <c r="H109" t="str">
        <f>IFERROR(IF(VLOOKUP(A109,Entrada!A:C,3,FALSE)=Table15[[#Headers],[Entrada]],Table15[[#Headers],[Entrada]],""),"")</f>
        <v/>
      </c>
      <c r="I109" t="str">
        <f>IFERROR(IF(VLOOKUP(A109,Virgen!A:C,3,FALSE)=Table15[[#Headers],[Virgen]],Table15[[#Headers],[Virgen]],""),"")</f>
        <v>Virgen</v>
      </c>
      <c r="J109" t="str">
        <f>IFERROR(IF(VLOOKUP(A109,Paz!A:C,3,FALSE)=Table15[[#Headers],[Paz]],Table15[[#Headers],[Paz]],""),"")</f>
        <v/>
      </c>
      <c r="K109" t="str">
        <f>IFERROR(IF(VLOOKUP(A109,Pan!A:C,3,FALSE)=Table15[[#Headers],[Pan]],Table15[[#Headers],[Pan]],""),"")</f>
        <v/>
      </c>
      <c r="L109" t="str">
        <f>IFERROR(IF(VLOOKUP(A109,Comunión!A:C,3,FALSE)=Table15[[#Headers],[Comunión]],Table15[[#Headers],[Comunión]],""),"")</f>
        <v/>
      </c>
      <c r="M109" t="str">
        <f>IFERROR(IF(VLOOKUP(A109,Niños!A:C,3,FALSE)=Table15[[#Headers],[Niños]],Table15[[#Headers],[Niños]],""),"")</f>
        <v/>
      </c>
      <c r="N109" t="str">
        <f>IFERROR(IF(VLOOKUP(A109,Laudes!A:C,3,FALSE)=Table15[[#Headers],[Laudes]],Table15[[#Headers],[Laudes]],""),"")</f>
        <v/>
      </c>
      <c r="O109" t="str">
        <f>IFERROR(IF(VLOOKUP(A109,'Nuevo Testamento'!A:C,3,FALSE)=Table15[[#Headers],[Nuevo Testamento]],Table15[[#Headers],[Nuevo Testamento]],""),"")</f>
        <v/>
      </c>
      <c r="P109" t="str">
        <f>IFERROR(IF(VLOOKUP(A109,'Antiguo Testamento'!A:C,3,FALSE)=Table15[[#Headers],[Antiguo Testamento]],Table15[[#Headers],[Antiguo Testamento]],""),"")</f>
        <v/>
      </c>
      <c r="Q109" t="str">
        <f>IFERROR(IF(VLOOKUP(A109,Final!A:C,3,FALSE)=Table15[[#Headers],[Final]],Table15[[#Headers],[Final]],""),"")</f>
        <v/>
      </c>
    </row>
    <row r="110" spans="1:17" x14ac:dyDescent="0.25">
      <c r="A110" t="s">
        <v>63</v>
      </c>
      <c r="B110">
        <v>111</v>
      </c>
      <c r="C110" t="str">
        <f>IFERROR(IF(VLOOKUP(A110,Adviento!A:C,3,FALSE)=Table15[[#Headers],[Adviento]],Table15[[#Headers],[Adviento]],""),"")</f>
        <v/>
      </c>
      <c r="D110" t="str">
        <f>IFERROR(IF(VLOOKUP(A110,Navidad!A:C,3,FALSE)=Table15[[#Headers],[Navidad]],Table15[[#Headers],[Navidad]],""),"")</f>
        <v/>
      </c>
      <c r="E110" t="str">
        <f>IFERROR(IF(VLOOKUP(A110,Cuaresma!A:C,3,FALSE)=Table15[[#Headers],[Cuaresma]],Table15[[#Headers],[Cuaresma]],""),"")</f>
        <v>Cuaresma</v>
      </c>
      <c r="F110" t="str">
        <f>IFERROR(IF(VLOOKUP(A110,Pascua!A:C,3,FALSE)=Table15[[#Headers],[Pascua]],Table15[[#Headers],[Pascua]],""),"")</f>
        <v/>
      </c>
      <c r="G110" t="str">
        <f>IFERROR(IF(VLOOKUP(A110,Pentecostés!A:C,3,FALSE)=Table15[[#Headers],[Pentecostés]],Table15[[#Headers],[Pentecostés]],""),"")</f>
        <v/>
      </c>
      <c r="H110" t="str">
        <f>IFERROR(IF(VLOOKUP(A110,Entrada!A:C,3,FALSE)=Table15[[#Headers],[Entrada]],Table15[[#Headers],[Entrada]],""),"")</f>
        <v/>
      </c>
      <c r="I110" t="str">
        <f>IFERROR(IF(VLOOKUP(A110,Virgen!A:C,3,FALSE)=Table15[[#Headers],[Virgen]],Table15[[#Headers],[Virgen]],""),"")</f>
        <v>Virgen</v>
      </c>
      <c r="J110" t="str">
        <f>IFERROR(IF(VLOOKUP(A110,Paz!A:C,3,FALSE)=Table15[[#Headers],[Paz]],Table15[[#Headers],[Paz]],""),"")</f>
        <v/>
      </c>
      <c r="K110" t="str">
        <f>IFERROR(IF(VLOOKUP(A110,Pan!A:C,3,FALSE)=Table15[[#Headers],[Pan]],Table15[[#Headers],[Pan]],""),"")</f>
        <v>Pan</v>
      </c>
      <c r="L110" t="str">
        <f>IFERROR(IF(VLOOKUP(A110,Comunión!A:C,3,FALSE)=Table15[[#Headers],[Comunión]],Table15[[#Headers],[Comunión]],""),"")</f>
        <v/>
      </c>
      <c r="M110" t="str">
        <f>IFERROR(IF(VLOOKUP(A110,Niños!A:C,3,FALSE)=Table15[[#Headers],[Niños]],Table15[[#Headers],[Niños]],""),"")</f>
        <v/>
      </c>
      <c r="N110" t="str">
        <f>IFERROR(IF(VLOOKUP(A110,Laudes!A:C,3,FALSE)=Table15[[#Headers],[Laudes]],Table15[[#Headers],[Laudes]],""),"")</f>
        <v/>
      </c>
      <c r="O110" t="str">
        <f>IFERROR(IF(VLOOKUP(A110,'Nuevo Testamento'!A:C,3,FALSE)=Table15[[#Headers],[Nuevo Testamento]],Table15[[#Headers],[Nuevo Testamento]],""),"")</f>
        <v>Nuevo Testamento</v>
      </c>
      <c r="P110" t="str">
        <f>IFERROR(IF(VLOOKUP(A110,'Antiguo Testamento'!A:C,3,FALSE)=Table15[[#Headers],[Antiguo Testamento]],Table15[[#Headers],[Antiguo Testamento]],""),"")</f>
        <v/>
      </c>
      <c r="Q110" t="str">
        <f>IFERROR(IF(VLOOKUP(A110,Final!A:C,3,FALSE)=Table15[[#Headers],[Final]],Table15[[#Headers],[Final]],""),"")</f>
        <v/>
      </c>
    </row>
    <row r="111" spans="1:17" x14ac:dyDescent="0.25">
      <c r="A111" t="s">
        <v>64</v>
      </c>
      <c r="B111">
        <v>112</v>
      </c>
      <c r="C111" t="str">
        <f>IFERROR(IF(VLOOKUP(A111,Adviento!A:C,3,FALSE)=Table15[[#Headers],[Adviento]],Table15[[#Headers],[Adviento]],""),"")</f>
        <v>Adviento</v>
      </c>
      <c r="D111" t="str">
        <f>IFERROR(IF(VLOOKUP(A111,Navidad!A:C,3,FALSE)=Table15[[#Headers],[Navidad]],Table15[[#Headers],[Navidad]],""),"")</f>
        <v>Navidad</v>
      </c>
      <c r="E111" t="str">
        <f>IFERROR(IF(VLOOKUP(A111,Cuaresma!A:C,3,FALSE)=Table15[[#Headers],[Cuaresma]],Table15[[#Headers],[Cuaresma]],""),"")</f>
        <v/>
      </c>
      <c r="F111" t="str">
        <f>IFERROR(IF(VLOOKUP(A111,Pascua!A:C,3,FALSE)=Table15[[#Headers],[Pascua]],Table15[[#Headers],[Pascua]],""),"")</f>
        <v/>
      </c>
      <c r="G111" t="str">
        <f>IFERROR(IF(VLOOKUP(A111,Pentecostés!A:C,3,FALSE)=Table15[[#Headers],[Pentecostés]],Table15[[#Headers],[Pentecostés]],""),"")</f>
        <v/>
      </c>
      <c r="H111" t="str">
        <f>IFERROR(IF(VLOOKUP(A111,Entrada!A:C,3,FALSE)=Table15[[#Headers],[Entrada]],Table15[[#Headers],[Entrada]],""),"")</f>
        <v/>
      </c>
      <c r="I111" t="str">
        <f>IFERROR(IF(VLOOKUP(A111,Virgen!A:C,3,FALSE)=Table15[[#Headers],[Virgen]],Table15[[#Headers],[Virgen]],""),"")</f>
        <v>Virgen</v>
      </c>
      <c r="J111" t="str">
        <f>IFERROR(IF(VLOOKUP(A111,Paz!A:C,3,FALSE)=Table15[[#Headers],[Paz]],Table15[[#Headers],[Paz]],""),"")</f>
        <v/>
      </c>
      <c r="K111" t="str">
        <f>IFERROR(IF(VLOOKUP(A111,Pan!A:C,3,FALSE)=Table15[[#Headers],[Pan]],Table15[[#Headers],[Pan]],""),"")</f>
        <v/>
      </c>
      <c r="L111" t="str">
        <f>IFERROR(IF(VLOOKUP(A111,Comunión!A:C,3,FALSE)=Table15[[#Headers],[Comunión]],Table15[[#Headers],[Comunión]],""),"")</f>
        <v/>
      </c>
      <c r="M111" t="str">
        <f>IFERROR(IF(VLOOKUP(A111,Niños!A:C,3,FALSE)=Table15[[#Headers],[Niños]],Table15[[#Headers],[Niños]],""),"")</f>
        <v/>
      </c>
      <c r="N111" t="str">
        <f>IFERROR(IF(VLOOKUP(A111,Laudes!A:C,3,FALSE)=Table15[[#Headers],[Laudes]],Table15[[#Headers],[Laudes]],""),"")</f>
        <v/>
      </c>
      <c r="O111" t="str">
        <f>IFERROR(IF(VLOOKUP(A111,'Nuevo Testamento'!A:C,3,FALSE)=Table15[[#Headers],[Nuevo Testamento]],Table15[[#Headers],[Nuevo Testamento]],""),"")</f>
        <v/>
      </c>
      <c r="P111" t="str">
        <f>IFERROR(IF(VLOOKUP(A111,'Antiguo Testamento'!A:C,3,FALSE)=Table15[[#Headers],[Antiguo Testamento]],Table15[[#Headers],[Antiguo Testamento]],""),"")</f>
        <v/>
      </c>
      <c r="Q111" t="str">
        <f>IFERROR(IF(VLOOKUP(A111,Final!A:C,3,FALSE)=Table15[[#Headers],[Final]],Table15[[#Headers],[Final]],""),"")</f>
        <v/>
      </c>
    </row>
    <row r="112" spans="1:17" x14ac:dyDescent="0.25">
      <c r="A112" t="s">
        <v>65</v>
      </c>
      <c r="B112">
        <v>113</v>
      </c>
      <c r="C112" t="str">
        <f>IFERROR(IF(VLOOKUP(A112,Adviento!A:C,3,FALSE)=Table15[[#Headers],[Adviento]],Table15[[#Headers],[Adviento]],""),"")</f>
        <v/>
      </c>
      <c r="D112" t="str">
        <f>IFERROR(IF(VLOOKUP(A112,Navidad!A:C,3,FALSE)=Table15[[#Headers],[Navidad]],Table15[[#Headers],[Navidad]],""),"")</f>
        <v/>
      </c>
      <c r="E112" t="str">
        <f>IFERROR(IF(VLOOKUP(A112,Cuaresma!A:C,3,FALSE)=Table15[[#Headers],[Cuaresma]],Table15[[#Headers],[Cuaresma]],""),"")</f>
        <v>Cuaresma</v>
      </c>
      <c r="F112" t="str">
        <f>IFERROR(IF(VLOOKUP(A112,Pascua!A:C,3,FALSE)=Table15[[#Headers],[Pascua]],Table15[[#Headers],[Pascua]],""),"")</f>
        <v/>
      </c>
      <c r="G112" t="str">
        <f>IFERROR(IF(VLOOKUP(A112,Pentecostés!A:C,3,FALSE)=Table15[[#Headers],[Pentecostés]],Table15[[#Headers],[Pentecostés]],""),"")</f>
        <v/>
      </c>
      <c r="H112" t="str">
        <f>IFERROR(IF(VLOOKUP(A112,Entrada!A:C,3,FALSE)=Table15[[#Headers],[Entrada]],Table15[[#Headers],[Entrada]],""),"")</f>
        <v/>
      </c>
      <c r="I112" t="str">
        <f>IFERROR(IF(VLOOKUP(A112,Virgen!A:C,3,FALSE)=Table15[[#Headers],[Virgen]],Table15[[#Headers],[Virgen]],""),"")</f>
        <v>Virgen</v>
      </c>
      <c r="J112" t="str">
        <f>IFERROR(IF(VLOOKUP(A112,Paz!A:C,3,FALSE)=Table15[[#Headers],[Paz]],Table15[[#Headers],[Paz]],""),"")</f>
        <v/>
      </c>
      <c r="K112" t="str">
        <f>IFERROR(IF(VLOOKUP(A112,Pan!A:C,3,FALSE)=Table15[[#Headers],[Pan]],Table15[[#Headers],[Pan]],""),"")</f>
        <v/>
      </c>
      <c r="L112" t="str">
        <f>IFERROR(IF(VLOOKUP(A112,Comunión!A:C,3,FALSE)=Table15[[#Headers],[Comunión]],Table15[[#Headers],[Comunión]],""),"")</f>
        <v/>
      </c>
      <c r="M112" t="str">
        <f>IFERROR(IF(VLOOKUP(A112,Niños!A:C,3,FALSE)=Table15[[#Headers],[Niños]],Table15[[#Headers],[Niños]],""),"")</f>
        <v/>
      </c>
      <c r="N112" t="str">
        <f>IFERROR(IF(VLOOKUP(A112,Laudes!A:C,3,FALSE)=Table15[[#Headers],[Laudes]],Table15[[#Headers],[Laudes]],""),"")</f>
        <v/>
      </c>
      <c r="O112" t="str">
        <f>IFERROR(IF(VLOOKUP(A112,'Nuevo Testamento'!A:C,3,FALSE)=Table15[[#Headers],[Nuevo Testamento]],Table15[[#Headers],[Nuevo Testamento]],""),"")</f>
        <v/>
      </c>
      <c r="P112" t="str">
        <f>IFERROR(IF(VLOOKUP(A112,'Antiguo Testamento'!A:C,3,FALSE)=Table15[[#Headers],[Antiguo Testamento]],Table15[[#Headers],[Antiguo Testamento]],""),"")</f>
        <v/>
      </c>
      <c r="Q112" t="str">
        <f>IFERROR(IF(VLOOKUP(A112,Final!A:C,3,FALSE)=Table15[[#Headers],[Final]],Table15[[#Headers],[Final]],""),"")</f>
        <v/>
      </c>
    </row>
    <row r="113" spans="1:17" x14ac:dyDescent="0.25">
      <c r="A113" t="s">
        <v>66</v>
      </c>
      <c r="B113">
        <v>114</v>
      </c>
      <c r="C113" t="str">
        <f>IFERROR(IF(VLOOKUP(A113,Adviento!A:C,3,FALSE)=Table15[[#Headers],[Adviento]],Table15[[#Headers],[Adviento]],""),"")</f>
        <v/>
      </c>
      <c r="D113" t="str">
        <f>IFERROR(IF(VLOOKUP(A113,Navidad!A:C,3,FALSE)=Table15[[#Headers],[Navidad]],Table15[[#Headers],[Navidad]],""),"")</f>
        <v/>
      </c>
      <c r="E113" t="str">
        <f>IFERROR(IF(VLOOKUP(A113,Cuaresma!A:C,3,FALSE)=Table15[[#Headers],[Cuaresma]],Table15[[#Headers],[Cuaresma]],""),"")</f>
        <v/>
      </c>
      <c r="F113" t="str">
        <f>IFERROR(IF(VLOOKUP(A113,Pascua!A:C,3,FALSE)=Table15[[#Headers],[Pascua]],Table15[[#Headers],[Pascua]],""),"")</f>
        <v>Pascua</v>
      </c>
      <c r="G113" t="str">
        <f>IFERROR(IF(VLOOKUP(A113,Pentecostés!A:C,3,FALSE)=Table15[[#Headers],[Pentecostés]],Table15[[#Headers],[Pentecostés]],""),"")</f>
        <v>Pentecostés</v>
      </c>
      <c r="H113" t="str">
        <f>IFERROR(IF(VLOOKUP(A113,Entrada!A:C,3,FALSE)=Table15[[#Headers],[Entrada]],Table15[[#Headers],[Entrada]],""),"")</f>
        <v>Entrada</v>
      </c>
      <c r="I113" t="str">
        <f>IFERROR(IF(VLOOKUP(A113,Virgen!A:C,3,FALSE)=Table15[[#Headers],[Virgen]],Table15[[#Headers],[Virgen]],""),"")</f>
        <v/>
      </c>
      <c r="J113" t="str">
        <f>IFERROR(IF(VLOOKUP(A113,Paz!A:C,3,FALSE)=Table15[[#Headers],[Paz]],Table15[[#Headers],[Paz]],""),"")</f>
        <v/>
      </c>
      <c r="K113" t="str">
        <f>IFERROR(IF(VLOOKUP(A113,Pan!A:C,3,FALSE)=Table15[[#Headers],[Pan]],Table15[[#Headers],[Pan]],""),"")</f>
        <v/>
      </c>
      <c r="L113" t="str">
        <f>IFERROR(IF(VLOOKUP(A113,Comunión!A:C,3,FALSE)=Table15[[#Headers],[Comunión]],Table15[[#Headers],[Comunión]],""),"")</f>
        <v/>
      </c>
      <c r="M113" t="str">
        <f>IFERROR(IF(VLOOKUP(A113,Niños!A:C,3,FALSE)=Table15[[#Headers],[Niños]],Table15[[#Headers],[Niños]],""),"")</f>
        <v/>
      </c>
      <c r="N113" t="str">
        <f>IFERROR(IF(VLOOKUP(A113,Laudes!A:C,3,FALSE)=Table15[[#Headers],[Laudes]],Table15[[#Headers],[Laudes]],""),"")</f>
        <v/>
      </c>
      <c r="O113" t="str">
        <f>IFERROR(IF(VLOOKUP(A113,'Nuevo Testamento'!A:C,3,FALSE)=Table15[[#Headers],[Nuevo Testamento]],Table15[[#Headers],[Nuevo Testamento]],""),"")</f>
        <v/>
      </c>
      <c r="P113" t="str">
        <f>IFERROR(IF(VLOOKUP(A113,'Antiguo Testamento'!A:C,3,FALSE)=Table15[[#Headers],[Antiguo Testamento]],Table15[[#Headers],[Antiguo Testamento]],""),"")</f>
        <v>Antiguo Testamento</v>
      </c>
      <c r="Q113" t="str">
        <f>IFERROR(IF(VLOOKUP(A113,Final!A:C,3,FALSE)=Table15[[#Headers],[Final]],Table15[[#Headers],[Final]],""),"")</f>
        <v/>
      </c>
    </row>
    <row r="114" spans="1:17" x14ac:dyDescent="0.25">
      <c r="A114" t="s">
        <v>67</v>
      </c>
      <c r="B114">
        <v>115</v>
      </c>
      <c r="C114" t="str">
        <f>IFERROR(IF(VLOOKUP(A114,Adviento!A:C,3,FALSE)=Table15[[#Headers],[Adviento]],Table15[[#Headers],[Adviento]],""),"")</f>
        <v/>
      </c>
      <c r="D114" t="str">
        <f>IFERROR(IF(VLOOKUP(A114,Navidad!A:C,3,FALSE)=Table15[[#Headers],[Navidad]],Table15[[#Headers],[Navidad]],""),"")</f>
        <v/>
      </c>
      <c r="E114" t="str">
        <f>IFERROR(IF(VLOOKUP(A114,Cuaresma!A:C,3,FALSE)=Table15[[#Headers],[Cuaresma]],Table15[[#Headers],[Cuaresma]],""),"")</f>
        <v/>
      </c>
      <c r="F114" t="str">
        <f>IFERROR(IF(VLOOKUP(A114,Pascua!A:C,3,FALSE)=Table15[[#Headers],[Pascua]],Table15[[#Headers],[Pascua]],""),"")</f>
        <v/>
      </c>
      <c r="G114" t="str">
        <f>IFERROR(IF(VLOOKUP(A114,Pentecostés!A:C,3,FALSE)=Table15[[#Headers],[Pentecostés]],Table15[[#Headers],[Pentecostés]],""),"")</f>
        <v/>
      </c>
      <c r="H114" t="str">
        <f>IFERROR(IF(VLOOKUP(A114,Entrada!A:C,3,FALSE)=Table15[[#Headers],[Entrada]],Table15[[#Headers],[Entrada]],""),"")</f>
        <v/>
      </c>
      <c r="I114" t="str">
        <f>IFERROR(IF(VLOOKUP(A114,Virgen!A:C,3,FALSE)=Table15[[#Headers],[Virgen]],Table15[[#Headers],[Virgen]],""),"")</f>
        <v/>
      </c>
      <c r="J114" t="str">
        <f>IFERROR(IF(VLOOKUP(A114,Paz!A:C,3,FALSE)=Table15[[#Headers],[Paz]],Table15[[#Headers],[Paz]],""),"")</f>
        <v/>
      </c>
      <c r="K114" t="str">
        <f>IFERROR(IF(VLOOKUP(A114,Pan!A:C,3,FALSE)=Table15[[#Headers],[Pan]],Table15[[#Headers],[Pan]],""),"")</f>
        <v/>
      </c>
      <c r="L114" t="str">
        <f>IFERROR(IF(VLOOKUP(A114,Comunión!A:C,3,FALSE)=Table15[[#Headers],[Comunión]],Table15[[#Headers],[Comunión]],""),"")</f>
        <v/>
      </c>
      <c r="M114" t="str">
        <f>IFERROR(IF(VLOOKUP(A114,Niños!A:C,3,FALSE)=Table15[[#Headers],[Niños]],Table15[[#Headers],[Niños]],""),"")</f>
        <v/>
      </c>
      <c r="N114" t="str">
        <f>IFERROR(IF(VLOOKUP(A114,Laudes!A:C,3,FALSE)=Table15[[#Headers],[Laudes]],Table15[[#Headers],[Laudes]],""),"")</f>
        <v/>
      </c>
      <c r="O114" t="str">
        <f>IFERROR(IF(VLOOKUP(A114,'Nuevo Testamento'!A:C,3,FALSE)=Table15[[#Headers],[Nuevo Testamento]],Table15[[#Headers],[Nuevo Testamento]],""),"")</f>
        <v/>
      </c>
      <c r="P114" t="str">
        <f>IFERROR(IF(VLOOKUP(A114,'Antiguo Testamento'!A:C,3,FALSE)=Table15[[#Headers],[Antiguo Testamento]],Table15[[#Headers],[Antiguo Testamento]],""),"")</f>
        <v>Antiguo Testamento</v>
      </c>
      <c r="Q114" t="str">
        <f>IFERROR(IF(VLOOKUP(A114,Final!A:C,3,FALSE)=Table15[[#Headers],[Final]],Table15[[#Headers],[Final]],""),"")</f>
        <v/>
      </c>
    </row>
    <row r="115" spans="1:17" x14ac:dyDescent="0.25">
      <c r="A115" t="s">
        <v>173</v>
      </c>
      <c r="B115">
        <v>116</v>
      </c>
      <c r="C115" t="str">
        <f>IFERROR(IF(VLOOKUP(A115,Adviento!A:C,3,FALSE)=Table15[[#Headers],[Adviento]],Table15[[#Headers],[Adviento]],""),"")</f>
        <v/>
      </c>
      <c r="D115" t="str">
        <f>IFERROR(IF(VLOOKUP(A115,Navidad!A:C,3,FALSE)=Table15[[#Headers],[Navidad]],Table15[[#Headers],[Navidad]],""),"")</f>
        <v/>
      </c>
      <c r="E115" t="str">
        <f>IFERROR(IF(VLOOKUP(A115,Cuaresma!A:C,3,FALSE)=Table15[[#Headers],[Cuaresma]],Table15[[#Headers],[Cuaresma]],""),"")</f>
        <v/>
      </c>
      <c r="F115" t="str">
        <f>IFERROR(IF(VLOOKUP(A115,Pascua!A:C,3,FALSE)=Table15[[#Headers],[Pascua]],Table15[[#Headers],[Pascua]],""),"")</f>
        <v/>
      </c>
      <c r="G115" t="str">
        <f>IFERROR(IF(VLOOKUP(A115,Pentecostés!A:C,3,FALSE)=Table15[[#Headers],[Pentecostés]],Table15[[#Headers],[Pentecostés]],""),"")</f>
        <v/>
      </c>
      <c r="H115" t="str">
        <f>IFERROR(IF(VLOOKUP(A115,Entrada!A:C,3,FALSE)=Table15[[#Headers],[Entrada]],Table15[[#Headers],[Entrada]],""),"")</f>
        <v/>
      </c>
      <c r="I115" t="str">
        <f>IFERROR(IF(VLOOKUP(A115,Virgen!A:C,3,FALSE)=Table15[[#Headers],[Virgen]],Table15[[#Headers],[Virgen]],""),"")</f>
        <v/>
      </c>
      <c r="J115" t="str">
        <f>IFERROR(IF(VLOOKUP(A115,Paz!A:C,3,FALSE)=Table15[[#Headers],[Paz]],Table15[[#Headers],[Paz]],""),"")</f>
        <v>Paz</v>
      </c>
      <c r="K115" t="str">
        <f>IFERROR(IF(VLOOKUP(A115,Pan!A:C,3,FALSE)=Table15[[#Headers],[Pan]],Table15[[#Headers],[Pan]],""),"")</f>
        <v/>
      </c>
      <c r="L115" t="str">
        <f>IFERROR(IF(VLOOKUP(A115,Comunión!A:C,3,FALSE)=Table15[[#Headers],[Comunión]],Table15[[#Headers],[Comunión]],""),"")</f>
        <v/>
      </c>
      <c r="M115" t="str">
        <f>IFERROR(IF(VLOOKUP(A115,Niños!A:C,3,FALSE)=Table15[[#Headers],[Niños]],Table15[[#Headers],[Niños]],""),"")</f>
        <v/>
      </c>
      <c r="N115" t="str">
        <f>IFERROR(IF(VLOOKUP(A115,Laudes!A:C,3,FALSE)=Table15[[#Headers],[Laudes]],Table15[[#Headers],[Laudes]],""),"")</f>
        <v/>
      </c>
      <c r="O115" t="str">
        <f>IFERROR(IF(VLOOKUP(A115,'Nuevo Testamento'!A:C,3,FALSE)=Table15[[#Headers],[Nuevo Testamento]],Table15[[#Headers],[Nuevo Testamento]],""),"")</f>
        <v/>
      </c>
      <c r="P115" t="str">
        <f>IFERROR(IF(VLOOKUP(A115,'Antiguo Testamento'!A:C,3,FALSE)=Table15[[#Headers],[Antiguo Testamento]],Table15[[#Headers],[Antiguo Testamento]],""),"")</f>
        <v>Antiguo Testamento</v>
      </c>
      <c r="Q115" t="str">
        <f>IFERROR(IF(VLOOKUP(A115,Final!A:C,3,FALSE)=Table15[[#Headers],[Final]],Table15[[#Headers],[Final]],""),"")</f>
        <v/>
      </c>
    </row>
    <row r="116" spans="1:17" x14ac:dyDescent="0.25">
      <c r="A116" t="s">
        <v>174</v>
      </c>
      <c r="B116">
        <v>117</v>
      </c>
      <c r="C116" t="str">
        <f>IFERROR(IF(VLOOKUP(A116,Adviento!A:C,3,FALSE)=Table15[[#Headers],[Adviento]],Table15[[#Headers],[Adviento]],""),"")</f>
        <v/>
      </c>
      <c r="D116" t="str">
        <f>IFERROR(IF(VLOOKUP(A116,Navidad!A:C,3,FALSE)=Table15[[#Headers],[Navidad]],Table15[[#Headers],[Navidad]],""),"")</f>
        <v/>
      </c>
      <c r="E116" t="str">
        <f>IFERROR(IF(VLOOKUP(A116,Cuaresma!A:C,3,FALSE)=Table15[[#Headers],[Cuaresma]],Table15[[#Headers],[Cuaresma]],""),"")</f>
        <v>Cuaresma</v>
      </c>
      <c r="F116" t="str">
        <f>IFERROR(IF(VLOOKUP(A116,Pascua!A:C,3,FALSE)=Table15[[#Headers],[Pascua]],Table15[[#Headers],[Pascua]],""),"")</f>
        <v/>
      </c>
      <c r="G116" t="str">
        <f>IFERROR(IF(VLOOKUP(A116,Pentecostés!A:C,3,FALSE)=Table15[[#Headers],[Pentecostés]],Table15[[#Headers],[Pentecostés]],""),"")</f>
        <v/>
      </c>
      <c r="H116" t="str">
        <f>IFERROR(IF(VLOOKUP(A116,Entrada!A:C,3,FALSE)=Table15[[#Headers],[Entrada]],Table15[[#Headers],[Entrada]],""),"")</f>
        <v/>
      </c>
      <c r="I116" t="str">
        <f>IFERROR(IF(VLOOKUP(A116,Virgen!A:C,3,FALSE)=Table15[[#Headers],[Virgen]],Table15[[#Headers],[Virgen]],""),"")</f>
        <v/>
      </c>
      <c r="J116" t="str">
        <f>IFERROR(IF(VLOOKUP(A116,Paz!A:C,3,FALSE)=Table15[[#Headers],[Paz]],Table15[[#Headers],[Paz]],""),"")</f>
        <v/>
      </c>
      <c r="K116" t="str">
        <f>IFERROR(IF(VLOOKUP(A116,Pan!A:C,3,FALSE)=Table15[[#Headers],[Pan]],Table15[[#Headers],[Pan]],""),"")</f>
        <v/>
      </c>
      <c r="L116" t="str">
        <f>IFERROR(IF(VLOOKUP(A116,Comunión!A:C,3,FALSE)=Table15[[#Headers],[Comunión]],Table15[[#Headers],[Comunión]],""),"")</f>
        <v/>
      </c>
      <c r="M116" t="str">
        <f>IFERROR(IF(VLOOKUP(A116,Niños!A:C,3,FALSE)=Table15[[#Headers],[Niños]],Table15[[#Headers],[Niños]],""),"")</f>
        <v/>
      </c>
      <c r="N116" t="str">
        <f>IFERROR(IF(VLOOKUP(A116,Laudes!A:C,3,FALSE)=Table15[[#Headers],[Laudes]],Table15[[#Headers],[Laudes]],""),"")</f>
        <v/>
      </c>
      <c r="O116" t="str">
        <f>IFERROR(IF(VLOOKUP(A116,'Nuevo Testamento'!A:C,3,FALSE)=Table15[[#Headers],[Nuevo Testamento]],Table15[[#Headers],[Nuevo Testamento]],""),"")</f>
        <v/>
      </c>
      <c r="P116" t="str">
        <f>IFERROR(IF(VLOOKUP(A116,'Antiguo Testamento'!A:C,3,FALSE)=Table15[[#Headers],[Antiguo Testamento]],Table15[[#Headers],[Antiguo Testamento]],""),"")</f>
        <v/>
      </c>
      <c r="Q116" t="str">
        <f>IFERROR(IF(VLOOKUP(A116,Final!A:C,3,FALSE)=Table15[[#Headers],[Final]],Table15[[#Headers],[Final]],""),"")</f>
        <v/>
      </c>
    </row>
    <row r="117" spans="1:17" x14ac:dyDescent="0.25">
      <c r="A117" t="s">
        <v>68</v>
      </c>
      <c r="B117">
        <v>118</v>
      </c>
      <c r="C117" t="str">
        <f>IFERROR(IF(VLOOKUP(A117,Adviento!A:C,3,FALSE)=Table15[[#Headers],[Adviento]],Table15[[#Headers],[Adviento]],""),"")</f>
        <v/>
      </c>
      <c r="D117" t="str">
        <f>IFERROR(IF(VLOOKUP(A117,Navidad!A:C,3,FALSE)=Table15[[#Headers],[Navidad]],Table15[[#Headers],[Navidad]],""),"")</f>
        <v/>
      </c>
      <c r="E117" t="str">
        <f>IFERROR(IF(VLOOKUP(A117,Cuaresma!A:C,3,FALSE)=Table15[[#Headers],[Cuaresma]],Table15[[#Headers],[Cuaresma]],""),"")</f>
        <v>Cuaresma</v>
      </c>
      <c r="F117" t="str">
        <f>IFERROR(IF(VLOOKUP(A117,Pascua!A:C,3,FALSE)=Table15[[#Headers],[Pascua]],Table15[[#Headers],[Pascua]],""),"")</f>
        <v/>
      </c>
      <c r="G117" t="str">
        <f>IFERROR(IF(VLOOKUP(A117,Pentecostés!A:C,3,FALSE)=Table15[[#Headers],[Pentecostés]],Table15[[#Headers],[Pentecostés]],""),"")</f>
        <v/>
      </c>
      <c r="H117" t="str">
        <f>IFERROR(IF(VLOOKUP(A117,Entrada!A:C,3,FALSE)=Table15[[#Headers],[Entrada]],Table15[[#Headers],[Entrada]],""),"")</f>
        <v/>
      </c>
      <c r="I117" t="str">
        <f>IFERROR(IF(VLOOKUP(A117,Virgen!A:C,3,FALSE)=Table15[[#Headers],[Virgen]],Table15[[#Headers],[Virgen]],""),"")</f>
        <v/>
      </c>
      <c r="J117" t="str">
        <f>IFERROR(IF(VLOOKUP(A117,Paz!A:C,3,FALSE)=Table15[[#Headers],[Paz]],Table15[[#Headers],[Paz]],""),"")</f>
        <v/>
      </c>
      <c r="K117" t="str">
        <f>IFERROR(IF(VLOOKUP(A117,Pan!A:C,3,FALSE)=Table15[[#Headers],[Pan]],Table15[[#Headers],[Pan]],""),"")</f>
        <v/>
      </c>
      <c r="L117" t="str">
        <f>IFERROR(IF(VLOOKUP(A117,Comunión!A:C,3,FALSE)=Table15[[#Headers],[Comunión]],Table15[[#Headers],[Comunión]],""),"")</f>
        <v/>
      </c>
      <c r="M117" t="str">
        <f>IFERROR(IF(VLOOKUP(A117,Niños!A:C,3,FALSE)=Table15[[#Headers],[Niños]],Table15[[#Headers],[Niños]],""),"")</f>
        <v/>
      </c>
      <c r="N117" t="str">
        <f>IFERROR(IF(VLOOKUP(A117,Laudes!A:C,3,FALSE)=Table15[[#Headers],[Laudes]],Table15[[#Headers],[Laudes]],""),"")</f>
        <v>Laudes</v>
      </c>
      <c r="O117" t="str">
        <f>IFERROR(IF(VLOOKUP(A117,'Nuevo Testamento'!A:C,3,FALSE)=Table15[[#Headers],[Nuevo Testamento]],Table15[[#Headers],[Nuevo Testamento]],""),"")</f>
        <v/>
      </c>
      <c r="P117" t="str">
        <f>IFERROR(IF(VLOOKUP(A117,'Antiguo Testamento'!A:C,3,FALSE)=Table15[[#Headers],[Antiguo Testamento]],Table15[[#Headers],[Antiguo Testamento]],""),"")</f>
        <v>Antiguo Testamento</v>
      </c>
      <c r="Q117" t="str">
        <f>IFERROR(IF(VLOOKUP(A117,Final!A:C,3,FALSE)=Table15[[#Headers],[Final]],Table15[[#Headers],[Final]],""),"")</f>
        <v/>
      </c>
    </row>
    <row r="118" spans="1:17" x14ac:dyDescent="0.25">
      <c r="A118" t="s">
        <v>69</v>
      </c>
      <c r="B118">
        <v>119</v>
      </c>
      <c r="C118" t="str">
        <f>IFERROR(IF(VLOOKUP(A118,Adviento!A:C,3,FALSE)=Table15[[#Headers],[Adviento]],Table15[[#Headers],[Adviento]],""),"")</f>
        <v/>
      </c>
      <c r="D118" t="str">
        <f>IFERROR(IF(VLOOKUP(A118,Navidad!A:C,3,FALSE)=Table15[[#Headers],[Navidad]],Table15[[#Headers],[Navidad]],""),"")</f>
        <v/>
      </c>
      <c r="E118" t="str">
        <f>IFERROR(IF(VLOOKUP(A118,Cuaresma!A:C,3,FALSE)=Table15[[#Headers],[Cuaresma]],Table15[[#Headers],[Cuaresma]],""),"")</f>
        <v/>
      </c>
      <c r="F118" t="str">
        <f>IFERROR(IF(VLOOKUP(A118,Pascua!A:C,3,FALSE)=Table15[[#Headers],[Pascua]],Table15[[#Headers],[Pascua]],""),"")</f>
        <v/>
      </c>
      <c r="G118" t="str">
        <f>IFERROR(IF(VLOOKUP(A118,Pentecostés!A:C,3,FALSE)=Table15[[#Headers],[Pentecostés]],Table15[[#Headers],[Pentecostés]],""),"")</f>
        <v/>
      </c>
      <c r="H118" t="str">
        <f>IFERROR(IF(VLOOKUP(A118,Entrada!A:C,3,FALSE)=Table15[[#Headers],[Entrada]],Table15[[#Headers],[Entrada]],""),"")</f>
        <v/>
      </c>
      <c r="I118" t="str">
        <f>IFERROR(IF(VLOOKUP(A118,Virgen!A:C,3,FALSE)=Table15[[#Headers],[Virgen]],Table15[[#Headers],[Virgen]],""),"")</f>
        <v/>
      </c>
      <c r="J118" t="str">
        <f>IFERROR(IF(VLOOKUP(A118,Paz!A:C,3,FALSE)=Table15[[#Headers],[Paz]],Table15[[#Headers],[Paz]],""),"")</f>
        <v/>
      </c>
      <c r="K118" t="str">
        <f>IFERROR(IF(VLOOKUP(A118,Pan!A:C,3,FALSE)=Table15[[#Headers],[Pan]],Table15[[#Headers],[Pan]],""),"")</f>
        <v/>
      </c>
      <c r="L118" t="str">
        <f>IFERROR(IF(VLOOKUP(A118,Comunión!A:C,3,FALSE)=Table15[[#Headers],[Comunión]],Table15[[#Headers],[Comunión]],""),"")</f>
        <v/>
      </c>
      <c r="M118" t="str">
        <f>IFERROR(IF(VLOOKUP(A118,Niños!A:C,3,FALSE)=Table15[[#Headers],[Niños]],Table15[[#Headers],[Niños]],""),"")</f>
        <v/>
      </c>
      <c r="N118" t="str">
        <f>IFERROR(IF(VLOOKUP(A118,Laudes!A:C,3,FALSE)=Table15[[#Headers],[Laudes]],Table15[[#Headers],[Laudes]],""),"")</f>
        <v/>
      </c>
      <c r="O118" t="str">
        <f>IFERROR(IF(VLOOKUP(A118,'Nuevo Testamento'!A:C,3,FALSE)=Table15[[#Headers],[Nuevo Testamento]],Table15[[#Headers],[Nuevo Testamento]],""),"")</f>
        <v/>
      </c>
      <c r="P118" t="str">
        <f>IFERROR(IF(VLOOKUP(A118,'Antiguo Testamento'!A:C,3,FALSE)=Table15[[#Headers],[Antiguo Testamento]],Table15[[#Headers],[Antiguo Testamento]],""),"")</f>
        <v>Antiguo Testamento</v>
      </c>
      <c r="Q118" t="str">
        <f>IFERROR(IF(VLOOKUP(A118,Final!A:C,3,FALSE)=Table15[[#Headers],[Final]],Table15[[#Headers],[Final]],""),"")</f>
        <v/>
      </c>
    </row>
    <row r="119" spans="1:17" x14ac:dyDescent="0.25">
      <c r="A119" t="s">
        <v>176</v>
      </c>
      <c r="B119">
        <v>120</v>
      </c>
      <c r="C119" t="str">
        <f>IFERROR(IF(VLOOKUP(A119,Adviento!A:C,3,FALSE)=Table15[[#Headers],[Adviento]],Table15[[#Headers],[Adviento]],""),"")</f>
        <v/>
      </c>
      <c r="D119" t="str">
        <f>IFERROR(IF(VLOOKUP(A119,Navidad!A:C,3,FALSE)=Table15[[#Headers],[Navidad]],Table15[[#Headers],[Navidad]],""),"")</f>
        <v/>
      </c>
      <c r="E119" t="str">
        <f>IFERROR(IF(VLOOKUP(A119,Cuaresma!A:C,3,FALSE)=Table15[[#Headers],[Cuaresma]],Table15[[#Headers],[Cuaresma]],""),"")</f>
        <v/>
      </c>
      <c r="F119" t="str">
        <f>IFERROR(IF(VLOOKUP(A119,Pascua!A:C,3,FALSE)=Table15[[#Headers],[Pascua]],Table15[[#Headers],[Pascua]],""),"")</f>
        <v>Pascua</v>
      </c>
      <c r="G119" t="str">
        <f>IFERROR(IF(VLOOKUP(A119,Pentecostés!A:C,3,FALSE)=Table15[[#Headers],[Pentecostés]],Table15[[#Headers],[Pentecostés]],""),"")</f>
        <v>Pentecostés</v>
      </c>
      <c r="H119" t="str">
        <f>IFERROR(IF(VLOOKUP(A119,Entrada!A:C,3,FALSE)=Table15[[#Headers],[Entrada]],Table15[[#Headers],[Entrada]],""),"")</f>
        <v/>
      </c>
      <c r="I119" t="str">
        <f>IFERROR(IF(VLOOKUP(A119,Virgen!A:C,3,FALSE)=Table15[[#Headers],[Virgen]],Table15[[#Headers],[Virgen]],""),"")</f>
        <v/>
      </c>
      <c r="J119" t="str">
        <f>IFERROR(IF(VLOOKUP(A119,Paz!A:C,3,FALSE)=Table15[[#Headers],[Paz]],Table15[[#Headers],[Paz]],""),"")</f>
        <v/>
      </c>
      <c r="K119" t="str">
        <f>IFERROR(IF(VLOOKUP(A119,Pan!A:C,3,FALSE)=Table15[[#Headers],[Pan]],Table15[[#Headers],[Pan]],""),"")</f>
        <v/>
      </c>
      <c r="L119" t="str">
        <f>IFERROR(IF(VLOOKUP(A119,Comunión!A:C,3,FALSE)=Table15[[#Headers],[Comunión]],Table15[[#Headers],[Comunión]],""),"")</f>
        <v/>
      </c>
      <c r="M119" t="str">
        <f>IFERROR(IF(VLOOKUP(A119,Niños!A:C,3,FALSE)=Table15[[#Headers],[Niños]],Table15[[#Headers],[Niños]],""),"")</f>
        <v/>
      </c>
      <c r="N119" t="str">
        <f>IFERROR(IF(VLOOKUP(A119,Laudes!A:C,3,FALSE)=Table15[[#Headers],[Laudes]],Table15[[#Headers],[Laudes]],""),"")</f>
        <v/>
      </c>
      <c r="O119" t="str">
        <f>IFERROR(IF(VLOOKUP(A119,'Nuevo Testamento'!A:C,3,FALSE)=Table15[[#Headers],[Nuevo Testamento]],Table15[[#Headers],[Nuevo Testamento]],""),"")</f>
        <v>Nuevo Testamento</v>
      </c>
      <c r="P119" t="str">
        <f>IFERROR(IF(VLOOKUP(A119,'Antiguo Testamento'!A:C,3,FALSE)=Table15[[#Headers],[Antiguo Testamento]],Table15[[#Headers],[Antiguo Testamento]],""),"")</f>
        <v/>
      </c>
      <c r="Q119" t="str">
        <f>IFERROR(IF(VLOOKUP(A119,Final!A:C,3,FALSE)=Table15[[#Headers],[Final]],Table15[[#Headers],[Final]],""),"")</f>
        <v/>
      </c>
    </row>
    <row r="120" spans="1:17" x14ac:dyDescent="0.25">
      <c r="A120" t="s">
        <v>70</v>
      </c>
      <c r="B120">
        <v>121</v>
      </c>
      <c r="C120" t="str">
        <f>IFERROR(IF(VLOOKUP(A120,Adviento!A:C,3,FALSE)=Table15[[#Headers],[Adviento]],Table15[[#Headers],[Adviento]],""),"")</f>
        <v/>
      </c>
      <c r="D120" t="str">
        <f>IFERROR(IF(VLOOKUP(A120,Navidad!A:C,3,FALSE)=Table15[[#Headers],[Navidad]],Table15[[#Headers],[Navidad]],""),"")</f>
        <v/>
      </c>
      <c r="E120" t="str">
        <f>IFERROR(IF(VLOOKUP(A120,Cuaresma!A:C,3,FALSE)=Table15[[#Headers],[Cuaresma]],Table15[[#Headers],[Cuaresma]],""),"")</f>
        <v/>
      </c>
      <c r="F120" t="str">
        <f>IFERROR(IF(VLOOKUP(A120,Pascua!A:C,3,FALSE)=Table15[[#Headers],[Pascua]],Table15[[#Headers],[Pascua]],""),"")</f>
        <v/>
      </c>
      <c r="G120" t="str">
        <f>IFERROR(IF(VLOOKUP(A120,Pentecostés!A:C,3,FALSE)=Table15[[#Headers],[Pentecostés]],Table15[[#Headers],[Pentecostés]],""),"")</f>
        <v/>
      </c>
      <c r="H120" t="str">
        <f>IFERROR(IF(VLOOKUP(A120,Entrada!A:C,3,FALSE)=Table15[[#Headers],[Entrada]],Table15[[#Headers],[Entrada]],""),"")</f>
        <v/>
      </c>
      <c r="I120" t="str">
        <f>IFERROR(IF(VLOOKUP(A120,Virgen!A:C,3,FALSE)=Table15[[#Headers],[Virgen]],Table15[[#Headers],[Virgen]],""),"")</f>
        <v/>
      </c>
      <c r="J120" t="str">
        <f>IFERROR(IF(VLOOKUP(A120,Paz!A:C,3,FALSE)=Table15[[#Headers],[Paz]],Table15[[#Headers],[Paz]],""),"")</f>
        <v/>
      </c>
      <c r="K120" t="str">
        <f>IFERROR(IF(VLOOKUP(A120,Pan!A:C,3,FALSE)=Table15[[#Headers],[Pan]],Table15[[#Headers],[Pan]],""),"")</f>
        <v>Pan</v>
      </c>
      <c r="L120" t="str">
        <f>IFERROR(IF(VLOOKUP(A120,Comunión!A:C,3,FALSE)=Table15[[#Headers],[Comunión]],Table15[[#Headers],[Comunión]],""),"")</f>
        <v/>
      </c>
      <c r="M120" t="str">
        <f>IFERROR(IF(VLOOKUP(A120,Niños!A:C,3,FALSE)=Table15[[#Headers],[Niños]],Table15[[#Headers],[Niños]],""),"")</f>
        <v/>
      </c>
      <c r="N120" t="str">
        <f>IFERROR(IF(VLOOKUP(A120,Laudes!A:C,3,FALSE)=Table15[[#Headers],[Laudes]],Table15[[#Headers],[Laudes]],""),"")</f>
        <v/>
      </c>
      <c r="O120" t="str">
        <f>IFERROR(IF(VLOOKUP(A120,'Nuevo Testamento'!A:C,3,FALSE)=Table15[[#Headers],[Nuevo Testamento]],Table15[[#Headers],[Nuevo Testamento]],""),"")</f>
        <v/>
      </c>
      <c r="P120" t="str">
        <f>IFERROR(IF(VLOOKUP(A120,'Antiguo Testamento'!A:C,3,FALSE)=Table15[[#Headers],[Antiguo Testamento]],Table15[[#Headers],[Antiguo Testamento]],""),"")</f>
        <v>Antiguo Testamento</v>
      </c>
      <c r="Q120" t="str">
        <f>IFERROR(IF(VLOOKUP(A120,Final!A:C,3,FALSE)=Table15[[#Headers],[Final]],Table15[[#Headers],[Final]],""),"")</f>
        <v/>
      </c>
    </row>
    <row r="121" spans="1:17" x14ac:dyDescent="0.25">
      <c r="A121" t="s">
        <v>177</v>
      </c>
      <c r="B121">
        <v>122</v>
      </c>
      <c r="C121" t="str">
        <f>IFERROR(IF(VLOOKUP(A121,Adviento!A:C,3,FALSE)=Table15[[#Headers],[Adviento]],Table15[[#Headers],[Adviento]],""),"")</f>
        <v/>
      </c>
      <c r="D121" t="str">
        <f>IFERROR(IF(VLOOKUP(A121,Navidad!A:C,3,FALSE)=Table15[[#Headers],[Navidad]],Table15[[#Headers],[Navidad]],""),"")</f>
        <v/>
      </c>
      <c r="E121" t="str">
        <f>IFERROR(IF(VLOOKUP(A121,Cuaresma!A:C,3,FALSE)=Table15[[#Headers],[Cuaresma]],Table15[[#Headers],[Cuaresma]],""),"")</f>
        <v/>
      </c>
      <c r="F121" t="str">
        <f>IFERROR(IF(VLOOKUP(A121,Pascua!A:C,3,FALSE)=Table15[[#Headers],[Pascua]],Table15[[#Headers],[Pascua]],""),"")</f>
        <v>Pascua</v>
      </c>
      <c r="G121" t="str">
        <f>IFERROR(IF(VLOOKUP(A121,Pentecostés!A:C,3,FALSE)=Table15[[#Headers],[Pentecostés]],Table15[[#Headers],[Pentecostés]],""),"")</f>
        <v>Pentecostés</v>
      </c>
      <c r="H121" t="str">
        <f>IFERROR(IF(VLOOKUP(A121,Entrada!A:C,3,FALSE)=Table15[[#Headers],[Entrada]],Table15[[#Headers],[Entrada]],""),"")</f>
        <v/>
      </c>
      <c r="I121" t="str">
        <f>IFERROR(IF(VLOOKUP(A121,Virgen!A:C,3,FALSE)=Table15[[#Headers],[Virgen]],Table15[[#Headers],[Virgen]],""),"")</f>
        <v/>
      </c>
      <c r="J121" t="str">
        <f>IFERROR(IF(VLOOKUP(A121,Paz!A:C,3,FALSE)=Table15[[#Headers],[Paz]],Table15[[#Headers],[Paz]],""),"")</f>
        <v/>
      </c>
      <c r="K121" t="str">
        <f>IFERROR(IF(VLOOKUP(A121,Pan!A:C,3,FALSE)=Table15[[#Headers],[Pan]],Table15[[#Headers],[Pan]],""),"")</f>
        <v/>
      </c>
      <c r="L121" t="str">
        <f>IFERROR(IF(VLOOKUP(A121,Comunión!A:C,3,FALSE)=Table15[[#Headers],[Comunión]],Table15[[#Headers],[Comunión]],""),"")</f>
        <v/>
      </c>
      <c r="M121" t="str">
        <f>IFERROR(IF(VLOOKUP(A121,Niños!A:C,3,FALSE)=Table15[[#Headers],[Niños]],Table15[[#Headers],[Niños]],""),"")</f>
        <v/>
      </c>
      <c r="N121" t="str">
        <f>IFERROR(IF(VLOOKUP(A121,Laudes!A:C,3,FALSE)=Table15[[#Headers],[Laudes]],Table15[[#Headers],[Laudes]],""),"")</f>
        <v/>
      </c>
      <c r="O121" t="str">
        <f>IFERROR(IF(VLOOKUP(A121,'Nuevo Testamento'!A:C,3,FALSE)=Table15[[#Headers],[Nuevo Testamento]],Table15[[#Headers],[Nuevo Testamento]],""),"")</f>
        <v>Nuevo Testamento</v>
      </c>
      <c r="P121" t="str">
        <f>IFERROR(IF(VLOOKUP(A121,'Antiguo Testamento'!A:C,3,FALSE)=Table15[[#Headers],[Antiguo Testamento]],Table15[[#Headers],[Antiguo Testamento]],""),"")</f>
        <v/>
      </c>
      <c r="Q121" t="str">
        <f>IFERROR(IF(VLOOKUP(A121,Final!A:C,3,FALSE)=Table15[[#Headers],[Final]],Table15[[#Headers],[Final]],""),"")</f>
        <v/>
      </c>
    </row>
    <row r="122" spans="1:17" x14ac:dyDescent="0.25">
      <c r="A122" t="s">
        <v>73</v>
      </c>
      <c r="B122">
        <v>123</v>
      </c>
      <c r="C122" t="str">
        <f>IFERROR(IF(VLOOKUP(A122,Adviento!A:C,3,FALSE)=Table15[[#Headers],[Adviento]],Table15[[#Headers],[Adviento]],""),"")</f>
        <v>Adviento</v>
      </c>
      <c r="D122" t="str">
        <f>IFERROR(IF(VLOOKUP(A122,Navidad!A:C,3,FALSE)=Table15[[#Headers],[Navidad]],Table15[[#Headers],[Navidad]],""),"")</f>
        <v>Navidad</v>
      </c>
      <c r="E122" t="str">
        <f>IFERROR(IF(VLOOKUP(A122,Cuaresma!A:C,3,FALSE)=Table15[[#Headers],[Cuaresma]],Table15[[#Headers],[Cuaresma]],""),"")</f>
        <v/>
      </c>
      <c r="F122" t="str">
        <f>IFERROR(IF(VLOOKUP(A122,Pascua!A:C,3,FALSE)=Table15[[#Headers],[Pascua]],Table15[[#Headers],[Pascua]],""),"")</f>
        <v/>
      </c>
      <c r="G122" t="str">
        <f>IFERROR(IF(VLOOKUP(A122,Pentecostés!A:C,3,FALSE)=Table15[[#Headers],[Pentecostés]],Table15[[#Headers],[Pentecostés]],""),"")</f>
        <v/>
      </c>
      <c r="H122" t="str">
        <f>IFERROR(IF(VLOOKUP(A122,Entrada!A:C,3,FALSE)=Table15[[#Headers],[Entrada]],Table15[[#Headers],[Entrada]],""),"")</f>
        <v/>
      </c>
      <c r="I122" t="str">
        <f>IFERROR(IF(VLOOKUP(A122,Virgen!A:C,3,FALSE)=Table15[[#Headers],[Virgen]],Table15[[#Headers],[Virgen]],""),"")</f>
        <v/>
      </c>
      <c r="J122" t="str">
        <f>IFERROR(IF(VLOOKUP(A122,Paz!A:C,3,FALSE)=Table15[[#Headers],[Paz]],Table15[[#Headers],[Paz]],""),"")</f>
        <v/>
      </c>
      <c r="K122" t="str">
        <f>IFERROR(IF(VLOOKUP(A122,Pan!A:C,3,FALSE)=Table15[[#Headers],[Pan]],Table15[[#Headers],[Pan]],""),"")</f>
        <v/>
      </c>
      <c r="L122" t="str">
        <f>IFERROR(IF(VLOOKUP(A122,Comunión!A:C,3,FALSE)=Table15[[#Headers],[Comunión]],Table15[[#Headers],[Comunión]],""),"")</f>
        <v/>
      </c>
      <c r="M122" t="str">
        <f>IFERROR(IF(VLOOKUP(A122,Niños!A:C,3,FALSE)=Table15[[#Headers],[Niños]],Table15[[#Headers],[Niños]],""),"")</f>
        <v/>
      </c>
      <c r="N122" t="str">
        <f>IFERROR(IF(VLOOKUP(A122,Laudes!A:C,3,FALSE)=Table15[[#Headers],[Laudes]],Table15[[#Headers],[Laudes]],""),"")</f>
        <v/>
      </c>
      <c r="O122" t="str">
        <f>IFERROR(IF(VLOOKUP(A122,'Nuevo Testamento'!A:C,3,FALSE)=Table15[[#Headers],[Nuevo Testamento]],Table15[[#Headers],[Nuevo Testamento]],""),"")</f>
        <v/>
      </c>
      <c r="P122" t="str">
        <f>IFERROR(IF(VLOOKUP(A122,'Antiguo Testamento'!A:C,3,FALSE)=Table15[[#Headers],[Antiguo Testamento]],Table15[[#Headers],[Antiguo Testamento]],""),"")</f>
        <v/>
      </c>
      <c r="Q122" t="str">
        <f>IFERROR(IF(VLOOKUP(A122,Final!A:C,3,FALSE)=Table15[[#Headers],[Final]],Table15[[#Headers],[Final]],""),"")</f>
        <v/>
      </c>
    </row>
    <row r="123" spans="1:17" x14ac:dyDescent="0.25">
      <c r="A123" t="s">
        <v>178</v>
      </c>
      <c r="B123">
        <v>124</v>
      </c>
      <c r="C123" t="str">
        <f>IFERROR(IF(VLOOKUP(A123,Adviento!A:C,3,FALSE)=Table15[[#Headers],[Adviento]],Table15[[#Headers],[Adviento]],""),"")</f>
        <v/>
      </c>
      <c r="D123" t="str">
        <f>IFERROR(IF(VLOOKUP(A123,Navidad!A:C,3,FALSE)=Table15[[#Headers],[Navidad]],Table15[[#Headers],[Navidad]],""),"")</f>
        <v/>
      </c>
      <c r="E123" t="str">
        <f>IFERROR(IF(VLOOKUP(A123,Cuaresma!A:C,3,FALSE)=Table15[[#Headers],[Cuaresma]],Table15[[#Headers],[Cuaresma]],""),"")</f>
        <v/>
      </c>
      <c r="F123" t="str">
        <f>IFERROR(IF(VLOOKUP(A123,Pascua!A:C,3,FALSE)=Table15[[#Headers],[Pascua]],Table15[[#Headers],[Pascua]],""),"")</f>
        <v/>
      </c>
      <c r="G123" t="str">
        <f>IFERROR(IF(VLOOKUP(A123,Pentecostés!A:C,3,FALSE)=Table15[[#Headers],[Pentecostés]],Table15[[#Headers],[Pentecostés]],""),"")</f>
        <v/>
      </c>
      <c r="H123" t="str">
        <f>IFERROR(IF(VLOOKUP(A123,Entrada!A:C,3,FALSE)=Table15[[#Headers],[Entrada]],Table15[[#Headers],[Entrada]],""),"")</f>
        <v/>
      </c>
      <c r="I123" t="str">
        <f>IFERROR(IF(VLOOKUP(A123,Virgen!A:C,3,FALSE)=Table15[[#Headers],[Virgen]],Table15[[#Headers],[Virgen]],""),"")</f>
        <v/>
      </c>
      <c r="J123" t="str">
        <f>IFERROR(IF(VLOOKUP(A123,Paz!A:C,3,FALSE)=Table15[[#Headers],[Paz]],Table15[[#Headers],[Paz]],""),"")</f>
        <v/>
      </c>
      <c r="K123" t="str">
        <f>IFERROR(IF(VLOOKUP(A123,Pan!A:C,3,FALSE)=Table15[[#Headers],[Pan]],Table15[[#Headers],[Pan]],""),"")</f>
        <v/>
      </c>
      <c r="L123" t="str">
        <f>IFERROR(IF(VLOOKUP(A123,Comunión!A:C,3,FALSE)=Table15[[#Headers],[Comunión]],Table15[[#Headers],[Comunión]],""),"")</f>
        <v/>
      </c>
      <c r="M123" t="str">
        <f>IFERROR(IF(VLOOKUP(A123,Niños!A:C,3,FALSE)=Table15[[#Headers],[Niños]],Table15[[#Headers],[Niños]],""),"")</f>
        <v/>
      </c>
      <c r="N123" t="str">
        <f>IFERROR(IF(VLOOKUP(A123,Laudes!A:C,3,FALSE)=Table15[[#Headers],[Laudes]],Table15[[#Headers],[Laudes]],""),"")</f>
        <v/>
      </c>
      <c r="O123" t="str">
        <f>IFERROR(IF(VLOOKUP(A123,'Nuevo Testamento'!A:C,3,FALSE)=Table15[[#Headers],[Nuevo Testamento]],Table15[[#Headers],[Nuevo Testamento]],""),"")</f>
        <v/>
      </c>
      <c r="P123" t="str">
        <f>IFERROR(IF(VLOOKUP(A123,'Antiguo Testamento'!A:C,3,FALSE)=Table15[[#Headers],[Antiguo Testamento]],Table15[[#Headers],[Antiguo Testamento]],""),"")</f>
        <v>Antiguo Testamento</v>
      </c>
      <c r="Q123" t="str">
        <f>IFERROR(IF(VLOOKUP(A123,Final!A:C,3,FALSE)=Table15[[#Headers],[Final]],Table15[[#Headers],[Final]],""),"")</f>
        <v/>
      </c>
    </row>
    <row r="124" spans="1:17" x14ac:dyDescent="0.25">
      <c r="A124" t="s">
        <v>179</v>
      </c>
      <c r="B124">
        <v>125</v>
      </c>
      <c r="C124" t="str">
        <f>IFERROR(IF(VLOOKUP(A124,Adviento!A:C,3,FALSE)=Table15[[#Headers],[Adviento]],Table15[[#Headers],[Adviento]],""),"")</f>
        <v/>
      </c>
      <c r="D124" t="str">
        <f>IFERROR(IF(VLOOKUP(A124,Navidad!A:C,3,FALSE)=Table15[[#Headers],[Navidad]],Table15[[#Headers],[Navidad]],""),"")</f>
        <v/>
      </c>
      <c r="E124" t="str">
        <f>IFERROR(IF(VLOOKUP(A124,Cuaresma!A:C,3,FALSE)=Table15[[#Headers],[Cuaresma]],Table15[[#Headers],[Cuaresma]],""),"")</f>
        <v/>
      </c>
      <c r="F124" t="str">
        <f>IFERROR(IF(VLOOKUP(A124,Pascua!A:C,3,FALSE)=Table15[[#Headers],[Pascua]],Table15[[#Headers],[Pascua]],""),"")</f>
        <v/>
      </c>
      <c r="G124" t="str">
        <f>IFERROR(IF(VLOOKUP(A124,Pentecostés!A:C,3,FALSE)=Table15[[#Headers],[Pentecostés]],Table15[[#Headers],[Pentecostés]],""),"")</f>
        <v/>
      </c>
      <c r="H124" t="str">
        <f>IFERROR(IF(VLOOKUP(A124,Entrada!A:C,3,FALSE)=Table15[[#Headers],[Entrada]],Table15[[#Headers],[Entrada]],""),"")</f>
        <v/>
      </c>
      <c r="I124" t="str">
        <f>IFERROR(IF(VLOOKUP(A124,Virgen!A:C,3,FALSE)=Table15[[#Headers],[Virgen]],Table15[[#Headers],[Virgen]],""),"")</f>
        <v/>
      </c>
      <c r="J124" t="str">
        <f>IFERROR(IF(VLOOKUP(A124,Paz!A:C,3,FALSE)=Table15[[#Headers],[Paz]],Table15[[#Headers],[Paz]],""),"")</f>
        <v/>
      </c>
      <c r="K124" t="str">
        <f>IFERROR(IF(VLOOKUP(A124,Pan!A:C,3,FALSE)=Table15[[#Headers],[Pan]],Table15[[#Headers],[Pan]],""),"")</f>
        <v/>
      </c>
      <c r="L124" t="str">
        <f>IFERROR(IF(VLOOKUP(A124,Comunión!A:C,3,FALSE)=Table15[[#Headers],[Comunión]],Table15[[#Headers],[Comunión]],""),"")</f>
        <v/>
      </c>
      <c r="M124" t="str">
        <f>IFERROR(IF(VLOOKUP(A124,Niños!A:C,3,FALSE)=Table15[[#Headers],[Niños]],Table15[[#Headers],[Niños]],""),"")</f>
        <v/>
      </c>
      <c r="N124" t="str">
        <f>IFERROR(IF(VLOOKUP(A124,Laudes!A:C,3,FALSE)=Table15[[#Headers],[Laudes]],Table15[[#Headers],[Laudes]],""),"")</f>
        <v>Laudes</v>
      </c>
      <c r="O124" t="str">
        <f>IFERROR(IF(VLOOKUP(A124,'Nuevo Testamento'!A:C,3,FALSE)=Table15[[#Headers],[Nuevo Testamento]],Table15[[#Headers],[Nuevo Testamento]],""),"")</f>
        <v/>
      </c>
      <c r="P124" t="str">
        <f>IFERROR(IF(VLOOKUP(A124,'Antiguo Testamento'!A:C,3,FALSE)=Table15[[#Headers],[Antiguo Testamento]],Table15[[#Headers],[Antiguo Testamento]],""),"")</f>
        <v>Antiguo Testamento</v>
      </c>
      <c r="Q124" t="str">
        <f>IFERROR(IF(VLOOKUP(A124,Final!A:C,3,FALSE)=Table15[[#Headers],[Final]],Table15[[#Headers],[Final]],""),"")</f>
        <v/>
      </c>
    </row>
    <row r="125" spans="1:17" x14ac:dyDescent="0.25">
      <c r="A125" t="s">
        <v>180</v>
      </c>
      <c r="B125">
        <v>126</v>
      </c>
      <c r="C125" t="str">
        <f>IFERROR(IF(VLOOKUP(A125,Adviento!A:C,3,FALSE)=Table15[[#Headers],[Adviento]],Table15[[#Headers],[Adviento]],""),"")</f>
        <v/>
      </c>
      <c r="D125" t="str">
        <f>IFERROR(IF(VLOOKUP(A125,Navidad!A:C,3,FALSE)=Table15[[#Headers],[Navidad]],Table15[[#Headers],[Navidad]],""),"")</f>
        <v/>
      </c>
      <c r="E125" t="str">
        <f>IFERROR(IF(VLOOKUP(A125,Cuaresma!A:C,3,FALSE)=Table15[[#Headers],[Cuaresma]],Table15[[#Headers],[Cuaresma]],""),"")</f>
        <v>Cuaresma</v>
      </c>
      <c r="F125" t="str">
        <f>IFERROR(IF(VLOOKUP(A125,Pascua!A:C,3,FALSE)=Table15[[#Headers],[Pascua]],Table15[[#Headers],[Pascua]],""),"")</f>
        <v/>
      </c>
      <c r="G125" t="str">
        <f>IFERROR(IF(VLOOKUP(A125,Pentecostés!A:C,3,FALSE)=Table15[[#Headers],[Pentecostés]],Table15[[#Headers],[Pentecostés]],""),"")</f>
        <v/>
      </c>
      <c r="H125" t="str">
        <f>IFERROR(IF(VLOOKUP(A125,Entrada!A:C,3,FALSE)=Table15[[#Headers],[Entrada]],Table15[[#Headers],[Entrada]],""),"")</f>
        <v/>
      </c>
      <c r="I125" t="str">
        <f>IFERROR(IF(VLOOKUP(A125,Virgen!A:C,3,FALSE)=Table15[[#Headers],[Virgen]],Table15[[#Headers],[Virgen]],""),"")</f>
        <v/>
      </c>
      <c r="J125" t="str">
        <f>IFERROR(IF(VLOOKUP(A125,Paz!A:C,3,FALSE)=Table15[[#Headers],[Paz]],Table15[[#Headers],[Paz]],""),"")</f>
        <v/>
      </c>
      <c r="K125" t="str">
        <f>IFERROR(IF(VLOOKUP(A125,Pan!A:C,3,FALSE)=Table15[[#Headers],[Pan]],Table15[[#Headers],[Pan]],""),"")</f>
        <v>Pan</v>
      </c>
      <c r="L125" t="str">
        <f>IFERROR(IF(VLOOKUP(A125,Comunión!A:C,3,FALSE)=Table15[[#Headers],[Comunión]],Table15[[#Headers],[Comunión]],""),"")</f>
        <v/>
      </c>
      <c r="M125" t="str">
        <f>IFERROR(IF(VLOOKUP(A125,Niños!A:C,3,FALSE)=Table15[[#Headers],[Niños]],Table15[[#Headers],[Niños]],""),"")</f>
        <v/>
      </c>
      <c r="N125" t="str">
        <f>IFERROR(IF(VLOOKUP(A125,Laudes!A:C,3,FALSE)=Table15[[#Headers],[Laudes]],Table15[[#Headers],[Laudes]],""),"")</f>
        <v/>
      </c>
      <c r="O125" t="str">
        <f>IFERROR(IF(VLOOKUP(A125,'Nuevo Testamento'!A:C,3,FALSE)=Table15[[#Headers],[Nuevo Testamento]],Table15[[#Headers],[Nuevo Testamento]],""),"")</f>
        <v/>
      </c>
      <c r="P125" t="str">
        <f>IFERROR(IF(VLOOKUP(A125,'Antiguo Testamento'!A:C,3,FALSE)=Table15[[#Headers],[Antiguo Testamento]],Table15[[#Headers],[Antiguo Testamento]],""),"")</f>
        <v/>
      </c>
      <c r="Q125" t="str">
        <f>IFERROR(IF(VLOOKUP(A125,Final!A:C,3,FALSE)=Table15[[#Headers],[Final]],Table15[[#Headers],[Final]],""),"")</f>
        <v/>
      </c>
    </row>
    <row r="126" spans="1:17" x14ac:dyDescent="0.25">
      <c r="A126" t="s">
        <v>181</v>
      </c>
      <c r="B126">
        <v>127</v>
      </c>
      <c r="C126" t="str">
        <f>IFERROR(IF(VLOOKUP(A126,Adviento!A:C,3,FALSE)=Table15[[#Headers],[Adviento]],Table15[[#Headers],[Adviento]],""),"")</f>
        <v/>
      </c>
      <c r="D126" t="str">
        <f>IFERROR(IF(VLOOKUP(A126,Navidad!A:C,3,FALSE)=Table15[[#Headers],[Navidad]],Table15[[#Headers],[Navidad]],""),"")</f>
        <v/>
      </c>
      <c r="E126" t="str">
        <f>IFERROR(IF(VLOOKUP(A126,Cuaresma!A:C,3,FALSE)=Table15[[#Headers],[Cuaresma]],Table15[[#Headers],[Cuaresma]],""),"")</f>
        <v/>
      </c>
      <c r="F126" t="str">
        <f>IFERROR(IF(VLOOKUP(A126,Pascua!A:C,3,FALSE)=Table15[[#Headers],[Pascua]],Table15[[#Headers],[Pascua]],""),"")</f>
        <v>Pascua</v>
      </c>
      <c r="G126" t="str">
        <f>IFERROR(IF(VLOOKUP(A126,Pentecostés!A:C,3,FALSE)=Table15[[#Headers],[Pentecostés]],Table15[[#Headers],[Pentecostés]],""),"")</f>
        <v>Pentecostés</v>
      </c>
      <c r="H126" t="str">
        <f>IFERROR(IF(VLOOKUP(A126,Entrada!A:C,3,FALSE)=Table15[[#Headers],[Entrada]],Table15[[#Headers],[Entrada]],""),"")</f>
        <v/>
      </c>
      <c r="I126" t="str">
        <f>IFERROR(IF(VLOOKUP(A126,Virgen!A:C,3,FALSE)=Table15[[#Headers],[Virgen]],Table15[[#Headers],[Virgen]],""),"")</f>
        <v/>
      </c>
      <c r="J126" t="str">
        <f>IFERROR(IF(VLOOKUP(A126,Paz!A:C,3,FALSE)=Table15[[#Headers],[Paz]],Table15[[#Headers],[Paz]],""),"")</f>
        <v/>
      </c>
      <c r="K126" t="str">
        <f>IFERROR(IF(VLOOKUP(A126,Pan!A:C,3,FALSE)=Table15[[#Headers],[Pan]],Table15[[#Headers],[Pan]],""),"")</f>
        <v/>
      </c>
      <c r="L126" t="str">
        <f>IFERROR(IF(VLOOKUP(A126,Comunión!A:C,3,FALSE)=Table15[[#Headers],[Comunión]],Table15[[#Headers],[Comunión]],""),"")</f>
        <v>Comunión</v>
      </c>
      <c r="M126" t="str">
        <f>IFERROR(IF(VLOOKUP(A126,Niños!A:C,3,FALSE)=Table15[[#Headers],[Niños]],Table15[[#Headers],[Niños]],""),"")</f>
        <v/>
      </c>
      <c r="N126" t="str">
        <f>IFERROR(IF(VLOOKUP(A126,Laudes!A:C,3,FALSE)=Table15[[#Headers],[Laudes]],Table15[[#Headers],[Laudes]],""),"")</f>
        <v/>
      </c>
      <c r="O126" t="str">
        <f>IFERROR(IF(VLOOKUP(A126,'Nuevo Testamento'!A:C,3,FALSE)=Table15[[#Headers],[Nuevo Testamento]],Table15[[#Headers],[Nuevo Testamento]],""),"")</f>
        <v>Nuevo Testamento</v>
      </c>
      <c r="P126" t="str">
        <f>IFERROR(IF(VLOOKUP(A126,'Antiguo Testamento'!A:C,3,FALSE)=Table15[[#Headers],[Antiguo Testamento]],Table15[[#Headers],[Antiguo Testamento]],""),"")</f>
        <v/>
      </c>
      <c r="Q126" t="str">
        <f>IFERROR(IF(VLOOKUP(A126,Final!A:C,3,FALSE)=Table15[[#Headers],[Final]],Table15[[#Headers],[Final]],""),"")</f>
        <v/>
      </c>
    </row>
    <row r="127" spans="1:17" x14ac:dyDescent="0.25">
      <c r="A127" t="s">
        <v>183</v>
      </c>
      <c r="B127">
        <v>128</v>
      </c>
      <c r="C127" t="str">
        <f>IFERROR(IF(VLOOKUP(A127,Adviento!A:C,3,FALSE)=Table15[[#Headers],[Adviento]],Table15[[#Headers],[Adviento]],""),"")</f>
        <v/>
      </c>
      <c r="D127" t="str">
        <f>IFERROR(IF(VLOOKUP(A127,Navidad!A:C,3,FALSE)=Table15[[#Headers],[Navidad]],Table15[[#Headers],[Navidad]],""),"")</f>
        <v/>
      </c>
      <c r="E127" t="str">
        <f>IFERROR(IF(VLOOKUP(A127,Cuaresma!A:C,3,FALSE)=Table15[[#Headers],[Cuaresma]],Table15[[#Headers],[Cuaresma]],""),"")</f>
        <v/>
      </c>
      <c r="F127" t="str">
        <f>IFERROR(IF(VLOOKUP(A127,Pascua!A:C,3,FALSE)=Table15[[#Headers],[Pascua]],Table15[[#Headers],[Pascua]],""),"")</f>
        <v/>
      </c>
      <c r="G127" t="str">
        <f>IFERROR(IF(VLOOKUP(A127,Pentecostés!A:C,3,FALSE)=Table15[[#Headers],[Pentecostés]],Table15[[#Headers],[Pentecostés]],""),"")</f>
        <v/>
      </c>
      <c r="H127" t="str">
        <f>IFERROR(IF(VLOOKUP(A127,Entrada!A:C,3,FALSE)=Table15[[#Headers],[Entrada]],Table15[[#Headers],[Entrada]],""),"")</f>
        <v>Entrada</v>
      </c>
      <c r="I127" t="str">
        <f>IFERROR(IF(VLOOKUP(A127,Virgen!A:C,3,FALSE)=Table15[[#Headers],[Virgen]],Table15[[#Headers],[Virgen]],""),"")</f>
        <v/>
      </c>
      <c r="J127" t="str">
        <f>IFERROR(IF(VLOOKUP(A127,Paz!A:C,3,FALSE)=Table15[[#Headers],[Paz]],Table15[[#Headers],[Paz]],""),"")</f>
        <v/>
      </c>
      <c r="K127" t="str">
        <f>IFERROR(IF(VLOOKUP(A127,Pan!A:C,3,FALSE)=Table15[[#Headers],[Pan]],Table15[[#Headers],[Pan]],""),"")</f>
        <v/>
      </c>
      <c r="L127" t="str">
        <f>IFERROR(IF(VLOOKUP(A127,Comunión!A:C,3,FALSE)=Table15[[#Headers],[Comunión]],Table15[[#Headers],[Comunión]],""),"")</f>
        <v/>
      </c>
      <c r="M127" t="str">
        <f>IFERROR(IF(VLOOKUP(A127,Niños!A:C,3,FALSE)=Table15[[#Headers],[Niños]],Table15[[#Headers],[Niños]],""),"")</f>
        <v/>
      </c>
      <c r="N127" t="str">
        <f>IFERROR(IF(VLOOKUP(A127,Laudes!A:C,3,FALSE)=Table15[[#Headers],[Laudes]],Table15[[#Headers],[Laudes]],""),"")</f>
        <v>Laudes</v>
      </c>
      <c r="O127" t="str">
        <f>IFERROR(IF(VLOOKUP(A127,'Nuevo Testamento'!A:C,3,FALSE)=Table15[[#Headers],[Nuevo Testamento]],Table15[[#Headers],[Nuevo Testamento]],""),"")</f>
        <v/>
      </c>
      <c r="P127" t="str">
        <f>IFERROR(IF(VLOOKUP(A127,'Antiguo Testamento'!A:C,3,FALSE)=Table15[[#Headers],[Antiguo Testamento]],Table15[[#Headers],[Antiguo Testamento]],""),"")</f>
        <v>Antiguo Testamento</v>
      </c>
      <c r="Q127" t="str">
        <f>IFERROR(IF(VLOOKUP(A127,Final!A:C,3,FALSE)=Table15[[#Headers],[Final]],Table15[[#Headers],[Final]],""),"")</f>
        <v/>
      </c>
    </row>
    <row r="128" spans="1:17" x14ac:dyDescent="0.25">
      <c r="A128" t="s">
        <v>184</v>
      </c>
      <c r="B128">
        <v>129</v>
      </c>
      <c r="C128" t="str">
        <f>IFERROR(IF(VLOOKUP(A128,Adviento!A:C,3,FALSE)=Table15[[#Headers],[Adviento]],Table15[[#Headers],[Adviento]],""),"")</f>
        <v/>
      </c>
      <c r="D128" t="str">
        <f>IFERROR(IF(VLOOKUP(A128,Navidad!A:C,3,FALSE)=Table15[[#Headers],[Navidad]],Table15[[#Headers],[Navidad]],""),"")</f>
        <v/>
      </c>
      <c r="E128" t="str">
        <f>IFERROR(IF(VLOOKUP(A128,Cuaresma!A:C,3,FALSE)=Table15[[#Headers],[Cuaresma]],Table15[[#Headers],[Cuaresma]],""),"")</f>
        <v/>
      </c>
      <c r="F128" t="str">
        <f>IFERROR(IF(VLOOKUP(A128,Pascua!A:C,3,FALSE)=Table15[[#Headers],[Pascua]],Table15[[#Headers],[Pascua]],""),"")</f>
        <v>Pascua</v>
      </c>
      <c r="G128" t="str">
        <f>IFERROR(IF(VLOOKUP(A128,Pentecostés!A:C,3,FALSE)=Table15[[#Headers],[Pentecostés]],Table15[[#Headers],[Pentecostés]],""),"")</f>
        <v>Pentecostés</v>
      </c>
      <c r="H128" t="str">
        <f>IFERROR(IF(VLOOKUP(A128,Entrada!A:C,3,FALSE)=Table15[[#Headers],[Entrada]],Table15[[#Headers],[Entrada]],""),"")</f>
        <v>Entrada</v>
      </c>
      <c r="I128" t="str">
        <f>IFERROR(IF(VLOOKUP(A128,Virgen!A:C,3,FALSE)=Table15[[#Headers],[Virgen]],Table15[[#Headers],[Virgen]],""),"")</f>
        <v/>
      </c>
      <c r="J128" t="str">
        <f>IFERROR(IF(VLOOKUP(A128,Paz!A:C,3,FALSE)=Table15[[#Headers],[Paz]],Table15[[#Headers],[Paz]],""),"")</f>
        <v/>
      </c>
      <c r="K128" t="str">
        <f>IFERROR(IF(VLOOKUP(A128,Pan!A:C,3,FALSE)=Table15[[#Headers],[Pan]],Table15[[#Headers],[Pan]],""),"")</f>
        <v/>
      </c>
      <c r="L128" t="str">
        <f>IFERROR(IF(VLOOKUP(A128,Comunión!A:C,3,FALSE)=Table15[[#Headers],[Comunión]],Table15[[#Headers],[Comunión]],""),"")</f>
        <v/>
      </c>
      <c r="M128" t="str">
        <f>IFERROR(IF(VLOOKUP(A128,Niños!A:C,3,FALSE)=Table15[[#Headers],[Niños]],Table15[[#Headers],[Niños]],""),"")</f>
        <v/>
      </c>
      <c r="N128" t="str">
        <f>IFERROR(IF(VLOOKUP(A128,Laudes!A:C,3,FALSE)=Table15[[#Headers],[Laudes]],Table15[[#Headers],[Laudes]],""),"")</f>
        <v/>
      </c>
      <c r="O128" t="str">
        <f>IFERROR(IF(VLOOKUP(A128,'Nuevo Testamento'!A:C,3,FALSE)=Table15[[#Headers],[Nuevo Testamento]],Table15[[#Headers],[Nuevo Testamento]],""),"")</f>
        <v/>
      </c>
      <c r="P128" t="str">
        <f>IFERROR(IF(VLOOKUP(A128,'Antiguo Testamento'!A:C,3,FALSE)=Table15[[#Headers],[Antiguo Testamento]],Table15[[#Headers],[Antiguo Testamento]],""),"")</f>
        <v>Antiguo Testamento</v>
      </c>
      <c r="Q128" t="str">
        <f>IFERROR(IF(VLOOKUP(A128,Final!A:C,3,FALSE)=Table15[[#Headers],[Final]],Table15[[#Headers],[Final]],""),"")</f>
        <v/>
      </c>
    </row>
    <row r="129" spans="1:17" x14ac:dyDescent="0.25">
      <c r="A129" t="s">
        <v>185</v>
      </c>
      <c r="B129">
        <v>130</v>
      </c>
      <c r="C129" t="str">
        <f>IFERROR(IF(VLOOKUP(A129,Adviento!A:C,3,FALSE)=Table15[[#Headers],[Adviento]],Table15[[#Headers],[Adviento]],""),"")</f>
        <v/>
      </c>
      <c r="D129" t="str">
        <f>IFERROR(IF(VLOOKUP(A129,Navidad!A:C,3,FALSE)=Table15[[#Headers],[Navidad]],Table15[[#Headers],[Navidad]],""),"")</f>
        <v/>
      </c>
      <c r="E129" t="str">
        <f>IFERROR(IF(VLOOKUP(A129,Cuaresma!A:C,3,FALSE)=Table15[[#Headers],[Cuaresma]],Table15[[#Headers],[Cuaresma]],""),"")</f>
        <v/>
      </c>
      <c r="F129" t="str">
        <f>IFERROR(IF(VLOOKUP(A129,Pascua!A:C,3,FALSE)=Table15[[#Headers],[Pascua]],Table15[[#Headers],[Pascua]],""),"")</f>
        <v>Pascua</v>
      </c>
      <c r="G129" t="str">
        <f>IFERROR(IF(VLOOKUP(A129,Pentecostés!A:C,3,FALSE)=Table15[[#Headers],[Pentecostés]],Table15[[#Headers],[Pentecostés]],""),"")</f>
        <v>Pentecostés</v>
      </c>
      <c r="H129" t="str">
        <f>IFERROR(IF(VLOOKUP(A129,Entrada!A:C,3,FALSE)=Table15[[#Headers],[Entrada]],Table15[[#Headers],[Entrada]],""),"")</f>
        <v/>
      </c>
      <c r="I129" t="str">
        <f>IFERROR(IF(VLOOKUP(A129,Virgen!A:C,3,FALSE)=Table15[[#Headers],[Virgen]],Table15[[#Headers],[Virgen]],""),"")</f>
        <v>Virgen</v>
      </c>
      <c r="J129" t="str">
        <f>IFERROR(IF(VLOOKUP(A129,Paz!A:C,3,FALSE)=Table15[[#Headers],[Paz]],Table15[[#Headers],[Paz]],""),"")</f>
        <v/>
      </c>
      <c r="K129" t="str">
        <f>IFERROR(IF(VLOOKUP(A129,Pan!A:C,3,FALSE)=Table15[[#Headers],[Pan]],Table15[[#Headers],[Pan]],""),"")</f>
        <v/>
      </c>
      <c r="L129" t="str">
        <f>IFERROR(IF(VLOOKUP(A129,Comunión!A:C,3,FALSE)=Table15[[#Headers],[Comunión]],Table15[[#Headers],[Comunión]],""),"")</f>
        <v/>
      </c>
      <c r="M129" t="str">
        <f>IFERROR(IF(VLOOKUP(A129,Niños!A:C,3,FALSE)=Table15[[#Headers],[Niños]],Table15[[#Headers],[Niños]],""),"")</f>
        <v/>
      </c>
      <c r="N129" t="str">
        <f>IFERROR(IF(VLOOKUP(A129,Laudes!A:C,3,FALSE)=Table15[[#Headers],[Laudes]],Table15[[#Headers],[Laudes]],""),"")</f>
        <v/>
      </c>
      <c r="O129" t="str">
        <f>IFERROR(IF(VLOOKUP(A129,'Nuevo Testamento'!A:C,3,FALSE)=Table15[[#Headers],[Nuevo Testamento]],Table15[[#Headers],[Nuevo Testamento]],""),"")</f>
        <v/>
      </c>
      <c r="P129" t="str">
        <f>IFERROR(IF(VLOOKUP(A129,'Antiguo Testamento'!A:C,3,FALSE)=Table15[[#Headers],[Antiguo Testamento]],Table15[[#Headers],[Antiguo Testamento]],""),"")</f>
        <v/>
      </c>
      <c r="Q129" t="str">
        <f>IFERROR(IF(VLOOKUP(A129,Final!A:C,3,FALSE)=Table15[[#Headers],[Final]],Table15[[#Headers],[Final]],""),"")</f>
        <v/>
      </c>
    </row>
    <row r="130" spans="1:17" x14ac:dyDescent="0.25">
      <c r="A130" t="s">
        <v>75</v>
      </c>
      <c r="B130">
        <v>131</v>
      </c>
      <c r="C130" t="str">
        <f>IFERROR(IF(VLOOKUP(A130,Adviento!A:C,3,FALSE)=Table15[[#Headers],[Adviento]],Table15[[#Headers],[Adviento]],""),"")</f>
        <v/>
      </c>
      <c r="D130" t="str">
        <f>IFERROR(IF(VLOOKUP(A130,Navidad!A:C,3,FALSE)=Table15[[#Headers],[Navidad]],Table15[[#Headers],[Navidad]],""),"")</f>
        <v/>
      </c>
      <c r="E130" t="str">
        <f>IFERROR(IF(VLOOKUP(A130,Cuaresma!A:C,3,FALSE)=Table15[[#Headers],[Cuaresma]],Table15[[#Headers],[Cuaresma]],""),"")</f>
        <v/>
      </c>
      <c r="F130" t="str">
        <f>IFERROR(IF(VLOOKUP(A130,Pascua!A:C,3,FALSE)=Table15[[#Headers],[Pascua]],Table15[[#Headers],[Pascua]],""),"")</f>
        <v>Pascua</v>
      </c>
      <c r="G130" t="str">
        <f>IFERROR(IF(VLOOKUP(A130,Pentecostés!A:C,3,FALSE)=Table15[[#Headers],[Pentecostés]],Table15[[#Headers],[Pentecostés]],""),"")</f>
        <v>Pentecostés</v>
      </c>
      <c r="H130" t="str">
        <f>IFERROR(IF(VLOOKUP(A130,Entrada!A:C,3,FALSE)=Table15[[#Headers],[Entrada]],Table15[[#Headers],[Entrada]],""),"")</f>
        <v/>
      </c>
      <c r="I130" t="str">
        <f>IFERROR(IF(VLOOKUP(A130,Virgen!A:C,3,FALSE)=Table15[[#Headers],[Virgen]],Table15[[#Headers],[Virgen]],""),"")</f>
        <v/>
      </c>
      <c r="J130" t="str">
        <f>IFERROR(IF(VLOOKUP(A130,Paz!A:C,3,FALSE)=Table15[[#Headers],[Paz]],Table15[[#Headers],[Paz]],""),"")</f>
        <v/>
      </c>
      <c r="K130" t="str">
        <f>IFERROR(IF(VLOOKUP(A130,Pan!A:C,3,FALSE)=Table15[[#Headers],[Pan]],Table15[[#Headers],[Pan]],""),"")</f>
        <v/>
      </c>
      <c r="L130" t="str">
        <f>IFERROR(IF(VLOOKUP(A130,Comunión!A:C,3,FALSE)=Table15[[#Headers],[Comunión]],Table15[[#Headers],[Comunión]],""),"")</f>
        <v>Comunión</v>
      </c>
      <c r="M130" t="str">
        <f>IFERROR(IF(VLOOKUP(A130,Niños!A:C,3,FALSE)=Table15[[#Headers],[Niños]],Table15[[#Headers],[Niños]],""),"")</f>
        <v/>
      </c>
      <c r="N130" t="str">
        <f>IFERROR(IF(VLOOKUP(A130,Laudes!A:C,3,FALSE)=Table15[[#Headers],[Laudes]],Table15[[#Headers],[Laudes]],""),"")</f>
        <v/>
      </c>
      <c r="O130" t="str">
        <f>IFERROR(IF(VLOOKUP(A130,'Nuevo Testamento'!A:C,3,FALSE)=Table15[[#Headers],[Nuevo Testamento]],Table15[[#Headers],[Nuevo Testamento]],""),"")</f>
        <v/>
      </c>
      <c r="P130" t="str">
        <f>IFERROR(IF(VLOOKUP(A130,'Antiguo Testamento'!A:C,3,FALSE)=Table15[[#Headers],[Antiguo Testamento]],Table15[[#Headers],[Antiguo Testamento]],""),"")</f>
        <v/>
      </c>
      <c r="Q130" t="str">
        <f>IFERROR(IF(VLOOKUP(A130,Final!A:C,3,FALSE)=Table15[[#Headers],[Final]],Table15[[#Headers],[Final]],""),"")</f>
        <v/>
      </c>
    </row>
    <row r="131" spans="1:17" x14ac:dyDescent="0.25">
      <c r="A131" t="s">
        <v>239</v>
      </c>
      <c r="B131">
        <v>132</v>
      </c>
      <c r="C131" t="str">
        <f>IFERROR(IF(VLOOKUP(A131,Adviento!A:C,3,FALSE)=Table15[[#Headers],[Adviento]],Table15[[#Headers],[Adviento]],""),"")</f>
        <v/>
      </c>
      <c r="D131" t="str">
        <f>IFERROR(IF(VLOOKUP(A131,Navidad!A:C,3,FALSE)=Table15[[#Headers],[Navidad]],Table15[[#Headers],[Navidad]],""),"")</f>
        <v/>
      </c>
      <c r="E131" t="str">
        <f>IFERROR(IF(VLOOKUP(A131,Cuaresma!A:C,3,FALSE)=Table15[[#Headers],[Cuaresma]],Table15[[#Headers],[Cuaresma]],""),"")</f>
        <v/>
      </c>
      <c r="F131" t="str">
        <f>IFERROR(IF(VLOOKUP(A131,Pascua!A:C,3,FALSE)=Table15[[#Headers],[Pascua]],Table15[[#Headers],[Pascua]],""),"")</f>
        <v/>
      </c>
      <c r="G131" t="str">
        <f>IFERROR(IF(VLOOKUP(A131,Pentecostés!A:C,3,FALSE)=Table15[[#Headers],[Pentecostés]],Table15[[#Headers],[Pentecostés]],""),"")</f>
        <v/>
      </c>
      <c r="H131" t="str">
        <f>IFERROR(IF(VLOOKUP(A131,Entrada!A:C,3,FALSE)=Table15[[#Headers],[Entrada]],Table15[[#Headers],[Entrada]],""),"")</f>
        <v/>
      </c>
      <c r="I131" t="str">
        <f>IFERROR(IF(VLOOKUP(A131,Virgen!A:C,3,FALSE)=Table15[[#Headers],[Virgen]],Table15[[#Headers],[Virgen]],""),"")</f>
        <v/>
      </c>
      <c r="J131" t="str">
        <f>IFERROR(IF(VLOOKUP(A131,Paz!A:C,3,FALSE)=Table15[[#Headers],[Paz]],Table15[[#Headers],[Paz]],""),"")</f>
        <v>Paz</v>
      </c>
      <c r="K131" t="str">
        <f>IFERROR(IF(VLOOKUP(A131,Pan!A:C,3,FALSE)=Table15[[#Headers],[Pan]],Table15[[#Headers],[Pan]],""),"")</f>
        <v/>
      </c>
      <c r="L131" t="str">
        <f>IFERROR(IF(VLOOKUP(A131,Comunión!A:C,3,FALSE)=Table15[[#Headers],[Comunión]],Table15[[#Headers],[Comunión]],""),"")</f>
        <v/>
      </c>
      <c r="M131" t="str">
        <f>IFERROR(IF(VLOOKUP(A131,Niños!A:C,3,FALSE)=Table15[[#Headers],[Niños]],Table15[[#Headers],[Niños]],""),"")</f>
        <v/>
      </c>
      <c r="N131" t="str">
        <f>IFERROR(IF(VLOOKUP(A131,Laudes!A:C,3,FALSE)=Table15[[#Headers],[Laudes]],Table15[[#Headers],[Laudes]],""),"")</f>
        <v/>
      </c>
      <c r="O131" t="str">
        <f>IFERROR(IF(VLOOKUP(A131,'Nuevo Testamento'!A:C,3,FALSE)=Table15[[#Headers],[Nuevo Testamento]],Table15[[#Headers],[Nuevo Testamento]],""),"")</f>
        <v/>
      </c>
      <c r="P131" t="str">
        <f>IFERROR(IF(VLOOKUP(A131,'Antiguo Testamento'!A:C,3,FALSE)=Table15[[#Headers],[Antiguo Testamento]],Table15[[#Headers],[Antiguo Testamento]],""),"")</f>
        <v>Antiguo Testamento</v>
      </c>
      <c r="Q131" t="str">
        <f>IFERROR(IF(VLOOKUP(A131,Final!A:C,3,FALSE)=Table15[[#Headers],[Final]],Table15[[#Headers],[Final]],""),"")</f>
        <v/>
      </c>
    </row>
    <row r="132" spans="1:17" x14ac:dyDescent="0.25">
      <c r="A132" t="s">
        <v>186</v>
      </c>
      <c r="B132">
        <v>133</v>
      </c>
      <c r="C132" t="str">
        <f>IFERROR(IF(VLOOKUP(A132,Adviento!A:C,3,FALSE)=Table15[[#Headers],[Adviento]],Table15[[#Headers],[Adviento]],""),"")</f>
        <v/>
      </c>
      <c r="D132" t="str">
        <f>IFERROR(IF(VLOOKUP(A132,Navidad!A:C,3,FALSE)=Table15[[#Headers],[Navidad]],Table15[[#Headers],[Navidad]],""),"")</f>
        <v/>
      </c>
      <c r="E132" t="str">
        <f>IFERROR(IF(VLOOKUP(A132,Cuaresma!A:C,3,FALSE)=Table15[[#Headers],[Cuaresma]],Table15[[#Headers],[Cuaresma]],""),"")</f>
        <v/>
      </c>
      <c r="F132" t="str">
        <f>IFERROR(IF(VLOOKUP(A132,Pascua!A:C,3,FALSE)=Table15[[#Headers],[Pascua]],Table15[[#Headers],[Pascua]],""),"")</f>
        <v>Pascua</v>
      </c>
      <c r="G132" t="str">
        <f>IFERROR(IF(VLOOKUP(A132,Pentecostés!A:C,3,FALSE)=Table15[[#Headers],[Pentecostés]],Table15[[#Headers],[Pentecostés]],""),"")</f>
        <v>Pentecostés</v>
      </c>
      <c r="H132" t="str">
        <f>IFERROR(IF(VLOOKUP(A132,Entrada!A:C,3,FALSE)=Table15[[#Headers],[Entrada]],Table15[[#Headers],[Entrada]],""),"")</f>
        <v/>
      </c>
      <c r="I132" t="str">
        <f>IFERROR(IF(VLOOKUP(A132,Virgen!A:C,3,FALSE)=Table15[[#Headers],[Virgen]],Table15[[#Headers],[Virgen]],""),"")</f>
        <v/>
      </c>
      <c r="J132" t="str">
        <f>IFERROR(IF(VLOOKUP(A132,Paz!A:C,3,FALSE)=Table15[[#Headers],[Paz]],Table15[[#Headers],[Paz]],""),"")</f>
        <v/>
      </c>
      <c r="K132" t="str">
        <f>IFERROR(IF(VLOOKUP(A132,Pan!A:C,3,FALSE)=Table15[[#Headers],[Pan]],Table15[[#Headers],[Pan]],""),"")</f>
        <v/>
      </c>
      <c r="L132" t="str">
        <f>IFERROR(IF(VLOOKUP(A132,Comunión!A:C,3,FALSE)=Table15[[#Headers],[Comunión]],Table15[[#Headers],[Comunión]],""),"")</f>
        <v/>
      </c>
      <c r="M132" t="str">
        <f>IFERROR(IF(VLOOKUP(A132,Niños!A:C,3,FALSE)=Table15[[#Headers],[Niños]],Table15[[#Headers],[Niños]],""),"")</f>
        <v>Niños</v>
      </c>
      <c r="N132" t="str">
        <f>IFERROR(IF(VLOOKUP(A132,Laudes!A:C,3,FALSE)=Table15[[#Headers],[Laudes]],Table15[[#Headers],[Laudes]],""),"")</f>
        <v/>
      </c>
      <c r="O132" t="str">
        <f>IFERROR(IF(VLOOKUP(A132,'Nuevo Testamento'!A:C,3,FALSE)=Table15[[#Headers],[Nuevo Testamento]],Table15[[#Headers],[Nuevo Testamento]],""),"")</f>
        <v/>
      </c>
      <c r="P132" t="str">
        <f>IFERROR(IF(VLOOKUP(A132,'Antiguo Testamento'!A:C,3,FALSE)=Table15[[#Headers],[Antiguo Testamento]],Table15[[#Headers],[Antiguo Testamento]],""),"")</f>
        <v/>
      </c>
      <c r="Q132" t="str">
        <f>IFERROR(IF(VLOOKUP(A132,Final!A:C,3,FALSE)=Table15[[#Headers],[Final]],Table15[[#Headers],[Final]],""),"")</f>
        <v/>
      </c>
    </row>
    <row r="133" spans="1:17" x14ac:dyDescent="0.25">
      <c r="A133" t="s">
        <v>187</v>
      </c>
      <c r="B133">
        <v>134</v>
      </c>
      <c r="C133" t="str">
        <f>IFERROR(IF(VLOOKUP(A133,Adviento!A:C,3,FALSE)=Table15[[#Headers],[Adviento]],Table15[[#Headers],[Adviento]],""),"")</f>
        <v/>
      </c>
      <c r="D133" t="str">
        <f>IFERROR(IF(VLOOKUP(A133,Navidad!A:C,3,FALSE)=Table15[[#Headers],[Navidad]],Table15[[#Headers],[Navidad]],""),"")</f>
        <v/>
      </c>
      <c r="E133" t="str">
        <f>IFERROR(IF(VLOOKUP(A133,Cuaresma!A:C,3,FALSE)=Table15[[#Headers],[Cuaresma]],Table15[[#Headers],[Cuaresma]],""),"")</f>
        <v>Cuaresma</v>
      </c>
      <c r="F133" t="str">
        <f>IFERROR(IF(VLOOKUP(A133,Pascua!A:C,3,FALSE)=Table15[[#Headers],[Pascua]],Table15[[#Headers],[Pascua]],""),"")</f>
        <v/>
      </c>
      <c r="G133" t="str">
        <f>IFERROR(IF(VLOOKUP(A133,Pentecostés!A:C,3,FALSE)=Table15[[#Headers],[Pentecostés]],Table15[[#Headers],[Pentecostés]],""),"")</f>
        <v/>
      </c>
      <c r="H133" t="str">
        <f>IFERROR(IF(VLOOKUP(A133,Entrada!A:C,3,FALSE)=Table15[[#Headers],[Entrada]],Table15[[#Headers],[Entrada]],""),"")</f>
        <v/>
      </c>
      <c r="I133" t="str">
        <f>IFERROR(IF(VLOOKUP(A133,Virgen!A:C,3,FALSE)=Table15[[#Headers],[Virgen]],Table15[[#Headers],[Virgen]],""),"")</f>
        <v/>
      </c>
      <c r="J133" t="str">
        <f>IFERROR(IF(VLOOKUP(A133,Paz!A:C,3,FALSE)=Table15[[#Headers],[Paz]],Table15[[#Headers],[Paz]],""),"")</f>
        <v/>
      </c>
      <c r="K133" t="str">
        <f>IFERROR(IF(VLOOKUP(A133,Pan!A:C,3,FALSE)=Table15[[#Headers],[Pan]],Table15[[#Headers],[Pan]],""),"")</f>
        <v/>
      </c>
      <c r="L133" t="str">
        <f>IFERROR(IF(VLOOKUP(A133,Comunión!A:C,3,FALSE)=Table15[[#Headers],[Comunión]],Table15[[#Headers],[Comunión]],""),"")</f>
        <v/>
      </c>
      <c r="M133" t="str">
        <f>IFERROR(IF(VLOOKUP(A133,Niños!A:C,3,FALSE)=Table15[[#Headers],[Niños]],Table15[[#Headers],[Niños]],""),"")</f>
        <v/>
      </c>
      <c r="N133" t="str">
        <f>IFERROR(IF(VLOOKUP(A133,Laudes!A:C,3,FALSE)=Table15[[#Headers],[Laudes]],Table15[[#Headers],[Laudes]],""),"")</f>
        <v>Laudes</v>
      </c>
      <c r="O133" t="str">
        <f>IFERROR(IF(VLOOKUP(A133,'Nuevo Testamento'!A:C,3,FALSE)=Table15[[#Headers],[Nuevo Testamento]],Table15[[#Headers],[Nuevo Testamento]],""),"")</f>
        <v/>
      </c>
      <c r="P133" t="str">
        <f>IFERROR(IF(VLOOKUP(A133,'Antiguo Testamento'!A:C,3,FALSE)=Table15[[#Headers],[Antiguo Testamento]],Table15[[#Headers],[Antiguo Testamento]],""),"")</f>
        <v>Antiguo Testamento</v>
      </c>
      <c r="Q133" t="str">
        <f>IFERROR(IF(VLOOKUP(A133,Final!A:C,3,FALSE)=Table15[[#Headers],[Final]],Table15[[#Headers],[Final]],""),"")</f>
        <v/>
      </c>
    </row>
    <row r="134" spans="1:17" x14ac:dyDescent="0.25">
      <c r="A134" t="s">
        <v>188</v>
      </c>
      <c r="B134">
        <v>135</v>
      </c>
      <c r="C134" t="str">
        <f>IFERROR(IF(VLOOKUP(A134,Adviento!A:C,3,FALSE)=Table15[[#Headers],[Adviento]],Table15[[#Headers],[Adviento]],""),"")</f>
        <v/>
      </c>
      <c r="D134" t="str">
        <f>IFERROR(IF(VLOOKUP(A134,Navidad!A:C,3,FALSE)=Table15[[#Headers],[Navidad]],Table15[[#Headers],[Navidad]],""),"")</f>
        <v/>
      </c>
      <c r="E134" t="str">
        <f>IFERROR(IF(VLOOKUP(A134,Cuaresma!A:C,3,FALSE)=Table15[[#Headers],[Cuaresma]],Table15[[#Headers],[Cuaresma]],""),"")</f>
        <v/>
      </c>
      <c r="F134" t="str">
        <f>IFERROR(IF(VLOOKUP(A134,Pascua!A:C,3,FALSE)=Table15[[#Headers],[Pascua]],Table15[[#Headers],[Pascua]],""),"")</f>
        <v/>
      </c>
      <c r="G134" t="str">
        <f>IFERROR(IF(VLOOKUP(A134,Pentecostés!A:C,3,FALSE)=Table15[[#Headers],[Pentecostés]],Table15[[#Headers],[Pentecostés]],""),"")</f>
        <v/>
      </c>
      <c r="H134" t="str">
        <f>IFERROR(IF(VLOOKUP(A134,Entrada!A:C,3,FALSE)=Table15[[#Headers],[Entrada]],Table15[[#Headers],[Entrada]],""),"")</f>
        <v/>
      </c>
      <c r="I134" t="str">
        <f>IFERROR(IF(VLOOKUP(A134,Virgen!A:C,3,FALSE)=Table15[[#Headers],[Virgen]],Table15[[#Headers],[Virgen]],""),"")</f>
        <v/>
      </c>
      <c r="J134" t="str">
        <f>IFERROR(IF(VLOOKUP(A134,Paz!A:C,3,FALSE)=Table15[[#Headers],[Paz]],Table15[[#Headers],[Paz]],""),"")</f>
        <v/>
      </c>
      <c r="K134" t="str">
        <f>IFERROR(IF(VLOOKUP(A134,Pan!A:C,3,FALSE)=Table15[[#Headers],[Pan]],Table15[[#Headers],[Pan]],""),"")</f>
        <v/>
      </c>
      <c r="L134" t="str">
        <f>IFERROR(IF(VLOOKUP(A134,Comunión!A:C,3,FALSE)=Table15[[#Headers],[Comunión]],Table15[[#Headers],[Comunión]],""),"")</f>
        <v/>
      </c>
      <c r="M134" t="str">
        <f>IFERROR(IF(VLOOKUP(A134,Niños!A:C,3,FALSE)=Table15[[#Headers],[Niños]],Table15[[#Headers],[Niños]],""),"")</f>
        <v/>
      </c>
      <c r="N134" t="str">
        <f>IFERROR(IF(VLOOKUP(A134,Laudes!A:C,3,FALSE)=Table15[[#Headers],[Laudes]],Table15[[#Headers],[Laudes]],""),"")</f>
        <v>Laudes</v>
      </c>
      <c r="O134" t="str">
        <f>IFERROR(IF(VLOOKUP(A134,'Nuevo Testamento'!A:C,3,FALSE)=Table15[[#Headers],[Nuevo Testamento]],Table15[[#Headers],[Nuevo Testamento]],""),"")</f>
        <v>Nuevo Testamento</v>
      </c>
      <c r="P134" t="str">
        <f>IFERROR(IF(VLOOKUP(A134,'Antiguo Testamento'!A:C,3,FALSE)=Table15[[#Headers],[Antiguo Testamento]],Table15[[#Headers],[Antiguo Testamento]],""),"")</f>
        <v/>
      </c>
      <c r="Q134" t="str">
        <f>IFERROR(IF(VLOOKUP(A134,Final!A:C,3,FALSE)=Table15[[#Headers],[Final]],Table15[[#Headers],[Final]],""),"")</f>
        <v/>
      </c>
    </row>
    <row r="135" spans="1:17" x14ac:dyDescent="0.25">
      <c r="A135" t="s">
        <v>190</v>
      </c>
      <c r="B135">
        <v>136</v>
      </c>
      <c r="C135" t="str">
        <f>IFERROR(IF(VLOOKUP(A135,Adviento!A:C,3,FALSE)=Table15[[#Headers],[Adviento]],Table15[[#Headers],[Adviento]],""),"")</f>
        <v/>
      </c>
      <c r="D135" t="str">
        <f>IFERROR(IF(VLOOKUP(A135,Navidad!A:C,3,FALSE)=Table15[[#Headers],[Navidad]],Table15[[#Headers],[Navidad]],""),"")</f>
        <v/>
      </c>
      <c r="E135" t="str">
        <f>IFERROR(IF(VLOOKUP(A135,Cuaresma!A:C,3,FALSE)=Table15[[#Headers],[Cuaresma]],Table15[[#Headers],[Cuaresma]],""),"")</f>
        <v>Cuaresma</v>
      </c>
      <c r="F135" t="str">
        <f>IFERROR(IF(VLOOKUP(A135,Pascua!A:C,3,FALSE)=Table15[[#Headers],[Pascua]],Table15[[#Headers],[Pascua]],""),"")</f>
        <v/>
      </c>
      <c r="G135" t="str">
        <f>IFERROR(IF(VLOOKUP(A135,Pentecostés!A:C,3,FALSE)=Table15[[#Headers],[Pentecostés]],Table15[[#Headers],[Pentecostés]],""),"")</f>
        <v/>
      </c>
      <c r="H135" t="str">
        <f>IFERROR(IF(VLOOKUP(A135,Entrada!A:C,3,FALSE)=Table15[[#Headers],[Entrada]],Table15[[#Headers],[Entrada]],""),"")</f>
        <v>Entrada</v>
      </c>
      <c r="I135" t="str">
        <f>IFERROR(IF(VLOOKUP(A135,Virgen!A:C,3,FALSE)=Table15[[#Headers],[Virgen]],Table15[[#Headers],[Virgen]],""),"")</f>
        <v/>
      </c>
      <c r="J135" t="str">
        <f>IFERROR(IF(VLOOKUP(A135,Paz!A:C,3,FALSE)=Table15[[#Headers],[Paz]],Table15[[#Headers],[Paz]],""),"")</f>
        <v/>
      </c>
      <c r="K135" t="str">
        <f>IFERROR(IF(VLOOKUP(A135,Pan!A:C,3,FALSE)=Table15[[#Headers],[Pan]],Table15[[#Headers],[Pan]],""),"")</f>
        <v/>
      </c>
      <c r="L135" t="str">
        <f>IFERROR(IF(VLOOKUP(A135,Comunión!A:C,3,FALSE)=Table15[[#Headers],[Comunión]],Table15[[#Headers],[Comunión]],""),"")</f>
        <v/>
      </c>
      <c r="M135" t="str">
        <f>IFERROR(IF(VLOOKUP(A135,Niños!A:C,3,FALSE)=Table15[[#Headers],[Niños]],Table15[[#Headers],[Niños]],""),"")</f>
        <v/>
      </c>
      <c r="N135" t="str">
        <f>IFERROR(IF(VLOOKUP(A135,Laudes!A:C,3,FALSE)=Table15[[#Headers],[Laudes]],Table15[[#Headers],[Laudes]],""),"")</f>
        <v/>
      </c>
      <c r="O135" t="str">
        <f>IFERROR(IF(VLOOKUP(A135,'Nuevo Testamento'!A:C,3,FALSE)=Table15[[#Headers],[Nuevo Testamento]],Table15[[#Headers],[Nuevo Testamento]],""),"")</f>
        <v/>
      </c>
      <c r="P135" t="str">
        <f>IFERROR(IF(VLOOKUP(A135,'Antiguo Testamento'!A:C,3,FALSE)=Table15[[#Headers],[Antiguo Testamento]],Table15[[#Headers],[Antiguo Testamento]],""),"")</f>
        <v>Antiguo Testamento</v>
      </c>
      <c r="Q135" t="str">
        <f>IFERROR(IF(VLOOKUP(A135,Final!A:C,3,FALSE)=Table15[[#Headers],[Final]],Table15[[#Headers],[Final]],""),"")</f>
        <v/>
      </c>
    </row>
    <row r="136" spans="1:17" x14ac:dyDescent="0.25">
      <c r="A136" t="s">
        <v>80</v>
      </c>
      <c r="B136">
        <v>137</v>
      </c>
      <c r="C136" t="str">
        <f>IFERROR(IF(VLOOKUP(A136,Adviento!A:C,3,FALSE)=Table15[[#Headers],[Adviento]],Table15[[#Headers],[Adviento]],""),"")</f>
        <v/>
      </c>
      <c r="D136" t="str">
        <f>IFERROR(IF(VLOOKUP(A136,Navidad!A:C,3,FALSE)=Table15[[#Headers],[Navidad]],Table15[[#Headers],[Navidad]],""),"")</f>
        <v/>
      </c>
      <c r="E136" t="str">
        <f>IFERROR(IF(VLOOKUP(A136,Cuaresma!A:C,3,FALSE)=Table15[[#Headers],[Cuaresma]],Table15[[#Headers],[Cuaresma]],""),"")</f>
        <v/>
      </c>
      <c r="F136" t="str">
        <f>IFERROR(IF(VLOOKUP(A136,Pascua!A:C,3,FALSE)=Table15[[#Headers],[Pascua]],Table15[[#Headers],[Pascua]],""),"")</f>
        <v/>
      </c>
      <c r="G136" t="str">
        <f>IFERROR(IF(VLOOKUP(A136,Pentecostés!A:C,3,FALSE)=Table15[[#Headers],[Pentecostés]],Table15[[#Headers],[Pentecostés]],""),"")</f>
        <v/>
      </c>
      <c r="H136" t="str">
        <f>IFERROR(IF(VLOOKUP(A136,Entrada!A:C,3,FALSE)=Table15[[#Headers],[Entrada]],Table15[[#Headers],[Entrada]],""),"")</f>
        <v/>
      </c>
      <c r="I136" t="str">
        <f>IFERROR(IF(VLOOKUP(A136,Virgen!A:C,3,FALSE)=Table15[[#Headers],[Virgen]],Table15[[#Headers],[Virgen]],""),"")</f>
        <v/>
      </c>
      <c r="J136" t="str">
        <f>IFERROR(IF(VLOOKUP(A136,Paz!A:C,3,FALSE)=Table15[[#Headers],[Paz]],Table15[[#Headers],[Paz]],""),"")</f>
        <v>Paz</v>
      </c>
      <c r="K136" t="str">
        <f>IFERROR(IF(VLOOKUP(A136,Pan!A:C,3,FALSE)=Table15[[#Headers],[Pan]],Table15[[#Headers],[Pan]],""),"")</f>
        <v/>
      </c>
      <c r="L136" t="str">
        <f>IFERROR(IF(VLOOKUP(A136,Comunión!A:C,3,FALSE)=Table15[[#Headers],[Comunión]],Table15[[#Headers],[Comunión]],""),"")</f>
        <v/>
      </c>
      <c r="M136" t="str">
        <f>IFERROR(IF(VLOOKUP(A136,Niños!A:C,3,FALSE)=Table15[[#Headers],[Niños]],Table15[[#Headers],[Niños]],""),"")</f>
        <v/>
      </c>
      <c r="N136" t="str">
        <f>IFERROR(IF(VLOOKUP(A136,Laudes!A:C,3,FALSE)=Table15[[#Headers],[Laudes]],Table15[[#Headers],[Laudes]],""),"")</f>
        <v/>
      </c>
      <c r="O136" t="str">
        <f>IFERROR(IF(VLOOKUP(A136,'Nuevo Testamento'!A:C,3,FALSE)=Table15[[#Headers],[Nuevo Testamento]],Table15[[#Headers],[Nuevo Testamento]],""),"")</f>
        <v/>
      </c>
      <c r="P136" t="str">
        <f>IFERROR(IF(VLOOKUP(A136,'Antiguo Testamento'!A:C,3,FALSE)=Table15[[#Headers],[Antiguo Testamento]],Table15[[#Headers],[Antiguo Testamento]],""),"")</f>
        <v>Antiguo Testamento</v>
      </c>
      <c r="Q136" t="str">
        <f>IFERROR(IF(VLOOKUP(A136,Final!A:C,3,FALSE)=Table15[[#Headers],[Final]],Table15[[#Headers],[Final]],""),"")</f>
        <v/>
      </c>
    </row>
    <row r="137" spans="1:17" x14ac:dyDescent="0.25">
      <c r="A137" t="s">
        <v>81</v>
      </c>
      <c r="B137">
        <v>138</v>
      </c>
      <c r="C137" t="str">
        <f>IFERROR(IF(VLOOKUP(A137,Adviento!A:C,3,FALSE)=Table15[[#Headers],[Adviento]],Table15[[#Headers],[Adviento]],""),"")</f>
        <v/>
      </c>
      <c r="D137" t="str">
        <f>IFERROR(IF(VLOOKUP(A137,Navidad!A:C,3,FALSE)=Table15[[#Headers],[Navidad]],Table15[[#Headers],[Navidad]],""),"")</f>
        <v/>
      </c>
      <c r="E137" t="str">
        <f>IFERROR(IF(VLOOKUP(A137,Cuaresma!A:C,3,FALSE)=Table15[[#Headers],[Cuaresma]],Table15[[#Headers],[Cuaresma]],""),"")</f>
        <v/>
      </c>
      <c r="F137" t="str">
        <f>IFERROR(IF(VLOOKUP(A137,Pascua!A:C,3,FALSE)=Table15[[#Headers],[Pascua]],Table15[[#Headers],[Pascua]],""),"")</f>
        <v>Pascua</v>
      </c>
      <c r="G137" t="str">
        <f>IFERROR(IF(VLOOKUP(A137,Pentecostés!A:C,3,FALSE)=Table15[[#Headers],[Pentecostés]],Table15[[#Headers],[Pentecostés]],""),"")</f>
        <v>Pentecostés</v>
      </c>
      <c r="H137" t="str">
        <f>IFERROR(IF(VLOOKUP(A137,Entrada!A:C,3,FALSE)=Table15[[#Headers],[Entrada]],Table15[[#Headers],[Entrada]],""),"")</f>
        <v/>
      </c>
      <c r="I137" t="str">
        <f>IFERROR(IF(VLOOKUP(A137,Virgen!A:C,3,FALSE)=Table15[[#Headers],[Virgen]],Table15[[#Headers],[Virgen]],""),"")</f>
        <v/>
      </c>
      <c r="J137" t="str">
        <f>IFERROR(IF(VLOOKUP(A137,Paz!A:C,3,FALSE)=Table15[[#Headers],[Paz]],Table15[[#Headers],[Paz]],""),"")</f>
        <v/>
      </c>
      <c r="K137" t="str">
        <f>IFERROR(IF(VLOOKUP(A137,Pan!A:C,3,FALSE)=Table15[[#Headers],[Pan]],Table15[[#Headers],[Pan]],""),"")</f>
        <v/>
      </c>
      <c r="L137" t="str">
        <f>IFERROR(IF(VLOOKUP(A137,Comunión!A:C,3,FALSE)=Table15[[#Headers],[Comunión]],Table15[[#Headers],[Comunión]],""),"")</f>
        <v>Comunión</v>
      </c>
      <c r="M137" t="str">
        <f>IFERROR(IF(VLOOKUP(A137,Niños!A:C,3,FALSE)=Table15[[#Headers],[Niños]],Table15[[#Headers],[Niños]],""),"")</f>
        <v/>
      </c>
      <c r="N137" t="str">
        <f>IFERROR(IF(VLOOKUP(A137,Laudes!A:C,3,FALSE)=Table15[[#Headers],[Laudes]],Table15[[#Headers],[Laudes]],""),"")</f>
        <v/>
      </c>
      <c r="O137" t="str">
        <f>IFERROR(IF(VLOOKUP(A137,'Nuevo Testamento'!A:C,3,FALSE)=Table15[[#Headers],[Nuevo Testamento]],Table15[[#Headers],[Nuevo Testamento]],""),"")</f>
        <v/>
      </c>
      <c r="P137" t="str">
        <f>IFERROR(IF(VLOOKUP(A137,'Antiguo Testamento'!A:C,3,FALSE)=Table15[[#Headers],[Antiguo Testamento]],Table15[[#Headers],[Antiguo Testamento]],""),"")</f>
        <v>Antiguo Testamento</v>
      </c>
      <c r="Q137" t="str">
        <f>IFERROR(IF(VLOOKUP(A137,Final!A:C,3,FALSE)=Table15[[#Headers],[Final]],Table15[[#Headers],[Final]],""),"")</f>
        <v>Final</v>
      </c>
    </row>
    <row r="138" spans="1:17" x14ac:dyDescent="0.25">
      <c r="A138" t="s">
        <v>82</v>
      </c>
      <c r="B138">
        <v>139</v>
      </c>
      <c r="C138" t="str">
        <f>IFERROR(IF(VLOOKUP(A138,Adviento!A:C,3,FALSE)=Table15[[#Headers],[Adviento]],Table15[[#Headers],[Adviento]],""),"")</f>
        <v/>
      </c>
      <c r="D138" t="str">
        <f>IFERROR(IF(VLOOKUP(A138,Navidad!A:C,3,FALSE)=Table15[[#Headers],[Navidad]],Table15[[#Headers],[Navidad]],""),"")</f>
        <v/>
      </c>
      <c r="E138" t="str">
        <f>IFERROR(IF(VLOOKUP(A138,Cuaresma!A:C,3,FALSE)=Table15[[#Headers],[Cuaresma]],Table15[[#Headers],[Cuaresma]],""),"")</f>
        <v>Cuaresma</v>
      </c>
      <c r="F138" t="str">
        <f>IFERROR(IF(VLOOKUP(A138,Pascua!A:C,3,FALSE)=Table15[[#Headers],[Pascua]],Table15[[#Headers],[Pascua]],""),"")</f>
        <v/>
      </c>
      <c r="G138" t="str">
        <f>IFERROR(IF(VLOOKUP(A138,Pentecostés!A:C,3,FALSE)=Table15[[#Headers],[Pentecostés]],Table15[[#Headers],[Pentecostés]],""),"")</f>
        <v/>
      </c>
      <c r="H138" t="str">
        <f>IFERROR(IF(VLOOKUP(A138,Entrada!A:C,3,FALSE)=Table15[[#Headers],[Entrada]],Table15[[#Headers],[Entrada]],""),"")</f>
        <v/>
      </c>
      <c r="I138" t="str">
        <f>IFERROR(IF(VLOOKUP(A138,Virgen!A:C,3,FALSE)=Table15[[#Headers],[Virgen]],Table15[[#Headers],[Virgen]],""),"")</f>
        <v/>
      </c>
      <c r="J138" t="str">
        <f>IFERROR(IF(VLOOKUP(A138,Paz!A:C,3,FALSE)=Table15[[#Headers],[Paz]],Table15[[#Headers],[Paz]],""),"")</f>
        <v/>
      </c>
      <c r="K138" t="str">
        <f>IFERROR(IF(VLOOKUP(A138,Pan!A:C,3,FALSE)=Table15[[#Headers],[Pan]],Table15[[#Headers],[Pan]],""),"")</f>
        <v/>
      </c>
      <c r="L138" t="str">
        <f>IFERROR(IF(VLOOKUP(A138,Comunión!A:C,3,FALSE)=Table15[[#Headers],[Comunión]],Table15[[#Headers],[Comunión]],""),"")</f>
        <v>Comunión</v>
      </c>
      <c r="M138" t="str">
        <f>IFERROR(IF(VLOOKUP(A138,Niños!A:C,3,FALSE)=Table15[[#Headers],[Niños]],Table15[[#Headers],[Niños]],""),"")</f>
        <v/>
      </c>
      <c r="N138" t="str">
        <f>IFERROR(IF(VLOOKUP(A138,Laudes!A:C,3,FALSE)=Table15[[#Headers],[Laudes]],Table15[[#Headers],[Laudes]],""),"")</f>
        <v>Laudes</v>
      </c>
      <c r="O138" t="str">
        <f>IFERROR(IF(VLOOKUP(A138,'Nuevo Testamento'!A:C,3,FALSE)=Table15[[#Headers],[Nuevo Testamento]],Table15[[#Headers],[Nuevo Testamento]],""),"")</f>
        <v>Nuevo Testamento</v>
      </c>
      <c r="P138" t="str">
        <f>IFERROR(IF(VLOOKUP(A138,'Antiguo Testamento'!A:C,3,FALSE)=Table15[[#Headers],[Antiguo Testamento]],Table15[[#Headers],[Antiguo Testamento]],""),"")</f>
        <v/>
      </c>
      <c r="Q138" t="str">
        <f>IFERROR(IF(VLOOKUP(A138,Final!A:C,3,FALSE)=Table15[[#Headers],[Final]],Table15[[#Headers],[Final]],""),"")</f>
        <v/>
      </c>
    </row>
    <row r="139" spans="1:17" x14ac:dyDescent="0.25">
      <c r="A139" t="s">
        <v>192</v>
      </c>
      <c r="B139">
        <v>140</v>
      </c>
      <c r="C139" t="str">
        <f>IFERROR(IF(VLOOKUP(A139,Adviento!A:C,3,FALSE)=Table15[[#Headers],[Adviento]],Table15[[#Headers],[Adviento]],""),"")</f>
        <v/>
      </c>
      <c r="D139" t="str">
        <f>IFERROR(IF(VLOOKUP(A139,Navidad!A:C,3,FALSE)=Table15[[#Headers],[Navidad]],Table15[[#Headers],[Navidad]],""),"")</f>
        <v/>
      </c>
      <c r="E139" t="str">
        <f>IFERROR(IF(VLOOKUP(A139,Cuaresma!A:C,3,FALSE)=Table15[[#Headers],[Cuaresma]],Table15[[#Headers],[Cuaresma]],""),"")</f>
        <v/>
      </c>
      <c r="F139" t="str">
        <f>IFERROR(IF(VLOOKUP(A139,Pascua!A:C,3,FALSE)=Table15[[#Headers],[Pascua]],Table15[[#Headers],[Pascua]],""),"")</f>
        <v>Pascua</v>
      </c>
      <c r="G139" t="str">
        <f>IFERROR(IF(VLOOKUP(A139,Pentecostés!A:C,3,FALSE)=Table15[[#Headers],[Pentecostés]],Table15[[#Headers],[Pentecostés]],""),"")</f>
        <v>Pentecostés</v>
      </c>
      <c r="H139" t="str">
        <f>IFERROR(IF(VLOOKUP(A139,Entrada!A:C,3,FALSE)=Table15[[#Headers],[Entrada]],Table15[[#Headers],[Entrada]],""),"")</f>
        <v/>
      </c>
      <c r="I139" t="str">
        <f>IFERROR(IF(VLOOKUP(A139,Virgen!A:C,3,FALSE)=Table15[[#Headers],[Virgen]],Table15[[#Headers],[Virgen]],""),"")</f>
        <v/>
      </c>
      <c r="J139" t="str">
        <f>IFERROR(IF(VLOOKUP(A139,Paz!A:C,3,FALSE)=Table15[[#Headers],[Paz]],Table15[[#Headers],[Paz]],""),"")</f>
        <v/>
      </c>
      <c r="K139" t="str">
        <f>IFERROR(IF(VLOOKUP(A139,Pan!A:C,3,FALSE)=Table15[[#Headers],[Pan]],Table15[[#Headers],[Pan]],""),"")</f>
        <v/>
      </c>
      <c r="L139" t="str">
        <f>IFERROR(IF(VLOOKUP(A139,Comunión!A:C,3,FALSE)=Table15[[#Headers],[Comunión]],Table15[[#Headers],[Comunión]],""),"")</f>
        <v/>
      </c>
      <c r="M139" t="str">
        <f>IFERROR(IF(VLOOKUP(A139,Niños!A:C,3,FALSE)=Table15[[#Headers],[Niños]],Table15[[#Headers],[Niños]],""),"")</f>
        <v/>
      </c>
      <c r="N139" t="str">
        <f>IFERROR(IF(VLOOKUP(A139,Laudes!A:C,3,FALSE)=Table15[[#Headers],[Laudes]],Table15[[#Headers],[Laudes]],""),"")</f>
        <v/>
      </c>
      <c r="O139" t="str">
        <f>IFERROR(IF(VLOOKUP(A139,'Nuevo Testamento'!A:C,3,FALSE)=Table15[[#Headers],[Nuevo Testamento]],Table15[[#Headers],[Nuevo Testamento]],""),"")</f>
        <v/>
      </c>
      <c r="P139" t="str">
        <f>IFERROR(IF(VLOOKUP(A139,'Antiguo Testamento'!A:C,3,FALSE)=Table15[[#Headers],[Antiguo Testamento]],Table15[[#Headers],[Antiguo Testamento]],""),"")</f>
        <v/>
      </c>
      <c r="Q139" t="str">
        <f>IFERROR(IF(VLOOKUP(A139,Final!A:C,3,FALSE)=Table15[[#Headers],[Final]],Table15[[#Headers],[Final]],""),"")</f>
        <v>Final</v>
      </c>
    </row>
    <row r="140" spans="1:17" x14ac:dyDescent="0.25">
      <c r="A140" t="s">
        <v>193</v>
      </c>
      <c r="B140">
        <v>141</v>
      </c>
      <c r="C140" t="str">
        <f>IFERROR(IF(VLOOKUP(A140,Adviento!A:C,3,FALSE)=Table15[[#Headers],[Adviento]],Table15[[#Headers],[Adviento]],""),"")</f>
        <v/>
      </c>
      <c r="D140" t="str">
        <f>IFERROR(IF(VLOOKUP(A140,Navidad!A:C,3,FALSE)=Table15[[#Headers],[Navidad]],Table15[[#Headers],[Navidad]],""),"")</f>
        <v/>
      </c>
      <c r="E140" t="str">
        <f>IFERROR(IF(VLOOKUP(A140,Cuaresma!A:C,3,FALSE)=Table15[[#Headers],[Cuaresma]],Table15[[#Headers],[Cuaresma]],""),"")</f>
        <v>Cuaresma</v>
      </c>
      <c r="F140" t="str">
        <f>IFERROR(IF(VLOOKUP(A140,Pascua!A:C,3,FALSE)=Table15[[#Headers],[Pascua]],Table15[[#Headers],[Pascua]],""),"")</f>
        <v/>
      </c>
      <c r="G140" t="str">
        <f>IFERROR(IF(VLOOKUP(A140,Pentecostés!A:C,3,FALSE)=Table15[[#Headers],[Pentecostés]],Table15[[#Headers],[Pentecostés]],""),"")</f>
        <v/>
      </c>
      <c r="H140" t="str">
        <f>IFERROR(IF(VLOOKUP(A140,Entrada!A:C,3,FALSE)=Table15[[#Headers],[Entrada]],Table15[[#Headers],[Entrada]],""),"")</f>
        <v/>
      </c>
      <c r="I140" t="str">
        <f>IFERROR(IF(VLOOKUP(A140,Virgen!A:C,3,FALSE)=Table15[[#Headers],[Virgen]],Table15[[#Headers],[Virgen]],""),"")</f>
        <v/>
      </c>
      <c r="J140" t="str">
        <f>IFERROR(IF(VLOOKUP(A140,Paz!A:C,3,FALSE)=Table15[[#Headers],[Paz]],Table15[[#Headers],[Paz]],""),"")</f>
        <v/>
      </c>
      <c r="K140" t="str">
        <f>IFERROR(IF(VLOOKUP(A140,Pan!A:C,3,FALSE)=Table15[[#Headers],[Pan]],Table15[[#Headers],[Pan]],""),"")</f>
        <v/>
      </c>
      <c r="L140" t="str">
        <f>IFERROR(IF(VLOOKUP(A140,Comunión!A:C,3,FALSE)=Table15[[#Headers],[Comunión]],Table15[[#Headers],[Comunión]],""),"")</f>
        <v/>
      </c>
      <c r="M140" t="str">
        <f>IFERROR(IF(VLOOKUP(A140,Niños!A:C,3,FALSE)=Table15[[#Headers],[Niños]],Table15[[#Headers],[Niños]],""),"")</f>
        <v/>
      </c>
      <c r="N140" t="str">
        <f>IFERROR(IF(VLOOKUP(A140,Laudes!A:C,3,FALSE)=Table15[[#Headers],[Laudes]],Table15[[#Headers],[Laudes]],""),"")</f>
        <v/>
      </c>
      <c r="O140" t="str">
        <f>IFERROR(IF(VLOOKUP(A140,'Nuevo Testamento'!A:C,3,FALSE)=Table15[[#Headers],[Nuevo Testamento]],Table15[[#Headers],[Nuevo Testamento]],""),"")</f>
        <v/>
      </c>
      <c r="P140" t="str">
        <f>IFERROR(IF(VLOOKUP(A140,'Antiguo Testamento'!A:C,3,FALSE)=Table15[[#Headers],[Antiguo Testamento]],Table15[[#Headers],[Antiguo Testamento]],""),"")</f>
        <v>Antiguo Testamento</v>
      </c>
      <c r="Q140" t="str">
        <f>IFERROR(IF(VLOOKUP(A140,Final!A:C,3,FALSE)=Table15[[#Headers],[Final]],Table15[[#Headers],[Final]],""),"")</f>
        <v/>
      </c>
    </row>
    <row r="141" spans="1:17" x14ac:dyDescent="0.25">
      <c r="A141" t="s">
        <v>194</v>
      </c>
      <c r="B141">
        <v>142</v>
      </c>
      <c r="C141" t="str">
        <f>IFERROR(IF(VLOOKUP(A141,Adviento!A:C,3,FALSE)=Table15[[#Headers],[Adviento]],Table15[[#Headers],[Adviento]],""),"")</f>
        <v/>
      </c>
      <c r="D141" t="str">
        <f>IFERROR(IF(VLOOKUP(A141,Navidad!A:C,3,FALSE)=Table15[[#Headers],[Navidad]],Table15[[#Headers],[Navidad]],""),"")</f>
        <v/>
      </c>
      <c r="E141" t="str">
        <f>IFERROR(IF(VLOOKUP(A141,Cuaresma!A:C,3,FALSE)=Table15[[#Headers],[Cuaresma]],Table15[[#Headers],[Cuaresma]],""),"")</f>
        <v/>
      </c>
      <c r="F141" t="str">
        <f>IFERROR(IF(VLOOKUP(A141,Pascua!A:C,3,FALSE)=Table15[[#Headers],[Pascua]],Table15[[#Headers],[Pascua]],""),"")</f>
        <v>Pascua</v>
      </c>
      <c r="G141" t="str">
        <f>IFERROR(IF(VLOOKUP(A141,Pentecostés!A:C,3,FALSE)=Table15[[#Headers],[Pentecostés]],Table15[[#Headers],[Pentecostés]],""),"")</f>
        <v>Pentecostés</v>
      </c>
      <c r="H141" t="str">
        <f>IFERROR(IF(VLOOKUP(A141,Entrada!A:C,3,FALSE)=Table15[[#Headers],[Entrada]],Table15[[#Headers],[Entrada]],""),"")</f>
        <v/>
      </c>
      <c r="I141" t="str">
        <f>IFERROR(IF(VLOOKUP(A141,Virgen!A:C,3,FALSE)=Table15[[#Headers],[Virgen]],Table15[[#Headers],[Virgen]],""),"")</f>
        <v/>
      </c>
      <c r="J141" t="str">
        <f>IFERROR(IF(VLOOKUP(A141,Paz!A:C,3,FALSE)=Table15[[#Headers],[Paz]],Table15[[#Headers],[Paz]],""),"")</f>
        <v/>
      </c>
      <c r="K141" t="str">
        <f>IFERROR(IF(VLOOKUP(A141,Pan!A:C,3,FALSE)=Table15[[#Headers],[Pan]],Table15[[#Headers],[Pan]],""),"")</f>
        <v/>
      </c>
      <c r="L141" t="str">
        <f>IFERROR(IF(VLOOKUP(A141,Comunión!A:C,3,FALSE)=Table15[[#Headers],[Comunión]],Table15[[#Headers],[Comunión]],""),"")</f>
        <v>Comunión</v>
      </c>
      <c r="M141" t="str">
        <f>IFERROR(IF(VLOOKUP(A141,Niños!A:C,3,FALSE)=Table15[[#Headers],[Niños]],Table15[[#Headers],[Niños]],""),"")</f>
        <v/>
      </c>
      <c r="N141" t="str">
        <f>IFERROR(IF(VLOOKUP(A141,Laudes!A:C,3,FALSE)=Table15[[#Headers],[Laudes]],Table15[[#Headers],[Laudes]],""),"")</f>
        <v/>
      </c>
      <c r="O141" t="str">
        <f>IFERROR(IF(VLOOKUP(A141,'Nuevo Testamento'!A:C,3,FALSE)=Table15[[#Headers],[Nuevo Testamento]],Table15[[#Headers],[Nuevo Testamento]],""),"")</f>
        <v/>
      </c>
      <c r="P141" t="str">
        <f>IFERROR(IF(VLOOKUP(A141,'Antiguo Testamento'!A:C,3,FALSE)=Table15[[#Headers],[Antiguo Testamento]],Table15[[#Headers],[Antiguo Testamento]],""),"")</f>
        <v/>
      </c>
      <c r="Q141" t="str">
        <f>IFERROR(IF(VLOOKUP(A141,Final!A:C,3,FALSE)=Table15[[#Headers],[Final]],Table15[[#Headers],[Final]],""),"")</f>
        <v/>
      </c>
    </row>
    <row r="142" spans="1:17" x14ac:dyDescent="0.25">
      <c r="A142" t="s">
        <v>195</v>
      </c>
      <c r="B142">
        <v>143</v>
      </c>
      <c r="C142" t="str">
        <f>IFERROR(IF(VLOOKUP(A142,Adviento!A:C,3,FALSE)=Table15[[#Headers],[Adviento]],Table15[[#Headers],[Adviento]],""),"")</f>
        <v/>
      </c>
      <c r="D142" t="str">
        <f>IFERROR(IF(VLOOKUP(A142,Navidad!A:C,3,FALSE)=Table15[[#Headers],[Navidad]],Table15[[#Headers],[Navidad]],""),"")</f>
        <v/>
      </c>
      <c r="E142" t="str">
        <f>IFERROR(IF(VLOOKUP(A142,Cuaresma!A:C,3,FALSE)=Table15[[#Headers],[Cuaresma]],Table15[[#Headers],[Cuaresma]],""),"")</f>
        <v/>
      </c>
      <c r="F142" t="str">
        <f>IFERROR(IF(VLOOKUP(A142,Pascua!A:C,3,FALSE)=Table15[[#Headers],[Pascua]],Table15[[#Headers],[Pascua]],""),"")</f>
        <v>Pascua</v>
      </c>
      <c r="G142" t="str">
        <f>IFERROR(IF(VLOOKUP(A142,Pentecostés!A:C,3,FALSE)=Table15[[#Headers],[Pentecostés]],Table15[[#Headers],[Pentecostés]],""),"")</f>
        <v>Pentecostés</v>
      </c>
      <c r="H142" t="str">
        <f>IFERROR(IF(VLOOKUP(A142,Entrada!A:C,3,FALSE)=Table15[[#Headers],[Entrada]],Table15[[#Headers],[Entrada]],""),"")</f>
        <v/>
      </c>
      <c r="I142" t="str">
        <f>IFERROR(IF(VLOOKUP(A142,Virgen!A:C,3,FALSE)=Table15[[#Headers],[Virgen]],Table15[[#Headers],[Virgen]],""),"")</f>
        <v/>
      </c>
      <c r="J142" t="str">
        <f>IFERROR(IF(VLOOKUP(A142,Paz!A:C,3,FALSE)=Table15[[#Headers],[Paz]],Table15[[#Headers],[Paz]],""),"")</f>
        <v/>
      </c>
      <c r="K142" t="str">
        <f>IFERROR(IF(VLOOKUP(A142,Pan!A:C,3,FALSE)=Table15[[#Headers],[Pan]],Table15[[#Headers],[Pan]],""),"")</f>
        <v/>
      </c>
      <c r="L142" t="str">
        <f>IFERROR(IF(VLOOKUP(A142,Comunión!A:C,3,FALSE)=Table15[[#Headers],[Comunión]],Table15[[#Headers],[Comunión]],""),"")</f>
        <v/>
      </c>
      <c r="M142" t="str">
        <f>IFERROR(IF(VLOOKUP(A142,Niños!A:C,3,FALSE)=Table15[[#Headers],[Niños]],Table15[[#Headers],[Niños]],""),"")</f>
        <v/>
      </c>
      <c r="N142" t="str">
        <f>IFERROR(IF(VLOOKUP(A142,Laudes!A:C,3,FALSE)=Table15[[#Headers],[Laudes]],Table15[[#Headers],[Laudes]],""),"")</f>
        <v/>
      </c>
      <c r="O142" t="str">
        <f>IFERROR(IF(VLOOKUP(A142,'Nuevo Testamento'!A:C,3,FALSE)=Table15[[#Headers],[Nuevo Testamento]],Table15[[#Headers],[Nuevo Testamento]],""),"")</f>
        <v/>
      </c>
      <c r="P142" t="str">
        <f>IFERROR(IF(VLOOKUP(A142,'Antiguo Testamento'!A:C,3,FALSE)=Table15[[#Headers],[Antiguo Testamento]],Table15[[#Headers],[Antiguo Testamento]],""),"")</f>
        <v/>
      </c>
      <c r="Q142" t="str">
        <f>IFERROR(IF(VLOOKUP(A142,Final!A:C,3,FALSE)=Table15[[#Headers],[Final]],Table15[[#Headers],[Final]],""),"")</f>
        <v/>
      </c>
    </row>
    <row r="143" spans="1:17" x14ac:dyDescent="0.25">
      <c r="A143" t="s">
        <v>200</v>
      </c>
      <c r="B143">
        <v>144</v>
      </c>
      <c r="C143" t="str">
        <f>IFERROR(IF(VLOOKUP(A143,Adviento!A:C,3,FALSE)=Table15[[#Headers],[Adviento]],Table15[[#Headers],[Adviento]],""),"")</f>
        <v/>
      </c>
      <c r="D143" t="str">
        <f>IFERROR(IF(VLOOKUP(A143,Navidad!A:C,3,FALSE)=Table15[[#Headers],[Navidad]],Table15[[#Headers],[Navidad]],""),"")</f>
        <v/>
      </c>
      <c r="E143" t="str">
        <f>IFERROR(IF(VLOOKUP(A143,Cuaresma!A:C,3,FALSE)=Table15[[#Headers],[Cuaresma]],Table15[[#Headers],[Cuaresma]],""),"")</f>
        <v/>
      </c>
      <c r="F143" t="str">
        <f>IFERROR(IF(VLOOKUP(A143,Pascua!A:C,3,FALSE)=Table15[[#Headers],[Pascua]],Table15[[#Headers],[Pascua]],""),"")</f>
        <v/>
      </c>
      <c r="G143" t="str">
        <f>IFERROR(IF(VLOOKUP(A143,Pentecostés!A:C,3,FALSE)=Table15[[#Headers],[Pentecostés]],Table15[[#Headers],[Pentecostés]],""),"")</f>
        <v/>
      </c>
      <c r="H143" t="str">
        <f>IFERROR(IF(VLOOKUP(A143,Entrada!A:C,3,FALSE)=Table15[[#Headers],[Entrada]],Table15[[#Headers],[Entrada]],""),"")</f>
        <v/>
      </c>
      <c r="I143" t="str">
        <f>IFERROR(IF(VLOOKUP(A143,Virgen!A:C,3,FALSE)=Table15[[#Headers],[Virgen]],Table15[[#Headers],[Virgen]],""),"")</f>
        <v>Virgen</v>
      </c>
      <c r="J143" t="str">
        <f>IFERROR(IF(VLOOKUP(A143,Paz!A:C,3,FALSE)=Table15[[#Headers],[Paz]],Table15[[#Headers],[Paz]],""),"")</f>
        <v/>
      </c>
      <c r="K143" t="str">
        <f>IFERROR(IF(VLOOKUP(A143,Pan!A:C,3,FALSE)=Table15[[#Headers],[Pan]],Table15[[#Headers],[Pan]],""),"")</f>
        <v/>
      </c>
      <c r="L143" t="str">
        <f>IFERROR(IF(VLOOKUP(A143,Comunión!A:C,3,FALSE)=Table15[[#Headers],[Comunión]],Table15[[#Headers],[Comunión]],""),"")</f>
        <v/>
      </c>
      <c r="M143" t="str">
        <f>IFERROR(IF(VLOOKUP(A143,Niños!A:C,3,FALSE)=Table15[[#Headers],[Niños]],Table15[[#Headers],[Niños]],""),"")</f>
        <v/>
      </c>
      <c r="N143" t="str">
        <f>IFERROR(IF(VLOOKUP(A143,Laudes!A:C,3,FALSE)=Table15[[#Headers],[Laudes]],Table15[[#Headers],[Laudes]],""),"")</f>
        <v/>
      </c>
      <c r="O143" t="str">
        <f>IFERROR(IF(VLOOKUP(A143,'Nuevo Testamento'!A:C,3,FALSE)=Table15[[#Headers],[Nuevo Testamento]],Table15[[#Headers],[Nuevo Testamento]],""),"")</f>
        <v/>
      </c>
      <c r="P143" t="str">
        <f>IFERROR(IF(VLOOKUP(A143,'Antiguo Testamento'!A:C,3,FALSE)=Table15[[#Headers],[Antiguo Testamento]],Table15[[#Headers],[Antiguo Testamento]],""),"")</f>
        <v/>
      </c>
      <c r="Q143" t="str">
        <f>IFERROR(IF(VLOOKUP(A143,Final!A:C,3,FALSE)=Table15[[#Headers],[Final]],Table15[[#Headers],[Final]],""),"")</f>
        <v/>
      </c>
    </row>
    <row r="144" spans="1:17" x14ac:dyDescent="0.25">
      <c r="A144" t="s">
        <v>207</v>
      </c>
      <c r="B144">
        <v>145</v>
      </c>
      <c r="C144" t="str">
        <f>IFERROR(IF(VLOOKUP(A144,Adviento!A:C,3,FALSE)=Table15[[#Headers],[Adviento]],Table15[[#Headers],[Adviento]],""),"")</f>
        <v/>
      </c>
      <c r="D144" t="str">
        <f>IFERROR(IF(VLOOKUP(A144,Navidad!A:C,3,FALSE)=Table15[[#Headers],[Navidad]],Table15[[#Headers],[Navidad]],""),"")</f>
        <v/>
      </c>
      <c r="E144" t="str">
        <f>IFERROR(IF(VLOOKUP(A144,Cuaresma!A:C,3,FALSE)=Table15[[#Headers],[Cuaresma]],Table15[[#Headers],[Cuaresma]],""),"")</f>
        <v/>
      </c>
      <c r="F144" t="str">
        <f>IFERROR(IF(VLOOKUP(A144,Pascua!A:C,3,FALSE)=Table15[[#Headers],[Pascua]],Table15[[#Headers],[Pascua]],""),"")</f>
        <v/>
      </c>
      <c r="G144" t="str">
        <f>IFERROR(IF(VLOOKUP(A144,Pentecostés!A:C,3,FALSE)=Table15[[#Headers],[Pentecostés]],Table15[[#Headers],[Pentecostés]],""),"")</f>
        <v/>
      </c>
      <c r="H144" t="str">
        <f>IFERROR(IF(VLOOKUP(A144,Entrada!A:C,3,FALSE)=Table15[[#Headers],[Entrada]],Table15[[#Headers],[Entrada]],""),"")</f>
        <v/>
      </c>
      <c r="I144" t="str">
        <f>IFERROR(IF(VLOOKUP(A144,Virgen!A:C,3,FALSE)=Table15[[#Headers],[Virgen]],Table15[[#Headers],[Virgen]],""),"")</f>
        <v/>
      </c>
      <c r="J144" t="str">
        <f>IFERROR(IF(VLOOKUP(A144,Paz!A:C,3,FALSE)=Table15[[#Headers],[Paz]],Table15[[#Headers],[Paz]],""),"")</f>
        <v>Paz</v>
      </c>
      <c r="K144" t="str">
        <f>IFERROR(IF(VLOOKUP(A144,Pan!A:C,3,FALSE)=Table15[[#Headers],[Pan]],Table15[[#Headers],[Pan]],""),"")</f>
        <v/>
      </c>
      <c r="L144" t="str">
        <f>IFERROR(IF(VLOOKUP(A144,Comunión!A:C,3,FALSE)=Table15[[#Headers],[Comunión]],Table15[[#Headers],[Comunión]],""),"")</f>
        <v/>
      </c>
      <c r="M144" t="str">
        <f>IFERROR(IF(VLOOKUP(A144,Niños!A:C,3,FALSE)=Table15[[#Headers],[Niños]],Table15[[#Headers],[Niños]],""),"")</f>
        <v>Niños</v>
      </c>
      <c r="N144" t="str">
        <f>IFERROR(IF(VLOOKUP(A144,Laudes!A:C,3,FALSE)=Table15[[#Headers],[Laudes]],Table15[[#Headers],[Laudes]],""),"")</f>
        <v/>
      </c>
      <c r="O144" t="str">
        <f>IFERROR(IF(VLOOKUP(A144,'Nuevo Testamento'!A:C,3,FALSE)=Table15[[#Headers],[Nuevo Testamento]],Table15[[#Headers],[Nuevo Testamento]],""),"")</f>
        <v/>
      </c>
      <c r="P144" t="str">
        <f>IFERROR(IF(VLOOKUP(A144,'Antiguo Testamento'!A:C,3,FALSE)=Table15[[#Headers],[Antiguo Testamento]],Table15[[#Headers],[Antiguo Testamento]],""),"")</f>
        <v/>
      </c>
      <c r="Q144" t="str">
        <f>IFERROR(IF(VLOOKUP(A144,Final!A:C,3,FALSE)=Table15[[#Headers],[Final]],Table15[[#Headers],[Final]],""),"")</f>
        <v/>
      </c>
    </row>
    <row r="145" spans="1:17" x14ac:dyDescent="0.25">
      <c r="A145" t="s">
        <v>84</v>
      </c>
      <c r="B145">
        <v>146</v>
      </c>
      <c r="C145" t="str">
        <f>IFERROR(IF(VLOOKUP(A145,Adviento!A:C,3,FALSE)=Table15[[#Headers],[Adviento]],Table15[[#Headers],[Adviento]],""),"")</f>
        <v/>
      </c>
      <c r="D145" t="str">
        <f>IFERROR(IF(VLOOKUP(A145,Navidad!A:C,3,FALSE)=Table15[[#Headers],[Navidad]],Table15[[#Headers],[Navidad]],""),"")</f>
        <v/>
      </c>
      <c r="E145" t="str">
        <f>IFERROR(IF(VLOOKUP(A145,Cuaresma!A:C,3,FALSE)=Table15[[#Headers],[Cuaresma]],Table15[[#Headers],[Cuaresma]],""),"")</f>
        <v>Cuaresma</v>
      </c>
      <c r="F145" t="str">
        <f>IFERROR(IF(VLOOKUP(A145,Pascua!A:C,3,FALSE)=Table15[[#Headers],[Pascua]],Table15[[#Headers],[Pascua]],""),"")</f>
        <v/>
      </c>
      <c r="G145" t="str">
        <f>IFERROR(IF(VLOOKUP(A145,Pentecostés!A:C,3,FALSE)=Table15[[#Headers],[Pentecostés]],Table15[[#Headers],[Pentecostés]],""),"")</f>
        <v/>
      </c>
      <c r="H145" t="str">
        <f>IFERROR(IF(VLOOKUP(A145,Entrada!A:C,3,FALSE)=Table15[[#Headers],[Entrada]],Table15[[#Headers],[Entrada]],""),"")</f>
        <v/>
      </c>
      <c r="I145" t="str">
        <f>IFERROR(IF(VLOOKUP(A145,Virgen!A:C,3,FALSE)=Table15[[#Headers],[Virgen]],Table15[[#Headers],[Virgen]],""),"")</f>
        <v/>
      </c>
      <c r="J145" t="str">
        <f>IFERROR(IF(VLOOKUP(A145,Paz!A:C,3,FALSE)=Table15[[#Headers],[Paz]],Table15[[#Headers],[Paz]],""),"")</f>
        <v/>
      </c>
      <c r="K145" t="str">
        <f>IFERROR(IF(VLOOKUP(A145,Pan!A:C,3,FALSE)=Table15[[#Headers],[Pan]],Table15[[#Headers],[Pan]],""),"")</f>
        <v/>
      </c>
      <c r="L145" t="str">
        <f>IFERROR(IF(VLOOKUP(A145,Comunión!A:C,3,FALSE)=Table15[[#Headers],[Comunión]],Table15[[#Headers],[Comunión]],""),"")</f>
        <v/>
      </c>
      <c r="M145" t="str">
        <f>IFERROR(IF(VLOOKUP(A145,Niños!A:C,3,FALSE)=Table15[[#Headers],[Niños]],Table15[[#Headers],[Niños]],""),"")</f>
        <v/>
      </c>
      <c r="N145" t="str">
        <f>IFERROR(IF(VLOOKUP(A145,Laudes!A:C,3,FALSE)=Table15[[#Headers],[Laudes]],Table15[[#Headers],[Laudes]],""),"")</f>
        <v>Laudes</v>
      </c>
      <c r="O145" t="str">
        <f>IFERROR(IF(VLOOKUP(A145,'Nuevo Testamento'!A:C,3,FALSE)=Table15[[#Headers],[Nuevo Testamento]],Table15[[#Headers],[Nuevo Testamento]],""),"")</f>
        <v/>
      </c>
      <c r="P145" t="str">
        <f>IFERROR(IF(VLOOKUP(A145,'Antiguo Testamento'!A:C,3,FALSE)=Table15[[#Headers],[Antiguo Testamento]],Table15[[#Headers],[Antiguo Testamento]],""),"")</f>
        <v/>
      </c>
      <c r="Q145" t="str">
        <f>IFERROR(IF(VLOOKUP(A145,Final!A:C,3,FALSE)=Table15[[#Headers],[Final]],Table15[[#Headers],[Final]],""),"")</f>
        <v/>
      </c>
    </row>
    <row r="146" spans="1:17" x14ac:dyDescent="0.25">
      <c r="A146" t="s">
        <v>85</v>
      </c>
      <c r="B146">
        <v>147</v>
      </c>
      <c r="C146" t="str">
        <f>IFERROR(IF(VLOOKUP(A146,Adviento!A:C,3,FALSE)=Table15[[#Headers],[Adviento]],Table15[[#Headers],[Adviento]],""),"")</f>
        <v/>
      </c>
      <c r="D146" t="str">
        <f>IFERROR(IF(VLOOKUP(A146,Navidad!A:C,3,FALSE)=Table15[[#Headers],[Navidad]],Table15[[#Headers],[Navidad]],""),"")</f>
        <v/>
      </c>
      <c r="E146" t="str">
        <f>IFERROR(IF(VLOOKUP(A146,Cuaresma!A:C,3,FALSE)=Table15[[#Headers],[Cuaresma]],Table15[[#Headers],[Cuaresma]],""),"")</f>
        <v>Cuaresma</v>
      </c>
      <c r="F146" t="str">
        <f>IFERROR(IF(VLOOKUP(A146,Pascua!A:C,3,FALSE)=Table15[[#Headers],[Pascua]],Table15[[#Headers],[Pascua]],""),"")</f>
        <v/>
      </c>
      <c r="G146" t="str">
        <f>IFERROR(IF(VLOOKUP(A146,Pentecostés!A:C,3,FALSE)=Table15[[#Headers],[Pentecostés]],Table15[[#Headers],[Pentecostés]],""),"")</f>
        <v/>
      </c>
      <c r="H146" t="str">
        <f>IFERROR(IF(VLOOKUP(A146,Entrada!A:C,3,FALSE)=Table15[[#Headers],[Entrada]],Table15[[#Headers],[Entrada]],""),"")</f>
        <v/>
      </c>
      <c r="I146" t="str">
        <f>IFERROR(IF(VLOOKUP(A146,Virgen!A:C,3,FALSE)=Table15[[#Headers],[Virgen]],Table15[[#Headers],[Virgen]],""),"")</f>
        <v/>
      </c>
      <c r="J146" t="str">
        <f>IFERROR(IF(VLOOKUP(A146,Paz!A:C,3,FALSE)=Table15[[#Headers],[Paz]],Table15[[#Headers],[Paz]],""),"")</f>
        <v/>
      </c>
      <c r="K146" t="str">
        <f>IFERROR(IF(VLOOKUP(A146,Pan!A:C,3,FALSE)=Table15[[#Headers],[Pan]],Table15[[#Headers],[Pan]],""),"")</f>
        <v/>
      </c>
      <c r="L146" t="str">
        <f>IFERROR(IF(VLOOKUP(A146,Comunión!A:C,3,FALSE)=Table15[[#Headers],[Comunión]],Table15[[#Headers],[Comunión]],""),"")</f>
        <v/>
      </c>
      <c r="M146" t="str">
        <f>IFERROR(IF(VLOOKUP(A146,Niños!A:C,3,FALSE)=Table15[[#Headers],[Niños]],Table15[[#Headers],[Niños]],""),"")</f>
        <v/>
      </c>
      <c r="N146" t="str">
        <f>IFERROR(IF(VLOOKUP(A146,Laudes!A:C,3,FALSE)=Table15[[#Headers],[Laudes]],Table15[[#Headers],[Laudes]],""),"")</f>
        <v>Laudes</v>
      </c>
      <c r="O146" t="str">
        <f>IFERROR(IF(VLOOKUP(A146,'Nuevo Testamento'!A:C,3,FALSE)=Table15[[#Headers],[Nuevo Testamento]],Table15[[#Headers],[Nuevo Testamento]],""),"")</f>
        <v/>
      </c>
      <c r="P146" t="str">
        <f>IFERROR(IF(VLOOKUP(A146,'Antiguo Testamento'!A:C,3,FALSE)=Table15[[#Headers],[Antiguo Testamento]],Table15[[#Headers],[Antiguo Testamento]],""),"")</f>
        <v>Antiguo Testamento</v>
      </c>
      <c r="Q146" t="str">
        <f>IFERROR(IF(VLOOKUP(A146,Final!A:C,3,FALSE)=Table15[[#Headers],[Final]],Table15[[#Headers],[Final]],""),"")</f>
        <v/>
      </c>
    </row>
    <row r="147" spans="1:17" x14ac:dyDescent="0.25">
      <c r="A147" t="s">
        <v>86</v>
      </c>
      <c r="B147">
        <v>148</v>
      </c>
      <c r="C147" t="str">
        <f>IFERROR(IF(VLOOKUP(A147,Adviento!A:C,3,FALSE)=Table15[[#Headers],[Adviento]],Table15[[#Headers],[Adviento]],""),"")</f>
        <v/>
      </c>
      <c r="D147" t="str">
        <f>IFERROR(IF(VLOOKUP(A147,Navidad!A:C,3,FALSE)=Table15[[#Headers],[Navidad]],Table15[[#Headers],[Navidad]],""),"")</f>
        <v/>
      </c>
      <c r="E147" t="str">
        <f>IFERROR(IF(VLOOKUP(A147,Cuaresma!A:C,3,FALSE)=Table15[[#Headers],[Cuaresma]],Table15[[#Headers],[Cuaresma]],""),"")</f>
        <v/>
      </c>
      <c r="F147" t="str">
        <f>IFERROR(IF(VLOOKUP(A147,Pascua!A:C,3,FALSE)=Table15[[#Headers],[Pascua]],Table15[[#Headers],[Pascua]],""),"")</f>
        <v/>
      </c>
      <c r="G147" t="str">
        <f>IFERROR(IF(VLOOKUP(A147,Pentecostés!A:C,3,FALSE)=Table15[[#Headers],[Pentecostés]],Table15[[#Headers],[Pentecostés]],""),"")</f>
        <v/>
      </c>
      <c r="H147" t="str">
        <f>IFERROR(IF(VLOOKUP(A147,Entrada!A:C,3,FALSE)=Table15[[#Headers],[Entrada]],Table15[[#Headers],[Entrada]],""),"")</f>
        <v/>
      </c>
      <c r="I147" t="str">
        <f>IFERROR(IF(VLOOKUP(A147,Virgen!A:C,3,FALSE)=Table15[[#Headers],[Virgen]],Table15[[#Headers],[Virgen]],""),"")</f>
        <v/>
      </c>
      <c r="J147" t="str">
        <f>IFERROR(IF(VLOOKUP(A147,Paz!A:C,3,FALSE)=Table15[[#Headers],[Paz]],Table15[[#Headers],[Paz]],""),"")</f>
        <v/>
      </c>
      <c r="K147" t="str">
        <f>IFERROR(IF(VLOOKUP(A147,Pan!A:C,3,FALSE)=Table15[[#Headers],[Pan]],Table15[[#Headers],[Pan]],""),"")</f>
        <v/>
      </c>
      <c r="L147" t="str">
        <f>IFERROR(IF(VLOOKUP(A147,Comunión!A:C,3,FALSE)=Table15[[#Headers],[Comunión]],Table15[[#Headers],[Comunión]],""),"")</f>
        <v/>
      </c>
      <c r="M147" t="str">
        <f>IFERROR(IF(VLOOKUP(A147,Niños!A:C,3,FALSE)=Table15[[#Headers],[Niños]],Table15[[#Headers],[Niños]],""),"")</f>
        <v/>
      </c>
      <c r="N147" t="str">
        <f>IFERROR(IF(VLOOKUP(A147,Laudes!A:C,3,FALSE)=Table15[[#Headers],[Laudes]],Table15[[#Headers],[Laudes]],""),"")</f>
        <v/>
      </c>
      <c r="O147" t="str">
        <f>IFERROR(IF(VLOOKUP(A147,'Nuevo Testamento'!A:C,3,FALSE)=Table15[[#Headers],[Nuevo Testamento]],Table15[[#Headers],[Nuevo Testamento]],""),"")</f>
        <v>Nuevo Testamento</v>
      </c>
      <c r="P147" t="str">
        <f>IFERROR(IF(VLOOKUP(A147,'Antiguo Testamento'!A:C,3,FALSE)=Table15[[#Headers],[Antiguo Testamento]],Table15[[#Headers],[Antiguo Testamento]],""),"")</f>
        <v/>
      </c>
      <c r="Q147" t="str">
        <f>IFERROR(IF(VLOOKUP(A147,Final!A:C,3,FALSE)=Table15[[#Headers],[Final]],Table15[[#Headers],[Final]],""),"")</f>
        <v/>
      </c>
    </row>
    <row r="148" spans="1:17" x14ac:dyDescent="0.25">
      <c r="A148" t="s">
        <v>209</v>
      </c>
      <c r="B148">
        <v>149</v>
      </c>
      <c r="C148" t="str">
        <f>IFERROR(IF(VLOOKUP(A148,Adviento!A:C,3,FALSE)=Table15[[#Headers],[Adviento]],Table15[[#Headers],[Adviento]],""),"")</f>
        <v/>
      </c>
      <c r="D148" t="str">
        <f>IFERROR(IF(VLOOKUP(A148,Navidad!A:C,3,FALSE)=Table15[[#Headers],[Navidad]],Table15[[#Headers],[Navidad]],""),"")</f>
        <v/>
      </c>
      <c r="E148" t="str">
        <f>IFERROR(IF(VLOOKUP(A148,Cuaresma!A:C,3,FALSE)=Table15[[#Headers],[Cuaresma]],Table15[[#Headers],[Cuaresma]],""),"")</f>
        <v/>
      </c>
      <c r="F148" t="str">
        <f>IFERROR(IF(VLOOKUP(A148,Pascua!A:C,3,FALSE)=Table15[[#Headers],[Pascua]],Table15[[#Headers],[Pascua]],""),"")</f>
        <v/>
      </c>
      <c r="G148" t="str">
        <f>IFERROR(IF(VLOOKUP(A148,Pentecostés!A:C,3,FALSE)=Table15[[#Headers],[Pentecostés]],Table15[[#Headers],[Pentecostés]],""),"")</f>
        <v/>
      </c>
      <c r="H148" t="str">
        <f>IFERROR(IF(VLOOKUP(A148,Entrada!A:C,3,FALSE)=Table15[[#Headers],[Entrada]],Table15[[#Headers],[Entrada]],""),"")</f>
        <v/>
      </c>
      <c r="I148" t="str">
        <f>IFERROR(IF(VLOOKUP(A148,Virgen!A:C,3,FALSE)=Table15[[#Headers],[Virgen]],Table15[[#Headers],[Virgen]],""),"")</f>
        <v>Virgen</v>
      </c>
      <c r="J148" t="str">
        <f>IFERROR(IF(VLOOKUP(A148,Paz!A:C,3,FALSE)=Table15[[#Headers],[Paz]],Table15[[#Headers],[Paz]],""),"")</f>
        <v/>
      </c>
      <c r="K148" t="str">
        <f>IFERROR(IF(VLOOKUP(A148,Pan!A:C,3,FALSE)=Table15[[#Headers],[Pan]],Table15[[#Headers],[Pan]],""),"")</f>
        <v/>
      </c>
      <c r="L148" t="str">
        <f>IFERROR(IF(VLOOKUP(A148,Comunión!A:C,3,FALSE)=Table15[[#Headers],[Comunión]],Table15[[#Headers],[Comunión]],""),"")</f>
        <v/>
      </c>
      <c r="M148" t="str">
        <f>IFERROR(IF(VLOOKUP(A148,Niños!A:C,3,FALSE)=Table15[[#Headers],[Niños]],Table15[[#Headers],[Niños]],""),"")</f>
        <v/>
      </c>
      <c r="N148" t="str">
        <f>IFERROR(IF(VLOOKUP(A148,Laudes!A:C,3,FALSE)=Table15[[#Headers],[Laudes]],Table15[[#Headers],[Laudes]],""),"")</f>
        <v/>
      </c>
      <c r="O148" t="str">
        <f>IFERROR(IF(VLOOKUP(A148,'Nuevo Testamento'!A:C,3,FALSE)=Table15[[#Headers],[Nuevo Testamento]],Table15[[#Headers],[Nuevo Testamento]],""),"")</f>
        <v/>
      </c>
      <c r="P148" t="str">
        <f>IFERROR(IF(VLOOKUP(A148,'Antiguo Testamento'!A:C,3,FALSE)=Table15[[#Headers],[Antiguo Testamento]],Table15[[#Headers],[Antiguo Testamento]],""),"")</f>
        <v/>
      </c>
      <c r="Q148" t="str">
        <f>IFERROR(IF(VLOOKUP(A148,Final!A:C,3,FALSE)=Table15[[#Headers],[Final]],Table15[[#Headers],[Final]],""),"")</f>
        <v/>
      </c>
    </row>
    <row r="149" spans="1:17" x14ac:dyDescent="0.25">
      <c r="A149" t="s">
        <v>210</v>
      </c>
      <c r="B149">
        <v>150</v>
      </c>
      <c r="C149" t="str">
        <f>IFERROR(IF(VLOOKUP(A149,Adviento!A:C,3,FALSE)=Table15[[#Headers],[Adviento]],Table15[[#Headers],[Adviento]],""),"")</f>
        <v/>
      </c>
      <c r="D149" t="str">
        <f>IFERROR(IF(VLOOKUP(A149,Navidad!A:C,3,FALSE)=Table15[[#Headers],[Navidad]],Table15[[#Headers],[Navidad]],""),"")</f>
        <v/>
      </c>
      <c r="E149" t="str">
        <f>IFERROR(IF(VLOOKUP(A149,Cuaresma!A:C,3,FALSE)=Table15[[#Headers],[Cuaresma]],Table15[[#Headers],[Cuaresma]],""),"")</f>
        <v/>
      </c>
      <c r="F149" t="str">
        <f>IFERROR(IF(VLOOKUP(A149,Pascua!A:C,3,FALSE)=Table15[[#Headers],[Pascua]],Table15[[#Headers],[Pascua]],""),"")</f>
        <v/>
      </c>
      <c r="G149" t="str">
        <f>IFERROR(IF(VLOOKUP(A149,Pentecostés!A:C,3,FALSE)=Table15[[#Headers],[Pentecostés]],Table15[[#Headers],[Pentecostés]],""),"")</f>
        <v/>
      </c>
      <c r="H149" t="str">
        <f>IFERROR(IF(VLOOKUP(A149,Entrada!A:C,3,FALSE)=Table15[[#Headers],[Entrada]],Table15[[#Headers],[Entrada]],""),"")</f>
        <v>Entrada</v>
      </c>
      <c r="I149" t="str">
        <f>IFERROR(IF(VLOOKUP(A149,Virgen!A:C,3,FALSE)=Table15[[#Headers],[Virgen]],Table15[[#Headers],[Virgen]],""),"")</f>
        <v/>
      </c>
      <c r="J149" t="str">
        <f>IFERROR(IF(VLOOKUP(A149,Paz!A:C,3,FALSE)=Table15[[#Headers],[Paz]],Table15[[#Headers],[Paz]],""),"")</f>
        <v/>
      </c>
      <c r="K149" t="str">
        <f>IFERROR(IF(VLOOKUP(A149,Pan!A:C,3,FALSE)=Table15[[#Headers],[Pan]],Table15[[#Headers],[Pan]],""),"")</f>
        <v/>
      </c>
      <c r="L149" t="str">
        <f>IFERROR(IF(VLOOKUP(A149,Comunión!A:C,3,FALSE)=Table15[[#Headers],[Comunión]],Table15[[#Headers],[Comunión]],""),"")</f>
        <v/>
      </c>
      <c r="M149" t="str">
        <f>IFERROR(IF(VLOOKUP(A149,Niños!A:C,3,FALSE)=Table15[[#Headers],[Niños]],Table15[[#Headers],[Niños]],""),"")</f>
        <v/>
      </c>
      <c r="N149" t="str">
        <f>IFERROR(IF(VLOOKUP(A149,Laudes!A:C,3,FALSE)=Table15[[#Headers],[Laudes]],Table15[[#Headers],[Laudes]],""),"")</f>
        <v/>
      </c>
      <c r="O149" t="str">
        <f>IFERROR(IF(VLOOKUP(A149,'Nuevo Testamento'!A:C,3,FALSE)=Table15[[#Headers],[Nuevo Testamento]],Table15[[#Headers],[Nuevo Testamento]],""),"")</f>
        <v/>
      </c>
      <c r="P149" t="str">
        <f>IFERROR(IF(VLOOKUP(A149,'Antiguo Testamento'!A:C,3,FALSE)=Table15[[#Headers],[Antiguo Testamento]],Table15[[#Headers],[Antiguo Testamento]],""),"")</f>
        <v>Antiguo Testamento</v>
      </c>
      <c r="Q149" t="str">
        <f>IFERROR(IF(VLOOKUP(A149,Final!A:C,3,FALSE)=Table15[[#Headers],[Final]],Table15[[#Headers],[Final]],""),"")</f>
        <v/>
      </c>
    </row>
    <row r="150" spans="1:17" x14ac:dyDescent="0.25">
      <c r="A150" t="s">
        <v>211</v>
      </c>
      <c r="B150">
        <v>151</v>
      </c>
      <c r="C150" t="str">
        <f>IFERROR(IF(VLOOKUP(A150,Adviento!A:C,3,FALSE)=Table15[[#Headers],[Adviento]],Table15[[#Headers],[Adviento]],""),"")</f>
        <v/>
      </c>
      <c r="D150" t="str">
        <f>IFERROR(IF(VLOOKUP(A150,Navidad!A:C,3,FALSE)=Table15[[#Headers],[Navidad]],Table15[[#Headers],[Navidad]],""),"")</f>
        <v/>
      </c>
      <c r="E150" t="str">
        <f>IFERROR(IF(VLOOKUP(A150,Cuaresma!A:C,3,FALSE)=Table15[[#Headers],[Cuaresma]],Table15[[#Headers],[Cuaresma]],""),"")</f>
        <v/>
      </c>
      <c r="F150" t="str">
        <f>IFERROR(IF(VLOOKUP(A150,Pascua!A:C,3,FALSE)=Table15[[#Headers],[Pascua]],Table15[[#Headers],[Pascua]],""),"")</f>
        <v/>
      </c>
      <c r="G150" t="str">
        <f>IFERROR(IF(VLOOKUP(A150,Pentecostés!A:C,3,FALSE)=Table15[[#Headers],[Pentecostés]],Table15[[#Headers],[Pentecostés]],""),"")</f>
        <v/>
      </c>
      <c r="H150" t="str">
        <f>IFERROR(IF(VLOOKUP(A150,Entrada!A:C,3,FALSE)=Table15[[#Headers],[Entrada]],Table15[[#Headers],[Entrada]],""),"")</f>
        <v/>
      </c>
      <c r="I150" t="str">
        <f>IFERROR(IF(VLOOKUP(A150,Virgen!A:C,3,FALSE)=Table15[[#Headers],[Virgen]],Table15[[#Headers],[Virgen]],""),"")</f>
        <v/>
      </c>
      <c r="J150" t="str">
        <f>IFERROR(IF(VLOOKUP(A150,Paz!A:C,3,FALSE)=Table15[[#Headers],[Paz]],Table15[[#Headers],[Paz]],""),"")</f>
        <v/>
      </c>
      <c r="K150" t="str">
        <f>IFERROR(IF(VLOOKUP(A150,Pan!A:C,3,FALSE)=Table15[[#Headers],[Pan]],Table15[[#Headers],[Pan]],""),"")</f>
        <v/>
      </c>
      <c r="L150" t="str">
        <f>IFERROR(IF(VLOOKUP(A150,Comunión!A:C,3,FALSE)=Table15[[#Headers],[Comunión]],Table15[[#Headers],[Comunión]],""),"")</f>
        <v/>
      </c>
      <c r="M150" t="str">
        <f>IFERROR(IF(VLOOKUP(A150,Niños!A:C,3,FALSE)=Table15[[#Headers],[Niños]],Table15[[#Headers],[Niños]],""),"")</f>
        <v/>
      </c>
      <c r="N150" t="str">
        <f>IFERROR(IF(VLOOKUP(A150,Laudes!A:C,3,FALSE)=Table15[[#Headers],[Laudes]],Table15[[#Headers],[Laudes]],""),"")</f>
        <v/>
      </c>
      <c r="O150" t="str">
        <f>IFERROR(IF(VLOOKUP(A150,'Nuevo Testamento'!A:C,3,FALSE)=Table15[[#Headers],[Nuevo Testamento]],Table15[[#Headers],[Nuevo Testamento]],""),"")</f>
        <v/>
      </c>
      <c r="P150" t="str">
        <f>IFERROR(IF(VLOOKUP(A150,'Antiguo Testamento'!A:C,3,FALSE)=Table15[[#Headers],[Antiguo Testamento]],Table15[[#Headers],[Antiguo Testamento]],""),"")</f>
        <v/>
      </c>
      <c r="Q150" t="str">
        <f>IFERROR(IF(VLOOKUP(A150,Final!A:C,3,FALSE)=Table15[[#Headers],[Final]],Table15[[#Headers],[Final]],""),"")</f>
        <v/>
      </c>
    </row>
    <row r="151" spans="1:17" x14ac:dyDescent="0.25">
      <c r="A151" t="s">
        <v>88</v>
      </c>
      <c r="B151">
        <v>152</v>
      </c>
      <c r="C151" t="str">
        <f>IFERROR(IF(VLOOKUP(A151,Adviento!A:C,3,FALSE)=Table15[[#Headers],[Adviento]],Table15[[#Headers],[Adviento]],""),"")</f>
        <v/>
      </c>
      <c r="D151" t="str">
        <f>IFERROR(IF(VLOOKUP(A151,Navidad!A:C,3,FALSE)=Table15[[#Headers],[Navidad]],Table15[[#Headers],[Navidad]],""),"")</f>
        <v/>
      </c>
      <c r="E151" t="str">
        <f>IFERROR(IF(VLOOKUP(A151,Cuaresma!A:C,3,FALSE)=Table15[[#Headers],[Cuaresma]],Table15[[#Headers],[Cuaresma]],""),"")</f>
        <v/>
      </c>
      <c r="F151" t="str">
        <f>IFERROR(IF(VLOOKUP(A151,Pascua!A:C,3,FALSE)=Table15[[#Headers],[Pascua]],Table15[[#Headers],[Pascua]],""),"")</f>
        <v/>
      </c>
      <c r="G151" t="str">
        <f>IFERROR(IF(VLOOKUP(A151,Pentecostés!A:C,3,FALSE)=Table15[[#Headers],[Pentecostés]],Table15[[#Headers],[Pentecostés]],""),"")</f>
        <v/>
      </c>
      <c r="H151" t="str">
        <f>IFERROR(IF(VLOOKUP(A151,Entrada!A:C,3,FALSE)=Table15[[#Headers],[Entrada]],Table15[[#Headers],[Entrada]],""),"")</f>
        <v/>
      </c>
      <c r="I151" t="str">
        <f>IFERROR(IF(VLOOKUP(A151,Virgen!A:C,3,FALSE)=Table15[[#Headers],[Virgen]],Table15[[#Headers],[Virgen]],""),"")</f>
        <v/>
      </c>
      <c r="J151" t="str">
        <f>IFERROR(IF(VLOOKUP(A151,Paz!A:C,3,FALSE)=Table15[[#Headers],[Paz]],Table15[[#Headers],[Paz]],""),"")</f>
        <v/>
      </c>
      <c r="K151" t="str">
        <f>IFERROR(IF(VLOOKUP(A151,Pan!A:C,3,FALSE)=Table15[[#Headers],[Pan]],Table15[[#Headers],[Pan]],""),"")</f>
        <v/>
      </c>
      <c r="L151" t="str">
        <f>IFERROR(IF(VLOOKUP(A151,Comunión!A:C,3,FALSE)=Table15[[#Headers],[Comunión]],Table15[[#Headers],[Comunión]],""),"")</f>
        <v/>
      </c>
      <c r="M151" t="str">
        <f>IFERROR(IF(VLOOKUP(A151,Niños!A:C,3,FALSE)=Table15[[#Headers],[Niños]],Table15[[#Headers],[Niños]],""),"")</f>
        <v/>
      </c>
      <c r="N151" t="str">
        <f>IFERROR(IF(VLOOKUP(A151,Laudes!A:C,3,FALSE)=Table15[[#Headers],[Laudes]],Table15[[#Headers],[Laudes]],""),"")</f>
        <v/>
      </c>
      <c r="O151" t="str">
        <f>IFERROR(IF(VLOOKUP(A151,'Nuevo Testamento'!A:C,3,FALSE)=Table15[[#Headers],[Nuevo Testamento]],Table15[[#Headers],[Nuevo Testamento]],""),"")</f>
        <v/>
      </c>
      <c r="P151" t="str">
        <f>IFERROR(IF(VLOOKUP(A151,'Antiguo Testamento'!A:C,3,FALSE)=Table15[[#Headers],[Antiguo Testamento]],Table15[[#Headers],[Antiguo Testamento]],""),"")</f>
        <v>Antiguo Testamento</v>
      </c>
      <c r="Q151" t="str">
        <f>IFERROR(IF(VLOOKUP(A151,Final!A:C,3,FALSE)=Table15[[#Headers],[Final]],Table15[[#Headers],[Final]],""),"")</f>
        <v/>
      </c>
    </row>
    <row r="152" spans="1:17" x14ac:dyDescent="0.25">
      <c r="A152" t="s">
        <v>89</v>
      </c>
      <c r="B152">
        <v>153</v>
      </c>
      <c r="C152" t="str">
        <f>IFERROR(IF(VLOOKUP(A152,Adviento!A:C,3,FALSE)=Table15[[#Headers],[Adviento]],Table15[[#Headers],[Adviento]],""),"")</f>
        <v/>
      </c>
      <c r="D152" t="str">
        <f>IFERROR(IF(VLOOKUP(A152,Navidad!A:C,3,FALSE)=Table15[[#Headers],[Navidad]],Table15[[#Headers],[Navidad]],""),"")</f>
        <v/>
      </c>
      <c r="E152" t="str">
        <f>IFERROR(IF(VLOOKUP(A152,Cuaresma!A:C,3,FALSE)=Table15[[#Headers],[Cuaresma]],Table15[[#Headers],[Cuaresma]],""),"")</f>
        <v>Cuaresma</v>
      </c>
      <c r="F152" t="str">
        <f>IFERROR(IF(VLOOKUP(A152,Pascua!A:C,3,FALSE)=Table15[[#Headers],[Pascua]],Table15[[#Headers],[Pascua]],""),"")</f>
        <v/>
      </c>
      <c r="G152" t="str">
        <f>IFERROR(IF(VLOOKUP(A152,Pentecostés!A:C,3,FALSE)=Table15[[#Headers],[Pentecostés]],Table15[[#Headers],[Pentecostés]],""),"")</f>
        <v/>
      </c>
      <c r="H152" t="str">
        <f>IFERROR(IF(VLOOKUP(A152,Entrada!A:C,3,FALSE)=Table15[[#Headers],[Entrada]],Table15[[#Headers],[Entrada]],""),"")</f>
        <v/>
      </c>
      <c r="I152" t="str">
        <f>IFERROR(IF(VLOOKUP(A152,Virgen!A:C,3,FALSE)=Table15[[#Headers],[Virgen]],Table15[[#Headers],[Virgen]],""),"")</f>
        <v/>
      </c>
      <c r="J152" t="str">
        <f>IFERROR(IF(VLOOKUP(A152,Paz!A:C,3,FALSE)=Table15[[#Headers],[Paz]],Table15[[#Headers],[Paz]],""),"")</f>
        <v/>
      </c>
      <c r="K152" t="str">
        <f>IFERROR(IF(VLOOKUP(A152,Pan!A:C,3,FALSE)=Table15[[#Headers],[Pan]],Table15[[#Headers],[Pan]],""),"")</f>
        <v/>
      </c>
      <c r="L152" t="str">
        <f>IFERROR(IF(VLOOKUP(A152,Comunión!A:C,3,FALSE)=Table15[[#Headers],[Comunión]],Table15[[#Headers],[Comunión]],""),"")</f>
        <v/>
      </c>
      <c r="M152" t="str">
        <f>IFERROR(IF(VLOOKUP(A152,Niños!A:C,3,FALSE)=Table15[[#Headers],[Niños]],Table15[[#Headers],[Niños]],""),"")</f>
        <v/>
      </c>
      <c r="N152" t="str">
        <f>IFERROR(IF(VLOOKUP(A152,Laudes!A:C,3,FALSE)=Table15[[#Headers],[Laudes]],Table15[[#Headers],[Laudes]],""),"")</f>
        <v/>
      </c>
      <c r="O152" t="str">
        <f>IFERROR(IF(VLOOKUP(A152,'Nuevo Testamento'!A:C,3,FALSE)=Table15[[#Headers],[Nuevo Testamento]],Table15[[#Headers],[Nuevo Testamento]],""),"")</f>
        <v/>
      </c>
      <c r="P152" t="str">
        <f>IFERROR(IF(VLOOKUP(A152,'Antiguo Testamento'!A:C,3,FALSE)=Table15[[#Headers],[Antiguo Testamento]],Table15[[#Headers],[Antiguo Testamento]],""),"")</f>
        <v>Antiguo Testamento</v>
      </c>
      <c r="Q152" t="str">
        <f>IFERROR(IF(VLOOKUP(A152,Final!A:C,3,FALSE)=Table15[[#Headers],[Final]],Table15[[#Headers],[Final]],""),"")</f>
        <v/>
      </c>
    </row>
    <row r="153" spans="1:17" x14ac:dyDescent="0.25">
      <c r="A153" t="s">
        <v>213</v>
      </c>
      <c r="B153">
        <v>154</v>
      </c>
      <c r="C153" t="str">
        <f>IFERROR(IF(VLOOKUP(A153,Adviento!A:C,3,FALSE)=Table15[[#Headers],[Adviento]],Table15[[#Headers],[Adviento]],""),"")</f>
        <v/>
      </c>
      <c r="D153" t="str">
        <f>IFERROR(IF(VLOOKUP(A153,Navidad!A:C,3,FALSE)=Table15[[#Headers],[Navidad]],Table15[[#Headers],[Navidad]],""),"")</f>
        <v/>
      </c>
      <c r="E153" t="str">
        <f>IFERROR(IF(VLOOKUP(A153,Cuaresma!A:C,3,FALSE)=Table15[[#Headers],[Cuaresma]],Table15[[#Headers],[Cuaresma]],""),"")</f>
        <v/>
      </c>
      <c r="F153" t="str">
        <f>IFERROR(IF(VLOOKUP(A153,Pascua!A:C,3,FALSE)=Table15[[#Headers],[Pascua]],Table15[[#Headers],[Pascua]],""),"")</f>
        <v/>
      </c>
      <c r="G153" t="str">
        <f>IFERROR(IF(VLOOKUP(A153,Pentecostés!A:C,3,FALSE)=Table15[[#Headers],[Pentecostés]],Table15[[#Headers],[Pentecostés]],""),"")</f>
        <v/>
      </c>
      <c r="H153" t="str">
        <f>IFERROR(IF(VLOOKUP(A153,Entrada!A:C,3,FALSE)=Table15[[#Headers],[Entrada]],Table15[[#Headers],[Entrada]],""),"")</f>
        <v/>
      </c>
      <c r="I153" t="str">
        <f>IFERROR(IF(VLOOKUP(A153,Virgen!A:C,3,FALSE)=Table15[[#Headers],[Virgen]],Table15[[#Headers],[Virgen]],""),"")</f>
        <v>Virgen</v>
      </c>
      <c r="J153" t="str">
        <f>IFERROR(IF(VLOOKUP(A153,Paz!A:C,3,FALSE)=Table15[[#Headers],[Paz]],Table15[[#Headers],[Paz]],""),"")</f>
        <v/>
      </c>
      <c r="K153" t="str">
        <f>IFERROR(IF(VLOOKUP(A153,Pan!A:C,3,FALSE)=Table15[[#Headers],[Pan]],Table15[[#Headers],[Pan]],""),"")</f>
        <v/>
      </c>
      <c r="L153" t="str">
        <f>IFERROR(IF(VLOOKUP(A153,Comunión!A:C,3,FALSE)=Table15[[#Headers],[Comunión]],Table15[[#Headers],[Comunión]],""),"")</f>
        <v/>
      </c>
      <c r="M153" t="str">
        <f>IFERROR(IF(VLOOKUP(A153,Niños!A:C,3,FALSE)=Table15[[#Headers],[Niños]],Table15[[#Headers],[Niños]],""),"")</f>
        <v/>
      </c>
      <c r="N153" t="str">
        <f>IFERROR(IF(VLOOKUP(A153,Laudes!A:C,3,FALSE)=Table15[[#Headers],[Laudes]],Table15[[#Headers],[Laudes]],""),"")</f>
        <v/>
      </c>
      <c r="O153" t="str">
        <f>IFERROR(IF(VLOOKUP(A153,'Nuevo Testamento'!A:C,3,FALSE)=Table15[[#Headers],[Nuevo Testamento]],Table15[[#Headers],[Nuevo Testamento]],""),"")</f>
        <v/>
      </c>
      <c r="P153" t="str">
        <f>IFERROR(IF(VLOOKUP(A153,'Antiguo Testamento'!A:C,3,FALSE)=Table15[[#Headers],[Antiguo Testamento]],Table15[[#Headers],[Antiguo Testamento]],""),"")</f>
        <v>Antiguo Testamento</v>
      </c>
      <c r="Q153" t="str">
        <f>IFERROR(IF(VLOOKUP(A153,Final!A:C,3,FALSE)=Table15[[#Headers],[Final]],Table15[[#Headers],[Final]],""),"")</f>
        <v>Final</v>
      </c>
    </row>
    <row r="154" spans="1:17" x14ac:dyDescent="0.25">
      <c r="A154" t="s">
        <v>214</v>
      </c>
      <c r="B154">
        <v>155</v>
      </c>
      <c r="C154" t="str">
        <f>IFERROR(IF(VLOOKUP(A154,Adviento!A:C,3,FALSE)=Table15[[#Headers],[Adviento]],Table15[[#Headers],[Adviento]],""),"")</f>
        <v/>
      </c>
      <c r="D154" t="str">
        <f>IFERROR(IF(VLOOKUP(A154,Navidad!A:C,3,FALSE)=Table15[[#Headers],[Navidad]],Table15[[#Headers],[Navidad]],""),"")</f>
        <v/>
      </c>
      <c r="E154" t="str">
        <f>IFERROR(IF(VLOOKUP(A154,Cuaresma!A:C,3,FALSE)=Table15[[#Headers],[Cuaresma]],Table15[[#Headers],[Cuaresma]],""),"")</f>
        <v>Cuaresma</v>
      </c>
      <c r="F154" t="str">
        <f>IFERROR(IF(VLOOKUP(A154,Pascua!A:C,3,FALSE)=Table15[[#Headers],[Pascua]],Table15[[#Headers],[Pascua]],""),"")</f>
        <v/>
      </c>
      <c r="G154" t="str">
        <f>IFERROR(IF(VLOOKUP(A154,Pentecostés!A:C,3,FALSE)=Table15[[#Headers],[Pentecostés]],Table15[[#Headers],[Pentecostés]],""),"")</f>
        <v/>
      </c>
      <c r="H154" t="str">
        <f>IFERROR(IF(VLOOKUP(A154,Entrada!A:C,3,FALSE)=Table15[[#Headers],[Entrada]],Table15[[#Headers],[Entrada]],""),"")</f>
        <v/>
      </c>
      <c r="I154" t="str">
        <f>IFERROR(IF(VLOOKUP(A154,Virgen!A:C,3,FALSE)=Table15[[#Headers],[Virgen]],Table15[[#Headers],[Virgen]],""),"")</f>
        <v>Virgen</v>
      </c>
      <c r="J154" t="str">
        <f>IFERROR(IF(VLOOKUP(A154,Paz!A:C,3,FALSE)=Table15[[#Headers],[Paz]],Table15[[#Headers],[Paz]],""),"")</f>
        <v/>
      </c>
      <c r="K154" t="str">
        <f>IFERROR(IF(VLOOKUP(A154,Pan!A:C,3,FALSE)=Table15[[#Headers],[Pan]],Table15[[#Headers],[Pan]],""),"")</f>
        <v>Pan</v>
      </c>
      <c r="L154" t="str">
        <f>IFERROR(IF(VLOOKUP(A154,Comunión!A:C,3,FALSE)=Table15[[#Headers],[Comunión]],Table15[[#Headers],[Comunión]],""),"")</f>
        <v/>
      </c>
      <c r="M154" t="str">
        <f>IFERROR(IF(VLOOKUP(A154,Niños!A:C,3,FALSE)=Table15[[#Headers],[Niños]],Table15[[#Headers],[Niños]],""),"")</f>
        <v/>
      </c>
      <c r="N154" t="str">
        <f>IFERROR(IF(VLOOKUP(A154,Laudes!A:C,3,FALSE)=Table15[[#Headers],[Laudes]],Table15[[#Headers],[Laudes]],""),"")</f>
        <v/>
      </c>
      <c r="O154" t="str">
        <f>IFERROR(IF(VLOOKUP(A154,'Nuevo Testamento'!A:C,3,FALSE)=Table15[[#Headers],[Nuevo Testamento]],Table15[[#Headers],[Nuevo Testamento]],""),"")</f>
        <v/>
      </c>
      <c r="P154" t="str">
        <f>IFERROR(IF(VLOOKUP(A154,'Antiguo Testamento'!A:C,3,FALSE)=Table15[[#Headers],[Antiguo Testamento]],Table15[[#Headers],[Antiguo Testamento]],""),"")</f>
        <v/>
      </c>
      <c r="Q154" t="str">
        <f>IFERROR(IF(VLOOKUP(A154,Final!A:C,3,FALSE)=Table15[[#Headers],[Final]],Table15[[#Headers],[Final]],""),"")</f>
        <v/>
      </c>
    </row>
    <row r="155" spans="1:17" x14ac:dyDescent="0.25">
      <c r="A155" t="s">
        <v>215</v>
      </c>
      <c r="B155">
        <v>156</v>
      </c>
      <c r="C155" t="str">
        <f>IFERROR(IF(VLOOKUP(A155,Adviento!A:C,3,FALSE)=Table15[[#Headers],[Adviento]],Table15[[#Headers],[Adviento]],""),"")</f>
        <v/>
      </c>
      <c r="D155" t="str">
        <f>IFERROR(IF(VLOOKUP(A155,Navidad!A:C,3,FALSE)=Table15[[#Headers],[Navidad]],Table15[[#Headers],[Navidad]],""),"")</f>
        <v/>
      </c>
      <c r="E155" t="str">
        <f>IFERROR(IF(VLOOKUP(A155,Cuaresma!A:C,3,FALSE)=Table15[[#Headers],[Cuaresma]],Table15[[#Headers],[Cuaresma]],""),"")</f>
        <v>Cuaresma</v>
      </c>
      <c r="F155" t="str">
        <f>IFERROR(IF(VLOOKUP(A155,Pascua!A:C,3,FALSE)=Table15[[#Headers],[Pascua]],Table15[[#Headers],[Pascua]],""),"")</f>
        <v/>
      </c>
      <c r="G155" t="str">
        <f>IFERROR(IF(VLOOKUP(A155,Pentecostés!A:C,3,FALSE)=Table15[[#Headers],[Pentecostés]],Table15[[#Headers],[Pentecostés]],""),"")</f>
        <v/>
      </c>
      <c r="H155" t="str">
        <f>IFERROR(IF(VLOOKUP(A155,Entrada!A:C,3,FALSE)=Table15[[#Headers],[Entrada]],Table15[[#Headers],[Entrada]],""),"")</f>
        <v/>
      </c>
      <c r="I155" t="str">
        <f>IFERROR(IF(VLOOKUP(A155,Virgen!A:C,3,FALSE)=Table15[[#Headers],[Virgen]],Table15[[#Headers],[Virgen]],""),"")</f>
        <v>Virgen</v>
      </c>
      <c r="J155" t="str">
        <f>IFERROR(IF(VLOOKUP(A155,Paz!A:C,3,FALSE)=Table15[[#Headers],[Paz]],Table15[[#Headers],[Paz]],""),"")</f>
        <v/>
      </c>
      <c r="K155" t="str">
        <f>IFERROR(IF(VLOOKUP(A155,Pan!A:C,3,FALSE)=Table15[[#Headers],[Pan]],Table15[[#Headers],[Pan]],""),"")</f>
        <v>Pan</v>
      </c>
      <c r="L155" t="str">
        <f>IFERROR(IF(VLOOKUP(A155,Comunión!A:C,3,FALSE)=Table15[[#Headers],[Comunión]],Table15[[#Headers],[Comunión]],""),"")</f>
        <v/>
      </c>
      <c r="M155" t="str">
        <f>IFERROR(IF(VLOOKUP(A155,Niños!A:C,3,FALSE)=Table15[[#Headers],[Niños]],Table15[[#Headers],[Niños]],""),"")</f>
        <v/>
      </c>
      <c r="N155" t="str">
        <f>IFERROR(IF(VLOOKUP(A155,Laudes!A:C,3,FALSE)=Table15[[#Headers],[Laudes]],Table15[[#Headers],[Laudes]],""),"")</f>
        <v/>
      </c>
      <c r="O155" t="str">
        <f>IFERROR(IF(VLOOKUP(A155,'Nuevo Testamento'!A:C,3,FALSE)=Table15[[#Headers],[Nuevo Testamento]],Table15[[#Headers],[Nuevo Testamento]],""),"")</f>
        <v/>
      </c>
      <c r="P155" t="str">
        <f>IFERROR(IF(VLOOKUP(A155,'Antiguo Testamento'!A:C,3,FALSE)=Table15[[#Headers],[Antiguo Testamento]],Table15[[#Headers],[Antiguo Testamento]],""),"")</f>
        <v/>
      </c>
      <c r="Q155" t="str">
        <f>IFERROR(IF(VLOOKUP(A155,Final!A:C,3,FALSE)=Table15[[#Headers],[Final]],Table15[[#Headers],[Final]],""),"")</f>
        <v/>
      </c>
    </row>
    <row r="156" spans="1:17" x14ac:dyDescent="0.25">
      <c r="A156" t="s">
        <v>216</v>
      </c>
      <c r="B156">
        <v>157</v>
      </c>
      <c r="C156" t="str">
        <f>IFERROR(IF(VLOOKUP(A156,Adviento!A:C,3,FALSE)=Table15[[#Headers],[Adviento]],Table15[[#Headers],[Adviento]],""),"")</f>
        <v/>
      </c>
      <c r="D156" t="str">
        <f>IFERROR(IF(VLOOKUP(A156,Navidad!A:C,3,FALSE)=Table15[[#Headers],[Navidad]],Table15[[#Headers],[Navidad]],""),"")</f>
        <v/>
      </c>
      <c r="E156" t="str">
        <f>IFERROR(IF(VLOOKUP(A156,Cuaresma!A:C,3,FALSE)=Table15[[#Headers],[Cuaresma]],Table15[[#Headers],[Cuaresma]],""),"")</f>
        <v/>
      </c>
      <c r="F156" t="str">
        <f>IFERROR(IF(VLOOKUP(A156,Pascua!A:C,3,FALSE)=Table15[[#Headers],[Pascua]],Table15[[#Headers],[Pascua]],""),"")</f>
        <v>Pascua</v>
      </c>
      <c r="G156" t="str">
        <f>IFERROR(IF(VLOOKUP(A156,Pentecostés!A:C,3,FALSE)=Table15[[#Headers],[Pentecostés]],Table15[[#Headers],[Pentecostés]],""),"")</f>
        <v>Pentecostés</v>
      </c>
      <c r="H156" t="str">
        <f>IFERROR(IF(VLOOKUP(A156,Entrada!A:C,3,FALSE)=Table15[[#Headers],[Entrada]],Table15[[#Headers],[Entrada]],""),"")</f>
        <v/>
      </c>
      <c r="I156" t="str">
        <f>IFERROR(IF(VLOOKUP(A156,Virgen!A:C,3,FALSE)=Table15[[#Headers],[Virgen]],Table15[[#Headers],[Virgen]],""),"")</f>
        <v/>
      </c>
      <c r="J156" t="str">
        <f>IFERROR(IF(VLOOKUP(A156,Paz!A:C,3,FALSE)=Table15[[#Headers],[Paz]],Table15[[#Headers],[Paz]],""),"")</f>
        <v>Paz</v>
      </c>
      <c r="K156" t="str">
        <f>IFERROR(IF(VLOOKUP(A156,Pan!A:C,3,FALSE)=Table15[[#Headers],[Pan]],Table15[[#Headers],[Pan]],""),"")</f>
        <v/>
      </c>
      <c r="L156" t="str">
        <f>IFERROR(IF(VLOOKUP(A156,Comunión!A:C,3,FALSE)=Table15[[#Headers],[Comunión]],Table15[[#Headers],[Comunión]],""),"")</f>
        <v/>
      </c>
      <c r="M156" t="str">
        <f>IFERROR(IF(VLOOKUP(A156,Niños!A:C,3,FALSE)=Table15[[#Headers],[Niños]],Table15[[#Headers],[Niños]],""),"")</f>
        <v/>
      </c>
      <c r="N156" t="str">
        <f>IFERROR(IF(VLOOKUP(A156,Laudes!A:C,3,FALSE)=Table15[[#Headers],[Laudes]],Table15[[#Headers],[Laudes]],""),"")</f>
        <v/>
      </c>
      <c r="O156" t="str">
        <f>IFERROR(IF(VLOOKUP(A156,'Nuevo Testamento'!A:C,3,FALSE)=Table15[[#Headers],[Nuevo Testamento]],Table15[[#Headers],[Nuevo Testamento]],""),"")</f>
        <v/>
      </c>
      <c r="P156" t="str">
        <f>IFERROR(IF(VLOOKUP(A156,'Antiguo Testamento'!A:C,3,FALSE)=Table15[[#Headers],[Antiguo Testamento]],Table15[[#Headers],[Antiguo Testamento]],""),"")</f>
        <v/>
      </c>
      <c r="Q156" t="str">
        <f>IFERROR(IF(VLOOKUP(A156,Final!A:C,3,FALSE)=Table15[[#Headers],[Final]],Table15[[#Headers],[Final]],""),"")</f>
        <v/>
      </c>
    </row>
    <row r="157" spans="1:17" x14ac:dyDescent="0.25">
      <c r="A157" t="s">
        <v>93</v>
      </c>
      <c r="B157">
        <v>158</v>
      </c>
      <c r="C157" t="str">
        <f>IFERROR(IF(VLOOKUP(A157,Adviento!A:C,3,FALSE)=Table15[[#Headers],[Adviento]],Table15[[#Headers],[Adviento]],""),"")</f>
        <v/>
      </c>
      <c r="D157" t="str">
        <f>IFERROR(IF(VLOOKUP(A157,Navidad!A:C,3,FALSE)=Table15[[#Headers],[Navidad]],Table15[[#Headers],[Navidad]],""),"")</f>
        <v/>
      </c>
      <c r="E157" t="str">
        <f>IFERROR(IF(VLOOKUP(A157,Cuaresma!A:C,3,FALSE)=Table15[[#Headers],[Cuaresma]],Table15[[#Headers],[Cuaresma]],""),"")</f>
        <v>Cuaresma</v>
      </c>
      <c r="F157" t="str">
        <f>IFERROR(IF(VLOOKUP(A157,Pascua!A:C,3,FALSE)=Table15[[#Headers],[Pascua]],Table15[[#Headers],[Pascua]],""),"")</f>
        <v/>
      </c>
      <c r="G157" t="str">
        <f>IFERROR(IF(VLOOKUP(A157,Pentecostés!A:C,3,FALSE)=Table15[[#Headers],[Pentecostés]],Table15[[#Headers],[Pentecostés]],""),"")</f>
        <v/>
      </c>
      <c r="H157" t="str">
        <f>IFERROR(IF(VLOOKUP(A157,Entrada!A:C,3,FALSE)=Table15[[#Headers],[Entrada]],Table15[[#Headers],[Entrada]],""),"")</f>
        <v/>
      </c>
      <c r="I157" t="str">
        <f>IFERROR(IF(VLOOKUP(A157,Virgen!A:C,3,FALSE)=Table15[[#Headers],[Virgen]],Table15[[#Headers],[Virgen]],""),"")</f>
        <v/>
      </c>
      <c r="J157" t="str">
        <f>IFERROR(IF(VLOOKUP(A157,Paz!A:C,3,FALSE)=Table15[[#Headers],[Paz]],Table15[[#Headers],[Paz]],""),"")</f>
        <v/>
      </c>
      <c r="K157" t="str">
        <f>IFERROR(IF(VLOOKUP(A157,Pan!A:C,3,FALSE)=Table15[[#Headers],[Pan]],Table15[[#Headers],[Pan]],""),"")</f>
        <v/>
      </c>
      <c r="L157" t="str">
        <f>IFERROR(IF(VLOOKUP(A157,Comunión!A:C,3,FALSE)=Table15[[#Headers],[Comunión]],Table15[[#Headers],[Comunión]],""),"")</f>
        <v/>
      </c>
      <c r="M157" t="str">
        <f>IFERROR(IF(VLOOKUP(A157,Niños!A:C,3,FALSE)=Table15[[#Headers],[Niños]],Table15[[#Headers],[Niños]],""),"")</f>
        <v/>
      </c>
      <c r="N157" t="str">
        <f>IFERROR(IF(VLOOKUP(A157,Laudes!A:C,3,FALSE)=Table15[[#Headers],[Laudes]],Table15[[#Headers],[Laudes]],""),"")</f>
        <v/>
      </c>
      <c r="O157" t="str">
        <f>IFERROR(IF(VLOOKUP(A157,'Nuevo Testamento'!A:C,3,FALSE)=Table15[[#Headers],[Nuevo Testamento]],Table15[[#Headers],[Nuevo Testamento]],""),"")</f>
        <v/>
      </c>
      <c r="P157" t="str">
        <f>IFERROR(IF(VLOOKUP(A157,'Antiguo Testamento'!A:C,3,FALSE)=Table15[[#Headers],[Antiguo Testamento]],Table15[[#Headers],[Antiguo Testamento]],""),"")</f>
        <v>Antiguo Testamento</v>
      </c>
      <c r="Q157" t="str">
        <f>IFERROR(IF(VLOOKUP(A157,Final!A:C,3,FALSE)=Table15[[#Headers],[Final]],Table15[[#Headers],[Final]],""),"")</f>
        <v/>
      </c>
    </row>
    <row r="158" spans="1:17" x14ac:dyDescent="0.25">
      <c r="A158" t="s">
        <v>217</v>
      </c>
      <c r="B158">
        <v>159</v>
      </c>
      <c r="C158" t="str">
        <f>IFERROR(IF(VLOOKUP(A158,Adviento!A:C,3,FALSE)=Table15[[#Headers],[Adviento]],Table15[[#Headers],[Adviento]],""),"")</f>
        <v/>
      </c>
      <c r="D158" t="str">
        <f>IFERROR(IF(VLOOKUP(A158,Navidad!A:C,3,FALSE)=Table15[[#Headers],[Navidad]],Table15[[#Headers],[Navidad]],""),"")</f>
        <v/>
      </c>
      <c r="E158" t="str">
        <f>IFERROR(IF(VLOOKUP(A158,Cuaresma!A:C,3,FALSE)=Table15[[#Headers],[Cuaresma]],Table15[[#Headers],[Cuaresma]],""),"")</f>
        <v>Cuaresma</v>
      </c>
      <c r="F158" t="str">
        <f>IFERROR(IF(VLOOKUP(A158,Pascua!A:C,3,FALSE)=Table15[[#Headers],[Pascua]],Table15[[#Headers],[Pascua]],""),"")</f>
        <v/>
      </c>
      <c r="G158" t="str">
        <f>IFERROR(IF(VLOOKUP(A158,Pentecostés!A:C,3,FALSE)=Table15[[#Headers],[Pentecostés]],Table15[[#Headers],[Pentecostés]],""),"")</f>
        <v/>
      </c>
      <c r="H158" t="str">
        <f>IFERROR(IF(VLOOKUP(A158,Entrada!A:C,3,FALSE)=Table15[[#Headers],[Entrada]],Table15[[#Headers],[Entrada]],""),"")</f>
        <v/>
      </c>
      <c r="I158" t="str">
        <f>IFERROR(IF(VLOOKUP(A158,Virgen!A:C,3,FALSE)=Table15[[#Headers],[Virgen]],Table15[[#Headers],[Virgen]],""),"")</f>
        <v/>
      </c>
      <c r="J158" t="str">
        <f>IFERROR(IF(VLOOKUP(A158,Paz!A:C,3,FALSE)=Table15[[#Headers],[Paz]],Table15[[#Headers],[Paz]],""),"")</f>
        <v/>
      </c>
      <c r="K158" t="str">
        <f>IFERROR(IF(VLOOKUP(A158,Pan!A:C,3,FALSE)=Table15[[#Headers],[Pan]],Table15[[#Headers],[Pan]],""),"")</f>
        <v/>
      </c>
      <c r="L158" t="str">
        <f>IFERROR(IF(VLOOKUP(A158,Comunión!A:C,3,FALSE)=Table15[[#Headers],[Comunión]],Table15[[#Headers],[Comunión]],""),"")</f>
        <v/>
      </c>
      <c r="M158" t="str">
        <f>IFERROR(IF(VLOOKUP(A158,Niños!A:C,3,FALSE)=Table15[[#Headers],[Niños]],Table15[[#Headers],[Niños]],""),"")</f>
        <v/>
      </c>
      <c r="N158" t="str">
        <f>IFERROR(IF(VLOOKUP(A158,Laudes!A:C,3,FALSE)=Table15[[#Headers],[Laudes]],Table15[[#Headers],[Laudes]],""),"")</f>
        <v/>
      </c>
      <c r="O158" t="str">
        <f>IFERROR(IF(VLOOKUP(A158,'Nuevo Testamento'!A:C,3,FALSE)=Table15[[#Headers],[Nuevo Testamento]],Table15[[#Headers],[Nuevo Testamento]],""),"")</f>
        <v/>
      </c>
      <c r="P158" t="str">
        <f>IFERROR(IF(VLOOKUP(A158,'Antiguo Testamento'!A:C,3,FALSE)=Table15[[#Headers],[Antiguo Testamento]],Table15[[#Headers],[Antiguo Testamento]],""),"")</f>
        <v>Antiguo Testamento</v>
      </c>
      <c r="Q158" t="str">
        <f>IFERROR(IF(VLOOKUP(A158,Final!A:C,3,FALSE)=Table15[[#Headers],[Final]],Table15[[#Headers],[Final]],""),"")</f>
        <v/>
      </c>
    </row>
    <row r="159" spans="1:17" x14ac:dyDescent="0.25">
      <c r="A159" t="s">
        <v>218</v>
      </c>
      <c r="B159">
        <v>160</v>
      </c>
      <c r="C159" t="str">
        <f>IFERROR(IF(VLOOKUP(A159,Adviento!A:C,3,FALSE)=Table15[[#Headers],[Adviento]],Table15[[#Headers],[Adviento]],""),"")</f>
        <v/>
      </c>
      <c r="D159" t="str">
        <f>IFERROR(IF(VLOOKUP(A159,Navidad!A:C,3,FALSE)=Table15[[#Headers],[Navidad]],Table15[[#Headers],[Navidad]],""),"")</f>
        <v/>
      </c>
      <c r="E159" t="str">
        <f>IFERROR(IF(VLOOKUP(A159,Cuaresma!A:C,3,FALSE)=Table15[[#Headers],[Cuaresma]],Table15[[#Headers],[Cuaresma]],""),"")</f>
        <v/>
      </c>
      <c r="F159" t="str">
        <f>IFERROR(IF(VLOOKUP(A159,Pascua!A:C,3,FALSE)=Table15[[#Headers],[Pascua]],Table15[[#Headers],[Pascua]],""),"")</f>
        <v>Pascua</v>
      </c>
      <c r="G159" t="str">
        <f>IFERROR(IF(VLOOKUP(A159,Pentecostés!A:C,3,FALSE)=Table15[[#Headers],[Pentecostés]],Table15[[#Headers],[Pentecostés]],""),"")</f>
        <v>Pentecostés</v>
      </c>
      <c r="H159" t="str">
        <f>IFERROR(IF(VLOOKUP(A159,Entrada!A:C,3,FALSE)=Table15[[#Headers],[Entrada]],Table15[[#Headers],[Entrada]],""),"")</f>
        <v/>
      </c>
      <c r="I159" t="str">
        <f>IFERROR(IF(VLOOKUP(A159,Virgen!A:C,3,FALSE)=Table15[[#Headers],[Virgen]],Table15[[#Headers],[Virgen]],""),"")</f>
        <v>Virgen</v>
      </c>
      <c r="J159" t="str">
        <f>IFERROR(IF(VLOOKUP(A159,Paz!A:C,3,FALSE)=Table15[[#Headers],[Paz]],Table15[[#Headers],[Paz]],""),"")</f>
        <v/>
      </c>
      <c r="K159" t="str">
        <f>IFERROR(IF(VLOOKUP(A159,Pan!A:C,3,FALSE)=Table15[[#Headers],[Pan]],Table15[[#Headers],[Pan]],""),"")</f>
        <v>Pan</v>
      </c>
      <c r="L159" t="str">
        <f>IFERROR(IF(VLOOKUP(A159,Comunión!A:C,3,FALSE)=Table15[[#Headers],[Comunión]],Table15[[#Headers],[Comunión]],""),"")</f>
        <v/>
      </c>
      <c r="M159" t="str">
        <f>IFERROR(IF(VLOOKUP(A159,Niños!A:C,3,FALSE)=Table15[[#Headers],[Niños]],Table15[[#Headers],[Niños]],""),"")</f>
        <v/>
      </c>
      <c r="N159" t="str">
        <f>IFERROR(IF(VLOOKUP(A159,Laudes!A:C,3,FALSE)=Table15[[#Headers],[Laudes]],Table15[[#Headers],[Laudes]],""),"")</f>
        <v/>
      </c>
      <c r="O159" t="str">
        <f>IFERROR(IF(VLOOKUP(A159,'Nuevo Testamento'!A:C,3,FALSE)=Table15[[#Headers],[Nuevo Testamento]],Table15[[#Headers],[Nuevo Testamento]],""),"")</f>
        <v/>
      </c>
      <c r="P159" t="str">
        <f>IFERROR(IF(VLOOKUP(A159,'Antiguo Testamento'!A:C,3,FALSE)=Table15[[#Headers],[Antiguo Testamento]],Table15[[#Headers],[Antiguo Testamento]],""),"")</f>
        <v/>
      </c>
      <c r="Q159" t="str">
        <f>IFERROR(IF(VLOOKUP(A159,Final!A:C,3,FALSE)=Table15[[#Headers],[Final]],Table15[[#Headers],[Final]],""),"")</f>
        <v/>
      </c>
    </row>
    <row r="160" spans="1:17" x14ac:dyDescent="0.25">
      <c r="A160" t="s">
        <v>95</v>
      </c>
      <c r="B160">
        <v>161</v>
      </c>
      <c r="C160" t="str">
        <f>IFERROR(IF(VLOOKUP(A160,Adviento!A:C,3,FALSE)=Table15[[#Headers],[Adviento]],Table15[[#Headers],[Adviento]],""),"")</f>
        <v/>
      </c>
      <c r="D160" t="str">
        <f>IFERROR(IF(VLOOKUP(A160,Navidad!A:C,3,FALSE)=Table15[[#Headers],[Navidad]],Table15[[#Headers],[Navidad]],""),"")</f>
        <v/>
      </c>
      <c r="E160" t="str">
        <f>IFERROR(IF(VLOOKUP(A160,Cuaresma!A:C,3,FALSE)=Table15[[#Headers],[Cuaresma]],Table15[[#Headers],[Cuaresma]],""),"")</f>
        <v>Cuaresma</v>
      </c>
      <c r="F160" t="str">
        <f>IFERROR(IF(VLOOKUP(A160,Pascua!A:C,3,FALSE)=Table15[[#Headers],[Pascua]],Table15[[#Headers],[Pascua]],""),"")</f>
        <v/>
      </c>
      <c r="G160" t="str">
        <f>IFERROR(IF(VLOOKUP(A160,Pentecostés!A:C,3,FALSE)=Table15[[#Headers],[Pentecostés]],Table15[[#Headers],[Pentecostés]],""),"")</f>
        <v/>
      </c>
      <c r="H160" t="str">
        <f>IFERROR(IF(VLOOKUP(A160,Entrada!A:C,3,FALSE)=Table15[[#Headers],[Entrada]],Table15[[#Headers],[Entrada]],""),"")</f>
        <v>Entrada</v>
      </c>
      <c r="I160" t="str">
        <f>IFERROR(IF(VLOOKUP(A160,Virgen!A:C,3,FALSE)=Table15[[#Headers],[Virgen]],Table15[[#Headers],[Virgen]],""),"")</f>
        <v/>
      </c>
      <c r="J160" t="str">
        <f>IFERROR(IF(VLOOKUP(A160,Paz!A:C,3,FALSE)=Table15[[#Headers],[Paz]],Table15[[#Headers],[Paz]],""),"")</f>
        <v/>
      </c>
      <c r="K160" t="str">
        <f>IFERROR(IF(VLOOKUP(A160,Pan!A:C,3,FALSE)=Table15[[#Headers],[Pan]],Table15[[#Headers],[Pan]],""),"")</f>
        <v/>
      </c>
      <c r="L160" t="str">
        <f>IFERROR(IF(VLOOKUP(A160,Comunión!A:C,3,FALSE)=Table15[[#Headers],[Comunión]],Table15[[#Headers],[Comunión]],""),"")</f>
        <v/>
      </c>
      <c r="M160" t="str">
        <f>IFERROR(IF(VLOOKUP(A160,Niños!A:C,3,FALSE)=Table15[[#Headers],[Niños]],Table15[[#Headers],[Niños]],""),"")</f>
        <v/>
      </c>
      <c r="N160" t="str">
        <f>IFERROR(IF(VLOOKUP(A160,Laudes!A:C,3,FALSE)=Table15[[#Headers],[Laudes]],Table15[[#Headers],[Laudes]],""),"")</f>
        <v/>
      </c>
      <c r="O160" t="str">
        <f>IFERROR(IF(VLOOKUP(A160,'Nuevo Testamento'!A:C,3,FALSE)=Table15[[#Headers],[Nuevo Testamento]],Table15[[#Headers],[Nuevo Testamento]],""),"")</f>
        <v/>
      </c>
      <c r="P160" t="str">
        <f>IFERROR(IF(VLOOKUP(A160,'Antiguo Testamento'!A:C,3,FALSE)=Table15[[#Headers],[Antiguo Testamento]],Table15[[#Headers],[Antiguo Testamento]],""),"")</f>
        <v>Antiguo Testamento</v>
      </c>
      <c r="Q160" t="str">
        <f>IFERROR(IF(VLOOKUP(A160,Final!A:C,3,FALSE)=Table15[[#Headers],[Final]],Table15[[#Headers],[Final]],""),"")</f>
        <v/>
      </c>
    </row>
    <row r="161" spans="1:17" x14ac:dyDescent="0.25">
      <c r="A161" t="s">
        <v>219</v>
      </c>
      <c r="B161">
        <v>162</v>
      </c>
      <c r="C161" t="str">
        <f>IFERROR(IF(VLOOKUP(A161,Adviento!A:C,3,FALSE)=Table15[[#Headers],[Adviento]],Table15[[#Headers],[Adviento]],""),"")</f>
        <v>Adviento</v>
      </c>
      <c r="D161" t="str">
        <f>IFERROR(IF(VLOOKUP(A161,Navidad!A:C,3,FALSE)=Table15[[#Headers],[Navidad]],Table15[[#Headers],[Navidad]],""),"")</f>
        <v>Navidad</v>
      </c>
      <c r="E161" t="str">
        <f>IFERROR(IF(VLOOKUP(A161,Cuaresma!A:C,3,FALSE)=Table15[[#Headers],[Cuaresma]],Table15[[#Headers],[Cuaresma]],""),"")</f>
        <v/>
      </c>
      <c r="F161" t="str">
        <f>IFERROR(IF(VLOOKUP(A161,Pascua!A:C,3,FALSE)=Table15[[#Headers],[Pascua]],Table15[[#Headers],[Pascua]],""),"")</f>
        <v>Pascua</v>
      </c>
      <c r="G161" t="str">
        <f>IFERROR(IF(VLOOKUP(A161,Pentecostés!A:C,3,FALSE)=Table15[[#Headers],[Pentecostés]],Table15[[#Headers],[Pentecostés]],""),"")</f>
        <v>Pentecostés</v>
      </c>
      <c r="H161" t="str">
        <f>IFERROR(IF(VLOOKUP(A161,Entrada!A:C,3,FALSE)=Table15[[#Headers],[Entrada]],Table15[[#Headers],[Entrada]],""),"")</f>
        <v/>
      </c>
      <c r="I161" t="str">
        <f>IFERROR(IF(VLOOKUP(A161,Virgen!A:C,3,FALSE)=Table15[[#Headers],[Virgen]],Table15[[#Headers],[Virgen]],""),"")</f>
        <v/>
      </c>
      <c r="J161" t="str">
        <f>IFERROR(IF(VLOOKUP(A161,Paz!A:C,3,FALSE)=Table15[[#Headers],[Paz]],Table15[[#Headers],[Paz]],""),"")</f>
        <v/>
      </c>
      <c r="K161" t="str">
        <f>IFERROR(IF(VLOOKUP(A161,Pan!A:C,3,FALSE)=Table15[[#Headers],[Pan]],Table15[[#Headers],[Pan]],""),"")</f>
        <v/>
      </c>
      <c r="L161" t="str">
        <f>IFERROR(IF(VLOOKUP(A161,Comunión!A:C,3,FALSE)=Table15[[#Headers],[Comunión]],Table15[[#Headers],[Comunión]],""),"")</f>
        <v>Comunión</v>
      </c>
      <c r="M161" t="str">
        <f>IFERROR(IF(VLOOKUP(A161,Niños!A:C,3,FALSE)=Table15[[#Headers],[Niños]],Table15[[#Headers],[Niños]],""),"")</f>
        <v/>
      </c>
      <c r="N161" t="str">
        <f>IFERROR(IF(VLOOKUP(A161,Laudes!A:C,3,FALSE)=Table15[[#Headers],[Laudes]],Table15[[#Headers],[Laudes]],""),"")</f>
        <v/>
      </c>
      <c r="O161" t="str">
        <f>IFERROR(IF(VLOOKUP(A161,'Nuevo Testamento'!A:C,3,FALSE)=Table15[[#Headers],[Nuevo Testamento]],Table15[[#Headers],[Nuevo Testamento]],""),"")</f>
        <v/>
      </c>
      <c r="P161" t="str">
        <f>IFERROR(IF(VLOOKUP(A161,'Antiguo Testamento'!A:C,3,FALSE)=Table15[[#Headers],[Antiguo Testamento]],Table15[[#Headers],[Antiguo Testamento]],""),"")</f>
        <v>Antiguo Testamento</v>
      </c>
      <c r="Q161" t="str">
        <f>IFERROR(IF(VLOOKUP(A161,Final!A:C,3,FALSE)=Table15[[#Headers],[Final]],Table15[[#Headers],[Final]],""),"")</f>
        <v/>
      </c>
    </row>
    <row r="162" spans="1:17" x14ac:dyDescent="0.25">
      <c r="A162" t="s">
        <v>220</v>
      </c>
      <c r="B162">
        <v>163</v>
      </c>
      <c r="C162" t="str">
        <f>IFERROR(IF(VLOOKUP(A162,Adviento!A:C,3,FALSE)=Table15[[#Headers],[Adviento]],Table15[[#Headers],[Adviento]],""),"")</f>
        <v>Adviento</v>
      </c>
      <c r="D162" t="str">
        <f>IFERROR(IF(VLOOKUP(A162,Navidad!A:C,3,FALSE)=Table15[[#Headers],[Navidad]],Table15[[#Headers],[Navidad]],""),"")</f>
        <v>Navidad</v>
      </c>
      <c r="E162" t="str">
        <f>IFERROR(IF(VLOOKUP(A162,Cuaresma!A:C,3,FALSE)=Table15[[#Headers],[Cuaresma]],Table15[[#Headers],[Cuaresma]],""),"")</f>
        <v/>
      </c>
      <c r="F162" t="str">
        <f>IFERROR(IF(VLOOKUP(A162,Pascua!A:C,3,FALSE)=Table15[[#Headers],[Pascua]],Table15[[#Headers],[Pascua]],""),"")</f>
        <v>Pascua</v>
      </c>
      <c r="G162" t="str">
        <f>IFERROR(IF(VLOOKUP(A162,Pentecostés!A:C,3,FALSE)=Table15[[#Headers],[Pentecostés]],Table15[[#Headers],[Pentecostés]],""),"")</f>
        <v>Pentecostés</v>
      </c>
      <c r="H162" t="str">
        <f>IFERROR(IF(VLOOKUP(A162,Entrada!A:C,3,FALSE)=Table15[[#Headers],[Entrada]],Table15[[#Headers],[Entrada]],""),"")</f>
        <v/>
      </c>
      <c r="I162" t="str">
        <f>IFERROR(IF(VLOOKUP(A162,Virgen!A:C,3,FALSE)=Table15[[#Headers],[Virgen]],Table15[[#Headers],[Virgen]],""),"")</f>
        <v>Virgen</v>
      </c>
      <c r="J162" t="str">
        <f>IFERROR(IF(VLOOKUP(A162,Paz!A:C,3,FALSE)=Table15[[#Headers],[Paz]],Table15[[#Headers],[Paz]],""),"")</f>
        <v/>
      </c>
      <c r="K162" t="str">
        <f>IFERROR(IF(VLOOKUP(A162,Pan!A:C,3,FALSE)=Table15[[#Headers],[Pan]],Table15[[#Headers],[Pan]],""),"")</f>
        <v/>
      </c>
      <c r="L162" t="str">
        <f>IFERROR(IF(VLOOKUP(A162,Comunión!A:C,3,FALSE)=Table15[[#Headers],[Comunión]],Table15[[#Headers],[Comunión]],""),"")</f>
        <v/>
      </c>
      <c r="M162" t="str">
        <f>IFERROR(IF(VLOOKUP(A162,Niños!A:C,3,FALSE)=Table15[[#Headers],[Niños]],Table15[[#Headers],[Niños]],""),"")</f>
        <v/>
      </c>
      <c r="N162" t="str">
        <f>IFERROR(IF(VLOOKUP(A162,Laudes!A:C,3,FALSE)=Table15[[#Headers],[Laudes]],Table15[[#Headers],[Laudes]],""),"")</f>
        <v/>
      </c>
      <c r="O162" t="str">
        <f>IFERROR(IF(VLOOKUP(A162,'Nuevo Testamento'!A:C,3,FALSE)=Table15[[#Headers],[Nuevo Testamento]],Table15[[#Headers],[Nuevo Testamento]],""),"")</f>
        <v>Nuevo Testamento</v>
      </c>
      <c r="P162" t="str">
        <f>IFERROR(IF(VLOOKUP(A162,'Antiguo Testamento'!A:C,3,FALSE)=Table15[[#Headers],[Antiguo Testamento]],Table15[[#Headers],[Antiguo Testamento]],""),"")</f>
        <v/>
      </c>
      <c r="Q162" t="str">
        <f>IFERROR(IF(VLOOKUP(A162,Final!A:C,3,FALSE)=Table15[[#Headers],[Final]],Table15[[#Headers],[Final]],""),"")</f>
        <v>Final</v>
      </c>
    </row>
    <row r="163" spans="1:17" x14ac:dyDescent="0.25">
      <c r="A163" t="s">
        <v>221</v>
      </c>
      <c r="B163">
        <v>164</v>
      </c>
      <c r="C163" t="str">
        <f>IFERROR(IF(VLOOKUP(A163,Adviento!A:C,3,FALSE)=Table15[[#Headers],[Adviento]],Table15[[#Headers],[Adviento]],""),"")</f>
        <v>Adviento</v>
      </c>
      <c r="D163" t="str">
        <f>IFERROR(IF(VLOOKUP(A163,Navidad!A:C,3,FALSE)=Table15[[#Headers],[Navidad]],Table15[[#Headers],[Navidad]],""),"")</f>
        <v>Navidad</v>
      </c>
      <c r="E163" t="str">
        <f>IFERROR(IF(VLOOKUP(A163,Cuaresma!A:C,3,FALSE)=Table15[[#Headers],[Cuaresma]],Table15[[#Headers],[Cuaresma]],""),"")</f>
        <v/>
      </c>
      <c r="F163" t="str">
        <f>IFERROR(IF(VLOOKUP(A163,Pascua!A:C,3,FALSE)=Table15[[#Headers],[Pascua]],Table15[[#Headers],[Pascua]],""),"")</f>
        <v/>
      </c>
      <c r="G163" t="str">
        <f>IFERROR(IF(VLOOKUP(A163,Pentecostés!A:C,3,FALSE)=Table15[[#Headers],[Pentecostés]],Table15[[#Headers],[Pentecostés]],""),"")</f>
        <v/>
      </c>
      <c r="H163" t="str">
        <f>IFERROR(IF(VLOOKUP(A163,Entrada!A:C,3,FALSE)=Table15[[#Headers],[Entrada]],Table15[[#Headers],[Entrada]],""),"")</f>
        <v/>
      </c>
      <c r="I163" t="str">
        <f>IFERROR(IF(VLOOKUP(A163,Virgen!A:C,3,FALSE)=Table15[[#Headers],[Virgen]],Table15[[#Headers],[Virgen]],""),"")</f>
        <v/>
      </c>
      <c r="J163" t="str">
        <f>IFERROR(IF(VLOOKUP(A163,Paz!A:C,3,FALSE)=Table15[[#Headers],[Paz]],Table15[[#Headers],[Paz]],""),"")</f>
        <v/>
      </c>
      <c r="K163" t="str">
        <f>IFERROR(IF(VLOOKUP(A163,Pan!A:C,3,FALSE)=Table15[[#Headers],[Pan]],Table15[[#Headers],[Pan]],""),"")</f>
        <v/>
      </c>
      <c r="L163" t="str">
        <f>IFERROR(IF(VLOOKUP(A163,Comunión!A:C,3,FALSE)=Table15[[#Headers],[Comunión]],Table15[[#Headers],[Comunión]],""),"")</f>
        <v/>
      </c>
      <c r="M163" t="str">
        <f>IFERROR(IF(VLOOKUP(A163,Niños!A:C,3,FALSE)=Table15[[#Headers],[Niños]],Table15[[#Headers],[Niños]],""),"")</f>
        <v>Niños</v>
      </c>
      <c r="N163" t="str">
        <f>IFERROR(IF(VLOOKUP(A163,Laudes!A:C,3,FALSE)=Table15[[#Headers],[Laudes]],Table15[[#Headers],[Laudes]],""),"")</f>
        <v/>
      </c>
      <c r="O163" t="str">
        <f>IFERROR(IF(VLOOKUP(A163,'Nuevo Testamento'!A:C,3,FALSE)=Table15[[#Headers],[Nuevo Testamento]],Table15[[#Headers],[Nuevo Testamento]],""),"")</f>
        <v/>
      </c>
      <c r="P163" t="str">
        <f>IFERROR(IF(VLOOKUP(A163,'Antiguo Testamento'!A:C,3,FALSE)=Table15[[#Headers],[Antiguo Testamento]],Table15[[#Headers],[Antiguo Testamento]],""),"")</f>
        <v/>
      </c>
      <c r="Q163" t="str">
        <f>IFERROR(IF(VLOOKUP(A163,Final!A:C,3,FALSE)=Table15[[#Headers],[Final]],Table15[[#Headers],[Final]],""),"")</f>
        <v/>
      </c>
    </row>
    <row r="164" spans="1:17" x14ac:dyDescent="0.25">
      <c r="A164" t="s">
        <v>222</v>
      </c>
      <c r="B164">
        <v>165</v>
      </c>
      <c r="C164" t="str">
        <f>IFERROR(IF(VLOOKUP(A164,Adviento!A:C,3,FALSE)=Table15[[#Headers],[Adviento]],Table15[[#Headers],[Adviento]],""),"")</f>
        <v>Adviento</v>
      </c>
      <c r="D164" t="str">
        <f>IFERROR(IF(VLOOKUP(A164,Navidad!A:C,3,FALSE)=Table15[[#Headers],[Navidad]],Table15[[#Headers],[Navidad]],""),"")</f>
        <v>Navidad</v>
      </c>
      <c r="E164" t="str">
        <f>IFERROR(IF(VLOOKUP(A164,Cuaresma!A:C,3,FALSE)=Table15[[#Headers],[Cuaresma]],Table15[[#Headers],[Cuaresma]],""),"")</f>
        <v/>
      </c>
      <c r="F164" t="str">
        <f>IFERROR(IF(VLOOKUP(A164,Pascua!A:C,3,FALSE)=Table15[[#Headers],[Pascua]],Table15[[#Headers],[Pascua]],""),"")</f>
        <v/>
      </c>
      <c r="G164" t="str">
        <f>IFERROR(IF(VLOOKUP(A164,Pentecostés!A:C,3,FALSE)=Table15[[#Headers],[Pentecostés]],Table15[[#Headers],[Pentecostés]],""),"")</f>
        <v/>
      </c>
      <c r="H164" t="str">
        <f>IFERROR(IF(VLOOKUP(A164,Entrada!A:C,3,FALSE)=Table15[[#Headers],[Entrada]],Table15[[#Headers],[Entrada]],""),"")</f>
        <v/>
      </c>
      <c r="I164" t="str">
        <f>IFERROR(IF(VLOOKUP(A164,Virgen!A:C,3,FALSE)=Table15[[#Headers],[Virgen]],Table15[[#Headers],[Virgen]],""),"")</f>
        <v/>
      </c>
      <c r="J164" t="str">
        <f>IFERROR(IF(VLOOKUP(A164,Paz!A:C,3,FALSE)=Table15[[#Headers],[Paz]],Table15[[#Headers],[Paz]],""),"")</f>
        <v/>
      </c>
      <c r="K164" t="str">
        <f>IFERROR(IF(VLOOKUP(A164,Pan!A:C,3,FALSE)=Table15[[#Headers],[Pan]],Table15[[#Headers],[Pan]],""),"")</f>
        <v/>
      </c>
      <c r="L164" t="str">
        <f>IFERROR(IF(VLOOKUP(A164,Comunión!A:C,3,FALSE)=Table15[[#Headers],[Comunión]],Table15[[#Headers],[Comunión]],""),"")</f>
        <v/>
      </c>
      <c r="M164" t="str">
        <f>IFERROR(IF(VLOOKUP(A164,Niños!A:C,3,FALSE)=Table15[[#Headers],[Niños]],Table15[[#Headers],[Niños]],""),"")</f>
        <v>Niños</v>
      </c>
      <c r="N164" t="str">
        <f>IFERROR(IF(VLOOKUP(A164,Laudes!A:C,3,FALSE)=Table15[[#Headers],[Laudes]],Table15[[#Headers],[Laudes]],""),"")</f>
        <v/>
      </c>
      <c r="O164" t="str">
        <f>IFERROR(IF(VLOOKUP(A164,'Nuevo Testamento'!A:C,3,FALSE)=Table15[[#Headers],[Nuevo Testamento]],Table15[[#Headers],[Nuevo Testamento]],""),"")</f>
        <v/>
      </c>
      <c r="P164" t="str">
        <f>IFERROR(IF(VLOOKUP(A164,'Antiguo Testamento'!A:C,3,FALSE)=Table15[[#Headers],[Antiguo Testamento]],Table15[[#Headers],[Antiguo Testamento]],""),"")</f>
        <v/>
      </c>
      <c r="Q164" t="str">
        <f>IFERROR(IF(VLOOKUP(A164,Final!A:C,3,FALSE)=Table15[[#Headers],[Final]],Table15[[#Headers],[Final]],""),"")</f>
        <v/>
      </c>
    </row>
    <row r="165" spans="1:17" x14ac:dyDescent="0.25">
      <c r="A165" t="s">
        <v>96</v>
      </c>
      <c r="B165">
        <v>166</v>
      </c>
      <c r="C165" t="str">
        <f>IFERROR(IF(VLOOKUP(A165,Adviento!A:C,3,FALSE)=Table15[[#Headers],[Adviento]],Table15[[#Headers],[Adviento]],""),"")</f>
        <v/>
      </c>
      <c r="D165" t="str">
        <f>IFERROR(IF(VLOOKUP(A165,Navidad!A:C,3,FALSE)=Table15[[#Headers],[Navidad]],Table15[[#Headers],[Navidad]],""),"")</f>
        <v/>
      </c>
      <c r="E165" t="str">
        <f>IFERROR(IF(VLOOKUP(A165,Cuaresma!A:C,3,FALSE)=Table15[[#Headers],[Cuaresma]],Table15[[#Headers],[Cuaresma]],""),"")</f>
        <v/>
      </c>
      <c r="F165" t="str">
        <f>IFERROR(IF(VLOOKUP(A165,Pascua!A:C,3,FALSE)=Table15[[#Headers],[Pascua]],Table15[[#Headers],[Pascua]],""),"")</f>
        <v>Pascua</v>
      </c>
      <c r="G165" t="str">
        <f>IFERROR(IF(VLOOKUP(A165,Pentecostés!A:C,3,FALSE)=Table15[[#Headers],[Pentecostés]],Table15[[#Headers],[Pentecostés]],""),"")</f>
        <v>Pentecostés</v>
      </c>
      <c r="H165" t="str">
        <f>IFERROR(IF(VLOOKUP(A165,Entrada!A:C,3,FALSE)=Table15[[#Headers],[Entrada]],Table15[[#Headers],[Entrada]],""),"")</f>
        <v>Entrada</v>
      </c>
      <c r="I165" t="str">
        <f>IFERROR(IF(VLOOKUP(A165,Virgen!A:C,3,FALSE)=Table15[[#Headers],[Virgen]],Table15[[#Headers],[Virgen]],""),"")</f>
        <v/>
      </c>
      <c r="J165" t="str">
        <f>IFERROR(IF(VLOOKUP(A165,Paz!A:C,3,FALSE)=Table15[[#Headers],[Paz]],Table15[[#Headers],[Paz]],""),"")</f>
        <v/>
      </c>
      <c r="K165" t="str">
        <f>IFERROR(IF(VLOOKUP(A165,Pan!A:C,3,FALSE)=Table15[[#Headers],[Pan]],Table15[[#Headers],[Pan]],""),"")</f>
        <v/>
      </c>
      <c r="L165" t="str">
        <f>IFERROR(IF(VLOOKUP(A165,Comunión!A:C,3,FALSE)=Table15[[#Headers],[Comunión]],Table15[[#Headers],[Comunión]],""),"")</f>
        <v>Comunión</v>
      </c>
      <c r="M165" t="str">
        <f>IFERROR(IF(VLOOKUP(A165,Niños!A:C,3,FALSE)=Table15[[#Headers],[Niños]],Table15[[#Headers],[Niños]],""),"")</f>
        <v/>
      </c>
      <c r="N165" t="str">
        <f>IFERROR(IF(VLOOKUP(A165,Laudes!A:C,3,FALSE)=Table15[[#Headers],[Laudes]],Table15[[#Headers],[Laudes]],""),"")</f>
        <v/>
      </c>
      <c r="O165" t="str">
        <f>IFERROR(IF(VLOOKUP(A165,'Nuevo Testamento'!A:C,3,FALSE)=Table15[[#Headers],[Nuevo Testamento]],Table15[[#Headers],[Nuevo Testamento]],""),"")</f>
        <v/>
      </c>
      <c r="P165" t="str">
        <f>IFERROR(IF(VLOOKUP(A165,'Antiguo Testamento'!A:C,3,FALSE)=Table15[[#Headers],[Antiguo Testamento]],Table15[[#Headers],[Antiguo Testamento]],""),"")</f>
        <v>Antiguo Testamento</v>
      </c>
      <c r="Q165" t="str">
        <f>IFERROR(IF(VLOOKUP(A165,Final!A:C,3,FALSE)=Table15[[#Headers],[Final]],Table15[[#Headers],[Final]],""),"")</f>
        <v/>
      </c>
    </row>
    <row r="166" spans="1:17" x14ac:dyDescent="0.25">
      <c r="A166" t="s">
        <v>223</v>
      </c>
      <c r="B166">
        <v>167</v>
      </c>
      <c r="C166" t="str">
        <f>IFERROR(IF(VLOOKUP(A166,Adviento!A:C,3,FALSE)=Table15[[#Headers],[Adviento]],Table15[[#Headers],[Adviento]],""),"")</f>
        <v/>
      </c>
      <c r="D166" t="str">
        <f>IFERROR(IF(VLOOKUP(A166,Navidad!A:C,3,FALSE)=Table15[[#Headers],[Navidad]],Table15[[#Headers],[Navidad]],""),"")</f>
        <v/>
      </c>
      <c r="E166" t="str">
        <f>IFERROR(IF(VLOOKUP(A166,Cuaresma!A:C,3,FALSE)=Table15[[#Headers],[Cuaresma]],Table15[[#Headers],[Cuaresma]],""),"")</f>
        <v/>
      </c>
      <c r="F166" t="str">
        <f>IFERROR(IF(VLOOKUP(A166,Pascua!A:C,3,FALSE)=Table15[[#Headers],[Pascua]],Table15[[#Headers],[Pascua]],""),"")</f>
        <v>Pascua</v>
      </c>
      <c r="G166" t="str">
        <f>IFERROR(IF(VLOOKUP(A166,Pentecostés!A:C,3,FALSE)=Table15[[#Headers],[Pentecostés]],Table15[[#Headers],[Pentecostés]],""),"")</f>
        <v>Pentecostés</v>
      </c>
      <c r="H166" t="str">
        <f>IFERROR(IF(VLOOKUP(A166,Entrada!A:C,3,FALSE)=Table15[[#Headers],[Entrada]],Table15[[#Headers],[Entrada]],""),"")</f>
        <v/>
      </c>
      <c r="I166" t="str">
        <f>IFERROR(IF(VLOOKUP(A166,Virgen!A:C,3,FALSE)=Table15[[#Headers],[Virgen]],Table15[[#Headers],[Virgen]],""),"")</f>
        <v/>
      </c>
      <c r="J166" t="str">
        <f>IFERROR(IF(VLOOKUP(A166,Paz!A:C,3,FALSE)=Table15[[#Headers],[Paz]],Table15[[#Headers],[Paz]],""),"")</f>
        <v/>
      </c>
      <c r="K166" t="str">
        <f>IFERROR(IF(VLOOKUP(A166,Pan!A:C,3,FALSE)=Table15[[#Headers],[Pan]],Table15[[#Headers],[Pan]],""),"")</f>
        <v/>
      </c>
      <c r="L166" t="str">
        <f>IFERROR(IF(VLOOKUP(A166,Comunión!A:C,3,FALSE)=Table15[[#Headers],[Comunión]],Table15[[#Headers],[Comunión]],""),"")</f>
        <v/>
      </c>
      <c r="M166" t="str">
        <f>IFERROR(IF(VLOOKUP(A166,Niños!A:C,3,FALSE)=Table15[[#Headers],[Niños]],Table15[[#Headers],[Niños]],""),"")</f>
        <v/>
      </c>
      <c r="N166" t="str">
        <f>IFERROR(IF(VLOOKUP(A166,Laudes!A:C,3,FALSE)=Table15[[#Headers],[Laudes]],Table15[[#Headers],[Laudes]],""),"")</f>
        <v/>
      </c>
      <c r="O166" t="str">
        <f>IFERROR(IF(VLOOKUP(A166,'Nuevo Testamento'!A:C,3,FALSE)=Table15[[#Headers],[Nuevo Testamento]],Table15[[#Headers],[Nuevo Testamento]],""),"")</f>
        <v/>
      </c>
      <c r="P166" t="str">
        <f>IFERROR(IF(VLOOKUP(A166,'Antiguo Testamento'!A:C,3,FALSE)=Table15[[#Headers],[Antiguo Testamento]],Table15[[#Headers],[Antiguo Testamento]],""),"")</f>
        <v/>
      </c>
      <c r="Q166" t="str">
        <f>IFERROR(IF(VLOOKUP(A166,Final!A:C,3,FALSE)=Table15[[#Headers],[Final]],Table15[[#Headers],[Final]],""),"")</f>
        <v/>
      </c>
    </row>
    <row r="167" spans="1:17" x14ac:dyDescent="0.25">
      <c r="A167" t="s">
        <v>224</v>
      </c>
      <c r="B167">
        <v>168</v>
      </c>
      <c r="C167" t="str">
        <f>IFERROR(IF(VLOOKUP(A167,Adviento!A:C,3,FALSE)=Table15[[#Headers],[Adviento]],Table15[[#Headers],[Adviento]],""),"")</f>
        <v>Adviento</v>
      </c>
      <c r="D167" t="str">
        <f>IFERROR(IF(VLOOKUP(A167,Navidad!A:C,3,FALSE)=Table15[[#Headers],[Navidad]],Table15[[#Headers],[Navidad]],""),"")</f>
        <v>Navidad</v>
      </c>
      <c r="E167" t="str">
        <f>IFERROR(IF(VLOOKUP(A167,Cuaresma!A:C,3,FALSE)=Table15[[#Headers],[Cuaresma]],Table15[[#Headers],[Cuaresma]],""),"")</f>
        <v/>
      </c>
      <c r="F167" t="str">
        <f>IFERROR(IF(VLOOKUP(A167,Pascua!A:C,3,FALSE)=Table15[[#Headers],[Pascua]],Table15[[#Headers],[Pascua]],""),"")</f>
        <v/>
      </c>
      <c r="G167" t="str">
        <f>IFERROR(IF(VLOOKUP(A167,Pentecostés!A:C,3,FALSE)=Table15[[#Headers],[Pentecostés]],Table15[[#Headers],[Pentecostés]],""),"")</f>
        <v/>
      </c>
      <c r="H167" t="str">
        <f>IFERROR(IF(VLOOKUP(A167,Entrada!A:C,3,FALSE)=Table15[[#Headers],[Entrada]],Table15[[#Headers],[Entrada]],""),"")</f>
        <v/>
      </c>
      <c r="I167" t="str">
        <f>IFERROR(IF(VLOOKUP(A167,Virgen!A:C,3,FALSE)=Table15[[#Headers],[Virgen]],Table15[[#Headers],[Virgen]],""),"")</f>
        <v/>
      </c>
      <c r="J167" t="str">
        <f>IFERROR(IF(VLOOKUP(A167,Paz!A:C,3,FALSE)=Table15[[#Headers],[Paz]],Table15[[#Headers],[Paz]],""),"")</f>
        <v/>
      </c>
      <c r="K167" t="str">
        <f>IFERROR(IF(VLOOKUP(A167,Pan!A:C,3,FALSE)=Table15[[#Headers],[Pan]],Table15[[#Headers],[Pan]],""),"")</f>
        <v/>
      </c>
      <c r="L167" t="str">
        <f>IFERROR(IF(VLOOKUP(A167,Comunión!A:C,3,FALSE)=Table15[[#Headers],[Comunión]],Table15[[#Headers],[Comunión]],""),"")</f>
        <v/>
      </c>
      <c r="M167" t="str">
        <f>IFERROR(IF(VLOOKUP(A167,Niños!A:C,3,FALSE)=Table15[[#Headers],[Niños]],Table15[[#Headers],[Niños]],""),"")</f>
        <v/>
      </c>
      <c r="N167" t="str">
        <f>IFERROR(IF(VLOOKUP(A167,Laudes!A:C,3,FALSE)=Table15[[#Headers],[Laudes]],Table15[[#Headers],[Laudes]],""),"")</f>
        <v/>
      </c>
      <c r="O167" t="str">
        <f>IFERROR(IF(VLOOKUP(A167,'Nuevo Testamento'!A:C,3,FALSE)=Table15[[#Headers],[Nuevo Testamento]],Table15[[#Headers],[Nuevo Testamento]],""),"")</f>
        <v>Nuevo Testamento</v>
      </c>
      <c r="P167" t="str">
        <f>IFERROR(IF(VLOOKUP(A167,'Antiguo Testamento'!A:C,3,FALSE)=Table15[[#Headers],[Antiguo Testamento]],Table15[[#Headers],[Antiguo Testamento]],""),"")</f>
        <v/>
      </c>
      <c r="Q167" t="str">
        <f>IFERROR(IF(VLOOKUP(A167,Final!A:C,3,FALSE)=Table15[[#Headers],[Final]],Table15[[#Headers],[Final]],""),"")</f>
        <v/>
      </c>
    </row>
    <row r="168" spans="1:17" x14ac:dyDescent="0.25">
      <c r="A168" t="s">
        <v>225</v>
      </c>
      <c r="B168">
        <v>169</v>
      </c>
      <c r="C168" t="str">
        <f>IFERROR(IF(VLOOKUP(A168,Adviento!A:C,3,FALSE)=Table15[[#Headers],[Adviento]],Table15[[#Headers],[Adviento]],""),"")</f>
        <v/>
      </c>
      <c r="D168" t="str">
        <f>IFERROR(IF(VLOOKUP(A168,Navidad!A:C,3,FALSE)=Table15[[#Headers],[Navidad]],Table15[[#Headers],[Navidad]],""),"")</f>
        <v/>
      </c>
      <c r="E168" t="str">
        <f>IFERROR(IF(VLOOKUP(A168,Cuaresma!A:C,3,FALSE)=Table15[[#Headers],[Cuaresma]],Table15[[#Headers],[Cuaresma]],""),"")</f>
        <v/>
      </c>
      <c r="F168" t="str">
        <f>IFERROR(IF(VLOOKUP(A168,Pascua!A:C,3,FALSE)=Table15[[#Headers],[Pascua]],Table15[[#Headers],[Pascua]],""),"")</f>
        <v>Pascua</v>
      </c>
      <c r="G168" t="str">
        <f>IFERROR(IF(VLOOKUP(A168,Pentecostés!A:C,3,FALSE)=Table15[[#Headers],[Pentecostés]],Table15[[#Headers],[Pentecostés]],""),"")</f>
        <v>Pentecostés</v>
      </c>
      <c r="H168" t="str">
        <f>IFERROR(IF(VLOOKUP(A168,Entrada!A:C,3,FALSE)=Table15[[#Headers],[Entrada]],Table15[[#Headers],[Entrada]],""),"")</f>
        <v/>
      </c>
      <c r="I168" t="str">
        <f>IFERROR(IF(VLOOKUP(A168,Virgen!A:C,3,FALSE)=Table15[[#Headers],[Virgen]],Table15[[#Headers],[Virgen]],""),"")</f>
        <v/>
      </c>
      <c r="J168" t="str">
        <f>IFERROR(IF(VLOOKUP(A168,Paz!A:C,3,FALSE)=Table15[[#Headers],[Paz]],Table15[[#Headers],[Paz]],""),"")</f>
        <v/>
      </c>
      <c r="K168" t="str">
        <f>IFERROR(IF(VLOOKUP(A168,Pan!A:C,3,FALSE)=Table15[[#Headers],[Pan]],Table15[[#Headers],[Pan]],""),"")</f>
        <v/>
      </c>
      <c r="L168" t="str">
        <f>IFERROR(IF(VLOOKUP(A168,Comunión!A:C,3,FALSE)=Table15[[#Headers],[Comunión]],Table15[[#Headers],[Comunión]],""),"")</f>
        <v/>
      </c>
      <c r="M168" t="str">
        <f>IFERROR(IF(VLOOKUP(A168,Niños!A:C,3,FALSE)=Table15[[#Headers],[Niños]],Table15[[#Headers],[Niños]],""),"")</f>
        <v/>
      </c>
      <c r="N168" t="str">
        <f>IFERROR(IF(VLOOKUP(A168,Laudes!A:C,3,FALSE)=Table15[[#Headers],[Laudes]],Table15[[#Headers],[Laudes]],""),"")</f>
        <v/>
      </c>
      <c r="O168" t="str">
        <f>IFERROR(IF(VLOOKUP(A168,'Nuevo Testamento'!A:C,3,FALSE)=Table15[[#Headers],[Nuevo Testamento]],Table15[[#Headers],[Nuevo Testamento]],""),"")</f>
        <v/>
      </c>
      <c r="P168" t="str">
        <f>IFERROR(IF(VLOOKUP(A168,'Antiguo Testamento'!A:C,3,FALSE)=Table15[[#Headers],[Antiguo Testamento]],Table15[[#Headers],[Antiguo Testamento]],""),"")</f>
        <v/>
      </c>
      <c r="Q168" t="str">
        <f>IFERROR(IF(VLOOKUP(A168,Final!A:C,3,FALSE)=Table15[[#Headers],[Final]],Table15[[#Headers],[Final]],""),"")</f>
        <v/>
      </c>
    </row>
    <row r="169" spans="1:17" x14ac:dyDescent="0.25">
      <c r="A169" t="s">
        <v>226</v>
      </c>
      <c r="B169">
        <v>170</v>
      </c>
      <c r="C169" t="str">
        <f>IFERROR(IF(VLOOKUP(A169,Adviento!A:C,3,FALSE)=Table15[[#Headers],[Adviento]],Table15[[#Headers],[Adviento]],""),"")</f>
        <v>Adviento</v>
      </c>
      <c r="D169" t="str">
        <f>IFERROR(IF(VLOOKUP(A169,Navidad!A:C,3,FALSE)=Table15[[#Headers],[Navidad]],Table15[[#Headers],[Navidad]],""),"")</f>
        <v>Navidad</v>
      </c>
      <c r="E169" t="str">
        <f>IFERROR(IF(VLOOKUP(A169,Cuaresma!A:C,3,FALSE)=Table15[[#Headers],[Cuaresma]],Table15[[#Headers],[Cuaresma]],""),"")</f>
        <v/>
      </c>
      <c r="F169" t="str">
        <f>IFERROR(IF(VLOOKUP(A169,Pascua!A:C,3,FALSE)=Table15[[#Headers],[Pascua]],Table15[[#Headers],[Pascua]],""),"")</f>
        <v/>
      </c>
      <c r="G169" t="str">
        <f>IFERROR(IF(VLOOKUP(A169,Pentecostés!A:C,3,FALSE)=Table15[[#Headers],[Pentecostés]],Table15[[#Headers],[Pentecostés]],""),"")</f>
        <v/>
      </c>
      <c r="H169" t="str">
        <f>IFERROR(IF(VLOOKUP(A169,Entrada!A:C,3,FALSE)=Table15[[#Headers],[Entrada]],Table15[[#Headers],[Entrada]],""),"")</f>
        <v/>
      </c>
      <c r="I169" t="str">
        <f>IFERROR(IF(VLOOKUP(A169,Virgen!A:C,3,FALSE)=Table15[[#Headers],[Virgen]],Table15[[#Headers],[Virgen]],""),"")</f>
        <v/>
      </c>
      <c r="J169" t="str">
        <f>IFERROR(IF(VLOOKUP(A169,Paz!A:C,3,FALSE)=Table15[[#Headers],[Paz]],Table15[[#Headers],[Paz]],""),"")</f>
        <v/>
      </c>
      <c r="K169" t="str">
        <f>IFERROR(IF(VLOOKUP(A169,Pan!A:C,3,FALSE)=Table15[[#Headers],[Pan]],Table15[[#Headers],[Pan]],""),"")</f>
        <v/>
      </c>
      <c r="L169" t="str">
        <f>IFERROR(IF(VLOOKUP(A169,Comunión!A:C,3,FALSE)=Table15[[#Headers],[Comunión]],Table15[[#Headers],[Comunión]],""),"")</f>
        <v/>
      </c>
      <c r="M169" t="str">
        <f>IFERROR(IF(VLOOKUP(A169,Niños!A:C,3,FALSE)=Table15[[#Headers],[Niños]],Table15[[#Headers],[Niños]],""),"")</f>
        <v/>
      </c>
      <c r="N169" t="str">
        <f>IFERROR(IF(VLOOKUP(A169,Laudes!A:C,3,FALSE)=Table15[[#Headers],[Laudes]],Table15[[#Headers],[Laudes]],""),"")</f>
        <v/>
      </c>
      <c r="O169" t="str">
        <f>IFERROR(IF(VLOOKUP(A169,'Nuevo Testamento'!A:C,3,FALSE)=Table15[[#Headers],[Nuevo Testamento]],Table15[[#Headers],[Nuevo Testamento]],""),"")</f>
        <v>Nuevo Testamento</v>
      </c>
      <c r="P169" t="str">
        <f>IFERROR(IF(VLOOKUP(A169,'Antiguo Testamento'!A:C,3,FALSE)=Table15[[#Headers],[Antiguo Testamento]],Table15[[#Headers],[Antiguo Testamento]],""),"")</f>
        <v>Antiguo Testamento</v>
      </c>
      <c r="Q169" t="str">
        <f>IFERROR(IF(VLOOKUP(A169,Final!A:C,3,FALSE)=Table15[[#Headers],[Final]],Table15[[#Headers],[Final]],""),"")</f>
        <v/>
      </c>
    </row>
    <row r="170" spans="1:17" x14ac:dyDescent="0.25">
      <c r="A170" t="s">
        <v>227</v>
      </c>
      <c r="B170">
        <v>171</v>
      </c>
      <c r="C170" t="str">
        <f>IFERROR(IF(VLOOKUP(A170,Adviento!A:C,3,FALSE)=Table15[[#Headers],[Adviento]],Table15[[#Headers],[Adviento]],""),"")</f>
        <v>Adviento</v>
      </c>
      <c r="D170" t="str">
        <f>IFERROR(IF(VLOOKUP(A170,Navidad!A:C,3,FALSE)=Table15[[#Headers],[Navidad]],Table15[[#Headers],[Navidad]],""),"")</f>
        <v>Navidad</v>
      </c>
      <c r="E170" t="str">
        <f>IFERROR(IF(VLOOKUP(A170,Cuaresma!A:C,3,FALSE)=Table15[[#Headers],[Cuaresma]],Table15[[#Headers],[Cuaresma]],""),"")</f>
        <v/>
      </c>
      <c r="F170" t="str">
        <f>IFERROR(IF(VLOOKUP(A170,Pascua!A:C,3,FALSE)=Table15[[#Headers],[Pascua]],Table15[[#Headers],[Pascua]],""),"")</f>
        <v/>
      </c>
      <c r="G170" t="str">
        <f>IFERROR(IF(VLOOKUP(A170,Pentecostés!A:C,3,FALSE)=Table15[[#Headers],[Pentecostés]],Table15[[#Headers],[Pentecostés]],""),"")</f>
        <v/>
      </c>
      <c r="H170" t="str">
        <f>IFERROR(IF(VLOOKUP(A170,Entrada!A:C,3,FALSE)=Table15[[#Headers],[Entrada]],Table15[[#Headers],[Entrada]],""),"")</f>
        <v/>
      </c>
      <c r="I170" t="str">
        <f>IFERROR(IF(VLOOKUP(A170,Virgen!A:C,3,FALSE)=Table15[[#Headers],[Virgen]],Table15[[#Headers],[Virgen]],""),"")</f>
        <v>Virgen</v>
      </c>
      <c r="J170" t="str">
        <f>IFERROR(IF(VLOOKUP(A170,Paz!A:C,3,FALSE)=Table15[[#Headers],[Paz]],Table15[[#Headers],[Paz]],""),"")</f>
        <v/>
      </c>
      <c r="K170" t="str">
        <f>IFERROR(IF(VLOOKUP(A170,Pan!A:C,3,FALSE)=Table15[[#Headers],[Pan]],Table15[[#Headers],[Pan]],""),"")</f>
        <v/>
      </c>
      <c r="L170" t="str">
        <f>IFERROR(IF(VLOOKUP(A170,Comunión!A:C,3,FALSE)=Table15[[#Headers],[Comunión]],Table15[[#Headers],[Comunión]],""),"")</f>
        <v/>
      </c>
      <c r="M170" t="str">
        <f>IFERROR(IF(VLOOKUP(A170,Niños!A:C,3,FALSE)=Table15[[#Headers],[Niños]],Table15[[#Headers],[Niños]],""),"")</f>
        <v/>
      </c>
      <c r="N170" t="str">
        <f>IFERROR(IF(VLOOKUP(A170,Laudes!A:C,3,FALSE)=Table15[[#Headers],[Laudes]],Table15[[#Headers],[Laudes]],""),"")</f>
        <v/>
      </c>
      <c r="O170" t="str">
        <f>IFERROR(IF(VLOOKUP(A170,'Nuevo Testamento'!A:C,3,FALSE)=Table15[[#Headers],[Nuevo Testamento]],Table15[[#Headers],[Nuevo Testamento]],""),"")</f>
        <v/>
      </c>
      <c r="P170" t="str">
        <f>IFERROR(IF(VLOOKUP(A170,'Antiguo Testamento'!A:C,3,FALSE)=Table15[[#Headers],[Antiguo Testamento]],Table15[[#Headers],[Antiguo Testamento]],""),"")</f>
        <v/>
      </c>
      <c r="Q170" t="str">
        <f>IFERROR(IF(VLOOKUP(A170,Final!A:C,3,FALSE)=Table15[[#Headers],[Final]],Table15[[#Headers],[Final]],""),"")</f>
        <v/>
      </c>
    </row>
    <row r="171" spans="1:17" x14ac:dyDescent="0.25">
      <c r="A171" t="s">
        <v>97</v>
      </c>
      <c r="B171">
        <v>172</v>
      </c>
      <c r="C171" t="str">
        <f>IFERROR(IF(VLOOKUP(A171,Adviento!A:C,3,FALSE)=Table15[[#Headers],[Adviento]],Table15[[#Headers],[Adviento]],""),"")</f>
        <v>Adviento</v>
      </c>
      <c r="D171" t="str">
        <f>IFERROR(IF(VLOOKUP(A171,Navidad!A:C,3,FALSE)=Table15[[#Headers],[Navidad]],Table15[[#Headers],[Navidad]],""),"")</f>
        <v>Navidad</v>
      </c>
      <c r="E171" t="str">
        <f>IFERROR(IF(VLOOKUP(A171,Cuaresma!A:C,3,FALSE)=Table15[[#Headers],[Cuaresma]],Table15[[#Headers],[Cuaresma]],""),"")</f>
        <v/>
      </c>
      <c r="F171" t="str">
        <f>IFERROR(IF(VLOOKUP(A171,Pascua!A:C,3,FALSE)=Table15[[#Headers],[Pascua]],Table15[[#Headers],[Pascua]],""),"")</f>
        <v/>
      </c>
      <c r="G171" t="str">
        <f>IFERROR(IF(VLOOKUP(A171,Pentecostés!A:C,3,FALSE)=Table15[[#Headers],[Pentecostés]],Table15[[#Headers],[Pentecostés]],""),"")</f>
        <v/>
      </c>
      <c r="H171" t="str">
        <f>IFERROR(IF(VLOOKUP(A171,Entrada!A:C,3,FALSE)=Table15[[#Headers],[Entrada]],Table15[[#Headers],[Entrada]],""),"")</f>
        <v/>
      </c>
      <c r="I171" t="str">
        <f>IFERROR(IF(VLOOKUP(A171,Virgen!A:C,3,FALSE)=Table15[[#Headers],[Virgen]],Table15[[#Headers],[Virgen]],""),"")</f>
        <v/>
      </c>
      <c r="J171" t="str">
        <f>IFERROR(IF(VLOOKUP(A171,Paz!A:C,3,FALSE)=Table15[[#Headers],[Paz]],Table15[[#Headers],[Paz]],""),"")</f>
        <v/>
      </c>
      <c r="K171" t="str">
        <f>IFERROR(IF(VLOOKUP(A171,Pan!A:C,3,FALSE)=Table15[[#Headers],[Pan]],Table15[[#Headers],[Pan]],""),"")</f>
        <v/>
      </c>
      <c r="L171" t="str">
        <f>IFERROR(IF(VLOOKUP(A171,Comunión!A:C,3,FALSE)=Table15[[#Headers],[Comunión]],Table15[[#Headers],[Comunión]],""),"")</f>
        <v/>
      </c>
      <c r="M171" t="str">
        <f>IFERROR(IF(VLOOKUP(A171,Niños!A:C,3,FALSE)=Table15[[#Headers],[Niños]],Table15[[#Headers],[Niños]],""),"")</f>
        <v/>
      </c>
      <c r="N171" t="str">
        <f>IFERROR(IF(VLOOKUP(A171,Laudes!A:C,3,FALSE)=Table15[[#Headers],[Laudes]],Table15[[#Headers],[Laudes]],""),"")</f>
        <v/>
      </c>
      <c r="O171" t="str">
        <f>IFERROR(IF(VLOOKUP(A171,'Nuevo Testamento'!A:C,3,FALSE)=Table15[[#Headers],[Nuevo Testamento]],Table15[[#Headers],[Nuevo Testamento]],""),"")</f>
        <v>Nuevo Testamento</v>
      </c>
      <c r="P171" t="str">
        <f>IFERROR(IF(VLOOKUP(A171,'Antiguo Testamento'!A:C,3,FALSE)=Table15[[#Headers],[Antiguo Testamento]],Table15[[#Headers],[Antiguo Testamento]],""),"")</f>
        <v/>
      </c>
      <c r="Q171" t="str">
        <f>IFERROR(IF(VLOOKUP(A171,Final!A:C,3,FALSE)=Table15[[#Headers],[Final]],Table15[[#Headers],[Final]],""),"")</f>
        <v/>
      </c>
    </row>
    <row r="172" spans="1:17" x14ac:dyDescent="0.25">
      <c r="A172" t="s">
        <v>98</v>
      </c>
      <c r="B172">
        <v>173</v>
      </c>
      <c r="C172" t="str">
        <f>IFERROR(IF(VLOOKUP(A172,Adviento!A:C,3,FALSE)=Table15[[#Headers],[Adviento]],Table15[[#Headers],[Adviento]],""),"")</f>
        <v/>
      </c>
      <c r="D172" t="str">
        <f>IFERROR(IF(VLOOKUP(A172,Navidad!A:C,3,FALSE)=Table15[[#Headers],[Navidad]],Table15[[#Headers],[Navidad]],""),"")</f>
        <v/>
      </c>
      <c r="E172" t="str">
        <f>IFERROR(IF(VLOOKUP(A172,Cuaresma!A:C,3,FALSE)=Table15[[#Headers],[Cuaresma]],Table15[[#Headers],[Cuaresma]],""),"")</f>
        <v/>
      </c>
      <c r="F172" t="str">
        <f>IFERROR(IF(VLOOKUP(A172,Pascua!A:C,3,FALSE)=Table15[[#Headers],[Pascua]],Table15[[#Headers],[Pascua]],""),"")</f>
        <v/>
      </c>
      <c r="G172" t="str">
        <f>IFERROR(IF(VLOOKUP(A172,Pentecostés!A:C,3,FALSE)=Table15[[#Headers],[Pentecostés]],Table15[[#Headers],[Pentecostés]],""),"")</f>
        <v/>
      </c>
      <c r="H172" t="str">
        <f>IFERROR(IF(VLOOKUP(A172,Entrada!A:C,3,FALSE)=Table15[[#Headers],[Entrada]],Table15[[#Headers],[Entrada]],""),"")</f>
        <v/>
      </c>
      <c r="I172" t="str">
        <f>IFERROR(IF(VLOOKUP(A172,Virgen!A:C,3,FALSE)=Table15[[#Headers],[Virgen]],Table15[[#Headers],[Virgen]],""),"")</f>
        <v/>
      </c>
      <c r="J172" t="str">
        <f>IFERROR(IF(VLOOKUP(A172,Paz!A:C,3,FALSE)=Table15[[#Headers],[Paz]],Table15[[#Headers],[Paz]],""),"")</f>
        <v/>
      </c>
      <c r="K172" t="str">
        <f>IFERROR(IF(VLOOKUP(A172,Pan!A:C,3,FALSE)=Table15[[#Headers],[Pan]],Table15[[#Headers],[Pan]],""),"")</f>
        <v/>
      </c>
      <c r="L172" t="str">
        <f>IFERROR(IF(VLOOKUP(A172,Comunión!A:C,3,FALSE)=Table15[[#Headers],[Comunión]],Table15[[#Headers],[Comunión]],""),"")</f>
        <v/>
      </c>
      <c r="M172" t="str">
        <f>IFERROR(IF(VLOOKUP(A172,Niños!A:C,3,FALSE)=Table15[[#Headers],[Niños]],Table15[[#Headers],[Niños]],""),"")</f>
        <v/>
      </c>
      <c r="N172" t="str">
        <f>IFERROR(IF(VLOOKUP(A172,Laudes!A:C,3,FALSE)=Table15[[#Headers],[Laudes]],Table15[[#Headers],[Laudes]],""),"")</f>
        <v/>
      </c>
      <c r="O172" t="str">
        <f>IFERROR(IF(VLOOKUP(A172,'Nuevo Testamento'!A:C,3,FALSE)=Table15[[#Headers],[Nuevo Testamento]],Table15[[#Headers],[Nuevo Testamento]],""),"")</f>
        <v>Nuevo Testamento</v>
      </c>
      <c r="P172" t="str">
        <f>IFERROR(IF(VLOOKUP(A172,'Antiguo Testamento'!A:C,3,FALSE)=Table15[[#Headers],[Antiguo Testamento]],Table15[[#Headers],[Antiguo Testamento]],""),"")</f>
        <v/>
      </c>
      <c r="Q172" t="str">
        <f>IFERROR(IF(VLOOKUP(A172,Final!A:C,3,FALSE)=Table15[[#Headers],[Final]],Table15[[#Headers],[Final]],""),"")</f>
        <v/>
      </c>
    </row>
    <row r="173" spans="1:17" x14ac:dyDescent="0.25">
      <c r="A173" t="s">
        <v>228</v>
      </c>
      <c r="B173">
        <v>174</v>
      </c>
      <c r="C173" t="str">
        <f>IFERROR(IF(VLOOKUP(A173,Adviento!A:C,3,FALSE)=Table15[[#Headers],[Adviento]],Table15[[#Headers],[Adviento]],""),"")</f>
        <v>Adviento</v>
      </c>
      <c r="D173" t="str">
        <f>IFERROR(IF(VLOOKUP(A173,Navidad!A:C,3,FALSE)=Table15[[#Headers],[Navidad]],Table15[[#Headers],[Navidad]],""),"")</f>
        <v>Navidad</v>
      </c>
      <c r="E173" t="str">
        <f>IFERROR(IF(VLOOKUP(A173,Cuaresma!A:C,3,FALSE)=Table15[[#Headers],[Cuaresma]],Table15[[#Headers],[Cuaresma]],""),"")</f>
        <v/>
      </c>
      <c r="F173" t="str">
        <f>IFERROR(IF(VLOOKUP(A173,Pascua!A:C,3,FALSE)=Table15[[#Headers],[Pascua]],Table15[[#Headers],[Pascua]],""),"")</f>
        <v/>
      </c>
      <c r="G173" t="str">
        <f>IFERROR(IF(VLOOKUP(A173,Pentecostés!A:C,3,FALSE)=Table15[[#Headers],[Pentecostés]],Table15[[#Headers],[Pentecostés]],""),"")</f>
        <v/>
      </c>
      <c r="H173" t="str">
        <f>IFERROR(IF(VLOOKUP(A173,Entrada!A:C,3,FALSE)=Table15[[#Headers],[Entrada]],Table15[[#Headers],[Entrada]],""),"")</f>
        <v/>
      </c>
      <c r="I173" t="str">
        <f>IFERROR(IF(VLOOKUP(A173,Virgen!A:C,3,FALSE)=Table15[[#Headers],[Virgen]],Table15[[#Headers],[Virgen]],""),"")</f>
        <v/>
      </c>
      <c r="J173" t="str">
        <f>IFERROR(IF(VLOOKUP(A173,Paz!A:C,3,FALSE)=Table15[[#Headers],[Paz]],Table15[[#Headers],[Paz]],""),"")</f>
        <v/>
      </c>
      <c r="K173" t="str">
        <f>IFERROR(IF(VLOOKUP(A173,Pan!A:C,3,FALSE)=Table15[[#Headers],[Pan]],Table15[[#Headers],[Pan]],""),"")</f>
        <v/>
      </c>
      <c r="L173" t="str">
        <f>IFERROR(IF(VLOOKUP(A173,Comunión!A:C,3,FALSE)=Table15[[#Headers],[Comunión]],Table15[[#Headers],[Comunión]],""),"")</f>
        <v/>
      </c>
      <c r="M173" t="str">
        <f>IFERROR(IF(VLOOKUP(A173,Niños!A:C,3,FALSE)=Table15[[#Headers],[Niños]],Table15[[#Headers],[Niños]],""),"")</f>
        <v>Niños</v>
      </c>
      <c r="N173" t="str">
        <f>IFERROR(IF(VLOOKUP(A173,Laudes!A:C,3,FALSE)=Table15[[#Headers],[Laudes]],Table15[[#Headers],[Laudes]],""),"")</f>
        <v/>
      </c>
      <c r="O173" t="str">
        <f>IFERROR(IF(VLOOKUP(A173,'Nuevo Testamento'!A:C,3,FALSE)=Table15[[#Headers],[Nuevo Testamento]],Table15[[#Headers],[Nuevo Testamento]],""),"")</f>
        <v/>
      </c>
      <c r="P173" t="str">
        <f>IFERROR(IF(VLOOKUP(A173,'Antiguo Testamento'!A:C,3,FALSE)=Table15[[#Headers],[Antiguo Testamento]],Table15[[#Headers],[Antiguo Testamento]],""),"")</f>
        <v/>
      </c>
      <c r="Q173" t="str">
        <f>IFERROR(IF(VLOOKUP(A173,Final!A:C,3,FALSE)=Table15[[#Headers],[Final]],Table15[[#Headers],[Final]],""),"")</f>
        <v/>
      </c>
    </row>
    <row r="174" spans="1:17" x14ac:dyDescent="0.25">
      <c r="A174" t="s">
        <v>99</v>
      </c>
      <c r="B174">
        <v>175</v>
      </c>
      <c r="C174" t="str">
        <f>IFERROR(IF(VLOOKUP(A174,Adviento!A:C,3,FALSE)=Table15[[#Headers],[Adviento]],Table15[[#Headers],[Adviento]],""),"")</f>
        <v/>
      </c>
      <c r="D174" t="str">
        <f>IFERROR(IF(VLOOKUP(A174,Navidad!A:C,3,FALSE)=Table15[[#Headers],[Navidad]],Table15[[#Headers],[Navidad]],""),"")</f>
        <v/>
      </c>
      <c r="E174" t="str">
        <f>IFERROR(IF(VLOOKUP(A174,Cuaresma!A:C,3,FALSE)=Table15[[#Headers],[Cuaresma]],Table15[[#Headers],[Cuaresma]],""),"")</f>
        <v>Cuaresma</v>
      </c>
      <c r="F174" t="str">
        <f>IFERROR(IF(VLOOKUP(A174,Pascua!A:C,3,FALSE)=Table15[[#Headers],[Pascua]],Table15[[#Headers],[Pascua]],""),"")</f>
        <v/>
      </c>
      <c r="G174" t="str">
        <f>IFERROR(IF(VLOOKUP(A174,Pentecostés!A:C,3,FALSE)=Table15[[#Headers],[Pentecostés]],Table15[[#Headers],[Pentecostés]],""),"")</f>
        <v/>
      </c>
      <c r="H174" t="str">
        <f>IFERROR(IF(VLOOKUP(A174,Entrada!A:C,3,FALSE)=Table15[[#Headers],[Entrada]],Table15[[#Headers],[Entrada]],""),"")</f>
        <v/>
      </c>
      <c r="I174" t="str">
        <f>IFERROR(IF(VLOOKUP(A174,Virgen!A:C,3,FALSE)=Table15[[#Headers],[Virgen]],Table15[[#Headers],[Virgen]],""),"")</f>
        <v/>
      </c>
      <c r="J174" t="str">
        <f>IFERROR(IF(VLOOKUP(A174,Paz!A:C,3,FALSE)=Table15[[#Headers],[Paz]],Table15[[#Headers],[Paz]],""),"")</f>
        <v/>
      </c>
      <c r="K174" t="str">
        <f>IFERROR(IF(VLOOKUP(A174,Pan!A:C,3,FALSE)=Table15[[#Headers],[Pan]],Table15[[#Headers],[Pan]],""),"")</f>
        <v/>
      </c>
      <c r="L174" t="str">
        <f>IFERROR(IF(VLOOKUP(A174,Comunión!A:C,3,FALSE)=Table15[[#Headers],[Comunión]],Table15[[#Headers],[Comunión]],""),"")</f>
        <v/>
      </c>
      <c r="M174" t="str">
        <f>IFERROR(IF(VLOOKUP(A174,Niños!A:C,3,FALSE)=Table15[[#Headers],[Niños]],Table15[[#Headers],[Niños]],""),"")</f>
        <v/>
      </c>
      <c r="N174" t="str">
        <f>IFERROR(IF(VLOOKUP(A174,Laudes!A:C,3,FALSE)=Table15[[#Headers],[Laudes]],Table15[[#Headers],[Laudes]],""),"")</f>
        <v>Laudes</v>
      </c>
      <c r="O174" t="str">
        <f>IFERROR(IF(VLOOKUP(A174,'Nuevo Testamento'!A:C,3,FALSE)=Table15[[#Headers],[Nuevo Testamento]],Table15[[#Headers],[Nuevo Testamento]],""),"")</f>
        <v/>
      </c>
      <c r="P174" t="str">
        <f>IFERROR(IF(VLOOKUP(A174,'Antiguo Testamento'!A:C,3,FALSE)=Table15[[#Headers],[Antiguo Testamento]],Table15[[#Headers],[Antiguo Testamento]],""),"")</f>
        <v>Antiguo Testamento</v>
      </c>
      <c r="Q174" t="str">
        <f>IFERROR(IF(VLOOKUP(A174,Final!A:C,3,FALSE)=Table15[[#Headers],[Final]],Table15[[#Headers],[Final]],""),"")</f>
        <v/>
      </c>
    </row>
    <row r="175" spans="1:17" x14ac:dyDescent="0.25">
      <c r="A175" t="s">
        <v>229</v>
      </c>
      <c r="B175">
        <v>176</v>
      </c>
      <c r="C175" t="str">
        <f>IFERROR(IF(VLOOKUP(A175,Adviento!A:C,3,FALSE)=Table15[[#Headers],[Adviento]],Table15[[#Headers],[Adviento]],""),"")</f>
        <v/>
      </c>
      <c r="D175" t="str">
        <f>IFERROR(IF(VLOOKUP(A175,Navidad!A:C,3,FALSE)=Table15[[#Headers],[Navidad]],Table15[[#Headers],[Navidad]],""),"")</f>
        <v/>
      </c>
      <c r="E175" t="str">
        <f>IFERROR(IF(VLOOKUP(A175,Cuaresma!A:C,3,FALSE)=Table15[[#Headers],[Cuaresma]],Table15[[#Headers],[Cuaresma]],""),"")</f>
        <v/>
      </c>
      <c r="F175" t="str">
        <f>IFERROR(IF(VLOOKUP(A175,Pascua!A:C,3,FALSE)=Table15[[#Headers],[Pascua]],Table15[[#Headers],[Pascua]],""),"")</f>
        <v/>
      </c>
      <c r="G175" t="str">
        <f>IFERROR(IF(VLOOKUP(A175,Pentecostés!A:C,3,FALSE)=Table15[[#Headers],[Pentecostés]],Table15[[#Headers],[Pentecostés]],""),"")</f>
        <v/>
      </c>
      <c r="H175" t="str">
        <f>IFERROR(IF(VLOOKUP(A175,Entrada!A:C,3,FALSE)=Table15[[#Headers],[Entrada]],Table15[[#Headers],[Entrada]],""),"")</f>
        <v>Entrada</v>
      </c>
      <c r="I175" t="str">
        <f>IFERROR(IF(VLOOKUP(A175,Virgen!A:C,3,FALSE)=Table15[[#Headers],[Virgen]],Table15[[#Headers],[Virgen]],""),"")</f>
        <v/>
      </c>
      <c r="J175" t="str">
        <f>IFERROR(IF(VLOOKUP(A175,Paz!A:C,3,FALSE)=Table15[[#Headers],[Paz]],Table15[[#Headers],[Paz]],""),"")</f>
        <v/>
      </c>
      <c r="K175" t="str">
        <f>IFERROR(IF(VLOOKUP(A175,Pan!A:C,3,FALSE)=Table15[[#Headers],[Pan]],Table15[[#Headers],[Pan]],""),"")</f>
        <v/>
      </c>
      <c r="L175" t="str">
        <f>IFERROR(IF(VLOOKUP(A175,Comunión!A:C,3,FALSE)=Table15[[#Headers],[Comunión]],Table15[[#Headers],[Comunión]],""),"")</f>
        <v/>
      </c>
      <c r="M175" t="str">
        <f>IFERROR(IF(VLOOKUP(A175,Niños!A:C,3,FALSE)=Table15[[#Headers],[Niños]],Table15[[#Headers],[Niños]],""),"")</f>
        <v/>
      </c>
      <c r="N175" t="str">
        <f>IFERROR(IF(VLOOKUP(A175,Laudes!A:C,3,FALSE)=Table15[[#Headers],[Laudes]],Table15[[#Headers],[Laudes]],""),"")</f>
        <v/>
      </c>
      <c r="O175" t="str">
        <f>IFERROR(IF(VLOOKUP(A175,'Nuevo Testamento'!A:C,3,FALSE)=Table15[[#Headers],[Nuevo Testamento]],Table15[[#Headers],[Nuevo Testamento]],""),"")</f>
        <v/>
      </c>
      <c r="P175" t="str">
        <f>IFERROR(IF(VLOOKUP(A175,'Antiguo Testamento'!A:C,3,FALSE)=Table15[[#Headers],[Antiguo Testamento]],Table15[[#Headers],[Antiguo Testamento]],""),"")</f>
        <v>Antiguo Testamento</v>
      </c>
      <c r="Q175" t="str">
        <f>IFERROR(IF(VLOOKUP(A175,Final!A:C,3,FALSE)=Table15[[#Headers],[Final]],Table15[[#Headers],[Final]],""),"")</f>
        <v/>
      </c>
    </row>
    <row r="176" spans="1:17" x14ac:dyDescent="0.25">
      <c r="A176" t="s">
        <v>100</v>
      </c>
      <c r="B176">
        <v>177</v>
      </c>
      <c r="C176" t="str">
        <f>IFERROR(IF(VLOOKUP(A176,Adviento!A:C,3,FALSE)=Table15[[#Headers],[Adviento]],Table15[[#Headers],[Adviento]],""),"")</f>
        <v/>
      </c>
      <c r="D176" t="str">
        <f>IFERROR(IF(VLOOKUP(A176,Navidad!A:C,3,FALSE)=Table15[[#Headers],[Navidad]],Table15[[#Headers],[Navidad]],""),"")</f>
        <v/>
      </c>
      <c r="E176" t="str">
        <f>IFERROR(IF(VLOOKUP(A176,Cuaresma!A:C,3,FALSE)=Table15[[#Headers],[Cuaresma]],Table15[[#Headers],[Cuaresma]],""),"")</f>
        <v/>
      </c>
      <c r="F176" t="str">
        <f>IFERROR(IF(VLOOKUP(A176,Pascua!A:C,3,FALSE)=Table15[[#Headers],[Pascua]],Table15[[#Headers],[Pascua]],""),"")</f>
        <v/>
      </c>
      <c r="G176" t="str">
        <f>IFERROR(IF(VLOOKUP(A176,Pentecostés!A:C,3,FALSE)=Table15[[#Headers],[Pentecostés]],Table15[[#Headers],[Pentecostés]],""),"")</f>
        <v/>
      </c>
      <c r="H176" t="str">
        <f>IFERROR(IF(VLOOKUP(A176,Entrada!A:C,3,FALSE)=Table15[[#Headers],[Entrada]],Table15[[#Headers],[Entrada]],""),"")</f>
        <v>Entrada</v>
      </c>
      <c r="I176" t="str">
        <f>IFERROR(IF(VLOOKUP(A176,Virgen!A:C,3,FALSE)=Table15[[#Headers],[Virgen]],Table15[[#Headers],[Virgen]],""),"")</f>
        <v/>
      </c>
      <c r="J176" t="str">
        <f>IFERROR(IF(VLOOKUP(A176,Paz!A:C,3,FALSE)=Table15[[#Headers],[Paz]],Table15[[#Headers],[Paz]],""),"")</f>
        <v/>
      </c>
      <c r="K176" t="str">
        <f>IFERROR(IF(VLOOKUP(A176,Pan!A:C,3,FALSE)=Table15[[#Headers],[Pan]],Table15[[#Headers],[Pan]],""),"")</f>
        <v/>
      </c>
      <c r="L176" t="str">
        <f>IFERROR(IF(VLOOKUP(A176,Comunión!A:C,3,FALSE)=Table15[[#Headers],[Comunión]],Table15[[#Headers],[Comunión]],""),"")</f>
        <v/>
      </c>
      <c r="M176" t="str">
        <f>IFERROR(IF(VLOOKUP(A176,Niños!A:C,3,FALSE)=Table15[[#Headers],[Niños]],Table15[[#Headers],[Niños]],""),"")</f>
        <v/>
      </c>
      <c r="N176" t="str">
        <f>IFERROR(IF(VLOOKUP(A176,Laudes!A:C,3,FALSE)=Table15[[#Headers],[Laudes]],Table15[[#Headers],[Laudes]],""),"")</f>
        <v/>
      </c>
      <c r="O176" t="str">
        <f>IFERROR(IF(VLOOKUP(A176,'Nuevo Testamento'!A:C,3,FALSE)=Table15[[#Headers],[Nuevo Testamento]],Table15[[#Headers],[Nuevo Testamento]],""),"")</f>
        <v/>
      </c>
      <c r="P176" t="str">
        <f>IFERROR(IF(VLOOKUP(A176,'Antiguo Testamento'!A:C,3,FALSE)=Table15[[#Headers],[Antiguo Testamento]],Table15[[#Headers],[Antiguo Testamento]],""),"")</f>
        <v>Antiguo Testamento</v>
      </c>
      <c r="Q176" t="str">
        <f>IFERROR(IF(VLOOKUP(A176,Final!A:C,3,FALSE)=Table15[[#Headers],[Final]],Table15[[#Headers],[Final]],""),"")</f>
        <v>Final</v>
      </c>
    </row>
    <row r="177" spans="1:17" x14ac:dyDescent="0.25">
      <c r="A177" t="s">
        <v>101</v>
      </c>
      <c r="B177">
        <v>178</v>
      </c>
      <c r="C177" t="str">
        <f>IFERROR(IF(VLOOKUP(A177,Adviento!A:C,3,FALSE)=Table15[[#Headers],[Adviento]],Table15[[#Headers],[Adviento]],""),"")</f>
        <v/>
      </c>
      <c r="D177" t="str">
        <f>IFERROR(IF(VLOOKUP(A177,Navidad!A:C,3,FALSE)=Table15[[#Headers],[Navidad]],Table15[[#Headers],[Navidad]],""),"")</f>
        <v/>
      </c>
      <c r="E177" t="str">
        <f>IFERROR(IF(VLOOKUP(A177,Cuaresma!A:C,3,FALSE)=Table15[[#Headers],[Cuaresma]],Table15[[#Headers],[Cuaresma]],""),"")</f>
        <v>Cuaresma</v>
      </c>
      <c r="F177" t="str">
        <f>IFERROR(IF(VLOOKUP(A177,Pascua!A:C,3,FALSE)=Table15[[#Headers],[Pascua]],Table15[[#Headers],[Pascua]],""),"")</f>
        <v/>
      </c>
      <c r="G177" t="str">
        <f>IFERROR(IF(VLOOKUP(A177,Pentecostés!A:C,3,FALSE)=Table15[[#Headers],[Pentecostés]],Table15[[#Headers],[Pentecostés]],""),"")</f>
        <v/>
      </c>
      <c r="H177" t="str">
        <f>IFERROR(IF(VLOOKUP(A177,Entrada!A:C,3,FALSE)=Table15[[#Headers],[Entrada]],Table15[[#Headers],[Entrada]],""),"")</f>
        <v>Entrada</v>
      </c>
      <c r="I177" t="str">
        <f>IFERROR(IF(VLOOKUP(A177,Virgen!A:C,3,FALSE)=Table15[[#Headers],[Virgen]],Table15[[#Headers],[Virgen]],""),"")</f>
        <v/>
      </c>
      <c r="J177" t="str">
        <f>IFERROR(IF(VLOOKUP(A177,Paz!A:C,3,FALSE)=Table15[[#Headers],[Paz]],Table15[[#Headers],[Paz]],""),"")</f>
        <v/>
      </c>
      <c r="K177" t="str">
        <f>IFERROR(IF(VLOOKUP(A177,Pan!A:C,3,FALSE)=Table15[[#Headers],[Pan]],Table15[[#Headers],[Pan]],""),"")</f>
        <v/>
      </c>
      <c r="L177" t="str">
        <f>IFERROR(IF(VLOOKUP(A177,Comunión!A:C,3,FALSE)=Table15[[#Headers],[Comunión]],Table15[[#Headers],[Comunión]],""),"")</f>
        <v/>
      </c>
      <c r="M177" t="str">
        <f>IFERROR(IF(VLOOKUP(A177,Niños!A:C,3,FALSE)=Table15[[#Headers],[Niños]],Table15[[#Headers],[Niños]],""),"")</f>
        <v/>
      </c>
      <c r="N177" t="str">
        <f>IFERROR(IF(VLOOKUP(A177,Laudes!A:C,3,FALSE)=Table15[[#Headers],[Laudes]],Table15[[#Headers],[Laudes]],""),"")</f>
        <v>Laudes</v>
      </c>
      <c r="O177" t="str">
        <f>IFERROR(IF(VLOOKUP(A177,'Nuevo Testamento'!A:C,3,FALSE)=Table15[[#Headers],[Nuevo Testamento]],Table15[[#Headers],[Nuevo Testamento]],""),"")</f>
        <v>Nuevo Testamento</v>
      </c>
      <c r="P177" t="str">
        <f>IFERROR(IF(VLOOKUP(A177,'Antiguo Testamento'!A:C,3,FALSE)=Table15[[#Headers],[Antiguo Testamento]],Table15[[#Headers],[Antiguo Testamento]],""),"")</f>
        <v/>
      </c>
      <c r="Q177" t="str">
        <f>IFERROR(IF(VLOOKUP(A177,Final!A:C,3,FALSE)=Table15[[#Headers],[Final]],Table15[[#Headers],[Final]],""),"")</f>
        <v/>
      </c>
    </row>
    <row r="178" spans="1:17" x14ac:dyDescent="0.25">
      <c r="A178" s="3" t="s">
        <v>108</v>
      </c>
      <c r="B178">
        <v>179</v>
      </c>
      <c r="C178" t="str">
        <f>IFERROR(IF(VLOOKUP(A178,Adviento!A:C,3,FALSE)=Table15[[#Headers],[Adviento]],Table15[[#Headers],[Adviento]],""),"")</f>
        <v/>
      </c>
      <c r="D178" t="str">
        <f>IFERROR(IF(VLOOKUP(A178,Navidad!A:C,3,FALSE)=Table15[[#Headers],[Navidad]],Table15[[#Headers],[Navidad]],""),"")</f>
        <v/>
      </c>
      <c r="E178" t="str">
        <f>IFERROR(IF(VLOOKUP(A178,Cuaresma!A:C,3,FALSE)=Table15[[#Headers],[Cuaresma]],Table15[[#Headers],[Cuaresma]],""),"")</f>
        <v/>
      </c>
      <c r="F178" t="str">
        <f>IFERROR(IF(VLOOKUP(A178,Pascua!A:C,3,FALSE)=Table15[[#Headers],[Pascua]],Table15[[#Headers],[Pascua]],""),"")</f>
        <v/>
      </c>
      <c r="G178" t="str">
        <f>IFERROR(IF(VLOOKUP(A178,Pentecostés!A:C,3,FALSE)=Table15[[#Headers],[Pentecostés]],Table15[[#Headers],[Pentecostés]],""),"")</f>
        <v/>
      </c>
      <c r="H178" t="str">
        <f>IFERROR(IF(VLOOKUP(A178,Entrada!A:C,3,FALSE)=Table15[[#Headers],[Entrada]],Table15[[#Headers],[Entrada]],""),"")</f>
        <v/>
      </c>
      <c r="I178" t="str">
        <f>IFERROR(IF(VLOOKUP(A178,Virgen!A:C,3,FALSE)=Table15[[#Headers],[Virgen]],Table15[[#Headers],[Virgen]],""),"")</f>
        <v/>
      </c>
      <c r="J178" t="str">
        <f>IFERROR(IF(VLOOKUP(A178,Paz!A:C,3,FALSE)=Table15[[#Headers],[Paz]],Table15[[#Headers],[Paz]],""),"")</f>
        <v/>
      </c>
      <c r="K178" t="str">
        <f>IFERROR(IF(VLOOKUP(A178,Pan!A:C,3,FALSE)=Table15[[#Headers],[Pan]],Table15[[#Headers],[Pan]],""),"")</f>
        <v/>
      </c>
      <c r="L178" t="str">
        <f>IFERROR(IF(VLOOKUP(A178,Comunión!A:C,3,FALSE)=Table15[[#Headers],[Comunión]],Table15[[#Headers],[Comunión]],""),"")</f>
        <v/>
      </c>
      <c r="M178" t="str">
        <f>IFERROR(IF(VLOOKUP(A178,Niños!A:C,3,FALSE)=Table15[[#Headers],[Niños]],Table15[[#Headers],[Niños]],""),"")</f>
        <v/>
      </c>
      <c r="N178" t="str">
        <f>IFERROR(IF(VLOOKUP(A178,Laudes!A:C,3,FALSE)=Table15[[#Headers],[Laudes]],Table15[[#Headers],[Laudes]],""),"")</f>
        <v/>
      </c>
      <c r="O178" t="str">
        <f>IFERROR(IF(VLOOKUP(A178,'Nuevo Testamento'!A:C,3,FALSE)=Table15[[#Headers],[Nuevo Testamento]],Table15[[#Headers],[Nuevo Testamento]],""),"")</f>
        <v/>
      </c>
      <c r="P178" t="str">
        <f>IFERROR(IF(VLOOKUP(A178,'Antiguo Testamento'!A:C,3,FALSE)=Table15[[#Headers],[Antiguo Testamento]],Table15[[#Headers],[Antiguo Testamento]],""),"")</f>
        <v/>
      </c>
      <c r="Q178" t="str">
        <f>IFERROR(IF(VLOOKUP(A178,Final!A:C,3,FALSE)=Table15[[#Headers],[Final]],Table15[[#Headers],[Final]],""),"")</f>
        <v/>
      </c>
    </row>
    <row r="179" spans="1:17" x14ac:dyDescent="0.25">
      <c r="A179" t="s">
        <v>9</v>
      </c>
      <c r="B179">
        <v>180</v>
      </c>
      <c r="C179" t="str">
        <f>IFERROR(IF(VLOOKUP(A179,Adviento!A:C,3,FALSE)=Table15[[#Headers],[Adviento]],Table15[[#Headers],[Adviento]],""),"")</f>
        <v/>
      </c>
      <c r="D179" t="str">
        <f>IFERROR(IF(VLOOKUP(A179,Navidad!A:C,3,FALSE)=Table15[[#Headers],[Navidad]],Table15[[#Headers],[Navidad]],""),"")</f>
        <v/>
      </c>
      <c r="E179" t="str">
        <f>IFERROR(IF(VLOOKUP(A179,Cuaresma!A:C,3,FALSE)=Table15[[#Headers],[Cuaresma]],Table15[[#Headers],[Cuaresma]],""),"")</f>
        <v/>
      </c>
      <c r="F179" t="str">
        <f>IFERROR(IF(VLOOKUP(A179,Pascua!A:C,3,FALSE)=Table15[[#Headers],[Pascua]],Table15[[#Headers],[Pascua]],""),"")</f>
        <v/>
      </c>
      <c r="G179" t="str">
        <f>IFERROR(IF(VLOOKUP(A179,Pentecostés!A:C,3,FALSE)=Table15[[#Headers],[Pentecostés]],Table15[[#Headers],[Pentecostés]],""),"")</f>
        <v/>
      </c>
      <c r="H179" t="str">
        <f>IFERROR(IF(VLOOKUP(A179,Entrada!A:C,3,FALSE)=Table15[[#Headers],[Entrada]],Table15[[#Headers],[Entrada]],""),"")</f>
        <v/>
      </c>
      <c r="I179" t="str">
        <f>IFERROR(IF(VLOOKUP(A179,Virgen!A:C,3,FALSE)=Table15[[#Headers],[Virgen]],Table15[[#Headers],[Virgen]],""),"")</f>
        <v/>
      </c>
      <c r="J179" t="str">
        <f>IFERROR(IF(VLOOKUP(A179,Paz!A:C,3,FALSE)=Table15[[#Headers],[Paz]],Table15[[#Headers],[Paz]],""),"")</f>
        <v/>
      </c>
      <c r="K179" t="str">
        <f>IFERROR(IF(VLOOKUP(A179,Pan!A:C,3,FALSE)=Table15[[#Headers],[Pan]],Table15[[#Headers],[Pan]],""),"")</f>
        <v/>
      </c>
      <c r="L179" t="str">
        <f>IFERROR(IF(VLOOKUP(A179,Comunión!A:C,3,FALSE)=Table15[[#Headers],[Comunión]],Table15[[#Headers],[Comunión]],""),"")</f>
        <v/>
      </c>
      <c r="M179" t="str">
        <f>IFERROR(IF(VLOOKUP(A179,Niños!A:C,3,FALSE)=Table15[[#Headers],[Niños]],Table15[[#Headers],[Niños]],""),"")</f>
        <v/>
      </c>
      <c r="N179" t="str">
        <f>IFERROR(IF(VLOOKUP(A179,Laudes!A:C,3,FALSE)=Table15[[#Headers],[Laudes]],Table15[[#Headers],[Laudes]],""),"")</f>
        <v/>
      </c>
      <c r="O179" t="str">
        <f>IFERROR(IF(VLOOKUP(A179,'Nuevo Testamento'!A:C,3,FALSE)=Table15[[#Headers],[Nuevo Testamento]],Table15[[#Headers],[Nuevo Testamento]],""),"")</f>
        <v/>
      </c>
      <c r="P179" t="str">
        <f>IFERROR(IF(VLOOKUP(A179,'Antiguo Testamento'!A:C,3,FALSE)=Table15[[#Headers],[Antiguo Testamento]],Table15[[#Headers],[Antiguo Testamento]],""),"")</f>
        <v/>
      </c>
      <c r="Q179" t="str">
        <f>IFERROR(IF(VLOOKUP(A179,Final!A:C,3,FALSE)=Table15[[#Headers],[Final]],Table15[[#Headers],[Final]],""),"")</f>
        <v/>
      </c>
    </row>
    <row r="180" spans="1:17" x14ac:dyDescent="0.25">
      <c r="A180" t="s">
        <v>111</v>
      </c>
      <c r="B180">
        <v>181</v>
      </c>
      <c r="C180" t="str">
        <f>IFERROR(IF(VLOOKUP(A180,Adviento!A:C,3,FALSE)=Table15[[#Headers],[Adviento]],Table15[[#Headers],[Adviento]],""),"")</f>
        <v/>
      </c>
      <c r="D180" t="str">
        <f>IFERROR(IF(VLOOKUP(A180,Navidad!A:C,3,FALSE)=Table15[[#Headers],[Navidad]],Table15[[#Headers],[Navidad]],""),"")</f>
        <v/>
      </c>
      <c r="E180" t="str">
        <f>IFERROR(IF(VLOOKUP(A180,Cuaresma!A:C,3,FALSE)=Table15[[#Headers],[Cuaresma]],Table15[[#Headers],[Cuaresma]],""),"")</f>
        <v/>
      </c>
      <c r="F180" t="str">
        <f>IFERROR(IF(VLOOKUP(A180,Pascua!A:C,3,FALSE)=Table15[[#Headers],[Pascua]],Table15[[#Headers],[Pascua]],""),"")</f>
        <v/>
      </c>
      <c r="G180" t="str">
        <f>IFERROR(IF(VLOOKUP(A180,Pentecostés!A:C,3,FALSE)=Table15[[#Headers],[Pentecostés]],Table15[[#Headers],[Pentecostés]],""),"")</f>
        <v/>
      </c>
      <c r="H180" t="str">
        <f>IFERROR(IF(VLOOKUP(A180,Entrada!A:C,3,FALSE)=Table15[[#Headers],[Entrada]],Table15[[#Headers],[Entrada]],""),"")</f>
        <v/>
      </c>
      <c r="I180" t="str">
        <f>IFERROR(IF(VLOOKUP(A180,Virgen!A:C,3,FALSE)=Table15[[#Headers],[Virgen]],Table15[[#Headers],[Virgen]],""),"")</f>
        <v/>
      </c>
      <c r="J180" t="str">
        <f>IFERROR(IF(VLOOKUP(A180,Paz!A:C,3,FALSE)=Table15[[#Headers],[Paz]],Table15[[#Headers],[Paz]],""),"")</f>
        <v/>
      </c>
      <c r="K180" t="str">
        <f>IFERROR(IF(VLOOKUP(A180,Pan!A:C,3,FALSE)=Table15[[#Headers],[Pan]],Table15[[#Headers],[Pan]],""),"")</f>
        <v/>
      </c>
      <c r="L180" t="str">
        <f>IFERROR(IF(VLOOKUP(A180,Comunión!A:C,3,FALSE)=Table15[[#Headers],[Comunión]],Table15[[#Headers],[Comunión]],""),"")</f>
        <v/>
      </c>
      <c r="M180" t="str">
        <f>IFERROR(IF(VLOOKUP(A180,Niños!A:C,3,FALSE)=Table15[[#Headers],[Niños]],Table15[[#Headers],[Niños]],""),"")</f>
        <v/>
      </c>
      <c r="N180" t="str">
        <f>IFERROR(IF(VLOOKUP(A180,Laudes!A:C,3,FALSE)=Table15[[#Headers],[Laudes]],Table15[[#Headers],[Laudes]],""),"")</f>
        <v/>
      </c>
      <c r="O180" t="str">
        <f>IFERROR(IF(VLOOKUP(A180,'Nuevo Testamento'!A:C,3,FALSE)=Table15[[#Headers],[Nuevo Testamento]],Table15[[#Headers],[Nuevo Testamento]],""),"")</f>
        <v/>
      </c>
      <c r="P180" t="str">
        <f>IFERROR(IF(VLOOKUP(A180,'Antiguo Testamento'!A:C,3,FALSE)=Table15[[#Headers],[Antiguo Testamento]],Table15[[#Headers],[Antiguo Testamento]],""),"")</f>
        <v/>
      </c>
      <c r="Q180" t="str">
        <f>IFERROR(IF(VLOOKUP(A180,Final!A:C,3,FALSE)=Table15[[#Headers],[Final]],Table15[[#Headers],[Final]],""),"")</f>
        <v/>
      </c>
    </row>
    <row r="181" spans="1:17" x14ac:dyDescent="0.25">
      <c r="A181" t="s">
        <v>114</v>
      </c>
      <c r="B181">
        <v>182</v>
      </c>
      <c r="C181" t="str">
        <f>IFERROR(IF(VLOOKUP(A181,Adviento!A:C,3,FALSE)=Table15[[#Headers],[Adviento]],Table15[[#Headers],[Adviento]],""),"")</f>
        <v/>
      </c>
      <c r="D181" t="str">
        <f>IFERROR(IF(VLOOKUP(A181,Navidad!A:C,3,FALSE)=Table15[[#Headers],[Navidad]],Table15[[#Headers],[Navidad]],""),"")</f>
        <v/>
      </c>
      <c r="E181" t="str">
        <f>IFERROR(IF(VLOOKUP(A181,Cuaresma!A:C,3,FALSE)=Table15[[#Headers],[Cuaresma]],Table15[[#Headers],[Cuaresma]],""),"")</f>
        <v/>
      </c>
      <c r="F181" t="str">
        <f>IFERROR(IF(VLOOKUP(A181,Pascua!A:C,3,FALSE)=Table15[[#Headers],[Pascua]],Table15[[#Headers],[Pascua]],""),"")</f>
        <v/>
      </c>
      <c r="G181" t="str">
        <f>IFERROR(IF(VLOOKUP(A181,Pentecostés!A:C,3,FALSE)=Table15[[#Headers],[Pentecostés]],Table15[[#Headers],[Pentecostés]],""),"")</f>
        <v/>
      </c>
      <c r="H181" t="str">
        <f>IFERROR(IF(VLOOKUP(A181,Entrada!A:C,3,FALSE)=Table15[[#Headers],[Entrada]],Table15[[#Headers],[Entrada]],""),"")</f>
        <v/>
      </c>
      <c r="I181" t="str">
        <f>IFERROR(IF(VLOOKUP(A181,Virgen!A:C,3,FALSE)=Table15[[#Headers],[Virgen]],Table15[[#Headers],[Virgen]],""),"")</f>
        <v/>
      </c>
      <c r="J181" t="str">
        <f>IFERROR(IF(VLOOKUP(A181,Paz!A:C,3,FALSE)=Table15[[#Headers],[Paz]],Table15[[#Headers],[Paz]],""),"")</f>
        <v/>
      </c>
      <c r="K181" t="str">
        <f>IFERROR(IF(VLOOKUP(A181,Pan!A:C,3,FALSE)=Table15[[#Headers],[Pan]],Table15[[#Headers],[Pan]],""),"")</f>
        <v/>
      </c>
      <c r="L181" t="str">
        <f>IFERROR(IF(VLOOKUP(A181,Comunión!A:C,3,FALSE)=Table15[[#Headers],[Comunión]],Table15[[#Headers],[Comunión]],""),"")</f>
        <v/>
      </c>
      <c r="M181" t="str">
        <f>IFERROR(IF(VLOOKUP(A181,Niños!A:C,3,FALSE)=Table15[[#Headers],[Niños]],Table15[[#Headers],[Niños]],""),"")</f>
        <v/>
      </c>
      <c r="N181" t="str">
        <f>IFERROR(IF(VLOOKUP(A181,Laudes!A:C,3,FALSE)=Table15[[#Headers],[Laudes]],Table15[[#Headers],[Laudes]],""),"")</f>
        <v/>
      </c>
      <c r="O181" t="str">
        <f>IFERROR(IF(VLOOKUP(A181,'Nuevo Testamento'!A:C,3,FALSE)=Table15[[#Headers],[Nuevo Testamento]],Table15[[#Headers],[Nuevo Testamento]],""),"")</f>
        <v/>
      </c>
      <c r="P181" t="str">
        <f>IFERROR(IF(VLOOKUP(A181,'Antiguo Testamento'!A:C,3,FALSE)=Table15[[#Headers],[Antiguo Testamento]],Table15[[#Headers],[Antiguo Testamento]],""),"")</f>
        <v/>
      </c>
      <c r="Q181" t="str">
        <f>IFERROR(IF(VLOOKUP(A181,Final!A:C,3,FALSE)=Table15[[#Headers],[Final]],Table15[[#Headers],[Final]],""),"")</f>
        <v/>
      </c>
    </row>
    <row r="182" spans="1:17" x14ac:dyDescent="0.25">
      <c r="A182" t="s">
        <v>18</v>
      </c>
      <c r="B182">
        <v>183</v>
      </c>
      <c r="C182" t="str">
        <f>IFERROR(IF(VLOOKUP(A182,Adviento!A:C,3,FALSE)=Table15[[#Headers],[Adviento]],Table15[[#Headers],[Adviento]],""),"")</f>
        <v/>
      </c>
      <c r="D182" t="str">
        <f>IFERROR(IF(VLOOKUP(A182,Navidad!A:C,3,FALSE)=Table15[[#Headers],[Navidad]],Table15[[#Headers],[Navidad]],""),"")</f>
        <v/>
      </c>
      <c r="E182" t="str">
        <f>IFERROR(IF(VLOOKUP(A182,Cuaresma!A:C,3,FALSE)=Table15[[#Headers],[Cuaresma]],Table15[[#Headers],[Cuaresma]],""),"")</f>
        <v/>
      </c>
      <c r="F182" t="str">
        <f>IFERROR(IF(VLOOKUP(A182,Pascua!A:C,3,FALSE)=Table15[[#Headers],[Pascua]],Table15[[#Headers],[Pascua]],""),"")</f>
        <v/>
      </c>
      <c r="G182" t="str">
        <f>IFERROR(IF(VLOOKUP(A182,Pentecostés!A:C,3,FALSE)=Table15[[#Headers],[Pentecostés]],Table15[[#Headers],[Pentecostés]],""),"")</f>
        <v/>
      </c>
      <c r="H182" t="str">
        <f>IFERROR(IF(VLOOKUP(A182,Entrada!A:C,3,FALSE)=Table15[[#Headers],[Entrada]],Table15[[#Headers],[Entrada]],""),"")</f>
        <v/>
      </c>
      <c r="I182" t="str">
        <f>IFERROR(IF(VLOOKUP(A182,Virgen!A:C,3,FALSE)=Table15[[#Headers],[Virgen]],Table15[[#Headers],[Virgen]],""),"")</f>
        <v/>
      </c>
      <c r="J182" t="str">
        <f>IFERROR(IF(VLOOKUP(A182,Paz!A:C,3,FALSE)=Table15[[#Headers],[Paz]],Table15[[#Headers],[Paz]],""),"")</f>
        <v/>
      </c>
      <c r="K182" t="str">
        <f>IFERROR(IF(VLOOKUP(A182,Pan!A:C,3,FALSE)=Table15[[#Headers],[Pan]],Table15[[#Headers],[Pan]],""),"")</f>
        <v/>
      </c>
      <c r="L182" t="str">
        <f>IFERROR(IF(VLOOKUP(A182,Comunión!A:C,3,FALSE)=Table15[[#Headers],[Comunión]],Table15[[#Headers],[Comunión]],""),"")</f>
        <v/>
      </c>
      <c r="M182" t="str">
        <f>IFERROR(IF(VLOOKUP(A182,Niños!A:C,3,FALSE)=Table15[[#Headers],[Niños]],Table15[[#Headers],[Niños]],""),"")</f>
        <v/>
      </c>
      <c r="N182" t="str">
        <f>IFERROR(IF(VLOOKUP(A182,Laudes!A:C,3,FALSE)=Table15[[#Headers],[Laudes]],Table15[[#Headers],[Laudes]],""),"")</f>
        <v/>
      </c>
      <c r="O182" t="str">
        <f>IFERROR(IF(VLOOKUP(A182,'Nuevo Testamento'!A:C,3,FALSE)=Table15[[#Headers],[Nuevo Testamento]],Table15[[#Headers],[Nuevo Testamento]],""),"")</f>
        <v/>
      </c>
      <c r="P182" t="str">
        <f>IFERROR(IF(VLOOKUP(A182,'Antiguo Testamento'!A:C,3,FALSE)=Table15[[#Headers],[Antiguo Testamento]],Table15[[#Headers],[Antiguo Testamento]],""),"")</f>
        <v/>
      </c>
      <c r="Q182" t="str">
        <f>IFERROR(IF(VLOOKUP(A182,Final!A:C,3,FALSE)=Table15[[#Headers],[Final]],Table15[[#Headers],[Final]],""),"")</f>
        <v/>
      </c>
    </row>
    <row r="183" spans="1:17" x14ac:dyDescent="0.25">
      <c r="A183" t="s">
        <v>233</v>
      </c>
      <c r="B183">
        <v>185</v>
      </c>
      <c r="C183" t="str">
        <f>IFERROR(IF(VLOOKUP(A183,Adviento!A:C,3,FALSE)=Table15[[#Headers],[Adviento]],Table15[[#Headers],[Adviento]],""),"")</f>
        <v/>
      </c>
      <c r="D183" t="str">
        <f>IFERROR(IF(VLOOKUP(A183,Navidad!A:C,3,FALSE)=Table15[[#Headers],[Navidad]],Table15[[#Headers],[Navidad]],""),"")</f>
        <v/>
      </c>
      <c r="E183" t="str">
        <f>IFERROR(IF(VLOOKUP(A183,Cuaresma!A:C,3,FALSE)=Table15[[#Headers],[Cuaresma]],Table15[[#Headers],[Cuaresma]],""),"")</f>
        <v/>
      </c>
      <c r="F183" t="str">
        <f>IFERROR(IF(VLOOKUP(A183,Pascua!A:C,3,FALSE)=Table15[[#Headers],[Pascua]],Table15[[#Headers],[Pascua]],""),"")</f>
        <v/>
      </c>
      <c r="G183" t="str">
        <f>IFERROR(IF(VLOOKUP(A183,Pentecostés!A:C,3,FALSE)=Table15[[#Headers],[Pentecostés]],Table15[[#Headers],[Pentecostés]],""),"")</f>
        <v/>
      </c>
      <c r="H183" t="str">
        <f>IFERROR(IF(VLOOKUP(A183,Entrada!A:C,3,FALSE)=Table15[[#Headers],[Entrada]],Table15[[#Headers],[Entrada]],""),"")</f>
        <v/>
      </c>
      <c r="I183" t="str">
        <f>IFERROR(IF(VLOOKUP(A183,Virgen!A:C,3,FALSE)=Table15[[#Headers],[Virgen]],Table15[[#Headers],[Virgen]],""),"")</f>
        <v/>
      </c>
      <c r="J183" t="str">
        <f>IFERROR(IF(VLOOKUP(A183,Paz!A:C,3,FALSE)=Table15[[#Headers],[Paz]],Table15[[#Headers],[Paz]],""),"")</f>
        <v/>
      </c>
      <c r="K183" t="str">
        <f>IFERROR(IF(VLOOKUP(A183,Pan!A:C,3,FALSE)=Table15[[#Headers],[Pan]],Table15[[#Headers],[Pan]],""),"")</f>
        <v/>
      </c>
      <c r="L183" t="str">
        <f>IFERROR(IF(VLOOKUP(A183,Comunión!A:C,3,FALSE)=Table15[[#Headers],[Comunión]],Table15[[#Headers],[Comunión]],""),"")</f>
        <v/>
      </c>
      <c r="M183" t="str">
        <f>IFERROR(IF(VLOOKUP(A183,Niños!A:C,3,FALSE)=Table15[[#Headers],[Niños]],Table15[[#Headers],[Niños]],""),"")</f>
        <v/>
      </c>
      <c r="N183" t="str">
        <f>IFERROR(IF(VLOOKUP(A183,Laudes!A:C,3,FALSE)=Table15[[#Headers],[Laudes]],Table15[[#Headers],[Laudes]],""),"")</f>
        <v/>
      </c>
      <c r="O183" t="str">
        <f>IFERROR(IF(VLOOKUP(A183,'Nuevo Testamento'!A:C,3,FALSE)=Table15[[#Headers],[Nuevo Testamento]],Table15[[#Headers],[Nuevo Testamento]],""),"")</f>
        <v/>
      </c>
      <c r="P183" t="str">
        <f>IFERROR(IF(VLOOKUP(A183,'Antiguo Testamento'!A:C,3,FALSE)=Table15[[#Headers],[Antiguo Testamento]],Table15[[#Headers],[Antiguo Testamento]],""),"")</f>
        <v/>
      </c>
      <c r="Q183" t="str">
        <f>IFERROR(IF(VLOOKUP(A183,Final!A:C,3,FALSE)=Table15[[#Headers],[Final]],Table15[[#Headers],[Final]],""),"")</f>
        <v/>
      </c>
    </row>
    <row r="184" spans="1:17" x14ac:dyDescent="0.25">
      <c r="A184" t="s">
        <v>25</v>
      </c>
      <c r="B184">
        <v>186</v>
      </c>
      <c r="C184" t="str">
        <f>IFERROR(IF(VLOOKUP(A184,Adviento!A:C,3,FALSE)=Table15[[#Headers],[Adviento]],Table15[[#Headers],[Adviento]],""),"")</f>
        <v/>
      </c>
      <c r="D184" t="str">
        <f>IFERROR(IF(VLOOKUP(A184,Navidad!A:C,3,FALSE)=Table15[[#Headers],[Navidad]],Table15[[#Headers],[Navidad]],""),"")</f>
        <v/>
      </c>
      <c r="E184" t="str">
        <f>IFERROR(IF(VLOOKUP(A184,Cuaresma!A:C,3,FALSE)=Table15[[#Headers],[Cuaresma]],Table15[[#Headers],[Cuaresma]],""),"")</f>
        <v/>
      </c>
      <c r="F184" t="str">
        <f>IFERROR(IF(VLOOKUP(A184,Pascua!A:C,3,FALSE)=Table15[[#Headers],[Pascua]],Table15[[#Headers],[Pascua]],""),"")</f>
        <v/>
      </c>
      <c r="G184" t="str">
        <f>IFERROR(IF(VLOOKUP(A184,Pentecostés!A:C,3,FALSE)=Table15[[#Headers],[Pentecostés]],Table15[[#Headers],[Pentecostés]],""),"")</f>
        <v/>
      </c>
      <c r="H184" t="str">
        <f>IFERROR(IF(VLOOKUP(A184,Entrada!A:C,3,FALSE)=Table15[[#Headers],[Entrada]],Table15[[#Headers],[Entrada]],""),"")</f>
        <v/>
      </c>
      <c r="I184" t="str">
        <f>IFERROR(IF(VLOOKUP(A184,Virgen!A:C,3,FALSE)=Table15[[#Headers],[Virgen]],Table15[[#Headers],[Virgen]],""),"")</f>
        <v/>
      </c>
      <c r="J184" t="str">
        <f>IFERROR(IF(VLOOKUP(A184,Paz!A:C,3,FALSE)=Table15[[#Headers],[Paz]],Table15[[#Headers],[Paz]],""),"")</f>
        <v/>
      </c>
      <c r="K184" t="str">
        <f>IFERROR(IF(VLOOKUP(A184,Pan!A:C,3,FALSE)=Table15[[#Headers],[Pan]],Table15[[#Headers],[Pan]],""),"")</f>
        <v/>
      </c>
      <c r="L184" t="str">
        <f>IFERROR(IF(VLOOKUP(A184,Comunión!A:C,3,FALSE)=Table15[[#Headers],[Comunión]],Table15[[#Headers],[Comunión]],""),"")</f>
        <v/>
      </c>
      <c r="M184" t="str">
        <f>IFERROR(IF(VLOOKUP(A184,Niños!A:C,3,FALSE)=Table15[[#Headers],[Niños]],Table15[[#Headers],[Niños]],""),"")</f>
        <v/>
      </c>
      <c r="N184" t="str">
        <f>IFERROR(IF(VLOOKUP(A184,Laudes!A:C,3,FALSE)=Table15[[#Headers],[Laudes]],Table15[[#Headers],[Laudes]],""),"")</f>
        <v/>
      </c>
      <c r="O184" t="str">
        <f>IFERROR(IF(VLOOKUP(A184,'Nuevo Testamento'!A:C,3,FALSE)=Table15[[#Headers],[Nuevo Testamento]],Table15[[#Headers],[Nuevo Testamento]],""),"")</f>
        <v/>
      </c>
      <c r="P184" t="str">
        <f>IFERROR(IF(VLOOKUP(A184,'Antiguo Testamento'!A:C,3,FALSE)=Table15[[#Headers],[Antiguo Testamento]],Table15[[#Headers],[Antiguo Testamento]],""),"")</f>
        <v/>
      </c>
      <c r="Q184" t="str">
        <f>IFERROR(IF(VLOOKUP(A184,Final!A:C,3,FALSE)=Table15[[#Headers],[Final]],Table15[[#Headers],[Final]],""),"")</f>
        <v/>
      </c>
    </row>
    <row r="185" spans="1:17" x14ac:dyDescent="0.25">
      <c r="A185" t="s">
        <v>26</v>
      </c>
      <c r="B185">
        <v>187</v>
      </c>
      <c r="C185" t="str">
        <f>IFERROR(IF(VLOOKUP(A185,Adviento!A:C,3,FALSE)=Table15[[#Headers],[Adviento]],Table15[[#Headers],[Adviento]],""),"")</f>
        <v/>
      </c>
      <c r="D185" t="str">
        <f>IFERROR(IF(VLOOKUP(A185,Navidad!A:C,3,FALSE)=Table15[[#Headers],[Navidad]],Table15[[#Headers],[Navidad]],""),"")</f>
        <v/>
      </c>
      <c r="E185" t="str">
        <f>IFERROR(IF(VLOOKUP(A185,Cuaresma!A:C,3,FALSE)=Table15[[#Headers],[Cuaresma]],Table15[[#Headers],[Cuaresma]],""),"")</f>
        <v/>
      </c>
      <c r="F185" t="str">
        <f>IFERROR(IF(VLOOKUP(A185,Pascua!A:C,3,FALSE)=Table15[[#Headers],[Pascua]],Table15[[#Headers],[Pascua]],""),"")</f>
        <v/>
      </c>
      <c r="G185" t="str">
        <f>IFERROR(IF(VLOOKUP(A185,Pentecostés!A:C,3,FALSE)=Table15[[#Headers],[Pentecostés]],Table15[[#Headers],[Pentecostés]],""),"")</f>
        <v/>
      </c>
      <c r="H185" t="str">
        <f>IFERROR(IF(VLOOKUP(A185,Entrada!A:C,3,FALSE)=Table15[[#Headers],[Entrada]],Table15[[#Headers],[Entrada]],""),"")</f>
        <v/>
      </c>
      <c r="I185" t="str">
        <f>IFERROR(IF(VLOOKUP(A185,Virgen!A:C,3,FALSE)=Table15[[#Headers],[Virgen]],Table15[[#Headers],[Virgen]],""),"")</f>
        <v/>
      </c>
      <c r="J185" t="str">
        <f>IFERROR(IF(VLOOKUP(A185,Paz!A:C,3,FALSE)=Table15[[#Headers],[Paz]],Table15[[#Headers],[Paz]],""),"")</f>
        <v/>
      </c>
      <c r="K185" t="str">
        <f>IFERROR(IF(VLOOKUP(A185,Pan!A:C,3,FALSE)=Table15[[#Headers],[Pan]],Table15[[#Headers],[Pan]],""),"")</f>
        <v/>
      </c>
      <c r="L185" t="str">
        <f>IFERROR(IF(VLOOKUP(A185,Comunión!A:C,3,FALSE)=Table15[[#Headers],[Comunión]],Table15[[#Headers],[Comunión]],""),"")</f>
        <v/>
      </c>
      <c r="M185" t="str">
        <f>IFERROR(IF(VLOOKUP(A185,Niños!A:C,3,FALSE)=Table15[[#Headers],[Niños]],Table15[[#Headers],[Niños]],""),"")</f>
        <v/>
      </c>
      <c r="N185" t="str">
        <f>IFERROR(IF(VLOOKUP(A185,Laudes!A:C,3,FALSE)=Table15[[#Headers],[Laudes]],Table15[[#Headers],[Laudes]],""),"")</f>
        <v/>
      </c>
      <c r="O185" t="str">
        <f>IFERROR(IF(VLOOKUP(A185,'Nuevo Testamento'!A:C,3,FALSE)=Table15[[#Headers],[Nuevo Testamento]],Table15[[#Headers],[Nuevo Testamento]],""),"")</f>
        <v/>
      </c>
      <c r="P185" t="str">
        <f>IFERROR(IF(VLOOKUP(A185,'Antiguo Testamento'!A:C,3,FALSE)=Table15[[#Headers],[Antiguo Testamento]],Table15[[#Headers],[Antiguo Testamento]],""),"")</f>
        <v/>
      </c>
      <c r="Q185" t="str">
        <f>IFERROR(IF(VLOOKUP(A185,Final!A:C,3,FALSE)=Table15[[#Headers],[Final]],Table15[[#Headers],[Final]],""),"")</f>
        <v/>
      </c>
    </row>
    <row r="186" spans="1:17" x14ac:dyDescent="0.25">
      <c r="A186" t="s">
        <v>149</v>
      </c>
      <c r="B186">
        <v>188</v>
      </c>
      <c r="C186" t="str">
        <f>IFERROR(IF(VLOOKUP(A186,Adviento!A:C,3,FALSE)=Table15[[#Headers],[Adviento]],Table15[[#Headers],[Adviento]],""),"")</f>
        <v/>
      </c>
      <c r="D186" t="str">
        <f>IFERROR(IF(VLOOKUP(A186,Navidad!A:C,3,FALSE)=Table15[[#Headers],[Navidad]],Table15[[#Headers],[Navidad]],""),"")</f>
        <v/>
      </c>
      <c r="E186" t="str">
        <f>IFERROR(IF(VLOOKUP(A186,Cuaresma!A:C,3,FALSE)=Table15[[#Headers],[Cuaresma]],Table15[[#Headers],[Cuaresma]],""),"")</f>
        <v/>
      </c>
      <c r="F186" t="str">
        <f>IFERROR(IF(VLOOKUP(A186,Pascua!A:C,3,FALSE)=Table15[[#Headers],[Pascua]],Table15[[#Headers],[Pascua]],""),"")</f>
        <v/>
      </c>
      <c r="G186" t="str">
        <f>IFERROR(IF(VLOOKUP(A186,Pentecostés!A:C,3,FALSE)=Table15[[#Headers],[Pentecostés]],Table15[[#Headers],[Pentecostés]],""),"")</f>
        <v/>
      </c>
      <c r="H186" t="str">
        <f>IFERROR(IF(VLOOKUP(A186,Entrada!A:C,3,FALSE)=Table15[[#Headers],[Entrada]],Table15[[#Headers],[Entrada]],""),"")</f>
        <v/>
      </c>
      <c r="I186" t="str">
        <f>IFERROR(IF(VLOOKUP(A186,Virgen!A:C,3,FALSE)=Table15[[#Headers],[Virgen]],Table15[[#Headers],[Virgen]],""),"")</f>
        <v/>
      </c>
      <c r="J186" t="str">
        <f>IFERROR(IF(VLOOKUP(A186,Paz!A:C,3,FALSE)=Table15[[#Headers],[Paz]],Table15[[#Headers],[Paz]],""),"")</f>
        <v/>
      </c>
      <c r="K186" t="str">
        <f>IFERROR(IF(VLOOKUP(A186,Pan!A:C,3,FALSE)=Table15[[#Headers],[Pan]],Table15[[#Headers],[Pan]],""),"")</f>
        <v/>
      </c>
      <c r="L186" t="str">
        <f>IFERROR(IF(VLOOKUP(A186,Comunión!A:C,3,FALSE)=Table15[[#Headers],[Comunión]],Table15[[#Headers],[Comunión]],""),"")</f>
        <v/>
      </c>
      <c r="M186" t="str">
        <f>IFERROR(IF(VLOOKUP(A186,Niños!A:C,3,FALSE)=Table15[[#Headers],[Niños]],Table15[[#Headers],[Niños]],""),"")</f>
        <v/>
      </c>
      <c r="N186" t="str">
        <f>IFERROR(IF(VLOOKUP(A186,Laudes!A:C,3,FALSE)=Table15[[#Headers],[Laudes]],Table15[[#Headers],[Laudes]],""),"")</f>
        <v/>
      </c>
      <c r="O186" t="str">
        <f>IFERROR(IF(VLOOKUP(A186,'Nuevo Testamento'!A:C,3,FALSE)=Table15[[#Headers],[Nuevo Testamento]],Table15[[#Headers],[Nuevo Testamento]],""),"")</f>
        <v/>
      </c>
      <c r="P186" t="str">
        <f>IFERROR(IF(VLOOKUP(A186,'Antiguo Testamento'!A:C,3,FALSE)=Table15[[#Headers],[Antiguo Testamento]],Table15[[#Headers],[Antiguo Testamento]],""),"")</f>
        <v/>
      </c>
      <c r="Q186" t="str">
        <f>IFERROR(IF(VLOOKUP(A186,Final!A:C,3,FALSE)=Table15[[#Headers],[Final]],Table15[[#Headers],[Final]],""),"")</f>
        <v/>
      </c>
    </row>
    <row r="187" spans="1:17" x14ac:dyDescent="0.25">
      <c r="A187" t="s">
        <v>58</v>
      </c>
      <c r="B187">
        <v>189</v>
      </c>
      <c r="C187" t="str">
        <f>IFERROR(IF(VLOOKUP(A187,Adviento!A:C,3,FALSE)=Table15[[#Headers],[Adviento]],Table15[[#Headers],[Adviento]],""),"")</f>
        <v/>
      </c>
      <c r="D187" t="str">
        <f>IFERROR(IF(VLOOKUP(A187,Navidad!A:C,3,FALSE)=Table15[[#Headers],[Navidad]],Table15[[#Headers],[Navidad]],""),"")</f>
        <v/>
      </c>
      <c r="E187" t="str">
        <f>IFERROR(IF(VLOOKUP(A187,Cuaresma!A:C,3,FALSE)=Table15[[#Headers],[Cuaresma]],Table15[[#Headers],[Cuaresma]],""),"")</f>
        <v/>
      </c>
      <c r="F187" t="str">
        <f>IFERROR(IF(VLOOKUP(A187,Pascua!A:C,3,FALSE)=Table15[[#Headers],[Pascua]],Table15[[#Headers],[Pascua]],""),"")</f>
        <v/>
      </c>
      <c r="G187" t="str">
        <f>IFERROR(IF(VLOOKUP(A187,Pentecostés!A:C,3,FALSE)=Table15[[#Headers],[Pentecostés]],Table15[[#Headers],[Pentecostés]],""),"")</f>
        <v/>
      </c>
      <c r="H187" t="str">
        <f>IFERROR(IF(VLOOKUP(A187,Entrada!A:C,3,FALSE)=Table15[[#Headers],[Entrada]],Table15[[#Headers],[Entrada]],""),"")</f>
        <v/>
      </c>
      <c r="I187" t="str">
        <f>IFERROR(IF(VLOOKUP(A187,Virgen!A:C,3,FALSE)=Table15[[#Headers],[Virgen]],Table15[[#Headers],[Virgen]],""),"")</f>
        <v/>
      </c>
      <c r="J187" t="str">
        <f>IFERROR(IF(VLOOKUP(A187,Paz!A:C,3,FALSE)=Table15[[#Headers],[Paz]],Table15[[#Headers],[Paz]],""),"")</f>
        <v/>
      </c>
      <c r="K187" t="str">
        <f>IFERROR(IF(VLOOKUP(A187,Pan!A:C,3,FALSE)=Table15[[#Headers],[Pan]],Table15[[#Headers],[Pan]],""),"")</f>
        <v/>
      </c>
      <c r="L187" t="str">
        <f>IFERROR(IF(VLOOKUP(A187,Comunión!A:C,3,FALSE)=Table15[[#Headers],[Comunión]],Table15[[#Headers],[Comunión]],""),"")</f>
        <v/>
      </c>
      <c r="M187" t="str">
        <f>IFERROR(IF(VLOOKUP(A187,Niños!A:C,3,FALSE)=Table15[[#Headers],[Niños]],Table15[[#Headers],[Niños]],""),"")</f>
        <v/>
      </c>
      <c r="N187" t="str">
        <f>IFERROR(IF(VLOOKUP(A187,Laudes!A:C,3,FALSE)=Table15[[#Headers],[Laudes]],Table15[[#Headers],[Laudes]],""),"")</f>
        <v/>
      </c>
      <c r="O187" t="str">
        <f>IFERROR(IF(VLOOKUP(A187,'Nuevo Testamento'!A:C,3,FALSE)=Table15[[#Headers],[Nuevo Testamento]],Table15[[#Headers],[Nuevo Testamento]],""),"")</f>
        <v/>
      </c>
      <c r="P187" t="str">
        <f>IFERROR(IF(VLOOKUP(A187,'Antiguo Testamento'!A:C,3,FALSE)=Table15[[#Headers],[Antiguo Testamento]],Table15[[#Headers],[Antiguo Testamento]],""),"")</f>
        <v/>
      </c>
      <c r="Q187" t="str">
        <f>IFERROR(IF(VLOOKUP(A187,Final!A:C,3,FALSE)=Table15[[#Headers],[Final]],Table15[[#Headers],[Final]],""),"")</f>
        <v/>
      </c>
    </row>
    <row r="188" spans="1:17" x14ac:dyDescent="0.25">
      <c r="A188" t="s">
        <v>237</v>
      </c>
      <c r="B188">
        <v>191</v>
      </c>
      <c r="C188" t="str">
        <f>IFERROR(IF(VLOOKUP(A188,Adviento!A:C,3,FALSE)=Table15[[#Headers],[Adviento]],Table15[[#Headers],[Adviento]],""),"")</f>
        <v/>
      </c>
      <c r="D188" t="str">
        <f>IFERROR(IF(VLOOKUP(A188,Navidad!A:C,3,FALSE)=Table15[[#Headers],[Navidad]],Table15[[#Headers],[Navidad]],""),"")</f>
        <v/>
      </c>
      <c r="E188" t="str">
        <f>IFERROR(IF(VLOOKUP(A188,Cuaresma!A:C,3,FALSE)=Table15[[#Headers],[Cuaresma]],Table15[[#Headers],[Cuaresma]],""),"")</f>
        <v/>
      </c>
      <c r="F188" t="str">
        <f>IFERROR(IF(VLOOKUP(A188,Pascua!A:C,3,FALSE)=Table15[[#Headers],[Pascua]],Table15[[#Headers],[Pascua]],""),"")</f>
        <v/>
      </c>
      <c r="G188" t="str">
        <f>IFERROR(IF(VLOOKUP(A188,Pentecostés!A:C,3,FALSE)=Table15[[#Headers],[Pentecostés]],Table15[[#Headers],[Pentecostés]],""),"")</f>
        <v/>
      </c>
      <c r="H188" t="str">
        <f>IFERROR(IF(VLOOKUP(A188,Entrada!A:C,3,FALSE)=Table15[[#Headers],[Entrada]],Table15[[#Headers],[Entrada]],""),"")</f>
        <v/>
      </c>
      <c r="I188" t="str">
        <f>IFERROR(IF(VLOOKUP(A188,Virgen!A:C,3,FALSE)=Table15[[#Headers],[Virgen]],Table15[[#Headers],[Virgen]],""),"")</f>
        <v/>
      </c>
      <c r="J188" t="str">
        <f>IFERROR(IF(VLOOKUP(A188,Paz!A:C,3,FALSE)=Table15[[#Headers],[Paz]],Table15[[#Headers],[Paz]],""),"")</f>
        <v/>
      </c>
      <c r="K188" t="str">
        <f>IFERROR(IF(VLOOKUP(A188,Pan!A:C,3,FALSE)=Table15[[#Headers],[Pan]],Table15[[#Headers],[Pan]],""),"")</f>
        <v/>
      </c>
      <c r="L188" t="str">
        <f>IFERROR(IF(VLOOKUP(A188,Comunión!A:C,3,FALSE)=Table15[[#Headers],[Comunión]],Table15[[#Headers],[Comunión]],""),"")</f>
        <v/>
      </c>
      <c r="M188" t="str">
        <f>IFERROR(IF(VLOOKUP(A188,Niños!A:C,3,FALSE)=Table15[[#Headers],[Niños]],Table15[[#Headers],[Niños]],""),"")</f>
        <v/>
      </c>
      <c r="N188" t="str">
        <f>IFERROR(IF(VLOOKUP(A188,Laudes!A:C,3,FALSE)=Table15[[#Headers],[Laudes]],Table15[[#Headers],[Laudes]],""),"")</f>
        <v/>
      </c>
      <c r="O188" t="str">
        <f>IFERROR(IF(VLOOKUP(A188,'Nuevo Testamento'!A:C,3,FALSE)=Table15[[#Headers],[Nuevo Testamento]],Table15[[#Headers],[Nuevo Testamento]],""),"")</f>
        <v/>
      </c>
      <c r="P188" t="str">
        <f>IFERROR(IF(VLOOKUP(A188,'Antiguo Testamento'!A:C,3,FALSE)=Table15[[#Headers],[Antiguo Testamento]],Table15[[#Headers],[Antiguo Testamento]],""),"")</f>
        <v/>
      </c>
      <c r="Q188" t="str">
        <f>IFERROR(IF(VLOOKUP(A188,Final!A:C,3,FALSE)=Table15[[#Headers],[Final]],Table15[[#Headers],[Final]],""),"")</f>
        <v/>
      </c>
    </row>
    <row r="189" spans="1:17" x14ac:dyDescent="0.25">
      <c r="A189" t="s">
        <v>59</v>
      </c>
      <c r="B189">
        <v>192</v>
      </c>
      <c r="C189" t="str">
        <f>IFERROR(IF(VLOOKUP(A189,Adviento!A:C,3,FALSE)=Table15[[#Headers],[Adviento]],Table15[[#Headers],[Adviento]],""),"")</f>
        <v/>
      </c>
      <c r="D189" t="str">
        <f>IFERROR(IF(VLOOKUP(A189,Navidad!A:C,3,FALSE)=Table15[[#Headers],[Navidad]],Table15[[#Headers],[Navidad]],""),"")</f>
        <v/>
      </c>
      <c r="E189" t="str">
        <f>IFERROR(IF(VLOOKUP(A189,Cuaresma!A:C,3,FALSE)=Table15[[#Headers],[Cuaresma]],Table15[[#Headers],[Cuaresma]],""),"")</f>
        <v/>
      </c>
      <c r="F189" t="str">
        <f>IFERROR(IF(VLOOKUP(A189,Pascua!A:C,3,FALSE)=Table15[[#Headers],[Pascua]],Table15[[#Headers],[Pascua]],""),"")</f>
        <v/>
      </c>
      <c r="G189" t="str">
        <f>IFERROR(IF(VLOOKUP(A189,Pentecostés!A:C,3,FALSE)=Table15[[#Headers],[Pentecostés]],Table15[[#Headers],[Pentecostés]],""),"")</f>
        <v/>
      </c>
      <c r="H189" t="str">
        <f>IFERROR(IF(VLOOKUP(A189,Entrada!A:C,3,FALSE)=Table15[[#Headers],[Entrada]],Table15[[#Headers],[Entrada]],""),"")</f>
        <v/>
      </c>
      <c r="I189" t="str">
        <f>IFERROR(IF(VLOOKUP(A189,Virgen!A:C,3,FALSE)=Table15[[#Headers],[Virgen]],Table15[[#Headers],[Virgen]],""),"")</f>
        <v/>
      </c>
      <c r="J189" t="str">
        <f>IFERROR(IF(VLOOKUP(A189,Paz!A:C,3,FALSE)=Table15[[#Headers],[Paz]],Table15[[#Headers],[Paz]],""),"")</f>
        <v/>
      </c>
      <c r="K189" t="str">
        <f>IFERROR(IF(VLOOKUP(A189,Pan!A:C,3,FALSE)=Table15[[#Headers],[Pan]],Table15[[#Headers],[Pan]],""),"")</f>
        <v/>
      </c>
      <c r="L189" t="str">
        <f>IFERROR(IF(VLOOKUP(A189,Comunión!A:C,3,FALSE)=Table15[[#Headers],[Comunión]],Table15[[#Headers],[Comunión]],""),"")</f>
        <v/>
      </c>
      <c r="M189" t="str">
        <f>IFERROR(IF(VLOOKUP(A189,Niños!A:C,3,FALSE)=Table15[[#Headers],[Niños]],Table15[[#Headers],[Niños]],""),"")</f>
        <v/>
      </c>
      <c r="N189" t="str">
        <f>IFERROR(IF(VLOOKUP(A189,Laudes!A:C,3,FALSE)=Table15[[#Headers],[Laudes]],Table15[[#Headers],[Laudes]],""),"")</f>
        <v/>
      </c>
      <c r="O189" t="str">
        <f>IFERROR(IF(VLOOKUP(A189,'Nuevo Testamento'!A:C,3,FALSE)=Table15[[#Headers],[Nuevo Testamento]],Table15[[#Headers],[Nuevo Testamento]],""),"")</f>
        <v/>
      </c>
      <c r="P189" t="str">
        <f>IFERROR(IF(VLOOKUP(A189,'Antiguo Testamento'!A:C,3,FALSE)=Table15[[#Headers],[Antiguo Testamento]],Table15[[#Headers],[Antiguo Testamento]],""),"")</f>
        <v/>
      </c>
      <c r="Q189" t="str">
        <f>IFERROR(IF(VLOOKUP(A189,Final!A:C,3,FALSE)=Table15[[#Headers],[Final]],Table15[[#Headers],[Final]],""),"")</f>
        <v/>
      </c>
    </row>
    <row r="190" spans="1:17" x14ac:dyDescent="0.25">
      <c r="A190" t="s">
        <v>74</v>
      </c>
      <c r="B190">
        <v>193</v>
      </c>
      <c r="C190" t="str">
        <f>IFERROR(IF(VLOOKUP(A190,Adviento!A:C,3,FALSE)=Table15[[#Headers],[Adviento]],Table15[[#Headers],[Adviento]],""),"")</f>
        <v/>
      </c>
      <c r="D190" t="str">
        <f>IFERROR(IF(VLOOKUP(A190,Navidad!A:C,3,FALSE)=Table15[[#Headers],[Navidad]],Table15[[#Headers],[Navidad]],""),"")</f>
        <v/>
      </c>
      <c r="E190" t="str">
        <f>IFERROR(IF(VLOOKUP(A190,Cuaresma!A:C,3,FALSE)=Table15[[#Headers],[Cuaresma]],Table15[[#Headers],[Cuaresma]],""),"")</f>
        <v/>
      </c>
      <c r="F190" t="str">
        <f>IFERROR(IF(VLOOKUP(A190,Pascua!A:C,3,FALSE)=Table15[[#Headers],[Pascua]],Table15[[#Headers],[Pascua]],""),"")</f>
        <v/>
      </c>
      <c r="G190" t="str">
        <f>IFERROR(IF(VLOOKUP(A190,Pentecostés!A:C,3,FALSE)=Table15[[#Headers],[Pentecostés]],Table15[[#Headers],[Pentecostés]],""),"")</f>
        <v/>
      </c>
      <c r="H190" t="str">
        <f>IFERROR(IF(VLOOKUP(A190,Entrada!A:C,3,FALSE)=Table15[[#Headers],[Entrada]],Table15[[#Headers],[Entrada]],""),"")</f>
        <v/>
      </c>
      <c r="I190" t="str">
        <f>IFERROR(IF(VLOOKUP(A190,Virgen!A:C,3,FALSE)=Table15[[#Headers],[Virgen]],Table15[[#Headers],[Virgen]],""),"")</f>
        <v/>
      </c>
      <c r="J190" t="str">
        <f>IFERROR(IF(VLOOKUP(A190,Paz!A:C,3,FALSE)=Table15[[#Headers],[Paz]],Table15[[#Headers],[Paz]],""),"")</f>
        <v/>
      </c>
      <c r="K190" t="str">
        <f>IFERROR(IF(VLOOKUP(A190,Pan!A:C,3,FALSE)=Table15[[#Headers],[Pan]],Table15[[#Headers],[Pan]],""),"")</f>
        <v/>
      </c>
      <c r="L190" t="str">
        <f>IFERROR(IF(VLOOKUP(A190,Comunión!A:C,3,FALSE)=Table15[[#Headers],[Comunión]],Table15[[#Headers],[Comunión]],""),"")</f>
        <v/>
      </c>
      <c r="M190" t="str">
        <f>IFERROR(IF(VLOOKUP(A190,Niños!A:C,3,FALSE)=Table15[[#Headers],[Niños]],Table15[[#Headers],[Niños]],""),"")</f>
        <v/>
      </c>
      <c r="N190" t="str">
        <f>IFERROR(IF(VLOOKUP(A190,Laudes!A:C,3,FALSE)=Table15[[#Headers],[Laudes]],Table15[[#Headers],[Laudes]],""),"")</f>
        <v/>
      </c>
      <c r="O190" t="str">
        <f>IFERROR(IF(VLOOKUP(A190,'Nuevo Testamento'!A:C,3,FALSE)=Table15[[#Headers],[Nuevo Testamento]],Table15[[#Headers],[Nuevo Testamento]],""),"")</f>
        <v/>
      </c>
      <c r="P190" t="str">
        <f>IFERROR(IF(VLOOKUP(A190,'Antiguo Testamento'!A:C,3,FALSE)=Table15[[#Headers],[Antiguo Testamento]],Table15[[#Headers],[Antiguo Testamento]],""),"")</f>
        <v/>
      </c>
      <c r="Q190" t="str">
        <f>IFERROR(IF(VLOOKUP(A190,Final!A:C,3,FALSE)=Table15[[#Headers],[Final]],Table15[[#Headers],[Final]],""),"")</f>
        <v/>
      </c>
    </row>
    <row r="191" spans="1:17" x14ac:dyDescent="0.25">
      <c r="A191" t="s">
        <v>238</v>
      </c>
      <c r="B191">
        <v>194</v>
      </c>
      <c r="C191" t="str">
        <f>IFERROR(IF(VLOOKUP(A191,Adviento!A:C,3,FALSE)=Table15[[#Headers],[Adviento]],Table15[[#Headers],[Adviento]],""),"")</f>
        <v/>
      </c>
      <c r="D191" t="str">
        <f>IFERROR(IF(VLOOKUP(A191,Navidad!A:C,3,FALSE)=Table15[[#Headers],[Navidad]],Table15[[#Headers],[Navidad]],""),"")</f>
        <v/>
      </c>
      <c r="E191" t="str">
        <f>IFERROR(IF(VLOOKUP(A191,Cuaresma!A:C,3,FALSE)=Table15[[#Headers],[Cuaresma]],Table15[[#Headers],[Cuaresma]],""),"")</f>
        <v/>
      </c>
      <c r="F191" t="str">
        <f>IFERROR(IF(VLOOKUP(A191,Pascua!A:C,3,FALSE)=Table15[[#Headers],[Pascua]],Table15[[#Headers],[Pascua]],""),"")</f>
        <v/>
      </c>
      <c r="G191" t="str">
        <f>IFERROR(IF(VLOOKUP(A191,Pentecostés!A:C,3,FALSE)=Table15[[#Headers],[Pentecostés]],Table15[[#Headers],[Pentecostés]],""),"")</f>
        <v/>
      </c>
      <c r="H191" t="str">
        <f>IFERROR(IF(VLOOKUP(A191,Entrada!A:C,3,FALSE)=Table15[[#Headers],[Entrada]],Table15[[#Headers],[Entrada]],""),"")</f>
        <v/>
      </c>
      <c r="I191" t="str">
        <f>IFERROR(IF(VLOOKUP(A191,Virgen!A:C,3,FALSE)=Table15[[#Headers],[Virgen]],Table15[[#Headers],[Virgen]],""),"")</f>
        <v/>
      </c>
      <c r="J191" t="str">
        <f>IFERROR(IF(VLOOKUP(A191,Paz!A:C,3,FALSE)=Table15[[#Headers],[Paz]],Table15[[#Headers],[Paz]],""),"")</f>
        <v/>
      </c>
      <c r="K191" t="str">
        <f>IFERROR(IF(VLOOKUP(A191,Pan!A:C,3,FALSE)=Table15[[#Headers],[Pan]],Table15[[#Headers],[Pan]],""),"")</f>
        <v/>
      </c>
      <c r="L191" t="str">
        <f>IFERROR(IF(VLOOKUP(A191,Comunión!A:C,3,FALSE)=Table15[[#Headers],[Comunión]],Table15[[#Headers],[Comunión]],""),"")</f>
        <v/>
      </c>
      <c r="M191" t="str">
        <f>IFERROR(IF(VLOOKUP(A191,Niños!A:C,3,FALSE)=Table15[[#Headers],[Niños]],Table15[[#Headers],[Niños]],""),"")</f>
        <v/>
      </c>
      <c r="N191" t="str">
        <f>IFERROR(IF(VLOOKUP(A191,Laudes!A:C,3,FALSE)=Table15[[#Headers],[Laudes]],Table15[[#Headers],[Laudes]],""),"")</f>
        <v/>
      </c>
      <c r="O191" t="str">
        <f>IFERROR(IF(VLOOKUP(A191,'Nuevo Testamento'!A:C,3,FALSE)=Table15[[#Headers],[Nuevo Testamento]],Table15[[#Headers],[Nuevo Testamento]],""),"")</f>
        <v/>
      </c>
      <c r="P191" t="str">
        <f>IFERROR(IF(VLOOKUP(A191,'Antiguo Testamento'!A:C,3,FALSE)=Table15[[#Headers],[Antiguo Testamento]],Table15[[#Headers],[Antiguo Testamento]],""),"")</f>
        <v/>
      </c>
      <c r="Q191" t="str">
        <f>IFERROR(IF(VLOOKUP(A191,Final!A:C,3,FALSE)=Table15[[#Headers],[Final]],Table15[[#Headers],[Final]],""),"")</f>
        <v/>
      </c>
    </row>
    <row r="192" spans="1:17" x14ac:dyDescent="0.25">
      <c r="A192" t="s">
        <v>76</v>
      </c>
      <c r="B192">
        <v>197</v>
      </c>
      <c r="C192" t="str">
        <f>IFERROR(IF(VLOOKUP(A192,Adviento!A:C,3,FALSE)=Table15[[#Headers],[Adviento]],Table15[[#Headers],[Adviento]],""),"")</f>
        <v/>
      </c>
      <c r="D192" t="str">
        <f>IFERROR(IF(VLOOKUP(A192,Navidad!A:C,3,FALSE)=Table15[[#Headers],[Navidad]],Table15[[#Headers],[Navidad]],""),"")</f>
        <v/>
      </c>
      <c r="E192" t="str">
        <f>IFERROR(IF(VLOOKUP(A192,Cuaresma!A:C,3,FALSE)=Table15[[#Headers],[Cuaresma]],Table15[[#Headers],[Cuaresma]],""),"")</f>
        <v/>
      </c>
      <c r="F192" t="str">
        <f>IFERROR(IF(VLOOKUP(A192,Pascua!A:C,3,FALSE)=Table15[[#Headers],[Pascua]],Table15[[#Headers],[Pascua]],""),"")</f>
        <v/>
      </c>
      <c r="G192" t="str">
        <f>IFERROR(IF(VLOOKUP(A192,Pentecostés!A:C,3,FALSE)=Table15[[#Headers],[Pentecostés]],Table15[[#Headers],[Pentecostés]],""),"")</f>
        <v/>
      </c>
      <c r="H192" t="str">
        <f>IFERROR(IF(VLOOKUP(A192,Entrada!A:C,3,FALSE)=Table15[[#Headers],[Entrada]],Table15[[#Headers],[Entrada]],""),"")</f>
        <v/>
      </c>
      <c r="I192" t="str">
        <f>IFERROR(IF(VLOOKUP(A192,Virgen!A:C,3,FALSE)=Table15[[#Headers],[Virgen]],Table15[[#Headers],[Virgen]],""),"")</f>
        <v/>
      </c>
      <c r="J192" t="str">
        <f>IFERROR(IF(VLOOKUP(A192,Paz!A:C,3,FALSE)=Table15[[#Headers],[Paz]],Table15[[#Headers],[Paz]],""),"")</f>
        <v/>
      </c>
      <c r="K192" t="str">
        <f>IFERROR(IF(VLOOKUP(A192,Pan!A:C,3,FALSE)=Table15[[#Headers],[Pan]],Table15[[#Headers],[Pan]],""),"")</f>
        <v/>
      </c>
      <c r="L192" t="str">
        <f>IFERROR(IF(VLOOKUP(A192,Comunión!A:C,3,FALSE)=Table15[[#Headers],[Comunión]],Table15[[#Headers],[Comunión]],""),"")</f>
        <v/>
      </c>
      <c r="M192" t="str">
        <f>IFERROR(IF(VLOOKUP(A192,Niños!A:C,3,FALSE)=Table15[[#Headers],[Niños]],Table15[[#Headers],[Niños]],""),"")</f>
        <v/>
      </c>
      <c r="N192" t="str">
        <f>IFERROR(IF(VLOOKUP(A192,Laudes!A:C,3,FALSE)=Table15[[#Headers],[Laudes]],Table15[[#Headers],[Laudes]],""),"")</f>
        <v/>
      </c>
      <c r="O192" t="str">
        <f>IFERROR(IF(VLOOKUP(A192,'Nuevo Testamento'!A:C,3,FALSE)=Table15[[#Headers],[Nuevo Testamento]],Table15[[#Headers],[Nuevo Testamento]],""),"")</f>
        <v/>
      </c>
      <c r="P192" t="str">
        <f>IFERROR(IF(VLOOKUP(A192,'Antiguo Testamento'!A:C,3,FALSE)=Table15[[#Headers],[Antiguo Testamento]],Table15[[#Headers],[Antiguo Testamento]],""),"")</f>
        <v/>
      </c>
      <c r="Q192" t="str">
        <f>IFERROR(IF(VLOOKUP(A192,Final!A:C,3,FALSE)=Table15[[#Headers],[Final]],Table15[[#Headers],[Final]],""),"")</f>
        <v/>
      </c>
    </row>
    <row r="193" spans="1:17" x14ac:dyDescent="0.25">
      <c r="A193" t="s">
        <v>77</v>
      </c>
      <c r="B193">
        <v>200</v>
      </c>
      <c r="C193" t="str">
        <f>IFERROR(IF(VLOOKUP(A193,Adviento!A:C,3,FALSE)=Table15[[#Headers],[Adviento]],Table15[[#Headers],[Adviento]],""),"")</f>
        <v/>
      </c>
      <c r="D193" t="str">
        <f>IFERROR(IF(VLOOKUP(A193,Navidad!A:C,3,FALSE)=Table15[[#Headers],[Navidad]],Table15[[#Headers],[Navidad]],""),"")</f>
        <v/>
      </c>
      <c r="E193" t="str">
        <f>IFERROR(IF(VLOOKUP(A193,Cuaresma!A:C,3,FALSE)=Table15[[#Headers],[Cuaresma]],Table15[[#Headers],[Cuaresma]],""),"")</f>
        <v/>
      </c>
      <c r="F193" t="str">
        <f>IFERROR(IF(VLOOKUP(A193,Pascua!A:C,3,FALSE)=Table15[[#Headers],[Pascua]],Table15[[#Headers],[Pascua]],""),"")</f>
        <v/>
      </c>
      <c r="G193" t="str">
        <f>IFERROR(IF(VLOOKUP(A193,Pentecostés!A:C,3,FALSE)=Table15[[#Headers],[Pentecostés]],Table15[[#Headers],[Pentecostés]],""),"")</f>
        <v/>
      </c>
      <c r="H193" t="str">
        <f>IFERROR(IF(VLOOKUP(A193,Entrada!A:C,3,FALSE)=Table15[[#Headers],[Entrada]],Table15[[#Headers],[Entrada]],""),"")</f>
        <v/>
      </c>
      <c r="I193" t="str">
        <f>IFERROR(IF(VLOOKUP(A193,Virgen!A:C,3,FALSE)=Table15[[#Headers],[Virgen]],Table15[[#Headers],[Virgen]],""),"")</f>
        <v/>
      </c>
      <c r="J193" t="str">
        <f>IFERROR(IF(VLOOKUP(A193,Paz!A:C,3,FALSE)=Table15[[#Headers],[Paz]],Table15[[#Headers],[Paz]],""),"")</f>
        <v/>
      </c>
      <c r="K193" t="str">
        <f>IFERROR(IF(VLOOKUP(A193,Pan!A:C,3,FALSE)=Table15[[#Headers],[Pan]],Table15[[#Headers],[Pan]],""),"")</f>
        <v/>
      </c>
      <c r="L193" t="str">
        <f>IFERROR(IF(VLOOKUP(A193,Comunión!A:C,3,FALSE)=Table15[[#Headers],[Comunión]],Table15[[#Headers],[Comunión]],""),"")</f>
        <v/>
      </c>
      <c r="M193" t="str">
        <f>IFERROR(IF(VLOOKUP(A193,Niños!A:C,3,FALSE)=Table15[[#Headers],[Niños]],Table15[[#Headers],[Niños]],""),"")</f>
        <v/>
      </c>
      <c r="N193" t="str">
        <f>IFERROR(IF(VLOOKUP(A193,Laudes!A:C,3,FALSE)=Table15[[#Headers],[Laudes]],Table15[[#Headers],[Laudes]],""),"")</f>
        <v/>
      </c>
      <c r="O193" t="str">
        <f>IFERROR(IF(VLOOKUP(A193,'Nuevo Testamento'!A:C,3,FALSE)=Table15[[#Headers],[Nuevo Testamento]],Table15[[#Headers],[Nuevo Testamento]],""),"")</f>
        <v/>
      </c>
      <c r="P193" t="str">
        <f>IFERROR(IF(VLOOKUP(A193,'Antiguo Testamento'!A:C,3,FALSE)=Table15[[#Headers],[Antiguo Testamento]],Table15[[#Headers],[Antiguo Testamento]],""),"")</f>
        <v/>
      </c>
      <c r="Q193" t="str">
        <f>IFERROR(IF(VLOOKUP(A193,Final!A:C,3,FALSE)=Table15[[#Headers],[Final]],Table15[[#Headers],[Final]],""),"")</f>
        <v/>
      </c>
    </row>
    <row r="194" spans="1:17" x14ac:dyDescent="0.25">
      <c r="A194" t="s">
        <v>189</v>
      </c>
      <c r="B194">
        <v>204</v>
      </c>
      <c r="C194" t="str">
        <f>IFERROR(IF(VLOOKUP(A194,Adviento!A:C,3,FALSE)=Table15[[#Headers],[Adviento]],Table15[[#Headers],[Adviento]],""),"")</f>
        <v/>
      </c>
      <c r="D194" t="str">
        <f>IFERROR(IF(VLOOKUP(A194,Navidad!A:C,3,FALSE)=Table15[[#Headers],[Navidad]],Table15[[#Headers],[Navidad]],""),"")</f>
        <v/>
      </c>
      <c r="E194" t="str">
        <f>IFERROR(IF(VLOOKUP(A194,Cuaresma!A:C,3,FALSE)=Table15[[#Headers],[Cuaresma]],Table15[[#Headers],[Cuaresma]],""),"")</f>
        <v/>
      </c>
      <c r="F194" t="str">
        <f>IFERROR(IF(VLOOKUP(A194,Pascua!A:C,3,FALSE)=Table15[[#Headers],[Pascua]],Table15[[#Headers],[Pascua]],""),"")</f>
        <v/>
      </c>
      <c r="G194" t="str">
        <f>IFERROR(IF(VLOOKUP(A194,Pentecostés!A:C,3,FALSE)=Table15[[#Headers],[Pentecostés]],Table15[[#Headers],[Pentecostés]],""),"")</f>
        <v/>
      </c>
      <c r="H194" t="str">
        <f>IFERROR(IF(VLOOKUP(A194,Entrada!A:C,3,FALSE)=Table15[[#Headers],[Entrada]],Table15[[#Headers],[Entrada]],""),"")</f>
        <v/>
      </c>
      <c r="I194" t="str">
        <f>IFERROR(IF(VLOOKUP(A194,Virgen!A:C,3,FALSE)=Table15[[#Headers],[Virgen]],Table15[[#Headers],[Virgen]],""),"")</f>
        <v/>
      </c>
      <c r="J194" t="str">
        <f>IFERROR(IF(VLOOKUP(A194,Paz!A:C,3,FALSE)=Table15[[#Headers],[Paz]],Table15[[#Headers],[Paz]],""),"")</f>
        <v/>
      </c>
      <c r="K194" t="str">
        <f>IFERROR(IF(VLOOKUP(A194,Pan!A:C,3,FALSE)=Table15[[#Headers],[Pan]],Table15[[#Headers],[Pan]],""),"")</f>
        <v/>
      </c>
      <c r="L194" t="str">
        <f>IFERROR(IF(VLOOKUP(A194,Comunión!A:C,3,FALSE)=Table15[[#Headers],[Comunión]],Table15[[#Headers],[Comunión]],""),"")</f>
        <v/>
      </c>
      <c r="M194" t="str">
        <f>IFERROR(IF(VLOOKUP(A194,Niños!A:C,3,FALSE)=Table15[[#Headers],[Niños]],Table15[[#Headers],[Niños]],""),"")</f>
        <v/>
      </c>
      <c r="N194" t="str">
        <f>IFERROR(IF(VLOOKUP(A194,Laudes!A:C,3,FALSE)=Table15[[#Headers],[Laudes]],Table15[[#Headers],[Laudes]],""),"")</f>
        <v/>
      </c>
      <c r="O194" t="str">
        <f>IFERROR(IF(VLOOKUP(A194,'Nuevo Testamento'!A:C,3,FALSE)=Table15[[#Headers],[Nuevo Testamento]],Table15[[#Headers],[Nuevo Testamento]],""),"")</f>
        <v/>
      </c>
      <c r="P194" t="str">
        <f>IFERROR(IF(VLOOKUP(A194,'Antiguo Testamento'!A:C,3,FALSE)=Table15[[#Headers],[Antiguo Testamento]],Table15[[#Headers],[Antiguo Testamento]],""),"")</f>
        <v/>
      </c>
      <c r="Q194" t="str">
        <f>IFERROR(IF(VLOOKUP(A194,Final!A:C,3,FALSE)=Table15[[#Headers],[Final]],Table15[[#Headers],[Final]],""),"")</f>
        <v/>
      </c>
    </row>
    <row r="195" spans="1:17" x14ac:dyDescent="0.25">
      <c r="A195" t="s">
        <v>78</v>
      </c>
      <c r="B195">
        <v>205</v>
      </c>
      <c r="C195" t="str">
        <f>IFERROR(IF(VLOOKUP(A195,Adviento!A:C,3,FALSE)=Table15[[#Headers],[Adviento]],Table15[[#Headers],[Adviento]],""),"")</f>
        <v/>
      </c>
      <c r="D195" t="str">
        <f>IFERROR(IF(VLOOKUP(A195,Navidad!A:C,3,FALSE)=Table15[[#Headers],[Navidad]],Table15[[#Headers],[Navidad]],""),"")</f>
        <v/>
      </c>
      <c r="E195" t="str">
        <f>IFERROR(IF(VLOOKUP(A195,Cuaresma!A:C,3,FALSE)=Table15[[#Headers],[Cuaresma]],Table15[[#Headers],[Cuaresma]],""),"")</f>
        <v/>
      </c>
      <c r="F195" t="str">
        <f>IFERROR(IF(VLOOKUP(A195,Pascua!A:C,3,FALSE)=Table15[[#Headers],[Pascua]],Table15[[#Headers],[Pascua]],""),"")</f>
        <v/>
      </c>
      <c r="G195" t="str">
        <f>IFERROR(IF(VLOOKUP(A195,Pentecostés!A:C,3,FALSE)=Table15[[#Headers],[Pentecostés]],Table15[[#Headers],[Pentecostés]],""),"")</f>
        <v/>
      </c>
      <c r="H195" t="str">
        <f>IFERROR(IF(VLOOKUP(A195,Entrada!A:C,3,FALSE)=Table15[[#Headers],[Entrada]],Table15[[#Headers],[Entrada]],""),"")</f>
        <v/>
      </c>
      <c r="I195" t="str">
        <f>IFERROR(IF(VLOOKUP(A195,Virgen!A:C,3,FALSE)=Table15[[#Headers],[Virgen]],Table15[[#Headers],[Virgen]],""),"")</f>
        <v/>
      </c>
      <c r="J195" t="str">
        <f>IFERROR(IF(VLOOKUP(A195,Paz!A:C,3,FALSE)=Table15[[#Headers],[Paz]],Table15[[#Headers],[Paz]],""),"")</f>
        <v/>
      </c>
      <c r="K195" t="str">
        <f>IFERROR(IF(VLOOKUP(A195,Pan!A:C,3,FALSE)=Table15[[#Headers],[Pan]],Table15[[#Headers],[Pan]],""),"")</f>
        <v/>
      </c>
      <c r="L195" t="str">
        <f>IFERROR(IF(VLOOKUP(A195,Comunión!A:C,3,FALSE)=Table15[[#Headers],[Comunión]],Table15[[#Headers],[Comunión]],""),"")</f>
        <v/>
      </c>
      <c r="M195" t="str">
        <f>IFERROR(IF(VLOOKUP(A195,Niños!A:C,3,FALSE)=Table15[[#Headers],[Niños]],Table15[[#Headers],[Niños]],""),"")</f>
        <v/>
      </c>
      <c r="N195" t="str">
        <f>IFERROR(IF(VLOOKUP(A195,Laudes!A:C,3,FALSE)=Table15[[#Headers],[Laudes]],Table15[[#Headers],[Laudes]],""),"")</f>
        <v/>
      </c>
      <c r="O195" t="str">
        <f>IFERROR(IF(VLOOKUP(A195,'Nuevo Testamento'!A:C,3,FALSE)=Table15[[#Headers],[Nuevo Testamento]],Table15[[#Headers],[Nuevo Testamento]],""),"")</f>
        <v/>
      </c>
      <c r="P195" t="str">
        <f>IFERROR(IF(VLOOKUP(A195,'Antiguo Testamento'!A:C,3,FALSE)=Table15[[#Headers],[Antiguo Testamento]],Table15[[#Headers],[Antiguo Testamento]],""),"")</f>
        <v/>
      </c>
      <c r="Q195" t="str">
        <f>IFERROR(IF(VLOOKUP(A195,Final!A:C,3,FALSE)=Table15[[#Headers],[Final]],Table15[[#Headers],[Final]],""),"")</f>
        <v/>
      </c>
    </row>
    <row r="196" spans="1:17" x14ac:dyDescent="0.25">
      <c r="A196" t="s">
        <v>79</v>
      </c>
      <c r="B196">
        <v>206</v>
      </c>
      <c r="C196" t="str">
        <f>IFERROR(IF(VLOOKUP(A196,Adviento!A:C,3,FALSE)=Table15[[#Headers],[Adviento]],Table15[[#Headers],[Adviento]],""),"")</f>
        <v/>
      </c>
      <c r="D196" t="str">
        <f>IFERROR(IF(VLOOKUP(A196,Navidad!A:C,3,FALSE)=Table15[[#Headers],[Navidad]],Table15[[#Headers],[Navidad]],""),"")</f>
        <v/>
      </c>
      <c r="E196" t="str">
        <f>IFERROR(IF(VLOOKUP(A196,Cuaresma!A:C,3,FALSE)=Table15[[#Headers],[Cuaresma]],Table15[[#Headers],[Cuaresma]],""),"")</f>
        <v/>
      </c>
      <c r="F196" t="str">
        <f>IFERROR(IF(VLOOKUP(A196,Pascua!A:C,3,FALSE)=Table15[[#Headers],[Pascua]],Table15[[#Headers],[Pascua]],""),"")</f>
        <v/>
      </c>
      <c r="G196" t="str">
        <f>IFERROR(IF(VLOOKUP(A196,Pentecostés!A:C,3,FALSE)=Table15[[#Headers],[Pentecostés]],Table15[[#Headers],[Pentecostés]],""),"")</f>
        <v/>
      </c>
      <c r="H196" t="str">
        <f>IFERROR(IF(VLOOKUP(A196,Entrada!A:C,3,FALSE)=Table15[[#Headers],[Entrada]],Table15[[#Headers],[Entrada]],""),"")</f>
        <v/>
      </c>
      <c r="I196" t="str">
        <f>IFERROR(IF(VLOOKUP(A196,Virgen!A:C,3,FALSE)=Table15[[#Headers],[Virgen]],Table15[[#Headers],[Virgen]],""),"")</f>
        <v/>
      </c>
      <c r="J196" t="str">
        <f>IFERROR(IF(VLOOKUP(A196,Paz!A:C,3,FALSE)=Table15[[#Headers],[Paz]],Table15[[#Headers],[Paz]],""),"")</f>
        <v/>
      </c>
      <c r="K196" t="str">
        <f>IFERROR(IF(VLOOKUP(A196,Pan!A:C,3,FALSE)=Table15[[#Headers],[Pan]],Table15[[#Headers],[Pan]],""),"")</f>
        <v/>
      </c>
      <c r="L196" t="str">
        <f>IFERROR(IF(VLOOKUP(A196,Comunión!A:C,3,FALSE)=Table15[[#Headers],[Comunión]],Table15[[#Headers],[Comunión]],""),"")</f>
        <v/>
      </c>
      <c r="M196" t="str">
        <f>IFERROR(IF(VLOOKUP(A196,Niños!A:C,3,FALSE)=Table15[[#Headers],[Niños]],Table15[[#Headers],[Niños]],""),"")</f>
        <v/>
      </c>
      <c r="N196" t="str">
        <f>IFERROR(IF(VLOOKUP(A196,Laudes!A:C,3,FALSE)=Table15[[#Headers],[Laudes]],Table15[[#Headers],[Laudes]],""),"")</f>
        <v/>
      </c>
      <c r="O196" t="str">
        <f>IFERROR(IF(VLOOKUP(A196,'Nuevo Testamento'!A:C,3,FALSE)=Table15[[#Headers],[Nuevo Testamento]],Table15[[#Headers],[Nuevo Testamento]],""),"")</f>
        <v/>
      </c>
      <c r="P196" t="str">
        <f>IFERROR(IF(VLOOKUP(A196,'Antiguo Testamento'!A:C,3,FALSE)=Table15[[#Headers],[Antiguo Testamento]],Table15[[#Headers],[Antiguo Testamento]],""),"")</f>
        <v/>
      </c>
      <c r="Q196" t="str">
        <f>IFERROR(IF(VLOOKUP(A196,Final!A:C,3,FALSE)=Table15[[#Headers],[Final]],Table15[[#Headers],[Final]],""),"")</f>
        <v/>
      </c>
    </row>
    <row r="197" spans="1:17" x14ac:dyDescent="0.25">
      <c r="A197" t="s">
        <v>196</v>
      </c>
      <c r="B197">
        <v>208</v>
      </c>
      <c r="C197" t="str">
        <f>IFERROR(IF(VLOOKUP(A197,Adviento!A:C,3,FALSE)=Table15[[#Headers],[Adviento]],Table15[[#Headers],[Adviento]],""),"")</f>
        <v/>
      </c>
      <c r="D197" t="str">
        <f>IFERROR(IF(VLOOKUP(A197,Navidad!A:C,3,FALSE)=Table15[[#Headers],[Navidad]],Table15[[#Headers],[Navidad]],""),"")</f>
        <v/>
      </c>
      <c r="E197" t="str">
        <f>IFERROR(IF(VLOOKUP(A197,Cuaresma!A:C,3,FALSE)=Table15[[#Headers],[Cuaresma]],Table15[[#Headers],[Cuaresma]],""),"")</f>
        <v/>
      </c>
      <c r="F197" t="str">
        <f>IFERROR(IF(VLOOKUP(A197,Pascua!A:C,3,FALSE)=Table15[[#Headers],[Pascua]],Table15[[#Headers],[Pascua]],""),"")</f>
        <v/>
      </c>
      <c r="G197" t="str">
        <f>IFERROR(IF(VLOOKUP(A197,Pentecostés!A:C,3,FALSE)=Table15[[#Headers],[Pentecostés]],Table15[[#Headers],[Pentecostés]],""),"")</f>
        <v/>
      </c>
      <c r="H197" t="str">
        <f>IFERROR(IF(VLOOKUP(A197,Entrada!A:C,3,FALSE)=Table15[[#Headers],[Entrada]],Table15[[#Headers],[Entrada]],""),"")</f>
        <v/>
      </c>
      <c r="I197" t="str">
        <f>IFERROR(IF(VLOOKUP(A197,Virgen!A:C,3,FALSE)=Table15[[#Headers],[Virgen]],Table15[[#Headers],[Virgen]],""),"")</f>
        <v/>
      </c>
      <c r="J197" t="str">
        <f>IFERROR(IF(VLOOKUP(A197,Paz!A:C,3,FALSE)=Table15[[#Headers],[Paz]],Table15[[#Headers],[Paz]],""),"")</f>
        <v/>
      </c>
      <c r="K197" t="str">
        <f>IFERROR(IF(VLOOKUP(A197,Pan!A:C,3,FALSE)=Table15[[#Headers],[Pan]],Table15[[#Headers],[Pan]],""),"")</f>
        <v/>
      </c>
      <c r="L197" t="str">
        <f>IFERROR(IF(VLOOKUP(A197,Comunión!A:C,3,FALSE)=Table15[[#Headers],[Comunión]],Table15[[#Headers],[Comunión]],""),"")</f>
        <v/>
      </c>
      <c r="M197" t="str">
        <f>IFERROR(IF(VLOOKUP(A197,Niños!A:C,3,FALSE)=Table15[[#Headers],[Niños]],Table15[[#Headers],[Niños]],""),"")</f>
        <v/>
      </c>
      <c r="N197" t="str">
        <f>IFERROR(IF(VLOOKUP(A197,Laudes!A:C,3,FALSE)=Table15[[#Headers],[Laudes]],Table15[[#Headers],[Laudes]],""),"")</f>
        <v/>
      </c>
      <c r="O197" t="str">
        <f>IFERROR(IF(VLOOKUP(A197,'Nuevo Testamento'!A:C,3,FALSE)=Table15[[#Headers],[Nuevo Testamento]],Table15[[#Headers],[Nuevo Testamento]],""),"")</f>
        <v/>
      </c>
      <c r="P197" t="str">
        <f>IFERROR(IF(VLOOKUP(A197,'Antiguo Testamento'!A:C,3,FALSE)=Table15[[#Headers],[Antiguo Testamento]],Table15[[#Headers],[Antiguo Testamento]],""),"")</f>
        <v/>
      </c>
      <c r="Q197" t="str">
        <f>IFERROR(IF(VLOOKUP(A197,Final!A:C,3,FALSE)=Table15[[#Headers],[Final]],Table15[[#Headers],[Final]],""),"")</f>
        <v/>
      </c>
    </row>
    <row r="198" spans="1:17" x14ac:dyDescent="0.25">
      <c r="A198" t="s">
        <v>197</v>
      </c>
      <c r="B198">
        <v>209</v>
      </c>
      <c r="C198" t="str">
        <f>IFERROR(IF(VLOOKUP(A198,Adviento!A:C,3,FALSE)=Table15[[#Headers],[Adviento]],Table15[[#Headers],[Adviento]],""),"")</f>
        <v/>
      </c>
      <c r="D198" t="str">
        <f>IFERROR(IF(VLOOKUP(A198,Navidad!A:C,3,FALSE)=Table15[[#Headers],[Navidad]],Table15[[#Headers],[Navidad]],""),"")</f>
        <v/>
      </c>
      <c r="E198" t="str">
        <f>IFERROR(IF(VLOOKUP(A198,Cuaresma!A:C,3,FALSE)=Table15[[#Headers],[Cuaresma]],Table15[[#Headers],[Cuaresma]],""),"")</f>
        <v/>
      </c>
      <c r="F198" t="str">
        <f>IFERROR(IF(VLOOKUP(A198,Pascua!A:C,3,FALSE)=Table15[[#Headers],[Pascua]],Table15[[#Headers],[Pascua]],""),"")</f>
        <v/>
      </c>
      <c r="G198" t="str">
        <f>IFERROR(IF(VLOOKUP(A198,Pentecostés!A:C,3,FALSE)=Table15[[#Headers],[Pentecostés]],Table15[[#Headers],[Pentecostés]],""),"")</f>
        <v/>
      </c>
      <c r="H198" t="str">
        <f>IFERROR(IF(VLOOKUP(A198,Entrada!A:C,3,FALSE)=Table15[[#Headers],[Entrada]],Table15[[#Headers],[Entrada]],""),"")</f>
        <v/>
      </c>
      <c r="I198" t="str">
        <f>IFERROR(IF(VLOOKUP(A198,Virgen!A:C,3,FALSE)=Table15[[#Headers],[Virgen]],Table15[[#Headers],[Virgen]],""),"")</f>
        <v/>
      </c>
      <c r="J198" t="str">
        <f>IFERROR(IF(VLOOKUP(A198,Paz!A:C,3,FALSE)=Table15[[#Headers],[Paz]],Table15[[#Headers],[Paz]],""),"")</f>
        <v/>
      </c>
      <c r="K198" t="str">
        <f>IFERROR(IF(VLOOKUP(A198,Pan!A:C,3,FALSE)=Table15[[#Headers],[Pan]],Table15[[#Headers],[Pan]],""),"")</f>
        <v/>
      </c>
      <c r="L198" t="str">
        <f>IFERROR(IF(VLOOKUP(A198,Comunión!A:C,3,FALSE)=Table15[[#Headers],[Comunión]],Table15[[#Headers],[Comunión]],""),"")</f>
        <v/>
      </c>
      <c r="M198" t="str">
        <f>IFERROR(IF(VLOOKUP(A198,Niños!A:C,3,FALSE)=Table15[[#Headers],[Niños]],Table15[[#Headers],[Niños]],""),"")</f>
        <v/>
      </c>
      <c r="N198" t="str">
        <f>IFERROR(IF(VLOOKUP(A198,Laudes!A:C,3,FALSE)=Table15[[#Headers],[Laudes]],Table15[[#Headers],[Laudes]],""),"")</f>
        <v/>
      </c>
      <c r="O198" t="str">
        <f>IFERROR(IF(VLOOKUP(A198,'Nuevo Testamento'!A:C,3,FALSE)=Table15[[#Headers],[Nuevo Testamento]],Table15[[#Headers],[Nuevo Testamento]],""),"")</f>
        <v/>
      </c>
      <c r="P198" t="str">
        <f>IFERROR(IF(VLOOKUP(A198,'Antiguo Testamento'!A:C,3,FALSE)=Table15[[#Headers],[Antiguo Testamento]],Table15[[#Headers],[Antiguo Testamento]],""),"")</f>
        <v/>
      </c>
      <c r="Q198" t="str">
        <f>IFERROR(IF(VLOOKUP(A198,Final!A:C,3,FALSE)=Table15[[#Headers],[Final]],Table15[[#Headers],[Final]],""),"")</f>
        <v/>
      </c>
    </row>
    <row r="199" spans="1:17" x14ac:dyDescent="0.25">
      <c r="A199" t="s">
        <v>83</v>
      </c>
      <c r="B199">
        <v>210</v>
      </c>
      <c r="C199" t="str">
        <f>IFERROR(IF(VLOOKUP(A199,Adviento!A:C,3,FALSE)=Table15[[#Headers],[Adviento]],Table15[[#Headers],[Adviento]],""),"")</f>
        <v/>
      </c>
      <c r="D199" t="str">
        <f>IFERROR(IF(VLOOKUP(A199,Navidad!A:C,3,FALSE)=Table15[[#Headers],[Navidad]],Table15[[#Headers],[Navidad]],""),"")</f>
        <v/>
      </c>
      <c r="E199" t="str">
        <f>IFERROR(IF(VLOOKUP(A199,Cuaresma!A:C,3,FALSE)=Table15[[#Headers],[Cuaresma]],Table15[[#Headers],[Cuaresma]],""),"")</f>
        <v/>
      </c>
      <c r="F199" t="str">
        <f>IFERROR(IF(VLOOKUP(A199,Pascua!A:C,3,FALSE)=Table15[[#Headers],[Pascua]],Table15[[#Headers],[Pascua]],""),"")</f>
        <v/>
      </c>
      <c r="G199" t="str">
        <f>IFERROR(IF(VLOOKUP(A199,Pentecostés!A:C,3,FALSE)=Table15[[#Headers],[Pentecostés]],Table15[[#Headers],[Pentecostés]],""),"")</f>
        <v/>
      </c>
      <c r="H199" t="str">
        <f>IFERROR(IF(VLOOKUP(A199,Entrada!A:C,3,FALSE)=Table15[[#Headers],[Entrada]],Table15[[#Headers],[Entrada]],""),"")</f>
        <v/>
      </c>
      <c r="I199" t="str">
        <f>IFERROR(IF(VLOOKUP(A199,Virgen!A:C,3,FALSE)=Table15[[#Headers],[Virgen]],Table15[[#Headers],[Virgen]],""),"")</f>
        <v/>
      </c>
      <c r="J199" t="str">
        <f>IFERROR(IF(VLOOKUP(A199,Paz!A:C,3,FALSE)=Table15[[#Headers],[Paz]],Table15[[#Headers],[Paz]],""),"")</f>
        <v/>
      </c>
      <c r="K199" t="str">
        <f>IFERROR(IF(VLOOKUP(A199,Pan!A:C,3,FALSE)=Table15[[#Headers],[Pan]],Table15[[#Headers],[Pan]],""),"")</f>
        <v/>
      </c>
      <c r="L199" t="str">
        <f>IFERROR(IF(VLOOKUP(A199,Comunión!A:C,3,FALSE)=Table15[[#Headers],[Comunión]],Table15[[#Headers],[Comunión]],""),"")</f>
        <v/>
      </c>
      <c r="M199" t="str">
        <f>IFERROR(IF(VLOOKUP(A199,Niños!A:C,3,FALSE)=Table15[[#Headers],[Niños]],Table15[[#Headers],[Niños]],""),"")</f>
        <v/>
      </c>
      <c r="N199" t="str">
        <f>IFERROR(IF(VLOOKUP(A199,Laudes!A:C,3,FALSE)=Table15[[#Headers],[Laudes]],Table15[[#Headers],[Laudes]],""),"")</f>
        <v/>
      </c>
      <c r="O199" t="str">
        <f>IFERROR(IF(VLOOKUP(A199,'Nuevo Testamento'!A:C,3,FALSE)=Table15[[#Headers],[Nuevo Testamento]],Table15[[#Headers],[Nuevo Testamento]],""),"")</f>
        <v/>
      </c>
      <c r="P199" t="str">
        <f>IFERROR(IF(VLOOKUP(A199,'Antiguo Testamento'!A:C,3,FALSE)=Table15[[#Headers],[Antiguo Testamento]],Table15[[#Headers],[Antiguo Testamento]],""),"")</f>
        <v/>
      </c>
      <c r="Q199" t="str">
        <f>IFERROR(IF(VLOOKUP(A199,Final!A:C,3,FALSE)=Table15[[#Headers],[Final]],Table15[[#Headers],[Final]],""),"")</f>
        <v/>
      </c>
    </row>
    <row r="200" spans="1:17" x14ac:dyDescent="0.25">
      <c r="A200" t="s">
        <v>198</v>
      </c>
      <c r="B200">
        <v>211</v>
      </c>
      <c r="C200" t="str">
        <f>IFERROR(IF(VLOOKUP(A200,Adviento!A:C,3,FALSE)=Table15[[#Headers],[Adviento]],Table15[[#Headers],[Adviento]],""),"")</f>
        <v/>
      </c>
      <c r="D200" t="str">
        <f>IFERROR(IF(VLOOKUP(A200,Navidad!A:C,3,FALSE)=Table15[[#Headers],[Navidad]],Table15[[#Headers],[Navidad]],""),"")</f>
        <v/>
      </c>
      <c r="E200" t="str">
        <f>IFERROR(IF(VLOOKUP(A200,Cuaresma!A:C,3,FALSE)=Table15[[#Headers],[Cuaresma]],Table15[[#Headers],[Cuaresma]],""),"")</f>
        <v/>
      </c>
      <c r="F200" t="str">
        <f>IFERROR(IF(VLOOKUP(A200,Pascua!A:C,3,FALSE)=Table15[[#Headers],[Pascua]],Table15[[#Headers],[Pascua]],""),"")</f>
        <v/>
      </c>
      <c r="G200" t="str">
        <f>IFERROR(IF(VLOOKUP(A200,Pentecostés!A:C,3,FALSE)=Table15[[#Headers],[Pentecostés]],Table15[[#Headers],[Pentecostés]],""),"")</f>
        <v/>
      </c>
      <c r="H200" t="str">
        <f>IFERROR(IF(VLOOKUP(A200,Entrada!A:C,3,FALSE)=Table15[[#Headers],[Entrada]],Table15[[#Headers],[Entrada]],""),"")</f>
        <v/>
      </c>
      <c r="I200" t="str">
        <f>IFERROR(IF(VLOOKUP(A200,Virgen!A:C,3,FALSE)=Table15[[#Headers],[Virgen]],Table15[[#Headers],[Virgen]],""),"")</f>
        <v/>
      </c>
      <c r="J200" t="str">
        <f>IFERROR(IF(VLOOKUP(A200,Paz!A:C,3,FALSE)=Table15[[#Headers],[Paz]],Table15[[#Headers],[Paz]],""),"")</f>
        <v/>
      </c>
      <c r="K200" t="str">
        <f>IFERROR(IF(VLOOKUP(A200,Pan!A:C,3,FALSE)=Table15[[#Headers],[Pan]],Table15[[#Headers],[Pan]],""),"")</f>
        <v/>
      </c>
      <c r="L200" t="str">
        <f>IFERROR(IF(VLOOKUP(A200,Comunión!A:C,3,FALSE)=Table15[[#Headers],[Comunión]],Table15[[#Headers],[Comunión]],""),"")</f>
        <v/>
      </c>
      <c r="M200" t="str">
        <f>IFERROR(IF(VLOOKUP(A200,Niños!A:C,3,FALSE)=Table15[[#Headers],[Niños]],Table15[[#Headers],[Niños]],""),"")</f>
        <v/>
      </c>
      <c r="N200" t="str">
        <f>IFERROR(IF(VLOOKUP(A200,Laudes!A:C,3,FALSE)=Table15[[#Headers],[Laudes]],Table15[[#Headers],[Laudes]],""),"")</f>
        <v/>
      </c>
      <c r="O200" t="str">
        <f>IFERROR(IF(VLOOKUP(A200,'Nuevo Testamento'!A:C,3,FALSE)=Table15[[#Headers],[Nuevo Testamento]],Table15[[#Headers],[Nuevo Testamento]],""),"")</f>
        <v/>
      </c>
      <c r="P200" t="str">
        <f>IFERROR(IF(VLOOKUP(A200,'Antiguo Testamento'!A:C,3,FALSE)=Table15[[#Headers],[Antiguo Testamento]],Table15[[#Headers],[Antiguo Testamento]],""),"")</f>
        <v/>
      </c>
      <c r="Q200" t="str">
        <f>IFERROR(IF(VLOOKUP(A200,Final!A:C,3,FALSE)=Table15[[#Headers],[Final]],Table15[[#Headers],[Final]],""),"")</f>
        <v/>
      </c>
    </row>
    <row r="201" spans="1:17" x14ac:dyDescent="0.25">
      <c r="A201" t="s">
        <v>199</v>
      </c>
      <c r="B201">
        <v>212</v>
      </c>
      <c r="C201" t="str">
        <f>IFERROR(IF(VLOOKUP(A201,Adviento!A:C,3,FALSE)=Table15[[#Headers],[Adviento]],Table15[[#Headers],[Adviento]],""),"")</f>
        <v/>
      </c>
      <c r="D201" t="str">
        <f>IFERROR(IF(VLOOKUP(A201,Navidad!A:C,3,FALSE)=Table15[[#Headers],[Navidad]],Table15[[#Headers],[Navidad]],""),"")</f>
        <v/>
      </c>
      <c r="E201" t="str">
        <f>IFERROR(IF(VLOOKUP(A201,Cuaresma!A:C,3,FALSE)=Table15[[#Headers],[Cuaresma]],Table15[[#Headers],[Cuaresma]],""),"")</f>
        <v/>
      </c>
      <c r="F201" t="str">
        <f>IFERROR(IF(VLOOKUP(A201,Pascua!A:C,3,FALSE)=Table15[[#Headers],[Pascua]],Table15[[#Headers],[Pascua]],""),"")</f>
        <v/>
      </c>
      <c r="G201" t="str">
        <f>IFERROR(IF(VLOOKUP(A201,Pentecostés!A:C,3,FALSE)=Table15[[#Headers],[Pentecostés]],Table15[[#Headers],[Pentecostés]],""),"")</f>
        <v/>
      </c>
      <c r="H201" t="str">
        <f>IFERROR(IF(VLOOKUP(A201,Entrada!A:C,3,FALSE)=Table15[[#Headers],[Entrada]],Table15[[#Headers],[Entrada]],""),"")</f>
        <v/>
      </c>
      <c r="I201" t="str">
        <f>IFERROR(IF(VLOOKUP(A201,Virgen!A:C,3,FALSE)=Table15[[#Headers],[Virgen]],Table15[[#Headers],[Virgen]],""),"")</f>
        <v/>
      </c>
      <c r="J201" t="str">
        <f>IFERROR(IF(VLOOKUP(A201,Paz!A:C,3,FALSE)=Table15[[#Headers],[Paz]],Table15[[#Headers],[Paz]],""),"")</f>
        <v/>
      </c>
      <c r="K201" t="str">
        <f>IFERROR(IF(VLOOKUP(A201,Pan!A:C,3,FALSE)=Table15[[#Headers],[Pan]],Table15[[#Headers],[Pan]],""),"")</f>
        <v/>
      </c>
      <c r="L201" t="str">
        <f>IFERROR(IF(VLOOKUP(A201,Comunión!A:C,3,FALSE)=Table15[[#Headers],[Comunión]],Table15[[#Headers],[Comunión]],""),"")</f>
        <v/>
      </c>
      <c r="M201" t="str">
        <f>IFERROR(IF(VLOOKUP(A201,Niños!A:C,3,FALSE)=Table15[[#Headers],[Niños]],Table15[[#Headers],[Niños]],""),"")</f>
        <v/>
      </c>
      <c r="N201" t="str">
        <f>IFERROR(IF(VLOOKUP(A201,Laudes!A:C,3,FALSE)=Table15[[#Headers],[Laudes]],Table15[[#Headers],[Laudes]],""),"")</f>
        <v/>
      </c>
      <c r="O201" t="str">
        <f>IFERROR(IF(VLOOKUP(A201,'Nuevo Testamento'!A:C,3,FALSE)=Table15[[#Headers],[Nuevo Testamento]],Table15[[#Headers],[Nuevo Testamento]],""),"")</f>
        <v/>
      </c>
      <c r="P201" t="str">
        <f>IFERROR(IF(VLOOKUP(A201,'Antiguo Testamento'!A:C,3,FALSE)=Table15[[#Headers],[Antiguo Testamento]],Table15[[#Headers],[Antiguo Testamento]],""),"")</f>
        <v/>
      </c>
      <c r="Q201" t="str">
        <f>IFERROR(IF(VLOOKUP(A201,Final!A:C,3,FALSE)=Table15[[#Headers],[Final]],Table15[[#Headers],[Final]],""),"")</f>
        <v/>
      </c>
    </row>
    <row r="202" spans="1:17" x14ac:dyDescent="0.25">
      <c r="A202" t="s">
        <v>205</v>
      </c>
      <c r="B202">
        <v>214</v>
      </c>
      <c r="C202" t="str">
        <f>IFERROR(IF(VLOOKUP(A202,Adviento!A:C,3,FALSE)=Table15[[#Headers],[Adviento]],Table15[[#Headers],[Adviento]],""),"")</f>
        <v/>
      </c>
      <c r="D202" t="str">
        <f>IFERROR(IF(VLOOKUP(A202,Navidad!A:C,3,FALSE)=Table15[[#Headers],[Navidad]],Table15[[#Headers],[Navidad]],""),"")</f>
        <v/>
      </c>
      <c r="E202" t="str">
        <f>IFERROR(IF(VLOOKUP(A202,Cuaresma!A:C,3,FALSE)=Table15[[#Headers],[Cuaresma]],Table15[[#Headers],[Cuaresma]],""),"")</f>
        <v/>
      </c>
      <c r="F202" t="str">
        <f>IFERROR(IF(VLOOKUP(A202,Pascua!A:C,3,FALSE)=Table15[[#Headers],[Pascua]],Table15[[#Headers],[Pascua]],""),"")</f>
        <v/>
      </c>
      <c r="G202" t="str">
        <f>IFERROR(IF(VLOOKUP(A202,Pentecostés!A:C,3,FALSE)=Table15[[#Headers],[Pentecostés]],Table15[[#Headers],[Pentecostés]],""),"")</f>
        <v/>
      </c>
      <c r="H202" t="str">
        <f>IFERROR(IF(VLOOKUP(A202,Entrada!A:C,3,FALSE)=Table15[[#Headers],[Entrada]],Table15[[#Headers],[Entrada]],""),"")</f>
        <v/>
      </c>
      <c r="I202" t="str">
        <f>IFERROR(IF(VLOOKUP(A202,Virgen!A:C,3,FALSE)=Table15[[#Headers],[Virgen]],Table15[[#Headers],[Virgen]],""),"")</f>
        <v/>
      </c>
      <c r="J202" t="str">
        <f>IFERROR(IF(VLOOKUP(A202,Paz!A:C,3,FALSE)=Table15[[#Headers],[Paz]],Table15[[#Headers],[Paz]],""),"")</f>
        <v/>
      </c>
      <c r="K202" t="str">
        <f>IFERROR(IF(VLOOKUP(A202,Pan!A:C,3,FALSE)=Table15[[#Headers],[Pan]],Table15[[#Headers],[Pan]],""),"")</f>
        <v/>
      </c>
      <c r="L202" t="str">
        <f>IFERROR(IF(VLOOKUP(A202,Comunión!A:C,3,FALSE)=Table15[[#Headers],[Comunión]],Table15[[#Headers],[Comunión]],""),"")</f>
        <v/>
      </c>
      <c r="M202" t="str">
        <f>IFERROR(IF(VLOOKUP(A202,Niños!A:C,3,FALSE)=Table15[[#Headers],[Niños]],Table15[[#Headers],[Niños]],""),"")</f>
        <v/>
      </c>
      <c r="N202" t="str">
        <f>IFERROR(IF(VLOOKUP(A202,Laudes!A:C,3,FALSE)=Table15[[#Headers],[Laudes]],Table15[[#Headers],[Laudes]],""),"")</f>
        <v/>
      </c>
      <c r="O202" t="str">
        <f>IFERROR(IF(VLOOKUP(A202,'Nuevo Testamento'!A:C,3,FALSE)=Table15[[#Headers],[Nuevo Testamento]],Table15[[#Headers],[Nuevo Testamento]],""),"")</f>
        <v/>
      </c>
      <c r="P202" t="str">
        <f>IFERROR(IF(VLOOKUP(A202,'Antiguo Testamento'!A:C,3,FALSE)=Table15[[#Headers],[Antiguo Testamento]],Table15[[#Headers],[Antiguo Testamento]],""),"")</f>
        <v/>
      </c>
      <c r="Q202" t="str">
        <f>IFERROR(IF(VLOOKUP(A202,Final!A:C,3,FALSE)=Table15[[#Headers],[Final]],Table15[[#Headers],[Final]],""),"")</f>
        <v/>
      </c>
    </row>
    <row r="203" spans="1:17" x14ac:dyDescent="0.25">
      <c r="A203" t="s">
        <v>203</v>
      </c>
      <c r="B203">
        <v>215</v>
      </c>
      <c r="C203" t="str">
        <f>IFERROR(IF(VLOOKUP(A203,Adviento!A:C,3,FALSE)=Table15[[#Headers],[Adviento]],Table15[[#Headers],[Adviento]],""),"")</f>
        <v/>
      </c>
      <c r="D203" t="str">
        <f>IFERROR(IF(VLOOKUP(A203,Navidad!A:C,3,FALSE)=Table15[[#Headers],[Navidad]],Table15[[#Headers],[Navidad]],""),"")</f>
        <v/>
      </c>
      <c r="E203" t="str">
        <f>IFERROR(IF(VLOOKUP(A203,Cuaresma!A:C,3,FALSE)=Table15[[#Headers],[Cuaresma]],Table15[[#Headers],[Cuaresma]],""),"")</f>
        <v/>
      </c>
      <c r="F203" t="str">
        <f>IFERROR(IF(VLOOKUP(A203,Pascua!A:C,3,FALSE)=Table15[[#Headers],[Pascua]],Table15[[#Headers],[Pascua]],""),"")</f>
        <v/>
      </c>
      <c r="G203" t="str">
        <f>IFERROR(IF(VLOOKUP(A203,Pentecostés!A:C,3,FALSE)=Table15[[#Headers],[Pentecostés]],Table15[[#Headers],[Pentecostés]],""),"")</f>
        <v/>
      </c>
      <c r="H203" t="str">
        <f>IFERROR(IF(VLOOKUP(A203,Entrada!A:C,3,FALSE)=Table15[[#Headers],[Entrada]],Table15[[#Headers],[Entrada]],""),"")</f>
        <v/>
      </c>
      <c r="I203" t="str">
        <f>IFERROR(IF(VLOOKUP(A203,Virgen!A:C,3,FALSE)=Table15[[#Headers],[Virgen]],Table15[[#Headers],[Virgen]],""),"")</f>
        <v/>
      </c>
      <c r="J203" t="str">
        <f>IFERROR(IF(VLOOKUP(A203,Paz!A:C,3,FALSE)=Table15[[#Headers],[Paz]],Table15[[#Headers],[Paz]],""),"")</f>
        <v/>
      </c>
      <c r="K203" t="str">
        <f>IFERROR(IF(VLOOKUP(A203,Pan!A:C,3,FALSE)=Table15[[#Headers],[Pan]],Table15[[#Headers],[Pan]],""),"")</f>
        <v/>
      </c>
      <c r="L203" t="str">
        <f>IFERROR(IF(VLOOKUP(A203,Comunión!A:C,3,FALSE)=Table15[[#Headers],[Comunión]],Table15[[#Headers],[Comunión]],""),"")</f>
        <v/>
      </c>
      <c r="M203" t="str">
        <f>IFERROR(IF(VLOOKUP(A203,Niños!A:C,3,FALSE)=Table15[[#Headers],[Niños]],Table15[[#Headers],[Niños]],""),"")</f>
        <v/>
      </c>
      <c r="N203" t="str">
        <f>IFERROR(IF(VLOOKUP(A203,Laudes!A:C,3,FALSE)=Table15[[#Headers],[Laudes]],Table15[[#Headers],[Laudes]],""),"")</f>
        <v/>
      </c>
      <c r="O203" t="str">
        <f>IFERROR(IF(VLOOKUP(A203,'Nuevo Testamento'!A:C,3,FALSE)=Table15[[#Headers],[Nuevo Testamento]],Table15[[#Headers],[Nuevo Testamento]],""),"")</f>
        <v/>
      </c>
      <c r="P203" t="str">
        <f>IFERROR(IF(VLOOKUP(A203,'Antiguo Testamento'!A:C,3,FALSE)=Table15[[#Headers],[Antiguo Testamento]],Table15[[#Headers],[Antiguo Testamento]],""),"")</f>
        <v/>
      </c>
      <c r="Q203" t="str">
        <f>IFERROR(IF(VLOOKUP(A203,Final!A:C,3,FALSE)=Table15[[#Headers],[Final]],Table15[[#Headers],[Final]],""),"")</f>
        <v/>
      </c>
    </row>
    <row r="204" spans="1:17" x14ac:dyDescent="0.25">
      <c r="A204" t="s">
        <v>204</v>
      </c>
      <c r="B204">
        <v>216</v>
      </c>
      <c r="C204" t="str">
        <f>IFERROR(IF(VLOOKUP(A204,Adviento!A:C,3,FALSE)=Table15[[#Headers],[Adviento]],Table15[[#Headers],[Adviento]],""),"")</f>
        <v/>
      </c>
      <c r="D204" t="str">
        <f>IFERROR(IF(VLOOKUP(A204,Navidad!A:C,3,FALSE)=Table15[[#Headers],[Navidad]],Table15[[#Headers],[Navidad]],""),"")</f>
        <v/>
      </c>
      <c r="E204" t="str">
        <f>IFERROR(IF(VLOOKUP(A204,Cuaresma!A:C,3,FALSE)=Table15[[#Headers],[Cuaresma]],Table15[[#Headers],[Cuaresma]],""),"")</f>
        <v/>
      </c>
      <c r="F204" t="str">
        <f>IFERROR(IF(VLOOKUP(A204,Pascua!A:C,3,FALSE)=Table15[[#Headers],[Pascua]],Table15[[#Headers],[Pascua]],""),"")</f>
        <v/>
      </c>
      <c r="G204" t="str">
        <f>IFERROR(IF(VLOOKUP(A204,Pentecostés!A:C,3,FALSE)=Table15[[#Headers],[Pentecostés]],Table15[[#Headers],[Pentecostés]],""),"")</f>
        <v/>
      </c>
      <c r="H204" t="str">
        <f>IFERROR(IF(VLOOKUP(A204,Entrada!A:C,3,FALSE)=Table15[[#Headers],[Entrada]],Table15[[#Headers],[Entrada]],""),"")</f>
        <v/>
      </c>
      <c r="I204" t="str">
        <f>IFERROR(IF(VLOOKUP(A204,Virgen!A:C,3,FALSE)=Table15[[#Headers],[Virgen]],Table15[[#Headers],[Virgen]],""),"")</f>
        <v/>
      </c>
      <c r="J204" t="str">
        <f>IFERROR(IF(VLOOKUP(A204,Paz!A:C,3,FALSE)=Table15[[#Headers],[Paz]],Table15[[#Headers],[Paz]],""),"")</f>
        <v/>
      </c>
      <c r="K204" t="str">
        <f>IFERROR(IF(VLOOKUP(A204,Pan!A:C,3,FALSE)=Table15[[#Headers],[Pan]],Table15[[#Headers],[Pan]],""),"")</f>
        <v/>
      </c>
      <c r="L204" t="str">
        <f>IFERROR(IF(VLOOKUP(A204,Comunión!A:C,3,FALSE)=Table15[[#Headers],[Comunión]],Table15[[#Headers],[Comunión]],""),"")</f>
        <v/>
      </c>
      <c r="M204" t="str">
        <f>IFERROR(IF(VLOOKUP(A204,Niños!A:C,3,FALSE)=Table15[[#Headers],[Niños]],Table15[[#Headers],[Niños]],""),"")</f>
        <v/>
      </c>
      <c r="N204" t="str">
        <f>IFERROR(IF(VLOOKUP(A204,Laudes!A:C,3,FALSE)=Table15[[#Headers],[Laudes]],Table15[[#Headers],[Laudes]],""),"")</f>
        <v/>
      </c>
      <c r="O204" t="str">
        <f>IFERROR(IF(VLOOKUP(A204,'Nuevo Testamento'!A:C,3,FALSE)=Table15[[#Headers],[Nuevo Testamento]],Table15[[#Headers],[Nuevo Testamento]],""),"")</f>
        <v/>
      </c>
      <c r="P204" t="str">
        <f>IFERROR(IF(VLOOKUP(A204,'Antiguo Testamento'!A:C,3,FALSE)=Table15[[#Headers],[Antiguo Testamento]],Table15[[#Headers],[Antiguo Testamento]],""),"")</f>
        <v/>
      </c>
      <c r="Q204" t="str">
        <f>IFERROR(IF(VLOOKUP(A204,Final!A:C,3,FALSE)=Table15[[#Headers],[Final]],Table15[[#Headers],[Final]],""),"")</f>
        <v/>
      </c>
    </row>
    <row r="205" spans="1:17" x14ac:dyDescent="0.25">
      <c r="A205" t="s">
        <v>206</v>
      </c>
      <c r="B205">
        <v>217</v>
      </c>
      <c r="C205" t="str">
        <f>IFERROR(IF(VLOOKUP(A205,Adviento!A:C,3,FALSE)=Table15[[#Headers],[Adviento]],Table15[[#Headers],[Adviento]],""),"")</f>
        <v/>
      </c>
      <c r="D205" t="str">
        <f>IFERROR(IF(VLOOKUP(A205,Navidad!A:C,3,FALSE)=Table15[[#Headers],[Navidad]],Table15[[#Headers],[Navidad]],""),"")</f>
        <v/>
      </c>
      <c r="E205" t="str">
        <f>IFERROR(IF(VLOOKUP(A205,Cuaresma!A:C,3,FALSE)=Table15[[#Headers],[Cuaresma]],Table15[[#Headers],[Cuaresma]],""),"")</f>
        <v/>
      </c>
      <c r="F205" t="str">
        <f>IFERROR(IF(VLOOKUP(A205,Pascua!A:C,3,FALSE)=Table15[[#Headers],[Pascua]],Table15[[#Headers],[Pascua]],""),"")</f>
        <v/>
      </c>
      <c r="G205" t="str">
        <f>IFERROR(IF(VLOOKUP(A205,Pentecostés!A:C,3,FALSE)=Table15[[#Headers],[Pentecostés]],Table15[[#Headers],[Pentecostés]],""),"")</f>
        <v/>
      </c>
      <c r="H205" t="str">
        <f>IFERROR(IF(VLOOKUP(A205,Entrada!A:C,3,FALSE)=Table15[[#Headers],[Entrada]],Table15[[#Headers],[Entrada]],""),"")</f>
        <v/>
      </c>
      <c r="I205" t="str">
        <f>IFERROR(IF(VLOOKUP(A205,Virgen!A:C,3,FALSE)=Table15[[#Headers],[Virgen]],Table15[[#Headers],[Virgen]],""),"")</f>
        <v/>
      </c>
      <c r="J205" t="str">
        <f>IFERROR(IF(VLOOKUP(A205,Paz!A:C,3,FALSE)=Table15[[#Headers],[Paz]],Table15[[#Headers],[Paz]],""),"")</f>
        <v/>
      </c>
      <c r="K205" t="str">
        <f>IFERROR(IF(VLOOKUP(A205,Pan!A:C,3,FALSE)=Table15[[#Headers],[Pan]],Table15[[#Headers],[Pan]],""),"")</f>
        <v/>
      </c>
      <c r="L205" t="str">
        <f>IFERROR(IF(VLOOKUP(A205,Comunión!A:C,3,FALSE)=Table15[[#Headers],[Comunión]],Table15[[#Headers],[Comunión]],""),"")</f>
        <v/>
      </c>
      <c r="M205" t="str">
        <f>IFERROR(IF(VLOOKUP(A205,Niños!A:C,3,FALSE)=Table15[[#Headers],[Niños]],Table15[[#Headers],[Niños]],""),"")</f>
        <v/>
      </c>
      <c r="N205" t="str">
        <f>IFERROR(IF(VLOOKUP(A205,Laudes!A:C,3,FALSE)=Table15[[#Headers],[Laudes]],Table15[[#Headers],[Laudes]],""),"")</f>
        <v/>
      </c>
      <c r="O205" t="str">
        <f>IFERROR(IF(VLOOKUP(A205,'Nuevo Testamento'!A:C,3,FALSE)=Table15[[#Headers],[Nuevo Testamento]],Table15[[#Headers],[Nuevo Testamento]],""),"")</f>
        <v/>
      </c>
      <c r="P205" t="str">
        <f>IFERROR(IF(VLOOKUP(A205,'Antiguo Testamento'!A:C,3,FALSE)=Table15[[#Headers],[Antiguo Testamento]],Table15[[#Headers],[Antiguo Testamento]],""),"")</f>
        <v/>
      </c>
      <c r="Q205" t="str">
        <f>IFERROR(IF(VLOOKUP(A205,Final!A:C,3,FALSE)=Table15[[#Headers],[Final]],Table15[[#Headers],[Final]],""),"")</f>
        <v/>
      </c>
    </row>
    <row r="206" spans="1:17" x14ac:dyDescent="0.25">
      <c r="A206" t="s">
        <v>201</v>
      </c>
      <c r="B206">
        <v>218</v>
      </c>
      <c r="C206" t="str">
        <f>IFERROR(IF(VLOOKUP(A206,Adviento!A:C,3,FALSE)=Table15[[#Headers],[Adviento]],Table15[[#Headers],[Adviento]],""),"")</f>
        <v/>
      </c>
      <c r="D206" t="str">
        <f>IFERROR(IF(VLOOKUP(A206,Navidad!A:C,3,FALSE)=Table15[[#Headers],[Navidad]],Table15[[#Headers],[Navidad]],""),"")</f>
        <v/>
      </c>
      <c r="E206" t="str">
        <f>IFERROR(IF(VLOOKUP(A206,Cuaresma!A:C,3,FALSE)=Table15[[#Headers],[Cuaresma]],Table15[[#Headers],[Cuaresma]],""),"")</f>
        <v/>
      </c>
      <c r="F206" t="str">
        <f>IFERROR(IF(VLOOKUP(A206,Pascua!A:C,3,FALSE)=Table15[[#Headers],[Pascua]],Table15[[#Headers],[Pascua]],""),"")</f>
        <v/>
      </c>
      <c r="G206" t="str">
        <f>IFERROR(IF(VLOOKUP(A206,Pentecostés!A:C,3,FALSE)=Table15[[#Headers],[Pentecostés]],Table15[[#Headers],[Pentecostés]],""),"")</f>
        <v/>
      </c>
      <c r="H206" t="str">
        <f>IFERROR(IF(VLOOKUP(A206,Entrada!A:C,3,FALSE)=Table15[[#Headers],[Entrada]],Table15[[#Headers],[Entrada]],""),"")</f>
        <v/>
      </c>
      <c r="I206" t="str">
        <f>IFERROR(IF(VLOOKUP(A206,Virgen!A:C,3,FALSE)=Table15[[#Headers],[Virgen]],Table15[[#Headers],[Virgen]],""),"")</f>
        <v/>
      </c>
      <c r="J206" t="str">
        <f>IFERROR(IF(VLOOKUP(A206,Paz!A:C,3,FALSE)=Table15[[#Headers],[Paz]],Table15[[#Headers],[Paz]],""),"")</f>
        <v/>
      </c>
      <c r="K206" t="str">
        <f>IFERROR(IF(VLOOKUP(A206,Pan!A:C,3,FALSE)=Table15[[#Headers],[Pan]],Table15[[#Headers],[Pan]],""),"")</f>
        <v/>
      </c>
      <c r="L206" t="str">
        <f>IFERROR(IF(VLOOKUP(A206,Comunión!A:C,3,FALSE)=Table15[[#Headers],[Comunión]],Table15[[#Headers],[Comunión]],""),"")</f>
        <v/>
      </c>
      <c r="M206" t="str">
        <f>IFERROR(IF(VLOOKUP(A206,Niños!A:C,3,FALSE)=Table15[[#Headers],[Niños]],Table15[[#Headers],[Niños]],""),"")</f>
        <v/>
      </c>
      <c r="N206" t="str">
        <f>IFERROR(IF(VLOOKUP(A206,Laudes!A:C,3,FALSE)=Table15[[#Headers],[Laudes]],Table15[[#Headers],[Laudes]],""),"")</f>
        <v/>
      </c>
      <c r="O206" t="str">
        <f>IFERROR(IF(VLOOKUP(A206,'Nuevo Testamento'!A:C,3,FALSE)=Table15[[#Headers],[Nuevo Testamento]],Table15[[#Headers],[Nuevo Testamento]],""),"")</f>
        <v/>
      </c>
      <c r="P206" t="str">
        <f>IFERROR(IF(VLOOKUP(A206,'Antiguo Testamento'!A:C,3,FALSE)=Table15[[#Headers],[Antiguo Testamento]],Table15[[#Headers],[Antiguo Testamento]],""),"")</f>
        <v/>
      </c>
      <c r="Q206" t="str">
        <f>IFERROR(IF(VLOOKUP(A206,Final!A:C,3,FALSE)=Table15[[#Headers],[Final]],Table15[[#Headers],[Final]],""),"")</f>
        <v/>
      </c>
    </row>
    <row r="207" spans="1:17" x14ac:dyDescent="0.25">
      <c r="A207" t="s">
        <v>202</v>
      </c>
      <c r="B207">
        <v>219</v>
      </c>
      <c r="C207" t="str">
        <f>IFERROR(IF(VLOOKUP(A207,Adviento!A:C,3,FALSE)=Table15[[#Headers],[Adviento]],Table15[[#Headers],[Adviento]],""),"")</f>
        <v/>
      </c>
      <c r="D207" t="str">
        <f>IFERROR(IF(VLOOKUP(A207,Navidad!A:C,3,FALSE)=Table15[[#Headers],[Navidad]],Table15[[#Headers],[Navidad]],""),"")</f>
        <v/>
      </c>
      <c r="E207" t="str">
        <f>IFERROR(IF(VLOOKUP(A207,Cuaresma!A:C,3,FALSE)=Table15[[#Headers],[Cuaresma]],Table15[[#Headers],[Cuaresma]],""),"")</f>
        <v/>
      </c>
      <c r="F207" t="str">
        <f>IFERROR(IF(VLOOKUP(A207,Pascua!A:C,3,FALSE)=Table15[[#Headers],[Pascua]],Table15[[#Headers],[Pascua]],""),"")</f>
        <v/>
      </c>
      <c r="G207" t="str">
        <f>IFERROR(IF(VLOOKUP(A207,Pentecostés!A:C,3,FALSE)=Table15[[#Headers],[Pentecostés]],Table15[[#Headers],[Pentecostés]],""),"")</f>
        <v/>
      </c>
      <c r="H207" t="str">
        <f>IFERROR(IF(VLOOKUP(A207,Entrada!A:C,3,FALSE)=Table15[[#Headers],[Entrada]],Table15[[#Headers],[Entrada]],""),"")</f>
        <v/>
      </c>
      <c r="I207" t="str">
        <f>IFERROR(IF(VLOOKUP(A207,Virgen!A:C,3,FALSE)=Table15[[#Headers],[Virgen]],Table15[[#Headers],[Virgen]],""),"")</f>
        <v/>
      </c>
      <c r="J207" t="str">
        <f>IFERROR(IF(VLOOKUP(A207,Paz!A:C,3,FALSE)=Table15[[#Headers],[Paz]],Table15[[#Headers],[Paz]],""),"")</f>
        <v/>
      </c>
      <c r="K207" t="str">
        <f>IFERROR(IF(VLOOKUP(A207,Pan!A:C,3,FALSE)=Table15[[#Headers],[Pan]],Table15[[#Headers],[Pan]],""),"")</f>
        <v/>
      </c>
      <c r="L207" t="str">
        <f>IFERROR(IF(VLOOKUP(A207,Comunión!A:C,3,FALSE)=Table15[[#Headers],[Comunión]],Table15[[#Headers],[Comunión]],""),"")</f>
        <v/>
      </c>
      <c r="M207" t="str">
        <f>IFERROR(IF(VLOOKUP(A207,Niños!A:C,3,FALSE)=Table15[[#Headers],[Niños]],Table15[[#Headers],[Niños]],""),"")</f>
        <v/>
      </c>
      <c r="N207" t="str">
        <f>IFERROR(IF(VLOOKUP(A207,Laudes!A:C,3,FALSE)=Table15[[#Headers],[Laudes]],Table15[[#Headers],[Laudes]],""),"")</f>
        <v/>
      </c>
      <c r="O207" t="str">
        <f>IFERROR(IF(VLOOKUP(A207,'Nuevo Testamento'!A:C,3,FALSE)=Table15[[#Headers],[Nuevo Testamento]],Table15[[#Headers],[Nuevo Testamento]],""),"")</f>
        <v/>
      </c>
      <c r="P207" t="str">
        <f>IFERROR(IF(VLOOKUP(A207,'Antiguo Testamento'!A:C,3,FALSE)=Table15[[#Headers],[Antiguo Testamento]],Table15[[#Headers],[Antiguo Testamento]],""),"")</f>
        <v/>
      </c>
      <c r="Q207" t="str">
        <f>IFERROR(IF(VLOOKUP(A207,Final!A:C,3,FALSE)=Table15[[#Headers],[Final]],Table15[[#Headers],[Final]],""),"")</f>
        <v/>
      </c>
    </row>
    <row r="208" spans="1:17" x14ac:dyDescent="0.25">
      <c r="A208" t="s">
        <v>92</v>
      </c>
      <c r="B208">
        <v>220</v>
      </c>
      <c r="C208" t="str">
        <f>IFERROR(IF(VLOOKUP(A208,Adviento!A:C,3,FALSE)=Table15[[#Headers],[Adviento]],Table15[[#Headers],[Adviento]],""),"")</f>
        <v/>
      </c>
      <c r="D208" t="str">
        <f>IFERROR(IF(VLOOKUP(A208,Navidad!A:C,3,FALSE)=Table15[[#Headers],[Navidad]],Table15[[#Headers],[Navidad]],""),"")</f>
        <v/>
      </c>
      <c r="E208" t="str">
        <f>IFERROR(IF(VLOOKUP(A208,Cuaresma!A:C,3,FALSE)=Table15[[#Headers],[Cuaresma]],Table15[[#Headers],[Cuaresma]],""),"")</f>
        <v/>
      </c>
      <c r="F208" t="str">
        <f>IFERROR(IF(VLOOKUP(A208,Pascua!A:C,3,FALSE)=Table15[[#Headers],[Pascua]],Table15[[#Headers],[Pascua]],""),"")</f>
        <v/>
      </c>
      <c r="G208" t="str">
        <f>IFERROR(IF(VLOOKUP(A208,Pentecostés!A:C,3,FALSE)=Table15[[#Headers],[Pentecostés]],Table15[[#Headers],[Pentecostés]],""),"")</f>
        <v/>
      </c>
      <c r="H208" t="str">
        <f>IFERROR(IF(VLOOKUP(A208,Entrada!A:C,3,FALSE)=Table15[[#Headers],[Entrada]],Table15[[#Headers],[Entrada]],""),"")</f>
        <v/>
      </c>
      <c r="I208" t="str">
        <f>IFERROR(IF(VLOOKUP(A208,Virgen!A:C,3,FALSE)=Table15[[#Headers],[Virgen]],Table15[[#Headers],[Virgen]],""),"")</f>
        <v/>
      </c>
      <c r="J208" t="str">
        <f>IFERROR(IF(VLOOKUP(A208,Paz!A:C,3,FALSE)=Table15[[#Headers],[Paz]],Table15[[#Headers],[Paz]],""),"")</f>
        <v/>
      </c>
      <c r="K208" t="str">
        <f>IFERROR(IF(VLOOKUP(A208,Pan!A:C,3,FALSE)=Table15[[#Headers],[Pan]],Table15[[#Headers],[Pan]],""),"")</f>
        <v/>
      </c>
      <c r="L208" t="str">
        <f>IFERROR(IF(VLOOKUP(A208,Comunión!A:C,3,FALSE)=Table15[[#Headers],[Comunión]],Table15[[#Headers],[Comunión]],""),"")</f>
        <v/>
      </c>
      <c r="M208" t="str">
        <f>IFERROR(IF(VLOOKUP(A208,Niños!A:C,3,FALSE)=Table15[[#Headers],[Niños]],Table15[[#Headers],[Niños]],""),"")</f>
        <v/>
      </c>
      <c r="N208" t="str">
        <f>IFERROR(IF(VLOOKUP(A208,Laudes!A:C,3,FALSE)=Table15[[#Headers],[Laudes]],Table15[[#Headers],[Laudes]],""),"")</f>
        <v>Laudes</v>
      </c>
      <c r="O208" t="str">
        <f>IFERROR(IF(VLOOKUP(A208,'Nuevo Testamento'!A:C,3,FALSE)=Table15[[#Headers],[Nuevo Testamento]],Table15[[#Headers],[Nuevo Testamento]],""),"")</f>
        <v/>
      </c>
      <c r="P208" t="str">
        <f>IFERROR(IF(VLOOKUP(A208,'Antiguo Testamento'!A:C,3,FALSE)=Table15[[#Headers],[Antiguo Testamento]],Table15[[#Headers],[Antiguo Testamento]],""),"")</f>
        <v/>
      </c>
      <c r="Q208" t="str">
        <f>IFERROR(IF(VLOOKUP(A208,Final!A:C,3,FALSE)=Table15[[#Headers],[Final]],Table15[[#Headers],[Final]],""),"")</f>
        <v/>
      </c>
    </row>
    <row r="209" spans="1:17" x14ac:dyDescent="0.25">
      <c r="A209" t="s">
        <v>125</v>
      </c>
      <c r="B209">
        <v>221</v>
      </c>
      <c r="C209" t="str">
        <f>IFERROR(IF(VLOOKUP(A209,Adviento!A:C,3,FALSE)=Table15[[#Headers],[Adviento]],Table15[[#Headers],[Adviento]],""),"")</f>
        <v/>
      </c>
      <c r="D209" t="str">
        <f>IFERROR(IF(VLOOKUP(A209,Navidad!A:C,3,FALSE)=Table15[[#Headers],[Navidad]],Table15[[#Headers],[Navidad]],""),"")</f>
        <v/>
      </c>
      <c r="E209" t="str">
        <f>IFERROR(IF(VLOOKUP(A209,Cuaresma!A:C,3,FALSE)=Table15[[#Headers],[Cuaresma]],Table15[[#Headers],[Cuaresma]],""),"")</f>
        <v/>
      </c>
      <c r="F209" t="str">
        <f>IFERROR(IF(VLOOKUP(A209,Pascua!A:C,3,FALSE)=Table15[[#Headers],[Pascua]],Table15[[#Headers],[Pascua]],""),"")</f>
        <v/>
      </c>
      <c r="G209" t="str">
        <f>IFERROR(IF(VLOOKUP(A209,Pentecostés!A:C,3,FALSE)=Table15[[#Headers],[Pentecostés]],Table15[[#Headers],[Pentecostés]],""),"")</f>
        <v/>
      </c>
      <c r="H209" t="str">
        <f>IFERROR(IF(VLOOKUP(A209,Entrada!A:C,3,FALSE)=Table15[[#Headers],[Entrada]],Table15[[#Headers],[Entrada]],""),"")</f>
        <v/>
      </c>
      <c r="I209" t="str">
        <f>IFERROR(IF(VLOOKUP(A209,Virgen!A:C,3,FALSE)=Table15[[#Headers],[Virgen]],Table15[[#Headers],[Virgen]],""),"")</f>
        <v/>
      </c>
      <c r="J209" t="str">
        <f>IFERROR(IF(VLOOKUP(A209,Paz!A:C,3,FALSE)=Table15[[#Headers],[Paz]],Table15[[#Headers],[Paz]],""),"")</f>
        <v/>
      </c>
      <c r="K209" t="str">
        <f>IFERROR(IF(VLOOKUP(A209,Pan!A:C,3,FALSE)=Table15[[#Headers],[Pan]],Table15[[#Headers],[Pan]],""),"")</f>
        <v/>
      </c>
      <c r="L209" t="str">
        <f>IFERROR(IF(VLOOKUP(A209,Comunión!A:C,3,FALSE)=Table15[[#Headers],[Comunión]],Table15[[#Headers],[Comunión]],""),"")</f>
        <v/>
      </c>
      <c r="M209" t="str">
        <f>IFERROR(IF(VLOOKUP(A209,Niños!A:C,3,FALSE)=Table15[[#Headers],[Niños]],Table15[[#Headers],[Niños]],""),"")</f>
        <v/>
      </c>
      <c r="N209" t="str">
        <f>IFERROR(IF(VLOOKUP(A209,Laudes!A:C,3,FALSE)=Table15[[#Headers],[Laudes]],Table15[[#Headers],[Laudes]],""),"")</f>
        <v>Laudes</v>
      </c>
      <c r="O209" t="str">
        <f>IFERROR(IF(VLOOKUP(A209,'Nuevo Testamento'!A:C,3,FALSE)=Table15[[#Headers],[Nuevo Testamento]],Table15[[#Headers],[Nuevo Testamento]],""),"")</f>
        <v/>
      </c>
      <c r="P209" t="str">
        <f>IFERROR(IF(VLOOKUP(A209,'Antiguo Testamento'!A:C,3,FALSE)=Table15[[#Headers],[Antiguo Testamento]],Table15[[#Headers],[Antiguo Testamento]],""),"")</f>
        <v/>
      </c>
      <c r="Q209" t="str">
        <f>IFERROR(IF(VLOOKUP(A209,Final!A:C,3,FALSE)=Table15[[#Headers],[Final]],Table15[[#Headers],[Final]],""),"")</f>
        <v/>
      </c>
    </row>
    <row r="210" spans="1:17" x14ac:dyDescent="0.25">
      <c r="A210" t="s">
        <v>28</v>
      </c>
      <c r="B210">
        <v>222</v>
      </c>
      <c r="C210" t="str">
        <f>IFERROR(IF(VLOOKUP(A210,Adviento!A:C,3,FALSE)=Table15[[#Headers],[Adviento]],Table15[[#Headers],[Adviento]],""),"")</f>
        <v/>
      </c>
      <c r="D210" t="str">
        <f>IFERROR(IF(VLOOKUP(A210,Navidad!A:C,3,FALSE)=Table15[[#Headers],[Navidad]],Table15[[#Headers],[Navidad]],""),"")</f>
        <v/>
      </c>
      <c r="E210" t="str">
        <f>IFERROR(IF(VLOOKUP(A210,Cuaresma!A:C,3,FALSE)=Table15[[#Headers],[Cuaresma]],Table15[[#Headers],[Cuaresma]],""),"")</f>
        <v/>
      </c>
      <c r="F210" t="str">
        <f>IFERROR(IF(VLOOKUP(A210,Pascua!A:C,3,FALSE)=Table15[[#Headers],[Pascua]],Table15[[#Headers],[Pascua]],""),"")</f>
        <v/>
      </c>
      <c r="G210" t="str">
        <f>IFERROR(IF(VLOOKUP(A210,Pentecostés!A:C,3,FALSE)=Table15[[#Headers],[Pentecostés]],Table15[[#Headers],[Pentecostés]],""),"")</f>
        <v/>
      </c>
      <c r="H210" t="str">
        <f>IFERROR(IF(VLOOKUP(A210,Entrada!A:C,3,FALSE)=Table15[[#Headers],[Entrada]],Table15[[#Headers],[Entrada]],""),"")</f>
        <v/>
      </c>
      <c r="I210" t="str">
        <f>IFERROR(IF(VLOOKUP(A210,Virgen!A:C,3,FALSE)=Table15[[#Headers],[Virgen]],Table15[[#Headers],[Virgen]],""),"")</f>
        <v/>
      </c>
      <c r="J210" t="str">
        <f>IFERROR(IF(VLOOKUP(A210,Paz!A:C,3,FALSE)=Table15[[#Headers],[Paz]],Table15[[#Headers],[Paz]],""),"")</f>
        <v/>
      </c>
      <c r="K210" t="str">
        <f>IFERROR(IF(VLOOKUP(A210,Pan!A:C,3,FALSE)=Table15[[#Headers],[Pan]],Table15[[#Headers],[Pan]],""),"")</f>
        <v/>
      </c>
      <c r="L210" t="str">
        <f>IFERROR(IF(VLOOKUP(A210,Comunión!A:C,3,FALSE)=Table15[[#Headers],[Comunión]],Table15[[#Headers],[Comunión]],""),"")</f>
        <v>Comunión</v>
      </c>
      <c r="M210" t="str">
        <f>IFERROR(IF(VLOOKUP(A210,Niños!A:C,3,FALSE)=Table15[[#Headers],[Niños]],Table15[[#Headers],[Niños]],""),"")</f>
        <v/>
      </c>
      <c r="N210" t="str">
        <f>IFERROR(IF(VLOOKUP(A210,Laudes!A:C,3,FALSE)=Table15[[#Headers],[Laudes]],Table15[[#Headers],[Laudes]],""),"")</f>
        <v>Laudes</v>
      </c>
      <c r="O210" t="str">
        <f>IFERROR(IF(VLOOKUP(A210,'Nuevo Testamento'!A:C,3,FALSE)=Table15[[#Headers],[Nuevo Testamento]],Table15[[#Headers],[Nuevo Testamento]],""),"")</f>
        <v/>
      </c>
      <c r="P210" t="str">
        <f>IFERROR(IF(VLOOKUP(A210,'Antiguo Testamento'!A:C,3,FALSE)=Table15[[#Headers],[Antiguo Testamento]],Table15[[#Headers],[Antiguo Testamento]],""),"")</f>
        <v>Antiguo Testamento</v>
      </c>
      <c r="Q210" t="str">
        <f>IFERROR(IF(VLOOKUP(A210,Final!A:C,3,FALSE)=Table15[[#Headers],[Final]],Table15[[#Headers],[Final]],""),"")</f>
        <v/>
      </c>
    </row>
    <row r="211" spans="1:17" x14ac:dyDescent="0.25">
      <c r="A211" t="s">
        <v>30</v>
      </c>
      <c r="B211">
        <v>223</v>
      </c>
      <c r="C211" t="str">
        <f>IFERROR(IF(VLOOKUP(A211,Adviento!A:C,3,FALSE)=Table15[[#Headers],[Adviento]],Table15[[#Headers],[Adviento]],""),"")</f>
        <v/>
      </c>
      <c r="D211" t="str">
        <f>IFERROR(IF(VLOOKUP(A211,Navidad!A:C,3,FALSE)=Table15[[#Headers],[Navidad]],Table15[[#Headers],[Navidad]],""),"")</f>
        <v/>
      </c>
      <c r="E211" t="str">
        <f>IFERROR(IF(VLOOKUP(A211,Cuaresma!A:C,3,FALSE)=Table15[[#Headers],[Cuaresma]],Table15[[#Headers],[Cuaresma]],""),"")</f>
        <v/>
      </c>
      <c r="F211" t="str">
        <f>IFERROR(IF(VLOOKUP(A211,Pascua!A:C,3,FALSE)=Table15[[#Headers],[Pascua]],Table15[[#Headers],[Pascua]],""),"")</f>
        <v/>
      </c>
      <c r="G211" t="str">
        <f>IFERROR(IF(VLOOKUP(A211,Pentecostés!A:C,3,FALSE)=Table15[[#Headers],[Pentecostés]],Table15[[#Headers],[Pentecostés]],""),"")</f>
        <v/>
      </c>
      <c r="H211" t="str">
        <f>IFERROR(IF(VLOOKUP(A211,Entrada!A:C,3,FALSE)=Table15[[#Headers],[Entrada]],Table15[[#Headers],[Entrada]],""),"")</f>
        <v/>
      </c>
      <c r="I211" t="str">
        <f>IFERROR(IF(VLOOKUP(A211,Virgen!A:C,3,FALSE)=Table15[[#Headers],[Virgen]],Table15[[#Headers],[Virgen]],""),"")</f>
        <v>Virgen</v>
      </c>
      <c r="J211" t="str">
        <f>IFERROR(IF(VLOOKUP(A211,Paz!A:C,3,FALSE)=Table15[[#Headers],[Paz]],Table15[[#Headers],[Paz]],""),"")</f>
        <v/>
      </c>
      <c r="K211" t="str">
        <f>IFERROR(IF(VLOOKUP(A211,Pan!A:C,3,FALSE)=Table15[[#Headers],[Pan]],Table15[[#Headers],[Pan]],""),"")</f>
        <v/>
      </c>
      <c r="L211" t="str">
        <f>IFERROR(IF(VLOOKUP(A211,Comunión!A:C,3,FALSE)=Table15[[#Headers],[Comunión]],Table15[[#Headers],[Comunión]],""),"")</f>
        <v/>
      </c>
      <c r="M211" t="str">
        <f>IFERROR(IF(VLOOKUP(A211,Niños!A:C,3,FALSE)=Table15[[#Headers],[Niños]],Table15[[#Headers],[Niños]],""),"")</f>
        <v/>
      </c>
      <c r="N211" t="str">
        <f>IFERROR(IF(VLOOKUP(A211,Laudes!A:C,3,FALSE)=Table15[[#Headers],[Laudes]],Table15[[#Headers],[Laudes]],""),"")</f>
        <v/>
      </c>
      <c r="O211" t="str">
        <f>IFERROR(IF(VLOOKUP(A211,'Nuevo Testamento'!A:C,3,FALSE)=Table15[[#Headers],[Nuevo Testamento]],Table15[[#Headers],[Nuevo Testamento]],""),"")</f>
        <v/>
      </c>
      <c r="P211" t="str">
        <f>IFERROR(IF(VLOOKUP(A211,'Antiguo Testamento'!A:C,3,FALSE)=Table15[[#Headers],[Antiguo Testamento]],Table15[[#Headers],[Antiguo Testamento]],""),"")</f>
        <v>Antiguo Testamento</v>
      </c>
      <c r="Q211" t="str">
        <f>IFERROR(IF(VLOOKUP(A211,Final!A:C,3,FALSE)=Table15[[#Headers],[Final]],Table15[[#Headers],[Final]],""),"")</f>
        <v/>
      </c>
    </row>
    <row r="212" spans="1:17" x14ac:dyDescent="0.25">
      <c r="A212" t="s">
        <v>34</v>
      </c>
      <c r="B212">
        <v>224</v>
      </c>
      <c r="C212" t="str">
        <f>IFERROR(IF(VLOOKUP(A212,Adviento!A:C,3,FALSE)=Table15[[#Headers],[Adviento]],Table15[[#Headers],[Adviento]],""),"")</f>
        <v/>
      </c>
      <c r="D212" t="str">
        <f>IFERROR(IF(VLOOKUP(A212,Navidad!A:C,3,FALSE)=Table15[[#Headers],[Navidad]],Table15[[#Headers],[Navidad]],""),"")</f>
        <v/>
      </c>
      <c r="E212" t="str">
        <f>IFERROR(IF(VLOOKUP(A212,Cuaresma!A:C,3,FALSE)=Table15[[#Headers],[Cuaresma]],Table15[[#Headers],[Cuaresma]],""),"")</f>
        <v/>
      </c>
      <c r="F212" t="str">
        <f>IFERROR(IF(VLOOKUP(A212,Pascua!A:C,3,FALSE)=Table15[[#Headers],[Pascua]],Table15[[#Headers],[Pascua]],""),"")</f>
        <v/>
      </c>
      <c r="G212" t="str">
        <f>IFERROR(IF(VLOOKUP(A212,Pentecostés!A:C,3,FALSE)=Table15[[#Headers],[Pentecostés]],Table15[[#Headers],[Pentecostés]],""),"")</f>
        <v/>
      </c>
      <c r="H212" t="str">
        <f>IFERROR(IF(VLOOKUP(A212,Entrada!A:C,3,FALSE)=Table15[[#Headers],[Entrada]],Table15[[#Headers],[Entrada]],""),"")</f>
        <v/>
      </c>
      <c r="I212" t="str">
        <f>IFERROR(IF(VLOOKUP(A212,Virgen!A:C,3,FALSE)=Table15[[#Headers],[Virgen]],Table15[[#Headers],[Virgen]],""),"")</f>
        <v/>
      </c>
      <c r="J212" t="str">
        <f>IFERROR(IF(VLOOKUP(A212,Paz!A:C,3,FALSE)=Table15[[#Headers],[Paz]],Table15[[#Headers],[Paz]],""),"")</f>
        <v/>
      </c>
      <c r="K212" t="str">
        <f>IFERROR(IF(VLOOKUP(A212,Pan!A:C,3,FALSE)=Table15[[#Headers],[Pan]],Table15[[#Headers],[Pan]],""),"")</f>
        <v/>
      </c>
      <c r="L212" t="str">
        <f>IFERROR(IF(VLOOKUP(A212,Comunión!A:C,3,FALSE)=Table15[[#Headers],[Comunión]],Table15[[#Headers],[Comunión]],""),"")</f>
        <v>Comunión</v>
      </c>
      <c r="M212" t="str">
        <f>IFERROR(IF(VLOOKUP(A212,Niños!A:C,3,FALSE)=Table15[[#Headers],[Niños]],Table15[[#Headers],[Niños]],""),"")</f>
        <v/>
      </c>
      <c r="N212" t="str">
        <f>IFERROR(IF(VLOOKUP(A212,Laudes!A:C,3,FALSE)=Table15[[#Headers],[Laudes]],Table15[[#Headers],[Laudes]],""),"")</f>
        <v/>
      </c>
      <c r="O212" t="str">
        <f>IFERROR(IF(VLOOKUP(A212,'Nuevo Testamento'!A:C,3,FALSE)=Table15[[#Headers],[Nuevo Testamento]],Table15[[#Headers],[Nuevo Testamento]],""),"")</f>
        <v>Nuevo Testamento</v>
      </c>
      <c r="P212" t="str">
        <f>IFERROR(IF(VLOOKUP(A212,'Antiguo Testamento'!A:C,3,FALSE)=Table15[[#Headers],[Antiguo Testamento]],Table15[[#Headers],[Antiguo Testamento]],""),"")</f>
        <v/>
      </c>
      <c r="Q212" t="str">
        <f>IFERROR(IF(VLOOKUP(A212,Final!A:C,3,FALSE)=Table15[[#Headers],[Final]],Table15[[#Headers],[Final]],""),"")</f>
        <v/>
      </c>
    </row>
    <row r="213" spans="1:17" x14ac:dyDescent="0.25">
      <c r="A213" t="s">
        <v>36</v>
      </c>
      <c r="B213">
        <v>225</v>
      </c>
      <c r="C213" t="str">
        <f>IFERROR(IF(VLOOKUP(A213,Adviento!A:C,3,FALSE)=Table15[[#Headers],[Adviento]],Table15[[#Headers],[Adviento]],""),"")</f>
        <v/>
      </c>
      <c r="D213" t="str">
        <f>IFERROR(IF(VLOOKUP(A213,Navidad!A:C,3,FALSE)=Table15[[#Headers],[Navidad]],Table15[[#Headers],[Navidad]],""),"")</f>
        <v/>
      </c>
      <c r="E213" t="str">
        <f>IFERROR(IF(VLOOKUP(A213,Cuaresma!A:C,3,FALSE)=Table15[[#Headers],[Cuaresma]],Table15[[#Headers],[Cuaresma]],""),"")</f>
        <v/>
      </c>
      <c r="F213" t="str">
        <f>IFERROR(IF(VLOOKUP(A213,Pascua!A:C,3,FALSE)=Table15[[#Headers],[Pascua]],Table15[[#Headers],[Pascua]],""),"")</f>
        <v/>
      </c>
      <c r="G213" t="str">
        <f>IFERROR(IF(VLOOKUP(A213,Pentecostés!A:C,3,FALSE)=Table15[[#Headers],[Pentecostés]],Table15[[#Headers],[Pentecostés]],""),"")</f>
        <v/>
      </c>
      <c r="H213" t="str">
        <f>IFERROR(IF(VLOOKUP(A213,Entrada!A:C,3,FALSE)=Table15[[#Headers],[Entrada]],Table15[[#Headers],[Entrada]],""),"")</f>
        <v/>
      </c>
      <c r="I213" t="str">
        <f>IFERROR(IF(VLOOKUP(A213,Virgen!A:C,3,FALSE)=Table15[[#Headers],[Virgen]],Table15[[#Headers],[Virgen]],""),"")</f>
        <v/>
      </c>
      <c r="J213" t="str">
        <f>IFERROR(IF(VLOOKUP(A213,Paz!A:C,3,FALSE)=Table15[[#Headers],[Paz]],Table15[[#Headers],[Paz]],""),"")</f>
        <v/>
      </c>
      <c r="K213" t="str">
        <f>IFERROR(IF(VLOOKUP(A213,Pan!A:C,3,FALSE)=Table15[[#Headers],[Pan]],Table15[[#Headers],[Pan]],""),"")</f>
        <v/>
      </c>
      <c r="L213" t="str">
        <f>IFERROR(IF(VLOOKUP(A213,Comunión!A:C,3,FALSE)=Table15[[#Headers],[Comunión]],Table15[[#Headers],[Comunión]],""),"")</f>
        <v/>
      </c>
      <c r="M213" t="str">
        <f>IFERROR(IF(VLOOKUP(A213,Niños!A:C,3,FALSE)=Table15[[#Headers],[Niños]],Table15[[#Headers],[Niños]],""),"")</f>
        <v/>
      </c>
      <c r="N213" t="str">
        <f>IFERROR(IF(VLOOKUP(A213,Laudes!A:C,3,FALSE)=Table15[[#Headers],[Laudes]],Table15[[#Headers],[Laudes]],""),"")</f>
        <v/>
      </c>
      <c r="O213" t="str">
        <f>IFERROR(IF(VLOOKUP(A213,'Nuevo Testamento'!A:C,3,FALSE)=Table15[[#Headers],[Nuevo Testamento]],Table15[[#Headers],[Nuevo Testamento]],""),"")</f>
        <v>Nuevo Testamento</v>
      </c>
      <c r="P213" t="str">
        <f>IFERROR(IF(VLOOKUP(A213,'Antiguo Testamento'!A:C,3,FALSE)=Table15[[#Headers],[Antiguo Testamento]],Table15[[#Headers],[Antiguo Testamento]],""),"")</f>
        <v/>
      </c>
      <c r="Q213" t="str">
        <f>IFERROR(IF(VLOOKUP(A213,Final!A:C,3,FALSE)=Table15[[#Headers],[Final]],Table15[[#Headers],[Final]],""),"")</f>
        <v/>
      </c>
    </row>
    <row r="214" spans="1:17" x14ac:dyDescent="0.25">
      <c r="A214" t="s">
        <v>45</v>
      </c>
      <c r="B214">
        <v>226</v>
      </c>
      <c r="C214" t="str">
        <f>IFERROR(IF(VLOOKUP(A214,Adviento!A:C,3,FALSE)=Table15[[#Headers],[Adviento]],Table15[[#Headers],[Adviento]],""),"")</f>
        <v/>
      </c>
      <c r="D214" t="str">
        <f>IFERROR(IF(VLOOKUP(A214,Navidad!A:C,3,FALSE)=Table15[[#Headers],[Navidad]],Table15[[#Headers],[Navidad]],""),"")</f>
        <v/>
      </c>
      <c r="E214" t="str">
        <f>IFERROR(IF(VLOOKUP(A214,Cuaresma!A:C,3,FALSE)=Table15[[#Headers],[Cuaresma]],Table15[[#Headers],[Cuaresma]],""),"")</f>
        <v>Cuaresma</v>
      </c>
      <c r="F214" t="str">
        <f>IFERROR(IF(VLOOKUP(A214,Pascua!A:C,3,FALSE)=Table15[[#Headers],[Pascua]],Table15[[#Headers],[Pascua]],""),"")</f>
        <v/>
      </c>
      <c r="G214" t="str">
        <f>IFERROR(IF(VLOOKUP(A214,Pentecostés!A:C,3,FALSE)=Table15[[#Headers],[Pentecostés]],Table15[[#Headers],[Pentecostés]],""),"")</f>
        <v/>
      </c>
      <c r="H214" t="str">
        <f>IFERROR(IF(VLOOKUP(A214,Entrada!A:C,3,FALSE)=Table15[[#Headers],[Entrada]],Table15[[#Headers],[Entrada]],""),"")</f>
        <v/>
      </c>
      <c r="I214" t="str">
        <f>IFERROR(IF(VLOOKUP(A214,Virgen!A:C,3,FALSE)=Table15[[#Headers],[Virgen]],Table15[[#Headers],[Virgen]],""),"")</f>
        <v/>
      </c>
      <c r="J214" t="str">
        <f>IFERROR(IF(VLOOKUP(A214,Paz!A:C,3,FALSE)=Table15[[#Headers],[Paz]],Table15[[#Headers],[Paz]],""),"")</f>
        <v/>
      </c>
      <c r="K214" t="str">
        <f>IFERROR(IF(VLOOKUP(A214,Pan!A:C,3,FALSE)=Table15[[#Headers],[Pan]],Table15[[#Headers],[Pan]],""),"")</f>
        <v/>
      </c>
      <c r="L214" t="str">
        <f>IFERROR(IF(VLOOKUP(A214,Comunión!A:C,3,FALSE)=Table15[[#Headers],[Comunión]],Table15[[#Headers],[Comunión]],""),"")</f>
        <v/>
      </c>
      <c r="M214" t="str">
        <f>IFERROR(IF(VLOOKUP(A214,Niños!A:C,3,FALSE)=Table15[[#Headers],[Niños]],Table15[[#Headers],[Niños]],""),"")</f>
        <v/>
      </c>
      <c r="N214" t="str">
        <f>IFERROR(IF(VLOOKUP(A214,Laudes!A:C,3,FALSE)=Table15[[#Headers],[Laudes]],Table15[[#Headers],[Laudes]],""),"")</f>
        <v>Laudes</v>
      </c>
      <c r="O214" t="str">
        <f>IFERROR(IF(VLOOKUP(A214,'Nuevo Testamento'!A:C,3,FALSE)=Table15[[#Headers],[Nuevo Testamento]],Table15[[#Headers],[Nuevo Testamento]],""),"")</f>
        <v/>
      </c>
      <c r="P214" t="str">
        <f>IFERROR(IF(VLOOKUP(A214,'Antiguo Testamento'!A:C,3,FALSE)=Table15[[#Headers],[Antiguo Testamento]],Table15[[#Headers],[Antiguo Testamento]],""),"")</f>
        <v/>
      </c>
      <c r="Q214" t="str">
        <f>IFERROR(IF(VLOOKUP(A214,Final!A:C,3,FALSE)=Table15[[#Headers],[Final]],Table15[[#Headers],[Final]],""),"")</f>
        <v/>
      </c>
    </row>
    <row r="215" spans="1:17" x14ac:dyDescent="0.25">
      <c r="A215" t="s">
        <v>159</v>
      </c>
      <c r="B215">
        <v>227</v>
      </c>
      <c r="C215" t="str">
        <f>IFERROR(IF(VLOOKUP(A215,Adviento!A:C,3,FALSE)=Table15[[#Headers],[Adviento]],Table15[[#Headers],[Adviento]],""),"")</f>
        <v/>
      </c>
      <c r="D215" t="str">
        <f>IFERROR(IF(VLOOKUP(A215,Navidad!A:C,3,FALSE)=Table15[[#Headers],[Navidad]],Table15[[#Headers],[Navidad]],""),"")</f>
        <v/>
      </c>
      <c r="E215" t="str">
        <f>IFERROR(IF(VLOOKUP(A215,Cuaresma!A:C,3,FALSE)=Table15[[#Headers],[Cuaresma]],Table15[[#Headers],[Cuaresma]],""),"")</f>
        <v/>
      </c>
      <c r="F215" t="str">
        <f>IFERROR(IF(VLOOKUP(A215,Pascua!A:C,3,FALSE)=Table15[[#Headers],[Pascua]],Table15[[#Headers],[Pascua]],""),"")</f>
        <v/>
      </c>
      <c r="G215" t="str">
        <f>IFERROR(IF(VLOOKUP(A215,Pentecostés!A:C,3,FALSE)=Table15[[#Headers],[Pentecostés]],Table15[[#Headers],[Pentecostés]],""),"")</f>
        <v/>
      </c>
      <c r="H215" t="str">
        <f>IFERROR(IF(VLOOKUP(A215,Entrada!A:C,3,FALSE)=Table15[[#Headers],[Entrada]],Table15[[#Headers],[Entrada]],""),"")</f>
        <v/>
      </c>
      <c r="I215" t="str">
        <f>IFERROR(IF(VLOOKUP(A215,Virgen!A:C,3,FALSE)=Table15[[#Headers],[Virgen]],Table15[[#Headers],[Virgen]],""),"")</f>
        <v/>
      </c>
      <c r="J215" t="str">
        <f>IFERROR(IF(VLOOKUP(A215,Paz!A:C,3,FALSE)=Table15[[#Headers],[Paz]],Table15[[#Headers],[Paz]],""),"")</f>
        <v/>
      </c>
      <c r="K215" t="str">
        <f>IFERROR(IF(VLOOKUP(A215,Pan!A:C,3,FALSE)=Table15[[#Headers],[Pan]],Table15[[#Headers],[Pan]],""),"")</f>
        <v/>
      </c>
      <c r="L215" t="str">
        <f>IFERROR(IF(VLOOKUP(A215,Comunión!A:C,3,FALSE)=Table15[[#Headers],[Comunión]],Table15[[#Headers],[Comunión]],""),"")</f>
        <v/>
      </c>
      <c r="M215" t="str">
        <f>IFERROR(IF(VLOOKUP(A215,Niños!A:C,3,FALSE)=Table15[[#Headers],[Niños]],Table15[[#Headers],[Niños]],""),"")</f>
        <v/>
      </c>
      <c r="N215" t="str">
        <f>IFERROR(IF(VLOOKUP(A215,Laudes!A:C,3,FALSE)=Table15[[#Headers],[Laudes]],Table15[[#Headers],[Laudes]],""),"")</f>
        <v>Laudes</v>
      </c>
      <c r="O215" t="str">
        <f>IFERROR(IF(VLOOKUP(A215,'Nuevo Testamento'!A:C,3,FALSE)=Table15[[#Headers],[Nuevo Testamento]],Table15[[#Headers],[Nuevo Testamento]],""),"")</f>
        <v/>
      </c>
      <c r="P215" t="str">
        <f>IFERROR(IF(VLOOKUP(A215,'Antiguo Testamento'!A:C,3,FALSE)=Table15[[#Headers],[Antiguo Testamento]],Table15[[#Headers],[Antiguo Testamento]],""),"")</f>
        <v/>
      </c>
      <c r="Q215" t="str">
        <f>IFERROR(IF(VLOOKUP(A215,Final!A:C,3,FALSE)=Table15[[#Headers],[Final]],Table15[[#Headers],[Final]],""),"")</f>
        <v/>
      </c>
    </row>
    <row r="216" spans="1:17" x14ac:dyDescent="0.25">
      <c r="A216" t="s">
        <v>162</v>
      </c>
      <c r="B216">
        <v>228</v>
      </c>
      <c r="C216" t="str">
        <f>IFERROR(IF(VLOOKUP(A216,Adviento!A:C,3,FALSE)=Table15[[#Headers],[Adviento]],Table15[[#Headers],[Adviento]],""),"")</f>
        <v/>
      </c>
      <c r="D216" t="str">
        <f>IFERROR(IF(VLOOKUP(A216,Navidad!A:C,3,FALSE)=Table15[[#Headers],[Navidad]],Table15[[#Headers],[Navidad]],""),"")</f>
        <v/>
      </c>
      <c r="E216" t="str">
        <f>IFERROR(IF(VLOOKUP(A216,Cuaresma!A:C,3,FALSE)=Table15[[#Headers],[Cuaresma]],Table15[[#Headers],[Cuaresma]],""),"")</f>
        <v/>
      </c>
      <c r="F216" t="str">
        <f>IFERROR(IF(VLOOKUP(A216,Pascua!A:C,3,FALSE)=Table15[[#Headers],[Pascua]],Table15[[#Headers],[Pascua]],""),"")</f>
        <v/>
      </c>
      <c r="G216" t="str">
        <f>IFERROR(IF(VLOOKUP(A216,Pentecostés!A:C,3,FALSE)=Table15[[#Headers],[Pentecostés]],Table15[[#Headers],[Pentecostés]],""),"")</f>
        <v/>
      </c>
      <c r="H216" t="str">
        <f>IFERROR(IF(VLOOKUP(A216,Entrada!A:C,3,FALSE)=Table15[[#Headers],[Entrada]],Table15[[#Headers],[Entrada]],""),"")</f>
        <v/>
      </c>
      <c r="I216" t="str">
        <f>IFERROR(IF(VLOOKUP(A216,Virgen!A:C,3,FALSE)=Table15[[#Headers],[Virgen]],Table15[[#Headers],[Virgen]],""),"")</f>
        <v/>
      </c>
      <c r="J216" t="str">
        <f>IFERROR(IF(VLOOKUP(A216,Paz!A:C,3,FALSE)=Table15[[#Headers],[Paz]],Table15[[#Headers],[Paz]],""),"")</f>
        <v/>
      </c>
      <c r="K216" t="str">
        <f>IFERROR(IF(VLOOKUP(A216,Pan!A:C,3,FALSE)=Table15[[#Headers],[Pan]],Table15[[#Headers],[Pan]],""),"")</f>
        <v/>
      </c>
      <c r="L216" t="str">
        <f>IFERROR(IF(VLOOKUP(A216,Comunión!A:C,3,FALSE)=Table15[[#Headers],[Comunión]],Table15[[#Headers],[Comunión]],""),"")</f>
        <v/>
      </c>
      <c r="M216" t="str">
        <f>IFERROR(IF(VLOOKUP(A216,Niños!A:C,3,FALSE)=Table15[[#Headers],[Niños]],Table15[[#Headers],[Niños]],""),"")</f>
        <v/>
      </c>
      <c r="N216" t="str">
        <f>IFERROR(IF(VLOOKUP(A216,Laudes!A:C,3,FALSE)=Table15[[#Headers],[Laudes]],Table15[[#Headers],[Laudes]],""),"")</f>
        <v/>
      </c>
      <c r="O216" t="str">
        <f>IFERROR(IF(VLOOKUP(A216,'Nuevo Testamento'!A:C,3,FALSE)=Table15[[#Headers],[Nuevo Testamento]],Table15[[#Headers],[Nuevo Testamento]],""),"")</f>
        <v/>
      </c>
      <c r="P216" t="str">
        <f>IFERROR(IF(VLOOKUP(A216,'Antiguo Testamento'!A:C,3,FALSE)=Table15[[#Headers],[Antiguo Testamento]],Table15[[#Headers],[Antiguo Testamento]],""),"")</f>
        <v>Antiguo Testamento</v>
      </c>
      <c r="Q216" t="str">
        <f>IFERROR(IF(VLOOKUP(A216,Final!A:C,3,FALSE)=Table15[[#Headers],[Final]],Table15[[#Headers],[Final]],""),"")</f>
        <v/>
      </c>
    </row>
    <row r="217" spans="1:17" x14ac:dyDescent="0.25">
      <c r="A217" t="s">
        <v>175</v>
      </c>
      <c r="B217">
        <v>229</v>
      </c>
      <c r="C217" t="str">
        <f>IFERROR(IF(VLOOKUP(A217,Adviento!A:C,3,FALSE)=Table15[[#Headers],[Adviento]],Table15[[#Headers],[Adviento]],""),"")</f>
        <v/>
      </c>
      <c r="D217" t="str">
        <f>IFERROR(IF(VLOOKUP(A217,Navidad!A:C,3,FALSE)=Table15[[#Headers],[Navidad]],Table15[[#Headers],[Navidad]],""),"")</f>
        <v/>
      </c>
      <c r="E217" t="str">
        <f>IFERROR(IF(VLOOKUP(A217,Cuaresma!A:C,3,FALSE)=Table15[[#Headers],[Cuaresma]],Table15[[#Headers],[Cuaresma]],""),"")</f>
        <v/>
      </c>
      <c r="F217" t="str">
        <f>IFERROR(IF(VLOOKUP(A217,Pascua!A:C,3,FALSE)=Table15[[#Headers],[Pascua]],Table15[[#Headers],[Pascua]],""),"")</f>
        <v/>
      </c>
      <c r="G217" t="str">
        <f>IFERROR(IF(VLOOKUP(A217,Pentecostés!A:C,3,FALSE)=Table15[[#Headers],[Pentecostés]],Table15[[#Headers],[Pentecostés]],""),"")</f>
        <v/>
      </c>
      <c r="H217" t="str">
        <f>IFERROR(IF(VLOOKUP(A217,Entrada!A:C,3,FALSE)=Table15[[#Headers],[Entrada]],Table15[[#Headers],[Entrada]],""),"")</f>
        <v/>
      </c>
      <c r="I217" t="str">
        <f>IFERROR(IF(VLOOKUP(A217,Virgen!A:C,3,FALSE)=Table15[[#Headers],[Virgen]],Table15[[#Headers],[Virgen]],""),"")</f>
        <v/>
      </c>
      <c r="J217" t="str">
        <f>IFERROR(IF(VLOOKUP(A217,Paz!A:C,3,FALSE)=Table15[[#Headers],[Paz]],Table15[[#Headers],[Paz]],""),"")</f>
        <v/>
      </c>
      <c r="K217" t="str">
        <f>IFERROR(IF(VLOOKUP(A217,Pan!A:C,3,FALSE)=Table15[[#Headers],[Pan]],Table15[[#Headers],[Pan]],""),"")</f>
        <v/>
      </c>
      <c r="L217" t="str">
        <f>IFERROR(IF(VLOOKUP(A217,Comunión!A:C,3,FALSE)=Table15[[#Headers],[Comunión]],Table15[[#Headers],[Comunión]],""),"")</f>
        <v/>
      </c>
      <c r="M217" t="str">
        <f>IFERROR(IF(VLOOKUP(A217,Niños!A:C,3,FALSE)=Table15[[#Headers],[Niños]],Table15[[#Headers],[Niños]],""),"")</f>
        <v/>
      </c>
      <c r="N217" t="str">
        <f>IFERROR(IF(VLOOKUP(A217,Laudes!A:C,3,FALSE)=Table15[[#Headers],[Laudes]],Table15[[#Headers],[Laudes]],""),"")</f>
        <v/>
      </c>
      <c r="O217" t="str">
        <f>IFERROR(IF(VLOOKUP(A217,'Nuevo Testamento'!A:C,3,FALSE)=Table15[[#Headers],[Nuevo Testamento]],Table15[[#Headers],[Nuevo Testamento]],""),"")</f>
        <v>Nuevo Testamento</v>
      </c>
      <c r="P217" t="str">
        <f>IFERROR(IF(VLOOKUP(A217,'Antiguo Testamento'!A:C,3,FALSE)=Table15[[#Headers],[Antiguo Testamento]],Table15[[#Headers],[Antiguo Testamento]],""),"")</f>
        <v/>
      </c>
      <c r="Q217" t="str">
        <f>IFERROR(IF(VLOOKUP(A217,Final!A:C,3,FALSE)=Table15[[#Headers],[Final]],Table15[[#Headers],[Final]],""),"")</f>
        <v/>
      </c>
    </row>
    <row r="218" spans="1:17" x14ac:dyDescent="0.25">
      <c r="A218" t="s">
        <v>71</v>
      </c>
      <c r="B218">
        <v>230</v>
      </c>
      <c r="C218" t="str">
        <f>IFERROR(IF(VLOOKUP(A218,Adviento!A:C,3,FALSE)=Table15[[#Headers],[Adviento]],Table15[[#Headers],[Adviento]],""),"")</f>
        <v/>
      </c>
      <c r="D218" t="str">
        <f>IFERROR(IF(VLOOKUP(A218,Navidad!A:C,3,FALSE)=Table15[[#Headers],[Navidad]],Table15[[#Headers],[Navidad]],""),"")</f>
        <v/>
      </c>
      <c r="E218" t="str">
        <f>IFERROR(IF(VLOOKUP(A218,Cuaresma!A:C,3,FALSE)=Table15[[#Headers],[Cuaresma]],Table15[[#Headers],[Cuaresma]],""),"")</f>
        <v/>
      </c>
      <c r="F218" t="str">
        <f>IFERROR(IF(VLOOKUP(A218,Pascua!A:C,3,FALSE)=Table15[[#Headers],[Pascua]],Table15[[#Headers],[Pascua]],""),"")</f>
        <v/>
      </c>
      <c r="G218" t="str">
        <f>IFERROR(IF(VLOOKUP(A218,Pentecostés!A:C,3,FALSE)=Table15[[#Headers],[Pentecostés]],Table15[[#Headers],[Pentecostés]],""),"")</f>
        <v/>
      </c>
      <c r="H218" t="str">
        <f>IFERROR(IF(VLOOKUP(A218,Entrada!A:C,3,FALSE)=Table15[[#Headers],[Entrada]],Table15[[#Headers],[Entrada]],""),"")</f>
        <v/>
      </c>
      <c r="I218" t="str">
        <f>IFERROR(IF(VLOOKUP(A218,Virgen!A:C,3,FALSE)=Table15[[#Headers],[Virgen]],Table15[[#Headers],[Virgen]],""),"")</f>
        <v/>
      </c>
      <c r="J218" t="str">
        <f>IFERROR(IF(VLOOKUP(A218,Paz!A:C,3,FALSE)=Table15[[#Headers],[Paz]],Table15[[#Headers],[Paz]],""),"")</f>
        <v/>
      </c>
      <c r="K218" t="str">
        <f>IFERROR(IF(VLOOKUP(A218,Pan!A:C,3,FALSE)=Table15[[#Headers],[Pan]],Table15[[#Headers],[Pan]],""),"")</f>
        <v/>
      </c>
      <c r="L218" t="str">
        <f>IFERROR(IF(VLOOKUP(A218,Comunión!A:C,3,FALSE)=Table15[[#Headers],[Comunión]],Table15[[#Headers],[Comunión]],""),"")</f>
        <v/>
      </c>
      <c r="M218" t="str">
        <f>IFERROR(IF(VLOOKUP(A218,Niños!A:C,3,FALSE)=Table15[[#Headers],[Niños]],Table15[[#Headers],[Niños]],""),"")</f>
        <v/>
      </c>
      <c r="N218" t="str">
        <f>IFERROR(IF(VLOOKUP(A218,Laudes!A:C,3,FALSE)=Table15[[#Headers],[Laudes]],Table15[[#Headers],[Laudes]],""),"")</f>
        <v/>
      </c>
      <c r="O218" t="str">
        <f>IFERROR(IF(VLOOKUP(A218,'Nuevo Testamento'!A:C,3,FALSE)=Table15[[#Headers],[Nuevo Testamento]],Table15[[#Headers],[Nuevo Testamento]],""),"")</f>
        <v>Nuevo Testamento</v>
      </c>
      <c r="P218" t="str">
        <f>IFERROR(IF(VLOOKUP(A218,'Antiguo Testamento'!A:C,3,FALSE)=Table15[[#Headers],[Antiguo Testamento]],Table15[[#Headers],[Antiguo Testamento]],""),"")</f>
        <v/>
      </c>
      <c r="Q218" t="str">
        <f>IFERROR(IF(VLOOKUP(A218,Final!A:C,3,FALSE)=Table15[[#Headers],[Final]],Table15[[#Headers],[Final]],""),"")</f>
        <v/>
      </c>
    </row>
    <row r="219" spans="1:17" x14ac:dyDescent="0.25">
      <c r="A219" t="s">
        <v>72</v>
      </c>
      <c r="B219">
        <v>231</v>
      </c>
      <c r="C219" t="str">
        <f>IFERROR(IF(VLOOKUP(A219,Adviento!A:C,3,FALSE)=Table15[[#Headers],[Adviento]],Table15[[#Headers],[Adviento]],""),"")</f>
        <v/>
      </c>
      <c r="D219" t="str">
        <f>IFERROR(IF(VLOOKUP(A219,Navidad!A:C,3,FALSE)=Table15[[#Headers],[Navidad]],Table15[[#Headers],[Navidad]],""),"")</f>
        <v/>
      </c>
      <c r="E219" t="str">
        <f>IFERROR(IF(VLOOKUP(A219,Cuaresma!A:C,3,FALSE)=Table15[[#Headers],[Cuaresma]],Table15[[#Headers],[Cuaresma]],""),"")</f>
        <v>Cuaresma</v>
      </c>
      <c r="F219" t="str">
        <f>IFERROR(IF(VLOOKUP(A219,Pascua!A:C,3,FALSE)=Table15[[#Headers],[Pascua]],Table15[[#Headers],[Pascua]],""),"")</f>
        <v/>
      </c>
      <c r="G219" t="str">
        <f>IFERROR(IF(VLOOKUP(A219,Pentecostés!A:C,3,FALSE)=Table15[[#Headers],[Pentecostés]],Table15[[#Headers],[Pentecostés]],""),"")</f>
        <v/>
      </c>
      <c r="H219" t="str">
        <f>IFERROR(IF(VLOOKUP(A219,Entrada!A:C,3,FALSE)=Table15[[#Headers],[Entrada]],Table15[[#Headers],[Entrada]],""),"")</f>
        <v/>
      </c>
      <c r="I219" t="str">
        <f>IFERROR(IF(VLOOKUP(A219,Virgen!A:C,3,FALSE)=Table15[[#Headers],[Virgen]],Table15[[#Headers],[Virgen]],""),"")</f>
        <v/>
      </c>
      <c r="J219" t="str">
        <f>IFERROR(IF(VLOOKUP(A219,Paz!A:C,3,FALSE)=Table15[[#Headers],[Paz]],Table15[[#Headers],[Paz]],""),"")</f>
        <v/>
      </c>
      <c r="K219" t="str">
        <f>IFERROR(IF(VLOOKUP(A219,Pan!A:C,3,FALSE)=Table15[[#Headers],[Pan]],Table15[[#Headers],[Pan]],""),"")</f>
        <v/>
      </c>
      <c r="L219" t="str">
        <f>IFERROR(IF(VLOOKUP(A219,Comunión!A:C,3,FALSE)=Table15[[#Headers],[Comunión]],Table15[[#Headers],[Comunión]],""),"")</f>
        <v/>
      </c>
      <c r="M219" t="str">
        <f>IFERROR(IF(VLOOKUP(A219,Niños!A:C,3,FALSE)=Table15[[#Headers],[Niños]],Table15[[#Headers],[Niños]],""),"")</f>
        <v/>
      </c>
      <c r="N219" t="str">
        <f>IFERROR(IF(VLOOKUP(A219,Laudes!A:C,3,FALSE)=Table15[[#Headers],[Laudes]],Table15[[#Headers],[Laudes]],""),"")</f>
        <v/>
      </c>
      <c r="O219" t="str">
        <f>IFERROR(IF(VLOOKUP(A219,'Nuevo Testamento'!A:C,3,FALSE)=Table15[[#Headers],[Nuevo Testamento]],Table15[[#Headers],[Nuevo Testamento]],""),"")</f>
        <v/>
      </c>
      <c r="P219" t="str">
        <f>IFERROR(IF(VLOOKUP(A219,'Antiguo Testamento'!A:C,3,FALSE)=Table15[[#Headers],[Antiguo Testamento]],Table15[[#Headers],[Antiguo Testamento]],""),"")</f>
        <v>Antiguo Testamento</v>
      </c>
      <c r="Q219" t="str">
        <f>IFERROR(IF(VLOOKUP(A219,Final!A:C,3,FALSE)=Table15[[#Headers],[Final]],Table15[[#Headers],[Final]],""),"")</f>
        <v/>
      </c>
    </row>
    <row r="220" spans="1:17" x14ac:dyDescent="0.25">
      <c r="A220" t="s">
        <v>182</v>
      </c>
      <c r="B220">
        <v>232</v>
      </c>
      <c r="C220" t="str">
        <f>IFERROR(IF(VLOOKUP(A220,Adviento!A:C,3,FALSE)=Table15[[#Headers],[Adviento]],Table15[[#Headers],[Adviento]],""),"")</f>
        <v/>
      </c>
      <c r="D220" t="str">
        <f>IFERROR(IF(VLOOKUP(A220,Navidad!A:C,3,FALSE)=Table15[[#Headers],[Navidad]],Table15[[#Headers],[Navidad]],""),"")</f>
        <v/>
      </c>
      <c r="E220" t="str">
        <f>IFERROR(IF(VLOOKUP(A220,Cuaresma!A:C,3,FALSE)=Table15[[#Headers],[Cuaresma]],Table15[[#Headers],[Cuaresma]],""),"")</f>
        <v/>
      </c>
      <c r="F220" t="str">
        <f>IFERROR(IF(VLOOKUP(A220,Pascua!A:C,3,FALSE)=Table15[[#Headers],[Pascua]],Table15[[#Headers],[Pascua]],""),"")</f>
        <v/>
      </c>
      <c r="G220" t="str">
        <f>IFERROR(IF(VLOOKUP(A220,Pentecostés!A:C,3,FALSE)=Table15[[#Headers],[Pentecostés]],Table15[[#Headers],[Pentecostés]],""),"")</f>
        <v/>
      </c>
      <c r="H220" t="str">
        <f>IFERROR(IF(VLOOKUP(A220,Entrada!A:C,3,FALSE)=Table15[[#Headers],[Entrada]],Table15[[#Headers],[Entrada]],""),"")</f>
        <v/>
      </c>
      <c r="I220" t="str">
        <f>IFERROR(IF(VLOOKUP(A220,Virgen!A:C,3,FALSE)=Table15[[#Headers],[Virgen]],Table15[[#Headers],[Virgen]],""),"")</f>
        <v/>
      </c>
      <c r="J220" t="str">
        <f>IFERROR(IF(VLOOKUP(A220,Paz!A:C,3,FALSE)=Table15[[#Headers],[Paz]],Table15[[#Headers],[Paz]],""),"")</f>
        <v/>
      </c>
      <c r="K220" t="str">
        <f>IFERROR(IF(VLOOKUP(A220,Pan!A:C,3,FALSE)=Table15[[#Headers],[Pan]],Table15[[#Headers],[Pan]],""),"")</f>
        <v/>
      </c>
      <c r="L220" t="str">
        <f>IFERROR(IF(VLOOKUP(A220,Comunión!A:C,3,FALSE)=Table15[[#Headers],[Comunión]],Table15[[#Headers],[Comunión]],""),"")</f>
        <v/>
      </c>
      <c r="M220" t="str">
        <f>IFERROR(IF(VLOOKUP(A220,Niños!A:C,3,FALSE)=Table15[[#Headers],[Niños]],Table15[[#Headers],[Niños]],""),"")</f>
        <v/>
      </c>
      <c r="N220" t="str">
        <f>IFERROR(IF(VLOOKUP(A220,Laudes!A:C,3,FALSE)=Table15[[#Headers],[Laudes]],Table15[[#Headers],[Laudes]],""),"")</f>
        <v/>
      </c>
      <c r="O220" t="str">
        <f>IFERROR(IF(VLOOKUP(A220,'Nuevo Testamento'!A:C,3,FALSE)=Table15[[#Headers],[Nuevo Testamento]],Table15[[#Headers],[Nuevo Testamento]],""),"")</f>
        <v/>
      </c>
      <c r="P220" t="str">
        <f>IFERROR(IF(VLOOKUP(A220,'Antiguo Testamento'!A:C,3,FALSE)=Table15[[#Headers],[Antiguo Testamento]],Table15[[#Headers],[Antiguo Testamento]],""),"")</f>
        <v>Antiguo Testamento</v>
      </c>
      <c r="Q220" t="str">
        <f>IFERROR(IF(VLOOKUP(A220,Final!A:C,3,FALSE)=Table15[[#Headers],[Final]],Table15[[#Headers],[Final]],""),"")</f>
        <v/>
      </c>
    </row>
    <row r="221" spans="1:17" x14ac:dyDescent="0.25">
      <c r="A221" t="s">
        <v>208</v>
      </c>
      <c r="B221">
        <v>233</v>
      </c>
      <c r="C221" t="str">
        <f>IFERROR(IF(VLOOKUP(A221,Adviento!A:C,3,FALSE)=Table15[[#Headers],[Adviento]],Table15[[#Headers],[Adviento]],""),"")</f>
        <v/>
      </c>
      <c r="D221" t="str">
        <f>IFERROR(IF(VLOOKUP(A221,Navidad!A:C,3,FALSE)=Table15[[#Headers],[Navidad]],Table15[[#Headers],[Navidad]],""),"")</f>
        <v/>
      </c>
      <c r="E221" t="str">
        <f>IFERROR(IF(VLOOKUP(A221,Cuaresma!A:C,3,FALSE)=Table15[[#Headers],[Cuaresma]],Table15[[#Headers],[Cuaresma]],""),"")</f>
        <v/>
      </c>
      <c r="F221" t="str">
        <f>IFERROR(IF(VLOOKUP(A221,Pascua!A:C,3,FALSE)=Table15[[#Headers],[Pascua]],Table15[[#Headers],[Pascua]],""),"")</f>
        <v/>
      </c>
      <c r="G221" t="str">
        <f>IFERROR(IF(VLOOKUP(A221,Pentecostés!A:C,3,FALSE)=Table15[[#Headers],[Pentecostés]],Table15[[#Headers],[Pentecostés]],""),"")</f>
        <v/>
      </c>
      <c r="H221" t="str">
        <f>IFERROR(IF(VLOOKUP(A221,Entrada!A:C,3,FALSE)=Table15[[#Headers],[Entrada]],Table15[[#Headers],[Entrada]],""),"")</f>
        <v/>
      </c>
      <c r="I221" t="str">
        <f>IFERROR(IF(VLOOKUP(A221,Virgen!A:C,3,FALSE)=Table15[[#Headers],[Virgen]],Table15[[#Headers],[Virgen]],""),"")</f>
        <v/>
      </c>
      <c r="J221" t="str">
        <f>IFERROR(IF(VLOOKUP(A221,Paz!A:C,3,FALSE)=Table15[[#Headers],[Paz]],Table15[[#Headers],[Paz]],""),"")</f>
        <v/>
      </c>
      <c r="K221" t="str">
        <f>IFERROR(IF(VLOOKUP(A221,Pan!A:C,3,FALSE)=Table15[[#Headers],[Pan]],Table15[[#Headers],[Pan]],""),"")</f>
        <v/>
      </c>
      <c r="L221" t="str">
        <f>IFERROR(IF(VLOOKUP(A221,Comunión!A:C,3,FALSE)=Table15[[#Headers],[Comunión]],Table15[[#Headers],[Comunión]],""),"")</f>
        <v/>
      </c>
      <c r="M221" t="str">
        <f>IFERROR(IF(VLOOKUP(A221,Niños!A:C,3,FALSE)=Table15[[#Headers],[Niños]],Table15[[#Headers],[Niños]],""),"")</f>
        <v/>
      </c>
      <c r="N221" t="str">
        <f>IFERROR(IF(VLOOKUP(A221,Laudes!A:C,3,FALSE)=Table15[[#Headers],[Laudes]],Table15[[#Headers],[Laudes]],""),"")</f>
        <v/>
      </c>
      <c r="O221" t="str">
        <f>IFERROR(IF(VLOOKUP(A221,'Nuevo Testamento'!A:C,3,FALSE)=Table15[[#Headers],[Nuevo Testamento]],Table15[[#Headers],[Nuevo Testamento]],""),"")</f>
        <v/>
      </c>
      <c r="P221" t="str">
        <f>IFERROR(IF(VLOOKUP(A221,'Antiguo Testamento'!A:C,3,FALSE)=Table15[[#Headers],[Antiguo Testamento]],Table15[[#Headers],[Antiguo Testamento]],""),"")</f>
        <v>Antiguo Testamento</v>
      </c>
      <c r="Q221" t="str">
        <f>IFERROR(IF(VLOOKUP(A221,Final!A:C,3,FALSE)=Table15[[#Headers],[Final]],Table15[[#Headers],[Final]],""),"")</f>
        <v/>
      </c>
    </row>
    <row r="222" spans="1:17" x14ac:dyDescent="0.25">
      <c r="A222" t="s">
        <v>87</v>
      </c>
      <c r="B222">
        <v>234</v>
      </c>
      <c r="C222" t="str">
        <f>IFERROR(IF(VLOOKUP(A222,Adviento!A:C,3,FALSE)=Table15[[#Headers],[Adviento]],Table15[[#Headers],[Adviento]],""),"")</f>
        <v/>
      </c>
      <c r="D222" t="str">
        <f>IFERROR(IF(VLOOKUP(A222,Navidad!A:C,3,FALSE)=Table15[[#Headers],[Navidad]],Table15[[#Headers],[Navidad]],""),"")</f>
        <v/>
      </c>
      <c r="E222" t="str">
        <f>IFERROR(IF(VLOOKUP(A222,Cuaresma!A:C,3,FALSE)=Table15[[#Headers],[Cuaresma]],Table15[[#Headers],[Cuaresma]],""),"")</f>
        <v/>
      </c>
      <c r="F222" t="str">
        <f>IFERROR(IF(VLOOKUP(A222,Pascua!A:C,3,FALSE)=Table15[[#Headers],[Pascua]],Table15[[#Headers],[Pascua]],""),"")</f>
        <v/>
      </c>
      <c r="G222" t="str">
        <f>IFERROR(IF(VLOOKUP(A222,Pentecostés!A:C,3,FALSE)=Table15[[#Headers],[Pentecostés]],Table15[[#Headers],[Pentecostés]],""),"")</f>
        <v/>
      </c>
      <c r="H222" t="str">
        <f>IFERROR(IF(VLOOKUP(A222,Entrada!A:C,3,FALSE)=Table15[[#Headers],[Entrada]],Table15[[#Headers],[Entrada]],""),"")</f>
        <v/>
      </c>
      <c r="I222" t="str">
        <f>IFERROR(IF(VLOOKUP(A222,Virgen!A:C,3,FALSE)=Table15[[#Headers],[Virgen]],Table15[[#Headers],[Virgen]],""),"")</f>
        <v/>
      </c>
      <c r="J222" t="str">
        <f>IFERROR(IF(VLOOKUP(A222,Paz!A:C,3,FALSE)=Table15[[#Headers],[Paz]],Table15[[#Headers],[Paz]],""),"")</f>
        <v/>
      </c>
      <c r="K222" t="str">
        <f>IFERROR(IF(VLOOKUP(A222,Pan!A:C,3,FALSE)=Table15[[#Headers],[Pan]],Table15[[#Headers],[Pan]],""),"")</f>
        <v/>
      </c>
      <c r="L222" t="str">
        <f>IFERROR(IF(VLOOKUP(A222,Comunión!A:C,3,FALSE)=Table15[[#Headers],[Comunión]],Table15[[#Headers],[Comunión]],""),"")</f>
        <v/>
      </c>
      <c r="M222" t="str">
        <f>IFERROR(IF(VLOOKUP(A222,Niños!A:C,3,FALSE)=Table15[[#Headers],[Niños]],Table15[[#Headers],[Niños]],""),"")</f>
        <v/>
      </c>
      <c r="N222" t="str">
        <f>IFERROR(IF(VLOOKUP(A222,Laudes!A:C,3,FALSE)=Table15[[#Headers],[Laudes]],Table15[[#Headers],[Laudes]],""),"")</f>
        <v/>
      </c>
      <c r="O222" t="str">
        <f>IFERROR(IF(VLOOKUP(A222,'Nuevo Testamento'!A:C,3,FALSE)=Table15[[#Headers],[Nuevo Testamento]],Table15[[#Headers],[Nuevo Testamento]],""),"")</f>
        <v/>
      </c>
      <c r="P222" t="str">
        <f>IFERROR(IF(VLOOKUP(A222,'Antiguo Testamento'!A:C,3,FALSE)=Table15[[#Headers],[Antiguo Testamento]],Table15[[#Headers],[Antiguo Testamento]],""),"")</f>
        <v>Antiguo Testamento</v>
      </c>
      <c r="Q222" t="str">
        <f>IFERROR(IF(VLOOKUP(A222,Final!A:C,3,FALSE)=Table15[[#Headers],[Final]],Table15[[#Headers],[Final]],""),"")</f>
        <v/>
      </c>
    </row>
    <row r="223" spans="1:17" x14ac:dyDescent="0.25">
      <c r="A223" t="s">
        <v>212</v>
      </c>
      <c r="B223">
        <v>235</v>
      </c>
      <c r="C223" t="str">
        <f>IFERROR(IF(VLOOKUP(A223,Adviento!A:C,3,FALSE)=Table15[[#Headers],[Adviento]],Table15[[#Headers],[Adviento]],""),"")</f>
        <v/>
      </c>
      <c r="D223" t="str">
        <f>IFERROR(IF(VLOOKUP(A223,Navidad!A:C,3,FALSE)=Table15[[#Headers],[Navidad]],Table15[[#Headers],[Navidad]],""),"")</f>
        <v/>
      </c>
      <c r="E223" t="str">
        <f>IFERROR(IF(VLOOKUP(A223,Cuaresma!A:C,3,FALSE)=Table15[[#Headers],[Cuaresma]],Table15[[#Headers],[Cuaresma]],""),"")</f>
        <v>Cuaresma</v>
      </c>
      <c r="F223" t="str">
        <f>IFERROR(IF(VLOOKUP(A223,Pascua!A:C,3,FALSE)=Table15[[#Headers],[Pascua]],Table15[[#Headers],[Pascua]],""),"")</f>
        <v/>
      </c>
      <c r="G223" t="str">
        <f>IFERROR(IF(VLOOKUP(A223,Pentecostés!A:C,3,FALSE)=Table15[[#Headers],[Pentecostés]],Table15[[#Headers],[Pentecostés]],""),"")</f>
        <v/>
      </c>
      <c r="H223" t="str">
        <f>IFERROR(IF(VLOOKUP(A223,Entrada!A:C,3,FALSE)=Table15[[#Headers],[Entrada]],Table15[[#Headers],[Entrada]],""),"")</f>
        <v/>
      </c>
      <c r="I223" t="str">
        <f>IFERROR(IF(VLOOKUP(A223,Virgen!A:C,3,FALSE)=Table15[[#Headers],[Virgen]],Table15[[#Headers],[Virgen]],""),"")</f>
        <v/>
      </c>
      <c r="J223" t="str">
        <f>IFERROR(IF(VLOOKUP(A223,Paz!A:C,3,FALSE)=Table15[[#Headers],[Paz]],Table15[[#Headers],[Paz]],""),"")</f>
        <v/>
      </c>
      <c r="K223" t="str">
        <f>IFERROR(IF(VLOOKUP(A223,Pan!A:C,3,FALSE)=Table15[[#Headers],[Pan]],Table15[[#Headers],[Pan]],""),"")</f>
        <v/>
      </c>
      <c r="L223" t="str">
        <f>IFERROR(IF(VLOOKUP(A223,Comunión!A:C,3,FALSE)=Table15[[#Headers],[Comunión]],Table15[[#Headers],[Comunión]],""),"")</f>
        <v/>
      </c>
      <c r="M223" t="str">
        <f>IFERROR(IF(VLOOKUP(A223,Niños!A:C,3,FALSE)=Table15[[#Headers],[Niños]],Table15[[#Headers],[Niños]],""),"")</f>
        <v/>
      </c>
      <c r="N223" t="str">
        <f>IFERROR(IF(VLOOKUP(A223,Laudes!A:C,3,FALSE)=Table15[[#Headers],[Laudes]],Table15[[#Headers],[Laudes]],""),"")</f>
        <v/>
      </c>
      <c r="O223" t="str">
        <f>IFERROR(IF(VLOOKUP(A223,'Nuevo Testamento'!A:C,3,FALSE)=Table15[[#Headers],[Nuevo Testamento]],Table15[[#Headers],[Nuevo Testamento]],""),"")</f>
        <v/>
      </c>
      <c r="P223" t="str">
        <f>IFERROR(IF(VLOOKUP(A223,'Antiguo Testamento'!A:C,3,FALSE)=Table15[[#Headers],[Antiguo Testamento]],Table15[[#Headers],[Antiguo Testamento]],""),"")</f>
        <v>Antiguo Testamento</v>
      </c>
      <c r="Q223" t="str">
        <f>IFERROR(IF(VLOOKUP(A223,Final!A:C,3,FALSE)=Table15[[#Headers],[Final]],Table15[[#Headers],[Final]],""),"")</f>
        <v/>
      </c>
    </row>
    <row r="224" spans="1:17" x14ac:dyDescent="0.25">
      <c r="A224" t="s">
        <v>94</v>
      </c>
      <c r="B224">
        <v>236</v>
      </c>
      <c r="C224" t="str">
        <f>IFERROR(IF(VLOOKUP(A224,Adviento!A:C,3,FALSE)=Table15[[#Headers],[Adviento]],Table15[[#Headers],[Adviento]],""),"")</f>
        <v>Adviento</v>
      </c>
      <c r="D224" t="str">
        <f>IFERROR(IF(VLOOKUP(A224,Navidad!A:C,3,FALSE)=Table15[[#Headers],[Navidad]],Table15[[#Headers],[Navidad]],""),"")</f>
        <v>Navidad</v>
      </c>
      <c r="E224" t="str">
        <f>IFERROR(IF(VLOOKUP(A224,Cuaresma!A:C,3,FALSE)=Table15[[#Headers],[Cuaresma]],Table15[[#Headers],[Cuaresma]],""),"")</f>
        <v/>
      </c>
      <c r="F224" t="str">
        <f>IFERROR(IF(VLOOKUP(A224,Pascua!A:C,3,FALSE)=Table15[[#Headers],[Pascua]],Table15[[#Headers],[Pascua]],""),"")</f>
        <v/>
      </c>
      <c r="G224" t="str">
        <f>IFERROR(IF(VLOOKUP(A224,Pentecostés!A:C,3,FALSE)=Table15[[#Headers],[Pentecostés]],Table15[[#Headers],[Pentecostés]],""),"")</f>
        <v/>
      </c>
      <c r="H224" t="str">
        <f>IFERROR(IF(VLOOKUP(A224,Entrada!A:C,3,FALSE)=Table15[[#Headers],[Entrada]],Table15[[#Headers],[Entrada]],""),"")</f>
        <v/>
      </c>
      <c r="I224" t="str">
        <f>IFERROR(IF(VLOOKUP(A224,Virgen!A:C,3,FALSE)=Table15[[#Headers],[Virgen]],Table15[[#Headers],[Virgen]],""),"")</f>
        <v/>
      </c>
      <c r="J224" t="str">
        <f>IFERROR(IF(VLOOKUP(A224,Paz!A:C,3,FALSE)=Table15[[#Headers],[Paz]],Table15[[#Headers],[Paz]],""),"")</f>
        <v/>
      </c>
      <c r="K224" t="str">
        <f>IFERROR(IF(VLOOKUP(A224,Pan!A:C,3,FALSE)=Table15[[#Headers],[Pan]],Table15[[#Headers],[Pan]],""),"")</f>
        <v/>
      </c>
      <c r="L224" t="str">
        <f>IFERROR(IF(VLOOKUP(A224,Comunión!A:C,3,FALSE)=Table15[[#Headers],[Comunión]],Table15[[#Headers],[Comunión]],""),"")</f>
        <v/>
      </c>
      <c r="M224" t="str">
        <f>IFERROR(IF(VLOOKUP(A224,Niños!A:C,3,FALSE)=Table15[[#Headers],[Niños]],Table15[[#Headers],[Niños]],""),"")</f>
        <v/>
      </c>
      <c r="N224" t="str">
        <f>IFERROR(IF(VLOOKUP(A224,Laudes!A:C,3,FALSE)=Table15[[#Headers],[Laudes]],Table15[[#Headers],[Laudes]],""),"")</f>
        <v/>
      </c>
      <c r="O224" t="str">
        <f>IFERROR(IF(VLOOKUP(A224,'Nuevo Testamento'!A:C,3,FALSE)=Table15[[#Headers],[Nuevo Testamento]],Table15[[#Headers],[Nuevo Testamento]],""),"")</f>
        <v/>
      </c>
      <c r="P224" t="str">
        <f>IFERROR(IF(VLOOKUP(A224,'Antiguo Testamento'!A:C,3,FALSE)=Table15[[#Headers],[Antiguo Testamento]],Table15[[#Headers],[Antiguo Testamento]],""),"")</f>
        <v/>
      </c>
      <c r="Q224" t="str">
        <f>IFERROR(IF(VLOOKUP(A224,Final!A:C,3,FALSE)=Table15[[#Headers],[Final]],Table15[[#Headers],[Final]],""),"")</f>
        <v/>
      </c>
    </row>
    <row r="225" spans="1:17" x14ac:dyDescent="0.25">
      <c r="A225" t="s">
        <v>104</v>
      </c>
      <c r="B225">
        <v>237</v>
      </c>
      <c r="C225" t="str">
        <f>IFERROR(IF(VLOOKUP(A225,Adviento!A:C,3,FALSE)=Table15[[#Headers],[Adviento]],Table15[[#Headers],[Adviento]],""),"")</f>
        <v/>
      </c>
      <c r="D225" t="str">
        <f>IFERROR(IF(VLOOKUP(A225,Navidad!A:C,3,FALSE)=Table15[[#Headers],[Navidad]],Table15[[#Headers],[Navidad]],""),"")</f>
        <v/>
      </c>
      <c r="E225" t="str">
        <f>IFERROR(IF(VLOOKUP(A225,Cuaresma!A:C,3,FALSE)=Table15[[#Headers],[Cuaresma]],Table15[[#Headers],[Cuaresma]],""),"")</f>
        <v/>
      </c>
      <c r="F225" t="str">
        <f>IFERROR(IF(VLOOKUP(A225,Pascua!A:C,3,FALSE)=Table15[[#Headers],[Pascua]],Table15[[#Headers],[Pascua]],""),"")</f>
        <v>Pascua</v>
      </c>
      <c r="G225" t="str">
        <f>IFERROR(IF(VLOOKUP(A225,Pentecostés!A:C,3,FALSE)=Table15[[#Headers],[Pentecostés]],Table15[[#Headers],[Pentecostés]],""),"")</f>
        <v>Pentecostés</v>
      </c>
      <c r="H225" t="str">
        <f>IFERROR(IF(VLOOKUP(A225,Entrada!A:C,3,FALSE)=Table15[[#Headers],[Entrada]],Table15[[#Headers],[Entrada]],""),"")</f>
        <v/>
      </c>
      <c r="I225" t="str">
        <f>IFERROR(IF(VLOOKUP(A225,Virgen!A:C,3,FALSE)=Table15[[#Headers],[Virgen]],Table15[[#Headers],[Virgen]],""),"")</f>
        <v/>
      </c>
      <c r="J225" t="str">
        <f>IFERROR(IF(VLOOKUP(A225,Paz!A:C,3,FALSE)=Table15[[#Headers],[Paz]],Table15[[#Headers],[Paz]],""),"")</f>
        <v/>
      </c>
      <c r="K225" t="str">
        <f>IFERROR(IF(VLOOKUP(A225,Pan!A:C,3,FALSE)=Table15[[#Headers],[Pan]],Table15[[#Headers],[Pan]],""),"")</f>
        <v/>
      </c>
      <c r="L225" t="str">
        <f>IFERROR(IF(VLOOKUP(A225,Comunión!A:C,3,FALSE)=Table15[[#Headers],[Comunión]],Table15[[#Headers],[Comunión]],""),"")</f>
        <v/>
      </c>
      <c r="M225" t="str">
        <f>IFERROR(IF(VLOOKUP(A225,Niños!A:C,3,FALSE)=Table15[[#Headers],[Niños]],Table15[[#Headers],[Niños]],""),"")</f>
        <v/>
      </c>
      <c r="N225" t="str">
        <f>IFERROR(IF(VLOOKUP(A225,Laudes!A:C,3,FALSE)=Table15[[#Headers],[Laudes]],Table15[[#Headers],[Laudes]],""),"")</f>
        <v>Laudes</v>
      </c>
      <c r="O225" t="str">
        <f>IFERROR(IF(VLOOKUP(A225,'Nuevo Testamento'!A:C,3,FALSE)=Table15[[#Headers],[Nuevo Testamento]],Table15[[#Headers],[Nuevo Testamento]],""),"")</f>
        <v/>
      </c>
      <c r="P225" t="str">
        <f>IFERROR(IF(VLOOKUP(A225,'Antiguo Testamento'!A:C,3,FALSE)=Table15[[#Headers],[Antiguo Testamento]],Table15[[#Headers],[Antiguo Testamento]],""),"")</f>
        <v/>
      </c>
      <c r="Q225" t="str">
        <f>IFERROR(IF(VLOOKUP(A225,Final!A:C,3,FALSE)=Table15[[#Headers],[Final]],Table15[[#Headers],[Final]],""),"")</f>
        <v/>
      </c>
    </row>
    <row r="226" spans="1:17" x14ac:dyDescent="0.25">
      <c r="A226" t="s">
        <v>109</v>
      </c>
      <c r="B226">
        <v>238</v>
      </c>
      <c r="C226" t="str">
        <f>IFERROR(IF(VLOOKUP(A226,Adviento!A:C,3,FALSE)=Table15[[#Headers],[Adviento]],Table15[[#Headers],[Adviento]],""),"")</f>
        <v/>
      </c>
      <c r="D226" t="str">
        <f>IFERROR(IF(VLOOKUP(A226,Navidad!A:C,3,FALSE)=Table15[[#Headers],[Navidad]],Table15[[#Headers],[Navidad]],""),"")</f>
        <v/>
      </c>
      <c r="E226" t="str">
        <f>IFERROR(IF(VLOOKUP(A226,Cuaresma!A:C,3,FALSE)=Table15[[#Headers],[Cuaresma]],Table15[[#Headers],[Cuaresma]],""),"")</f>
        <v/>
      </c>
      <c r="F226" t="str">
        <f>IFERROR(IF(VLOOKUP(A226,Pascua!A:C,3,FALSE)=Table15[[#Headers],[Pascua]],Table15[[#Headers],[Pascua]],""),"")</f>
        <v/>
      </c>
      <c r="G226" t="str">
        <f>IFERROR(IF(VLOOKUP(A226,Pentecostés!A:C,3,FALSE)=Table15[[#Headers],[Pentecostés]],Table15[[#Headers],[Pentecostés]],""),"")</f>
        <v/>
      </c>
      <c r="H226" t="str">
        <f>IFERROR(IF(VLOOKUP(A226,Entrada!A:C,3,FALSE)=Table15[[#Headers],[Entrada]],Table15[[#Headers],[Entrada]],""),"")</f>
        <v/>
      </c>
      <c r="I226" t="str">
        <f>IFERROR(IF(VLOOKUP(A226,Virgen!A:C,3,FALSE)=Table15[[#Headers],[Virgen]],Table15[[#Headers],[Virgen]],""),"")</f>
        <v/>
      </c>
      <c r="J226" t="str">
        <f>IFERROR(IF(VLOOKUP(A226,Paz!A:C,3,FALSE)=Table15[[#Headers],[Paz]],Table15[[#Headers],[Paz]],""),"")</f>
        <v/>
      </c>
      <c r="K226" t="str">
        <f>IFERROR(IF(VLOOKUP(A226,Pan!A:C,3,FALSE)=Table15[[#Headers],[Pan]],Table15[[#Headers],[Pan]],""),"")</f>
        <v/>
      </c>
      <c r="L226" t="str">
        <f>IFERROR(IF(VLOOKUP(A226,Comunión!A:C,3,FALSE)=Table15[[#Headers],[Comunión]],Table15[[#Headers],[Comunión]],""),"")</f>
        <v/>
      </c>
      <c r="M226" t="str">
        <f>IFERROR(IF(VLOOKUP(A226,Niños!A:C,3,FALSE)=Table15[[#Headers],[Niños]],Table15[[#Headers],[Niños]],""),"")</f>
        <v/>
      </c>
      <c r="N226" t="str">
        <f>IFERROR(IF(VLOOKUP(A226,Laudes!A:C,3,FALSE)=Table15[[#Headers],[Laudes]],Table15[[#Headers],[Laudes]],""),"")</f>
        <v/>
      </c>
      <c r="O226" t="str">
        <f>IFERROR(IF(VLOOKUP(A226,'Nuevo Testamento'!A:C,3,FALSE)=Table15[[#Headers],[Nuevo Testamento]],Table15[[#Headers],[Nuevo Testamento]],""),"")</f>
        <v/>
      </c>
      <c r="P226" t="str">
        <f>IFERROR(IF(VLOOKUP(A226,'Antiguo Testamento'!A:C,3,FALSE)=Table15[[#Headers],[Antiguo Testamento]],Table15[[#Headers],[Antiguo Testamento]],""),"")</f>
        <v/>
      </c>
      <c r="Q226" t="str">
        <f>IFERROR(IF(VLOOKUP(A226,Final!A:C,3,FALSE)=Table15[[#Headers],[Final]],Table15[[#Headers],[Final]],""),"")</f>
        <v/>
      </c>
    </row>
    <row r="227" spans="1:17" x14ac:dyDescent="0.25">
      <c r="A227" t="s">
        <v>124</v>
      </c>
      <c r="B227">
        <v>239</v>
      </c>
      <c r="C227" t="str">
        <f>IFERROR(IF(VLOOKUP(A227,Adviento!A:C,3,FALSE)=Table15[[#Headers],[Adviento]],Table15[[#Headers],[Adviento]],""),"")</f>
        <v/>
      </c>
      <c r="D227" t="str">
        <f>IFERROR(IF(VLOOKUP(A227,Navidad!A:C,3,FALSE)=Table15[[#Headers],[Navidad]],Table15[[#Headers],[Navidad]],""),"")</f>
        <v/>
      </c>
      <c r="E227" t="str">
        <f>IFERROR(IF(VLOOKUP(A227,Cuaresma!A:C,3,FALSE)=Table15[[#Headers],[Cuaresma]],Table15[[#Headers],[Cuaresma]],""),"")</f>
        <v/>
      </c>
      <c r="F227" t="str">
        <f>IFERROR(IF(VLOOKUP(A227,Pascua!A:C,3,FALSE)=Table15[[#Headers],[Pascua]],Table15[[#Headers],[Pascua]],""),"")</f>
        <v/>
      </c>
      <c r="G227" t="str">
        <f>IFERROR(IF(VLOOKUP(A227,Pentecostés!A:C,3,FALSE)=Table15[[#Headers],[Pentecostés]],Table15[[#Headers],[Pentecostés]],""),"")</f>
        <v/>
      </c>
      <c r="H227" t="str">
        <f>IFERROR(IF(VLOOKUP(A227,Entrada!A:C,3,FALSE)=Table15[[#Headers],[Entrada]],Table15[[#Headers],[Entrada]],""),"")</f>
        <v/>
      </c>
      <c r="I227" t="str">
        <f>IFERROR(IF(VLOOKUP(A227,Virgen!A:C,3,FALSE)=Table15[[#Headers],[Virgen]],Table15[[#Headers],[Virgen]],""),"")</f>
        <v/>
      </c>
      <c r="J227" t="str">
        <f>IFERROR(IF(VLOOKUP(A227,Paz!A:C,3,FALSE)=Table15[[#Headers],[Paz]],Table15[[#Headers],[Paz]],""),"")</f>
        <v/>
      </c>
      <c r="K227" t="str">
        <f>IFERROR(IF(VLOOKUP(A227,Pan!A:C,3,FALSE)=Table15[[#Headers],[Pan]],Table15[[#Headers],[Pan]],""),"")</f>
        <v/>
      </c>
      <c r="L227" t="str">
        <f>IFERROR(IF(VLOOKUP(A227,Comunión!A:C,3,FALSE)=Table15[[#Headers],[Comunión]],Table15[[#Headers],[Comunión]],""),"")</f>
        <v/>
      </c>
      <c r="M227" t="str">
        <f>IFERROR(IF(VLOOKUP(A227,Niños!A:C,3,FALSE)=Table15[[#Headers],[Niños]],Table15[[#Headers],[Niños]],""),"")</f>
        <v/>
      </c>
      <c r="N227" t="str">
        <f>IFERROR(IF(VLOOKUP(A227,Laudes!A:C,3,FALSE)=Table15[[#Headers],[Laudes]],Table15[[#Headers],[Laudes]],""),"")</f>
        <v/>
      </c>
      <c r="O227" t="str">
        <f>IFERROR(IF(VLOOKUP(A227,'Nuevo Testamento'!A:C,3,FALSE)=Table15[[#Headers],[Nuevo Testamento]],Table15[[#Headers],[Nuevo Testamento]],""),"")</f>
        <v/>
      </c>
      <c r="P227" t="str">
        <f>IFERROR(IF(VLOOKUP(A227,'Antiguo Testamento'!A:C,3,FALSE)=Table15[[#Headers],[Antiguo Testamento]],Table15[[#Headers],[Antiguo Testamento]],""),"")</f>
        <v/>
      </c>
      <c r="Q227" t="str">
        <f>IFERROR(IF(VLOOKUP(A227,Final!A:C,3,FALSE)=Table15[[#Headers],[Final]],Table15[[#Headers],[Final]],""),"")</f>
        <v/>
      </c>
    </row>
    <row r="228" spans="1:17" x14ac:dyDescent="0.25">
      <c r="A228" t="s">
        <v>126</v>
      </c>
      <c r="B228">
        <v>240</v>
      </c>
      <c r="C228" t="str">
        <f>IFERROR(IF(VLOOKUP(A228,Adviento!A:C,3,FALSE)=Table15[[#Headers],[Adviento]],Table15[[#Headers],[Adviento]],""),"")</f>
        <v/>
      </c>
      <c r="D228" t="str">
        <f>IFERROR(IF(VLOOKUP(A228,Navidad!A:C,3,FALSE)=Table15[[#Headers],[Navidad]],Table15[[#Headers],[Navidad]],""),"")</f>
        <v/>
      </c>
      <c r="E228" t="str">
        <f>IFERROR(IF(VLOOKUP(A228,Cuaresma!A:C,3,FALSE)=Table15[[#Headers],[Cuaresma]],Table15[[#Headers],[Cuaresma]],""),"")</f>
        <v/>
      </c>
      <c r="F228" t="str">
        <f>IFERROR(IF(VLOOKUP(A228,Pascua!A:C,3,FALSE)=Table15[[#Headers],[Pascua]],Table15[[#Headers],[Pascua]],""),"")</f>
        <v/>
      </c>
      <c r="G228" t="str">
        <f>IFERROR(IF(VLOOKUP(A228,Pentecostés!A:C,3,FALSE)=Table15[[#Headers],[Pentecostés]],Table15[[#Headers],[Pentecostés]],""),"")</f>
        <v/>
      </c>
      <c r="H228" t="str">
        <f>IFERROR(IF(VLOOKUP(A228,Entrada!A:C,3,FALSE)=Table15[[#Headers],[Entrada]],Table15[[#Headers],[Entrada]],""),"")</f>
        <v/>
      </c>
      <c r="I228" t="str">
        <f>IFERROR(IF(VLOOKUP(A228,Virgen!A:C,3,FALSE)=Table15[[#Headers],[Virgen]],Table15[[#Headers],[Virgen]],""),"")</f>
        <v/>
      </c>
      <c r="J228" t="str">
        <f>IFERROR(IF(VLOOKUP(A228,Paz!A:C,3,FALSE)=Table15[[#Headers],[Paz]],Table15[[#Headers],[Paz]],""),"")</f>
        <v/>
      </c>
      <c r="K228" t="str">
        <f>IFERROR(IF(VLOOKUP(A228,Pan!A:C,3,FALSE)=Table15[[#Headers],[Pan]],Table15[[#Headers],[Pan]],""),"")</f>
        <v/>
      </c>
      <c r="L228" t="str">
        <f>IFERROR(IF(VLOOKUP(A228,Comunión!A:C,3,FALSE)=Table15[[#Headers],[Comunión]],Table15[[#Headers],[Comunión]],""),"")</f>
        <v/>
      </c>
      <c r="M228" t="str">
        <f>IFERROR(IF(VLOOKUP(A228,Niños!A:C,3,FALSE)=Table15[[#Headers],[Niños]],Table15[[#Headers],[Niños]],""),"")</f>
        <v/>
      </c>
      <c r="N228" t="str">
        <f>IFERROR(IF(VLOOKUP(A228,Laudes!A:C,3,FALSE)=Table15[[#Headers],[Laudes]],Table15[[#Headers],[Laudes]],""),"")</f>
        <v/>
      </c>
      <c r="O228" t="str">
        <f>IFERROR(IF(VLOOKUP(A228,'Nuevo Testamento'!A:C,3,FALSE)=Table15[[#Headers],[Nuevo Testamento]],Table15[[#Headers],[Nuevo Testamento]],""),"")</f>
        <v/>
      </c>
      <c r="P228" t="str">
        <f>IFERROR(IF(VLOOKUP(A228,'Antiguo Testamento'!A:C,3,FALSE)=Table15[[#Headers],[Antiguo Testamento]],Table15[[#Headers],[Antiguo Testamento]],""),"")</f>
        <v>Antiguo Testamento</v>
      </c>
      <c r="Q228" t="str">
        <f>IFERROR(IF(VLOOKUP(A228,Final!A:C,3,FALSE)=Table15[[#Headers],[Final]],Table15[[#Headers],[Final]],""),"")</f>
        <v/>
      </c>
    </row>
    <row r="229" spans="1:17" x14ac:dyDescent="0.25">
      <c r="A229" t="s">
        <v>156</v>
      </c>
      <c r="B229">
        <v>241</v>
      </c>
      <c r="C229" t="str">
        <f>IFERROR(IF(VLOOKUP(A229,Adviento!A:C,3,FALSE)=Table15[[#Headers],[Adviento]],Table15[[#Headers],[Adviento]],""),"")</f>
        <v/>
      </c>
      <c r="D229" t="str">
        <f>IFERROR(IF(VLOOKUP(A229,Navidad!A:C,3,FALSE)=Table15[[#Headers],[Navidad]],Table15[[#Headers],[Navidad]],""),"")</f>
        <v/>
      </c>
      <c r="E229" t="str">
        <f>IFERROR(IF(VLOOKUP(A229,Cuaresma!A:C,3,FALSE)=Table15[[#Headers],[Cuaresma]],Table15[[#Headers],[Cuaresma]],""),"")</f>
        <v/>
      </c>
      <c r="F229" t="str">
        <f>IFERROR(IF(VLOOKUP(A229,Pascua!A:C,3,FALSE)=Table15[[#Headers],[Pascua]],Table15[[#Headers],[Pascua]],""),"")</f>
        <v>Pascua</v>
      </c>
      <c r="G229" t="str">
        <f>IFERROR(IF(VLOOKUP(A229,Pentecostés!A:C,3,FALSE)=Table15[[#Headers],[Pentecostés]],Table15[[#Headers],[Pentecostés]],""),"")</f>
        <v>Pentecostés</v>
      </c>
      <c r="H229" t="str">
        <f>IFERROR(IF(VLOOKUP(A229,Entrada!A:C,3,FALSE)=Table15[[#Headers],[Entrada]],Table15[[#Headers],[Entrada]],""),"")</f>
        <v/>
      </c>
      <c r="I229" t="str">
        <f>IFERROR(IF(VLOOKUP(A229,Virgen!A:C,3,FALSE)=Table15[[#Headers],[Virgen]],Table15[[#Headers],[Virgen]],""),"")</f>
        <v/>
      </c>
      <c r="J229" t="str">
        <f>IFERROR(IF(VLOOKUP(A229,Paz!A:C,3,FALSE)=Table15[[#Headers],[Paz]],Table15[[#Headers],[Paz]],""),"")</f>
        <v/>
      </c>
      <c r="K229" t="str">
        <f>IFERROR(IF(VLOOKUP(A229,Pan!A:C,3,FALSE)=Table15[[#Headers],[Pan]],Table15[[#Headers],[Pan]],""),"")</f>
        <v/>
      </c>
      <c r="L229" t="str">
        <f>IFERROR(IF(VLOOKUP(A229,Comunión!A:C,3,FALSE)=Table15[[#Headers],[Comunión]],Table15[[#Headers],[Comunión]],""),"")</f>
        <v/>
      </c>
      <c r="M229" t="str">
        <f>IFERROR(IF(VLOOKUP(A229,Niños!A:C,3,FALSE)=Table15[[#Headers],[Niños]],Table15[[#Headers],[Niños]],""),"")</f>
        <v/>
      </c>
      <c r="N229" t="str">
        <f>IFERROR(IF(VLOOKUP(A229,Laudes!A:C,3,FALSE)=Table15[[#Headers],[Laudes]],Table15[[#Headers],[Laudes]],""),"")</f>
        <v/>
      </c>
      <c r="O229" t="str">
        <f>IFERROR(IF(VLOOKUP(A229,'Nuevo Testamento'!A:C,3,FALSE)=Table15[[#Headers],[Nuevo Testamento]],Table15[[#Headers],[Nuevo Testamento]],""),"")</f>
        <v/>
      </c>
      <c r="P229" t="str">
        <f>IFERROR(IF(VLOOKUP(A229,'Antiguo Testamento'!A:C,3,FALSE)=Table15[[#Headers],[Antiguo Testamento]],Table15[[#Headers],[Antiguo Testamento]],""),"")</f>
        <v>Antiguo Testamento</v>
      </c>
      <c r="Q229" t="str">
        <f>IFERROR(IF(VLOOKUP(A229,Final!A:C,3,FALSE)=Table15[[#Headers],[Final]],Table15[[#Headers],[Final]],""),"")</f>
        <v/>
      </c>
    </row>
    <row r="230" spans="1:17" x14ac:dyDescent="0.25">
      <c r="A230" t="s">
        <v>55</v>
      </c>
      <c r="B230">
        <v>242</v>
      </c>
      <c r="C230" t="str">
        <f>IFERROR(IF(VLOOKUP(A230,Adviento!A:C,3,FALSE)=Table15[[#Headers],[Adviento]],Table15[[#Headers],[Adviento]],""),"")</f>
        <v/>
      </c>
      <c r="D230" t="str">
        <f>IFERROR(IF(VLOOKUP(A230,Navidad!A:C,3,FALSE)=Table15[[#Headers],[Navidad]],Table15[[#Headers],[Navidad]],""),"")</f>
        <v/>
      </c>
      <c r="E230" t="str">
        <f>IFERROR(IF(VLOOKUP(A230,Cuaresma!A:C,3,FALSE)=Table15[[#Headers],[Cuaresma]],Table15[[#Headers],[Cuaresma]],""),"")</f>
        <v/>
      </c>
      <c r="F230" t="str">
        <f>IFERROR(IF(VLOOKUP(A230,Pascua!A:C,3,FALSE)=Table15[[#Headers],[Pascua]],Table15[[#Headers],[Pascua]],""),"")</f>
        <v/>
      </c>
      <c r="G230" t="str">
        <f>IFERROR(IF(VLOOKUP(A230,Pentecostés!A:C,3,FALSE)=Table15[[#Headers],[Pentecostés]],Table15[[#Headers],[Pentecostés]],""),"")</f>
        <v/>
      </c>
      <c r="H230" t="str">
        <f>IFERROR(IF(VLOOKUP(A230,Entrada!A:C,3,FALSE)=Table15[[#Headers],[Entrada]],Table15[[#Headers],[Entrada]],""),"")</f>
        <v/>
      </c>
      <c r="I230" t="str">
        <f>IFERROR(IF(VLOOKUP(A230,Virgen!A:C,3,FALSE)=Table15[[#Headers],[Virgen]],Table15[[#Headers],[Virgen]],""),"")</f>
        <v/>
      </c>
      <c r="J230" t="str">
        <f>IFERROR(IF(VLOOKUP(A230,Paz!A:C,3,FALSE)=Table15[[#Headers],[Paz]],Table15[[#Headers],[Paz]],""),"")</f>
        <v/>
      </c>
      <c r="K230" t="str">
        <f>IFERROR(IF(VLOOKUP(A230,Pan!A:C,3,FALSE)=Table15[[#Headers],[Pan]],Table15[[#Headers],[Pan]],""),"")</f>
        <v/>
      </c>
      <c r="L230" t="str">
        <f>IFERROR(IF(VLOOKUP(A230,Comunión!A:C,3,FALSE)=Table15[[#Headers],[Comunión]],Table15[[#Headers],[Comunión]],""),"")</f>
        <v/>
      </c>
      <c r="M230" t="str">
        <f>IFERROR(IF(VLOOKUP(A230,Niños!A:C,3,FALSE)=Table15[[#Headers],[Niños]],Table15[[#Headers],[Niños]],""),"")</f>
        <v/>
      </c>
      <c r="N230" t="str">
        <f>IFERROR(IF(VLOOKUP(A230,Laudes!A:C,3,FALSE)=Table15[[#Headers],[Laudes]],Table15[[#Headers],[Laudes]],""),"")</f>
        <v>Laudes</v>
      </c>
      <c r="O230" t="str">
        <f>IFERROR(IF(VLOOKUP(A230,'Nuevo Testamento'!A:C,3,FALSE)=Table15[[#Headers],[Nuevo Testamento]],Table15[[#Headers],[Nuevo Testamento]],""),"")</f>
        <v/>
      </c>
      <c r="P230" t="str">
        <f>IFERROR(IF(VLOOKUP(A230,'Antiguo Testamento'!A:C,3,FALSE)=Table15[[#Headers],[Antiguo Testamento]],Table15[[#Headers],[Antiguo Testamento]],""),"")</f>
        <v/>
      </c>
      <c r="Q230" t="str">
        <f>IFERROR(IF(VLOOKUP(A230,Final!A:C,3,FALSE)=Table15[[#Headers],[Final]],Table15[[#Headers],[Final]],""),"")</f>
        <v/>
      </c>
    </row>
    <row r="231" spans="1:17" x14ac:dyDescent="0.25">
      <c r="A231" t="s">
        <v>172</v>
      </c>
      <c r="B231">
        <v>243</v>
      </c>
      <c r="C231" t="str">
        <f>IFERROR(IF(VLOOKUP(A231,Adviento!A:C,3,FALSE)=Table15[[#Headers],[Adviento]],Table15[[#Headers],[Adviento]],""),"")</f>
        <v/>
      </c>
      <c r="D231" t="str">
        <f>IFERROR(IF(VLOOKUP(A231,Navidad!A:C,3,FALSE)=Table15[[#Headers],[Navidad]],Table15[[#Headers],[Navidad]],""),"")</f>
        <v/>
      </c>
      <c r="E231" t="str">
        <f>IFERROR(IF(VLOOKUP(A231,Cuaresma!A:C,3,FALSE)=Table15[[#Headers],[Cuaresma]],Table15[[#Headers],[Cuaresma]],""),"")</f>
        <v/>
      </c>
      <c r="F231" t="str">
        <f>IFERROR(IF(VLOOKUP(A231,Pascua!A:C,3,FALSE)=Table15[[#Headers],[Pascua]],Table15[[#Headers],[Pascua]],""),"")</f>
        <v/>
      </c>
      <c r="G231" t="str">
        <f>IFERROR(IF(VLOOKUP(A231,Pentecostés!A:C,3,FALSE)=Table15[[#Headers],[Pentecostés]],Table15[[#Headers],[Pentecostés]],""),"")</f>
        <v/>
      </c>
      <c r="H231" t="str">
        <f>IFERROR(IF(VLOOKUP(A231,Entrada!A:C,3,FALSE)=Table15[[#Headers],[Entrada]],Table15[[#Headers],[Entrada]],""),"")</f>
        <v/>
      </c>
      <c r="I231" t="str">
        <f>IFERROR(IF(VLOOKUP(A231,Virgen!A:C,3,FALSE)=Table15[[#Headers],[Virgen]],Table15[[#Headers],[Virgen]],""),"")</f>
        <v/>
      </c>
      <c r="J231" t="str">
        <f>IFERROR(IF(VLOOKUP(A231,Paz!A:C,3,FALSE)=Table15[[#Headers],[Paz]],Table15[[#Headers],[Paz]],""),"")</f>
        <v/>
      </c>
      <c r="K231" t="str">
        <f>IFERROR(IF(VLOOKUP(A231,Pan!A:C,3,FALSE)=Table15[[#Headers],[Pan]],Table15[[#Headers],[Pan]],""),"")</f>
        <v/>
      </c>
      <c r="L231" t="str">
        <f>IFERROR(IF(VLOOKUP(A231,Comunión!A:C,3,FALSE)=Table15[[#Headers],[Comunión]],Table15[[#Headers],[Comunión]],""),"")</f>
        <v/>
      </c>
      <c r="M231" t="str">
        <f>IFERROR(IF(VLOOKUP(A231,Niños!A:C,3,FALSE)=Table15[[#Headers],[Niños]],Table15[[#Headers],[Niños]],""),"")</f>
        <v/>
      </c>
      <c r="N231" t="str">
        <f>IFERROR(IF(VLOOKUP(A231,Laudes!A:C,3,FALSE)=Table15[[#Headers],[Laudes]],Table15[[#Headers],[Laudes]],""),"")</f>
        <v/>
      </c>
      <c r="O231" t="str">
        <f>IFERROR(IF(VLOOKUP(A231,'Nuevo Testamento'!A:C,3,FALSE)=Table15[[#Headers],[Nuevo Testamento]],Table15[[#Headers],[Nuevo Testamento]],""),"")</f>
        <v/>
      </c>
      <c r="P231" t="str">
        <f>IFERROR(IF(VLOOKUP(A231,'Antiguo Testamento'!A:C,3,FALSE)=Table15[[#Headers],[Antiguo Testamento]],Table15[[#Headers],[Antiguo Testamento]],""),"")</f>
        <v>Antiguo Testamento</v>
      </c>
      <c r="Q231" t="str">
        <f>IFERROR(IF(VLOOKUP(A231,Final!A:C,3,FALSE)=Table15[[#Headers],[Final]],Table15[[#Headers],[Final]],""),"")</f>
        <v/>
      </c>
    </row>
    <row r="232" spans="1:17" x14ac:dyDescent="0.25">
      <c r="A232" t="s">
        <v>91</v>
      </c>
      <c r="B232">
        <v>244</v>
      </c>
      <c r="C232" t="str">
        <f>IFERROR(IF(VLOOKUP(A232,Adviento!A:C,3,FALSE)=Table15[[#Headers],[Adviento]],Table15[[#Headers],[Adviento]],""),"")</f>
        <v/>
      </c>
      <c r="D232" t="str">
        <f>IFERROR(IF(VLOOKUP(A232,Navidad!A:C,3,FALSE)=Table15[[#Headers],[Navidad]],Table15[[#Headers],[Navidad]],""),"")</f>
        <v/>
      </c>
      <c r="E232" t="str">
        <f>IFERROR(IF(VLOOKUP(A232,Cuaresma!A:C,3,FALSE)=Table15[[#Headers],[Cuaresma]],Table15[[#Headers],[Cuaresma]],""),"")</f>
        <v/>
      </c>
      <c r="F232" t="str">
        <f>IFERROR(IF(VLOOKUP(A232,Pascua!A:C,3,FALSE)=Table15[[#Headers],[Pascua]],Table15[[#Headers],[Pascua]],""),"")</f>
        <v/>
      </c>
      <c r="G232" t="str">
        <f>IFERROR(IF(VLOOKUP(A232,Pentecostés!A:C,3,FALSE)=Table15[[#Headers],[Pentecostés]],Table15[[#Headers],[Pentecostés]],""),"")</f>
        <v/>
      </c>
      <c r="H232" t="str">
        <f>IFERROR(IF(VLOOKUP(A232,Entrada!A:C,3,FALSE)=Table15[[#Headers],[Entrada]],Table15[[#Headers],[Entrada]],""),"")</f>
        <v/>
      </c>
      <c r="I232" t="str">
        <f>IFERROR(IF(VLOOKUP(A232,Virgen!A:C,3,FALSE)=Table15[[#Headers],[Virgen]],Table15[[#Headers],[Virgen]],""),"")</f>
        <v/>
      </c>
      <c r="J232" t="str">
        <f>IFERROR(IF(VLOOKUP(A232,Paz!A:C,3,FALSE)=Table15[[#Headers],[Paz]],Table15[[#Headers],[Paz]],""),"")</f>
        <v/>
      </c>
      <c r="K232" t="str">
        <f>IFERROR(IF(VLOOKUP(A232,Pan!A:C,3,FALSE)=Table15[[#Headers],[Pan]],Table15[[#Headers],[Pan]],""),"")</f>
        <v/>
      </c>
      <c r="L232" t="str">
        <f>IFERROR(IF(VLOOKUP(A232,Comunión!A:C,3,FALSE)=Table15[[#Headers],[Comunión]],Table15[[#Headers],[Comunión]],""),"")</f>
        <v/>
      </c>
      <c r="M232" t="str">
        <f>IFERROR(IF(VLOOKUP(A232,Niños!A:C,3,FALSE)=Table15[[#Headers],[Niños]],Table15[[#Headers],[Niños]],""),"")</f>
        <v/>
      </c>
      <c r="N232" t="str">
        <f>IFERROR(IF(VLOOKUP(A232,Laudes!A:C,3,FALSE)=Table15[[#Headers],[Laudes]],Table15[[#Headers],[Laudes]],""),"")</f>
        <v/>
      </c>
      <c r="O232" t="str">
        <f>IFERROR(IF(VLOOKUP(A232,'Nuevo Testamento'!A:C,3,FALSE)=Table15[[#Headers],[Nuevo Testamento]],Table15[[#Headers],[Nuevo Testamento]],""),"")</f>
        <v/>
      </c>
      <c r="P232" t="str">
        <f>IFERROR(IF(VLOOKUP(A232,'Antiguo Testamento'!A:C,3,FALSE)=Table15[[#Headers],[Antiguo Testamento]],Table15[[#Headers],[Antiguo Testamento]],""),"")</f>
        <v/>
      </c>
      <c r="Q232" t="str">
        <f>IFERROR(IF(VLOOKUP(A232,Final!A:C,3,FALSE)=Table15[[#Headers],[Final]],Table15[[#Headers],[Final]],""),"")</f>
        <v/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3B87-0954-4E24-A20F-3E4C278C132F}">
  <dimension ref="A1:C30"/>
  <sheetViews>
    <sheetView zoomScale="235" zoomScaleNormal="235" workbookViewId="0"/>
  </sheetViews>
  <sheetFormatPr defaultRowHeight="15" x14ac:dyDescent="0.25"/>
  <cols>
    <col min="1" max="1" width="33.42578125" bestFit="1" customWidth="1"/>
    <col min="2" max="2" width="4" bestFit="1" customWidth="1"/>
    <col min="3" max="3" width="7.85546875" bestFit="1" customWidth="1"/>
  </cols>
  <sheetData>
    <row r="1" spans="1:3" x14ac:dyDescent="0.25">
      <c r="A1" s="7" t="s">
        <v>106</v>
      </c>
      <c r="B1" s="7">
        <v>7</v>
      </c>
      <c r="C1" s="7" t="s">
        <v>272</v>
      </c>
    </row>
    <row r="2" spans="1:3" x14ac:dyDescent="0.25">
      <c r="A2" s="8" t="s">
        <v>107</v>
      </c>
      <c r="B2" s="8">
        <v>8</v>
      </c>
      <c r="C2" s="8" t="s">
        <v>272</v>
      </c>
    </row>
    <row r="3" spans="1:3" x14ac:dyDescent="0.25">
      <c r="A3" s="7" t="s">
        <v>6</v>
      </c>
      <c r="B3" s="7">
        <v>9</v>
      </c>
      <c r="C3" s="7" t="s">
        <v>272</v>
      </c>
    </row>
    <row r="4" spans="1:3" x14ac:dyDescent="0.25">
      <c r="A4" s="8" t="s">
        <v>112</v>
      </c>
      <c r="B4" s="8">
        <v>16</v>
      </c>
      <c r="C4" s="8" t="s">
        <v>272</v>
      </c>
    </row>
    <row r="5" spans="1:3" x14ac:dyDescent="0.25">
      <c r="A5" s="7" t="s">
        <v>13</v>
      </c>
      <c r="B5" s="7">
        <v>17</v>
      </c>
      <c r="C5" s="7" t="s">
        <v>272</v>
      </c>
    </row>
    <row r="6" spans="1:3" x14ac:dyDescent="0.25">
      <c r="A6" s="8" t="s">
        <v>19</v>
      </c>
      <c r="B6" s="8">
        <v>27</v>
      </c>
      <c r="C6" s="8" t="s">
        <v>272</v>
      </c>
    </row>
    <row r="7" spans="1:3" x14ac:dyDescent="0.25">
      <c r="A7" s="7" t="s">
        <v>21</v>
      </c>
      <c r="B7" s="7">
        <v>32</v>
      </c>
      <c r="C7" s="7" t="s">
        <v>272</v>
      </c>
    </row>
    <row r="8" spans="1:3" x14ac:dyDescent="0.25">
      <c r="A8" s="8" t="s">
        <v>128</v>
      </c>
      <c r="B8" s="8">
        <v>41</v>
      </c>
      <c r="C8" s="8" t="s">
        <v>272</v>
      </c>
    </row>
    <row r="9" spans="1:3" x14ac:dyDescent="0.25">
      <c r="A9" s="7" t="s">
        <v>29</v>
      </c>
      <c r="B9" s="7">
        <v>43</v>
      </c>
      <c r="C9" s="7" t="s">
        <v>272</v>
      </c>
    </row>
    <row r="10" spans="1:3" x14ac:dyDescent="0.25">
      <c r="A10" s="8" t="s">
        <v>132</v>
      </c>
      <c r="B10" s="8">
        <v>48</v>
      </c>
      <c r="C10" s="8" t="s">
        <v>272</v>
      </c>
    </row>
    <row r="11" spans="1:3" x14ac:dyDescent="0.25">
      <c r="A11" s="7" t="s">
        <v>32</v>
      </c>
      <c r="B11" s="7">
        <v>53</v>
      </c>
      <c r="C11" s="7" t="s">
        <v>272</v>
      </c>
    </row>
    <row r="12" spans="1:3" x14ac:dyDescent="0.25">
      <c r="A12" s="8" t="s">
        <v>136</v>
      </c>
      <c r="B12" s="8">
        <v>54</v>
      </c>
      <c r="C12" s="8" t="s">
        <v>272</v>
      </c>
    </row>
    <row r="13" spans="1:3" x14ac:dyDescent="0.25">
      <c r="A13" s="7" t="s">
        <v>37</v>
      </c>
      <c r="B13" s="7">
        <v>60</v>
      </c>
      <c r="C13" s="7" t="s">
        <v>272</v>
      </c>
    </row>
    <row r="14" spans="1:3" x14ac:dyDescent="0.25">
      <c r="A14" s="8" t="s">
        <v>143</v>
      </c>
      <c r="B14" s="8">
        <v>68</v>
      </c>
      <c r="C14" s="8" t="s">
        <v>272</v>
      </c>
    </row>
    <row r="15" spans="1:3" x14ac:dyDescent="0.25">
      <c r="A15" s="7" t="s">
        <v>145</v>
      </c>
      <c r="B15" s="7">
        <v>70</v>
      </c>
      <c r="C15" s="7" t="s">
        <v>272</v>
      </c>
    </row>
    <row r="16" spans="1:3" x14ac:dyDescent="0.25">
      <c r="A16" s="8" t="s">
        <v>44</v>
      </c>
      <c r="B16" s="8">
        <v>75</v>
      </c>
      <c r="C16" s="8" t="s">
        <v>272</v>
      </c>
    </row>
    <row r="17" spans="1:3" x14ac:dyDescent="0.25">
      <c r="A17" s="7" t="s">
        <v>152</v>
      </c>
      <c r="B17" s="7">
        <v>79</v>
      </c>
      <c r="C17" s="7" t="s">
        <v>272</v>
      </c>
    </row>
    <row r="18" spans="1:3" x14ac:dyDescent="0.25">
      <c r="A18" s="8" t="s">
        <v>155</v>
      </c>
      <c r="B18" s="8">
        <v>82</v>
      </c>
      <c r="C18" s="8" t="s">
        <v>272</v>
      </c>
    </row>
    <row r="19" spans="1:3" x14ac:dyDescent="0.25">
      <c r="A19" s="7" t="s">
        <v>168</v>
      </c>
      <c r="B19" s="7">
        <v>105</v>
      </c>
      <c r="C19" s="7" t="s">
        <v>272</v>
      </c>
    </row>
    <row r="20" spans="1:3" x14ac:dyDescent="0.25">
      <c r="A20" s="8" t="s">
        <v>169</v>
      </c>
      <c r="B20" s="8">
        <v>106</v>
      </c>
      <c r="C20" s="8" t="s">
        <v>272</v>
      </c>
    </row>
    <row r="21" spans="1:3" x14ac:dyDescent="0.25">
      <c r="A21" s="7" t="s">
        <v>66</v>
      </c>
      <c r="B21" s="7">
        <v>114</v>
      </c>
      <c r="C21" s="7" t="s">
        <v>272</v>
      </c>
    </row>
    <row r="22" spans="1:3" x14ac:dyDescent="0.25">
      <c r="A22" s="8" t="s">
        <v>183</v>
      </c>
      <c r="B22" s="8">
        <v>128</v>
      </c>
      <c r="C22" s="8" t="s">
        <v>272</v>
      </c>
    </row>
    <row r="23" spans="1:3" x14ac:dyDescent="0.25">
      <c r="A23" s="7" t="s">
        <v>184</v>
      </c>
      <c r="B23" s="7">
        <v>129</v>
      </c>
      <c r="C23" s="7" t="s">
        <v>272</v>
      </c>
    </row>
    <row r="24" spans="1:3" x14ac:dyDescent="0.25">
      <c r="A24" s="8" t="s">
        <v>190</v>
      </c>
      <c r="B24" s="8">
        <v>136</v>
      </c>
      <c r="C24" s="8" t="s">
        <v>272</v>
      </c>
    </row>
    <row r="25" spans="1:3" x14ac:dyDescent="0.25">
      <c r="A25" s="7" t="s">
        <v>210</v>
      </c>
      <c r="B25" s="7">
        <v>150</v>
      </c>
      <c r="C25" s="7" t="s">
        <v>272</v>
      </c>
    </row>
    <row r="26" spans="1:3" x14ac:dyDescent="0.25">
      <c r="A26" s="8" t="s">
        <v>95</v>
      </c>
      <c r="B26" s="8">
        <v>161</v>
      </c>
      <c r="C26" s="8" t="s">
        <v>272</v>
      </c>
    </row>
    <row r="27" spans="1:3" x14ac:dyDescent="0.25">
      <c r="A27" s="7" t="s">
        <v>96</v>
      </c>
      <c r="B27" s="7">
        <v>166</v>
      </c>
      <c r="C27" s="7" t="s">
        <v>272</v>
      </c>
    </row>
    <row r="28" spans="1:3" x14ac:dyDescent="0.25">
      <c r="A28" s="8" t="s">
        <v>229</v>
      </c>
      <c r="B28" s="8">
        <v>176</v>
      </c>
      <c r="C28" s="8" t="s">
        <v>272</v>
      </c>
    </row>
    <row r="29" spans="1:3" x14ac:dyDescent="0.25">
      <c r="A29" s="7" t="s">
        <v>100</v>
      </c>
      <c r="B29" s="7">
        <v>177</v>
      </c>
      <c r="C29" s="7" t="s">
        <v>272</v>
      </c>
    </row>
    <row r="30" spans="1:3" x14ac:dyDescent="0.25">
      <c r="A30" s="8" t="s">
        <v>101</v>
      </c>
      <c r="B30" s="8">
        <v>178</v>
      </c>
      <c r="C30" s="8" t="s">
        <v>272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9932-8A34-4AB3-8D18-FECE4291CC3D}">
  <dimension ref="A1:C29"/>
  <sheetViews>
    <sheetView zoomScale="160" zoomScaleNormal="160" workbookViewId="0"/>
  </sheetViews>
  <sheetFormatPr defaultRowHeight="15" x14ac:dyDescent="0.25"/>
  <cols>
    <col min="1" max="1" width="37" bestFit="1" customWidth="1"/>
    <col min="2" max="2" width="5.28515625" bestFit="1" customWidth="1"/>
    <col min="3" max="3" width="18.7109375" bestFit="1" customWidth="1"/>
    <col min="4" max="4" width="11.7109375" bestFit="1" customWidth="1"/>
    <col min="6" max="6" width="37" bestFit="1" customWidth="1"/>
  </cols>
  <sheetData>
    <row r="1" spans="1:3" x14ac:dyDescent="0.25">
      <c r="A1" s="7" t="s">
        <v>29</v>
      </c>
      <c r="B1" s="7">
        <v>43</v>
      </c>
      <c r="C1" s="7" t="s">
        <v>266</v>
      </c>
    </row>
    <row r="2" spans="1:3" x14ac:dyDescent="0.25">
      <c r="A2" s="8" t="s">
        <v>245</v>
      </c>
      <c r="B2" s="8">
        <v>12</v>
      </c>
      <c r="C2" s="8" t="s">
        <v>266</v>
      </c>
    </row>
    <row r="3" spans="1:3" x14ac:dyDescent="0.25">
      <c r="A3" s="7" t="s">
        <v>118</v>
      </c>
      <c r="B3" s="7">
        <v>29</v>
      </c>
      <c r="C3" s="7" t="s">
        <v>266</v>
      </c>
    </row>
    <row r="4" spans="1:3" x14ac:dyDescent="0.25">
      <c r="A4" s="8" t="s">
        <v>131</v>
      </c>
      <c r="B4" s="8">
        <v>47</v>
      </c>
      <c r="C4" s="8" t="s">
        <v>266</v>
      </c>
    </row>
    <row r="5" spans="1:3" x14ac:dyDescent="0.25">
      <c r="A5" s="7" t="s">
        <v>132</v>
      </c>
      <c r="B5" s="7">
        <v>48</v>
      </c>
      <c r="C5" s="7" t="s">
        <v>266</v>
      </c>
    </row>
    <row r="6" spans="1:3" x14ac:dyDescent="0.25">
      <c r="A6" s="8" t="s">
        <v>128</v>
      </c>
      <c r="B6" s="8">
        <v>41</v>
      </c>
      <c r="C6" s="8" t="s">
        <v>266</v>
      </c>
    </row>
    <row r="7" spans="1:3" x14ac:dyDescent="0.25">
      <c r="A7" s="7" t="s">
        <v>132</v>
      </c>
      <c r="B7" s="7">
        <v>48</v>
      </c>
      <c r="C7" s="7" t="s">
        <v>266</v>
      </c>
    </row>
    <row r="8" spans="1:3" x14ac:dyDescent="0.25">
      <c r="A8" s="8" t="s">
        <v>141</v>
      </c>
      <c r="B8" s="8">
        <v>63</v>
      </c>
      <c r="C8" s="8" t="s">
        <v>266</v>
      </c>
    </row>
    <row r="9" spans="1:3" x14ac:dyDescent="0.25">
      <c r="A9" s="7" t="s">
        <v>43</v>
      </c>
      <c r="B9" s="7">
        <v>74</v>
      </c>
      <c r="C9" s="7" t="s">
        <v>266</v>
      </c>
    </row>
    <row r="10" spans="1:3" x14ac:dyDescent="0.25">
      <c r="A10" s="8" t="s">
        <v>139</v>
      </c>
      <c r="B10" s="8">
        <v>59</v>
      </c>
      <c r="C10" s="8" t="s">
        <v>266</v>
      </c>
    </row>
    <row r="11" spans="1:3" x14ac:dyDescent="0.25">
      <c r="A11" s="7" t="s">
        <v>145</v>
      </c>
      <c r="B11" s="7">
        <v>70</v>
      </c>
      <c r="C11" s="7" t="s">
        <v>266</v>
      </c>
    </row>
    <row r="12" spans="1:3" x14ac:dyDescent="0.25">
      <c r="A12" s="8" t="s">
        <v>155</v>
      </c>
      <c r="B12" s="8">
        <v>82</v>
      </c>
      <c r="C12" s="8" t="s">
        <v>266</v>
      </c>
    </row>
    <row r="13" spans="1:3" x14ac:dyDescent="0.25">
      <c r="A13" s="7" t="s">
        <v>49</v>
      </c>
      <c r="B13" s="7">
        <v>88</v>
      </c>
      <c r="C13" s="7" t="s">
        <v>266</v>
      </c>
    </row>
    <row r="14" spans="1:3" x14ac:dyDescent="0.25">
      <c r="A14" s="8" t="s">
        <v>54</v>
      </c>
      <c r="B14" s="8">
        <v>96</v>
      </c>
      <c r="C14" s="8" t="s">
        <v>266</v>
      </c>
    </row>
    <row r="15" spans="1:3" x14ac:dyDescent="0.25">
      <c r="A15" s="7" t="s">
        <v>57</v>
      </c>
      <c r="B15" s="7">
        <v>102</v>
      </c>
      <c r="C15" s="7" t="s">
        <v>266</v>
      </c>
    </row>
    <row r="16" spans="1:3" x14ac:dyDescent="0.25">
      <c r="A16" s="8" t="s">
        <v>169</v>
      </c>
      <c r="B16" s="8">
        <v>106</v>
      </c>
      <c r="C16" s="8" t="s">
        <v>266</v>
      </c>
    </row>
    <row r="17" spans="1:3" x14ac:dyDescent="0.25">
      <c r="A17" s="7" t="s">
        <v>170</v>
      </c>
      <c r="B17" s="7">
        <v>107</v>
      </c>
      <c r="C17" s="7" t="s">
        <v>266</v>
      </c>
    </row>
    <row r="18" spans="1:3" x14ac:dyDescent="0.25">
      <c r="A18" s="8" t="s">
        <v>64</v>
      </c>
      <c r="B18" s="8">
        <v>112</v>
      </c>
      <c r="C18" s="8" t="s">
        <v>266</v>
      </c>
    </row>
    <row r="19" spans="1:3" x14ac:dyDescent="0.25">
      <c r="A19" s="7" t="s">
        <v>73</v>
      </c>
      <c r="B19" s="7">
        <v>123</v>
      </c>
      <c r="C19" s="7" t="s">
        <v>266</v>
      </c>
    </row>
    <row r="20" spans="1:3" x14ac:dyDescent="0.25">
      <c r="A20" s="8" t="s">
        <v>94</v>
      </c>
      <c r="B20" s="8">
        <v>236</v>
      </c>
      <c r="C20" s="8" t="s">
        <v>266</v>
      </c>
    </row>
    <row r="21" spans="1:3" x14ac:dyDescent="0.25">
      <c r="A21" s="7" t="s">
        <v>219</v>
      </c>
      <c r="B21" s="7">
        <v>162</v>
      </c>
      <c r="C21" s="7" t="s">
        <v>266</v>
      </c>
    </row>
    <row r="22" spans="1:3" x14ac:dyDescent="0.25">
      <c r="A22" s="8" t="s">
        <v>220</v>
      </c>
      <c r="B22" s="8">
        <v>163</v>
      </c>
      <c r="C22" s="8" t="s">
        <v>266</v>
      </c>
    </row>
    <row r="23" spans="1:3" x14ac:dyDescent="0.25">
      <c r="A23" s="7" t="s">
        <v>221</v>
      </c>
      <c r="B23" s="7">
        <v>164</v>
      </c>
      <c r="C23" s="7" t="s">
        <v>266</v>
      </c>
    </row>
    <row r="24" spans="1:3" x14ac:dyDescent="0.25">
      <c r="A24" s="8" t="s">
        <v>222</v>
      </c>
      <c r="B24" s="8">
        <v>165</v>
      </c>
      <c r="C24" s="8" t="s">
        <v>266</v>
      </c>
    </row>
    <row r="25" spans="1:3" x14ac:dyDescent="0.25">
      <c r="A25" s="7" t="s">
        <v>224</v>
      </c>
      <c r="B25" s="7">
        <v>168</v>
      </c>
      <c r="C25" s="7" t="s">
        <v>266</v>
      </c>
    </row>
    <row r="26" spans="1:3" x14ac:dyDescent="0.25">
      <c r="A26" s="8" t="s">
        <v>226</v>
      </c>
      <c r="B26" s="8">
        <v>170</v>
      </c>
      <c r="C26" s="8" t="s">
        <v>266</v>
      </c>
    </row>
    <row r="27" spans="1:3" x14ac:dyDescent="0.25">
      <c r="A27" s="7" t="s">
        <v>227</v>
      </c>
      <c r="B27" s="7">
        <v>171</v>
      </c>
      <c r="C27" s="7" t="s">
        <v>266</v>
      </c>
    </row>
    <row r="28" spans="1:3" x14ac:dyDescent="0.25">
      <c r="A28" s="8" t="s">
        <v>97</v>
      </c>
      <c r="B28" s="8">
        <v>172</v>
      </c>
      <c r="C28" s="8" t="s">
        <v>266</v>
      </c>
    </row>
    <row r="29" spans="1:3" x14ac:dyDescent="0.25">
      <c r="A29" s="7" t="s">
        <v>228</v>
      </c>
      <c r="B29" s="7">
        <v>174</v>
      </c>
      <c r="C29" s="7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11319-277E-4922-91BF-91ADC24A5573}">
  <dimension ref="A1:C29"/>
  <sheetViews>
    <sheetView zoomScale="145" zoomScaleNormal="145" workbookViewId="0"/>
  </sheetViews>
  <sheetFormatPr defaultRowHeight="15" x14ac:dyDescent="0.25"/>
  <cols>
    <col min="1" max="1" width="37" bestFit="1" customWidth="1"/>
    <col min="2" max="2" width="4" bestFit="1" customWidth="1"/>
    <col min="3" max="3" width="8.42578125" bestFit="1" customWidth="1"/>
  </cols>
  <sheetData>
    <row r="1" spans="1:3" x14ac:dyDescent="0.25">
      <c r="A1" s="7" t="s">
        <v>29</v>
      </c>
      <c r="B1" s="7">
        <v>43</v>
      </c>
      <c r="C1" s="7" t="s">
        <v>267</v>
      </c>
    </row>
    <row r="2" spans="1:3" x14ac:dyDescent="0.25">
      <c r="A2" s="8" t="s">
        <v>110</v>
      </c>
      <c r="B2" s="8">
        <v>12</v>
      </c>
      <c r="C2" s="8" t="s">
        <v>282</v>
      </c>
    </row>
    <row r="3" spans="1:3" x14ac:dyDescent="0.25">
      <c r="A3" s="7" t="s">
        <v>118</v>
      </c>
      <c r="B3" s="7">
        <v>29</v>
      </c>
      <c r="C3" s="7" t="s">
        <v>267</v>
      </c>
    </row>
    <row r="4" spans="1:3" x14ac:dyDescent="0.25">
      <c r="A4" s="8" t="s">
        <v>131</v>
      </c>
      <c r="B4" s="8">
        <v>47</v>
      </c>
      <c r="C4" s="8" t="s">
        <v>267</v>
      </c>
    </row>
    <row r="5" spans="1:3" x14ac:dyDescent="0.25">
      <c r="A5" s="7" t="s">
        <v>132</v>
      </c>
      <c r="B5" s="7">
        <v>48</v>
      </c>
      <c r="C5" s="7" t="s">
        <v>267</v>
      </c>
    </row>
    <row r="6" spans="1:3" x14ac:dyDescent="0.25">
      <c r="A6" s="8" t="s">
        <v>128</v>
      </c>
      <c r="B6" s="8">
        <v>41</v>
      </c>
      <c r="C6" s="8" t="s">
        <v>267</v>
      </c>
    </row>
    <row r="7" spans="1:3" x14ac:dyDescent="0.25">
      <c r="A7" s="7" t="s">
        <v>132</v>
      </c>
      <c r="B7" s="7">
        <v>48</v>
      </c>
      <c r="C7" s="7" t="s">
        <v>267</v>
      </c>
    </row>
    <row r="8" spans="1:3" x14ac:dyDescent="0.25">
      <c r="A8" s="8" t="s">
        <v>141</v>
      </c>
      <c r="B8" s="8">
        <v>63</v>
      </c>
      <c r="C8" s="8" t="s">
        <v>267</v>
      </c>
    </row>
    <row r="9" spans="1:3" x14ac:dyDescent="0.25">
      <c r="A9" s="7" t="s">
        <v>43</v>
      </c>
      <c r="B9" s="7">
        <v>74</v>
      </c>
      <c r="C9" s="7" t="s">
        <v>267</v>
      </c>
    </row>
    <row r="10" spans="1:3" x14ac:dyDescent="0.25">
      <c r="A10" s="8" t="s">
        <v>139</v>
      </c>
      <c r="B10" s="8">
        <v>59</v>
      </c>
      <c r="C10" s="8" t="s">
        <v>267</v>
      </c>
    </row>
    <row r="11" spans="1:3" x14ac:dyDescent="0.25">
      <c r="A11" s="7" t="s">
        <v>145</v>
      </c>
      <c r="B11" s="7">
        <v>70</v>
      </c>
      <c r="C11" s="7" t="s">
        <v>267</v>
      </c>
    </row>
    <row r="12" spans="1:3" x14ac:dyDescent="0.25">
      <c r="A12" s="8" t="s">
        <v>155</v>
      </c>
      <c r="B12" s="8">
        <v>82</v>
      </c>
      <c r="C12" s="8" t="s">
        <v>267</v>
      </c>
    </row>
    <row r="13" spans="1:3" x14ac:dyDescent="0.25">
      <c r="A13" s="7" t="s">
        <v>49</v>
      </c>
      <c r="B13" s="7">
        <v>88</v>
      </c>
      <c r="C13" s="7" t="s">
        <v>267</v>
      </c>
    </row>
    <row r="14" spans="1:3" x14ac:dyDescent="0.25">
      <c r="A14" s="8" t="s">
        <v>54</v>
      </c>
      <c r="B14" s="8">
        <v>96</v>
      </c>
      <c r="C14" s="8" t="s">
        <v>267</v>
      </c>
    </row>
    <row r="15" spans="1:3" x14ac:dyDescent="0.25">
      <c r="A15" s="7" t="s">
        <v>57</v>
      </c>
      <c r="B15" s="7">
        <v>102</v>
      </c>
      <c r="C15" s="7" t="s">
        <v>267</v>
      </c>
    </row>
    <row r="16" spans="1:3" x14ac:dyDescent="0.25">
      <c r="A16" s="8" t="s">
        <v>169</v>
      </c>
      <c r="B16" s="8">
        <v>106</v>
      </c>
      <c r="C16" s="8" t="s">
        <v>267</v>
      </c>
    </row>
    <row r="17" spans="1:3" x14ac:dyDescent="0.25">
      <c r="A17" s="7" t="s">
        <v>170</v>
      </c>
      <c r="B17" s="7">
        <v>107</v>
      </c>
      <c r="C17" s="7" t="s">
        <v>267</v>
      </c>
    </row>
    <row r="18" spans="1:3" x14ac:dyDescent="0.25">
      <c r="A18" s="8" t="s">
        <v>64</v>
      </c>
      <c r="B18" s="8">
        <v>112</v>
      </c>
      <c r="C18" s="8" t="s">
        <v>267</v>
      </c>
    </row>
    <row r="19" spans="1:3" x14ac:dyDescent="0.25">
      <c r="A19" s="7" t="s">
        <v>73</v>
      </c>
      <c r="B19" s="7">
        <v>123</v>
      </c>
      <c r="C19" s="7" t="s">
        <v>267</v>
      </c>
    </row>
    <row r="20" spans="1:3" x14ac:dyDescent="0.25">
      <c r="A20" s="8" t="s">
        <v>94</v>
      </c>
      <c r="B20" s="8">
        <v>236</v>
      </c>
      <c r="C20" s="8" t="s">
        <v>267</v>
      </c>
    </row>
    <row r="21" spans="1:3" x14ac:dyDescent="0.25">
      <c r="A21" s="7" t="s">
        <v>219</v>
      </c>
      <c r="B21" s="7">
        <v>162</v>
      </c>
      <c r="C21" s="7" t="s">
        <v>267</v>
      </c>
    </row>
    <row r="22" spans="1:3" x14ac:dyDescent="0.25">
      <c r="A22" s="8" t="s">
        <v>220</v>
      </c>
      <c r="B22" s="8">
        <v>163</v>
      </c>
      <c r="C22" s="8" t="s">
        <v>267</v>
      </c>
    </row>
    <row r="23" spans="1:3" x14ac:dyDescent="0.25">
      <c r="A23" s="7" t="s">
        <v>221</v>
      </c>
      <c r="B23" s="7">
        <v>164</v>
      </c>
      <c r="C23" s="7" t="s">
        <v>267</v>
      </c>
    </row>
    <row r="24" spans="1:3" x14ac:dyDescent="0.25">
      <c r="A24" s="8" t="s">
        <v>222</v>
      </c>
      <c r="B24" s="8">
        <v>165</v>
      </c>
      <c r="C24" s="8" t="s">
        <v>267</v>
      </c>
    </row>
    <row r="25" spans="1:3" x14ac:dyDescent="0.25">
      <c r="A25" s="7" t="s">
        <v>224</v>
      </c>
      <c r="B25" s="7">
        <v>168</v>
      </c>
      <c r="C25" s="7" t="s">
        <v>267</v>
      </c>
    </row>
    <row r="26" spans="1:3" x14ac:dyDescent="0.25">
      <c r="A26" s="8" t="s">
        <v>226</v>
      </c>
      <c r="B26" s="8">
        <v>170</v>
      </c>
      <c r="C26" s="8" t="s">
        <v>267</v>
      </c>
    </row>
    <row r="27" spans="1:3" x14ac:dyDescent="0.25">
      <c r="A27" s="7" t="s">
        <v>227</v>
      </c>
      <c r="B27" s="7">
        <v>171</v>
      </c>
      <c r="C27" s="7" t="s">
        <v>267</v>
      </c>
    </row>
    <row r="28" spans="1:3" x14ac:dyDescent="0.25">
      <c r="A28" s="8" t="s">
        <v>97</v>
      </c>
      <c r="B28" s="8">
        <v>172</v>
      </c>
      <c r="C28" s="8" t="s">
        <v>267</v>
      </c>
    </row>
    <row r="29" spans="1:3" x14ac:dyDescent="0.25">
      <c r="A29" s="7" t="s">
        <v>228</v>
      </c>
      <c r="B29" s="7">
        <v>174</v>
      </c>
      <c r="C29" s="7" t="s">
        <v>267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B92E-CB8A-464A-AFF4-0892996B5F0A}">
  <dimension ref="A1:C54"/>
  <sheetViews>
    <sheetView zoomScale="220" zoomScaleNormal="220" workbookViewId="0"/>
  </sheetViews>
  <sheetFormatPr defaultRowHeight="15" x14ac:dyDescent="0.25"/>
  <cols>
    <col min="1" max="1" width="36" bestFit="1" customWidth="1"/>
    <col min="2" max="2" width="4" bestFit="1" customWidth="1"/>
    <col min="3" max="3" width="10" bestFit="1" customWidth="1"/>
  </cols>
  <sheetData>
    <row r="1" spans="1:3" x14ac:dyDescent="0.25">
      <c r="A1" s="7" t="s">
        <v>3</v>
      </c>
      <c r="B1" s="7">
        <v>3</v>
      </c>
      <c r="C1" s="7" t="s">
        <v>268</v>
      </c>
    </row>
    <row r="2" spans="1:3" x14ac:dyDescent="0.25">
      <c r="A2" s="8" t="s">
        <v>4</v>
      </c>
      <c r="B2" s="8">
        <v>4</v>
      </c>
      <c r="C2" s="8" t="s">
        <v>268</v>
      </c>
    </row>
    <row r="3" spans="1:3" x14ac:dyDescent="0.25">
      <c r="A3" s="7" t="s">
        <v>5</v>
      </c>
      <c r="B3" s="7">
        <v>5</v>
      </c>
      <c r="C3" s="7" t="s">
        <v>268</v>
      </c>
    </row>
    <row r="4" spans="1:3" x14ac:dyDescent="0.25">
      <c r="A4" s="8" t="s">
        <v>82</v>
      </c>
      <c r="B4" s="8">
        <v>139</v>
      </c>
      <c r="C4" s="8" t="s">
        <v>268</v>
      </c>
    </row>
    <row r="5" spans="1:3" x14ac:dyDescent="0.25">
      <c r="A5" s="7" t="s">
        <v>193</v>
      </c>
      <c r="B5" s="7">
        <v>141</v>
      </c>
      <c r="C5" s="7" t="s">
        <v>268</v>
      </c>
    </row>
    <row r="6" spans="1:3" x14ac:dyDescent="0.25">
      <c r="A6" s="8" t="s">
        <v>84</v>
      </c>
      <c r="B6" s="8">
        <v>146</v>
      </c>
      <c r="C6" s="8" t="s">
        <v>268</v>
      </c>
    </row>
    <row r="7" spans="1:3" x14ac:dyDescent="0.25">
      <c r="A7" s="7" t="s">
        <v>105</v>
      </c>
      <c r="B7" s="7">
        <v>6</v>
      </c>
      <c r="C7" s="7" t="s">
        <v>268</v>
      </c>
    </row>
    <row r="8" spans="1:3" x14ac:dyDescent="0.25">
      <c r="A8" s="8" t="s">
        <v>7</v>
      </c>
      <c r="B8" s="8">
        <v>10</v>
      </c>
      <c r="C8" s="8" t="s">
        <v>268</v>
      </c>
    </row>
    <row r="9" spans="1:3" x14ac:dyDescent="0.25">
      <c r="A9" s="7" t="s">
        <v>113</v>
      </c>
      <c r="B9" s="7">
        <v>18</v>
      </c>
      <c r="C9" s="7" t="s">
        <v>268</v>
      </c>
    </row>
    <row r="10" spans="1:3" x14ac:dyDescent="0.25">
      <c r="A10" s="8" t="s">
        <v>115</v>
      </c>
      <c r="B10" s="8">
        <v>20</v>
      </c>
      <c r="C10" s="8" t="s">
        <v>268</v>
      </c>
    </row>
    <row r="11" spans="1:3" x14ac:dyDescent="0.25">
      <c r="A11" s="7" t="s">
        <v>116</v>
      </c>
      <c r="B11" s="7">
        <v>23</v>
      </c>
      <c r="C11" s="7" t="s">
        <v>268</v>
      </c>
    </row>
    <row r="12" spans="1:3" x14ac:dyDescent="0.25">
      <c r="A12" s="8" t="s">
        <v>17</v>
      </c>
      <c r="B12" s="8">
        <v>25</v>
      </c>
      <c r="C12" s="8" t="s">
        <v>268</v>
      </c>
    </row>
    <row r="13" spans="1:3" x14ac:dyDescent="0.25">
      <c r="A13" s="7" t="s">
        <v>232</v>
      </c>
      <c r="B13" s="7">
        <v>26</v>
      </c>
      <c r="C13" s="7" t="s">
        <v>268</v>
      </c>
    </row>
    <row r="14" spans="1:3" x14ac:dyDescent="0.25">
      <c r="A14" s="8" t="s">
        <v>121</v>
      </c>
      <c r="B14" s="8">
        <v>35</v>
      </c>
      <c r="C14" s="8" t="s">
        <v>268</v>
      </c>
    </row>
    <row r="15" spans="1:3" x14ac:dyDescent="0.25">
      <c r="A15" s="7" t="s">
        <v>24</v>
      </c>
      <c r="B15" s="7">
        <v>39</v>
      </c>
      <c r="C15" s="7" t="s">
        <v>268</v>
      </c>
    </row>
    <row r="16" spans="1:3" x14ac:dyDescent="0.25">
      <c r="A16" s="8" t="s">
        <v>127</v>
      </c>
      <c r="B16" s="8">
        <v>40</v>
      </c>
      <c r="C16" s="8" t="s">
        <v>268</v>
      </c>
    </row>
    <row r="17" spans="1:3" x14ac:dyDescent="0.25">
      <c r="A17" s="7" t="s">
        <v>29</v>
      </c>
      <c r="B17" s="7">
        <v>43</v>
      </c>
      <c r="C17" s="7" t="s">
        <v>268</v>
      </c>
    </row>
    <row r="18" spans="1:3" x14ac:dyDescent="0.25">
      <c r="A18" s="8" t="s">
        <v>131</v>
      </c>
      <c r="B18" s="8">
        <v>47</v>
      </c>
      <c r="C18" s="8" t="s">
        <v>268</v>
      </c>
    </row>
    <row r="19" spans="1:3" x14ac:dyDescent="0.25">
      <c r="A19" s="7" t="s">
        <v>132</v>
      </c>
      <c r="B19" s="7">
        <v>48</v>
      </c>
      <c r="C19" s="7" t="s">
        <v>268</v>
      </c>
    </row>
    <row r="20" spans="1:3" x14ac:dyDescent="0.25">
      <c r="A20" s="8" t="s">
        <v>141</v>
      </c>
      <c r="B20" s="8">
        <v>63</v>
      </c>
      <c r="C20" s="8" t="s">
        <v>268</v>
      </c>
    </row>
    <row r="21" spans="1:3" x14ac:dyDescent="0.25">
      <c r="A21" s="7" t="s">
        <v>43</v>
      </c>
      <c r="B21" s="7">
        <v>74</v>
      </c>
      <c r="C21" s="7" t="s">
        <v>268</v>
      </c>
    </row>
    <row r="22" spans="1:3" x14ac:dyDescent="0.25">
      <c r="A22" s="8" t="s">
        <v>153</v>
      </c>
      <c r="B22" s="8">
        <v>80</v>
      </c>
      <c r="C22" s="8" t="s">
        <v>268</v>
      </c>
    </row>
    <row r="23" spans="1:3" x14ac:dyDescent="0.25">
      <c r="A23" s="7" t="s">
        <v>154</v>
      </c>
      <c r="B23" s="7">
        <v>81</v>
      </c>
      <c r="C23" s="7" t="s">
        <v>268</v>
      </c>
    </row>
    <row r="24" spans="1:3" x14ac:dyDescent="0.25">
      <c r="A24" s="8" t="s">
        <v>45</v>
      </c>
      <c r="B24" s="8">
        <v>226</v>
      </c>
      <c r="C24" s="8" t="s">
        <v>268</v>
      </c>
    </row>
    <row r="25" spans="1:3" x14ac:dyDescent="0.25">
      <c r="A25" s="7" t="s">
        <v>46</v>
      </c>
      <c r="B25" s="7">
        <v>83</v>
      </c>
      <c r="C25" s="7" t="s">
        <v>268</v>
      </c>
    </row>
    <row r="26" spans="1:3" x14ac:dyDescent="0.25">
      <c r="A26" s="8" t="s">
        <v>47</v>
      </c>
      <c r="B26" s="8">
        <v>84</v>
      </c>
      <c r="C26" s="8" t="s">
        <v>268</v>
      </c>
    </row>
    <row r="27" spans="1:3" x14ac:dyDescent="0.25">
      <c r="A27" s="7" t="s">
        <v>52</v>
      </c>
      <c r="B27" s="7">
        <v>93</v>
      </c>
      <c r="C27" s="7" t="s">
        <v>268</v>
      </c>
    </row>
    <row r="28" spans="1:3" x14ac:dyDescent="0.25">
      <c r="A28" s="8" t="s">
        <v>164</v>
      </c>
      <c r="B28" s="8">
        <v>97</v>
      </c>
      <c r="C28" s="8" t="s">
        <v>268</v>
      </c>
    </row>
    <row r="29" spans="1:3" x14ac:dyDescent="0.25">
      <c r="A29" s="7" t="s">
        <v>165</v>
      </c>
      <c r="B29" s="7">
        <v>98</v>
      </c>
      <c r="C29" s="7" t="s">
        <v>268</v>
      </c>
    </row>
    <row r="30" spans="1:3" x14ac:dyDescent="0.25">
      <c r="A30" s="8" t="s">
        <v>166</v>
      </c>
      <c r="B30" s="8">
        <v>99</v>
      </c>
      <c r="C30" s="8" t="s">
        <v>268</v>
      </c>
    </row>
    <row r="31" spans="1:3" x14ac:dyDescent="0.25">
      <c r="A31" s="7" t="s">
        <v>57</v>
      </c>
      <c r="B31" s="7">
        <v>102</v>
      </c>
      <c r="C31" s="7" t="s">
        <v>268</v>
      </c>
    </row>
    <row r="32" spans="1:3" x14ac:dyDescent="0.25">
      <c r="A32" s="8" t="s">
        <v>168</v>
      </c>
      <c r="B32" s="8">
        <v>105</v>
      </c>
      <c r="C32" s="8" t="s">
        <v>268</v>
      </c>
    </row>
    <row r="33" spans="1:3" x14ac:dyDescent="0.25">
      <c r="A33" s="7" t="s">
        <v>169</v>
      </c>
      <c r="B33" s="7">
        <v>106</v>
      </c>
      <c r="C33" s="7" t="s">
        <v>268</v>
      </c>
    </row>
    <row r="34" spans="1:3" x14ac:dyDescent="0.25">
      <c r="A34" s="8" t="s">
        <v>63</v>
      </c>
      <c r="B34" s="8">
        <v>111</v>
      </c>
      <c r="C34" s="8" t="s">
        <v>268</v>
      </c>
    </row>
    <row r="35" spans="1:3" x14ac:dyDescent="0.25">
      <c r="A35" s="7" t="s">
        <v>65</v>
      </c>
      <c r="B35" s="7">
        <v>113</v>
      </c>
      <c r="C35" s="7" t="s">
        <v>268</v>
      </c>
    </row>
    <row r="36" spans="1:3" x14ac:dyDescent="0.25">
      <c r="A36" s="8" t="s">
        <v>174</v>
      </c>
      <c r="B36" s="8">
        <v>117</v>
      </c>
      <c r="C36" s="8" t="s">
        <v>268</v>
      </c>
    </row>
    <row r="37" spans="1:3" x14ac:dyDescent="0.25">
      <c r="A37" s="7" t="s">
        <v>68</v>
      </c>
      <c r="B37" s="7">
        <v>118</v>
      </c>
      <c r="C37" s="7" t="s">
        <v>268</v>
      </c>
    </row>
    <row r="38" spans="1:3" x14ac:dyDescent="0.25">
      <c r="A38" s="8" t="s">
        <v>72</v>
      </c>
      <c r="B38" s="8">
        <v>231</v>
      </c>
      <c r="C38" s="8" t="s">
        <v>268</v>
      </c>
    </row>
    <row r="39" spans="1:3" x14ac:dyDescent="0.25">
      <c r="A39" s="7" t="s">
        <v>180</v>
      </c>
      <c r="B39" s="7">
        <v>126</v>
      </c>
      <c r="C39" s="7" t="s">
        <v>268</v>
      </c>
    </row>
    <row r="40" spans="1:3" x14ac:dyDescent="0.25">
      <c r="A40" s="8" t="s">
        <v>187</v>
      </c>
      <c r="B40" s="8">
        <v>134</v>
      </c>
      <c r="C40" s="8" t="s">
        <v>268</v>
      </c>
    </row>
    <row r="41" spans="1:3" x14ac:dyDescent="0.25">
      <c r="A41" s="7" t="s">
        <v>190</v>
      </c>
      <c r="B41" s="7">
        <v>136</v>
      </c>
      <c r="C41" s="7" t="s">
        <v>268</v>
      </c>
    </row>
    <row r="42" spans="1:3" x14ac:dyDescent="0.25">
      <c r="A42" s="8" t="s">
        <v>82</v>
      </c>
      <c r="B42" s="8">
        <v>139</v>
      </c>
      <c r="C42" s="8" t="s">
        <v>268</v>
      </c>
    </row>
    <row r="43" spans="1:3" x14ac:dyDescent="0.25">
      <c r="A43" s="7" t="s">
        <v>193</v>
      </c>
      <c r="B43" s="7">
        <v>141</v>
      </c>
      <c r="C43" s="7" t="s">
        <v>268</v>
      </c>
    </row>
    <row r="44" spans="1:3" x14ac:dyDescent="0.25">
      <c r="A44" s="8" t="s">
        <v>84</v>
      </c>
      <c r="B44" s="8">
        <v>146</v>
      </c>
      <c r="C44" s="8" t="s">
        <v>268</v>
      </c>
    </row>
    <row r="45" spans="1:3" x14ac:dyDescent="0.25">
      <c r="A45" s="7" t="s">
        <v>85</v>
      </c>
      <c r="B45" s="7">
        <v>147</v>
      </c>
      <c r="C45" s="7" t="s">
        <v>268</v>
      </c>
    </row>
    <row r="46" spans="1:3" x14ac:dyDescent="0.25">
      <c r="A46" s="8" t="s">
        <v>89</v>
      </c>
      <c r="B46" s="8">
        <v>153</v>
      </c>
      <c r="C46" s="8" t="s">
        <v>268</v>
      </c>
    </row>
    <row r="47" spans="1:3" x14ac:dyDescent="0.25">
      <c r="A47" s="7" t="s">
        <v>212</v>
      </c>
      <c r="B47" s="7">
        <v>235</v>
      </c>
      <c r="C47" s="7" t="s">
        <v>268</v>
      </c>
    </row>
    <row r="48" spans="1:3" x14ac:dyDescent="0.25">
      <c r="A48" s="8" t="s">
        <v>248</v>
      </c>
      <c r="B48" s="8">
        <v>155</v>
      </c>
      <c r="C48" s="8" t="s">
        <v>268</v>
      </c>
    </row>
    <row r="49" spans="1:3" x14ac:dyDescent="0.25">
      <c r="A49" s="7" t="s">
        <v>215</v>
      </c>
      <c r="B49" s="7">
        <v>156</v>
      </c>
      <c r="C49" s="7" t="s">
        <v>268</v>
      </c>
    </row>
    <row r="50" spans="1:3" x14ac:dyDescent="0.25">
      <c r="A50" s="8" t="s">
        <v>93</v>
      </c>
      <c r="B50" s="8">
        <v>158</v>
      </c>
      <c r="C50" s="8" t="s">
        <v>268</v>
      </c>
    </row>
    <row r="51" spans="1:3" x14ac:dyDescent="0.25">
      <c r="A51" s="7" t="s">
        <v>217</v>
      </c>
      <c r="B51" s="7">
        <v>159</v>
      </c>
      <c r="C51" s="7" t="s">
        <v>268</v>
      </c>
    </row>
    <row r="52" spans="1:3" x14ac:dyDescent="0.25">
      <c r="A52" s="8" t="s">
        <v>95</v>
      </c>
      <c r="B52" s="8">
        <v>161</v>
      </c>
      <c r="C52" s="8" t="s">
        <v>268</v>
      </c>
    </row>
    <row r="53" spans="1:3" x14ac:dyDescent="0.25">
      <c r="A53" s="7" t="s">
        <v>99</v>
      </c>
      <c r="B53" s="7">
        <v>175</v>
      </c>
      <c r="C53" s="7" t="s">
        <v>268</v>
      </c>
    </row>
    <row r="54" spans="1:3" x14ac:dyDescent="0.25">
      <c r="A54" s="8" t="s">
        <v>101</v>
      </c>
      <c r="B54" s="8">
        <v>178</v>
      </c>
      <c r="C54" s="8" t="s">
        <v>268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9CEF-5293-4AF5-A3F3-3E1BA36DD465}">
  <dimension ref="A1:C56"/>
  <sheetViews>
    <sheetView topLeftCell="A31" zoomScale="190" zoomScaleNormal="190" workbookViewId="0">
      <selection activeCell="A56" sqref="A56:C56"/>
    </sheetView>
  </sheetViews>
  <sheetFormatPr defaultRowHeight="15" x14ac:dyDescent="0.25"/>
  <cols>
    <col min="1" max="1" width="36" bestFit="1" customWidth="1"/>
  </cols>
  <sheetData>
    <row r="1" spans="1:3" x14ac:dyDescent="0.25">
      <c r="A1" s="7" t="s">
        <v>106</v>
      </c>
      <c r="B1" s="7">
        <v>7</v>
      </c>
      <c r="C1" s="7" t="s">
        <v>269</v>
      </c>
    </row>
    <row r="2" spans="1:3" x14ac:dyDescent="0.25">
      <c r="A2" s="8" t="s">
        <v>104</v>
      </c>
      <c r="B2" s="8">
        <v>237</v>
      </c>
      <c r="C2" s="8" t="s">
        <v>269</v>
      </c>
    </row>
    <row r="3" spans="1:3" x14ac:dyDescent="0.25">
      <c r="A3" s="7" t="s">
        <v>1</v>
      </c>
      <c r="B3" s="7">
        <v>1</v>
      </c>
      <c r="C3" s="7" t="s">
        <v>269</v>
      </c>
    </row>
    <row r="4" spans="1:3" x14ac:dyDescent="0.25">
      <c r="A4" s="8" t="s">
        <v>11</v>
      </c>
      <c r="B4" s="8">
        <v>14</v>
      </c>
      <c r="C4" s="8" t="s">
        <v>269</v>
      </c>
    </row>
    <row r="5" spans="1:3" x14ac:dyDescent="0.25">
      <c r="A5" s="7" t="s">
        <v>251</v>
      </c>
      <c r="B5" s="7">
        <v>15</v>
      </c>
      <c r="C5" s="7" t="s">
        <v>269</v>
      </c>
    </row>
    <row r="6" spans="1:3" x14ac:dyDescent="0.25">
      <c r="A6" s="8" t="s">
        <v>14</v>
      </c>
      <c r="B6" s="8">
        <v>19</v>
      </c>
      <c r="C6" s="8" t="s">
        <v>269</v>
      </c>
    </row>
    <row r="7" spans="1:3" x14ac:dyDescent="0.25">
      <c r="A7" s="7" t="s">
        <v>22</v>
      </c>
      <c r="B7" s="7">
        <v>34</v>
      </c>
      <c r="C7" s="7" t="s">
        <v>269</v>
      </c>
    </row>
    <row r="8" spans="1:3" x14ac:dyDescent="0.25">
      <c r="A8" s="8" t="s">
        <v>127</v>
      </c>
      <c r="B8" s="8">
        <v>40</v>
      </c>
      <c r="C8" s="8" t="s">
        <v>269</v>
      </c>
    </row>
    <row r="9" spans="1:3" x14ac:dyDescent="0.25">
      <c r="A9" s="7" t="s">
        <v>27</v>
      </c>
      <c r="B9" s="7">
        <v>42</v>
      </c>
      <c r="C9" s="7" t="s">
        <v>269</v>
      </c>
    </row>
    <row r="10" spans="1:3" x14ac:dyDescent="0.25">
      <c r="A10" s="8" t="s">
        <v>129</v>
      </c>
      <c r="B10" s="8">
        <v>44</v>
      </c>
      <c r="C10" s="8" t="s">
        <v>269</v>
      </c>
    </row>
    <row r="11" spans="1:3" x14ac:dyDescent="0.25">
      <c r="A11" s="7" t="s">
        <v>130</v>
      </c>
      <c r="B11" s="7">
        <v>45</v>
      </c>
      <c r="C11" s="7" t="s">
        <v>269</v>
      </c>
    </row>
    <row r="12" spans="1:3" x14ac:dyDescent="0.25">
      <c r="A12" s="8" t="s">
        <v>31</v>
      </c>
      <c r="B12" s="8">
        <v>51</v>
      </c>
      <c r="C12" s="8" t="s">
        <v>269</v>
      </c>
    </row>
    <row r="13" spans="1:3" x14ac:dyDescent="0.25">
      <c r="A13" s="7" t="s">
        <v>32</v>
      </c>
      <c r="B13" s="7">
        <v>53</v>
      </c>
      <c r="C13" s="7" t="s">
        <v>269</v>
      </c>
    </row>
    <row r="14" spans="1:3" x14ac:dyDescent="0.25">
      <c r="A14" s="8" t="s">
        <v>40</v>
      </c>
      <c r="B14" s="8">
        <v>66</v>
      </c>
      <c r="C14" s="8" t="s">
        <v>269</v>
      </c>
    </row>
    <row r="15" spans="1:3" x14ac:dyDescent="0.25">
      <c r="A15" s="7" t="s">
        <v>136</v>
      </c>
      <c r="B15" s="7">
        <v>54</v>
      </c>
      <c r="C15" s="7" t="s">
        <v>269</v>
      </c>
    </row>
    <row r="16" spans="1:3" x14ac:dyDescent="0.25">
      <c r="A16" s="8" t="s">
        <v>33</v>
      </c>
      <c r="B16" s="8">
        <v>55</v>
      </c>
      <c r="C16" s="8" t="s">
        <v>269</v>
      </c>
    </row>
    <row r="17" spans="1:3" x14ac:dyDescent="0.25">
      <c r="A17" s="7" t="s">
        <v>138</v>
      </c>
      <c r="B17" s="7">
        <v>57</v>
      </c>
      <c r="C17" s="7" t="s">
        <v>269</v>
      </c>
    </row>
    <row r="18" spans="1:3" x14ac:dyDescent="0.25">
      <c r="A18" s="8" t="s">
        <v>38</v>
      </c>
      <c r="B18" s="8">
        <v>61</v>
      </c>
      <c r="C18" s="8" t="s">
        <v>269</v>
      </c>
    </row>
    <row r="19" spans="1:3" x14ac:dyDescent="0.25">
      <c r="A19" s="7" t="s">
        <v>143</v>
      </c>
      <c r="B19" s="7">
        <v>68</v>
      </c>
      <c r="C19" s="7" t="s">
        <v>269</v>
      </c>
    </row>
    <row r="20" spans="1:3" x14ac:dyDescent="0.25">
      <c r="A20" s="8" t="s">
        <v>146</v>
      </c>
      <c r="B20" s="8">
        <v>72</v>
      </c>
      <c r="C20" s="8" t="s">
        <v>269</v>
      </c>
    </row>
    <row r="21" spans="1:3" x14ac:dyDescent="0.25">
      <c r="A21" s="7" t="s">
        <v>44</v>
      </c>
      <c r="B21" s="7">
        <v>75</v>
      </c>
      <c r="C21" s="7" t="s">
        <v>269</v>
      </c>
    </row>
    <row r="22" spans="1:3" x14ac:dyDescent="0.25">
      <c r="A22" s="8" t="s">
        <v>150</v>
      </c>
      <c r="B22" s="8">
        <v>77</v>
      </c>
      <c r="C22" s="8" t="s">
        <v>269</v>
      </c>
    </row>
    <row r="23" spans="1:3" x14ac:dyDescent="0.25">
      <c r="A23" s="7" t="s">
        <v>151</v>
      </c>
      <c r="B23" s="7">
        <v>78</v>
      </c>
      <c r="C23" s="7" t="s">
        <v>269</v>
      </c>
    </row>
    <row r="24" spans="1:3" x14ac:dyDescent="0.25">
      <c r="A24" s="8" t="s">
        <v>156</v>
      </c>
      <c r="B24" s="8">
        <v>241</v>
      </c>
      <c r="C24" s="8" t="s">
        <v>269</v>
      </c>
    </row>
    <row r="25" spans="1:3" x14ac:dyDescent="0.25">
      <c r="A25" s="7" t="s">
        <v>157</v>
      </c>
      <c r="B25" s="7">
        <v>85</v>
      </c>
      <c r="C25" s="7" t="s">
        <v>269</v>
      </c>
    </row>
    <row r="26" spans="1:3" x14ac:dyDescent="0.25">
      <c r="A26" s="8" t="s">
        <v>158</v>
      </c>
      <c r="B26" s="8">
        <v>86</v>
      </c>
      <c r="C26" s="8" t="s">
        <v>269</v>
      </c>
    </row>
    <row r="27" spans="1:3" x14ac:dyDescent="0.25">
      <c r="A27" s="7" t="s">
        <v>48</v>
      </c>
      <c r="B27" s="7">
        <v>87</v>
      </c>
      <c r="C27" s="7" t="s">
        <v>269</v>
      </c>
    </row>
    <row r="28" spans="1:3" x14ac:dyDescent="0.25">
      <c r="A28" s="8" t="s">
        <v>50</v>
      </c>
      <c r="B28" s="8">
        <v>89</v>
      </c>
      <c r="C28" s="8" t="s">
        <v>269</v>
      </c>
    </row>
    <row r="29" spans="1:3" x14ac:dyDescent="0.25">
      <c r="A29" s="7" t="s">
        <v>160</v>
      </c>
      <c r="B29" s="7">
        <v>90</v>
      </c>
      <c r="C29" s="7" t="s">
        <v>269</v>
      </c>
    </row>
    <row r="30" spans="1:3" x14ac:dyDescent="0.25">
      <c r="A30" s="8" t="s">
        <v>161</v>
      </c>
      <c r="B30" s="8">
        <v>91</v>
      </c>
      <c r="C30" s="8" t="s">
        <v>269</v>
      </c>
    </row>
    <row r="31" spans="1:3" x14ac:dyDescent="0.25">
      <c r="A31" s="7" t="s">
        <v>51</v>
      </c>
      <c r="B31" s="7">
        <v>92</v>
      </c>
      <c r="C31" s="7" t="s">
        <v>269</v>
      </c>
    </row>
    <row r="32" spans="1:3" x14ac:dyDescent="0.25">
      <c r="A32" s="8" t="s">
        <v>163</v>
      </c>
      <c r="B32" s="8">
        <v>94</v>
      </c>
      <c r="C32" s="8" t="s">
        <v>269</v>
      </c>
    </row>
    <row r="33" spans="1:3" x14ac:dyDescent="0.25">
      <c r="A33" s="7" t="s">
        <v>56</v>
      </c>
      <c r="B33" s="7">
        <v>101</v>
      </c>
      <c r="C33" s="7" t="s">
        <v>269</v>
      </c>
    </row>
    <row r="34" spans="1:3" x14ac:dyDescent="0.25">
      <c r="A34" s="8" t="s">
        <v>252</v>
      </c>
      <c r="B34" s="8">
        <v>103</v>
      </c>
      <c r="C34" s="8" t="s">
        <v>269</v>
      </c>
    </row>
    <row r="35" spans="1:3" x14ac:dyDescent="0.25">
      <c r="A35" s="7" t="s">
        <v>170</v>
      </c>
      <c r="B35" s="7">
        <v>107</v>
      </c>
      <c r="C35" s="7" t="s">
        <v>269</v>
      </c>
    </row>
    <row r="36" spans="1:3" x14ac:dyDescent="0.25">
      <c r="A36" s="8" t="s">
        <v>62</v>
      </c>
      <c r="B36" s="8">
        <v>109</v>
      </c>
      <c r="C36" s="8" t="s">
        <v>269</v>
      </c>
    </row>
    <row r="37" spans="1:3" x14ac:dyDescent="0.25">
      <c r="A37" s="7" t="s">
        <v>66</v>
      </c>
      <c r="B37" s="7">
        <v>114</v>
      </c>
      <c r="C37" s="7" t="s">
        <v>269</v>
      </c>
    </row>
    <row r="38" spans="1:3" x14ac:dyDescent="0.25">
      <c r="A38" s="8" t="s">
        <v>176</v>
      </c>
      <c r="B38" s="8">
        <v>120</v>
      </c>
      <c r="C38" s="8" t="s">
        <v>269</v>
      </c>
    </row>
    <row r="39" spans="1:3" x14ac:dyDescent="0.25">
      <c r="A39" s="7" t="s">
        <v>177</v>
      </c>
      <c r="B39" s="7">
        <v>122</v>
      </c>
      <c r="C39" s="7" t="s">
        <v>269</v>
      </c>
    </row>
    <row r="40" spans="1:3" x14ac:dyDescent="0.25">
      <c r="A40" s="8" t="s">
        <v>181</v>
      </c>
      <c r="B40" s="8">
        <v>127</v>
      </c>
      <c r="C40" s="8" t="s">
        <v>269</v>
      </c>
    </row>
    <row r="41" spans="1:3" x14ac:dyDescent="0.25">
      <c r="A41" s="7" t="s">
        <v>184</v>
      </c>
      <c r="B41" s="7">
        <v>129</v>
      </c>
      <c r="C41" s="7" t="s">
        <v>269</v>
      </c>
    </row>
    <row r="42" spans="1:3" x14ac:dyDescent="0.25">
      <c r="A42" s="8" t="s">
        <v>185</v>
      </c>
      <c r="B42" s="8">
        <v>130</v>
      </c>
      <c r="C42" s="8" t="s">
        <v>269</v>
      </c>
    </row>
    <row r="43" spans="1:3" x14ac:dyDescent="0.25">
      <c r="A43" s="7" t="s">
        <v>75</v>
      </c>
      <c r="B43" s="7">
        <v>131</v>
      </c>
      <c r="C43" s="7" t="s">
        <v>269</v>
      </c>
    </row>
    <row r="44" spans="1:3" x14ac:dyDescent="0.25">
      <c r="A44" s="8" t="s">
        <v>186</v>
      </c>
      <c r="B44" s="8">
        <v>133</v>
      </c>
      <c r="C44" s="8" t="s">
        <v>269</v>
      </c>
    </row>
    <row r="45" spans="1:3" x14ac:dyDescent="0.25">
      <c r="A45" s="7" t="s">
        <v>81</v>
      </c>
      <c r="B45" s="7">
        <v>138</v>
      </c>
      <c r="C45" s="7" t="s">
        <v>269</v>
      </c>
    </row>
    <row r="46" spans="1:3" x14ac:dyDescent="0.25">
      <c r="A46" s="8" t="s">
        <v>192</v>
      </c>
      <c r="B46" s="8">
        <v>140</v>
      </c>
      <c r="C46" s="8" t="s">
        <v>269</v>
      </c>
    </row>
    <row r="47" spans="1:3" x14ac:dyDescent="0.25">
      <c r="A47" s="7" t="s">
        <v>194</v>
      </c>
      <c r="B47" s="7">
        <v>142</v>
      </c>
      <c r="C47" s="7" t="s">
        <v>269</v>
      </c>
    </row>
    <row r="48" spans="1:3" x14ac:dyDescent="0.25">
      <c r="A48" s="8" t="s">
        <v>195</v>
      </c>
      <c r="B48" s="8">
        <v>143</v>
      </c>
      <c r="C48" s="8" t="s">
        <v>269</v>
      </c>
    </row>
    <row r="49" spans="1:3" x14ac:dyDescent="0.25">
      <c r="A49" s="7" t="s">
        <v>216</v>
      </c>
      <c r="B49" s="7">
        <v>157</v>
      </c>
      <c r="C49" s="7" t="s">
        <v>269</v>
      </c>
    </row>
    <row r="50" spans="1:3" x14ac:dyDescent="0.25">
      <c r="A50" s="8" t="s">
        <v>218</v>
      </c>
      <c r="B50" s="8">
        <v>160</v>
      </c>
      <c r="C50" s="8" t="s">
        <v>269</v>
      </c>
    </row>
    <row r="51" spans="1:3" x14ac:dyDescent="0.25">
      <c r="A51" s="7" t="s">
        <v>219</v>
      </c>
      <c r="B51" s="7">
        <v>162</v>
      </c>
      <c r="C51" s="7" t="s">
        <v>269</v>
      </c>
    </row>
    <row r="52" spans="1:3" x14ac:dyDescent="0.25">
      <c r="A52" s="8" t="s">
        <v>220</v>
      </c>
      <c r="B52" s="8">
        <v>163</v>
      </c>
      <c r="C52" s="8" t="s">
        <v>269</v>
      </c>
    </row>
    <row r="53" spans="1:3" x14ac:dyDescent="0.25">
      <c r="A53" s="7" t="s">
        <v>96</v>
      </c>
      <c r="B53" s="7">
        <v>166</v>
      </c>
      <c r="C53" s="7" t="s">
        <v>269</v>
      </c>
    </row>
    <row r="54" spans="1:3" x14ac:dyDescent="0.25">
      <c r="A54" s="8" t="s">
        <v>223</v>
      </c>
      <c r="B54" s="8">
        <v>167</v>
      </c>
      <c r="C54" s="8" t="s">
        <v>269</v>
      </c>
    </row>
    <row r="55" spans="1:3" x14ac:dyDescent="0.25">
      <c r="A55" s="7" t="s">
        <v>254</v>
      </c>
      <c r="B55" s="7">
        <v>169</v>
      </c>
      <c r="C55" s="7" t="s">
        <v>269</v>
      </c>
    </row>
    <row r="56" spans="1:3" x14ac:dyDescent="0.25">
      <c r="A56" s="17" t="s">
        <v>517</v>
      </c>
      <c r="B56" s="17">
        <v>246</v>
      </c>
      <c r="C56" s="17" t="s">
        <v>269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0C90-82CE-4511-AD47-B4F90CF56180}">
  <dimension ref="A1:C55"/>
  <sheetViews>
    <sheetView zoomScale="205" zoomScaleNormal="205" workbookViewId="0"/>
  </sheetViews>
  <sheetFormatPr defaultRowHeight="15" x14ac:dyDescent="0.25"/>
  <cols>
    <col min="1" max="1" width="36" bestFit="1" customWidth="1"/>
    <col min="2" max="2" width="4" bestFit="1" customWidth="1"/>
    <col min="3" max="3" width="11.5703125" bestFit="1" customWidth="1"/>
  </cols>
  <sheetData>
    <row r="1" spans="1:3" x14ac:dyDescent="0.25">
      <c r="A1" s="7" t="s">
        <v>106</v>
      </c>
      <c r="B1" s="7">
        <v>7</v>
      </c>
      <c r="C1" s="7" t="s">
        <v>75</v>
      </c>
    </row>
    <row r="2" spans="1:3" x14ac:dyDescent="0.25">
      <c r="A2" s="8" t="s">
        <v>104</v>
      </c>
      <c r="B2" s="8">
        <v>237</v>
      </c>
      <c r="C2" s="8" t="s">
        <v>75</v>
      </c>
    </row>
    <row r="3" spans="1:3" x14ac:dyDescent="0.25">
      <c r="A3" s="7" t="s">
        <v>1</v>
      </c>
      <c r="B3" s="7">
        <v>1</v>
      </c>
      <c r="C3" s="7" t="s">
        <v>75</v>
      </c>
    </row>
    <row r="4" spans="1:3" x14ac:dyDescent="0.25">
      <c r="A4" s="8" t="s">
        <v>11</v>
      </c>
      <c r="B4" s="8">
        <v>14</v>
      </c>
      <c r="C4" s="8" t="s">
        <v>75</v>
      </c>
    </row>
    <row r="5" spans="1:3" x14ac:dyDescent="0.25">
      <c r="A5" s="7" t="s">
        <v>251</v>
      </c>
      <c r="B5" s="7">
        <v>15</v>
      </c>
      <c r="C5" s="7" t="s">
        <v>75</v>
      </c>
    </row>
    <row r="6" spans="1:3" x14ac:dyDescent="0.25">
      <c r="A6" s="8" t="s">
        <v>14</v>
      </c>
      <c r="B6" s="8">
        <v>19</v>
      </c>
      <c r="C6" s="8" t="s">
        <v>75</v>
      </c>
    </row>
    <row r="7" spans="1:3" x14ac:dyDescent="0.25">
      <c r="A7" s="7" t="s">
        <v>22</v>
      </c>
      <c r="B7" s="7">
        <v>34</v>
      </c>
      <c r="C7" s="7" t="s">
        <v>75</v>
      </c>
    </row>
    <row r="8" spans="1:3" x14ac:dyDescent="0.25">
      <c r="A8" s="8" t="s">
        <v>127</v>
      </c>
      <c r="B8" s="8">
        <v>40</v>
      </c>
      <c r="C8" s="8" t="s">
        <v>75</v>
      </c>
    </row>
    <row r="9" spans="1:3" x14ac:dyDescent="0.25">
      <c r="A9" s="7" t="s">
        <v>27</v>
      </c>
      <c r="B9" s="7">
        <v>42</v>
      </c>
      <c r="C9" s="7" t="s">
        <v>75</v>
      </c>
    </row>
    <row r="10" spans="1:3" x14ac:dyDescent="0.25">
      <c r="A10" s="8" t="s">
        <v>129</v>
      </c>
      <c r="B10" s="8">
        <v>44</v>
      </c>
      <c r="C10" s="8" t="s">
        <v>75</v>
      </c>
    </row>
    <row r="11" spans="1:3" x14ac:dyDescent="0.25">
      <c r="A11" s="7" t="s">
        <v>130</v>
      </c>
      <c r="B11" s="7">
        <v>45</v>
      </c>
      <c r="C11" s="7" t="s">
        <v>75</v>
      </c>
    </row>
    <row r="12" spans="1:3" x14ac:dyDescent="0.25">
      <c r="A12" s="8" t="s">
        <v>31</v>
      </c>
      <c r="B12" s="8">
        <v>51</v>
      </c>
      <c r="C12" s="8" t="s">
        <v>75</v>
      </c>
    </row>
    <row r="13" spans="1:3" x14ac:dyDescent="0.25">
      <c r="A13" s="7" t="s">
        <v>32</v>
      </c>
      <c r="B13" s="7">
        <v>53</v>
      </c>
      <c r="C13" s="7" t="s">
        <v>75</v>
      </c>
    </row>
    <row r="14" spans="1:3" x14ac:dyDescent="0.25">
      <c r="A14" s="8" t="s">
        <v>40</v>
      </c>
      <c r="B14" s="8">
        <v>66</v>
      </c>
      <c r="C14" s="8" t="s">
        <v>75</v>
      </c>
    </row>
    <row r="15" spans="1:3" x14ac:dyDescent="0.25">
      <c r="A15" s="7" t="s">
        <v>136</v>
      </c>
      <c r="B15" s="7">
        <v>54</v>
      </c>
      <c r="C15" s="7" t="s">
        <v>75</v>
      </c>
    </row>
    <row r="16" spans="1:3" x14ac:dyDescent="0.25">
      <c r="A16" s="8" t="s">
        <v>33</v>
      </c>
      <c r="B16" s="8">
        <v>55</v>
      </c>
      <c r="C16" s="8" t="s">
        <v>75</v>
      </c>
    </row>
    <row r="17" spans="1:3" x14ac:dyDescent="0.25">
      <c r="A17" s="7" t="s">
        <v>138</v>
      </c>
      <c r="B17" s="7">
        <v>57</v>
      </c>
      <c r="C17" s="7" t="s">
        <v>75</v>
      </c>
    </row>
    <row r="18" spans="1:3" x14ac:dyDescent="0.25">
      <c r="A18" s="8" t="s">
        <v>38</v>
      </c>
      <c r="B18" s="8">
        <v>61</v>
      </c>
      <c r="C18" s="8" t="s">
        <v>75</v>
      </c>
    </row>
    <row r="19" spans="1:3" x14ac:dyDescent="0.25">
      <c r="A19" s="7" t="s">
        <v>143</v>
      </c>
      <c r="B19" s="7">
        <v>68</v>
      </c>
      <c r="C19" s="7" t="s">
        <v>75</v>
      </c>
    </row>
    <row r="20" spans="1:3" x14ac:dyDescent="0.25">
      <c r="A20" s="8" t="s">
        <v>146</v>
      </c>
      <c r="B20" s="8">
        <v>72</v>
      </c>
      <c r="C20" s="8" t="s">
        <v>75</v>
      </c>
    </row>
    <row r="21" spans="1:3" x14ac:dyDescent="0.25">
      <c r="A21" s="7" t="s">
        <v>44</v>
      </c>
      <c r="B21" s="7">
        <v>75</v>
      </c>
      <c r="C21" s="7" t="s">
        <v>75</v>
      </c>
    </row>
    <row r="22" spans="1:3" x14ac:dyDescent="0.25">
      <c r="A22" s="8" t="s">
        <v>150</v>
      </c>
      <c r="B22" s="8">
        <v>77</v>
      </c>
      <c r="C22" s="8" t="s">
        <v>75</v>
      </c>
    </row>
    <row r="23" spans="1:3" x14ac:dyDescent="0.25">
      <c r="A23" s="7" t="s">
        <v>151</v>
      </c>
      <c r="B23" s="7">
        <v>78</v>
      </c>
      <c r="C23" s="7" t="s">
        <v>75</v>
      </c>
    </row>
    <row r="24" spans="1:3" x14ac:dyDescent="0.25">
      <c r="A24" s="8" t="s">
        <v>156</v>
      </c>
      <c r="B24" s="8">
        <v>241</v>
      </c>
      <c r="C24" s="8" t="s">
        <v>75</v>
      </c>
    </row>
    <row r="25" spans="1:3" x14ac:dyDescent="0.25">
      <c r="A25" s="7" t="s">
        <v>157</v>
      </c>
      <c r="B25" s="7">
        <v>85</v>
      </c>
      <c r="C25" s="7" t="s">
        <v>75</v>
      </c>
    </row>
    <row r="26" spans="1:3" x14ac:dyDescent="0.25">
      <c r="A26" s="8" t="s">
        <v>158</v>
      </c>
      <c r="B26" s="8">
        <v>86</v>
      </c>
      <c r="C26" s="8" t="s">
        <v>75</v>
      </c>
    </row>
    <row r="27" spans="1:3" x14ac:dyDescent="0.25">
      <c r="A27" s="7" t="s">
        <v>48</v>
      </c>
      <c r="B27" s="7">
        <v>87</v>
      </c>
      <c r="C27" s="7" t="s">
        <v>75</v>
      </c>
    </row>
    <row r="28" spans="1:3" x14ac:dyDescent="0.25">
      <c r="A28" s="8" t="s">
        <v>50</v>
      </c>
      <c r="B28" s="8">
        <v>89</v>
      </c>
      <c r="C28" s="8" t="s">
        <v>75</v>
      </c>
    </row>
    <row r="29" spans="1:3" x14ac:dyDescent="0.25">
      <c r="A29" s="7" t="s">
        <v>160</v>
      </c>
      <c r="B29" s="7">
        <v>90</v>
      </c>
      <c r="C29" s="7" t="s">
        <v>75</v>
      </c>
    </row>
    <row r="30" spans="1:3" x14ac:dyDescent="0.25">
      <c r="A30" s="8" t="s">
        <v>161</v>
      </c>
      <c r="B30" s="8">
        <v>91</v>
      </c>
      <c r="C30" s="8" t="s">
        <v>75</v>
      </c>
    </row>
    <row r="31" spans="1:3" x14ac:dyDescent="0.25">
      <c r="A31" s="7" t="s">
        <v>51</v>
      </c>
      <c r="B31" s="7">
        <v>92</v>
      </c>
      <c r="C31" s="7" t="s">
        <v>75</v>
      </c>
    </row>
    <row r="32" spans="1:3" x14ac:dyDescent="0.25">
      <c r="A32" s="8" t="s">
        <v>163</v>
      </c>
      <c r="B32" s="8">
        <v>94</v>
      </c>
      <c r="C32" s="8" t="s">
        <v>75</v>
      </c>
    </row>
    <row r="33" spans="1:3" x14ac:dyDescent="0.25">
      <c r="A33" s="7" t="s">
        <v>56</v>
      </c>
      <c r="B33" s="7">
        <v>101</v>
      </c>
      <c r="C33" s="7" t="s">
        <v>75</v>
      </c>
    </row>
    <row r="34" spans="1:3" x14ac:dyDescent="0.25">
      <c r="A34" s="8" t="s">
        <v>252</v>
      </c>
      <c r="B34" s="8">
        <v>103</v>
      </c>
      <c r="C34" s="8" t="s">
        <v>75</v>
      </c>
    </row>
    <row r="35" spans="1:3" x14ac:dyDescent="0.25">
      <c r="A35" s="7" t="s">
        <v>170</v>
      </c>
      <c r="B35" s="7">
        <v>107</v>
      </c>
      <c r="C35" s="7" t="s">
        <v>75</v>
      </c>
    </row>
    <row r="36" spans="1:3" x14ac:dyDescent="0.25">
      <c r="A36" s="8" t="s">
        <v>62</v>
      </c>
      <c r="B36" s="8">
        <v>109</v>
      </c>
      <c r="C36" s="8" t="s">
        <v>75</v>
      </c>
    </row>
    <row r="37" spans="1:3" x14ac:dyDescent="0.25">
      <c r="A37" s="7" t="s">
        <v>66</v>
      </c>
      <c r="B37" s="7">
        <v>114</v>
      </c>
      <c r="C37" s="7" t="s">
        <v>75</v>
      </c>
    </row>
    <row r="38" spans="1:3" x14ac:dyDescent="0.25">
      <c r="A38" s="8" t="s">
        <v>176</v>
      </c>
      <c r="B38" s="8">
        <v>120</v>
      </c>
      <c r="C38" s="8" t="s">
        <v>75</v>
      </c>
    </row>
    <row r="39" spans="1:3" x14ac:dyDescent="0.25">
      <c r="A39" s="7" t="s">
        <v>177</v>
      </c>
      <c r="B39" s="7">
        <v>122</v>
      </c>
      <c r="C39" s="7" t="s">
        <v>75</v>
      </c>
    </row>
    <row r="40" spans="1:3" x14ac:dyDescent="0.25">
      <c r="A40" s="8" t="s">
        <v>181</v>
      </c>
      <c r="B40" s="8">
        <v>127</v>
      </c>
      <c r="C40" s="8" t="s">
        <v>75</v>
      </c>
    </row>
    <row r="41" spans="1:3" x14ac:dyDescent="0.25">
      <c r="A41" s="7" t="s">
        <v>184</v>
      </c>
      <c r="B41" s="7">
        <v>129</v>
      </c>
      <c r="C41" s="7" t="s">
        <v>75</v>
      </c>
    </row>
    <row r="42" spans="1:3" x14ac:dyDescent="0.25">
      <c r="A42" s="8" t="s">
        <v>185</v>
      </c>
      <c r="B42" s="8">
        <v>130</v>
      </c>
      <c r="C42" s="8" t="s">
        <v>75</v>
      </c>
    </row>
    <row r="43" spans="1:3" x14ac:dyDescent="0.25">
      <c r="A43" s="7" t="s">
        <v>75</v>
      </c>
      <c r="B43" s="7">
        <v>131</v>
      </c>
      <c r="C43" s="7" t="s">
        <v>75</v>
      </c>
    </row>
    <row r="44" spans="1:3" x14ac:dyDescent="0.25">
      <c r="A44" s="8" t="s">
        <v>186</v>
      </c>
      <c r="B44" s="8">
        <v>133</v>
      </c>
      <c r="C44" s="8" t="s">
        <v>75</v>
      </c>
    </row>
    <row r="45" spans="1:3" x14ac:dyDescent="0.25">
      <c r="A45" s="7" t="s">
        <v>81</v>
      </c>
      <c r="B45" s="7">
        <v>138</v>
      </c>
      <c r="C45" s="7" t="s">
        <v>75</v>
      </c>
    </row>
    <row r="46" spans="1:3" x14ac:dyDescent="0.25">
      <c r="A46" s="8" t="s">
        <v>192</v>
      </c>
      <c r="B46" s="8">
        <v>140</v>
      </c>
      <c r="C46" s="8" t="s">
        <v>75</v>
      </c>
    </row>
    <row r="47" spans="1:3" x14ac:dyDescent="0.25">
      <c r="A47" s="7" t="s">
        <v>194</v>
      </c>
      <c r="B47" s="7">
        <v>142</v>
      </c>
      <c r="C47" s="7" t="s">
        <v>75</v>
      </c>
    </row>
    <row r="48" spans="1:3" x14ac:dyDescent="0.25">
      <c r="A48" s="8" t="s">
        <v>195</v>
      </c>
      <c r="B48" s="8">
        <v>143</v>
      </c>
      <c r="C48" s="8" t="s">
        <v>75</v>
      </c>
    </row>
    <row r="49" spans="1:3" x14ac:dyDescent="0.25">
      <c r="A49" s="7" t="s">
        <v>216</v>
      </c>
      <c r="B49" s="7">
        <v>157</v>
      </c>
      <c r="C49" s="7" t="s">
        <v>75</v>
      </c>
    </row>
    <row r="50" spans="1:3" x14ac:dyDescent="0.25">
      <c r="A50" s="8" t="s">
        <v>218</v>
      </c>
      <c r="B50" s="8">
        <v>160</v>
      </c>
      <c r="C50" s="8" t="s">
        <v>75</v>
      </c>
    </row>
    <row r="51" spans="1:3" x14ac:dyDescent="0.25">
      <c r="A51" s="7" t="s">
        <v>219</v>
      </c>
      <c r="B51" s="7">
        <v>162</v>
      </c>
      <c r="C51" s="7" t="s">
        <v>75</v>
      </c>
    </row>
    <row r="52" spans="1:3" x14ac:dyDescent="0.25">
      <c r="A52" s="8" t="s">
        <v>220</v>
      </c>
      <c r="B52" s="8">
        <v>163</v>
      </c>
      <c r="C52" s="8" t="s">
        <v>75</v>
      </c>
    </row>
    <row r="53" spans="1:3" x14ac:dyDescent="0.25">
      <c r="A53" s="7" t="s">
        <v>96</v>
      </c>
      <c r="B53" s="7">
        <v>166</v>
      </c>
      <c r="C53" s="7" t="s">
        <v>75</v>
      </c>
    </row>
    <row r="54" spans="1:3" x14ac:dyDescent="0.25">
      <c r="A54" s="8" t="s">
        <v>223</v>
      </c>
      <c r="B54" s="8">
        <v>167</v>
      </c>
      <c r="C54" s="8" t="s">
        <v>75</v>
      </c>
    </row>
    <row r="55" spans="1:3" x14ac:dyDescent="0.25">
      <c r="A55" s="7" t="s">
        <v>254</v>
      </c>
      <c r="B55" s="7">
        <v>169</v>
      </c>
      <c r="C55" s="7" t="s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C647D-9627-41B8-8BF4-3090E806ABB1}">
  <dimension ref="A1:C23"/>
  <sheetViews>
    <sheetView zoomScale="205" zoomScaleNormal="205" workbookViewId="0"/>
  </sheetViews>
  <sheetFormatPr defaultRowHeight="15" x14ac:dyDescent="0.25"/>
  <cols>
    <col min="1" max="1" width="36" bestFit="1" customWidth="1"/>
    <col min="2" max="2" width="4" bestFit="1" customWidth="1"/>
    <col min="3" max="3" width="6.5703125" bestFit="1" customWidth="1"/>
  </cols>
  <sheetData>
    <row r="1" spans="1:3" x14ac:dyDescent="0.25">
      <c r="A1" s="7" t="s">
        <v>231</v>
      </c>
      <c r="B1" s="7">
        <v>21</v>
      </c>
      <c r="C1" s="7" t="s">
        <v>270</v>
      </c>
    </row>
    <row r="2" spans="1:3" x14ac:dyDescent="0.25">
      <c r="A2" s="8" t="s">
        <v>15</v>
      </c>
      <c r="B2" s="8">
        <v>22</v>
      </c>
      <c r="C2" s="8" t="s">
        <v>270</v>
      </c>
    </row>
    <row r="3" spans="1:3" x14ac:dyDescent="0.25">
      <c r="A3" s="7" t="s">
        <v>19</v>
      </c>
      <c r="B3" s="7">
        <v>27</v>
      </c>
      <c r="C3" s="7" t="s">
        <v>270</v>
      </c>
    </row>
    <row r="4" spans="1:3" x14ac:dyDescent="0.25">
      <c r="A4" s="8" t="s">
        <v>127</v>
      </c>
      <c r="B4" s="8">
        <v>40</v>
      </c>
      <c r="C4" s="8" t="s">
        <v>270</v>
      </c>
    </row>
    <row r="5" spans="1:3" x14ac:dyDescent="0.25">
      <c r="A5" s="7" t="s">
        <v>30</v>
      </c>
      <c r="B5" s="7">
        <v>223</v>
      </c>
      <c r="C5" s="7" t="s">
        <v>270</v>
      </c>
    </row>
    <row r="6" spans="1:3" x14ac:dyDescent="0.25">
      <c r="A6" s="8" t="s">
        <v>54</v>
      </c>
      <c r="B6" s="8">
        <v>96</v>
      </c>
      <c r="C6" s="8" t="s">
        <v>270</v>
      </c>
    </row>
    <row r="7" spans="1:3" x14ac:dyDescent="0.25">
      <c r="A7" s="7" t="s">
        <v>164</v>
      </c>
      <c r="B7" s="7">
        <v>97</v>
      </c>
      <c r="C7" s="7" t="s">
        <v>270</v>
      </c>
    </row>
    <row r="8" spans="1:3" x14ac:dyDescent="0.25">
      <c r="A8" s="8" t="s">
        <v>166</v>
      </c>
      <c r="B8" s="8">
        <v>99</v>
      </c>
      <c r="C8" s="8" t="s">
        <v>270</v>
      </c>
    </row>
    <row r="9" spans="1:3" x14ac:dyDescent="0.25">
      <c r="A9" s="7" t="s">
        <v>60</v>
      </c>
      <c r="B9" s="7">
        <v>108</v>
      </c>
      <c r="C9" s="7" t="s">
        <v>270</v>
      </c>
    </row>
    <row r="10" spans="1:3" x14ac:dyDescent="0.25">
      <c r="A10" s="8" t="s">
        <v>62</v>
      </c>
      <c r="B10" s="8">
        <v>109</v>
      </c>
      <c r="C10" s="8" t="s">
        <v>270</v>
      </c>
    </row>
    <row r="11" spans="1:3" x14ac:dyDescent="0.25">
      <c r="A11" s="7" t="s">
        <v>61</v>
      </c>
      <c r="B11" s="7">
        <v>110</v>
      </c>
      <c r="C11" s="7" t="s">
        <v>270</v>
      </c>
    </row>
    <row r="12" spans="1:3" x14ac:dyDescent="0.25">
      <c r="A12" s="8" t="s">
        <v>63</v>
      </c>
      <c r="B12" s="8">
        <v>111</v>
      </c>
      <c r="C12" s="8" t="s">
        <v>270</v>
      </c>
    </row>
    <row r="13" spans="1:3" x14ac:dyDescent="0.25">
      <c r="A13" s="7" t="s">
        <v>64</v>
      </c>
      <c r="B13" s="7">
        <v>112</v>
      </c>
      <c r="C13" s="7" t="s">
        <v>270</v>
      </c>
    </row>
    <row r="14" spans="1:3" x14ac:dyDescent="0.25">
      <c r="A14" s="8" t="s">
        <v>65</v>
      </c>
      <c r="B14" s="8">
        <v>113</v>
      </c>
      <c r="C14" s="8" t="s">
        <v>270</v>
      </c>
    </row>
    <row r="15" spans="1:3" x14ac:dyDescent="0.25">
      <c r="A15" s="7" t="s">
        <v>185</v>
      </c>
      <c r="B15" s="7">
        <v>130</v>
      </c>
      <c r="C15" s="7" t="s">
        <v>270</v>
      </c>
    </row>
    <row r="16" spans="1:3" x14ac:dyDescent="0.25">
      <c r="A16" s="8" t="s">
        <v>200</v>
      </c>
      <c r="B16" s="8">
        <v>144</v>
      </c>
      <c r="C16" s="8" t="s">
        <v>270</v>
      </c>
    </row>
    <row r="17" spans="1:3" x14ac:dyDescent="0.25">
      <c r="A17" s="7" t="s">
        <v>209</v>
      </c>
      <c r="B17" s="7">
        <v>149</v>
      </c>
      <c r="C17" s="7" t="s">
        <v>270</v>
      </c>
    </row>
    <row r="18" spans="1:3" x14ac:dyDescent="0.25">
      <c r="A18" s="8" t="s">
        <v>213</v>
      </c>
      <c r="B18" s="8">
        <v>154</v>
      </c>
      <c r="C18" s="8" t="s">
        <v>270</v>
      </c>
    </row>
    <row r="19" spans="1:3" x14ac:dyDescent="0.25">
      <c r="A19" s="7" t="s">
        <v>214</v>
      </c>
      <c r="B19" s="7">
        <v>155</v>
      </c>
      <c r="C19" s="7" t="s">
        <v>270</v>
      </c>
    </row>
    <row r="20" spans="1:3" x14ac:dyDescent="0.25">
      <c r="A20" s="8" t="s">
        <v>215</v>
      </c>
      <c r="B20" s="8">
        <v>156</v>
      </c>
      <c r="C20" s="8" t="s">
        <v>270</v>
      </c>
    </row>
    <row r="21" spans="1:3" x14ac:dyDescent="0.25">
      <c r="A21" s="7" t="s">
        <v>218</v>
      </c>
      <c r="B21" s="7">
        <v>160</v>
      </c>
      <c r="C21" s="7" t="s">
        <v>270</v>
      </c>
    </row>
    <row r="22" spans="1:3" x14ac:dyDescent="0.25">
      <c r="A22" s="8" t="s">
        <v>220</v>
      </c>
      <c r="B22" s="8">
        <v>163</v>
      </c>
      <c r="C22" s="8" t="s">
        <v>270</v>
      </c>
    </row>
    <row r="23" spans="1:3" x14ac:dyDescent="0.25">
      <c r="A23" s="7" t="s">
        <v>227</v>
      </c>
      <c r="B23" s="7">
        <v>171</v>
      </c>
      <c r="C23" s="7" t="s">
        <v>270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49B0-D7D5-42ED-9519-B7C5448F3B06}">
  <dimension ref="A1:C13"/>
  <sheetViews>
    <sheetView zoomScale="190" zoomScaleNormal="190" workbookViewId="0"/>
  </sheetViews>
  <sheetFormatPr defaultRowHeight="15" x14ac:dyDescent="0.25"/>
  <sheetData>
    <row r="1" spans="1:3" x14ac:dyDescent="0.25">
      <c r="A1" s="7" t="s">
        <v>11</v>
      </c>
      <c r="B1" s="7">
        <v>14</v>
      </c>
      <c r="C1" s="7" t="s">
        <v>273</v>
      </c>
    </row>
    <row r="2" spans="1:3" x14ac:dyDescent="0.25">
      <c r="A2" s="8" t="s">
        <v>16</v>
      </c>
      <c r="B2" s="8">
        <v>24</v>
      </c>
      <c r="C2" s="8" t="s">
        <v>273</v>
      </c>
    </row>
    <row r="3" spans="1:3" x14ac:dyDescent="0.25">
      <c r="A3" s="7" t="s">
        <v>23</v>
      </c>
      <c r="B3" s="7">
        <v>38</v>
      </c>
      <c r="C3" s="7" t="s">
        <v>273</v>
      </c>
    </row>
    <row r="4" spans="1:3" x14ac:dyDescent="0.25">
      <c r="A4" s="8" t="s">
        <v>128</v>
      </c>
      <c r="B4" s="8">
        <v>41</v>
      </c>
      <c r="C4" s="8" t="s">
        <v>273</v>
      </c>
    </row>
    <row r="5" spans="1:3" x14ac:dyDescent="0.25">
      <c r="A5" s="7" t="s">
        <v>130</v>
      </c>
      <c r="B5" s="7">
        <v>45</v>
      </c>
      <c r="C5" s="7" t="s">
        <v>273</v>
      </c>
    </row>
    <row r="6" spans="1:3" x14ac:dyDescent="0.25">
      <c r="A6" s="8" t="s">
        <v>147</v>
      </c>
      <c r="B6" s="8">
        <v>73</v>
      </c>
      <c r="C6" s="8" t="s">
        <v>273</v>
      </c>
    </row>
    <row r="7" spans="1:3" x14ac:dyDescent="0.25">
      <c r="A7" s="7" t="s">
        <v>150</v>
      </c>
      <c r="B7" s="7">
        <v>77</v>
      </c>
      <c r="C7" s="7" t="s">
        <v>273</v>
      </c>
    </row>
    <row r="8" spans="1:3" x14ac:dyDescent="0.25">
      <c r="A8" s="8" t="s">
        <v>163</v>
      </c>
      <c r="B8" s="8">
        <v>94</v>
      </c>
      <c r="C8" s="8" t="s">
        <v>273</v>
      </c>
    </row>
    <row r="9" spans="1:3" x14ac:dyDescent="0.25">
      <c r="A9" s="7" t="s">
        <v>173</v>
      </c>
      <c r="B9" s="7">
        <v>116</v>
      </c>
      <c r="C9" s="7" t="s">
        <v>273</v>
      </c>
    </row>
    <row r="10" spans="1:3" x14ac:dyDescent="0.25">
      <c r="A10" s="8" t="s">
        <v>239</v>
      </c>
      <c r="B10" s="8">
        <v>132</v>
      </c>
      <c r="C10" s="8" t="s">
        <v>273</v>
      </c>
    </row>
    <row r="11" spans="1:3" x14ac:dyDescent="0.25">
      <c r="A11" s="7" t="s">
        <v>80</v>
      </c>
      <c r="B11" s="7">
        <v>137</v>
      </c>
      <c r="C11" s="7" t="s">
        <v>273</v>
      </c>
    </row>
    <row r="12" spans="1:3" x14ac:dyDescent="0.25">
      <c r="A12" s="8" t="s">
        <v>207</v>
      </c>
      <c r="B12" s="8">
        <v>145</v>
      </c>
      <c r="C12" s="8" t="s">
        <v>273</v>
      </c>
    </row>
    <row r="13" spans="1:3" x14ac:dyDescent="0.25">
      <c r="A13" s="7" t="s">
        <v>216</v>
      </c>
      <c r="B13" s="7">
        <v>157</v>
      </c>
      <c r="C13" s="7" t="s">
        <v>273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9F11-78EC-4A75-82AA-D942285682C0}">
  <dimension ref="A1:C16"/>
  <sheetViews>
    <sheetView zoomScale="190" zoomScaleNormal="190" workbookViewId="0"/>
  </sheetViews>
  <sheetFormatPr defaultRowHeight="15" x14ac:dyDescent="0.25"/>
  <sheetData>
    <row r="1" spans="1:3" x14ac:dyDescent="0.25">
      <c r="A1" s="7" t="s">
        <v>127</v>
      </c>
      <c r="B1" s="7">
        <v>40</v>
      </c>
      <c r="C1" s="7" t="s">
        <v>274</v>
      </c>
    </row>
    <row r="2" spans="1:3" x14ac:dyDescent="0.25">
      <c r="A2" s="8" t="s">
        <v>137</v>
      </c>
      <c r="B2" s="8">
        <v>56</v>
      </c>
      <c r="C2" s="8" t="s">
        <v>274</v>
      </c>
    </row>
    <row r="3" spans="1:3" x14ac:dyDescent="0.25">
      <c r="A3" s="7" t="s">
        <v>138</v>
      </c>
      <c r="B3" s="7">
        <v>57</v>
      </c>
      <c r="C3" s="7" t="s">
        <v>274</v>
      </c>
    </row>
    <row r="4" spans="1:3" x14ac:dyDescent="0.25">
      <c r="A4" s="8" t="s">
        <v>140</v>
      </c>
      <c r="B4" s="8">
        <v>62</v>
      </c>
      <c r="C4" s="8" t="s">
        <v>274</v>
      </c>
    </row>
    <row r="5" spans="1:3" x14ac:dyDescent="0.25">
      <c r="A5" s="7" t="s">
        <v>40</v>
      </c>
      <c r="B5" s="7">
        <v>66</v>
      </c>
      <c r="C5" s="7" t="s">
        <v>274</v>
      </c>
    </row>
    <row r="6" spans="1:3" x14ac:dyDescent="0.25">
      <c r="A6" s="8" t="s">
        <v>43</v>
      </c>
      <c r="B6" s="8">
        <v>74</v>
      </c>
      <c r="C6" s="8" t="s">
        <v>274</v>
      </c>
    </row>
    <row r="7" spans="1:3" x14ac:dyDescent="0.25">
      <c r="A7" s="7" t="s">
        <v>154</v>
      </c>
      <c r="B7" s="7">
        <v>81</v>
      </c>
      <c r="C7" s="7" t="s">
        <v>274</v>
      </c>
    </row>
    <row r="8" spans="1:3" x14ac:dyDescent="0.25">
      <c r="A8" s="8" t="s">
        <v>47</v>
      </c>
      <c r="B8" s="8">
        <v>84</v>
      </c>
      <c r="C8" s="8" t="s">
        <v>274</v>
      </c>
    </row>
    <row r="9" spans="1:3" x14ac:dyDescent="0.25">
      <c r="A9" s="7" t="s">
        <v>48</v>
      </c>
      <c r="B9" s="7">
        <v>87</v>
      </c>
      <c r="C9" s="7" t="s">
        <v>274</v>
      </c>
    </row>
    <row r="10" spans="1:3" x14ac:dyDescent="0.25">
      <c r="A10" s="8" t="s">
        <v>52</v>
      </c>
      <c r="B10" s="8">
        <v>93</v>
      </c>
      <c r="C10" s="8" t="s">
        <v>274</v>
      </c>
    </row>
    <row r="11" spans="1:3" x14ac:dyDescent="0.25">
      <c r="A11" s="7" t="s">
        <v>63</v>
      </c>
      <c r="B11" s="7">
        <v>111</v>
      </c>
      <c r="C11" s="7" t="s">
        <v>274</v>
      </c>
    </row>
    <row r="12" spans="1:3" x14ac:dyDescent="0.25">
      <c r="A12" s="8" t="s">
        <v>70</v>
      </c>
      <c r="B12" s="8">
        <v>121</v>
      </c>
      <c r="C12" s="8" t="s">
        <v>274</v>
      </c>
    </row>
    <row r="13" spans="1:3" x14ac:dyDescent="0.25">
      <c r="A13" s="7" t="s">
        <v>180</v>
      </c>
      <c r="B13" s="7">
        <v>126</v>
      </c>
      <c r="C13" s="7" t="s">
        <v>274</v>
      </c>
    </row>
    <row r="14" spans="1:3" x14ac:dyDescent="0.25">
      <c r="A14" s="8" t="s">
        <v>214</v>
      </c>
      <c r="B14" s="8">
        <v>155</v>
      </c>
      <c r="C14" s="8" t="s">
        <v>274</v>
      </c>
    </row>
    <row r="15" spans="1:3" x14ac:dyDescent="0.25">
      <c r="A15" s="7" t="s">
        <v>215</v>
      </c>
      <c r="B15" s="7">
        <v>156</v>
      </c>
      <c r="C15" s="7" t="s">
        <v>274</v>
      </c>
    </row>
    <row r="16" spans="1:3" x14ac:dyDescent="0.25">
      <c r="A16" s="8" t="s">
        <v>218</v>
      </c>
      <c r="B16" s="8">
        <v>160</v>
      </c>
      <c r="C16" s="8" t="s">
        <v>274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9355-4A65-49E6-84D6-01BDDF9342BF}">
  <dimension ref="A1:C25"/>
  <sheetViews>
    <sheetView zoomScale="220" zoomScaleNormal="220" workbookViewId="0"/>
  </sheetViews>
  <sheetFormatPr defaultRowHeight="15" x14ac:dyDescent="0.25"/>
  <cols>
    <col min="1" max="1" width="32.7109375" bestFit="1" customWidth="1"/>
    <col min="2" max="2" width="4" bestFit="1" customWidth="1"/>
    <col min="3" max="3" width="10.140625" bestFit="1" customWidth="1"/>
  </cols>
  <sheetData>
    <row r="1" spans="1:3" x14ac:dyDescent="0.25">
      <c r="A1" s="7" t="s">
        <v>17</v>
      </c>
      <c r="B1" s="7">
        <v>25</v>
      </c>
      <c r="C1" s="7" t="s">
        <v>275</v>
      </c>
    </row>
    <row r="2" spans="1:3" x14ac:dyDescent="0.25">
      <c r="A2" s="8" t="s">
        <v>122</v>
      </c>
      <c r="B2" s="8">
        <v>36</v>
      </c>
      <c r="C2" s="8" t="s">
        <v>275</v>
      </c>
    </row>
    <row r="3" spans="1:3" x14ac:dyDescent="0.25">
      <c r="A3" s="7" t="s">
        <v>28</v>
      </c>
      <c r="B3" s="7">
        <v>222</v>
      </c>
      <c r="C3" s="7" t="s">
        <v>275</v>
      </c>
    </row>
    <row r="4" spans="1:3" x14ac:dyDescent="0.25">
      <c r="A4" s="8" t="s">
        <v>136</v>
      </c>
      <c r="B4" s="8">
        <v>54</v>
      </c>
      <c r="C4" s="8" t="s">
        <v>275</v>
      </c>
    </row>
    <row r="5" spans="1:3" x14ac:dyDescent="0.25">
      <c r="A5" s="7" t="s">
        <v>33</v>
      </c>
      <c r="B5" s="7">
        <v>55</v>
      </c>
      <c r="C5" s="7" t="s">
        <v>275</v>
      </c>
    </row>
    <row r="6" spans="1:3" x14ac:dyDescent="0.25">
      <c r="A6" s="8" t="s">
        <v>34</v>
      </c>
      <c r="B6" s="8">
        <v>224</v>
      </c>
      <c r="C6" s="8" t="s">
        <v>275</v>
      </c>
    </row>
    <row r="7" spans="1:3" x14ac:dyDescent="0.25">
      <c r="A7" s="7" t="s">
        <v>38</v>
      </c>
      <c r="B7" s="7">
        <v>61</v>
      </c>
      <c r="C7" s="7" t="s">
        <v>275</v>
      </c>
    </row>
    <row r="8" spans="1:3" x14ac:dyDescent="0.25">
      <c r="A8" s="8" t="s">
        <v>142</v>
      </c>
      <c r="B8" s="8">
        <v>64</v>
      </c>
      <c r="C8" s="8" t="s">
        <v>275</v>
      </c>
    </row>
    <row r="9" spans="1:3" x14ac:dyDescent="0.25">
      <c r="A9" s="7" t="s">
        <v>41</v>
      </c>
      <c r="B9" s="7">
        <v>67</v>
      </c>
      <c r="C9" s="7" t="s">
        <v>275</v>
      </c>
    </row>
    <row r="10" spans="1:3" x14ac:dyDescent="0.25">
      <c r="A10" s="8" t="s">
        <v>143</v>
      </c>
      <c r="B10" s="8">
        <v>68</v>
      </c>
      <c r="C10" s="8" t="s">
        <v>275</v>
      </c>
    </row>
    <row r="11" spans="1:3" x14ac:dyDescent="0.25">
      <c r="A11" s="7" t="s">
        <v>145</v>
      </c>
      <c r="B11" s="7">
        <v>70</v>
      </c>
      <c r="C11" s="7" t="s">
        <v>275</v>
      </c>
    </row>
    <row r="12" spans="1:3" x14ac:dyDescent="0.25">
      <c r="A12" s="8" t="s">
        <v>44</v>
      </c>
      <c r="B12" s="8">
        <v>75</v>
      </c>
      <c r="C12" s="8" t="s">
        <v>275</v>
      </c>
    </row>
    <row r="13" spans="1:3" x14ac:dyDescent="0.25">
      <c r="A13" s="7" t="s">
        <v>150</v>
      </c>
      <c r="B13" s="7">
        <v>77</v>
      </c>
      <c r="C13" s="7" t="s">
        <v>275</v>
      </c>
    </row>
    <row r="14" spans="1:3" x14ac:dyDescent="0.25">
      <c r="A14" s="8" t="s">
        <v>151</v>
      </c>
      <c r="B14" s="8">
        <v>78</v>
      </c>
      <c r="C14" s="8" t="s">
        <v>275</v>
      </c>
    </row>
    <row r="15" spans="1:3" x14ac:dyDescent="0.25">
      <c r="A15" s="7" t="s">
        <v>158</v>
      </c>
      <c r="B15" s="7">
        <v>86</v>
      </c>
      <c r="C15" s="7" t="s">
        <v>275</v>
      </c>
    </row>
    <row r="16" spans="1:3" x14ac:dyDescent="0.25">
      <c r="A16" s="8" t="s">
        <v>161</v>
      </c>
      <c r="B16" s="8">
        <v>91</v>
      </c>
      <c r="C16" s="8" t="s">
        <v>275</v>
      </c>
    </row>
    <row r="17" spans="1:3" x14ac:dyDescent="0.25">
      <c r="A17" s="7" t="s">
        <v>56</v>
      </c>
      <c r="B17" s="7">
        <v>101</v>
      </c>
      <c r="C17" s="7" t="s">
        <v>275</v>
      </c>
    </row>
    <row r="18" spans="1:3" x14ac:dyDescent="0.25">
      <c r="A18" s="8" t="s">
        <v>62</v>
      </c>
      <c r="B18" s="8">
        <v>109</v>
      </c>
      <c r="C18" s="8" t="s">
        <v>275</v>
      </c>
    </row>
    <row r="19" spans="1:3" x14ac:dyDescent="0.25">
      <c r="A19" s="7" t="s">
        <v>181</v>
      </c>
      <c r="B19" s="7">
        <v>127</v>
      </c>
      <c r="C19" s="7" t="s">
        <v>275</v>
      </c>
    </row>
    <row r="20" spans="1:3" x14ac:dyDescent="0.25">
      <c r="A20" s="8" t="s">
        <v>75</v>
      </c>
      <c r="B20" s="8">
        <v>131</v>
      </c>
      <c r="C20" s="8" t="s">
        <v>275</v>
      </c>
    </row>
    <row r="21" spans="1:3" x14ac:dyDescent="0.25">
      <c r="A21" s="7" t="s">
        <v>81</v>
      </c>
      <c r="B21" s="7">
        <v>138</v>
      </c>
      <c r="C21" s="7" t="s">
        <v>275</v>
      </c>
    </row>
    <row r="22" spans="1:3" x14ac:dyDescent="0.25">
      <c r="A22" s="8" t="s">
        <v>82</v>
      </c>
      <c r="B22" s="8">
        <v>139</v>
      </c>
      <c r="C22" s="8" t="s">
        <v>275</v>
      </c>
    </row>
    <row r="23" spans="1:3" x14ac:dyDescent="0.25">
      <c r="A23" s="7" t="s">
        <v>194</v>
      </c>
      <c r="B23" s="7">
        <v>142</v>
      </c>
      <c r="C23" s="7" t="s">
        <v>275</v>
      </c>
    </row>
    <row r="24" spans="1:3" x14ac:dyDescent="0.25">
      <c r="A24" s="8" t="s">
        <v>219</v>
      </c>
      <c r="B24" s="8">
        <v>162</v>
      </c>
      <c r="C24" s="8" t="s">
        <v>275</v>
      </c>
    </row>
    <row r="25" spans="1:3" x14ac:dyDescent="0.25">
      <c r="A25" s="7" t="s">
        <v>96</v>
      </c>
      <c r="B25" s="7">
        <v>166</v>
      </c>
      <c r="C25" s="7" t="s">
        <v>275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ADD33-452D-48E5-9EF0-9884AC70A0D2}">
  <dimension ref="A1:C8"/>
  <sheetViews>
    <sheetView tabSelected="1" zoomScale="205" zoomScaleNormal="205" workbookViewId="0">
      <selection activeCell="A8" sqref="A8"/>
    </sheetView>
  </sheetViews>
  <sheetFormatPr defaultRowHeight="15" x14ac:dyDescent="0.25"/>
  <cols>
    <col min="1" max="1" width="28.85546875" bestFit="1" customWidth="1"/>
    <col min="2" max="2" width="4" bestFit="1" customWidth="1"/>
    <col min="3" max="3" width="6.28515625" bestFit="1" customWidth="1"/>
  </cols>
  <sheetData>
    <row r="1" spans="1:3" x14ac:dyDescent="0.25">
      <c r="A1" s="7" t="s">
        <v>245</v>
      </c>
      <c r="B1" s="7">
        <v>12</v>
      </c>
      <c r="C1" s="7" t="s">
        <v>271</v>
      </c>
    </row>
    <row r="2" spans="1:3" x14ac:dyDescent="0.25">
      <c r="A2" s="8" t="s">
        <v>11</v>
      </c>
      <c r="B2" s="8">
        <v>14</v>
      </c>
      <c r="C2" s="8" t="s">
        <v>271</v>
      </c>
    </row>
    <row r="3" spans="1:3" x14ac:dyDescent="0.25">
      <c r="A3" s="7" t="s">
        <v>186</v>
      </c>
      <c r="B3" s="7">
        <v>133</v>
      </c>
      <c r="C3" s="7" t="s">
        <v>271</v>
      </c>
    </row>
    <row r="4" spans="1:3" x14ac:dyDescent="0.25">
      <c r="A4" s="8" t="s">
        <v>207</v>
      </c>
      <c r="B4" s="8">
        <v>145</v>
      </c>
      <c r="C4" s="8" t="s">
        <v>271</v>
      </c>
    </row>
    <row r="5" spans="1:3" x14ac:dyDescent="0.25">
      <c r="A5" s="7" t="s">
        <v>221</v>
      </c>
      <c r="B5" s="7">
        <v>164</v>
      </c>
      <c r="C5" s="7" t="s">
        <v>271</v>
      </c>
    </row>
    <row r="6" spans="1:3" x14ac:dyDescent="0.25">
      <c r="A6" s="8" t="s">
        <v>222</v>
      </c>
      <c r="B6" s="8">
        <v>165</v>
      </c>
      <c r="C6" s="8" t="s">
        <v>271</v>
      </c>
    </row>
    <row r="7" spans="1:3" x14ac:dyDescent="0.25">
      <c r="A7" s="7" t="s">
        <v>228</v>
      </c>
      <c r="B7" s="7">
        <v>174</v>
      </c>
      <c r="C7" s="7" t="s">
        <v>271</v>
      </c>
    </row>
    <row r="8" spans="1:3" x14ac:dyDescent="0.25">
      <c r="A8" s="17" t="s">
        <v>517</v>
      </c>
      <c r="B8" s="17">
        <v>246</v>
      </c>
      <c r="C8" s="7" t="s">
        <v>271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D4C7-1BDC-4625-966C-C714ED2A2C5B}">
  <dimension ref="A1:C47"/>
  <sheetViews>
    <sheetView zoomScale="220" zoomScaleNormal="220" workbookViewId="0"/>
  </sheetViews>
  <sheetFormatPr defaultRowHeight="15" x14ac:dyDescent="0.25"/>
  <cols>
    <col min="1" max="1" width="36" bestFit="1" customWidth="1"/>
    <col min="2" max="2" width="4" bestFit="1" customWidth="1"/>
    <col min="3" max="3" width="7.28515625" bestFit="1" customWidth="1"/>
  </cols>
  <sheetData>
    <row r="1" spans="1:3" x14ac:dyDescent="0.25">
      <c r="A1" s="7" t="s">
        <v>104</v>
      </c>
      <c r="B1" s="7">
        <v>237</v>
      </c>
      <c r="C1" s="7" t="s">
        <v>277</v>
      </c>
    </row>
    <row r="2" spans="1:3" x14ac:dyDescent="0.25">
      <c r="A2" s="8" t="s">
        <v>105</v>
      </c>
      <c r="B2" s="8">
        <v>6</v>
      </c>
      <c r="C2" s="8" t="s">
        <v>277</v>
      </c>
    </row>
    <row r="3" spans="1:3" x14ac:dyDescent="0.25">
      <c r="A3" s="7" t="s">
        <v>106</v>
      </c>
      <c r="B3" s="7">
        <v>7</v>
      </c>
      <c r="C3" s="7" t="s">
        <v>277</v>
      </c>
    </row>
    <row r="4" spans="1:3" x14ac:dyDescent="0.25">
      <c r="A4" s="8" t="s">
        <v>107</v>
      </c>
      <c r="B4" s="8">
        <v>8</v>
      </c>
      <c r="C4" s="8" t="s">
        <v>277</v>
      </c>
    </row>
    <row r="5" spans="1:3" x14ac:dyDescent="0.25">
      <c r="A5" s="7" t="s">
        <v>6</v>
      </c>
      <c r="B5" s="7">
        <v>9</v>
      </c>
      <c r="C5" s="7" t="s">
        <v>277</v>
      </c>
    </row>
    <row r="6" spans="1:3" x14ac:dyDescent="0.25">
      <c r="A6" s="8" t="s">
        <v>7</v>
      </c>
      <c r="B6" s="8">
        <v>10</v>
      </c>
      <c r="C6" s="8" t="s">
        <v>277</v>
      </c>
    </row>
    <row r="7" spans="1:3" x14ac:dyDescent="0.25">
      <c r="A7" s="7" t="s">
        <v>8</v>
      </c>
      <c r="B7" s="7">
        <v>11</v>
      </c>
      <c r="C7" s="7" t="s">
        <v>277</v>
      </c>
    </row>
    <row r="8" spans="1:3" x14ac:dyDescent="0.25">
      <c r="A8" s="8" t="s">
        <v>10</v>
      </c>
      <c r="B8" s="8">
        <v>13</v>
      </c>
      <c r="C8" s="8" t="s">
        <v>277</v>
      </c>
    </row>
    <row r="9" spans="1:3" x14ac:dyDescent="0.25">
      <c r="A9" s="7" t="s">
        <v>12</v>
      </c>
      <c r="B9" s="7">
        <v>15</v>
      </c>
      <c r="C9" s="7" t="s">
        <v>277</v>
      </c>
    </row>
    <row r="10" spans="1:3" x14ac:dyDescent="0.25">
      <c r="A10" s="8" t="s">
        <v>113</v>
      </c>
      <c r="B10" s="8">
        <v>18</v>
      </c>
      <c r="C10" s="8" t="s">
        <v>277</v>
      </c>
    </row>
    <row r="11" spans="1:3" x14ac:dyDescent="0.25">
      <c r="A11" s="7" t="s">
        <v>116</v>
      </c>
      <c r="B11" s="7">
        <v>23</v>
      </c>
      <c r="C11" s="7" t="s">
        <v>277</v>
      </c>
    </row>
    <row r="12" spans="1:3" x14ac:dyDescent="0.25">
      <c r="A12" s="8" t="s">
        <v>17</v>
      </c>
      <c r="B12" s="8">
        <v>25</v>
      </c>
      <c r="C12" s="8" t="s">
        <v>277</v>
      </c>
    </row>
    <row r="13" spans="1:3" x14ac:dyDescent="0.25">
      <c r="A13" s="7" t="s">
        <v>232</v>
      </c>
      <c r="B13" s="7">
        <v>26</v>
      </c>
      <c r="C13" s="7" t="s">
        <v>277</v>
      </c>
    </row>
    <row r="14" spans="1:3" x14ac:dyDescent="0.25">
      <c r="A14" s="8" t="s">
        <v>117</v>
      </c>
      <c r="B14" s="8">
        <v>28</v>
      </c>
      <c r="C14" s="8" t="s">
        <v>277</v>
      </c>
    </row>
    <row r="15" spans="1:3" x14ac:dyDescent="0.25">
      <c r="A15" s="7" t="s">
        <v>20</v>
      </c>
      <c r="B15" s="7">
        <v>30</v>
      </c>
      <c r="C15" s="7" t="s">
        <v>277</v>
      </c>
    </row>
    <row r="16" spans="1:3" x14ac:dyDescent="0.25">
      <c r="A16" s="8" t="s">
        <v>119</v>
      </c>
      <c r="B16" s="8">
        <v>31</v>
      </c>
      <c r="C16" s="8" t="s">
        <v>277</v>
      </c>
    </row>
    <row r="17" spans="1:3" x14ac:dyDescent="0.25">
      <c r="A17" s="7" t="s">
        <v>21</v>
      </c>
      <c r="B17" s="7">
        <v>32</v>
      </c>
      <c r="C17" s="7" t="s">
        <v>277</v>
      </c>
    </row>
    <row r="18" spans="1:3" x14ac:dyDescent="0.25">
      <c r="A18" s="8" t="s">
        <v>120</v>
      </c>
      <c r="B18" s="8">
        <v>33</v>
      </c>
      <c r="C18" s="8" t="s">
        <v>277</v>
      </c>
    </row>
    <row r="19" spans="1:3" x14ac:dyDescent="0.25">
      <c r="A19" s="7" t="s">
        <v>125</v>
      </c>
      <c r="B19" s="7">
        <v>221</v>
      </c>
      <c r="C19" s="7" t="s">
        <v>277</v>
      </c>
    </row>
    <row r="20" spans="1:3" x14ac:dyDescent="0.25">
      <c r="A20" s="8" t="s">
        <v>24</v>
      </c>
      <c r="B20" s="8">
        <v>39</v>
      </c>
      <c r="C20" s="8" t="s">
        <v>277</v>
      </c>
    </row>
    <row r="21" spans="1:3" x14ac:dyDescent="0.25">
      <c r="A21" s="7" t="s">
        <v>28</v>
      </c>
      <c r="B21" s="7">
        <v>222</v>
      </c>
      <c r="C21" s="7" t="s">
        <v>277</v>
      </c>
    </row>
    <row r="22" spans="1:3" x14ac:dyDescent="0.25">
      <c r="A22" s="8" t="s">
        <v>129</v>
      </c>
      <c r="B22" s="8">
        <v>44</v>
      </c>
      <c r="C22" s="8" t="s">
        <v>277</v>
      </c>
    </row>
    <row r="23" spans="1:3" x14ac:dyDescent="0.25">
      <c r="A23" s="7" t="s">
        <v>133</v>
      </c>
      <c r="B23" s="7">
        <v>49</v>
      </c>
      <c r="C23" s="7" t="s">
        <v>277</v>
      </c>
    </row>
    <row r="24" spans="1:3" x14ac:dyDescent="0.25">
      <c r="A24" s="8" t="s">
        <v>31</v>
      </c>
      <c r="B24" s="8">
        <v>51</v>
      </c>
      <c r="C24" s="8" t="s">
        <v>277</v>
      </c>
    </row>
    <row r="25" spans="1:3" x14ac:dyDescent="0.25">
      <c r="A25" s="7" t="s">
        <v>136</v>
      </c>
      <c r="B25" s="7">
        <v>54</v>
      </c>
      <c r="C25" s="7" t="s">
        <v>277</v>
      </c>
    </row>
    <row r="26" spans="1:3" x14ac:dyDescent="0.25">
      <c r="A26" s="8" t="s">
        <v>40</v>
      </c>
      <c r="B26" s="8">
        <v>66</v>
      </c>
      <c r="C26" s="8" t="s">
        <v>277</v>
      </c>
    </row>
    <row r="27" spans="1:3" x14ac:dyDescent="0.25">
      <c r="A27" s="7" t="s">
        <v>144</v>
      </c>
      <c r="B27" s="7">
        <v>69</v>
      </c>
      <c r="C27" s="7" t="s">
        <v>277</v>
      </c>
    </row>
    <row r="28" spans="1:3" x14ac:dyDescent="0.25">
      <c r="A28" s="8" t="s">
        <v>45</v>
      </c>
      <c r="B28" s="8">
        <v>226</v>
      </c>
      <c r="C28" s="8" t="s">
        <v>277</v>
      </c>
    </row>
    <row r="29" spans="1:3" x14ac:dyDescent="0.25">
      <c r="A29" s="7" t="s">
        <v>159</v>
      </c>
      <c r="B29" s="7">
        <v>227</v>
      </c>
      <c r="C29" s="7" t="s">
        <v>277</v>
      </c>
    </row>
    <row r="30" spans="1:3" x14ac:dyDescent="0.25">
      <c r="A30" s="8" t="s">
        <v>50</v>
      </c>
      <c r="B30" s="8">
        <v>89</v>
      </c>
      <c r="C30" s="8" t="s">
        <v>277</v>
      </c>
    </row>
    <row r="31" spans="1:3" x14ac:dyDescent="0.25">
      <c r="A31" s="7" t="s">
        <v>160</v>
      </c>
      <c r="B31" s="7">
        <v>90</v>
      </c>
      <c r="C31" s="7" t="s">
        <v>277</v>
      </c>
    </row>
    <row r="32" spans="1:3" x14ac:dyDescent="0.25">
      <c r="A32" s="8" t="s">
        <v>55</v>
      </c>
      <c r="B32" s="8">
        <v>242</v>
      </c>
      <c r="C32" s="8" t="s">
        <v>277</v>
      </c>
    </row>
    <row r="33" spans="1:3" x14ac:dyDescent="0.25">
      <c r="A33" s="7" t="s">
        <v>57</v>
      </c>
      <c r="B33" s="7">
        <v>102</v>
      </c>
      <c r="C33" s="7" t="s">
        <v>277</v>
      </c>
    </row>
    <row r="34" spans="1:3" x14ac:dyDescent="0.25">
      <c r="A34" s="8" t="s">
        <v>168</v>
      </c>
      <c r="B34" s="8">
        <v>105</v>
      </c>
      <c r="C34" s="8" t="s">
        <v>277</v>
      </c>
    </row>
    <row r="35" spans="1:3" x14ac:dyDescent="0.25">
      <c r="A35" s="7" t="s">
        <v>169</v>
      </c>
      <c r="B35" s="7">
        <v>106</v>
      </c>
      <c r="C35" s="7" t="s">
        <v>277</v>
      </c>
    </row>
    <row r="36" spans="1:3" x14ac:dyDescent="0.25">
      <c r="A36" s="8" t="s">
        <v>60</v>
      </c>
      <c r="B36" s="8">
        <v>108</v>
      </c>
      <c r="C36" s="8" t="s">
        <v>277</v>
      </c>
    </row>
    <row r="37" spans="1:3" x14ac:dyDescent="0.25">
      <c r="A37" s="7" t="s">
        <v>68</v>
      </c>
      <c r="B37" s="7">
        <v>118</v>
      </c>
      <c r="C37" s="7" t="s">
        <v>277</v>
      </c>
    </row>
    <row r="38" spans="1:3" x14ac:dyDescent="0.25">
      <c r="A38" s="8" t="s">
        <v>179</v>
      </c>
      <c r="B38" s="8">
        <v>125</v>
      </c>
      <c r="C38" s="8" t="s">
        <v>277</v>
      </c>
    </row>
    <row r="39" spans="1:3" x14ac:dyDescent="0.25">
      <c r="A39" s="7" t="s">
        <v>183</v>
      </c>
      <c r="B39" s="7">
        <v>128</v>
      </c>
      <c r="C39" s="7" t="s">
        <v>277</v>
      </c>
    </row>
    <row r="40" spans="1:3" x14ac:dyDescent="0.25">
      <c r="A40" s="8" t="s">
        <v>187</v>
      </c>
      <c r="B40" s="8">
        <v>134</v>
      </c>
      <c r="C40" s="8" t="s">
        <v>277</v>
      </c>
    </row>
    <row r="41" spans="1:3" x14ac:dyDescent="0.25">
      <c r="A41" s="7" t="s">
        <v>188</v>
      </c>
      <c r="B41" s="7">
        <v>135</v>
      </c>
      <c r="C41" s="7" t="s">
        <v>277</v>
      </c>
    </row>
    <row r="42" spans="1:3" x14ac:dyDescent="0.25">
      <c r="A42" s="8" t="s">
        <v>82</v>
      </c>
      <c r="B42" s="8">
        <v>139</v>
      </c>
      <c r="C42" s="8" t="s">
        <v>277</v>
      </c>
    </row>
    <row r="43" spans="1:3" x14ac:dyDescent="0.25">
      <c r="A43" s="7" t="s">
        <v>84</v>
      </c>
      <c r="B43" s="7">
        <v>146</v>
      </c>
      <c r="C43" s="7" t="s">
        <v>277</v>
      </c>
    </row>
    <row r="44" spans="1:3" x14ac:dyDescent="0.25">
      <c r="A44" s="8" t="s">
        <v>85</v>
      </c>
      <c r="B44" s="8">
        <v>147</v>
      </c>
      <c r="C44" s="8" t="s">
        <v>277</v>
      </c>
    </row>
    <row r="45" spans="1:3" x14ac:dyDescent="0.25">
      <c r="A45" s="7" t="s">
        <v>92</v>
      </c>
      <c r="B45" s="7">
        <v>220</v>
      </c>
      <c r="C45" s="7" t="s">
        <v>277</v>
      </c>
    </row>
    <row r="46" spans="1:3" x14ac:dyDescent="0.25">
      <c r="A46" s="8" t="s">
        <v>99</v>
      </c>
      <c r="B46" s="8">
        <v>175</v>
      </c>
      <c r="C46" s="8" t="s">
        <v>277</v>
      </c>
    </row>
    <row r="47" spans="1:3" x14ac:dyDescent="0.25">
      <c r="A47" s="7" t="s">
        <v>101</v>
      </c>
      <c r="B47" s="7">
        <v>178</v>
      </c>
      <c r="C47" s="7" t="s">
        <v>277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AC82-7013-46DC-B83E-DFDD737C1350}">
  <dimension ref="A1:C46"/>
  <sheetViews>
    <sheetView zoomScale="190" zoomScaleNormal="190" workbookViewId="0"/>
  </sheetViews>
  <sheetFormatPr defaultRowHeight="15" x14ac:dyDescent="0.25"/>
  <cols>
    <col min="1" max="1" width="33.140625" bestFit="1" customWidth="1"/>
    <col min="2" max="2" width="4" bestFit="1" customWidth="1"/>
    <col min="3" max="3" width="17.5703125" bestFit="1" customWidth="1"/>
  </cols>
  <sheetData>
    <row r="1" spans="1:3" x14ac:dyDescent="0.25">
      <c r="A1" s="7" t="s">
        <v>1</v>
      </c>
      <c r="B1" s="7">
        <v>1</v>
      </c>
      <c r="C1" s="7" t="s">
        <v>278</v>
      </c>
    </row>
    <row r="2" spans="1:3" x14ac:dyDescent="0.25">
      <c r="A2" s="8" t="s">
        <v>2</v>
      </c>
      <c r="B2" s="8">
        <v>2</v>
      </c>
      <c r="C2" s="8" t="s">
        <v>278</v>
      </c>
    </row>
    <row r="3" spans="1:3" x14ac:dyDescent="0.25">
      <c r="A3" s="7" t="s">
        <v>106</v>
      </c>
      <c r="B3" s="7">
        <v>7</v>
      </c>
      <c r="C3" s="7" t="s">
        <v>278</v>
      </c>
    </row>
    <row r="4" spans="1:3" x14ac:dyDescent="0.25">
      <c r="A4" s="8" t="s">
        <v>12</v>
      </c>
      <c r="B4" s="8">
        <v>15</v>
      </c>
      <c r="C4" s="8" t="s">
        <v>278</v>
      </c>
    </row>
    <row r="5" spans="1:3" x14ac:dyDescent="0.25">
      <c r="A5" s="7" t="s">
        <v>13</v>
      </c>
      <c r="B5" s="7">
        <v>17</v>
      </c>
      <c r="C5" s="7" t="s">
        <v>278</v>
      </c>
    </row>
    <row r="6" spans="1:3" x14ac:dyDescent="0.25">
      <c r="A6" s="8" t="s">
        <v>231</v>
      </c>
      <c r="B6" s="8">
        <v>21</v>
      </c>
      <c r="C6" s="8" t="s">
        <v>278</v>
      </c>
    </row>
    <row r="7" spans="1:3" x14ac:dyDescent="0.25">
      <c r="A7" s="7" t="s">
        <v>15</v>
      </c>
      <c r="B7" s="7">
        <v>22</v>
      </c>
      <c r="C7" s="7" t="s">
        <v>278</v>
      </c>
    </row>
    <row r="8" spans="1:3" x14ac:dyDescent="0.25">
      <c r="A8" s="8" t="s">
        <v>19</v>
      </c>
      <c r="B8" s="8">
        <v>27</v>
      </c>
      <c r="C8" s="8" t="s">
        <v>278</v>
      </c>
    </row>
    <row r="9" spans="1:3" x14ac:dyDescent="0.25">
      <c r="A9" s="7" t="s">
        <v>20</v>
      </c>
      <c r="B9" s="7">
        <v>30</v>
      </c>
      <c r="C9" s="7" t="s">
        <v>278</v>
      </c>
    </row>
    <row r="10" spans="1:3" x14ac:dyDescent="0.25">
      <c r="A10" s="8" t="s">
        <v>121</v>
      </c>
      <c r="B10" s="8">
        <v>35</v>
      </c>
      <c r="C10" s="8" t="s">
        <v>278</v>
      </c>
    </row>
    <row r="11" spans="1:3" x14ac:dyDescent="0.25">
      <c r="A11" s="7" t="s">
        <v>123</v>
      </c>
      <c r="B11" s="7">
        <v>37</v>
      </c>
      <c r="C11" s="7" t="s">
        <v>278</v>
      </c>
    </row>
    <row r="12" spans="1:3" x14ac:dyDescent="0.25">
      <c r="A12" s="8" t="s">
        <v>134</v>
      </c>
      <c r="B12" s="8">
        <v>50</v>
      </c>
      <c r="C12" s="8" t="s">
        <v>278</v>
      </c>
    </row>
    <row r="13" spans="1:3" x14ac:dyDescent="0.25">
      <c r="A13" s="7" t="s">
        <v>32</v>
      </c>
      <c r="B13" s="7">
        <v>53</v>
      </c>
      <c r="C13" s="7" t="s">
        <v>278</v>
      </c>
    </row>
    <row r="14" spans="1:3" x14ac:dyDescent="0.25">
      <c r="A14" s="8" t="s">
        <v>136</v>
      </c>
      <c r="B14" s="8">
        <v>54</v>
      </c>
      <c r="C14" s="8" t="s">
        <v>278</v>
      </c>
    </row>
    <row r="15" spans="1:3" x14ac:dyDescent="0.25">
      <c r="A15" s="7" t="s">
        <v>34</v>
      </c>
      <c r="B15" s="7">
        <v>224</v>
      </c>
      <c r="C15" s="7" t="s">
        <v>278</v>
      </c>
    </row>
    <row r="16" spans="1:3" x14ac:dyDescent="0.25">
      <c r="A16" s="8" t="s">
        <v>36</v>
      </c>
      <c r="B16" s="8">
        <v>225</v>
      </c>
      <c r="C16" s="8" t="s">
        <v>278</v>
      </c>
    </row>
    <row r="17" spans="1:3" x14ac:dyDescent="0.25">
      <c r="A17" s="7" t="s">
        <v>142</v>
      </c>
      <c r="B17" s="7">
        <v>64</v>
      </c>
      <c r="C17" s="7" t="s">
        <v>278</v>
      </c>
    </row>
    <row r="18" spans="1:3" x14ac:dyDescent="0.25">
      <c r="A18" s="8" t="s">
        <v>40</v>
      </c>
      <c r="B18" s="8">
        <v>66</v>
      </c>
      <c r="C18" s="8" t="s">
        <v>278</v>
      </c>
    </row>
    <row r="19" spans="1:3" x14ac:dyDescent="0.25">
      <c r="A19" s="7" t="s">
        <v>146</v>
      </c>
      <c r="B19" s="7">
        <v>72</v>
      </c>
      <c r="C19" s="7" t="s">
        <v>278</v>
      </c>
    </row>
    <row r="20" spans="1:3" x14ac:dyDescent="0.25">
      <c r="A20" s="8" t="s">
        <v>155</v>
      </c>
      <c r="B20" s="8">
        <v>82</v>
      </c>
      <c r="C20" s="8" t="s">
        <v>278</v>
      </c>
    </row>
    <row r="21" spans="1:3" x14ac:dyDescent="0.25">
      <c r="A21" s="7" t="s">
        <v>47</v>
      </c>
      <c r="B21" s="7">
        <v>84</v>
      </c>
      <c r="C21" s="7" t="s">
        <v>278</v>
      </c>
    </row>
    <row r="22" spans="1:3" x14ac:dyDescent="0.25">
      <c r="A22" s="8" t="s">
        <v>158</v>
      </c>
      <c r="B22" s="8">
        <v>86</v>
      </c>
      <c r="C22" s="8" t="s">
        <v>278</v>
      </c>
    </row>
    <row r="23" spans="1:3" x14ac:dyDescent="0.25">
      <c r="A23" s="7" t="s">
        <v>48</v>
      </c>
      <c r="B23" s="7">
        <v>87</v>
      </c>
      <c r="C23" s="7" t="s">
        <v>278</v>
      </c>
    </row>
    <row r="24" spans="1:3" x14ac:dyDescent="0.25">
      <c r="A24" s="8" t="s">
        <v>51</v>
      </c>
      <c r="B24" s="8">
        <v>92</v>
      </c>
      <c r="C24" s="8" t="s">
        <v>278</v>
      </c>
    </row>
    <row r="25" spans="1:3" x14ac:dyDescent="0.25">
      <c r="A25" s="7" t="s">
        <v>53</v>
      </c>
      <c r="B25" s="7">
        <v>95</v>
      </c>
      <c r="C25" s="7" t="s">
        <v>278</v>
      </c>
    </row>
    <row r="26" spans="1:3" x14ac:dyDescent="0.25">
      <c r="A26" s="8" t="s">
        <v>54</v>
      </c>
      <c r="B26" s="8">
        <v>96</v>
      </c>
      <c r="C26" s="8" t="s">
        <v>278</v>
      </c>
    </row>
    <row r="27" spans="1:3" x14ac:dyDescent="0.25">
      <c r="A27" s="7" t="s">
        <v>167</v>
      </c>
      <c r="B27" s="7">
        <v>100</v>
      </c>
      <c r="C27" s="7" t="s">
        <v>278</v>
      </c>
    </row>
    <row r="28" spans="1:3" x14ac:dyDescent="0.25">
      <c r="A28" s="8" t="s">
        <v>57</v>
      </c>
      <c r="B28" s="8">
        <v>102</v>
      </c>
      <c r="C28" s="8" t="s">
        <v>278</v>
      </c>
    </row>
    <row r="29" spans="1:3" x14ac:dyDescent="0.25">
      <c r="A29" s="7" t="s">
        <v>170</v>
      </c>
      <c r="B29" s="7">
        <v>107</v>
      </c>
      <c r="C29" s="7" t="s">
        <v>278</v>
      </c>
    </row>
    <row r="30" spans="1:3" x14ac:dyDescent="0.25">
      <c r="A30" s="8" t="s">
        <v>60</v>
      </c>
      <c r="B30" s="8">
        <v>108</v>
      </c>
      <c r="C30" s="8" t="s">
        <v>278</v>
      </c>
    </row>
    <row r="31" spans="1:3" x14ac:dyDescent="0.25">
      <c r="A31" s="7" t="s">
        <v>62</v>
      </c>
      <c r="B31" s="7">
        <v>109</v>
      </c>
      <c r="C31" s="7" t="s">
        <v>278</v>
      </c>
    </row>
    <row r="32" spans="1:3" x14ac:dyDescent="0.25">
      <c r="A32" s="8" t="s">
        <v>63</v>
      </c>
      <c r="B32" s="8">
        <v>111</v>
      </c>
      <c r="C32" s="8" t="s">
        <v>278</v>
      </c>
    </row>
    <row r="33" spans="1:3" x14ac:dyDescent="0.25">
      <c r="A33" s="7" t="s">
        <v>175</v>
      </c>
      <c r="B33" s="7">
        <v>229</v>
      </c>
      <c r="C33" s="7" t="s">
        <v>278</v>
      </c>
    </row>
    <row r="34" spans="1:3" x14ac:dyDescent="0.25">
      <c r="A34" s="8" t="s">
        <v>176</v>
      </c>
      <c r="B34" s="8">
        <v>120</v>
      </c>
      <c r="C34" s="8" t="s">
        <v>278</v>
      </c>
    </row>
    <row r="35" spans="1:3" x14ac:dyDescent="0.25">
      <c r="A35" s="7" t="s">
        <v>71</v>
      </c>
      <c r="B35" s="7">
        <v>230</v>
      </c>
      <c r="C35" s="7" t="s">
        <v>278</v>
      </c>
    </row>
    <row r="36" spans="1:3" x14ac:dyDescent="0.25">
      <c r="A36" s="8" t="s">
        <v>177</v>
      </c>
      <c r="B36" s="8">
        <v>122</v>
      </c>
      <c r="C36" s="8" t="s">
        <v>278</v>
      </c>
    </row>
    <row r="37" spans="1:3" x14ac:dyDescent="0.25">
      <c r="A37" s="7" t="s">
        <v>181</v>
      </c>
      <c r="B37" s="7">
        <v>127</v>
      </c>
      <c r="C37" s="7" t="s">
        <v>278</v>
      </c>
    </row>
    <row r="38" spans="1:3" x14ac:dyDescent="0.25">
      <c r="A38" s="8" t="s">
        <v>188</v>
      </c>
      <c r="B38" s="8">
        <v>135</v>
      </c>
      <c r="C38" s="8" t="s">
        <v>278</v>
      </c>
    </row>
    <row r="39" spans="1:3" x14ac:dyDescent="0.25">
      <c r="A39" s="7" t="s">
        <v>82</v>
      </c>
      <c r="B39" s="7">
        <v>139</v>
      </c>
      <c r="C39" s="7" t="s">
        <v>278</v>
      </c>
    </row>
    <row r="40" spans="1:3" x14ac:dyDescent="0.25">
      <c r="A40" s="8" t="s">
        <v>86</v>
      </c>
      <c r="B40" s="8">
        <v>148</v>
      </c>
      <c r="C40" s="8" t="s">
        <v>278</v>
      </c>
    </row>
    <row r="41" spans="1:3" x14ac:dyDescent="0.25">
      <c r="A41" s="7" t="s">
        <v>220</v>
      </c>
      <c r="B41" s="7">
        <v>163</v>
      </c>
      <c r="C41" s="7" t="s">
        <v>278</v>
      </c>
    </row>
    <row r="42" spans="1:3" x14ac:dyDescent="0.25">
      <c r="A42" s="8" t="s">
        <v>224</v>
      </c>
      <c r="B42" s="8">
        <v>168</v>
      </c>
      <c r="C42" s="8" t="s">
        <v>278</v>
      </c>
    </row>
    <row r="43" spans="1:3" x14ac:dyDescent="0.25">
      <c r="A43" s="7" t="s">
        <v>226</v>
      </c>
      <c r="B43" s="7">
        <v>170</v>
      </c>
      <c r="C43" s="7" t="s">
        <v>278</v>
      </c>
    </row>
    <row r="44" spans="1:3" x14ac:dyDescent="0.25">
      <c r="A44" s="8" t="s">
        <v>97</v>
      </c>
      <c r="B44" s="8">
        <v>172</v>
      </c>
      <c r="C44" s="8" t="s">
        <v>278</v>
      </c>
    </row>
    <row r="45" spans="1:3" x14ac:dyDescent="0.25">
      <c r="A45" s="7" t="s">
        <v>98</v>
      </c>
      <c r="B45" s="7">
        <v>173</v>
      </c>
      <c r="C45" s="7" t="s">
        <v>278</v>
      </c>
    </row>
    <row r="46" spans="1:3" x14ac:dyDescent="0.25">
      <c r="A46" s="8" t="s">
        <v>101</v>
      </c>
      <c r="B46" s="8">
        <v>178</v>
      </c>
      <c r="C46" s="8" t="s">
        <v>278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E7356-D04E-45D2-A58C-860ACC0C0975}">
  <dimension ref="A1:C97"/>
  <sheetViews>
    <sheetView zoomScale="220" zoomScaleNormal="220" workbookViewId="0"/>
  </sheetViews>
  <sheetFormatPr defaultRowHeight="15" x14ac:dyDescent="0.25"/>
  <cols>
    <col min="1" max="1" width="38.28515625" bestFit="1" customWidth="1"/>
    <col min="2" max="2" width="4" bestFit="1" customWidth="1"/>
    <col min="3" max="3" width="18.7109375" bestFit="1" customWidth="1"/>
  </cols>
  <sheetData>
    <row r="1" spans="1:3" x14ac:dyDescent="0.25">
      <c r="A1" s="7" t="s">
        <v>3</v>
      </c>
      <c r="B1" s="7">
        <v>3</v>
      </c>
      <c r="C1" s="7" t="s">
        <v>279</v>
      </c>
    </row>
    <row r="2" spans="1:3" x14ac:dyDescent="0.25">
      <c r="A2" s="8" t="s">
        <v>4</v>
      </c>
      <c r="B2" s="8">
        <v>4</v>
      </c>
      <c r="C2" s="8" t="s">
        <v>279</v>
      </c>
    </row>
    <row r="3" spans="1:3" x14ac:dyDescent="0.25">
      <c r="A3" s="7" t="s">
        <v>5</v>
      </c>
      <c r="B3" s="7">
        <v>5</v>
      </c>
      <c r="C3" s="7" t="s">
        <v>279</v>
      </c>
    </row>
    <row r="4" spans="1:3" x14ac:dyDescent="0.25">
      <c r="A4" s="8" t="s">
        <v>105</v>
      </c>
      <c r="B4" s="8">
        <v>6</v>
      </c>
      <c r="C4" s="8" t="s">
        <v>279</v>
      </c>
    </row>
    <row r="5" spans="1:3" x14ac:dyDescent="0.25">
      <c r="A5" s="7" t="s">
        <v>107</v>
      </c>
      <c r="B5" s="7">
        <v>8</v>
      </c>
      <c r="C5" s="7" t="s">
        <v>279</v>
      </c>
    </row>
    <row r="6" spans="1:3" x14ac:dyDescent="0.25">
      <c r="A6" s="8" t="s">
        <v>6</v>
      </c>
      <c r="B6" s="8">
        <v>9</v>
      </c>
      <c r="C6" s="8" t="s">
        <v>279</v>
      </c>
    </row>
    <row r="7" spans="1:3" x14ac:dyDescent="0.25">
      <c r="A7" s="7" t="s">
        <v>7</v>
      </c>
      <c r="B7" s="7">
        <v>10</v>
      </c>
      <c r="C7" s="7" t="s">
        <v>279</v>
      </c>
    </row>
    <row r="8" spans="1:3" x14ac:dyDescent="0.25">
      <c r="A8" s="8" t="s">
        <v>8</v>
      </c>
      <c r="B8" s="8">
        <v>11</v>
      </c>
      <c r="C8" s="8" t="s">
        <v>279</v>
      </c>
    </row>
    <row r="9" spans="1:3" x14ac:dyDescent="0.25">
      <c r="A9" s="7" t="s">
        <v>10</v>
      </c>
      <c r="B9" s="7">
        <v>13</v>
      </c>
      <c r="C9" s="7" t="s">
        <v>279</v>
      </c>
    </row>
    <row r="10" spans="1:3" x14ac:dyDescent="0.25">
      <c r="A10" s="8" t="s">
        <v>11</v>
      </c>
      <c r="B10" s="8">
        <v>14</v>
      </c>
      <c r="C10" s="8" t="s">
        <v>279</v>
      </c>
    </row>
    <row r="11" spans="1:3" x14ac:dyDescent="0.25">
      <c r="A11" s="7" t="s">
        <v>112</v>
      </c>
      <c r="B11" s="7">
        <v>16</v>
      </c>
      <c r="C11" s="7" t="s">
        <v>279</v>
      </c>
    </row>
    <row r="12" spans="1:3" x14ac:dyDescent="0.25">
      <c r="A12" s="8" t="s">
        <v>113</v>
      </c>
      <c r="B12" s="8">
        <v>18</v>
      </c>
      <c r="C12" s="8" t="s">
        <v>279</v>
      </c>
    </row>
    <row r="13" spans="1:3" x14ac:dyDescent="0.25">
      <c r="A13" s="7" t="s">
        <v>14</v>
      </c>
      <c r="B13" s="7">
        <v>19</v>
      </c>
      <c r="C13" s="7" t="s">
        <v>279</v>
      </c>
    </row>
    <row r="14" spans="1:3" x14ac:dyDescent="0.25">
      <c r="A14" s="8" t="s">
        <v>116</v>
      </c>
      <c r="B14" s="8">
        <v>23</v>
      </c>
      <c r="C14" s="8" t="s">
        <v>279</v>
      </c>
    </row>
    <row r="15" spans="1:3" x14ac:dyDescent="0.25">
      <c r="A15" s="7" t="s">
        <v>16</v>
      </c>
      <c r="B15" s="7">
        <v>24</v>
      </c>
      <c r="C15" s="7" t="s">
        <v>279</v>
      </c>
    </row>
    <row r="16" spans="1:3" x14ac:dyDescent="0.25">
      <c r="A16" s="8" t="s">
        <v>17</v>
      </c>
      <c r="B16" s="8">
        <v>25</v>
      </c>
      <c r="C16" s="8" t="s">
        <v>279</v>
      </c>
    </row>
    <row r="17" spans="1:3" x14ac:dyDescent="0.25">
      <c r="A17" s="7" t="s">
        <v>232</v>
      </c>
      <c r="B17" s="7">
        <v>26</v>
      </c>
      <c r="C17" s="7" t="s">
        <v>279</v>
      </c>
    </row>
    <row r="18" spans="1:3" x14ac:dyDescent="0.25">
      <c r="A18" s="8" t="s">
        <v>117</v>
      </c>
      <c r="B18" s="8">
        <v>28</v>
      </c>
      <c r="C18" s="8" t="s">
        <v>279</v>
      </c>
    </row>
    <row r="19" spans="1:3" x14ac:dyDescent="0.25">
      <c r="A19" s="7" t="s">
        <v>119</v>
      </c>
      <c r="B19" s="7">
        <v>31</v>
      </c>
      <c r="C19" s="7" t="s">
        <v>279</v>
      </c>
    </row>
    <row r="20" spans="1:3" x14ac:dyDescent="0.25">
      <c r="A20" s="8" t="s">
        <v>21</v>
      </c>
      <c r="B20" s="8">
        <v>32</v>
      </c>
      <c r="C20" s="8" t="s">
        <v>279</v>
      </c>
    </row>
    <row r="21" spans="1:3" x14ac:dyDescent="0.25">
      <c r="A21" s="7" t="s">
        <v>120</v>
      </c>
      <c r="B21" s="7">
        <v>33</v>
      </c>
      <c r="C21" s="7" t="s">
        <v>279</v>
      </c>
    </row>
    <row r="22" spans="1:3" x14ac:dyDescent="0.25">
      <c r="A22" s="8" t="s">
        <v>22</v>
      </c>
      <c r="B22" s="8">
        <v>34</v>
      </c>
      <c r="C22" s="8" t="s">
        <v>279</v>
      </c>
    </row>
    <row r="23" spans="1:3" x14ac:dyDescent="0.25">
      <c r="A23" s="7" t="s">
        <v>23</v>
      </c>
      <c r="B23" s="7">
        <v>38</v>
      </c>
      <c r="C23" s="7" t="s">
        <v>279</v>
      </c>
    </row>
    <row r="24" spans="1:3" x14ac:dyDescent="0.25">
      <c r="A24" s="8" t="s">
        <v>24</v>
      </c>
      <c r="B24" s="8">
        <v>39</v>
      </c>
      <c r="C24" s="8" t="s">
        <v>279</v>
      </c>
    </row>
    <row r="25" spans="1:3" x14ac:dyDescent="0.25">
      <c r="A25" s="7" t="s">
        <v>126</v>
      </c>
      <c r="B25" s="7">
        <v>240</v>
      </c>
      <c r="C25" s="7" t="s">
        <v>279</v>
      </c>
    </row>
    <row r="26" spans="1:3" x14ac:dyDescent="0.25">
      <c r="A26" s="8" t="s">
        <v>128</v>
      </c>
      <c r="B26" s="8">
        <v>41</v>
      </c>
      <c r="C26" s="8" t="s">
        <v>279</v>
      </c>
    </row>
    <row r="27" spans="1:3" x14ac:dyDescent="0.25">
      <c r="A27" s="7" t="s">
        <v>28</v>
      </c>
      <c r="B27" s="7">
        <v>222</v>
      </c>
      <c r="C27" s="7" t="s">
        <v>279</v>
      </c>
    </row>
    <row r="28" spans="1:3" x14ac:dyDescent="0.25">
      <c r="A28" s="8" t="s">
        <v>29</v>
      </c>
      <c r="B28" s="8">
        <v>43</v>
      </c>
      <c r="C28" s="8" t="s">
        <v>279</v>
      </c>
    </row>
    <row r="29" spans="1:3" x14ac:dyDescent="0.25">
      <c r="A29" s="7" t="s">
        <v>129</v>
      </c>
      <c r="B29" s="7">
        <v>44</v>
      </c>
      <c r="C29" s="7" t="s">
        <v>279</v>
      </c>
    </row>
    <row r="30" spans="1:3" x14ac:dyDescent="0.25">
      <c r="A30" s="8" t="s">
        <v>131</v>
      </c>
      <c r="B30" s="8">
        <v>47</v>
      </c>
      <c r="C30" s="8" t="s">
        <v>279</v>
      </c>
    </row>
    <row r="31" spans="1:3" x14ac:dyDescent="0.25">
      <c r="A31" s="7" t="s">
        <v>30</v>
      </c>
      <c r="B31" s="7">
        <v>223</v>
      </c>
      <c r="C31" s="7" t="s">
        <v>279</v>
      </c>
    </row>
    <row r="32" spans="1:3" x14ac:dyDescent="0.25">
      <c r="A32" s="8" t="s">
        <v>132</v>
      </c>
      <c r="B32" s="8">
        <v>48</v>
      </c>
      <c r="C32" s="8" t="s">
        <v>279</v>
      </c>
    </row>
    <row r="33" spans="1:3" x14ac:dyDescent="0.25">
      <c r="A33" s="7" t="s">
        <v>133</v>
      </c>
      <c r="B33" s="7">
        <v>49</v>
      </c>
      <c r="C33" s="7" t="s">
        <v>279</v>
      </c>
    </row>
    <row r="34" spans="1:3" x14ac:dyDescent="0.25">
      <c r="A34" s="8" t="s">
        <v>31</v>
      </c>
      <c r="B34" s="8">
        <v>51</v>
      </c>
      <c r="C34" s="8" t="s">
        <v>279</v>
      </c>
    </row>
    <row r="35" spans="1:3" x14ac:dyDescent="0.25">
      <c r="A35" s="7" t="s">
        <v>135</v>
      </c>
      <c r="B35" s="7">
        <v>52</v>
      </c>
      <c r="C35" s="7" t="s">
        <v>279</v>
      </c>
    </row>
    <row r="36" spans="1:3" x14ac:dyDescent="0.25">
      <c r="A36" s="8" t="s">
        <v>136</v>
      </c>
      <c r="B36" s="8">
        <v>54</v>
      </c>
      <c r="C36" s="8" t="s">
        <v>279</v>
      </c>
    </row>
    <row r="37" spans="1:3" x14ac:dyDescent="0.25">
      <c r="A37" s="7" t="s">
        <v>33</v>
      </c>
      <c r="B37" s="7">
        <v>55</v>
      </c>
      <c r="C37" s="7" t="s">
        <v>279</v>
      </c>
    </row>
    <row r="38" spans="1:3" x14ac:dyDescent="0.25">
      <c r="A38" s="8" t="s">
        <v>137</v>
      </c>
      <c r="B38" s="8">
        <v>56</v>
      </c>
      <c r="C38" s="8" t="s">
        <v>279</v>
      </c>
    </row>
    <row r="39" spans="1:3" x14ac:dyDescent="0.25">
      <c r="A39" s="7" t="s">
        <v>35</v>
      </c>
      <c r="B39" s="7">
        <v>58</v>
      </c>
      <c r="C39" s="7" t="s">
        <v>279</v>
      </c>
    </row>
    <row r="40" spans="1:3" x14ac:dyDescent="0.25">
      <c r="A40" s="8" t="s">
        <v>139</v>
      </c>
      <c r="B40" s="8">
        <v>59</v>
      </c>
      <c r="C40" s="8" t="s">
        <v>279</v>
      </c>
    </row>
    <row r="41" spans="1:3" x14ac:dyDescent="0.25">
      <c r="A41" s="7" t="s">
        <v>37</v>
      </c>
      <c r="B41" s="7">
        <v>60</v>
      </c>
      <c r="C41" s="7" t="s">
        <v>279</v>
      </c>
    </row>
    <row r="42" spans="1:3" x14ac:dyDescent="0.25">
      <c r="A42" s="8" t="s">
        <v>38</v>
      </c>
      <c r="B42" s="8">
        <v>61</v>
      </c>
      <c r="C42" s="8" t="s">
        <v>279</v>
      </c>
    </row>
    <row r="43" spans="1:3" x14ac:dyDescent="0.25">
      <c r="A43" s="7" t="s">
        <v>140</v>
      </c>
      <c r="B43" s="7">
        <v>62</v>
      </c>
      <c r="C43" s="7" t="s">
        <v>279</v>
      </c>
    </row>
    <row r="44" spans="1:3" x14ac:dyDescent="0.25">
      <c r="A44" s="8" t="s">
        <v>141</v>
      </c>
      <c r="B44" s="8">
        <v>63</v>
      </c>
      <c r="C44" s="8" t="s">
        <v>279</v>
      </c>
    </row>
    <row r="45" spans="1:3" x14ac:dyDescent="0.25">
      <c r="A45" s="7" t="s">
        <v>41</v>
      </c>
      <c r="B45" s="7">
        <v>67</v>
      </c>
      <c r="C45" s="7" t="s">
        <v>279</v>
      </c>
    </row>
    <row r="46" spans="1:3" x14ac:dyDescent="0.25">
      <c r="A46" s="8" t="s">
        <v>144</v>
      </c>
      <c r="B46" s="8">
        <v>69</v>
      </c>
      <c r="C46" s="8" t="s">
        <v>279</v>
      </c>
    </row>
    <row r="47" spans="1:3" x14ac:dyDescent="0.25">
      <c r="A47" s="7" t="s">
        <v>145</v>
      </c>
      <c r="B47" s="7">
        <v>70</v>
      </c>
      <c r="C47" s="7" t="s">
        <v>279</v>
      </c>
    </row>
    <row r="48" spans="1:3" x14ac:dyDescent="0.25">
      <c r="A48" s="8" t="s">
        <v>42</v>
      </c>
      <c r="B48" s="8">
        <v>71</v>
      </c>
      <c r="C48" s="8" t="s">
        <v>279</v>
      </c>
    </row>
    <row r="49" spans="1:3" x14ac:dyDescent="0.25">
      <c r="A49" s="7" t="s">
        <v>44</v>
      </c>
      <c r="B49" s="7">
        <v>75</v>
      </c>
      <c r="C49" s="7" t="s">
        <v>279</v>
      </c>
    </row>
    <row r="50" spans="1:3" x14ac:dyDescent="0.25">
      <c r="A50" s="8" t="s">
        <v>148</v>
      </c>
      <c r="B50" s="8">
        <v>76</v>
      </c>
      <c r="C50" s="8" t="s">
        <v>279</v>
      </c>
    </row>
    <row r="51" spans="1:3" x14ac:dyDescent="0.25">
      <c r="A51" s="7" t="s">
        <v>150</v>
      </c>
      <c r="B51" s="7">
        <v>77</v>
      </c>
      <c r="C51" s="7" t="s">
        <v>279</v>
      </c>
    </row>
    <row r="52" spans="1:3" x14ac:dyDescent="0.25">
      <c r="A52" s="8" t="s">
        <v>151</v>
      </c>
      <c r="B52" s="8">
        <v>78</v>
      </c>
      <c r="C52" s="8" t="s">
        <v>279</v>
      </c>
    </row>
    <row r="53" spans="1:3" x14ac:dyDescent="0.25">
      <c r="A53" s="7" t="s">
        <v>153</v>
      </c>
      <c r="B53" s="7">
        <v>80</v>
      </c>
      <c r="C53" s="7" t="s">
        <v>279</v>
      </c>
    </row>
    <row r="54" spans="1:3" x14ac:dyDescent="0.25">
      <c r="A54" s="8" t="s">
        <v>154</v>
      </c>
      <c r="B54" s="8">
        <v>81</v>
      </c>
      <c r="C54" s="8" t="s">
        <v>279</v>
      </c>
    </row>
    <row r="55" spans="1:3" x14ac:dyDescent="0.25">
      <c r="A55" s="7" t="s">
        <v>46</v>
      </c>
      <c r="B55" s="7">
        <v>83</v>
      </c>
      <c r="C55" s="7" t="s">
        <v>279</v>
      </c>
    </row>
    <row r="56" spans="1:3" x14ac:dyDescent="0.25">
      <c r="A56" s="8" t="s">
        <v>156</v>
      </c>
      <c r="B56" s="8">
        <v>241</v>
      </c>
      <c r="C56" s="8" t="s">
        <v>279</v>
      </c>
    </row>
    <row r="57" spans="1:3" x14ac:dyDescent="0.25">
      <c r="A57" s="7" t="s">
        <v>161</v>
      </c>
      <c r="B57" s="7">
        <v>91</v>
      </c>
      <c r="C57" s="7" t="s">
        <v>279</v>
      </c>
    </row>
    <row r="58" spans="1:3" x14ac:dyDescent="0.25">
      <c r="A58" s="8" t="s">
        <v>162</v>
      </c>
      <c r="B58" s="8">
        <v>228</v>
      </c>
      <c r="C58" s="8" t="s">
        <v>279</v>
      </c>
    </row>
    <row r="59" spans="1:3" x14ac:dyDescent="0.25">
      <c r="A59" s="7" t="s">
        <v>163</v>
      </c>
      <c r="B59" s="7">
        <v>94</v>
      </c>
      <c r="C59" s="7" t="s">
        <v>279</v>
      </c>
    </row>
    <row r="60" spans="1:3" x14ac:dyDescent="0.25">
      <c r="A60" s="8" t="s">
        <v>56</v>
      </c>
      <c r="B60" s="8">
        <v>101</v>
      </c>
      <c r="C60" s="8" t="s">
        <v>279</v>
      </c>
    </row>
    <row r="61" spans="1:3" x14ac:dyDescent="0.25">
      <c r="A61" s="7" t="s">
        <v>168</v>
      </c>
      <c r="B61" s="7">
        <v>105</v>
      </c>
      <c r="C61" s="7" t="s">
        <v>279</v>
      </c>
    </row>
    <row r="62" spans="1:3" x14ac:dyDescent="0.25">
      <c r="A62" s="8" t="s">
        <v>66</v>
      </c>
      <c r="B62" s="8">
        <v>114</v>
      </c>
      <c r="C62" s="8" t="s">
        <v>279</v>
      </c>
    </row>
    <row r="63" spans="1:3" x14ac:dyDescent="0.25">
      <c r="A63" s="7" t="s">
        <v>67</v>
      </c>
      <c r="B63" s="7">
        <v>115</v>
      </c>
      <c r="C63" s="7" t="s">
        <v>279</v>
      </c>
    </row>
    <row r="64" spans="1:3" x14ac:dyDescent="0.25">
      <c r="A64" s="8" t="s">
        <v>172</v>
      </c>
      <c r="B64" s="8">
        <v>243</v>
      </c>
      <c r="C64" s="8" t="s">
        <v>279</v>
      </c>
    </row>
    <row r="65" spans="1:3" x14ac:dyDescent="0.25">
      <c r="A65" s="7" t="s">
        <v>173</v>
      </c>
      <c r="B65" s="7">
        <v>116</v>
      </c>
      <c r="C65" s="7" t="s">
        <v>279</v>
      </c>
    </row>
    <row r="66" spans="1:3" x14ac:dyDescent="0.25">
      <c r="A66" s="8" t="s">
        <v>68</v>
      </c>
      <c r="B66" s="8">
        <v>118</v>
      </c>
      <c r="C66" s="8" t="s">
        <v>279</v>
      </c>
    </row>
    <row r="67" spans="1:3" x14ac:dyDescent="0.25">
      <c r="A67" s="7" t="s">
        <v>69</v>
      </c>
      <c r="B67" s="7">
        <v>119</v>
      </c>
      <c r="C67" s="7" t="s">
        <v>279</v>
      </c>
    </row>
    <row r="68" spans="1:3" x14ac:dyDescent="0.25">
      <c r="A68" s="8" t="s">
        <v>70</v>
      </c>
      <c r="B68" s="8">
        <v>121</v>
      </c>
      <c r="C68" s="8" t="s">
        <v>279</v>
      </c>
    </row>
    <row r="69" spans="1:3" x14ac:dyDescent="0.25">
      <c r="A69" s="7" t="s">
        <v>72</v>
      </c>
      <c r="B69" s="7">
        <v>231</v>
      </c>
      <c r="C69" s="7" t="s">
        <v>279</v>
      </c>
    </row>
    <row r="70" spans="1:3" x14ac:dyDescent="0.25">
      <c r="A70" s="8" t="s">
        <v>178</v>
      </c>
      <c r="B70" s="8">
        <v>124</v>
      </c>
      <c r="C70" s="8" t="s">
        <v>279</v>
      </c>
    </row>
    <row r="71" spans="1:3" x14ac:dyDescent="0.25">
      <c r="A71" s="7" t="s">
        <v>179</v>
      </c>
      <c r="B71" s="7">
        <v>125</v>
      </c>
      <c r="C71" s="7" t="s">
        <v>279</v>
      </c>
    </row>
    <row r="72" spans="1:3" x14ac:dyDescent="0.25">
      <c r="A72" s="8" t="s">
        <v>182</v>
      </c>
      <c r="B72" s="8">
        <v>232</v>
      </c>
      <c r="C72" s="8" t="s">
        <v>279</v>
      </c>
    </row>
    <row r="73" spans="1:3" x14ac:dyDescent="0.25">
      <c r="A73" s="7" t="s">
        <v>183</v>
      </c>
      <c r="B73" s="7">
        <v>128</v>
      </c>
      <c r="C73" s="7" t="s">
        <v>279</v>
      </c>
    </row>
    <row r="74" spans="1:3" x14ac:dyDescent="0.25">
      <c r="A74" s="8" t="s">
        <v>184</v>
      </c>
      <c r="B74" s="8">
        <v>129</v>
      </c>
      <c r="C74" s="8" t="s">
        <v>279</v>
      </c>
    </row>
    <row r="75" spans="1:3" x14ac:dyDescent="0.25">
      <c r="A75" s="7" t="s">
        <v>239</v>
      </c>
      <c r="B75" s="7">
        <v>132</v>
      </c>
      <c r="C75" s="7" t="s">
        <v>279</v>
      </c>
    </row>
    <row r="76" spans="1:3" x14ac:dyDescent="0.25">
      <c r="A76" s="8" t="s">
        <v>187</v>
      </c>
      <c r="B76" s="8">
        <v>134</v>
      </c>
      <c r="C76" s="8" t="s">
        <v>279</v>
      </c>
    </row>
    <row r="77" spans="1:3" x14ac:dyDescent="0.25">
      <c r="A77" s="7" t="s">
        <v>190</v>
      </c>
      <c r="B77" s="7">
        <v>136</v>
      </c>
      <c r="C77" s="7" t="s">
        <v>279</v>
      </c>
    </row>
    <row r="78" spans="1:3" x14ac:dyDescent="0.25">
      <c r="A78" s="8" t="s">
        <v>80</v>
      </c>
      <c r="B78" s="8">
        <v>137</v>
      </c>
      <c r="C78" s="8" t="s">
        <v>279</v>
      </c>
    </row>
    <row r="79" spans="1:3" x14ac:dyDescent="0.25">
      <c r="A79" s="7" t="s">
        <v>81</v>
      </c>
      <c r="B79" s="7">
        <v>138</v>
      </c>
      <c r="C79" s="7" t="s">
        <v>279</v>
      </c>
    </row>
    <row r="80" spans="1:3" x14ac:dyDescent="0.25">
      <c r="A80" s="8" t="s">
        <v>193</v>
      </c>
      <c r="B80" s="8">
        <v>141</v>
      </c>
      <c r="C80" s="8" t="s">
        <v>279</v>
      </c>
    </row>
    <row r="81" spans="1:3" x14ac:dyDescent="0.25">
      <c r="A81" s="7" t="s">
        <v>85</v>
      </c>
      <c r="B81" s="7">
        <v>147</v>
      </c>
      <c r="C81" s="7" t="s">
        <v>279</v>
      </c>
    </row>
    <row r="82" spans="1:3" x14ac:dyDescent="0.25">
      <c r="A82" s="8" t="s">
        <v>208</v>
      </c>
      <c r="B82" s="8">
        <v>233</v>
      </c>
      <c r="C82" s="8" t="s">
        <v>279</v>
      </c>
    </row>
    <row r="83" spans="1:3" x14ac:dyDescent="0.25">
      <c r="A83" s="7" t="s">
        <v>87</v>
      </c>
      <c r="B83" s="7">
        <v>234</v>
      </c>
      <c r="C83" s="7" t="s">
        <v>279</v>
      </c>
    </row>
    <row r="84" spans="1:3" x14ac:dyDescent="0.25">
      <c r="A84" s="8" t="s">
        <v>210</v>
      </c>
      <c r="B84" s="8">
        <v>150</v>
      </c>
      <c r="C84" s="8" t="s">
        <v>279</v>
      </c>
    </row>
    <row r="85" spans="1:3" x14ac:dyDescent="0.25">
      <c r="A85" s="7" t="s">
        <v>88</v>
      </c>
      <c r="B85" s="7">
        <v>152</v>
      </c>
      <c r="C85" s="7" t="s">
        <v>279</v>
      </c>
    </row>
    <row r="86" spans="1:3" x14ac:dyDescent="0.25">
      <c r="A86" s="8" t="s">
        <v>89</v>
      </c>
      <c r="B86" s="8">
        <v>153</v>
      </c>
      <c r="C86" s="8" t="s">
        <v>279</v>
      </c>
    </row>
    <row r="87" spans="1:3" x14ac:dyDescent="0.25">
      <c r="A87" s="7" t="s">
        <v>212</v>
      </c>
      <c r="B87" s="7">
        <v>235</v>
      </c>
      <c r="C87" s="7" t="s">
        <v>279</v>
      </c>
    </row>
    <row r="88" spans="1:3" x14ac:dyDescent="0.25">
      <c r="A88" s="8" t="s">
        <v>213</v>
      </c>
      <c r="B88" s="8">
        <v>154</v>
      </c>
      <c r="C88" s="8" t="s">
        <v>279</v>
      </c>
    </row>
    <row r="89" spans="1:3" x14ac:dyDescent="0.25">
      <c r="A89" s="7" t="s">
        <v>93</v>
      </c>
      <c r="B89" s="7">
        <v>158</v>
      </c>
      <c r="C89" s="7" t="s">
        <v>279</v>
      </c>
    </row>
    <row r="90" spans="1:3" x14ac:dyDescent="0.25">
      <c r="A90" s="8" t="s">
        <v>217</v>
      </c>
      <c r="B90" s="8">
        <v>159</v>
      </c>
      <c r="C90" s="8" t="s">
        <v>279</v>
      </c>
    </row>
    <row r="91" spans="1:3" x14ac:dyDescent="0.25">
      <c r="A91" s="7" t="s">
        <v>95</v>
      </c>
      <c r="B91" s="7">
        <v>161</v>
      </c>
      <c r="C91" s="7" t="s">
        <v>279</v>
      </c>
    </row>
    <row r="92" spans="1:3" x14ac:dyDescent="0.25">
      <c r="A92" s="8" t="s">
        <v>219</v>
      </c>
      <c r="B92" s="8">
        <v>162</v>
      </c>
      <c r="C92" s="8" t="s">
        <v>279</v>
      </c>
    </row>
    <row r="93" spans="1:3" x14ac:dyDescent="0.25">
      <c r="A93" s="7" t="s">
        <v>96</v>
      </c>
      <c r="B93" s="7">
        <v>166</v>
      </c>
      <c r="C93" s="7" t="s">
        <v>279</v>
      </c>
    </row>
    <row r="94" spans="1:3" x14ac:dyDescent="0.25">
      <c r="A94" s="8" t="s">
        <v>226</v>
      </c>
      <c r="B94" s="8">
        <v>170</v>
      </c>
      <c r="C94" s="8" t="s">
        <v>279</v>
      </c>
    </row>
    <row r="95" spans="1:3" x14ac:dyDescent="0.25">
      <c r="A95" s="7" t="s">
        <v>99</v>
      </c>
      <c r="B95" s="7">
        <v>175</v>
      </c>
      <c r="C95" s="7" t="s">
        <v>279</v>
      </c>
    </row>
    <row r="96" spans="1:3" x14ac:dyDescent="0.25">
      <c r="A96" s="8" t="s">
        <v>229</v>
      </c>
      <c r="B96" s="8">
        <v>176</v>
      </c>
      <c r="C96" s="8" t="s">
        <v>279</v>
      </c>
    </row>
    <row r="97" spans="1:3" ht="15.75" thickBot="1" x14ac:dyDescent="0.3">
      <c r="A97" s="9" t="s">
        <v>100</v>
      </c>
      <c r="B97" s="9">
        <v>177</v>
      </c>
      <c r="C97" s="9" t="s">
        <v>279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C499-B7AD-48C8-AE86-24BCC238E0ED}">
  <dimension ref="A1:C16"/>
  <sheetViews>
    <sheetView zoomScale="160" zoomScaleNormal="160" workbookViewId="0"/>
  </sheetViews>
  <sheetFormatPr defaultRowHeight="15" x14ac:dyDescent="0.25"/>
  <cols>
    <col min="1" max="1" width="32.7109375" bestFit="1" customWidth="1"/>
    <col min="2" max="2" width="4.140625" bestFit="1" customWidth="1"/>
    <col min="3" max="3" width="7.7109375" bestFit="1" customWidth="1"/>
  </cols>
  <sheetData>
    <row r="1" spans="1:3" x14ac:dyDescent="0.25">
      <c r="A1" s="7" t="s">
        <v>16</v>
      </c>
      <c r="B1" s="7">
        <v>24</v>
      </c>
      <c r="C1" s="7" t="s">
        <v>276</v>
      </c>
    </row>
    <row r="2" spans="1:3" x14ac:dyDescent="0.25">
      <c r="A2" s="8" t="s">
        <v>122</v>
      </c>
      <c r="B2" s="8">
        <v>36</v>
      </c>
      <c r="C2" s="8" t="s">
        <v>276</v>
      </c>
    </row>
    <row r="3" spans="1:3" x14ac:dyDescent="0.25">
      <c r="A3" s="7" t="s">
        <v>128</v>
      </c>
      <c r="B3" s="7">
        <v>41</v>
      </c>
      <c r="C3" s="7" t="s">
        <v>276</v>
      </c>
    </row>
    <row r="4" spans="1:3" x14ac:dyDescent="0.25">
      <c r="A4" s="8" t="s">
        <v>134</v>
      </c>
      <c r="B4" s="8">
        <v>50</v>
      </c>
      <c r="C4" s="8" t="s">
        <v>276</v>
      </c>
    </row>
    <row r="5" spans="1:3" x14ac:dyDescent="0.25">
      <c r="A5" s="7" t="s">
        <v>41</v>
      </c>
      <c r="B5" s="7">
        <v>67</v>
      </c>
      <c r="C5" s="7" t="s">
        <v>276</v>
      </c>
    </row>
    <row r="6" spans="1:3" x14ac:dyDescent="0.25">
      <c r="A6" s="8" t="s">
        <v>150</v>
      </c>
      <c r="B6" s="8">
        <v>77</v>
      </c>
      <c r="C6" s="8" t="s">
        <v>276</v>
      </c>
    </row>
    <row r="7" spans="1:3" x14ac:dyDescent="0.25">
      <c r="A7" s="7" t="s">
        <v>151</v>
      </c>
      <c r="B7" s="7">
        <v>78</v>
      </c>
      <c r="C7" s="7" t="s">
        <v>276</v>
      </c>
    </row>
    <row r="8" spans="1:3" x14ac:dyDescent="0.25">
      <c r="A8" s="8" t="s">
        <v>161</v>
      </c>
      <c r="B8" s="8">
        <v>91</v>
      </c>
      <c r="C8" s="8" t="s">
        <v>276</v>
      </c>
    </row>
    <row r="9" spans="1:3" x14ac:dyDescent="0.25">
      <c r="A9" s="7" t="s">
        <v>51</v>
      </c>
      <c r="B9" s="7">
        <v>92</v>
      </c>
      <c r="C9" s="7" t="s">
        <v>276</v>
      </c>
    </row>
    <row r="10" spans="1:3" x14ac:dyDescent="0.25">
      <c r="A10" s="8" t="s">
        <v>167</v>
      </c>
      <c r="B10" s="8">
        <v>100</v>
      </c>
      <c r="C10" s="8" t="s">
        <v>276</v>
      </c>
    </row>
    <row r="11" spans="1:3" x14ac:dyDescent="0.25">
      <c r="A11" s="7" t="s">
        <v>170</v>
      </c>
      <c r="B11" s="7">
        <v>107</v>
      </c>
      <c r="C11" s="7" t="s">
        <v>276</v>
      </c>
    </row>
    <row r="12" spans="1:3" x14ac:dyDescent="0.25">
      <c r="A12" s="8" t="s">
        <v>81</v>
      </c>
      <c r="B12" s="8">
        <v>138</v>
      </c>
      <c r="C12" s="8" t="s">
        <v>276</v>
      </c>
    </row>
    <row r="13" spans="1:3" x14ac:dyDescent="0.25">
      <c r="A13" s="7" t="s">
        <v>192</v>
      </c>
      <c r="B13" s="7">
        <v>140</v>
      </c>
      <c r="C13" s="7" t="s">
        <v>276</v>
      </c>
    </row>
    <row r="14" spans="1:3" x14ac:dyDescent="0.25">
      <c r="A14" s="8" t="s">
        <v>213</v>
      </c>
      <c r="B14" s="8">
        <v>154</v>
      </c>
      <c r="C14" s="8" t="s">
        <v>276</v>
      </c>
    </row>
    <row r="15" spans="1:3" x14ac:dyDescent="0.25">
      <c r="A15" s="7" t="s">
        <v>220</v>
      </c>
      <c r="B15" s="7">
        <v>163</v>
      </c>
      <c r="C15" s="7" t="s">
        <v>276</v>
      </c>
    </row>
    <row r="16" spans="1:3" x14ac:dyDescent="0.25">
      <c r="A16" s="8" t="s">
        <v>100</v>
      </c>
      <c r="B16" s="8">
        <v>177</v>
      </c>
      <c r="C16" s="8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Indice</vt:lpstr>
      <vt:lpstr>Sheet1</vt:lpstr>
      <vt:lpstr>Filtros</vt:lpstr>
      <vt:lpstr>Filtros (2)</vt:lpstr>
      <vt:lpstr>content </vt:lpstr>
      <vt:lpstr>Tiempos</vt:lpstr>
      <vt:lpstr>Indice (bk)</vt:lpstr>
      <vt:lpstr>Entrada</vt:lpstr>
      <vt:lpstr>Adviento</vt:lpstr>
      <vt:lpstr>Navidad</vt:lpstr>
      <vt:lpstr>Cuaresma</vt:lpstr>
      <vt:lpstr>Pascua</vt:lpstr>
      <vt:lpstr>Pentecostés</vt:lpstr>
      <vt:lpstr>Virgen</vt:lpstr>
      <vt:lpstr>Paz</vt:lpstr>
      <vt:lpstr>Pan</vt:lpstr>
      <vt:lpstr>Comunión</vt:lpstr>
      <vt:lpstr>Niños</vt:lpstr>
      <vt:lpstr>Laudes</vt:lpstr>
      <vt:lpstr>Nuevo Testamento</vt:lpstr>
      <vt:lpstr>Antiguo Testamento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</dc:creator>
  <cp:lastModifiedBy>Carlos Baez</cp:lastModifiedBy>
  <dcterms:created xsi:type="dcterms:W3CDTF">2025-04-14T14:17:44Z</dcterms:created>
  <dcterms:modified xsi:type="dcterms:W3CDTF">2026-03-17T16:58:57Z</dcterms:modified>
</cp:coreProperties>
</file>