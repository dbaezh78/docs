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FA4A804A-0874-44D1-9FBF-B7BA34851575}" xr6:coauthVersionLast="47" xr6:coauthVersionMax="47" xr10:uidLastSave="{00000000-0000-0000-0000-000000000000}"/>
  <bookViews>
    <workbookView xWindow="-120" yWindow="-120" windowWidth="51840" windowHeight="21120" tabRatio="693" firstSheet="5" activeTab="10"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UN RETOÑO BROTA DEL TRONCO DE J" sheetId="124" r:id="rId9"/>
    <sheet name="UNA GRAN SEÑAL" sheetId="125" r:id="rId10"/>
    <sheet name="URÍ, URÍ, URÁ" sheetId="126" r:id="rId11"/>
    <sheet name="MARIA, MADRE MÍA" sheetId="7" r:id="rId12"/>
    <sheet name="boceto" sheetId="36" state="hidden" r:id="rId13"/>
  </sheets>
  <functionGroups builtInGroupCount="19"/>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1" i="126" l="1"/>
  <c r="AK73" i="126"/>
  <c r="AI73" i="126"/>
  <c r="AN73" i="126" s="1"/>
  <c r="AD73" i="126"/>
  <c r="AB73" i="126"/>
  <c r="AF73" i="126" s="1"/>
  <c r="Z73" i="126"/>
  <c r="W73" i="126"/>
  <c r="U73" i="126"/>
  <c r="V73" i="126" s="1"/>
  <c r="P73" i="126"/>
  <c r="N73" i="126"/>
  <c r="O73" i="126" s="1"/>
  <c r="AK72" i="126"/>
  <c r="AI72" i="126"/>
  <c r="AJ72" i="126" s="1"/>
  <c r="AG72" i="126"/>
  <c r="AD72" i="126"/>
  <c r="AB72" i="126"/>
  <c r="AF72" i="126" s="1"/>
  <c r="AA72" i="126"/>
  <c r="W72" i="126"/>
  <c r="U72" i="126"/>
  <c r="T72" i="126" s="1"/>
  <c r="P72" i="126"/>
  <c r="N72" i="126"/>
  <c r="R72" i="126" s="1"/>
  <c r="M72" i="126"/>
  <c r="AK71" i="126"/>
  <c r="AI71" i="126"/>
  <c r="AM71" i="126" s="1"/>
  <c r="AD71" i="126"/>
  <c r="AB71" i="126"/>
  <c r="AG71" i="126" s="1"/>
  <c r="W71" i="126"/>
  <c r="U71" i="126"/>
  <c r="Z71" i="126" s="1"/>
  <c r="P71" i="126"/>
  <c r="N71" i="126"/>
  <c r="R71" i="126" s="1"/>
  <c r="AK70" i="126"/>
  <c r="AI70" i="126"/>
  <c r="AM70" i="126" s="1"/>
  <c r="AE70" i="126"/>
  <c r="AD70" i="126"/>
  <c r="AB70" i="126"/>
  <c r="AF70" i="126" s="1"/>
  <c r="W70" i="126"/>
  <c r="U70" i="126"/>
  <c r="T70" i="126" s="1"/>
  <c r="P70" i="126"/>
  <c r="N70" i="126"/>
  <c r="M70" i="126" s="1"/>
  <c r="AK69" i="126"/>
  <c r="AI69" i="126"/>
  <c r="AH69" i="126" s="1"/>
  <c r="AD69" i="126"/>
  <c r="AB69" i="126"/>
  <c r="AA69" i="126" s="1"/>
  <c r="Y69" i="126"/>
  <c r="W69" i="126"/>
  <c r="U69" i="126"/>
  <c r="Z69" i="126" s="1"/>
  <c r="P69" i="126"/>
  <c r="N69" i="126"/>
  <c r="S69" i="126" s="1"/>
  <c r="AK68" i="126"/>
  <c r="AI68" i="126"/>
  <c r="AN68" i="126" s="1"/>
  <c r="AD68" i="126"/>
  <c r="AB68" i="126"/>
  <c r="AG68" i="126" s="1"/>
  <c r="W68" i="126"/>
  <c r="U68" i="126"/>
  <c r="Y68" i="126" s="1"/>
  <c r="S68" i="126"/>
  <c r="P68" i="126"/>
  <c r="N68" i="126"/>
  <c r="O68" i="126" s="1"/>
  <c r="AN67" i="126"/>
  <c r="AK67" i="126"/>
  <c r="AI67" i="126"/>
  <c r="AJ67" i="126" s="1"/>
  <c r="AG67" i="126"/>
  <c r="AD67" i="126"/>
  <c r="AC67" i="126"/>
  <c r="AB67" i="126"/>
  <c r="AE67" i="126" s="1"/>
  <c r="W67" i="126"/>
  <c r="U67" i="126"/>
  <c r="T67" i="126" s="1"/>
  <c r="P67" i="126"/>
  <c r="N67" i="126"/>
  <c r="M67" i="126" s="1"/>
  <c r="R66" i="126"/>
  <c r="AK55" i="126"/>
  <c r="AI55" i="126"/>
  <c r="AN55" i="126" s="1"/>
  <c r="AD55" i="126"/>
  <c r="AB55" i="126"/>
  <c r="AG55" i="126" s="1"/>
  <c r="W55" i="126"/>
  <c r="U55" i="126"/>
  <c r="Y55" i="126" s="1"/>
  <c r="P55" i="126"/>
  <c r="N55" i="126"/>
  <c r="Q55" i="126" s="1"/>
  <c r="AK54" i="126"/>
  <c r="AI54" i="126"/>
  <c r="AH54" i="126" s="1"/>
  <c r="AD54" i="126"/>
  <c r="AB54" i="126"/>
  <c r="AA54" i="126" s="1"/>
  <c r="W54" i="126"/>
  <c r="U54" i="126"/>
  <c r="Z54" i="126" s="1"/>
  <c r="P54" i="126"/>
  <c r="N54" i="126"/>
  <c r="S54" i="126" s="1"/>
  <c r="AK53" i="126"/>
  <c r="AI53" i="126"/>
  <c r="AN53" i="126" s="1"/>
  <c r="AD53" i="126"/>
  <c r="AB53" i="126"/>
  <c r="AF53" i="126" s="1"/>
  <c r="W53" i="126"/>
  <c r="U53" i="126"/>
  <c r="X53" i="126" s="1"/>
  <c r="P53" i="126"/>
  <c r="N53" i="126"/>
  <c r="O53" i="126" s="1"/>
  <c r="AK52" i="126"/>
  <c r="AI52" i="126"/>
  <c r="AJ52" i="126" s="1"/>
  <c r="AD52" i="126"/>
  <c r="AB52" i="126"/>
  <c r="AA52" i="126" s="1"/>
  <c r="W52" i="126"/>
  <c r="U52" i="126"/>
  <c r="T52" i="126" s="1"/>
  <c r="P52" i="126"/>
  <c r="N52" i="126"/>
  <c r="M52" i="126" s="1"/>
  <c r="AK51" i="126"/>
  <c r="AI51" i="126"/>
  <c r="AH51" i="126" s="1"/>
  <c r="AD51" i="126"/>
  <c r="AB51" i="126"/>
  <c r="AG51" i="126" s="1"/>
  <c r="W51" i="126"/>
  <c r="U51" i="126"/>
  <c r="Z51" i="126" s="1"/>
  <c r="P51" i="126"/>
  <c r="N51" i="126"/>
  <c r="R51" i="126" s="1"/>
  <c r="AK50" i="126"/>
  <c r="AI50" i="126"/>
  <c r="AM50" i="126" s="1"/>
  <c r="AD50" i="126"/>
  <c r="AB50" i="126"/>
  <c r="AG50" i="126" s="1"/>
  <c r="W50" i="126"/>
  <c r="U50" i="126"/>
  <c r="V50" i="126" s="1"/>
  <c r="P50" i="126"/>
  <c r="N50" i="126"/>
  <c r="O50" i="126" s="1"/>
  <c r="AK49" i="126"/>
  <c r="AI49" i="126"/>
  <c r="AJ49" i="126" s="1"/>
  <c r="AD49" i="126"/>
  <c r="AB49" i="126"/>
  <c r="AG49" i="126" s="1"/>
  <c r="W49" i="126"/>
  <c r="U49" i="126"/>
  <c r="T49" i="126" s="1"/>
  <c r="P49" i="126"/>
  <c r="N49" i="126"/>
  <c r="S49" i="126" s="1"/>
  <c r="R48" i="126"/>
  <c r="R43" i="126"/>
  <c r="R86" i="126"/>
  <c r="AK85" i="126"/>
  <c r="AI85" i="126"/>
  <c r="AH85" i="126" s="1"/>
  <c r="AD85" i="126"/>
  <c r="AB85" i="126"/>
  <c r="AG85" i="126" s="1"/>
  <c r="W85" i="126"/>
  <c r="U85" i="126"/>
  <c r="Y85" i="126" s="1"/>
  <c r="P85" i="126"/>
  <c r="N85" i="126"/>
  <c r="AK84" i="126"/>
  <c r="AI84" i="126"/>
  <c r="AL84" i="126" s="1"/>
  <c r="AD84" i="126"/>
  <c r="AB84" i="126"/>
  <c r="AG84" i="126" s="1"/>
  <c r="W84" i="126"/>
  <c r="U84" i="126"/>
  <c r="P84" i="126"/>
  <c r="N84" i="126"/>
  <c r="R84" i="126" s="1"/>
  <c r="AK83" i="126"/>
  <c r="AI83" i="126"/>
  <c r="AH83" i="126" s="1"/>
  <c r="AD83" i="126"/>
  <c r="AB83" i="126"/>
  <c r="W83" i="126"/>
  <c r="U83" i="126"/>
  <c r="T83" i="126" s="1"/>
  <c r="P83" i="126"/>
  <c r="N83" i="126"/>
  <c r="AK82" i="126"/>
  <c r="AI82" i="126"/>
  <c r="AM82" i="126" s="1"/>
  <c r="AD82" i="126"/>
  <c r="AB82" i="126"/>
  <c r="AE82" i="126" s="1"/>
  <c r="W82" i="126"/>
  <c r="U82" i="126"/>
  <c r="P82" i="126"/>
  <c r="N82" i="126"/>
  <c r="O82" i="126" s="1"/>
  <c r="AK81" i="126"/>
  <c r="AI81" i="126"/>
  <c r="AJ81" i="126" s="1"/>
  <c r="AD81" i="126"/>
  <c r="AB81" i="126"/>
  <c r="AC81" i="126" s="1"/>
  <c r="W81" i="126"/>
  <c r="U81" i="126"/>
  <c r="T81" i="126" s="1"/>
  <c r="P81" i="126"/>
  <c r="N81" i="126"/>
  <c r="AK80" i="126"/>
  <c r="AI80" i="126"/>
  <c r="AD80" i="126"/>
  <c r="AB80" i="126"/>
  <c r="AA80" i="126" s="1"/>
  <c r="W80" i="126"/>
  <c r="U80" i="126"/>
  <c r="P80" i="126"/>
  <c r="N80" i="126"/>
  <c r="Q80" i="126" s="1"/>
  <c r="AK79" i="126"/>
  <c r="AI79" i="126"/>
  <c r="AL79" i="126" s="1"/>
  <c r="AD79" i="126"/>
  <c r="AB79" i="126"/>
  <c r="W79" i="126"/>
  <c r="U79" i="126"/>
  <c r="V79" i="126" s="1"/>
  <c r="P79" i="126"/>
  <c r="N79" i="126"/>
  <c r="R79" i="126" s="1"/>
  <c r="AK78" i="126"/>
  <c r="AI78" i="126"/>
  <c r="AL78" i="126" s="1"/>
  <c r="AD78" i="126"/>
  <c r="AB78" i="126"/>
  <c r="AA78" i="126" s="1"/>
  <c r="W78" i="126"/>
  <c r="U78" i="126"/>
  <c r="V78" i="126" s="1"/>
  <c r="P78" i="126"/>
  <c r="N78" i="126"/>
  <c r="M78" i="126" s="1"/>
  <c r="R77" i="126"/>
  <c r="AK65" i="126"/>
  <c r="AI65" i="126"/>
  <c r="AJ65" i="126" s="1"/>
  <c r="AD65" i="126"/>
  <c r="AB65" i="126"/>
  <c r="AA65" i="126" s="1"/>
  <c r="W65" i="126"/>
  <c r="U65" i="126"/>
  <c r="T65" i="126" s="1"/>
  <c r="P65" i="126"/>
  <c r="N65" i="126"/>
  <c r="AK64" i="126"/>
  <c r="AI64" i="126"/>
  <c r="AM64" i="126" s="1"/>
  <c r="AD64" i="126"/>
  <c r="AB64" i="126"/>
  <c r="AE64" i="126" s="1"/>
  <c r="W64" i="126"/>
  <c r="U64" i="126"/>
  <c r="P64" i="126"/>
  <c r="N64" i="126"/>
  <c r="O64" i="126" s="1"/>
  <c r="AK63" i="126"/>
  <c r="AI63" i="126"/>
  <c r="AJ63" i="126" s="1"/>
  <c r="AD63" i="126"/>
  <c r="AB63" i="126"/>
  <c r="AE63" i="126" s="1"/>
  <c r="W63" i="126"/>
  <c r="U63" i="126"/>
  <c r="V63" i="126" s="1"/>
  <c r="P63" i="126"/>
  <c r="N63" i="126"/>
  <c r="M63" i="126" s="1"/>
  <c r="AK62" i="126"/>
  <c r="AI62" i="126"/>
  <c r="AD62" i="126"/>
  <c r="AB62" i="126"/>
  <c r="AA62" i="126" s="1"/>
  <c r="W62" i="126"/>
  <c r="U62" i="126"/>
  <c r="Y62" i="126" s="1"/>
  <c r="P62" i="126"/>
  <c r="N62" i="126"/>
  <c r="Q62" i="126" s="1"/>
  <c r="AK60" i="126"/>
  <c r="AI60" i="126"/>
  <c r="AL60" i="126" s="1"/>
  <c r="AD60" i="126"/>
  <c r="AB60" i="126"/>
  <c r="AA60" i="126" s="1"/>
  <c r="W60" i="126"/>
  <c r="U60" i="126"/>
  <c r="V60" i="126" s="1"/>
  <c r="P60" i="126"/>
  <c r="N60" i="126"/>
  <c r="M60" i="126" s="1"/>
  <c r="AK59" i="126"/>
  <c r="AI59" i="126"/>
  <c r="AN59" i="126" s="1"/>
  <c r="AD59" i="126"/>
  <c r="AB59" i="126"/>
  <c r="AC59" i="126" s="1"/>
  <c r="W59" i="126"/>
  <c r="U59" i="126"/>
  <c r="T59" i="126" s="1"/>
  <c r="P59" i="126"/>
  <c r="N59" i="126"/>
  <c r="M59" i="126" s="1"/>
  <c r="AK58" i="126"/>
  <c r="AI58" i="126"/>
  <c r="AH58" i="126" s="1"/>
  <c r="AD58" i="126"/>
  <c r="AB58" i="126"/>
  <c r="AF58" i="126" s="1"/>
  <c r="W58" i="126"/>
  <c r="U58" i="126"/>
  <c r="X58" i="126" s="1"/>
  <c r="P58" i="126"/>
  <c r="N58" i="126"/>
  <c r="AK57" i="126"/>
  <c r="AI57" i="126"/>
  <c r="AM57" i="126" s="1"/>
  <c r="AD57" i="126"/>
  <c r="AB57" i="126"/>
  <c r="AF57" i="126" s="1"/>
  <c r="W57" i="126"/>
  <c r="U57" i="126"/>
  <c r="Z57" i="126" s="1"/>
  <c r="P57" i="126"/>
  <c r="N57" i="126"/>
  <c r="O57" i="126" s="1"/>
  <c r="R56" i="126"/>
  <c r="AK47" i="126"/>
  <c r="AI47" i="126"/>
  <c r="AJ47" i="126" s="1"/>
  <c r="AD47" i="126"/>
  <c r="AB47" i="126"/>
  <c r="AG47" i="126" s="1"/>
  <c r="W47" i="126"/>
  <c r="U47" i="126"/>
  <c r="X47" i="126" s="1"/>
  <c r="P47" i="126"/>
  <c r="N47" i="126"/>
  <c r="S47" i="126" s="1"/>
  <c r="AK46" i="126"/>
  <c r="AI46" i="126"/>
  <c r="AN46" i="126" s="1"/>
  <c r="AD46" i="126"/>
  <c r="AB46" i="126"/>
  <c r="AF46" i="126" s="1"/>
  <c r="W46" i="126"/>
  <c r="U46" i="126"/>
  <c r="X46" i="126" s="1"/>
  <c r="P46" i="126"/>
  <c r="N46" i="126"/>
  <c r="Q46" i="126" s="1"/>
  <c r="AK45" i="126"/>
  <c r="AI45" i="126"/>
  <c r="AD45" i="126"/>
  <c r="AB45" i="126"/>
  <c r="AC45" i="126" s="1"/>
  <c r="W45" i="126"/>
  <c r="U45" i="126"/>
  <c r="T45" i="126" s="1"/>
  <c r="P45" i="126"/>
  <c r="N45" i="126"/>
  <c r="M45" i="126" s="1"/>
  <c r="AK44" i="126"/>
  <c r="AI44" i="126"/>
  <c r="AH44" i="126" s="1"/>
  <c r="AD44" i="126"/>
  <c r="AB44" i="126"/>
  <c r="W44" i="126"/>
  <c r="U44" i="126"/>
  <c r="Z44" i="126" s="1"/>
  <c r="P44" i="126"/>
  <c r="N44" i="126"/>
  <c r="R44" i="126" s="1"/>
  <c r="AK42" i="126"/>
  <c r="AI42" i="126"/>
  <c r="AM42" i="126" s="1"/>
  <c r="AD42" i="126"/>
  <c r="AB42" i="126"/>
  <c r="AE42" i="126" s="1"/>
  <c r="W42" i="126"/>
  <c r="U42" i="126"/>
  <c r="Y42" i="126" s="1"/>
  <c r="P42" i="126"/>
  <c r="N42" i="126"/>
  <c r="AK41" i="126"/>
  <c r="AI41" i="126"/>
  <c r="AL41" i="126" s="1"/>
  <c r="AD41" i="126"/>
  <c r="AB41" i="126"/>
  <c r="AC41" i="126" s="1"/>
  <c r="W41" i="126"/>
  <c r="U41" i="126"/>
  <c r="V41" i="126" s="1"/>
  <c r="P41" i="126"/>
  <c r="N41" i="126"/>
  <c r="R41" i="126" s="1"/>
  <c r="AK40" i="126"/>
  <c r="AI40" i="126"/>
  <c r="AM40" i="126" s="1"/>
  <c r="AD40" i="126"/>
  <c r="AB40" i="126"/>
  <c r="W40" i="126"/>
  <c r="U40" i="126"/>
  <c r="T40" i="126" s="1"/>
  <c r="P40" i="126"/>
  <c r="N40" i="126"/>
  <c r="S40" i="126" s="1"/>
  <c r="AK39" i="126"/>
  <c r="AI39" i="126"/>
  <c r="AN39" i="126" s="1"/>
  <c r="AD39" i="126"/>
  <c r="AB39" i="126"/>
  <c r="AF39" i="126" s="1"/>
  <c r="W39" i="126"/>
  <c r="U39" i="126"/>
  <c r="X39" i="126" s="1"/>
  <c r="P39" i="126"/>
  <c r="N39" i="126"/>
  <c r="O39" i="126" s="1"/>
  <c r="AK37" i="126"/>
  <c r="AI37" i="126"/>
  <c r="AJ37" i="126" s="1"/>
  <c r="AD37" i="126"/>
  <c r="AB37" i="126"/>
  <c r="AC37" i="126" s="1"/>
  <c r="W37" i="126"/>
  <c r="U37" i="126"/>
  <c r="Y37" i="126" s="1"/>
  <c r="P37" i="126"/>
  <c r="N37" i="126"/>
  <c r="M37" i="126" s="1"/>
  <c r="AK36" i="126"/>
  <c r="AI36" i="126"/>
  <c r="AH36" i="126" s="1"/>
  <c r="AD36" i="126"/>
  <c r="AB36" i="126"/>
  <c r="AA36" i="126" s="1"/>
  <c r="W36" i="126"/>
  <c r="U36" i="126"/>
  <c r="Z36" i="126" s="1"/>
  <c r="P36" i="126"/>
  <c r="N36" i="126"/>
  <c r="AK35" i="126"/>
  <c r="AI35" i="126"/>
  <c r="AM35" i="126" s="1"/>
  <c r="AD35" i="126"/>
  <c r="AB35" i="126"/>
  <c r="AE35" i="126" s="1"/>
  <c r="W35" i="126"/>
  <c r="U35" i="126"/>
  <c r="V35" i="126" s="1"/>
  <c r="P35" i="126"/>
  <c r="N35" i="126"/>
  <c r="O35" i="126" s="1"/>
  <c r="AK34" i="126"/>
  <c r="AI34" i="126"/>
  <c r="AD34" i="126"/>
  <c r="AB34" i="126"/>
  <c r="AF34" i="126" s="1"/>
  <c r="W34" i="126"/>
  <c r="U34" i="126"/>
  <c r="T34" i="126" s="1"/>
  <c r="P34" i="126"/>
  <c r="N34" i="126"/>
  <c r="M34" i="126" s="1"/>
  <c r="AK33" i="126"/>
  <c r="AI33" i="126"/>
  <c r="AH33" i="126" s="1"/>
  <c r="AD33" i="126"/>
  <c r="AB33" i="126"/>
  <c r="AG33" i="126" s="1"/>
  <c r="W33" i="126"/>
  <c r="U33" i="126"/>
  <c r="Y33" i="126" s="1"/>
  <c r="P33" i="126"/>
  <c r="N33" i="126"/>
  <c r="Q33" i="126" s="1"/>
  <c r="AK32" i="126"/>
  <c r="AI32" i="126"/>
  <c r="AL32" i="126" s="1"/>
  <c r="AD32" i="126"/>
  <c r="AB32" i="126"/>
  <c r="W32" i="126"/>
  <c r="U32" i="126"/>
  <c r="V32" i="126" s="1"/>
  <c r="P32" i="126"/>
  <c r="N32" i="126"/>
  <c r="R32" i="126" s="1"/>
  <c r="AK31" i="126"/>
  <c r="AI31" i="126"/>
  <c r="AM31" i="126" s="1"/>
  <c r="AD31" i="126"/>
  <c r="AB31" i="126"/>
  <c r="W31" i="126"/>
  <c r="U31" i="126"/>
  <c r="T31" i="126" s="1"/>
  <c r="P31" i="126"/>
  <c r="N31" i="126"/>
  <c r="S31" i="126" s="1"/>
  <c r="AK30" i="126"/>
  <c r="AI30" i="126"/>
  <c r="AN30" i="126" s="1"/>
  <c r="AD30" i="126"/>
  <c r="AB30" i="126"/>
  <c r="AF30" i="126" s="1"/>
  <c r="W30" i="126"/>
  <c r="U30" i="126"/>
  <c r="X30" i="126" s="1"/>
  <c r="P30" i="126"/>
  <c r="N30" i="126"/>
  <c r="M30" i="126" s="1"/>
  <c r="R38" i="126"/>
  <c r="L18" i="126"/>
  <c r="L17" i="126"/>
  <c r="L15" i="126"/>
  <c r="L14" i="126"/>
  <c r="L13" i="126"/>
  <c r="R79" i="125"/>
  <c r="AK78" i="125"/>
  <c r="AI78" i="125"/>
  <c r="AN78" i="125" s="1"/>
  <c r="AD78" i="125"/>
  <c r="AB78" i="125"/>
  <c r="AF78" i="125" s="1"/>
  <c r="W78" i="125"/>
  <c r="U78" i="125"/>
  <c r="X78" i="125" s="1"/>
  <c r="P78" i="125"/>
  <c r="N78" i="125"/>
  <c r="O78" i="125" s="1"/>
  <c r="AK77" i="125"/>
  <c r="AI77" i="125"/>
  <c r="AJ77" i="125" s="1"/>
  <c r="AD77" i="125"/>
  <c r="AB77" i="125"/>
  <c r="AC77" i="125" s="1"/>
  <c r="W77" i="125"/>
  <c r="U77" i="125"/>
  <c r="V77" i="125" s="1"/>
  <c r="P77" i="125"/>
  <c r="N77" i="125"/>
  <c r="M77" i="125" s="1"/>
  <c r="AK76" i="125"/>
  <c r="AI76" i="125"/>
  <c r="AH76" i="125" s="1"/>
  <c r="AD76" i="125"/>
  <c r="AB76" i="125"/>
  <c r="AG76" i="125" s="1"/>
  <c r="W76" i="125"/>
  <c r="U76" i="125"/>
  <c r="Z76" i="125" s="1"/>
  <c r="P76" i="125"/>
  <c r="N76" i="125"/>
  <c r="R76" i="125" s="1"/>
  <c r="AK75" i="125"/>
  <c r="AI75" i="125"/>
  <c r="AM75" i="125" s="1"/>
  <c r="AD75" i="125"/>
  <c r="AB75" i="125"/>
  <c r="AE75" i="125" s="1"/>
  <c r="AA75" i="125"/>
  <c r="W75" i="125"/>
  <c r="U75" i="125"/>
  <c r="Z75" i="125" s="1"/>
  <c r="P75" i="125"/>
  <c r="N75" i="125"/>
  <c r="O75" i="125" s="1"/>
  <c r="AK74" i="125"/>
  <c r="AI74" i="125"/>
  <c r="AJ74" i="125" s="1"/>
  <c r="AD74" i="125"/>
  <c r="AB74" i="125"/>
  <c r="AG74" i="125" s="1"/>
  <c r="W74" i="125"/>
  <c r="U74" i="125"/>
  <c r="T74" i="125" s="1"/>
  <c r="P74" i="125"/>
  <c r="N74" i="125"/>
  <c r="S74" i="125" s="1"/>
  <c r="AK73" i="125"/>
  <c r="AI73" i="125"/>
  <c r="AN73" i="125" s="1"/>
  <c r="AF73" i="125"/>
  <c r="AD73" i="125"/>
  <c r="AB73" i="125"/>
  <c r="AE73" i="125" s="1"/>
  <c r="W73" i="125"/>
  <c r="U73" i="125"/>
  <c r="Y73" i="125" s="1"/>
  <c r="P73" i="125"/>
  <c r="N73" i="125"/>
  <c r="Q73" i="125" s="1"/>
  <c r="AK72" i="125"/>
  <c r="AI72" i="125"/>
  <c r="AL72" i="125" s="1"/>
  <c r="AD72" i="125"/>
  <c r="AB72" i="125"/>
  <c r="AA72" i="125" s="1"/>
  <c r="W72" i="125"/>
  <c r="U72" i="125"/>
  <c r="V72" i="125" s="1"/>
  <c r="P72" i="125"/>
  <c r="N72" i="125"/>
  <c r="O72" i="125" s="1"/>
  <c r="R71" i="125"/>
  <c r="R58" i="125"/>
  <c r="AK57" i="125"/>
  <c r="AI57" i="125"/>
  <c r="AN57" i="125" s="1"/>
  <c r="AD57" i="125"/>
  <c r="AB57" i="125"/>
  <c r="AG57" i="125" s="1"/>
  <c r="W57" i="125"/>
  <c r="U57" i="125"/>
  <c r="Y57" i="125" s="1"/>
  <c r="P57" i="125"/>
  <c r="N57" i="125"/>
  <c r="O57" i="125" s="1"/>
  <c r="AK56" i="125"/>
  <c r="AI56" i="125"/>
  <c r="AH56" i="125" s="1"/>
  <c r="AD56" i="125"/>
  <c r="AB56" i="125"/>
  <c r="AG56" i="125" s="1"/>
  <c r="W56" i="125"/>
  <c r="U56" i="125"/>
  <c r="Z56" i="125" s="1"/>
  <c r="P56" i="125"/>
  <c r="N56" i="125"/>
  <c r="S56" i="125" s="1"/>
  <c r="AK55" i="125"/>
  <c r="AI55" i="125"/>
  <c r="AN55" i="125" s="1"/>
  <c r="AD55" i="125"/>
  <c r="AB55" i="125"/>
  <c r="AF55" i="125" s="1"/>
  <c r="W55" i="125"/>
  <c r="U55" i="125"/>
  <c r="Z55" i="125" s="1"/>
  <c r="P55" i="125"/>
  <c r="N55" i="125"/>
  <c r="O55" i="125" s="1"/>
  <c r="AK54" i="125"/>
  <c r="AI54" i="125"/>
  <c r="AJ54" i="125" s="1"/>
  <c r="AD54" i="125"/>
  <c r="AB54" i="125"/>
  <c r="AC54" i="125" s="1"/>
  <c r="W54" i="125"/>
  <c r="U54" i="125"/>
  <c r="T54" i="125" s="1"/>
  <c r="P54" i="125"/>
  <c r="N54" i="125"/>
  <c r="M54" i="125" s="1"/>
  <c r="AK53" i="125"/>
  <c r="AI53" i="125"/>
  <c r="AH53" i="125" s="1"/>
  <c r="AD53" i="125"/>
  <c r="AB53" i="125"/>
  <c r="AG53" i="125" s="1"/>
  <c r="W53" i="125"/>
  <c r="U53" i="125"/>
  <c r="Z53" i="125" s="1"/>
  <c r="P53" i="125"/>
  <c r="N53" i="125"/>
  <c r="R53" i="125" s="1"/>
  <c r="AK52" i="125"/>
  <c r="AI52" i="125"/>
  <c r="AM52" i="125" s="1"/>
  <c r="AD52" i="125"/>
  <c r="AB52" i="125"/>
  <c r="AF52" i="125" s="1"/>
  <c r="W52" i="125"/>
  <c r="U52" i="125"/>
  <c r="V52" i="125" s="1"/>
  <c r="P52" i="125"/>
  <c r="N52" i="125"/>
  <c r="O52" i="125" s="1"/>
  <c r="AK51" i="125"/>
  <c r="AI51" i="125"/>
  <c r="AJ51" i="125" s="1"/>
  <c r="AD51" i="125"/>
  <c r="AB51" i="125"/>
  <c r="AF51" i="125" s="1"/>
  <c r="W51" i="125"/>
  <c r="U51" i="125"/>
  <c r="T51" i="125" s="1"/>
  <c r="P51" i="125"/>
  <c r="N51" i="125"/>
  <c r="S51" i="125" s="1"/>
  <c r="R50" i="125"/>
  <c r="R88" i="125"/>
  <c r="R83" i="125"/>
  <c r="R66" i="125"/>
  <c r="R45" i="125"/>
  <c r="R41" i="125"/>
  <c r="R37" i="125"/>
  <c r="R107" i="125"/>
  <c r="AK106" i="125"/>
  <c r="AI106" i="125"/>
  <c r="AN106" i="125" s="1"/>
  <c r="AD106" i="125"/>
  <c r="AB106" i="125"/>
  <c r="AG106" i="125" s="1"/>
  <c r="W106" i="125"/>
  <c r="U106" i="125"/>
  <c r="Y106" i="125" s="1"/>
  <c r="P106" i="125"/>
  <c r="N106" i="125"/>
  <c r="Q106" i="125" s="1"/>
  <c r="AK105" i="125"/>
  <c r="AI105" i="125"/>
  <c r="AL105" i="125" s="1"/>
  <c r="AD105" i="125"/>
  <c r="AB105" i="125"/>
  <c r="AE105" i="125" s="1"/>
  <c r="W105" i="125"/>
  <c r="U105" i="125"/>
  <c r="T105" i="125" s="1"/>
  <c r="P105" i="125"/>
  <c r="N105" i="125"/>
  <c r="M105" i="125" s="1"/>
  <c r="AK104" i="125"/>
  <c r="AI104" i="125"/>
  <c r="AH104" i="125" s="1"/>
  <c r="AD104" i="125"/>
  <c r="AB104" i="125"/>
  <c r="W104" i="125"/>
  <c r="U104" i="125"/>
  <c r="Z104" i="125" s="1"/>
  <c r="P104" i="125"/>
  <c r="N104" i="125"/>
  <c r="S104" i="125" s="1"/>
  <c r="AK103" i="125"/>
  <c r="AI103" i="125"/>
  <c r="AN103" i="125" s="1"/>
  <c r="AD103" i="125"/>
  <c r="AB103" i="125"/>
  <c r="AF103" i="125" s="1"/>
  <c r="W103" i="125"/>
  <c r="U103" i="125"/>
  <c r="X103" i="125" s="1"/>
  <c r="P103" i="125"/>
  <c r="N103" i="125"/>
  <c r="AK102" i="125"/>
  <c r="AI102" i="125"/>
  <c r="AD102" i="125"/>
  <c r="AB102" i="125"/>
  <c r="AG102" i="125" s="1"/>
  <c r="W102" i="125"/>
  <c r="U102" i="125"/>
  <c r="T102" i="125" s="1"/>
  <c r="P102" i="125"/>
  <c r="N102" i="125"/>
  <c r="S102" i="125" s="1"/>
  <c r="AK101" i="125"/>
  <c r="AI101" i="125"/>
  <c r="AN101" i="125" s="1"/>
  <c r="AD101" i="125"/>
  <c r="AB101" i="125"/>
  <c r="AG101" i="125" s="1"/>
  <c r="W101" i="125"/>
  <c r="U101" i="125"/>
  <c r="Z101" i="125" s="1"/>
  <c r="P101" i="125"/>
  <c r="N101" i="125"/>
  <c r="R101" i="125" s="1"/>
  <c r="AK100" i="125"/>
  <c r="AI100" i="125"/>
  <c r="AM100" i="125" s="1"/>
  <c r="AD100" i="125"/>
  <c r="AB100" i="125"/>
  <c r="AA100" i="125" s="1"/>
  <c r="W100" i="125"/>
  <c r="U100" i="125"/>
  <c r="X100" i="125" s="1"/>
  <c r="P100" i="125"/>
  <c r="N100" i="125"/>
  <c r="O100" i="125" s="1"/>
  <c r="AK99" i="125"/>
  <c r="AI99" i="125"/>
  <c r="AJ99" i="125" s="1"/>
  <c r="AD99" i="125"/>
  <c r="AB99" i="125"/>
  <c r="AG99" i="125" s="1"/>
  <c r="W99" i="125"/>
  <c r="U99" i="125"/>
  <c r="P99" i="125"/>
  <c r="N99" i="125"/>
  <c r="S99" i="125" s="1"/>
  <c r="R98" i="125"/>
  <c r="AK94" i="125"/>
  <c r="AI94" i="125"/>
  <c r="AD94" i="125"/>
  <c r="AB94" i="125"/>
  <c r="AE94" i="125" s="1"/>
  <c r="W94" i="125"/>
  <c r="U94" i="125"/>
  <c r="X94" i="125" s="1"/>
  <c r="P94" i="125"/>
  <c r="N94" i="125"/>
  <c r="S94" i="125" s="1"/>
  <c r="AK93" i="125"/>
  <c r="AI93" i="125"/>
  <c r="AJ93" i="125" s="1"/>
  <c r="AD93" i="125"/>
  <c r="AB93" i="125"/>
  <c r="AF93" i="125" s="1"/>
  <c r="W93" i="125"/>
  <c r="U93" i="125"/>
  <c r="Y93" i="125" s="1"/>
  <c r="P93" i="125"/>
  <c r="N93" i="125"/>
  <c r="M93" i="125" s="1"/>
  <c r="AK92" i="125"/>
  <c r="AI92" i="125"/>
  <c r="AM92" i="125" s="1"/>
  <c r="AD92" i="125"/>
  <c r="AB92" i="125"/>
  <c r="AF92" i="125" s="1"/>
  <c r="W92" i="125"/>
  <c r="U92" i="125"/>
  <c r="P92" i="125"/>
  <c r="N92" i="125"/>
  <c r="Q92" i="125" s="1"/>
  <c r="AK91" i="125"/>
  <c r="AI91" i="125"/>
  <c r="AJ91" i="125" s="1"/>
  <c r="AD91" i="125"/>
  <c r="AB91" i="125"/>
  <c r="AF91" i="125" s="1"/>
  <c r="W91" i="125"/>
  <c r="U91" i="125"/>
  <c r="Z91" i="125" s="1"/>
  <c r="P91" i="125"/>
  <c r="N91" i="125"/>
  <c r="R91" i="125" s="1"/>
  <c r="AK90" i="125"/>
  <c r="AI90" i="125"/>
  <c r="AM90" i="125" s="1"/>
  <c r="AD90" i="125"/>
  <c r="AB90" i="125"/>
  <c r="AA90" i="125" s="1"/>
  <c r="W90" i="125"/>
  <c r="U90" i="125"/>
  <c r="T90" i="125" s="1"/>
  <c r="P90" i="125"/>
  <c r="N90" i="125"/>
  <c r="R90" i="125" s="1"/>
  <c r="AK89" i="125"/>
  <c r="AI89" i="125"/>
  <c r="AM89" i="125" s="1"/>
  <c r="AD89" i="125"/>
  <c r="AB89" i="125"/>
  <c r="AA89" i="125" s="1"/>
  <c r="W89" i="125"/>
  <c r="U89" i="125"/>
  <c r="T89" i="125" s="1"/>
  <c r="P89" i="125"/>
  <c r="N89" i="125"/>
  <c r="R89" i="125" s="1"/>
  <c r="AK87" i="125"/>
  <c r="AI87" i="125"/>
  <c r="AD87" i="125"/>
  <c r="AB87" i="125"/>
  <c r="AE87" i="125" s="1"/>
  <c r="W87" i="125"/>
  <c r="U87" i="125"/>
  <c r="Y87" i="125" s="1"/>
  <c r="P87" i="125"/>
  <c r="N87" i="125"/>
  <c r="AK86" i="125"/>
  <c r="AI86" i="125"/>
  <c r="AJ86" i="125" s="1"/>
  <c r="AD86" i="125"/>
  <c r="AB86" i="125"/>
  <c r="AA86" i="125" s="1"/>
  <c r="W86" i="125"/>
  <c r="U86" i="125"/>
  <c r="Y86" i="125" s="1"/>
  <c r="P86" i="125"/>
  <c r="N86" i="125"/>
  <c r="M86" i="125" s="1"/>
  <c r="AK85" i="125"/>
  <c r="AI85" i="125"/>
  <c r="AM85" i="125" s="1"/>
  <c r="AD85" i="125"/>
  <c r="AB85" i="125"/>
  <c r="AA85" i="125" s="1"/>
  <c r="W85" i="125"/>
  <c r="U85" i="125"/>
  <c r="Z85" i="125" s="1"/>
  <c r="P85" i="125"/>
  <c r="N85" i="125"/>
  <c r="Q85" i="125" s="1"/>
  <c r="AK84" i="125"/>
  <c r="AI84" i="125"/>
  <c r="AM84" i="125" s="1"/>
  <c r="AD84" i="125"/>
  <c r="AB84" i="125"/>
  <c r="W84" i="125"/>
  <c r="U84" i="125"/>
  <c r="Y84" i="125" s="1"/>
  <c r="P84" i="125"/>
  <c r="N84" i="125"/>
  <c r="AK82" i="125"/>
  <c r="AI82" i="125"/>
  <c r="AH82" i="125" s="1"/>
  <c r="AD82" i="125"/>
  <c r="AB82" i="125"/>
  <c r="AF82" i="125" s="1"/>
  <c r="W82" i="125"/>
  <c r="U82" i="125"/>
  <c r="X82" i="125" s="1"/>
  <c r="P82" i="125"/>
  <c r="N82" i="125"/>
  <c r="M82" i="125" s="1"/>
  <c r="AK81" i="125"/>
  <c r="AI81" i="125"/>
  <c r="AH81" i="125" s="1"/>
  <c r="AD81" i="125"/>
  <c r="AB81" i="125"/>
  <c r="AG81" i="125" s="1"/>
  <c r="W81" i="125"/>
  <c r="U81" i="125"/>
  <c r="V81" i="125" s="1"/>
  <c r="P81" i="125"/>
  <c r="N81" i="125"/>
  <c r="O81" i="125" s="1"/>
  <c r="AK80" i="125"/>
  <c r="AI80" i="125"/>
  <c r="AJ80" i="125" s="1"/>
  <c r="AD80" i="125"/>
  <c r="AB80" i="125"/>
  <c r="AA80" i="125" s="1"/>
  <c r="W80" i="125"/>
  <c r="U80" i="125"/>
  <c r="T80" i="125" s="1"/>
  <c r="P80" i="125"/>
  <c r="N80" i="125"/>
  <c r="O80" i="125" s="1"/>
  <c r="AK70" i="125"/>
  <c r="AI70" i="125"/>
  <c r="AH70" i="125" s="1"/>
  <c r="AD70" i="125"/>
  <c r="AB70" i="125"/>
  <c r="AG70" i="125" s="1"/>
  <c r="W70" i="125"/>
  <c r="U70" i="125"/>
  <c r="P70" i="125"/>
  <c r="N70" i="125"/>
  <c r="O70" i="125" s="1"/>
  <c r="AK69" i="125"/>
  <c r="AI69" i="125"/>
  <c r="AH69" i="125" s="1"/>
  <c r="AD69" i="125"/>
  <c r="AB69" i="125"/>
  <c r="W69" i="125"/>
  <c r="U69" i="125"/>
  <c r="X69" i="125" s="1"/>
  <c r="P69" i="125"/>
  <c r="N69" i="125"/>
  <c r="O69" i="125" s="1"/>
  <c r="AK68" i="125"/>
  <c r="AI68" i="125"/>
  <c r="AJ68" i="125" s="1"/>
  <c r="AD68" i="125"/>
  <c r="AB68" i="125"/>
  <c r="AC68" i="125" s="1"/>
  <c r="W68" i="125"/>
  <c r="U68" i="125"/>
  <c r="T68" i="125" s="1"/>
  <c r="P68" i="125"/>
  <c r="N68" i="125"/>
  <c r="R68" i="125" s="1"/>
  <c r="AK67" i="125"/>
  <c r="AI67" i="125"/>
  <c r="AM67" i="125" s="1"/>
  <c r="AD67" i="125"/>
  <c r="AB67" i="125"/>
  <c r="W67" i="125"/>
  <c r="U67" i="125"/>
  <c r="V67" i="125" s="1"/>
  <c r="P67" i="125"/>
  <c r="N67" i="125"/>
  <c r="R67" i="125" s="1"/>
  <c r="AK65" i="125"/>
  <c r="AI65" i="125"/>
  <c r="AM65" i="125" s="1"/>
  <c r="AD65" i="125"/>
  <c r="AB65" i="125"/>
  <c r="AA65" i="125" s="1"/>
  <c r="W65" i="125"/>
  <c r="U65" i="125"/>
  <c r="V65" i="125" s="1"/>
  <c r="P65" i="125"/>
  <c r="N65" i="125"/>
  <c r="S65" i="125" s="1"/>
  <c r="AK64" i="125"/>
  <c r="AI64" i="125"/>
  <c r="AN64" i="125" s="1"/>
  <c r="AD64" i="125"/>
  <c r="AB64" i="125"/>
  <c r="W64" i="125"/>
  <c r="U64" i="125"/>
  <c r="Y64" i="125" s="1"/>
  <c r="P64" i="125"/>
  <c r="N64" i="125"/>
  <c r="O64" i="125" s="1"/>
  <c r="AK63" i="125"/>
  <c r="AI63" i="125"/>
  <c r="AD63" i="125"/>
  <c r="AB63" i="125"/>
  <c r="AG63" i="125" s="1"/>
  <c r="W63" i="125"/>
  <c r="U63" i="125"/>
  <c r="T63" i="125" s="1"/>
  <c r="P63" i="125"/>
  <c r="N63" i="125"/>
  <c r="S63" i="125" s="1"/>
  <c r="R62" i="125"/>
  <c r="AK61" i="125"/>
  <c r="AI61" i="125"/>
  <c r="AN61" i="125" s="1"/>
  <c r="AD61" i="125"/>
  <c r="AB61" i="125"/>
  <c r="AC61" i="125" s="1"/>
  <c r="W61" i="125"/>
  <c r="U61" i="125"/>
  <c r="V61" i="125" s="1"/>
  <c r="P61" i="125"/>
  <c r="N61" i="125"/>
  <c r="R61" i="125" s="1"/>
  <c r="AK60" i="125"/>
  <c r="AI60" i="125"/>
  <c r="AD60" i="125"/>
  <c r="AB60" i="125"/>
  <c r="AG60" i="125" s="1"/>
  <c r="W60" i="125"/>
  <c r="U60" i="125"/>
  <c r="V60" i="125" s="1"/>
  <c r="P60" i="125"/>
  <c r="N60" i="125"/>
  <c r="M60" i="125" s="1"/>
  <c r="AK59" i="125"/>
  <c r="AI59" i="125"/>
  <c r="AH59" i="125" s="1"/>
  <c r="AD59" i="125"/>
  <c r="AB59" i="125"/>
  <c r="AC59" i="125" s="1"/>
  <c r="W59" i="125"/>
  <c r="U59" i="125"/>
  <c r="Y59" i="125" s="1"/>
  <c r="P59" i="125"/>
  <c r="N59" i="125"/>
  <c r="M59" i="125" s="1"/>
  <c r="AK49" i="125"/>
  <c r="AI49" i="125"/>
  <c r="AJ49" i="125" s="1"/>
  <c r="AD49" i="125"/>
  <c r="AB49" i="125"/>
  <c r="AG49" i="125" s="1"/>
  <c r="W49" i="125"/>
  <c r="U49" i="125"/>
  <c r="T49" i="125" s="1"/>
  <c r="P49" i="125"/>
  <c r="N49" i="125"/>
  <c r="M49" i="125" s="1"/>
  <c r="AK48" i="125"/>
  <c r="AI48" i="125"/>
  <c r="AH48" i="125" s="1"/>
  <c r="AD48" i="125"/>
  <c r="AB48" i="125"/>
  <c r="AA48" i="125" s="1"/>
  <c r="W48" i="125"/>
  <c r="U48" i="125"/>
  <c r="Z48" i="125" s="1"/>
  <c r="P48" i="125"/>
  <c r="N48" i="125"/>
  <c r="S48" i="125" s="1"/>
  <c r="AK47" i="125"/>
  <c r="AI47" i="125"/>
  <c r="AN47" i="125" s="1"/>
  <c r="AD47" i="125"/>
  <c r="AB47" i="125"/>
  <c r="AF47" i="125" s="1"/>
  <c r="W47" i="125"/>
  <c r="U47" i="125"/>
  <c r="V47" i="125" s="1"/>
  <c r="P47" i="125"/>
  <c r="N47" i="125"/>
  <c r="O47" i="125" s="1"/>
  <c r="AK46" i="125"/>
  <c r="AI46" i="125"/>
  <c r="AN46" i="125" s="1"/>
  <c r="AD46" i="125"/>
  <c r="AB46" i="125"/>
  <c r="AA46" i="125" s="1"/>
  <c r="W46" i="125"/>
  <c r="U46" i="125"/>
  <c r="T46" i="125" s="1"/>
  <c r="P46" i="125"/>
  <c r="N46" i="125"/>
  <c r="M46" i="125" s="1"/>
  <c r="AK44" i="125"/>
  <c r="AI44" i="125"/>
  <c r="AH44" i="125" s="1"/>
  <c r="AD44" i="125"/>
  <c r="AB44" i="125"/>
  <c r="AG44" i="125" s="1"/>
  <c r="W44" i="125"/>
  <c r="U44" i="125"/>
  <c r="Z44" i="125" s="1"/>
  <c r="P44" i="125"/>
  <c r="N44" i="125"/>
  <c r="R44" i="125" s="1"/>
  <c r="AK43" i="125"/>
  <c r="AI43" i="125"/>
  <c r="AM43" i="125" s="1"/>
  <c r="AD43" i="125"/>
  <c r="AB43" i="125"/>
  <c r="AC43" i="125" s="1"/>
  <c r="W43" i="125"/>
  <c r="U43" i="125"/>
  <c r="Z43" i="125" s="1"/>
  <c r="P43" i="125"/>
  <c r="N43" i="125"/>
  <c r="M43" i="125" s="1"/>
  <c r="AK42" i="125"/>
  <c r="AI42" i="125"/>
  <c r="AH42" i="125" s="1"/>
  <c r="AD42" i="125"/>
  <c r="AB42" i="125"/>
  <c r="AA42" i="125" s="1"/>
  <c r="W42" i="125"/>
  <c r="U42" i="125"/>
  <c r="T42" i="125" s="1"/>
  <c r="P42" i="125"/>
  <c r="N42" i="125"/>
  <c r="S42" i="125" s="1"/>
  <c r="AK40" i="125"/>
  <c r="AI40" i="125"/>
  <c r="AN40" i="125" s="1"/>
  <c r="AD40" i="125"/>
  <c r="AB40" i="125"/>
  <c r="AG40" i="125" s="1"/>
  <c r="W40" i="125"/>
  <c r="U40" i="125"/>
  <c r="Y40" i="125" s="1"/>
  <c r="P40" i="125"/>
  <c r="N40" i="125"/>
  <c r="O40" i="125" s="1"/>
  <c r="AK39" i="125"/>
  <c r="AI39" i="125"/>
  <c r="AJ39" i="125" s="1"/>
  <c r="AD39" i="125"/>
  <c r="AB39" i="125"/>
  <c r="AC39" i="125" s="1"/>
  <c r="W39" i="125"/>
  <c r="U39" i="125"/>
  <c r="T39" i="125" s="1"/>
  <c r="P39" i="125"/>
  <c r="N39" i="125"/>
  <c r="M39" i="125" s="1"/>
  <c r="AK38" i="125"/>
  <c r="AI38" i="125"/>
  <c r="AH38" i="125" s="1"/>
  <c r="AD38" i="125"/>
  <c r="AB38" i="125"/>
  <c r="AA38" i="125" s="1"/>
  <c r="W38" i="125"/>
  <c r="U38" i="125"/>
  <c r="Z38" i="125" s="1"/>
  <c r="P38" i="125"/>
  <c r="N38" i="125"/>
  <c r="S38" i="125" s="1"/>
  <c r="AK36" i="125"/>
  <c r="AI36" i="125"/>
  <c r="AN36" i="125" s="1"/>
  <c r="AD36" i="125"/>
  <c r="AB36" i="125"/>
  <c r="AF36" i="125" s="1"/>
  <c r="W36" i="125"/>
  <c r="U36" i="125"/>
  <c r="V36" i="125" s="1"/>
  <c r="P36" i="125"/>
  <c r="N36" i="125"/>
  <c r="O36" i="125" s="1"/>
  <c r="AK35" i="125"/>
  <c r="AI35" i="125"/>
  <c r="AJ35" i="125" s="1"/>
  <c r="AD35" i="125"/>
  <c r="AB35" i="125"/>
  <c r="AA35" i="125" s="1"/>
  <c r="W35" i="125"/>
  <c r="U35" i="125"/>
  <c r="T35" i="125" s="1"/>
  <c r="P35" i="125"/>
  <c r="N35" i="125"/>
  <c r="M35" i="125" s="1"/>
  <c r="AK34" i="125"/>
  <c r="AI34" i="125"/>
  <c r="AH34" i="125" s="1"/>
  <c r="AD34" i="125"/>
  <c r="AB34" i="125"/>
  <c r="AG34" i="125" s="1"/>
  <c r="W34" i="125"/>
  <c r="U34" i="125"/>
  <c r="Z34" i="125" s="1"/>
  <c r="P34" i="125"/>
  <c r="N34" i="125"/>
  <c r="R34" i="125" s="1"/>
  <c r="AK33" i="125"/>
  <c r="AI33" i="125"/>
  <c r="AM33" i="125" s="1"/>
  <c r="AD33" i="125"/>
  <c r="AB33" i="125"/>
  <c r="AC33" i="125" s="1"/>
  <c r="W33" i="125"/>
  <c r="U33" i="125"/>
  <c r="V33" i="125" s="1"/>
  <c r="P33" i="125"/>
  <c r="N33" i="125"/>
  <c r="M33" i="125" s="1"/>
  <c r="AK32" i="125"/>
  <c r="AI32" i="125"/>
  <c r="AH32" i="125" s="1"/>
  <c r="AD32" i="125"/>
  <c r="AB32" i="125"/>
  <c r="AA32" i="125" s="1"/>
  <c r="W32" i="125"/>
  <c r="U32" i="125"/>
  <c r="T32" i="125" s="1"/>
  <c r="P32" i="125"/>
  <c r="N32" i="125"/>
  <c r="S32" i="125" s="1"/>
  <c r="AK31" i="125"/>
  <c r="AI31" i="125"/>
  <c r="AN31" i="125" s="1"/>
  <c r="AD31" i="125"/>
  <c r="AB31" i="125"/>
  <c r="AG31" i="125" s="1"/>
  <c r="W31" i="125"/>
  <c r="U31" i="125"/>
  <c r="Y31" i="125" s="1"/>
  <c r="P31" i="125"/>
  <c r="N31" i="125"/>
  <c r="O31" i="125" s="1"/>
  <c r="R30" i="125"/>
  <c r="L18" i="125"/>
  <c r="L17" i="125"/>
  <c r="L15" i="125"/>
  <c r="L14" i="125"/>
  <c r="L13" i="125"/>
  <c r="AK87" i="124"/>
  <c r="AI87" i="124"/>
  <c r="AN87" i="124" s="1"/>
  <c r="AD87" i="124"/>
  <c r="AB87" i="124"/>
  <c r="AF87" i="124" s="1"/>
  <c r="Z87" i="124"/>
  <c r="Y87" i="124"/>
  <c r="W87" i="124"/>
  <c r="U87" i="124"/>
  <c r="X87" i="124" s="1"/>
  <c r="P87" i="124"/>
  <c r="N87" i="124"/>
  <c r="O87" i="124" s="1"/>
  <c r="M87" i="124"/>
  <c r="AM86" i="124"/>
  <c r="AK86" i="124"/>
  <c r="AI86" i="124"/>
  <c r="AJ86" i="124" s="1"/>
  <c r="AD86" i="124"/>
  <c r="AB86" i="124"/>
  <c r="AC86" i="124" s="1"/>
  <c r="W86" i="124"/>
  <c r="V86" i="124"/>
  <c r="U86" i="124"/>
  <c r="T86" i="124" s="1"/>
  <c r="Q86" i="124"/>
  <c r="P86" i="124"/>
  <c r="N86" i="124"/>
  <c r="M86" i="124" s="1"/>
  <c r="AK85" i="124"/>
  <c r="AJ85" i="124"/>
  <c r="AI85" i="124"/>
  <c r="AH85" i="124" s="1"/>
  <c r="AD85" i="124"/>
  <c r="AB85" i="124"/>
  <c r="AG85" i="124" s="1"/>
  <c r="W85" i="124"/>
  <c r="U85" i="124"/>
  <c r="Z85" i="124" s="1"/>
  <c r="P85" i="124"/>
  <c r="N85" i="124"/>
  <c r="R85" i="124" s="1"/>
  <c r="AK84" i="124"/>
  <c r="AI84" i="124"/>
  <c r="AM84" i="124" s="1"/>
  <c r="AD84" i="124"/>
  <c r="AB84" i="124"/>
  <c r="AE84" i="124" s="1"/>
  <c r="AA84" i="124"/>
  <c r="Y84" i="124"/>
  <c r="W84" i="124"/>
  <c r="U84" i="124"/>
  <c r="T84" i="124" s="1"/>
  <c r="P84" i="124"/>
  <c r="N84" i="124"/>
  <c r="O84" i="124" s="1"/>
  <c r="AL83" i="124"/>
  <c r="AK83" i="124"/>
  <c r="AI83" i="124"/>
  <c r="AJ83" i="124" s="1"/>
  <c r="AG83" i="124"/>
  <c r="AF83" i="124"/>
  <c r="AD83" i="124"/>
  <c r="AC83" i="124"/>
  <c r="AB83" i="124"/>
  <c r="AE83" i="124" s="1"/>
  <c r="AA83" i="124"/>
  <c r="W83" i="124"/>
  <c r="U83" i="124"/>
  <c r="T83" i="124" s="1"/>
  <c r="P83" i="124"/>
  <c r="N83" i="124"/>
  <c r="S83" i="124" s="1"/>
  <c r="AK82" i="124"/>
  <c r="AI82" i="124"/>
  <c r="AN82" i="124" s="1"/>
  <c r="AF82" i="124"/>
  <c r="AE82" i="124"/>
  <c r="AD82" i="124"/>
  <c r="AC82" i="124"/>
  <c r="AB82" i="124"/>
  <c r="AG82" i="124" s="1"/>
  <c r="AA82" i="124"/>
  <c r="W82" i="124"/>
  <c r="U82" i="124"/>
  <c r="Y82" i="124" s="1"/>
  <c r="P82" i="124"/>
  <c r="N82" i="124"/>
  <c r="Q82" i="124" s="1"/>
  <c r="M82" i="124"/>
  <c r="AN81" i="124"/>
  <c r="AK81" i="124"/>
  <c r="AI81" i="124"/>
  <c r="AL81" i="124" s="1"/>
  <c r="AH81" i="124"/>
  <c r="AE81" i="124"/>
  <c r="AD81" i="124"/>
  <c r="AB81" i="124"/>
  <c r="AC81" i="124" s="1"/>
  <c r="W81" i="124"/>
  <c r="U81" i="124"/>
  <c r="V81" i="124" s="1"/>
  <c r="S81" i="124"/>
  <c r="P81" i="124"/>
  <c r="N81" i="124"/>
  <c r="Q81" i="124" s="1"/>
  <c r="M81" i="124"/>
  <c r="AM80" i="124"/>
  <c r="AK80" i="124"/>
  <c r="AI80" i="124"/>
  <c r="AL80" i="124" s="1"/>
  <c r="AD80" i="124"/>
  <c r="AB80" i="124"/>
  <c r="AA80" i="124" s="1"/>
  <c r="W80" i="124"/>
  <c r="U80" i="124"/>
  <c r="Z80" i="124" s="1"/>
  <c r="P80" i="124"/>
  <c r="O80" i="124"/>
  <c r="N80" i="124"/>
  <c r="S80" i="124" s="1"/>
  <c r="M80" i="124"/>
  <c r="R79" i="124"/>
  <c r="R55" i="124"/>
  <c r="AK54" i="124"/>
  <c r="AI54" i="124"/>
  <c r="AN54" i="124" s="1"/>
  <c r="AD54" i="124"/>
  <c r="AB54" i="124"/>
  <c r="AG54" i="124" s="1"/>
  <c r="W54" i="124"/>
  <c r="U54" i="124"/>
  <c r="Y54" i="124" s="1"/>
  <c r="P54" i="124"/>
  <c r="N54" i="124"/>
  <c r="O54" i="124" s="1"/>
  <c r="AK53" i="124"/>
  <c r="AI53" i="124"/>
  <c r="AJ53" i="124" s="1"/>
  <c r="AD53" i="124"/>
  <c r="AB53" i="124"/>
  <c r="AA53" i="124" s="1"/>
  <c r="W53" i="124"/>
  <c r="U53" i="124"/>
  <c r="V53" i="124" s="1"/>
  <c r="P53" i="124"/>
  <c r="N53" i="124"/>
  <c r="S53" i="124" s="1"/>
  <c r="AK52" i="124"/>
  <c r="AI52" i="124"/>
  <c r="AN52" i="124" s="1"/>
  <c r="AD52" i="124"/>
  <c r="AB52" i="124"/>
  <c r="AC52" i="124" s="1"/>
  <c r="W52" i="124"/>
  <c r="U52" i="124"/>
  <c r="Y52" i="124" s="1"/>
  <c r="P52" i="124"/>
  <c r="N52" i="124"/>
  <c r="S52" i="124" s="1"/>
  <c r="AK51" i="124"/>
  <c r="AI51" i="124"/>
  <c r="AN51" i="124" s="1"/>
  <c r="AD51" i="124"/>
  <c r="AB51" i="124"/>
  <c r="AF51" i="124" s="1"/>
  <c r="W51" i="124"/>
  <c r="U51" i="124"/>
  <c r="Z51" i="124" s="1"/>
  <c r="P51" i="124"/>
  <c r="N51" i="124"/>
  <c r="M51" i="124" s="1"/>
  <c r="AK50" i="124"/>
  <c r="AI50" i="124"/>
  <c r="AH50" i="124" s="1"/>
  <c r="AD50" i="124"/>
  <c r="AB50" i="124"/>
  <c r="AC50" i="124" s="1"/>
  <c r="W50" i="124"/>
  <c r="U50" i="124"/>
  <c r="Z50" i="124" s="1"/>
  <c r="P50" i="124"/>
  <c r="N50" i="124"/>
  <c r="M50" i="124" s="1"/>
  <c r="AK49" i="124"/>
  <c r="AI49" i="124"/>
  <c r="AH49" i="124" s="1"/>
  <c r="AD49" i="124"/>
  <c r="AB49" i="124"/>
  <c r="AF49" i="124" s="1"/>
  <c r="W49" i="124"/>
  <c r="U49" i="124"/>
  <c r="Z49" i="124" s="1"/>
  <c r="P49" i="124"/>
  <c r="N49" i="124"/>
  <c r="R49" i="124" s="1"/>
  <c r="AK48" i="124"/>
  <c r="AI48" i="124"/>
  <c r="AM48" i="124" s="1"/>
  <c r="AD48" i="124"/>
  <c r="AB48" i="124"/>
  <c r="AG48" i="124" s="1"/>
  <c r="W48" i="124"/>
  <c r="U48" i="124"/>
  <c r="T48" i="124" s="1"/>
  <c r="P48" i="124"/>
  <c r="N48" i="124"/>
  <c r="O48" i="124" s="1"/>
  <c r="AK47" i="124"/>
  <c r="AI47" i="124"/>
  <c r="AJ47" i="124" s="1"/>
  <c r="AD47" i="124"/>
  <c r="AB47" i="124"/>
  <c r="AG47" i="124" s="1"/>
  <c r="W47" i="124"/>
  <c r="U47" i="124"/>
  <c r="T47" i="124" s="1"/>
  <c r="P47" i="124"/>
  <c r="N47" i="124"/>
  <c r="S47" i="124" s="1"/>
  <c r="R46" i="124"/>
  <c r="Q68" i="126" l="1"/>
  <c r="R70" i="126"/>
  <c r="O72" i="126"/>
  <c r="T68" i="126"/>
  <c r="AE69" i="126"/>
  <c r="V70" i="126"/>
  <c r="M71" i="126"/>
  <c r="AH71" i="126"/>
  <c r="S72" i="126"/>
  <c r="AA73" i="126"/>
  <c r="AC51" i="126"/>
  <c r="T69" i="126"/>
  <c r="Z70" i="126"/>
  <c r="AM72" i="126"/>
  <c r="AA67" i="126"/>
  <c r="M68" i="126"/>
  <c r="AA68" i="126"/>
  <c r="AN69" i="126"/>
  <c r="T71" i="126"/>
  <c r="AL71" i="126"/>
  <c r="X72" i="126"/>
  <c r="Q67" i="126"/>
  <c r="AL67" i="126"/>
  <c r="AM69" i="126"/>
  <c r="AJ71" i="126"/>
  <c r="Q72" i="126"/>
  <c r="AC72" i="126"/>
  <c r="AN72" i="126"/>
  <c r="X73" i="126"/>
  <c r="V67" i="126"/>
  <c r="AG70" i="126"/>
  <c r="AE72" i="126"/>
  <c r="AF67" i="126"/>
  <c r="V69" i="126"/>
  <c r="AF69" i="126"/>
  <c r="O70" i="126"/>
  <c r="Y70" i="126"/>
  <c r="AH70" i="126"/>
  <c r="AN71" i="126"/>
  <c r="R73" i="126"/>
  <c r="X67" i="126"/>
  <c r="S73" i="126"/>
  <c r="Y67" i="126"/>
  <c r="AH67" i="126"/>
  <c r="X69" i="126"/>
  <c r="AJ69" i="126"/>
  <c r="Q70" i="126"/>
  <c r="AA70" i="126"/>
  <c r="Y72" i="126"/>
  <c r="T73" i="126"/>
  <c r="AH73" i="126"/>
  <c r="Z67" i="126"/>
  <c r="AL69" i="126"/>
  <c r="S70" i="126"/>
  <c r="AC70" i="126"/>
  <c r="AJ68" i="126"/>
  <c r="O67" i="126"/>
  <c r="AM67" i="126"/>
  <c r="R68" i="126"/>
  <c r="Z68" i="126"/>
  <c r="AH68" i="126"/>
  <c r="M69" i="126"/>
  <c r="AC69" i="126"/>
  <c r="X70" i="126"/>
  <c r="AN70" i="126"/>
  <c r="S71" i="126"/>
  <c r="AA71" i="126"/>
  <c r="V72" i="126"/>
  <c r="AL72" i="126"/>
  <c r="Q73" i="126"/>
  <c r="Y73" i="126"/>
  <c r="AG73" i="126"/>
  <c r="R67" i="126"/>
  <c r="AC68" i="126"/>
  <c r="V71" i="126"/>
  <c r="AJ73" i="126"/>
  <c r="S67" i="126"/>
  <c r="V68" i="126"/>
  <c r="AL68" i="126"/>
  <c r="Q69" i="126"/>
  <c r="AG69" i="126"/>
  <c r="AJ70" i="126"/>
  <c r="O71" i="126"/>
  <c r="AE71" i="126"/>
  <c r="Z72" i="126"/>
  <c r="AH72" i="126"/>
  <c r="M73" i="126"/>
  <c r="AC73" i="126"/>
  <c r="O69" i="126"/>
  <c r="AE68" i="126"/>
  <c r="AM68" i="126"/>
  <c r="R69" i="126"/>
  <c r="X71" i="126"/>
  <c r="AF71" i="126"/>
  <c r="AL73" i="126"/>
  <c r="AC71" i="126"/>
  <c r="X68" i="126"/>
  <c r="AF68" i="126"/>
  <c r="AL70" i="126"/>
  <c r="Q71" i="126"/>
  <c r="Y71" i="126"/>
  <c r="AE73" i="126"/>
  <c r="AM73" i="126"/>
  <c r="Q50" i="126"/>
  <c r="S50" i="126"/>
  <c r="Y54" i="126"/>
  <c r="AL52" i="126"/>
  <c r="Z53" i="126"/>
  <c r="AN52" i="126"/>
  <c r="AA51" i="126"/>
  <c r="M49" i="126"/>
  <c r="R50" i="126"/>
  <c r="V52" i="126"/>
  <c r="AH49" i="126"/>
  <c r="AA55" i="126"/>
  <c r="V53" i="126"/>
  <c r="AC50" i="126"/>
  <c r="M50" i="126"/>
  <c r="Z50" i="126"/>
  <c r="AC49" i="126"/>
  <c r="AA49" i="126"/>
  <c r="AA50" i="126"/>
  <c r="Y53" i="126"/>
  <c r="AC52" i="126"/>
  <c r="O55" i="126"/>
  <c r="AN50" i="126"/>
  <c r="AC55" i="126"/>
  <c r="AE52" i="126"/>
  <c r="R55" i="126"/>
  <c r="AM49" i="126"/>
  <c r="AF52" i="126"/>
  <c r="Q53" i="126"/>
  <c r="AA53" i="126"/>
  <c r="T54" i="126"/>
  <c r="AJ54" i="126"/>
  <c r="S55" i="126"/>
  <c r="AH55" i="126"/>
  <c r="O49" i="126"/>
  <c r="AE49" i="126"/>
  <c r="AN49" i="126"/>
  <c r="AE50" i="126"/>
  <c r="S51" i="126"/>
  <c r="AF51" i="126"/>
  <c r="X52" i="126"/>
  <c r="AG52" i="126"/>
  <c r="S53" i="126"/>
  <c r="AL49" i="126"/>
  <c r="AF49" i="126"/>
  <c r="X50" i="126"/>
  <c r="AF50" i="126"/>
  <c r="Y52" i="126"/>
  <c r="T53" i="126"/>
  <c r="V54" i="126"/>
  <c r="AL54" i="126"/>
  <c r="Y50" i="126"/>
  <c r="V51" i="126"/>
  <c r="AG53" i="126"/>
  <c r="AM54" i="126"/>
  <c r="M55" i="126"/>
  <c r="Z55" i="126"/>
  <c r="AA30" i="126"/>
  <c r="V49" i="126"/>
  <c r="T51" i="126"/>
  <c r="AJ51" i="126"/>
  <c r="O52" i="126"/>
  <c r="AM52" i="126"/>
  <c r="R53" i="126"/>
  <c r="AH53" i="126"/>
  <c r="M54" i="126"/>
  <c r="AC54" i="126"/>
  <c r="AH50" i="126"/>
  <c r="M51" i="126"/>
  <c r="T55" i="126"/>
  <c r="AJ55" i="126"/>
  <c r="X49" i="126"/>
  <c r="AL51" i="126"/>
  <c r="Q52" i="126"/>
  <c r="AJ53" i="126"/>
  <c r="O54" i="126"/>
  <c r="AE54" i="126"/>
  <c r="AG39" i="126"/>
  <c r="M79" i="126"/>
  <c r="Q49" i="126"/>
  <c r="Y49" i="126"/>
  <c r="T50" i="126"/>
  <c r="AJ50" i="126"/>
  <c r="O51" i="126"/>
  <c r="AE51" i="126"/>
  <c r="AM51" i="126"/>
  <c r="R52" i="126"/>
  <c r="Z52" i="126"/>
  <c r="AH52" i="126"/>
  <c r="M53" i="126"/>
  <c r="AC53" i="126"/>
  <c r="X54" i="126"/>
  <c r="AF54" i="126"/>
  <c r="AN54" i="126"/>
  <c r="V55" i="126"/>
  <c r="AL55" i="126"/>
  <c r="AF41" i="126"/>
  <c r="R49" i="126"/>
  <c r="Z49" i="126"/>
  <c r="X51" i="126"/>
  <c r="AN51" i="126"/>
  <c r="S52" i="126"/>
  <c r="AL53" i="126"/>
  <c r="Q54" i="126"/>
  <c r="AG54" i="126"/>
  <c r="AE55" i="126"/>
  <c r="AM55" i="126"/>
  <c r="AL50" i="126"/>
  <c r="Q51" i="126"/>
  <c r="Y51" i="126"/>
  <c r="AE53" i="126"/>
  <c r="AM53" i="126"/>
  <c r="R54" i="126"/>
  <c r="X55" i="126"/>
  <c r="AF55" i="126"/>
  <c r="AH57" i="126"/>
  <c r="Z85" i="126"/>
  <c r="AG81" i="126"/>
  <c r="AA81" i="126"/>
  <c r="Y44" i="126"/>
  <c r="S33" i="126"/>
  <c r="M40" i="126"/>
  <c r="AN40" i="126"/>
  <c r="AG45" i="126"/>
  <c r="S84" i="126"/>
  <c r="Z58" i="126"/>
  <c r="AH79" i="126"/>
  <c r="AE45" i="126"/>
  <c r="AG63" i="126"/>
  <c r="AM78" i="126"/>
  <c r="M82" i="126"/>
  <c r="AH82" i="126"/>
  <c r="AH30" i="126"/>
  <c r="AH39" i="126"/>
  <c r="T57" i="126"/>
  <c r="AH59" i="126"/>
  <c r="AF84" i="126"/>
  <c r="AA85" i="126"/>
  <c r="Q35" i="126"/>
  <c r="AJ32" i="126"/>
  <c r="AA33" i="126"/>
  <c r="T37" i="126"/>
  <c r="AM46" i="126"/>
  <c r="AH78" i="126"/>
  <c r="T79" i="126"/>
  <c r="M80" i="126"/>
  <c r="AF81" i="126"/>
  <c r="AM32" i="126"/>
  <c r="AG41" i="126"/>
  <c r="AN60" i="126"/>
  <c r="AJ78" i="126"/>
  <c r="AF63" i="126"/>
  <c r="AF82" i="126"/>
  <c r="AH31" i="126"/>
  <c r="AG34" i="126"/>
  <c r="AA37" i="126"/>
  <c r="AM37" i="126"/>
  <c r="AL40" i="126"/>
  <c r="AE41" i="126"/>
  <c r="AL46" i="126"/>
  <c r="AH47" i="126"/>
  <c r="AN57" i="126"/>
  <c r="AN78" i="126"/>
  <c r="AE81" i="126"/>
  <c r="AG82" i="126"/>
  <c r="AE84" i="126"/>
  <c r="AC30" i="126"/>
  <c r="AG35" i="126"/>
  <c r="AE37" i="126"/>
  <c r="Q39" i="126"/>
  <c r="AG64" i="126"/>
  <c r="AL31" i="126"/>
  <c r="AH35" i="126"/>
  <c r="V37" i="126"/>
  <c r="AF37" i="126"/>
  <c r="S39" i="126"/>
  <c r="AH40" i="126"/>
  <c r="AJ41" i="126"/>
  <c r="X42" i="126"/>
  <c r="AH46" i="126"/>
  <c r="AL47" i="126"/>
  <c r="AJ57" i="126"/>
  <c r="Z62" i="126"/>
  <c r="AH64" i="126"/>
  <c r="S79" i="126"/>
  <c r="AA82" i="126"/>
  <c r="AN82" i="126"/>
  <c r="AJ83" i="126"/>
  <c r="AA84" i="126"/>
  <c r="AN84" i="126"/>
  <c r="AE30" i="126"/>
  <c r="AN31" i="126"/>
  <c r="Z42" i="126"/>
  <c r="AM47" i="126"/>
  <c r="AM79" i="126"/>
  <c r="AM81" i="126"/>
  <c r="AJ31" i="126"/>
  <c r="AG30" i="126"/>
  <c r="R35" i="126"/>
  <c r="AJ36" i="126"/>
  <c r="X37" i="126"/>
  <c r="AJ40" i="126"/>
  <c r="AM41" i="126"/>
  <c r="X44" i="126"/>
  <c r="AJ46" i="126"/>
  <c r="AN47" i="126"/>
  <c r="AL57" i="126"/>
  <c r="AA58" i="126"/>
  <c r="AM60" i="126"/>
  <c r="AN79" i="126"/>
  <c r="AN81" i="126"/>
  <c r="M84" i="126"/>
  <c r="AC84" i="126"/>
  <c r="Z37" i="126"/>
  <c r="AL37" i="126"/>
  <c r="AN41" i="126"/>
  <c r="AC79" i="126"/>
  <c r="AA79" i="126"/>
  <c r="AE79" i="126"/>
  <c r="AG79" i="126"/>
  <c r="AF79" i="126"/>
  <c r="AA31" i="126"/>
  <c r="AC31" i="126"/>
  <c r="Y80" i="126"/>
  <c r="T80" i="126"/>
  <c r="Z80" i="126"/>
  <c r="V82" i="126"/>
  <c r="X82" i="126"/>
  <c r="Z82" i="126"/>
  <c r="Y82" i="126"/>
  <c r="V84" i="126"/>
  <c r="Z84" i="126"/>
  <c r="Y84" i="126"/>
  <c r="X84" i="126"/>
  <c r="AL45" i="126"/>
  <c r="AN45" i="126"/>
  <c r="AM45" i="126"/>
  <c r="AJ45" i="126"/>
  <c r="R65" i="126"/>
  <c r="M65" i="126"/>
  <c r="AC60" i="126"/>
  <c r="AG60" i="126"/>
  <c r="AF60" i="126"/>
  <c r="AE60" i="126"/>
  <c r="R36" i="126"/>
  <c r="M36" i="126"/>
  <c r="S36" i="126"/>
  <c r="O58" i="126"/>
  <c r="R58" i="126"/>
  <c r="Q58" i="126"/>
  <c r="Z64" i="126"/>
  <c r="V64" i="126"/>
  <c r="X64" i="126"/>
  <c r="V34" i="126"/>
  <c r="Q42" i="126"/>
  <c r="S42" i="126"/>
  <c r="R42" i="126"/>
  <c r="O60" i="126"/>
  <c r="S60" i="126"/>
  <c r="R60" i="126"/>
  <c r="Q60" i="126"/>
  <c r="R83" i="126"/>
  <c r="M83" i="126"/>
  <c r="S83" i="126"/>
  <c r="Q85" i="126"/>
  <c r="S85" i="126"/>
  <c r="R85" i="126"/>
  <c r="AA32" i="126"/>
  <c r="AC32" i="126"/>
  <c r="AG32" i="126"/>
  <c r="AF32" i="126"/>
  <c r="AE32" i="126"/>
  <c r="AJ34" i="126"/>
  <c r="AM34" i="126"/>
  <c r="AL34" i="126"/>
  <c r="O42" i="126"/>
  <c r="AF44" i="126"/>
  <c r="AA44" i="126"/>
  <c r="AG44" i="126"/>
  <c r="AE44" i="126"/>
  <c r="AC78" i="126"/>
  <c r="AA40" i="126"/>
  <c r="AC40" i="126"/>
  <c r="AC44" i="126"/>
  <c r="T64" i="126"/>
  <c r="O32" i="126"/>
  <c r="AN32" i="126"/>
  <c r="AA34" i="126"/>
  <c r="AJ35" i="126"/>
  <c r="AN37" i="126"/>
  <c r="AA39" i="126"/>
  <c r="AA42" i="126"/>
  <c r="AA45" i="126"/>
  <c r="V57" i="126"/>
  <c r="AC58" i="126"/>
  <c r="AJ59" i="126"/>
  <c r="AA63" i="126"/>
  <c r="AJ64" i="126"/>
  <c r="V81" i="126"/>
  <c r="AC85" i="126"/>
  <c r="Q47" i="126"/>
  <c r="AL63" i="126"/>
  <c r="O79" i="126"/>
  <c r="X79" i="126"/>
  <c r="AH81" i="126"/>
  <c r="O84" i="126"/>
  <c r="Q32" i="126"/>
  <c r="AC34" i="126"/>
  <c r="M35" i="126"/>
  <c r="AC35" i="126"/>
  <c r="AL35" i="126"/>
  <c r="AC39" i="126"/>
  <c r="T42" i="126"/>
  <c r="R47" i="126"/>
  <c r="X57" i="126"/>
  <c r="AE58" i="126"/>
  <c r="AL59" i="126"/>
  <c r="AC63" i="126"/>
  <c r="AM63" i="126"/>
  <c r="AL64" i="126"/>
  <c r="AC65" i="126"/>
  <c r="Y79" i="126"/>
  <c r="R80" i="126"/>
  <c r="Q82" i="126"/>
  <c r="S32" i="126"/>
  <c r="AN35" i="126"/>
  <c r="Y57" i="126"/>
  <c r="AG58" i="126"/>
  <c r="AM59" i="126"/>
  <c r="AN64" i="126"/>
  <c r="Q79" i="126"/>
  <c r="Z79" i="126"/>
  <c r="S80" i="126"/>
  <c r="R82" i="126"/>
  <c r="Q84" i="126"/>
  <c r="V85" i="126"/>
  <c r="AE34" i="126"/>
  <c r="AF35" i="126"/>
  <c r="R39" i="126"/>
  <c r="AE39" i="126"/>
  <c r="V42" i="126"/>
  <c r="AJ42" i="126"/>
  <c r="AF45" i="126"/>
  <c r="Y58" i="126"/>
  <c r="X62" i="126"/>
  <c r="AF64" i="126"/>
  <c r="AL81" i="126"/>
  <c r="S82" i="126"/>
  <c r="AC82" i="126"/>
  <c r="AM84" i="126"/>
  <c r="O65" i="126"/>
  <c r="S58" i="126"/>
  <c r="X60" i="126"/>
  <c r="R62" i="126"/>
  <c r="Y64" i="126"/>
  <c r="Y60" i="126"/>
  <c r="S62" i="126"/>
  <c r="Q64" i="126"/>
  <c r="Q65" i="126"/>
  <c r="M58" i="126"/>
  <c r="T62" i="126"/>
  <c r="R64" i="126"/>
  <c r="S65" i="126"/>
  <c r="V62" i="126"/>
  <c r="V30" i="126"/>
  <c r="T33" i="126"/>
  <c r="T36" i="126"/>
  <c r="M41" i="126"/>
  <c r="M44" i="126"/>
  <c r="V45" i="126"/>
  <c r="V46" i="126"/>
  <c r="O30" i="126"/>
  <c r="Y30" i="126"/>
  <c r="V33" i="126"/>
  <c r="O37" i="126"/>
  <c r="O41" i="126"/>
  <c r="Y41" i="126"/>
  <c r="O44" i="126"/>
  <c r="X45" i="126"/>
  <c r="O46" i="126"/>
  <c r="Y46" i="126"/>
  <c r="V47" i="126"/>
  <c r="Z30" i="126"/>
  <c r="X35" i="126"/>
  <c r="V39" i="126"/>
  <c r="Y45" i="126"/>
  <c r="Q30" i="126"/>
  <c r="O33" i="126"/>
  <c r="X33" i="126"/>
  <c r="Y35" i="126"/>
  <c r="O36" i="126"/>
  <c r="Q41" i="126"/>
  <c r="Q44" i="126"/>
  <c r="O45" i="126"/>
  <c r="Z45" i="126"/>
  <c r="R46" i="126"/>
  <c r="M47" i="126"/>
  <c r="Y47" i="126"/>
  <c r="R30" i="126"/>
  <c r="M32" i="126"/>
  <c r="X32" i="126"/>
  <c r="Z33" i="126"/>
  <c r="Z35" i="126"/>
  <c r="Y39" i="126"/>
  <c r="S41" i="126"/>
  <c r="S44" i="126"/>
  <c r="S46" i="126"/>
  <c r="Z47" i="126"/>
  <c r="X41" i="126"/>
  <c r="S30" i="126"/>
  <c r="M31" i="126"/>
  <c r="Y32" i="126"/>
  <c r="R33" i="126"/>
  <c r="Q36" i="126"/>
  <c r="Z39" i="126"/>
  <c r="T41" i="126"/>
  <c r="T46" i="126"/>
  <c r="T30" i="126"/>
  <c r="AJ30" i="126"/>
  <c r="O31" i="126"/>
  <c r="AE31" i="126"/>
  <c r="Z32" i="126"/>
  <c r="AH32" i="126"/>
  <c r="M33" i="126"/>
  <c r="AC33" i="126"/>
  <c r="X34" i="126"/>
  <c r="AN34" i="126"/>
  <c r="S35" i="126"/>
  <c r="AA35" i="126"/>
  <c r="V36" i="126"/>
  <c r="AL36" i="126"/>
  <c r="Q37" i="126"/>
  <c r="AG37" i="126"/>
  <c r="T39" i="126"/>
  <c r="AJ39" i="126"/>
  <c r="O40" i="126"/>
  <c r="AE40" i="126"/>
  <c r="Z41" i="126"/>
  <c r="AH41" i="126"/>
  <c r="M42" i="126"/>
  <c r="AC42" i="126"/>
  <c r="AL42" i="126"/>
  <c r="Q45" i="126"/>
  <c r="AH45" i="126"/>
  <c r="M46" i="126"/>
  <c r="T47" i="126"/>
  <c r="AC47" i="126"/>
  <c r="AE57" i="126"/>
  <c r="S59" i="126"/>
  <c r="R59" i="126"/>
  <c r="Q59" i="126"/>
  <c r="O59" i="126"/>
  <c r="AH65" i="126"/>
  <c r="AN65" i="126"/>
  <c r="AM65" i="126"/>
  <c r="AL65" i="126"/>
  <c r="V31" i="126"/>
  <c r="AC46" i="126"/>
  <c r="X31" i="126"/>
  <c r="AF31" i="126"/>
  <c r="AL33" i="126"/>
  <c r="Q34" i="126"/>
  <c r="Y34" i="126"/>
  <c r="T35" i="126"/>
  <c r="AE36" i="126"/>
  <c r="AM36" i="126"/>
  <c r="R37" i="126"/>
  <c r="AH37" i="126"/>
  <c r="M39" i="126"/>
  <c r="X40" i="126"/>
  <c r="AF40" i="126"/>
  <c r="AA41" i="126"/>
  <c r="AN42" i="126"/>
  <c r="T44" i="126"/>
  <c r="AL44" i="126"/>
  <c r="R45" i="126"/>
  <c r="AE46" i="126"/>
  <c r="Z83" i="126"/>
  <c r="Y83" i="126"/>
  <c r="X83" i="126"/>
  <c r="V83" i="126"/>
  <c r="AC36" i="126"/>
  <c r="AL30" i="126"/>
  <c r="Q31" i="126"/>
  <c r="Y31" i="126"/>
  <c r="AG31" i="126"/>
  <c r="T32" i="126"/>
  <c r="AE33" i="126"/>
  <c r="AM33" i="126"/>
  <c r="R34" i="126"/>
  <c r="Z34" i="126"/>
  <c r="AH34" i="126"/>
  <c r="X36" i="126"/>
  <c r="AF36" i="126"/>
  <c r="AN36" i="126"/>
  <c r="S37" i="126"/>
  <c r="AL39" i="126"/>
  <c r="Q40" i="126"/>
  <c r="Y40" i="126"/>
  <c r="AG40" i="126"/>
  <c r="AF42" i="126"/>
  <c r="AM44" i="126"/>
  <c r="S45" i="126"/>
  <c r="AG46" i="126"/>
  <c r="AF47" i="126"/>
  <c r="Z65" i="126"/>
  <c r="Y65" i="126"/>
  <c r="X65" i="126"/>
  <c r="V65" i="126"/>
  <c r="AH80" i="126"/>
  <c r="AN80" i="126"/>
  <c r="AM80" i="126"/>
  <c r="AL80" i="126"/>
  <c r="AM30" i="126"/>
  <c r="R31" i="126"/>
  <c r="Z31" i="126"/>
  <c r="AF33" i="126"/>
  <c r="AN33" i="126"/>
  <c r="S34" i="126"/>
  <c r="Y36" i="126"/>
  <c r="AG36" i="126"/>
  <c r="AM39" i="126"/>
  <c r="R40" i="126"/>
  <c r="Z40" i="126"/>
  <c r="AG42" i="126"/>
  <c r="V44" i="126"/>
  <c r="AN44" i="126"/>
  <c r="Z59" i="126"/>
  <c r="Y59" i="126"/>
  <c r="X59" i="126"/>
  <c r="AG62" i="126"/>
  <c r="AF62" i="126"/>
  <c r="AE62" i="126"/>
  <c r="AC62" i="126"/>
  <c r="S63" i="126"/>
  <c r="R63" i="126"/>
  <c r="Q63" i="126"/>
  <c r="AJ80" i="126"/>
  <c r="AN62" i="126"/>
  <c r="AM62" i="126"/>
  <c r="AL62" i="126"/>
  <c r="AH42" i="126"/>
  <c r="Z46" i="126"/>
  <c r="O47" i="126"/>
  <c r="M57" i="126"/>
  <c r="S57" i="126"/>
  <c r="R57" i="126"/>
  <c r="Q57" i="126"/>
  <c r="AN58" i="126"/>
  <c r="AM58" i="126"/>
  <c r="AL58" i="126"/>
  <c r="AJ58" i="126"/>
  <c r="V59" i="126"/>
  <c r="O63" i="126"/>
  <c r="AC57" i="126"/>
  <c r="AA57" i="126"/>
  <c r="AG57" i="126"/>
  <c r="AA59" i="126"/>
  <c r="AG59" i="126"/>
  <c r="AF59" i="126"/>
  <c r="AE59" i="126"/>
  <c r="T63" i="126"/>
  <c r="Z63" i="126"/>
  <c r="Y63" i="126"/>
  <c r="X63" i="126"/>
  <c r="AJ33" i="126"/>
  <c r="O34" i="126"/>
  <c r="V40" i="126"/>
  <c r="AJ44" i="126"/>
  <c r="AA47" i="126"/>
  <c r="AE47" i="126"/>
  <c r="AJ62" i="126"/>
  <c r="AA46" i="126"/>
  <c r="AH62" i="126"/>
  <c r="AG65" i="126"/>
  <c r="AF65" i="126"/>
  <c r="AE65" i="126"/>
  <c r="T58" i="126"/>
  <c r="Z60" i="126"/>
  <c r="AH60" i="126"/>
  <c r="M62" i="126"/>
  <c r="AN63" i="126"/>
  <c r="S64" i="126"/>
  <c r="AA64" i="126"/>
  <c r="M81" i="126"/>
  <c r="S81" i="126"/>
  <c r="R81" i="126"/>
  <c r="Q81" i="126"/>
  <c r="AA83" i="126"/>
  <c r="AG83" i="126"/>
  <c r="AF83" i="126"/>
  <c r="AE83" i="126"/>
  <c r="V58" i="126"/>
  <c r="T60" i="126"/>
  <c r="AJ60" i="126"/>
  <c r="O62" i="126"/>
  <c r="AH63" i="126"/>
  <c r="M64" i="126"/>
  <c r="AC64" i="126"/>
  <c r="S78" i="126"/>
  <c r="R78" i="126"/>
  <c r="Q78" i="126"/>
  <c r="O78" i="126"/>
  <c r="O81" i="126"/>
  <c r="AC83" i="126"/>
  <c r="AN85" i="126"/>
  <c r="AM85" i="126"/>
  <c r="AL85" i="126"/>
  <c r="AJ85" i="126"/>
  <c r="T78" i="126"/>
  <c r="Z78" i="126"/>
  <c r="Y78" i="126"/>
  <c r="X78" i="126"/>
  <c r="AG80" i="126"/>
  <c r="AF80" i="126"/>
  <c r="AE80" i="126"/>
  <c r="AC80" i="126"/>
  <c r="AE78" i="126"/>
  <c r="X81" i="126"/>
  <c r="AL83" i="126"/>
  <c r="T85" i="126"/>
  <c r="AF78" i="126"/>
  <c r="V80" i="126"/>
  <c r="Y81" i="126"/>
  <c r="T82" i="126"/>
  <c r="AJ82" i="126"/>
  <c r="O83" i="126"/>
  <c r="AM83" i="126"/>
  <c r="AH84" i="126"/>
  <c r="M85" i="126"/>
  <c r="AG78" i="126"/>
  <c r="AJ79" i="126"/>
  <c r="O80" i="126"/>
  <c r="Z81" i="126"/>
  <c r="AN83" i="126"/>
  <c r="X80" i="126"/>
  <c r="AL82" i="126"/>
  <c r="Q83" i="126"/>
  <c r="T84" i="126"/>
  <c r="AJ84" i="126"/>
  <c r="O85" i="126"/>
  <c r="AE85" i="126"/>
  <c r="X85" i="126"/>
  <c r="AF85" i="126"/>
  <c r="AA74" i="125"/>
  <c r="Y52" i="125"/>
  <c r="S72" i="125"/>
  <c r="AH77" i="125"/>
  <c r="AC73" i="125"/>
  <c r="AG75" i="125"/>
  <c r="AA76" i="125"/>
  <c r="T75" i="125"/>
  <c r="Z78" i="125"/>
  <c r="Z52" i="125"/>
  <c r="AN72" i="125"/>
  <c r="AG73" i="125"/>
  <c r="T76" i="125"/>
  <c r="M73" i="125"/>
  <c r="AF75" i="125"/>
  <c r="Q75" i="125"/>
  <c r="T77" i="125"/>
  <c r="AF77" i="125"/>
  <c r="AG51" i="125"/>
  <c r="AH73" i="125"/>
  <c r="AG77" i="125"/>
  <c r="X77" i="125"/>
  <c r="Q72" i="125"/>
  <c r="AA73" i="125"/>
  <c r="Y77" i="125"/>
  <c r="AH52" i="125"/>
  <c r="R72" i="125"/>
  <c r="AM72" i="125"/>
  <c r="S76" i="125"/>
  <c r="Z77" i="125"/>
  <c r="AC52" i="125"/>
  <c r="AE72" i="125"/>
  <c r="AC74" i="125"/>
  <c r="AN74" i="125"/>
  <c r="V76" i="125"/>
  <c r="R78" i="125"/>
  <c r="AG78" i="125"/>
  <c r="V75" i="125"/>
  <c r="M72" i="125"/>
  <c r="AF72" i="125"/>
  <c r="M74" i="125"/>
  <c r="X75" i="125"/>
  <c r="AA77" i="125"/>
  <c r="T78" i="125"/>
  <c r="AH78" i="125"/>
  <c r="Z73" i="125"/>
  <c r="AL74" i="125"/>
  <c r="Q78" i="125"/>
  <c r="X72" i="125"/>
  <c r="AG72" i="125"/>
  <c r="AE74" i="125"/>
  <c r="Y75" i="125"/>
  <c r="AN75" i="125"/>
  <c r="Y76" i="125"/>
  <c r="AL77" i="125"/>
  <c r="AC72" i="125"/>
  <c r="AG54" i="125"/>
  <c r="Z72" i="125"/>
  <c r="AH72" i="125"/>
  <c r="R73" i="125"/>
  <c r="AF74" i="125"/>
  <c r="AM77" i="125"/>
  <c r="AJ78" i="125"/>
  <c r="AH55" i="125"/>
  <c r="S73" i="125"/>
  <c r="S75" i="125"/>
  <c r="AE77" i="125"/>
  <c r="M78" i="125"/>
  <c r="Y78" i="125"/>
  <c r="V74" i="125"/>
  <c r="AJ76" i="125"/>
  <c r="O77" i="125"/>
  <c r="Y72" i="125"/>
  <c r="T73" i="125"/>
  <c r="AJ73" i="125"/>
  <c r="O74" i="125"/>
  <c r="AM74" i="125"/>
  <c r="R75" i="125"/>
  <c r="AH75" i="125"/>
  <c r="M76" i="125"/>
  <c r="AC76" i="125"/>
  <c r="AN77" i="125"/>
  <c r="S78" i="125"/>
  <c r="AA78" i="125"/>
  <c r="X74" i="125"/>
  <c r="AL76" i="125"/>
  <c r="V73" i="125"/>
  <c r="AL73" i="125"/>
  <c r="Q74" i="125"/>
  <c r="Y74" i="125"/>
  <c r="AJ75" i="125"/>
  <c r="O76" i="125"/>
  <c r="AE76" i="125"/>
  <c r="AM76" i="125"/>
  <c r="R77" i="125"/>
  <c r="AC78" i="125"/>
  <c r="AG52" i="125"/>
  <c r="AA54" i="125"/>
  <c r="T72" i="125"/>
  <c r="AJ72" i="125"/>
  <c r="O73" i="125"/>
  <c r="AM73" i="125"/>
  <c r="R74" i="125"/>
  <c r="Z74" i="125"/>
  <c r="AH74" i="125"/>
  <c r="M75" i="125"/>
  <c r="AC75" i="125"/>
  <c r="X76" i="125"/>
  <c r="AF76" i="125"/>
  <c r="AN76" i="125"/>
  <c r="S77" i="125"/>
  <c r="V78" i="125"/>
  <c r="AL78" i="125"/>
  <c r="Q77" i="125"/>
  <c r="X73" i="125"/>
  <c r="AL75" i="125"/>
  <c r="Q76" i="125"/>
  <c r="AE78" i="125"/>
  <c r="AM78" i="125"/>
  <c r="AC51" i="125"/>
  <c r="AH36" i="125"/>
  <c r="AE51" i="125"/>
  <c r="AE52" i="125"/>
  <c r="AG55" i="125"/>
  <c r="AA56" i="125"/>
  <c r="AJ36" i="125"/>
  <c r="X51" i="125"/>
  <c r="AA51" i="125"/>
  <c r="AL51" i="125"/>
  <c r="AA52" i="125"/>
  <c r="AE54" i="125"/>
  <c r="AM51" i="125"/>
  <c r="AF54" i="125"/>
  <c r="AA55" i="125"/>
  <c r="AN91" i="125"/>
  <c r="V54" i="125"/>
  <c r="M92" i="125"/>
  <c r="V51" i="125"/>
  <c r="AN51" i="125"/>
  <c r="S55" i="125"/>
  <c r="AL56" i="125"/>
  <c r="AA57" i="125"/>
  <c r="M52" i="125"/>
  <c r="AJ53" i="125"/>
  <c r="X54" i="125"/>
  <c r="T55" i="125"/>
  <c r="AC56" i="125"/>
  <c r="M57" i="125"/>
  <c r="Y54" i="125"/>
  <c r="Z51" i="125"/>
  <c r="AH51" i="125"/>
  <c r="AN53" i="125"/>
  <c r="AE56" i="125"/>
  <c r="AM54" i="125"/>
  <c r="AF56" i="125"/>
  <c r="Q57" i="125"/>
  <c r="AN54" i="125"/>
  <c r="S57" i="125"/>
  <c r="T57" i="125"/>
  <c r="T53" i="125"/>
  <c r="V55" i="125"/>
  <c r="Q52" i="125"/>
  <c r="S54" i="125"/>
  <c r="R52" i="125"/>
  <c r="M53" i="125"/>
  <c r="X55" i="125"/>
  <c r="S52" i="125"/>
  <c r="Y55" i="125"/>
  <c r="O54" i="125"/>
  <c r="R55" i="125"/>
  <c r="M56" i="125"/>
  <c r="O51" i="125"/>
  <c r="M51" i="125"/>
  <c r="X52" i="125"/>
  <c r="AN52" i="125"/>
  <c r="S53" i="125"/>
  <c r="AA53" i="125"/>
  <c r="AL54" i="125"/>
  <c r="Q55" i="125"/>
  <c r="T56" i="125"/>
  <c r="AJ56" i="125"/>
  <c r="R57" i="125"/>
  <c r="Z57" i="125"/>
  <c r="AH57" i="125"/>
  <c r="AC53" i="125"/>
  <c r="V53" i="125"/>
  <c r="AL53" i="125"/>
  <c r="Q54" i="125"/>
  <c r="AJ55" i="125"/>
  <c r="O56" i="125"/>
  <c r="AM56" i="125"/>
  <c r="AC57" i="125"/>
  <c r="V56" i="125"/>
  <c r="AJ57" i="125"/>
  <c r="Q51" i="125"/>
  <c r="Y51" i="125"/>
  <c r="T52" i="125"/>
  <c r="AJ52" i="125"/>
  <c r="O53" i="125"/>
  <c r="AE53" i="125"/>
  <c r="AM53" i="125"/>
  <c r="R54" i="125"/>
  <c r="Z54" i="125"/>
  <c r="AH54" i="125"/>
  <c r="M55" i="125"/>
  <c r="AC55" i="125"/>
  <c r="X56" i="125"/>
  <c r="AN56" i="125"/>
  <c r="V57" i="125"/>
  <c r="AL57" i="125"/>
  <c r="R51" i="125"/>
  <c r="X53" i="125"/>
  <c r="AF53" i="125"/>
  <c r="AL55" i="125"/>
  <c r="Q56" i="125"/>
  <c r="Y56" i="125"/>
  <c r="AE57" i="125"/>
  <c r="AM57" i="125"/>
  <c r="AL52" i="125"/>
  <c r="Q53" i="125"/>
  <c r="Y53" i="125"/>
  <c r="AE55" i="125"/>
  <c r="AM55" i="125"/>
  <c r="R56" i="125"/>
  <c r="X57" i="125"/>
  <c r="AF57" i="125"/>
  <c r="T69" i="125"/>
  <c r="AA87" i="125"/>
  <c r="AM70" i="125"/>
  <c r="AG85" i="125"/>
  <c r="V103" i="125"/>
  <c r="O92" i="125"/>
  <c r="AE32" i="125"/>
  <c r="AN85" i="125"/>
  <c r="AG87" i="125"/>
  <c r="R92" i="125"/>
  <c r="AJ59" i="125"/>
  <c r="AH61" i="125"/>
  <c r="AF87" i="125"/>
  <c r="AC94" i="125"/>
  <c r="AN39" i="125"/>
  <c r="AE43" i="125"/>
  <c r="AJ61" i="125"/>
  <c r="AH85" i="125"/>
  <c r="AG94" i="125"/>
  <c r="Y36" i="125"/>
  <c r="Y94" i="125"/>
  <c r="AA82" i="125"/>
  <c r="AC87" i="125"/>
  <c r="AH93" i="125"/>
  <c r="AA94" i="125"/>
  <c r="Z40" i="125"/>
  <c r="AH103" i="125"/>
  <c r="AC106" i="125"/>
  <c r="AA31" i="125"/>
  <c r="Q33" i="125"/>
  <c r="AN33" i="125"/>
  <c r="AJ34" i="125"/>
  <c r="AE35" i="125"/>
  <c r="AG47" i="125"/>
  <c r="AA60" i="125"/>
  <c r="AA63" i="125"/>
  <c r="Q82" i="125"/>
  <c r="AJ89" i="125"/>
  <c r="S92" i="125"/>
  <c r="AL93" i="125"/>
  <c r="AL103" i="125"/>
  <c r="R33" i="125"/>
  <c r="AH35" i="125"/>
  <c r="AE39" i="125"/>
  <c r="AH47" i="125"/>
  <c r="AL61" i="125"/>
  <c r="AA81" i="125"/>
  <c r="AM93" i="125"/>
  <c r="AM104" i="125"/>
  <c r="AF39" i="125"/>
  <c r="AC60" i="125"/>
  <c r="AC65" i="125"/>
  <c r="M100" i="125"/>
  <c r="AC100" i="125"/>
  <c r="AG39" i="125"/>
  <c r="AL35" i="125"/>
  <c r="AA40" i="125"/>
  <c r="AM48" i="125"/>
  <c r="AF60" i="125"/>
  <c r="AH67" i="125"/>
  <c r="Y69" i="125"/>
  <c r="AN35" i="125"/>
  <c r="AL49" i="125"/>
  <c r="Q60" i="125"/>
  <c r="Q100" i="125"/>
  <c r="AC38" i="125"/>
  <c r="AA39" i="125"/>
  <c r="AC70" i="125"/>
  <c r="S100" i="125"/>
  <c r="AH65" i="125"/>
  <c r="M85" i="125"/>
  <c r="AA99" i="125"/>
  <c r="R31" i="125"/>
  <c r="AF32" i="125"/>
  <c r="AF35" i="125"/>
  <c r="AG36" i="125"/>
  <c r="O39" i="125"/>
  <c r="R40" i="125"/>
  <c r="AJ42" i="125"/>
  <c r="AA43" i="125"/>
  <c r="R59" i="125"/>
  <c r="Z60" i="125"/>
  <c r="S69" i="125"/>
  <c r="X89" i="125"/>
  <c r="AJ90" i="125"/>
  <c r="AN93" i="125"/>
  <c r="M99" i="125"/>
  <c r="AC99" i="125"/>
  <c r="R100" i="125"/>
  <c r="AE100" i="125"/>
  <c r="X101" i="125"/>
  <c r="T103" i="125"/>
  <c r="O105" i="125"/>
  <c r="R36" i="125"/>
  <c r="R47" i="125"/>
  <c r="AN59" i="125"/>
  <c r="Y65" i="125"/>
  <c r="AL81" i="125"/>
  <c r="X86" i="125"/>
  <c r="Y89" i="125"/>
  <c r="AG92" i="125"/>
  <c r="AA101" i="125"/>
  <c r="AN42" i="125"/>
  <c r="M48" i="125"/>
  <c r="M63" i="125"/>
  <c r="AH64" i="125"/>
  <c r="AF68" i="125"/>
  <c r="AL70" i="125"/>
  <c r="AH84" i="125"/>
  <c r="Z86" i="125"/>
  <c r="Z89" i="125"/>
  <c r="AE91" i="125"/>
  <c r="AH92" i="125"/>
  <c r="O106" i="125"/>
  <c r="R99" i="125"/>
  <c r="AN100" i="125"/>
  <c r="AJ104" i="125"/>
  <c r="V105" i="125"/>
  <c r="O33" i="125"/>
  <c r="AG43" i="125"/>
  <c r="AC85" i="125"/>
  <c r="Y103" i="125"/>
  <c r="M31" i="125"/>
  <c r="AC32" i="125"/>
  <c r="AC35" i="125"/>
  <c r="AM35" i="125"/>
  <c r="Z36" i="125"/>
  <c r="M38" i="125"/>
  <c r="M40" i="125"/>
  <c r="Q43" i="125"/>
  <c r="S60" i="125"/>
  <c r="AE60" i="125"/>
  <c r="AG65" i="125"/>
  <c r="AM68" i="125"/>
  <c r="AC81" i="125"/>
  <c r="AN84" i="125"/>
  <c r="AF89" i="125"/>
  <c r="T91" i="125"/>
  <c r="AM91" i="125"/>
  <c r="Z103" i="125"/>
  <c r="AL104" i="125"/>
  <c r="AA33" i="125"/>
  <c r="AM39" i="125"/>
  <c r="AH46" i="125"/>
  <c r="AL48" i="125"/>
  <c r="AA49" i="125"/>
  <c r="M65" i="125"/>
  <c r="AE68" i="125"/>
  <c r="S90" i="125"/>
  <c r="AL91" i="125"/>
  <c r="AE92" i="125"/>
  <c r="AH99" i="125"/>
  <c r="AA102" i="125"/>
  <c r="AH105" i="125"/>
  <c r="AJ46" i="125"/>
  <c r="AG68" i="125"/>
  <c r="AC93" i="125"/>
  <c r="AC102" i="125"/>
  <c r="M104" i="125"/>
  <c r="Y104" i="125"/>
  <c r="AJ105" i="125"/>
  <c r="R106" i="125"/>
  <c r="AC49" i="125"/>
  <c r="AE33" i="125"/>
  <c r="O35" i="125"/>
  <c r="AJ38" i="125"/>
  <c r="AC40" i="125"/>
  <c r="AL42" i="125"/>
  <c r="AN43" i="125"/>
  <c r="AJ44" i="125"/>
  <c r="AC46" i="125"/>
  <c r="AJ47" i="125"/>
  <c r="AC48" i="125"/>
  <c r="O49" i="125"/>
  <c r="AM49" i="125"/>
  <c r="AL59" i="125"/>
  <c r="O63" i="125"/>
  <c r="AJ64" i="125"/>
  <c r="AE65" i="125"/>
  <c r="AJ67" i="125"/>
  <c r="Y68" i="125"/>
  <c r="AE70" i="125"/>
  <c r="AM81" i="125"/>
  <c r="AE85" i="125"/>
  <c r="AL89" i="125"/>
  <c r="Y90" i="125"/>
  <c r="AL99" i="125"/>
  <c r="S101" i="125"/>
  <c r="X105" i="125"/>
  <c r="S106" i="125"/>
  <c r="AH106" i="125"/>
  <c r="AJ32" i="125"/>
  <c r="AC31" i="125"/>
  <c r="AL32" i="125"/>
  <c r="S33" i="125"/>
  <c r="AF33" i="125"/>
  <c r="AG35" i="125"/>
  <c r="Y39" i="125"/>
  <c r="AH39" i="125"/>
  <c r="AC42" i="125"/>
  <c r="AM42" i="125"/>
  <c r="AL46" i="125"/>
  <c r="Y47" i="125"/>
  <c r="AE49" i="125"/>
  <c r="AN49" i="125"/>
  <c r="AM59" i="125"/>
  <c r="AC63" i="125"/>
  <c r="T64" i="125"/>
  <c r="AF65" i="125"/>
  <c r="AA68" i="125"/>
  <c r="AC82" i="125"/>
  <c r="T84" i="125"/>
  <c r="AJ84" i="125"/>
  <c r="R85" i="125"/>
  <c r="AF85" i="125"/>
  <c r="AN89" i="125"/>
  <c r="AH91" i="125"/>
  <c r="AA92" i="125"/>
  <c r="M94" i="125"/>
  <c r="AM99" i="125"/>
  <c r="AF100" i="125"/>
  <c r="T101" i="125"/>
  <c r="AF101" i="125"/>
  <c r="V102" i="125"/>
  <c r="AE102" i="125"/>
  <c r="AG103" i="125"/>
  <c r="O104" i="125"/>
  <c r="Y105" i="125"/>
  <c r="AM105" i="125"/>
  <c r="AG33" i="125"/>
  <c r="AM46" i="125"/>
  <c r="AF49" i="125"/>
  <c r="Q63" i="125"/>
  <c r="AL64" i="125"/>
  <c r="AL67" i="125"/>
  <c r="AE99" i="125"/>
  <c r="AN99" i="125"/>
  <c r="AG100" i="125"/>
  <c r="AF102" i="125"/>
  <c r="Q105" i="125"/>
  <c r="Z105" i="125"/>
  <c r="AN105" i="125"/>
  <c r="AM32" i="125"/>
  <c r="AL38" i="125"/>
  <c r="AE46" i="125"/>
  <c r="AN32" i="125"/>
  <c r="AM38" i="125"/>
  <c r="AE42" i="125"/>
  <c r="O46" i="125"/>
  <c r="AF46" i="125"/>
  <c r="AJ48" i="125"/>
  <c r="R63" i="125"/>
  <c r="AM64" i="125"/>
  <c r="Z65" i="125"/>
  <c r="AN67" i="125"/>
  <c r="AN68" i="125"/>
  <c r="AE82" i="125"/>
  <c r="AL84" i="125"/>
  <c r="AC92" i="125"/>
  <c r="AF99" i="125"/>
  <c r="V101" i="125"/>
  <c r="X102" i="125"/>
  <c r="Q104" i="125"/>
  <c r="R105" i="125"/>
  <c r="M106" i="125"/>
  <c r="Z106" i="125"/>
  <c r="Z47" i="125"/>
  <c r="S31" i="125"/>
  <c r="Y33" i="125"/>
  <c r="AL39" i="125"/>
  <c r="AF42" i="125"/>
  <c r="AF43" i="125"/>
  <c r="AG46" i="125"/>
  <c r="Y49" i="125"/>
  <c r="AH49" i="125"/>
  <c r="O60" i="125"/>
  <c r="AA70" i="125"/>
  <c r="X80" i="125"/>
  <c r="AE81" i="125"/>
  <c r="T82" i="125"/>
  <c r="AG82" i="125"/>
  <c r="Z84" i="125"/>
  <c r="V89" i="125"/>
  <c r="AH89" i="125"/>
  <c r="Q90" i="125"/>
  <c r="AF94" i="125"/>
  <c r="Y102" i="125"/>
  <c r="AJ103" i="125"/>
  <c r="T104" i="125"/>
  <c r="AA106" i="125"/>
  <c r="M67" i="125"/>
  <c r="M68" i="125"/>
  <c r="X68" i="125"/>
  <c r="R69" i="125"/>
  <c r="Z69" i="125"/>
  <c r="V80" i="125"/>
  <c r="R82" i="125"/>
  <c r="S85" i="125"/>
  <c r="O90" i="125"/>
  <c r="V64" i="125"/>
  <c r="O65" i="125"/>
  <c r="Y80" i="125"/>
  <c r="V82" i="125"/>
  <c r="X85" i="125"/>
  <c r="V87" i="125"/>
  <c r="Q89" i="125"/>
  <c r="V91" i="125"/>
  <c r="X93" i="125"/>
  <c r="O94" i="125"/>
  <c r="Q68" i="125"/>
  <c r="V69" i="125"/>
  <c r="R80" i="125"/>
  <c r="Z80" i="125"/>
  <c r="M81" i="125"/>
  <c r="V84" i="125"/>
  <c r="O85" i="125"/>
  <c r="Y85" i="125"/>
  <c r="Z93" i="125"/>
  <c r="X64" i="125"/>
  <c r="Q65" i="125"/>
  <c r="S68" i="125"/>
  <c r="S80" i="125"/>
  <c r="Y82" i="125"/>
  <c r="X87" i="125"/>
  <c r="X91" i="125"/>
  <c r="Q94" i="125"/>
  <c r="O68" i="125"/>
  <c r="Z64" i="125"/>
  <c r="R65" i="125"/>
  <c r="Z82" i="125"/>
  <c r="X84" i="125"/>
  <c r="M90" i="125"/>
  <c r="Y91" i="125"/>
  <c r="R94" i="125"/>
  <c r="Q36" i="125"/>
  <c r="X39" i="125"/>
  <c r="T43" i="125"/>
  <c r="Q47" i="125"/>
  <c r="X49" i="125"/>
  <c r="R60" i="125"/>
  <c r="M61" i="125"/>
  <c r="V35" i="125"/>
  <c r="S36" i="125"/>
  <c r="Z39" i="125"/>
  <c r="V43" i="125"/>
  <c r="V46" i="125"/>
  <c r="S47" i="125"/>
  <c r="Z49" i="125"/>
  <c r="Z31" i="125"/>
  <c r="S34" i="125"/>
  <c r="T36" i="125"/>
  <c r="O38" i="125"/>
  <c r="Q39" i="125"/>
  <c r="O43" i="125"/>
  <c r="S44" i="125"/>
  <c r="T47" i="125"/>
  <c r="O48" i="125"/>
  <c r="Q49" i="125"/>
  <c r="X33" i="125"/>
  <c r="T34" i="125"/>
  <c r="X35" i="125"/>
  <c r="M36" i="125"/>
  <c r="R39" i="125"/>
  <c r="Q40" i="125"/>
  <c r="V42" i="125"/>
  <c r="X43" i="125"/>
  <c r="T44" i="125"/>
  <c r="X46" i="125"/>
  <c r="M47" i="125"/>
  <c r="R49" i="125"/>
  <c r="Y60" i="125"/>
  <c r="Y43" i="125"/>
  <c r="Y46" i="125"/>
  <c r="Q31" i="125"/>
  <c r="V32" i="125"/>
  <c r="Z33" i="125"/>
  <c r="V34" i="125"/>
  <c r="X36" i="125"/>
  <c r="V39" i="125"/>
  <c r="S40" i="125"/>
  <c r="R43" i="125"/>
  <c r="V44" i="125"/>
  <c r="X47" i="125"/>
  <c r="V49" i="125"/>
  <c r="Y35" i="125"/>
  <c r="S43" i="125"/>
  <c r="AH31" i="125"/>
  <c r="M32" i="125"/>
  <c r="AA34" i="125"/>
  <c r="T38" i="125"/>
  <c r="AH40" i="125"/>
  <c r="M42" i="125"/>
  <c r="AA44" i="125"/>
  <c r="T48" i="125"/>
  <c r="AA59" i="125"/>
  <c r="AG59" i="125"/>
  <c r="AL60" i="125"/>
  <c r="AJ60" i="125"/>
  <c r="AN60" i="125"/>
  <c r="T61" i="125"/>
  <c r="AA64" i="125"/>
  <c r="AG64" i="125"/>
  <c r="AC64" i="125"/>
  <c r="Y67" i="125"/>
  <c r="X67" i="125"/>
  <c r="AF69" i="125"/>
  <c r="AE69" i="125"/>
  <c r="AC69" i="125"/>
  <c r="AG69" i="125"/>
  <c r="S70" i="125"/>
  <c r="R70" i="125"/>
  <c r="Q70" i="125"/>
  <c r="AN80" i="125"/>
  <c r="AM80" i="125"/>
  <c r="AL80" i="125"/>
  <c r="Z81" i="125"/>
  <c r="Y81" i="125"/>
  <c r="X81" i="125"/>
  <c r="T81" i="125"/>
  <c r="AM86" i="125"/>
  <c r="AN86" i="125"/>
  <c r="AL86" i="125"/>
  <c r="X92" i="125"/>
  <c r="V92" i="125"/>
  <c r="T92" i="125"/>
  <c r="Z92" i="125"/>
  <c r="Y92" i="125"/>
  <c r="AM94" i="125"/>
  <c r="AL94" i="125"/>
  <c r="AJ94" i="125"/>
  <c r="AH94" i="125"/>
  <c r="T31" i="125"/>
  <c r="AJ31" i="125"/>
  <c r="O32" i="125"/>
  <c r="AH33" i="125"/>
  <c r="M34" i="125"/>
  <c r="AC34" i="125"/>
  <c r="AA36" i="125"/>
  <c r="V38" i="125"/>
  <c r="T40" i="125"/>
  <c r="AJ40" i="125"/>
  <c r="O42" i="125"/>
  <c r="AH43" i="125"/>
  <c r="M44" i="125"/>
  <c r="AC44" i="125"/>
  <c r="AA47" i="125"/>
  <c r="V48" i="125"/>
  <c r="T59" i="125"/>
  <c r="AM60" i="125"/>
  <c r="AE64" i="125"/>
  <c r="S84" i="125"/>
  <c r="Q84" i="125"/>
  <c r="R84" i="125"/>
  <c r="M84" i="125"/>
  <c r="AN94" i="125"/>
  <c r="AE38" i="125"/>
  <c r="AL44" i="125"/>
  <c r="Q46" i="125"/>
  <c r="AE48" i="125"/>
  <c r="AE59" i="125"/>
  <c r="X63" i="125"/>
  <c r="V63" i="125"/>
  <c r="Z63" i="125"/>
  <c r="AN63" i="125"/>
  <c r="AM63" i="125"/>
  <c r="AL63" i="125"/>
  <c r="AH63" i="125"/>
  <c r="AF64" i="125"/>
  <c r="Z67" i="125"/>
  <c r="AN69" i="125"/>
  <c r="AM69" i="125"/>
  <c r="AL69" i="125"/>
  <c r="Z70" i="125"/>
  <c r="Y70" i="125"/>
  <c r="X70" i="125"/>
  <c r="T70" i="125"/>
  <c r="O84" i="125"/>
  <c r="AA84" i="125"/>
  <c r="AG84" i="125"/>
  <c r="AF84" i="125"/>
  <c r="AE84" i="125"/>
  <c r="AC84" i="125"/>
  <c r="AJ87" i="125"/>
  <c r="AH87" i="125"/>
  <c r="AN87" i="125"/>
  <c r="AM87" i="125"/>
  <c r="AL87" i="125"/>
  <c r="AA104" i="125"/>
  <c r="AF104" i="125"/>
  <c r="AE104" i="125"/>
  <c r="AC104" i="125"/>
  <c r="AG104" i="125"/>
  <c r="Y61" i="125"/>
  <c r="X61" i="125"/>
  <c r="X32" i="125"/>
  <c r="AL34" i="125"/>
  <c r="V31" i="125"/>
  <c r="AL31" i="125"/>
  <c r="Q32" i="125"/>
  <c r="Y32" i="125"/>
  <c r="AG32" i="125"/>
  <c r="T33" i="125"/>
  <c r="AJ33" i="125"/>
  <c r="O34" i="125"/>
  <c r="AE34" i="125"/>
  <c r="AM34" i="125"/>
  <c r="R35" i="125"/>
  <c r="Z35" i="125"/>
  <c r="AC36" i="125"/>
  <c r="X38" i="125"/>
  <c r="AF38" i="125"/>
  <c r="AN38" i="125"/>
  <c r="S39" i="125"/>
  <c r="V40" i="125"/>
  <c r="AL40" i="125"/>
  <c r="Q42" i="125"/>
  <c r="Y42" i="125"/>
  <c r="AG42" i="125"/>
  <c r="AJ43" i="125"/>
  <c r="O44" i="125"/>
  <c r="AE44" i="125"/>
  <c r="AM44" i="125"/>
  <c r="R46" i="125"/>
  <c r="Z46" i="125"/>
  <c r="AC47" i="125"/>
  <c r="X48" i="125"/>
  <c r="AF48" i="125"/>
  <c r="AN48" i="125"/>
  <c r="S49" i="125"/>
  <c r="V59" i="125"/>
  <c r="AF59" i="125"/>
  <c r="Z61" i="125"/>
  <c r="AJ63" i="125"/>
  <c r="Q67" i="125"/>
  <c r="O67" i="125"/>
  <c r="S67" i="125"/>
  <c r="AG67" i="125"/>
  <c r="AF67" i="125"/>
  <c r="AE67" i="125"/>
  <c r="AA67" i="125"/>
  <c r="AJ69" i="125"/>
  <c r="V70" i="125"/>
  <c r="R87" i="125"/>
  <c r="S87" i="125"/>
  <c r="Q87" i="125"/>
  <c r="M87" i="125"/>
  <c r="AE31" i="125"/>
  <c r="AM31" i="125"/>
  <c r="R32" i="125"/>
  <c r="Z32" i="125"/>
  <c r="X34" i="125"/>
  <c r="AF34" i="125"/>
  <c r="AN34" i="125"/>
  <c r="S35" i="125"/>
  <c r="AL36" i="125"/>
  <c r="Q38" i="125"/>
  <c r="Y38" i="125"/>
  <c r="AG38" i="125"/>
  <c r="AE40" i="125"/>
  <c r="AM40" i="125"/>
  <c r="R42" i="125"/>
  <c r="Z42" i="125"/>
  <c r="X44" i="125"/>
  <c r="AF44" i="125"/>
  <c r="AN44" i="125"/>
  <c r="S46" i="125"/>
  <c r="AL47" i="125"/>
  <c r="Q48" i="125"/>
  <c r="Y48" i="125"/>
  <c r="AG48" i="125"/>
  <c r="Q61" i="125"/>
  <c r="O61" i="125"/>
  <c r="S61" i="125"/>
  <c r="AG61" i="125"/>
  <c r="AF61" i="125"/>
  <c r="AE61" i="125"/>
  <c r="AA61" i="125"/>
  <c r="Y63" i="125"/>
  <c r="AC67" i="125"/>
  <c r="AF80" i="125"/>
  <c r="AE80" i="125"/>
  <c r="AC80" i="125"/>
  <c r="AG80" i="125"/>
  <c r="S81" i="125"/>
  <c r="R81" i="125"/>
  <c r="Q81" i="125"/>
  <c r="O87" i="125"/>
  <c r="AF90" i="125"/>
  <c r="AG90" i="125"/>
  <c r="AE90" i="125"/>
  <c r="AC90" i="125"/>
  <c r="S93" i="125"/>
  <c r="Q93" i="125"/>
  <c r="O93" i="125"/>
  <c r="R93" i="125"/>
  <c r="X42" i="125"/>
  <c r="X31" i="125"/>
  <c r="AF31" i="125"/>
  <c r="AL33" i="125"/>
  <c r="Q34" i="125"/>
  <c r="Y34" i="125"/>
  <c r="AE36" i="125"/>
  <c r="AM36" i="125"/>
  <c r="R38" i="125"/>
  <c r="X40" i="125"/>
  <c r="AF40" i="125"/>
  <c r="AL43" i="125"/>
  <c r="Q44" i="125"/>
  <c r="Y44" i="125"/>
  <c r="AE47" i="125"/>
  <c r="AM47" i="125"/>
  <c r="R48" i="125"/>
  <c r="S59" i="125"/>
  <c r="Q59" i="125"/>
  <c r="X59" i="125"/>
  <c r="AN82" i="125"/>
  <c r="AM82" i="125"/>
  <c r="AL82" i="125"/>
  <c r="Q35" i="125"/>
  <c r="O59" i="125"/>
  <c r="Z59" i="125"/>
  <c r="AH60" i="125"/>
  <c r="AF63" i="125"/>
  <c r="AE63" i="125"/>
  <c r="S64" i="125"/>
  <c r="R64" i="125"/>
  <c r="Q64" i="125"/>
  <c r="M64" i="125"/>
  <c r="AL65" i="125"/>
  <c r="AJ65" i="125"/>
  <c r="AN65" i="125"/>
  <c r="T67" i="125"/>
  <c r="AA69" i="125"/>
  <c r="M70" i="125"/>
  <c r="AH80" i="125"/>
  <c r="AJ82" i="125"/>
  <c r="Q86" i="125"/>
  <c r="O86" i="125"/>
  <c r="S86" i="125"/>
  <c r="R86" i="125"/>
  <c r="AH86" i="125"/>
  <c r="T99" i="125"/>
  <c r="Y99" i="125"/>
  <c r="X99" i="125"/>
  <c r="V99" i="125"/>
  <c r="Z99" i="125"/>
  <c r="AJ102" i="125"/>
  <c r="AH102" i="125"/>
  <c r="AN102" i="125"/>
  <c r="AM102" i="125"/>
  <c r="AL102" i="125"/>
  <c r="X60" i="125"/>
  <c r="X65" i="125"/>
  <c r="V68" i="125"/>
  <c r="AL68" i="125"/>
  <c r="Q69" i="125"/>
  <c r="AJ70" i="125"/>
  <c r="Q80" i="125"/>
  <c r="AJ81" i="125"/>
  <c r="O82" i="125"/>
  <c r="V86" i="125"/>
  <c r="AF86" i="125"/>
  <c r="O89" i="125"/>
  <c r="M89" i="125"/>
  <c r="AG89" i="125"/>
  <c r="AH90" i="125"/>
  <c r="AN90" i="125"/>
  <c r="AL90" i="125"/>
  <c r="AC91" i="125"/>
  <c r="AA91" i="125"/>
  <c r="AG91" i="125"/>
  <c r="V93" i="125"/>
  <c r="AH101" i="125"/>
  <c r="AM101" i="125"/>
  <c r="AL101" i="125"/>
  <c r="AJ101" i="125"/>
  <c r="M102" i="125"/>
  <c r="R102" i="125"/>
  <c r="Q102" i="125"/>
  <c r="O102" i="125"/>
  <c r="T60" i="125"/>
  <c r="AM61" i="125"/>
  <c r="T65" i="125"/>
  <c r="Z68" i="125"/>
  <c r="AH68" i="125"/>
  <c r="M69" i="125"/>
  <c r="AF70" i="125"/>
  <c r="AN70" i="125"/>
  <c r="M80" i="125"/>
  <c r="AF81" i="125"/>
  <c r="AN81" i="125"/>
  <c r="S82" i="125"/>
  <c r="AL85" i="125"/>
  <c r="AJ85" i="125"/>
  <c r="S89" i="125"/>
  <c r="AA93" i="125"/>
  <c r="AG93" i="125"/>
  <c r="AE93" i="125"/>
  <c r="AG86" i="125"/>
  <c r="AE86" i="125"/>
  <c r="AE89" i="125"/>
  <c r="AC89" i="125"/>
  <c r="M91" i="125"/>
  <c r="S91" i="125"/>
  <c r="Q91" i="125"/>
  <c r="O103" i="125"/>
  <c r="M103" i="125"/>
  <c r="S103" i="125"/>
  <c r="R103" i="125"/>
  <c r="T86" i="125"/>
  <c r="AC86" i="125"/>
  <c r="T87" i="125"/>
  <c r="Z87" i="125"/>
  <c r="O91" i="125"/>
  <c r="AN92" i="125"/>
  <c r="AL92" i="125"/>
  <c r="AJ92" i="125"/>
  <c r="T93" i="125"/>
  <c r="AC105" i="125"/>
  <c r="AA105" i="125"/>
  <c r="AG105" i="125"/>
  <c r="AF105" i="125"/>
  <c r="V85" i="125"/>
  <c r="T85" i="125"/>
  <c r="Z90" i="125"/>
  <c r="X90" i="125"/>
  <c r="V90" i="125"/>
  <c r="V94" i="125"/>
  <c r="T94" i="125"/>
  <c r="Z94" i="125"/>
  <c r="V100" i="125"/>
  <c r="T100" i="125"/>
  <c r="Z100" i="125"/>
  <c r="Y100" i="125"/>
  <c r="Q103" i="125"/>
  <c r="O99" i="125"/>
  <c r="AH100" i="125"/>
  <c r="M101" i="125"/>
  <c r="AC101" i="125"/>
  <c r="AA103" i="125"/>
  <c r="V104" i="125"/>
  <c r="T106" i="125"/>
  <c r="AJ106" i="125"/>
  <c r="Q99" i="125"/>
  <c r="AJ100" i="125"/>
  <c r="O101" i="125"/>
  <c r="AE101" i="125"/>
  <c r="Z102" i="125"/>
  <c r="AC103" i="125"/>
  <c r="X104" i="125"/>
  <c r="AN104" i="125"/>
  <c r="S105" i="125"/>
  <c r="V106" i="125"/>
  <c r="AL106" i="125"/>
  <c r="AE106" i="125"/>
  <c r="AM106" i="125"/>
  <c r="AL100" i="125"/>
  <c r="Q101" i="125"/>
  <c r="Y101" i="125"/>
  <c r="AE103" i="125"/>
  <c r="AM103" i="125"/>
  <c r="R104" i="125"/>
  <c r="X106" i="125"/>
  <c r="AF106" i="125"/>
  <c r="AE52" i="124"/>
  <c r="AN80" i="124"/>
  <c r="AF81" i="124"/>
  <c r="V83" i="124"/>
  <c r="Q84" i="124"/>
  <c r="T85" i="124"/>
  <c r="AE86" i="124"/>
  <c r="AM50" i="124"/>
  <c r="AG52" i="124"/>
  <c r="AE80" i="124"/>
  <c r="X81" i="124"/>
  <c r="AG81" i="124"/>
  <c r="S82" i="124"/>
  <c r="S84" i="124"/>
  <c r="AG86" i="124"/>
  <c r="AH52" i="124"/>
  <c r="AF80" i="124"/>
  <c r="Z81" i="124"/>
  <c r="X83" i="124"/>
  <c r="AF84" i="124"/>
  <c r="V85" i="124"/>
  <c r="AH86" i="124"/>
  <c r="Q87" i="124"/>
  <c r="AG87" i="124"/>
  <c r="R80" i="124"/>
  <c r="AH80" i="124"/>
  <c r="O81" i="124"/>
  <c r="AA81" i="124"/>
  <c r="Y83" i="124"/>
  <c r="V84" i="124"/>
  <c r="AG84" i="124"/>
  <c r="AL85" i="124"/>
  <c r="Y86" i="124"/>
  <c r="R87" i="124"/>
  <c r="AH87" i="124"/>
  <c r="X85" i="124"/>
  <c r="Z86" i="124"/>
  <c r="AC80" i="124"/>
  <c r="AJ80" i="124"/>
  <c r="R81" i="124"/>
  <c r="AN83" i="124"/>
  <c r="X84" i="124"/>
  <c r="Y85" i="124"/>
  <c r="O86" i="124"/>
  <c r="AA86" i="124"/>
  <c r="AL86" i="124"/>
  <c r="T80" i="124"/>
  <c r="AM81" i="124"/>
  <c r="R82" i="124"/>
  <c r="Z82" i="124"/>
  <c r="AH82" i="124"/>
  <c r="M83" i="124"/>
  <c r="AN84" i="124"/>
  <c r="S85" i="124"/>
  <c r="AA85" i="124"/>
  <c r="AF52" i="124"/>
  <c r="V80" i="124"/>
  <c r="Y81" i="124"/>
  <c r="T82" i="124"/>
  <c r="AJ82" i="124"/>
  <c r="O83" i="124"/>
  <c r="AM83" i="124"/>
  <c r="R84" i="124"/>
  <c r="Z84" i="124"/>
  <c r="AH84" i="124"/>
  <c r="M85" i="124"/>
  <c r="AC85" i="124"/>
  <c r="X86" i="124"/>
  <c r="AF86" i="124"/>
  <c r="AN86" i="124"/>
  <c r="S87" i="124"/>
  <c r="AA87" i="124"/>
  <c r="T87" i="124"/>
  <c r="AJ87" i="124"/>
  <c r="AA48" i="124"/>
  <c r="T51" i="124"/>
  <c r="X80" i="124"/>
  <c r="V82" i="124"/>
  <c r="AL82" i="124"/>
  <c r="Q83" i="124"/>
  <c r="AJ84" i="124"/>
  <c r="O85" i="124"/>
  <c r="AE85" i="124"/>
  <c r="AM85" i="124"/>
  <c r="R86" i="124"/>
  <c r="AC87" i="124"/>
  <c r="AE47" i="124"/>
  <c r="Q80" i="124"/>
  <c r="Y80" i="124"/>
  <c r="AG80" i="124"/>
  <c r="T81" i="124"/>
  <c r="AJ81" i="124"/>
  <c r="O82" i="124"/>
  <c r="AM82" i="124"/>
  <c r="R83" i="124"/>
  <c r="Z83" i="124"/>
  <c r="AH83" i="124"/>
  <c r="M84" i="124"/>
  <c r="AC84" i="124"/>
  <c r="AF85" i="124"/>
  <c r="AN85" i="124"/>
  <c r="S86" i="124"/>
  <c r="V87" i="124"/>
  <c r="AL87" i="124"/>
  <c r="X82" i="124"/>
  <c r="AL84" i="124"/>
  <c r="Q85" i="124"/>
  <c r="AE87" i="124"/>
  <c r="AM87" i="124"/>
  <c r="AJ49" i="124"/>
  <c r="X54" i="124"/>
  <c r="AL47" i="124"/>
  <c r="AM47" i="124"/>
  <c r="AC48" i="124"/>
  <c r="AA52" i="124"/>
  <c r="AE48" i="124"/>
  <c r="AN50" i="124"/>
  <c r="AL48" i="124"/>
  <c r="Q48" i="124"/>
  <c r="AH48" i="124"/>
  <c r="V50" i="124"/>
  <c r="AA51" i="124"/>
  <c r="AH53" i="124"/>
  <c r="V47" i="124"/>
  <c r="V48" i="124"/>
  <c r="AF48" i="124"/>
  <c r="AL49" i="124"/>
  <c r="AE51" i="124"/>
  <c r="AL53" i="124"/>
  <c r="AF47" i="124"/>
  <c r="Z47" i="124"/>
  <c r="AN49" i="124"/>
  <c r="AF50" i="124"/>
  <c r="S51" i="124"/>
  <c r="AG51" i="124"/>
  <c r="AC53" i="124"/>
  <c r="AN53" i="124"/>
  <c r="AA47" i="124"/>
  <c r="Z48" i="124"/>
  <c r="AL52" i="124"/>
  <c r="AJ54" i="124"/>
  <c r="AC49" i="124"/>
  <c r="AJ50" i="124"/>
  <c r="M53" i="124"/>
  <c r="AF53" i="124"/>
  <c r="AC47" i="124"/>
  <c r="AG53" i="124"/>
  <c r="M54" i="124"/>
  <c r="Q54" i="124"/>
  <c r="S54" i="124"/>
  <c r="T54" i="124"/>
  <c r="R48" i="124"/>
  <c r="O50" i="124"/>
  <c r="X50" i="124"/>
  <c r="V52" i="124"/>
  <c r="M49" i="124"/>
  <c r="Y50" i="124"/>
  <c r="V51" i="124"/>
  <c r="Q53" i="124"/>
  <c r="Z52" i="124"/>
  <c r="S50" i="124"/>
  <c r="O51" i="124"/>
  <c r="X51" i="124"/>
  <c r="Q50" i="124"/>
  <c r="Y48" i="124"/>
  <c r="Q49" i="124"/>
  <c r="T50" i="124"/>
  <c r="Y51" i="124"/>
  <c r="Y53" i="124"/>
  <c r="R51" i="124"/>
  <c r="AG49" i="124"/>
  <c r="M47" i="124"/>
  <c r="X48" i="124"/>
  <c r="AN48" i="124"/>
  <c r="S49" i="124"/>
  <c r="AA49" i="124"/>
  <c r="AL50" i="124"/>
  <c r="Q51" i="124"/>
  <c r="T52" i="124"/>
  <c r="AJ52" i="124"/>
  <c r="O53" i="124"/>
  <c r="AE53" i="124"/>
  <c r="AM53" i="124"/>
  <c r="R54" i="124"/>
  <c r="Z54" i="124"/>
  <c r="AH54" i="124"/>
  <c r="T49" i="124"/>
  <c r="AE50" i="124"/>
  <c r="AH51" i="124"/>
  <c r="M52" i="124"/>
  <c r="X53" i="124"/>
  <c r="AA54" i="124"/>
  <c r="S48" i="124"/>
  <c r="AG50" i="124"/>
  <c r="AJ51" i="124"/>
  <c r="O52" i="124"/>
  <c r="AM52" i="124"/>
  <c r="R53" i="124"/>
  <c r="Z53" i="124"/>
  <c r="AC54" i="124"/>
  <c r="X47" i="124"/>
  <c r="AN47" i="124"/>
  <c r="V49" i="124"/>
  <c r="Q47" i="124"/>
  <c r="Y47" i="124"/>
  <c r="AJ48" i="124"/>
  <c r="O49" i="124"/>
  <c r="AE49" i="124"/>
  <c r="AM49" i="124"/>
  <c r="R50" i="124"/>
  <c r="AC51" i="124"/>
  <c r="X52" i="124"/>
  <c r="V54" i="124"/>
  <c r="AL54" i="124"/>
  <c r="R47" i="124"/>
  <c r="AH47" i="124"/>
  <c r="M48" i="124"/>
  <c r="X49" i="124"/>
  <c r="AA50" i="124"/>
  <c r="AL51" i="124"/>
  <c r="Q52" i="124"/>
  <c r="T53" i="124"/>
  <c r="AE54" i="124"/>
  <c r="AM54" i="124"/>
  <c r="AM51" i="124"/>
  <c r="AF54" i="124"/>
  <c r="O47" i="124"/>
  <c r="Y49" i="124"/>
  <c r="R52" i="124"/>
  <c r="R100" i="124"/>
  <c r="AK99" i="124"/>
  <c r="AI99" i="124"/>
  <c r="AN99" i="124" s="1"/>
  <c r="AD99" i="124"/>
  <c r="AB99" i="124"/>
  <c r="AF99" i="124" s="1"/>
  <c r="W99" i="124"/>
  <c r="U99" i="124"/>
  <c r="T99" i="124" s="1"/>
  <c r="P99" i="124"/>
  <c r="N99" i="124"/>
  <c r="O99" i="124" s="1"/>
  <c r="M99" i="124"/>
  <c r="AK98" i="124"/>
  <c r="AI98" i="124"/>
  <c r="AJ98" i="124" s="1"/>
  <c r="AD98" i="124"/>
  <c r="AB98" i="124"/>
  <c r="AC98" i="124" s="1"/>
  <c r="W98" i="124"/>
  <c r="U98" i="124"/>
  <c r="T98" i="124" s="1"/>
  <c r="P98" i="124"/>
  <c r="N98" i="124"/>
  <c r="Q98" i="124" s="1"/>
  <c r="AK97" i="124"/>
  <c r="AI97" i="124"/>
  <c r="AM97" i="124" s="1"/>
  <c r="AD97" i="124"/>
  <c r="AB97" i="124"/>
  <c r="AG97" i="124" s="1"/>
  <c r="W97" i="124"/>
  <c r="U97" i="124"/>
  <c r="P97" i="124"/>
  <c r="N97" i="124"/>
  <c r="S97" i="124" s="1"/>
  <c r="AK96" i="124"/>
  <c r="AI96" i="124"/>
  <c r="AD96" i="124"/>
  <c r="AB96" i="124"/>
  <c r="AF96" i="124" s="1"/>
  <c r="W96" i="124"/>
  <c r="U96" i="124"/>
  <c r="V96" i="124" s="1"/>
  <c r="P96" i="124"/>
  <c r="N96" i="124"/>
  <c r="O96" i="124" s="1"/>
  <c r="AK95" i="124"/>
  <c r="AI95" i="124"/>
  <c r="AD95" i="124"/>
  <c r="AB95" i="124"/>
  <c r="AG95" i="124" s="1"/>
  <c r="W95" i="124"/>
  <c r="U95" i="124"/>
  <c r="X95" i="124" s="1"/>
  <c r="P95" i="124"/>
  <c r="N95" i="124"/>
  <c r="S95" i="124" s="1"/>
  <c r="AK94" i="124"/>
  <c r="AI94" i="124"/>
  <c r="AL94" i="124" s="1"/>
  <c r="AD94" i="124"/>
  <c r="AB94" i="124"/>
  <c r="AA94" i="124" s="1"/>
  <c r="W94" i="124"/>
  <c r="U94" i="124"/>
  <c r="T94" i="124" s="1"/>
  <c r="P94" i="124"/>
  <c r="N94" i="124"/>
  <c r="Q94" i="124" s="1"/>
  <c r="AK93" i="124"/>
  <c r="AI93" i="124"/>
  <c r="AL93" i="124" s="1"/>
  <c r="AD93" i="124"/>
  <c r="AB93" i="124"/>
  <c r="AC93" i="124" s="1"/>
  <c r="W93" i="124"/>
  <c r="U93" i="124"/>
  <c r="V93" i="124" s="1"/>
  <c r="P93" i="124"/>
  <c r="N93" i="124"/>
  <c r="M93" i="124" s="1"/>
  <c r="AK92" i="124"/>
  <c r="AI92" i="124"/>
  <c r="AH92" i="124" s="1"/>
  <c r="AD92" i="124"/>
  <c r="AB92" i="124"/>
  <c r="W92" i="124"/>
  <c r="U92" i="124"/>
  <c r="P92" i="124"/>
  <c r="N92" i="124"/>
  <c r="M92" i="124" s="1"/>
  <c r="R91" i="124"/>
  <c r="AK78" i="124"/>
  <c r="AI78" i="124"/>
  <c r="AJ78" i="124" s="1"/>
  <c r="AD78" i="124"/>
  <c r="AB78" i="124"/>
  <c r="AC78" i="124" s="1"/>
  <c r="W78" i="124"/>
  <c r="U78" i="124"/>
  <c r="V78" i="124" s="1"/>
  <c r="P78" i="124"/>
  <c r="N78" i="124"/>
  <c r="M78" i="124" s="1"/>
  <c r="AK77" i="124"/>
  <c r="AI77" i="124"/>
  <c r="AH77" i="124" s="1"/>
  <c r="AD77" i="124"/>
  <c r="AB77" i="124"/>
  <c r="AC77" i="124" s="1"/>
  <c r="W77" i="124"/>
  <c r="U77" i="124"/>
  <c r="V77" i="124" s="1"/>
  <c r="P77" i="124"/>
  <c r="N77" i="124"/>
  <c r="Q77" i="124" s="1"/>
  <c r="AK76" i="124"/>
  <c r="AI76" i="124"/>
  <c r="AN76" i="124" s="1"/>
  <c r="AD76" i="124"/>
  <c r="AB76" i="124"/>
  <c r="W76" i="124"/>
  <c r="U76" i="124"/>
  <c r="V76" i="124" s="1"/>
  <c r="P76" i="124"/>
  <c r="N76" i="124"/>
  <c r="M76" i="124" s="1"/>
  <c r="AK75" i="124"/>
  <c r="AI75" i="124"/>
  <c r="AH75" i="124" s="1"/>
  <c r="AD75" i="124"/>
  <c r="AB75" i="124"/>
  <c r="AG75" i="124" s="1"/>
  <c r="W75" i="124"/>
  <c r="U75" i="124"/>
  <c r="X75" i="124" s="1"/>
  <c r="P75" i="124"/>
  <c r="N75" i="124"/>
  <c r="AK74" i="124"/>
  <c r="AI74" i="124"/>
  <c r="AH74" i="124" s="1"/>
  <c r="AD74" i="124"/>
  <c r="AB74" i="124"/>
  <c r="AC74" i="124" s="1"/>
  <c r="W74" i="124"/>
  <c r="U74" i="124"/>
  <c r="Z74" i="124" s="1"/>
  <c r="P74" i="124"/>
  <c r="N74" i="124"/>
  <c r="Q74" i="124" s="1"/>
  <c r="AK73" i="124"/>
  <c r="AI73" i="124"/>
  <c r="AL73" i="124" s="1"/>
  <c r="AD73" i="124"/>
  <c r="AB73" i="124"/>
  <c r="AA73" i="124" s="1"/>
  <c r="W73" i="124"/>
  <c r="U73" i="124"/>
  <c r="T73" i="124" s="1"/>
  <c r="P73" i="124"/>
  <c r="N73" i="124"/>
  <c r="S73" i="124" s="1"/>
  <c r="AK72" i="124"/>
  <c r="AI72" i="124"/>
  <c r="AN72" i="124" s="1"/>
  <c r="AD72" i="124"/>
  <c r="AB72" i="124"/>
  <c r="AE72" i="124" s="1"/>
  <c r="W72" i="124"/>
  <c r="U72" i="124"/>
  <c r="T72" i="124" s="1"/>
  <c r="P72" i="124"/>
  <c r="N72" i="124"/>
  <c r="O72" i="124" s="1"/>
  <c r="AK71" i="124"/>
  <c r="AI71" i="124"/>
  <c r="AJ71" i="124" s="1"/>
  <c r="AD71" i="124"/>
  <c r="AB71" i="124"/>
  <c r="AG71" i="124" s="1"/>
  <c r="AA71" i="124"/>
  <c r="W71" i="124"/>
  <c r="U71" i="124"/>
  <c r="X71" i="124" s="1"/>
  <c r="P71" i="124"/>
  <c r="N71" i="124"/>
  <c r="AK70" i="124"/>
  <c r="AI70" i="124"/>
  <c r="AJ70" i="124" s="1"/>
  <c r="AH70" i="124"/>
  <c r="AD70" i="124"/>
  <c r="AB70" i="124"/>
  <c r="W70" i="124"/>
  <c r="U70" i="124"/>
  <c r="T70" i="124" s="1"/>
  <c r="P70" i="124"/>
  <c r="N70" i="124"/>
  <c r="AK69" i="124"/>
  <c r="AI69" i="124"/>
  <c r="AL69" i="124" s="1"/>
  <c r="AD69" i="124"/>
  <c r="AB69" i="124"/>
  <c r="AA69" i="124" s="1"/>
  <c r="W69" i="124"/>
  <c r="U69" i="124"/>
  <c r="Y69" i="124" s="1"/>
  <c r="P69" i="124"/>
  <c r="N69" i="124"/>
  <c r="O69" i="124" s="1"/>
  <c r="AK68" i="124"/>
  <c r="AI68" i="124"/>
  <c r="AJ68" i="124" s="1"/>
  <c r="AH68" i="124"/>
  <c r="AD68" i="124"/>
  <c r="AB68" i="124"/>
  <c r="AE68" i="124" s="1"/>
  <c r="W68" i="124"/>
  <c r="U68" i="124"/>
  <c r="T68" i="124" s="1"/>
  <c r="P68" i="124"/>
  <c r="N68" i="124"/>
  <c r="M68" i="124" s="1"/>
  <c r="AK67" i="124"/>
  <c r="AI67" i="124"/>
  <c r="AD67" i="124"/>
  <c r="AB67" i="124"/>
  <c r="AA67" i="124" s="1"/>
  <c r="W67" i="124"/>
  <c r="U67" i="124"/>
  <c r="P67" i="124"/>
  <c r="N67" i="124"/>
  <c r="M67" i="124" s="1"/>
  <c r="AK66" i="124"/>
  <c r="AI66" i="124"/>
  <c r="AH66" i="124" s="1"/>
  <c r="AD66" i="124"/>
  <c r="AB66" i="124"/>
  <c r="AC66" i="124" s="1"/>
  <c r="W66" i="124"/>
  <c r="U66" i="124"/>
  <c r="Y66" i="124" s="1"/>
  <c r="P66" i="124"/>
  <c r="N66" i="124"/>
  <c r="O66" i="124" s="1"/>
  <c r="AK65" i="124"/>
  <c r="AI65" i="124"/>
  <c r="AD65" i="124"/>
  <c r="AB65" i="124"/>
  <c r="AE65" i="124" s="1"/>
  <c r="W65" i="124"/>
  <c r="U65" i="124"/>
  <c r="P65" i="124"/>
  <c r="N65" i="124"/>
  <c r="Q65" i="124" s="1"/>
  <c r="AK64" i="124"/>
  <c r="AI64" i="124"/>
  <c r="AN64" i="124" s="1"/>
  <c r="AD64" i="124"/>
  <c r="AB64" i="124"/>
  <c r="AE64" i="124" s="1"/>
  <c r="W64" i="124"/>
  <c r="U64" i="124"/>
  <c r="P64" i="124"/>
  <c r="N64" i="124"/>
  <c r="O64" i="124" s="1"/>
  <c r="AK63" i="124"/>
  <c r="AI63" i="124"/>
  <c r="AJ63" i="124" s="1"/>
  <c r="AD63" i="124"/>
  <c r="AB63" i="124"/>
  <c r="AA63" i="124" s="1"/>
  <c r="W63" i="124"/>
  <c r="U63" i="124"/>
  <c r="P63" i="124"/>
  <c r="N63" i="124"/>
  <c r="AK62" i="124"/>
  <c r="AI62" i="124"/>
  <c r="AD62" i="124"/>
  <c r="AB62" i="124"/>
  <c r="AG62" i="124" s="1"/>
  <c r="W62" i="124"/>
  <c r="U62" i="124"/>
  <c r="X62" i="124" s="1"/>
  <c r="P62" i="124"/>
  <c r="N62" i="124"/>
  <c r="Q62" i="124" s="1"/>
  <c r="AK61" i="124"/>
  <c r="AI61" i="124"/>
  <c r="AL61" i="124" s="1"/>
  <c r="AD61" i="124"/>
  <c r="AB61" i="124"/>
  <c r="AA61" i="124" s="1"/>
  <c r="W61" i="124"/>
  <c r="U61" i="124"/>
  <c r="V61" i="124" s="1"/>
  <c r="P61" i="124"/>
  <c r="N61" i="124"/>
  <c r="S61" i="124" s="1"/>
  <c r="AK60" i="124"/>
  <c r="AI60" i="124"/>
  <c r="AN60" i="124" s="1"/>
  <c r="AD60" i="124"/>
  <c r="AB60" i="124"/>
  <c r="AG60" i="124" s="1"/>
  <c r="W60" i="124"/>
  <c r="U60" i="124"/>
  <c r="X60" i="124" s="1"/>
  <c r="P60" i="124"/>
  <c r="N60" i="124"/>
  <c r="S60" i="124" s="1"/>
  <c r="R59" i="124"/>
  <c r="AK58" i="124"/>
  <c r="AI58" i="124"/>
  <c r="AJ58" i="124" s="1"/>
  <c r="AD58" i="124"/>
  <c r="AB58" i="124"/>
  <c r="W58" i="124"/>
  <c r="U58" i="124"/>
  <c r="T58" i="124" s="1"/>
  <c r="P58" i="124"/>
  <c r="N58" i="124"/>
  <c r="AK57" i="124"/>
  <c r="AI57" i="124"/>
  <c r="AD57" i="124"/>
  <c r="AB57" i="124"/>
  <c r="AA57" i="124" s="1"/>
  <c r="W57" i="124"/>
  <c r="U57" i="124"/>
  <c r="Y57" i="124" s="1"/>
  <c r="P57" i="124"/>
  <c r="N57" i="124"/>
  <c r="S57" i="124" s="1"/>
  <c r="AK56" i="124"/>
  <c r="AI56" i="124"/>
  <c r="AN56" i="124" s="1"/>
  <c r="AD56" i="124"/>
  <c r="AB56" i="124"/>
  <c r="AE56" i="124" s="1"/>
  <c r="W56" i="124"/>
  <c r="U56" i="124"/>
  <c r="P56" i="124"/>
  <c r="N56" i="124"/>
  <c r="O56" i="124" s="1"/>
  <c r="AK45" i="124"/>
  <c r="AI45" i="124"/>
  <c r="AN45" i="124" s="1"/>
  <c r="AD45" i="124"/>
  <c r="AB45" i="124"/>
  <c r="AE45" i="124" s="1"/>
  <c r="W45" i="124"/>
  <c r="U45" i="124"/>
  <c r="Y45" i="124" s="1"/>
  <c r="P45" i="124"/>
  <c r="N45" i="124"/>
  <c r="M45" i="124" s="1"/>
  <c r="AK44" i="124"/>
  <c r="AI44" i="124"/>
  <c r="AJ44" i="124" s="1"/>
  <c r="AD44" i="124"/>
  <c r="AB44" i="124"/>
  <c r="AA44" i="124" s="1"/>
  <c r="W44" i="124"/>
  <c r="U44" i="124"/>
  <c r="Z44" i="124" s="1"/>
  <c r="P44" i="124"/>
  <c r="N44" i="124"/>
  <c r="R44" i="124" s="1"/>
  <c r="AK43" i="124"/>
  <c r="AI43" i="124"/>
  <c r="AJ43" i="124" s="1"/>
  <c r="AD43" i="124"/>
  <c r="AB43" i="124"/>
  <c r="AA43" i="124" s="1"/>
  <c r="W43" i="124"/>
  <c r="U43" i="124"/>
  <c r="Z43" i="124" s="1"/>
  <c r="P43" i="124"/>
  <c r="N43" i="124"/>
  <c r="Q43" i="124" s="1"/>
  <c r="AK42" i="124"/>
  <c r="AI42" i="124"/>
  <c r="AD42" i="124"/>
  <c r="AB42" i="124"/>
  <c r="AF42" i="124" s="1"/>
  <c r="W42" i="124"/>
  <c r="U42" i="124"/>
  <c r="T42" i="124" s="1"/>
  <c r="P42" i="124"/>
  <c r="N42" i="124"/>
  <c r="M42" i="124" s="1"/>
  <c r="AK41" i="124"/>
  <c r="AI41" i="124"/>
  <c r="AN41" i="124" s="1"/>
  <c r="AD41" i="124"/>
  <c r="AB41" i="124"/>
  <c r="AG41" i="124" s="1"/>
  <c r="W41" i="124"/>
  <c r="U41" i="124"/>
  <c r="V41" i="124" s="1"/>
  <c r="P41" i="124"/>
  <c r="N41" i="124"/>
  <c r="M41" i="124" s="1"/>
  <c r="AK40" i="124"/>
  <c r="AI40" i="124"/>
  <c r="AL40" i="124" s="1"/>
  <c r="AD40" i="124"/>
  <c r="AB40" i="124"/>
  <c r="AC40" i="124" s="1"/>
  <c r="W40" i="124"/>
  <c r="U40" i="124"/>
  <c r="T40" i="124" s="1"/>
  <c r="P40" i="124"/>
  <c r="N40" i="124"/>
  <c r="O40" i="124" s="1"/>
  <c r="AK39" i="124"/>
  <c r="AI39" i="124"/>
  <c r="AH39" i="124" s="1"/>
  <c r="AD39" i="124"/>
  <c r="AB39" i="124"/>
  <c r="AA39" i="124" s="1"/>
  <c r="W39" i="124"/>
  <c r="U39" i="124"/>
  <c r="T39" i="124" s="1"/>
  <c r="P39" i="124"/>
  <c r="N39" i="124"/>
  <c r="M39" i="124" s="1"/>
  <c r="AK38" i="124"/>
  <c r="AI38" i="124"/>
  <c r="AD38" i="124"/>
  <c r="AB38" i="124"/>
  <c r="AF38" i="124" s="1"/>
  <c r="W38" i="124"/>
  <c r="U38" i="124"/>
  <c r="V38" i="124" s="1"/>
  <c r="P38" i="124"/>
  <c r="N38" i="124"/>
  <c r="S38" i="124" s="1"/>
  <c r="AK36" i="124"/>
  <c r="AI36" i="124"/>
  <c r="AN36" i="124" s="1"/>
  <c r="AD36" i="124"/>
  <c r="AB36" i="124"/>
  <c r="AE36" i="124" s="1"/>
  <c r="W36" i="124"/>
  <c r="U36" i="124"/>
  <c r="V36" i="124" s="1"/>
  <c r="P36" i="124"/>
  <c r="N36" i="124"/>
  <c r="O36" i="124" s="1"/>
  <c r="AK35" i="124"/>
  <c r="AI35" i="124"/>
  <c r="AJ35" i="124" s="1"/>
  <c r="AD35" i="124"/>
  <c r="AB35" i="124"/>
  <c r="AG35" i="124" s="1"/>
  <c r="W35" i="124"/>
  <c r="U35" i="124"/>
  <c r="T35" i="124" s="1"/>
  <c r="P35" i="124"/>
  <c r="N35" i="124"/>
  <c r="S35" i="124" s="1"/>
  <c r="AK34" i="124"/>
  <c r="AI34" i="124"/>
  <c r="AN34" i="124" s="1"/>
  <c r="AD34" i="124"/>
  <c r="AB34" i="124"/>
  <c r="AE34" i="124" s="1"/>
  <c r="W34" i="124"/>
  <c r="U34" i="124"/>
  <c r="Y34" i="124" s="1"/>
  <c r="P34" i="124"/>
  <c r="N34" i="124"/>
  <c r="S34" i="124" s="1"/>
  <c r="AK33" i="124"/>
  <c r="AI33" i="124"/>
  <c r="AN33" i="124" s="1"/>
  <c r="AD33" i="124"/>
  <c r="AB33" i="124"/>
  <c r="AF33" i="124" s="1"/>
  <c r="W33" i="124"/>
  <c r="U33" i="124"/>
  <c r="V33" i="124" s="1"/>
  <c r="P33" i="124"/>
  <c r="N33" i="124"/>
  <c r="Q33" i="124" s="1"/>
  <c r="AK32" i="124"/>
  <c r="AI32" i="124"/>
  <c r="AL32" i="124" s="1"/>
  <c r="AD32" i="124"/>
  <c r="AB32" i="124"/>
  <c r="AC32" i="124" s="1"/>
  <c r="W32" i="124"/>
  <c r="U32" i="124"/>
  <c r="Z32" i="124" s="1"/>
  <c r="P32" i="124"/>
  <c r="N32" i="124"/>
  <c r="M32" i="124" s="1"/>
  <c r="AK31" i="124"/>
  <c r="AI31" i="124"/>
  <c r="AH31" i="124" s="1"/>
  <c r="AD31" i="124"/>
  <c r="AB31" i="124"/>
  <c r="AG31" i="124" s="1"/>
  <c r="W31" i="124"/>
  <c r="U31" i="124"/>
  <c r="Z31" i="124" s="1"/>
  <c r="P31" i="124"/>
  <c r="N31" i="124"/>
  <c r="R31" i="124" s="1"/>
  <c r="AK30" i="124"/>
  <c r="AI30" i="124"/>
  <c r="AM30" i="124" s="1"/>
  <c r="AD30" i="124"/>
  <c r="AB30" i="124"/>
  <c r="AC30" i="124" s="1"/>
  <c r="W30" i="124"/>
  <c r="U30" i="124"/>
  <c r="X30" i="124" s="1"/>
  <c r="P30" i="124"/>
  <c r="N30" i="124"/>
  <c r="O30" i="124" s="1"/>
  <c r="R37" i="124"/>
  <c r="L18" i="124"/>
  <c r="L17" i="124"/>
  <c r="L15" i="124"/>
  <c r="L14" i="124"/>
  <c r="L13" i="124"/>
  <c r="AN89" i="7"/>
  <c r="AK89" i="7"/>
  <c r="AI89" i="7"/>
  <c r="AM89" i="7" s="1"/>
  <c r="AH89" i="7"/>
  <c r="AG89" i="7"/>
  <c r="AF89" i="7"/>
  <c r="AD89" i="7"/>
  <c r="AC89" i="7"/>
  <c r="AB89" i="7"/>
  <c r="AE89" i="7" s="1"/>
  <c r="AA89" i="7"/>
  <c r="Z89" i="7"/>
  <c r="Y89" i="7"/>
  <c r="W89" i="7"/>
  <c r="U89" i="7"/>
  <c r="X89" i="7" s="1"/>
  <c r="R89" i="7"/>
  <c r="Q89" i="7"/>
  <c r="P89" i="7"/>
  <c r="N89" i="7"/>
  <c r="O89" i="7" s="1"/>
  <c r="M89" i="7"/>
  <c r="L89" i="7"/>
  <c r="AM88" i="7"/>
  <c r="AL88" i="7"/>
  <c r="AK88" i="7"/>
  <c r="AI88" i="7"/>
  <c r="AJ88" i="7" s="1"/>
  <c r="AH88" i="7"/>
  <c r="AG88" i="7"/>
  <c r="AF88" i="7"/>
  <c r="AE88" i="7"/>
  <c r="AD88" i="7"/>
  <c r="AC88" i="7"/>
  <c r="AB88" i="7"/>
  <c r="AA88" i="7"/>
  <c r="W88" i="7"/>
  <c r="V88" i="7"/>
  <c r="U88" i="7"/>
  <c r="T88" i="7" s="1"/>
  <c r="P88" i="7"/>
  <c r="N88" i="7"/>
  <c r="M88" i="7" s="1"/>
  <c r="L88" i="7"/>
  <c r="AK87" i="7"/>
  <c r="AI87" i="7"/>
  <c r="AH87" i="7" s="1"/>
  <c r="AD87" i="7"/>
  <c r="AB87" i="7"/>
  <c r="AG87" i="7" s="1"/>
  <c r="AA87" i="7"/>
  <c r="Z87" i="7"/>
  <c r="W87" i="7"/>
  <c r="U87" i="7"/>
  <c r="Y87" i="7" s="1"/>
  <c r="T87" i="7"/>
  <c r="S87" i="7"/>
  <c r="R87" i="7"/>
  <c r="P87" i="7"/>
  <c r="O87" i="7"/>
  <c r="N87" i="7"/>
  <c r="Q87" i="7" s="1"/>
  <c r="M87" i="7"/>
  <c r="L87" i="7"/>
  <c r="AN86" i="7"/>
  <c r="AM86" i="7"/>
  <c r="AK86" i="7"/>
  <c r="AJ86" i="7"/>
  <c r="AI86" i="7"/>
  <c r="AL86" i="7" s="1"/>
  <c r="AH86" i="7"/>
  <c r="AG86" i="7"/>
  <c r="AF86" i="7"/>
  <c r="AE86" i="7"/>
  <c r="AD86" i="7"/>
  <c r="AB86" i="7"/>
  <c r="AC86" i="7" s="1"/>
  <c r="Y86" i="7"/>
  <c r="X86" i="7"/>
  <c r="W86" i="7"/>
  <c r="U86" i="7"/>
  <c r="V86" i="7" s="1"/>
  <c r="T86" i="7"/>
  <c r="R86" i="7"/>
  <c r="Q86" i="7"/>
  <c r="P86" i="7"/>
  <c r="O86" i="7"/>
  <c r="N86" i="7"/>
  <c r="S86" i="7" s="1"/>
  <c r="M86" i="7"/>
  <c r="L86" i="7"/>
  <c r="AM85" i="7"/>
  <c r="AL85" i="7"/>
  <c r="AK85" i="7"/>
  <c r="AJ85" i="7"/>
  <c r="AI85" i="7"/>
  <c r="AN85" i="7" s="1"/>
  <c r="AH85" i="7"/>
  <c r="AD85" i="7"/>
  <c r="AC85" i="7"/>
  <c r="AB85" i="7"/>
  <c r="AA85" i="7" s="1"/>
  <c r="W85" i="7"/>
  <c r="U85" i="7"/>
  <c r="T85" i="7" s="1"/>
  <c r="P85" i="7"/>
  <c r="N85" i="7"/>
  <c r="S85" i="7" s="1"/>
  <c r="M85" i="7"/>
  <c r="L85" i="7"/>
  <c r="AK84" i="7"/>
  <c r="AI84" i="7"/>
  <c r="AN84" i="7" s="1"/>
  <c r="AH84" i="7"/>
  <c r="AG84" i="7"/>
  <c r="AE84" i="7"/>
  <c r="AD84" i="7"/>
  <c r="AB84" i="7"/>
  <c r="AF84" i="7" s="1"/>
  <c r="AA84" i="7"/>
  <c r="Z84" i="7"/>
  <c r="Y84" i="7"/>
  <c r="W84" i="7"/>
  <c r="V84" i="7"/>
  <c r="U84" i="7"/>
  <c r="X84" i="7" s="1"/>
  <c r="T84" i="7"/>
  <c r="S84" i="7"/>
  <c r="R84" i="7"/>
  <c r="Q84" i="7"/>
  <c r="P84" i="7"/>
  <c r="N84" i="7"/>
  <c r="O84" i="7" s="1"/>
  <c r="L84" i="7"/>
  <c r="AN83" i="7"/>
  <c r="AM83" i="7"/>
  <c r="AL83" i="7"/>
  <c r="AK83" i="7"/>
  <c r="AI83" i="7"/>
  <c r="AJ83" i="7" s="1"/>
  <c r="AF83" i="7"/>
  <c r="AE83" i="7"/>
  <c r="AD83" i="7"/>
  <c r="AB83" i="7"/>
  <c r="AC83" i="7" s="1"/>
  <c r="AA83" i="7"/>
  <c r="Z83" i="7"/>
  <c r="Y83" i="7"/>
  <c r="X83" i="7"/>
  <c r="W83" i="7"/>
  <c r="V83" i="7"/>
  <c r="U83" i="7"/>
  <c r="T83" i="7"/>
  <c r="P83" i="7"/>
  <c r="O83" i="7"/>
  <c r="N83" i="7"/>
  <c r="M83" i="7" s="1"/>
  <c r="L83" i="7"/>
  <c r="AK82" i="7"/>
  <c r="AJ82" i="7"/>
  <c r="AI82" i="7"/>
  <c r="AH82" i="7" s="1"/>
  <c r="AD82" i="7"/>
  <c r="AB82" i="7"/>
  <c r="AA82" i="7" s="1"/>
  <c r="W82" i="7"/>
  <c r="U82" i="7"/>
  <c r="Z82" i="7" s="1"/>
  <c r="T82" i="7"/>
  <c r="S82" i="7"/>
  <c r="Q82" i="7"/>
  <c r="P82" i="7"/>
  <c r="N82" i="7"/>
  <c r="R82" i="7" s="1"/>
  <c r="M82" i="7"/>
  <c r="L82" i="7"/>
  <c r="AN81" i="7"/>
  <c r="AL81" i="7"/>
  <c r="AK81" i="7"/>
  <c r="AI81" i="7"/>
  <c r="AM81" i="7" s="1"/>
  <c r="AH81" i="7"/>
  <c r="AG81" i="7"/>
  <c r="AF81" i="7"/>
  <c r="AD81" i="7"/>
  <c r="AC81" i="7"/>
  <c r="AB81" i="7"/>
  <c r="AE81" i="7" s="1"/>
  <c r="AA81" i="7"/>
  <c r="Z81" i="7"/>
  <c r="Y81" i="7"/>
  <c r="X81" i="7"/>
  <c r="W81" i="7"/>
  <c r="U81" i="7"/>
  <c r="V81" i="7" s="1"/>
  <c r="R81" i="7"/>
  <c r="Q81" i="7"/>
  <c r="P81" i="7"/>
  <c r="N81" i="7"/>
  <c r="O81" i="7" s="1"/>
  <c r="M81" i="7"/>
  <c r="L81" i="7"/>
  <c r="AM80" i="7"/>
  <c r="AL80" i="7"/>
  <c r="AK80" i="7"/>
  <c r="AI80" i="7"/>
  <c r="AJ80" i="7" s="1"/>
  <c r="AH80" i="7"/>
  <c r="AG80" i="7"/>
  <c r="AF80" i="7"/>
  <c r="AE80" i="7"/>
  <c r="AD80" i="7"/>
  <c r="AC80" i="7"/>
  <c r="AB80" i="7"/>
  <c r="AA80" i="7"/>
  <c r="W80" i="7"/>
  <c r="V80" i="7"/>
  <c r="U80" i="7"/>
  <c r="T80" i="7" s="1"/>
  <c r="P80" i="7"/>
  <c r="N80" i="7"/>
  <c r="M80" i="7" s="1"/>
  <c r="L80" i="7"/>
  <c r="AK79" i="7"/>
  <c r="AI79" i="7"/>
  <c r="AH79" i="7" s="1"/>
  <c r="AD79" i="7"/>
  <c r="AB79" i="7"/>
  <c r="AG79" i="7" s="1"/>
  <c r="AA79" i="7"/>
  <c r="Z79" i="7"/>
  <c r="X79" i="7"/>
  <c r="W79" i="7"/>
  <c r="U79" i="7"/>
  <c r="Y79" i="7" s="1"/>
  <c r="T79" i="7"/>
  <c r="S79" i="7"/>
  <c r="R79" i="7"/>
  <c r="P79" i="7"/>
  <c r="O79" i="7"/>
  <c r="N79" i="7"/>
  <c r="Q79" i="7" s="1"/>
  <c r="M79" i="7"/>
  <c r="L79" i="7"/>
  <c r="AN78" i="7"/>
  <c r="AM78" i="7"/>
  <c r="AK78" i="7"/>
  <c r="AJ78" i="7"/>
  <c r="AI78" i="7"/>
  <c r="AL78" i="7" s="1"/>
  <c r="AH78" i="7"/>
  <c r="AG78" i="7"/>
  <c r="AF78" i="7"/>
  <c r="AE78" i="7"/>
  <c r="AD78" i="7"/>
  <c r="AB78" i="7"/>
  <c r="AC78" i="7" s="1"/>
  <c r="Y78" i="7"/>
  <c r="X78" i="7"/>
  <c r="W78" i="7"/>
  <c r="U78" i="7"/>
  <c r="V78" i="7" s="1"/>
  <c r="T78" i="7"/>
  <c r="S78" i="7"/>
  <c r="R78" i="7"/>
  <c r="Q78" i="7"/>
  <c r="P78" i="7"/>
  <c r="O78" i="7"/>
  <c r="N78" i="7"/>
  <c r="M78" i="7"/>
  <c r="L78" i="7"/>
  <c r="AK76" i="7"/>
  <c r="AI76" i="7"/>
  <c r="AN76" i="7" s="1"/>
  <c r="AH76" i="7"/>
  <c r="AG76" i="7"/>
  <c r="AD76" i="7"/>
  <c r="AB76" i="7"/>
  <c r="AF76" i="7" s="1"/>
  <c r="AA76" i="7"/>
  <c r="W76" i="7"/>
  <c r="U76" i="7"/>
  <c r="X76" i="7" s="1"/>
  <c r="S76" i="7"/>
  <c r="Q76" i="7"/>
  <c r="P76" i="7"/>
  <c r="N76" i="7"/>
  <c r="O76" i="7" s="1"/>
  <c r="M76" i="7"/>
  <c r="L76" i="7"/>
  <c r="AN75" i="7"/>
  <c r="AM75" i="7"/>
  <c r="AK75" i="7"/>
  <c r="AI75" i="7"/>
  <c r="AJ75" i="7" s="1"/>
  <c r="AG75" i="7"/>
  <c r="AF75" i="7"/>
  <c r="AE75" i="7"/>
  <c r="AD75" i="7"/>
  <c r="AB75" i="7"/>
  <c r="AC75" i="7" s="1"/>
  <c r="AA75" i="7"/>
  <c r="W75" i="7"/>
  <c r="V75" i="7"/>
  <c r="U75" i="7"/>
  <c r="T75" i="7" s="1"/>
  <c r="P75" i="7"/>
  <c r="O75" i="7"/>
  <c r="N75" i="7"/>
  <c r="M75" i="7" s="1"/>
  <c r="L75" i="7"/>
  <c r="AK74" i="7"/>
  <c r="AJ74" i="7"/>
  <c r="AI74" i="7"/>
  <c r="AH74" i="7" s="1"/>
  <c r="AD74" i="7"/>
  <c r="AB74" i="7"/>
  <c r="AG74" i="7" s="1"/>
  <c r="W74" i="7"/>
  <c r="U74" i="7"/>
  <c r="Z74" i="7" s="1"/>
  <c r="T74" i="7"/>
  <c r="S74" i="7"/>
  <c r="P74" i="7"/>
  <c r="O74" i="7"/>
  <c r="N74" i="7"/>
  <c r="R74" i="7" s="1"/>
  <c r="M74" i="7"/>
  <c r="L74" i="7"/>
  <c r="AK73" i="7"/>
  <c r="AI73" i="7"/>
  <c r="AM73" i="7" s="1"/>
  <c r="AF73" i="7"/>
  <c r="AD73" i="7"/>
  <c r="AB73" i="7"/>
  <c r="AE73" i="7" s="1"/>
  <c r="Z73" i="7"/>
  <c r="Y73" i="7"/>
  <c r="X73" i="7"/>
  <c r="W73" i="7"/>
  <c r="U73" i="7"/>
  <c r="V73" i="7" s="1"/>
  <c r="T73" i="7"/>
  <c r="P73" i="7"/>
  <c r="N73" i="7"/>
  <c r="O73" i="7" s="1"/>
  <c r="L73" i="7"/>
  <c r="AK72" i="7"/>
  <c r="AI72" i="7"/>
  <c r="AJ72" i="7" s="1"/>
  <c r="AH72" i="7"/>
  <c r="AG72" i="7"/>
  <c r="AE72" i="7"/>
  <c r="AD72" i="7"/>
  <c r="AB72" i="7"/>
  <c r="AF72" i="7" s="1"/>
  <c r="AA72" i="7"/>
  <c r="W72" i="7"/>
  <c r="V72" i="7"/>
  <c r="U72" i="7"/>
  <c r="T72" i="7" s="1"/>
  <c r="P72" i="7"/>
  <c r="N72" i="7"/>
  <c r="S72" i="7" s="1"/>
  <c r="L72" i="7"/>
  <c r="AK71" i="7"/>
  <c r="AI71" i="7"/>
  <c r="AN71" i="7" s="1"/>
  <c r="AD71" i="7"/>
  <c r="AB71" i="7"/>
  <c r="AG71" i="7" s="1"/>
  <c r="Z71" i="7"/>
  <c r="W71" i="7"/>
  <c r="U71" i="7"/>
  <c r="Y71" i="7" s="1"/>
  <c r="T71" i="7"/>
  <c r="S71" i="7"/>
  <c r="R71" i="7"/>
  <c r="P71" i="7"/>
  <c r="N71" i="7"/>
  <c r="Q71" i="7" s="1"/>
  <c r="L71" i="7"/>
  <c r="AK70" i="7"/>
  <c r="AI70" i="7"/>
  <c r="AL70" i="7" s="1"/>
  <c r="AG70" i="7"/>
  <c r="AF70" i="7"/>
  <c r="AE70" i="7"/>
  <c r="AD70" i="7"/>
  <c r="AB70" i="7"/>
  <c r="AC70" i="7" s="1"/>
  <c r="AA70" i="7"/>
  <c r="Z70" i="7"/>
  <c r="Y70" i="7"/>
  <c r="X70" i="7"/>
  <c r="W70" i="7"/>
  <c r="U70" i="7"/>
  <c r="V70" i="7" s="1"/>
  <c r="R70" i="7"/>
  <c r="Q70" i="7"/>
  <c r="P70" i="7"/>
  <c r="O70" i="7"/>
  <c r="N70" i="7"/>
  <c r="S70" i="7" s="1"/>
  <c r="M70" i="7"/>
  <c r="L70" i="7"/>
  <c r="AM69" i="7"/>
  <c r="AL69" i="7"/>
  <c r="AK69" i="7"/>
  <c r="AJ69" i="7"/>
  <c r="AI69" i="7"/>
  <c r="AN69" i="7" s="1"/>
  <c r="AH69" i="7"/>
  <c r="AD69" i="7"/>
  <c r="AB69" i="7"/>
  <c r="AA69" i="7" s="1"/>
  <c r="W69" i="7"/>
  <c r="U69" i="7"/>
  <c r="Z69" i="7" s="1"/>
  <c r="P69" i="7"/>
  <c r="N69" i="7"/>
  <c r="S69" i="7" s="1"/>
  <c r="M69" i="7"/>
  <c r="L69" i="7"/>
  <c r="AK68" i="7"/>
  <c r="AI68" i="7"/>
  <c r="AN68" i="7" s="1"/>
  <c r="AH68" i="7"/>
  <c r="AG68" i="7"/>
  <c r="AD68" i="7"/>
  <c r="AB68" i="7"/>
  <c r="AF68" i="7" s="1"/>
  <c r="AA68" i="7"/>
  <c r="W68" i="7"/>
  <c r="U68" i="7"/>
  <c r="X68" i="7" s="1"/>
  <c r="S68" i="7"/>
  <c r="R68" i="7"/>
  <c r="P68" i="7"/>
  <c r="N68" i="7"/>
  <c r="O68" i="7" s="1"/>
  <c r="L68" i="7"/>
  <c r="AN67" i="7"/>
  <c r="AM67" i="7"/>
  <c r="AL67" i="7"/>
  <c r="AK67" i="7"/>
  <c r="AI67" i="7"/>
  <c r="AJ67" i="7" s="1"/>
  <c r="AE67" i="7"/>
  <c r="AD67" i="7"/>
  <c r="AB67" i="7"/>
  <c r="AC67" i="7" s="1"/>
  <c r="W67" i="7"/>
  <c r="U67" i="7"/>
  <c r="T67" i="7" s="1"/>
  <c r="P67" i="7"/>
  <c r="O67" i="7"/>
  <c r="N67" i="7"/>
  <c r="M67" i="7" s="1"/>
  <c r="L67" i="7"/>
  <c r="AK66" i="7"/>
  <c r="AI66" i="7"/>
  <c r="AH66" i="7" s="1"/>
  <c r="AD66" i="7"/>
  <c r="AB66" i="7"/>
  <c r="AG66" i="7" s="1"/>
  <c r="W66" i="7"/>
  <c r="U66" i="7"/>
  <c r="Z66" i="7" s="1"/>
  <c r="P66" i="7"/>
  <c r="N66" i="7"/>
  <c r="R66" i="7" s="1"/>
  <c r="L66" i="7"/>
  <c r="AN65" i="7"/>
  <c r="AK65" i="7"/>
  <c r="AI65" i="7"/>
  <c r="AM65" i="7" s="1"/>
  <c r="AH65" i="7"/>
  <c r="AG65" i="7"/>
  <c r="AF65" i="7"/>
  <c r="AD65" i="7"/>
  <c r="AB65" i="7"/>
  <c r="AE65" i="7" s="1"/>
  <c r="AA65" i="7"/>
  <c r="W65" i="7"/>
  <c r="U65" i="7"/>
  <c r="V65" i="7" s="1"/>
  <c r="R65" i="7"/>
  <c r="Q65" i="7"/>
  <c r="P65" i="7"/>
  <c r="N65" i="7"/>
  <c r="O65" i="7" s="1"/>
  <c r="M65" i="7"/>
  <c r="L65" i="7"/>
  <c r="AK94" i="7"/>
  <c r="AI94" i="7"/>
  <c r="AN94" i="7" s="1"/>
  <c r="AH94" i="7"/>
  <c r="AG94" i="7"/>
  <c r="AD94" i="7"/>
  <c r="AB94" i="7"/>
  <c r="AF94" i="7" s="1"/>
  <c r="W94" i="7"/>
  <c r="U94" i="7"/>
  <c r="X94" i="7" s="1"/>
  <c r="P94" i="7"/>
  <c r="N94" i="7"/>
  <c r="O94" i="7" s="1"/>
  <c r="L94" i="7"/>
  <c r="AK93" i="7"/>
  <c r="AI93" i="7"/>
  <c r="AJ93" i="7" s="1"/>
  <c r="AD93" i="7"/>
  <c r="AB93" i="7"/>
  <c r="AC93" i="7" s="1"/>
  <c r="Z93" i="7"/>
  <c r="Y93" i="7"/>
  <c r="W93" i="7"/>
  <c r="U93" i="7"/>
  <c r="T93" i="7" s="1"/>
  <c r="P93" i="7"/>
  <c r="N93" i="7"/>
  <c r="M93" i="7" s="1"/>
  <c r="L93" i="7"/>
  <c r="AK92" i="7"/>
  <c r="AI92" i="7"/>
  <c r="AH92" i="7" s="1"/>
  <c r="AD92" i="7"/>
  <c r="AB92" i="7"/>
  <c r="AG92" i="7" s="1"/>
  <c r="AA92" i="7"/>
  <c r="W92" i="7"/>
  <c r="U92" i="7"/>
  <c r="Z92" i="7" s="1"/>
  <c r="P92" i="7"/>
  <c r="N92" i="7"/>
  <c r="R92" i="7" s="1"/>
  <c r="L92" i="7"/>
  <c r="AK91" i="7"/>
  <c r="AI91" i="7"/>
  <c r="AM91" i="7" s="1"/>
  <c r="AD91" i="7"/>
  <c r="AB91" i="7"/>
  <c r="AE91" i="7" s="1"/>
  <c r="Y91" i="7"/>
  <c r="X91" i="7"/>
  <c r="W91" i="7"/>
  <c r="U91" i="7"/>
  <c r="V91" i="7" s="1"/>
  <c r="P91" i="7"/>
  <c r="N91" i="7"/>
  <c r="O91" i="7" s="1"/>
  <c r="M91" i="7"/>
  <c r="L91" i="7"/>
  <c r="AK90" i="7"/>
  <c r="AI90" i="7"/>
  <c r="AJ90" i="7" s="1"/>
  <c r="AF90" i="7"/>
  <c r="AD90" i="7"/>
  <c r="AC90" i="7"/>
  <c r="AB90" i="7"/>
  <c r="AA90" i="7" s="1"/>
  <c r="W90" i="7"/>
  <c r="U90" i="7"/>
  <c r="T90" i="7" s="1"/>
  <c r="P90" i="7"/>
  <c r="N90" i="7"/>
  <c r="S90" i="7" s="1"/>
  <c r="M90" i="7"/>
  <c r="L90" i="7"/>
  <c r="AK77" i="7"/>
  <c r="AI77" i="7"/>
  <c r="AN77" i="7" s="1"/>
  <c r="AD77" i="7"/>
  <c r="AC77" i="7"/>
  <c r="AB77" i="7"/>
  <c r="AA77" i="7" s="1"/>
  <c r="W77" i="7"/>
  <c r="U77" i="7"/>
  <c r="Y77" i="7" s="1"/>
  <c r="S77" i="7"/>
  <c r="R77" i="7"/>
  <c r="P77" i="7"/>
  <c r="O77" i="7"/>
  <c r="N77" i="7"/>
  <c r="Q77" i="7" s="1"/>
  <c r="L77" i="7"/>
  <c r="AK46" i="7"/>
  <c r="AI46" i="7"/>
  <c r="AN46" i="7" s="1"/>
  <c r="AD46" i="7"/>
  <c r="AB46" i="7"/>
  <c r="AF46" i="7" s="1"/>
  <c r="W46" i="7"/>
  <c r="U46" i="7"/>
  <c r="X46" i="7" s="1"/>
  <c r="P46" i="7"/>
  <c r="N46" i="7"/>
  <c r="O46" i="7" s="1"/>
  <c r="L46" i="7"/>
  <c r="AK45" i="7"/>
  <c r="AI45" i="7"/>
  <c r="AJ45" i="7" s="1"/>
  <c r="AD45" i="7"/>
  <c r="AB45" i="7"/>
  <c r="AC45" i="7" s="1"/>
  <c r="W45" i="7"/>
  <c r="U45" i="7"/>
  <c r="T45" i="7" s="1"/>
  <c r="P45" i="7"/>
  <c r="N45" i="7"/>
  <c r="M45" i="7" s="1"/>
  <c r="L45" i="7"/>
  <c r="AK44" i="7"/>
  <c r="AI44" i="7"/>
  <c r="AH44" i="7" s="1"/>
  <c r="AD44" i="7"/>
  <c r="AB44" i="7"/>
  <c r="AG44" i="7" s="1"/>
  <c r="W44" i="7"/>
  <c r="U44" i="7"/>
  <c r="Z44" i="7" s="1"/>
  <c r="P44" i="7"/>
  <c r="N44" i="7"/>
  <c r="R44" i="7" s="1"/>
  <c r="L44" i="7"/>
  <c r="AK43" i="7"/>
  <c r="AI43" i="7"/>
  <c r="AM43" i="7" s="1"/>
  <c r="AD43" i="7"/>
  <c r="AB43" i="7"/>
  <c r="AE43" i="7" s="1"/>
  <c r="W43" i="7"/>
  <c r="U43" i="7"/>
  <c r="V43" i="7" s="1"/>
  <c r="P43" i="7"/>
  <c r="N43" i="7"/>
  <c r="O43" i="7" s="1"/>
  <c r="L43" i="7"/>
  <c r="AK42" i="7"/>
  <c r="AI42" i="7"/>
  <c r="AJ42" i="7" s="1"/>
  <c r="AD42" i="7"/>
  <c r="AB42" i="7"/>
  <c r="AA42" i="7" s="1"/>
  <c r="W42" i="7"/>
  <c r="U42" i="7"/>
  <c r="T42" i="7" s="1"/>
  <c r="P42" i="7"/>
  <c r="N42" i="7"/>
  <c r="S42" i="7" s="1"/>
  <c r="L42" i="7"/>
  <c r="AK41" i="7"/>
  <c r="AI41" i="7"/>
  <c r="AN41" i="7" s="1"/>
  <c r="AD41" i="7"/>
  <c r="AB41" i="7"/>
  <c r="AG41" i="7" s="1"/>
  <c r="W41" i="7"/>
  <c r="U41" i="7"/>
  <c r="Y41" i="7" s="1"/>
  <c r="P41" i="7"/>
  <c r="N41" i="7"/>
  <c r="Q41" i="7" s="1"/>
  <c r="L41" i="7"/>
  <c r="AK40" i="7"/>
  <c r="AI40" i="7"/>
  <c r="AL40" i="7" s="1"/>
  <c r="AD40" i="7"/>
  <c r="AB40" i="7"/>
  <c r="AC40" i="7" s="1"/>
  <c r="W40" i="7"/>
  <c r="U40" i="7"/>
  <c r="V40" i="7" s="1"/>
  <c r="P40" i="7"/>
  <c r="N40" i="7"/>
  <c r="M40" i="7" s="1"/>
  <c r="L40" i="7"/>
  <c r="AK39" i="7"/>
  <c r="AI39" i="7"/>
  <c r="AH39" i="7" s="1"/>
  <c r="AD39" i="7"/>
  <c r="AB39" i="7"/>
  <c r="AA39" i="7" s="1"/>
  <c r="W39" i="7"/>
  <c r="U39" i="7"/>
  <c r="Z39" i="7" s="1"/>
  <c r="P39" i="7"/>
  <c r="N39" i="7"/>
  <c r="S39" i="7" s="1"/>
  <c r="L39" i="7"/>
  <c r="AK38" i="7"/>
  <c r="AI38" i="7"/>
  <c r="AN38" i="7" s="1"/>
  <c r="AD38" i="7"/>
  <c r="AB38" i="7"/>
  <c r="AF38" i="7" s="1"/>
  <c r="W38" i="7"/>
  <c r="U38" i="7"/>
  <c r="X38" i="7" s="1"/>
  <c r="P38" i="7"/>
  <c r="N38" i="7"/>
  <c r="O38" i="7" s="1"/>
  <c r="L38" i="7"/>
  <c r="AK37" i="7"/>
  <c r="AI37" i="7"/>
  <c r="AJ37" i="7" s="1"/>
  <c r="AD37" i="7"/>
  <c r="AB37" i="7"/>
  <c r="AC37" i="7" s="1"/>
  <c r="W37" i="7"/>
  <c r="U37" i="7"/>
  <c r="T37" i="7" s="1"/>
  <c r="P37" i="7"/>
  <c r="N37" i="7"/>
  <c r="M37" i="7" s="1"/>
  <c r="L37" i="7"/>
  <c r="AK36" i="7"/>
  <c r="AJ36" i="7"/>
  <c r="AI36" i="7"/>
  <c r="AH36" i="7" s="1"/>
  <c r="AD36" i="7"/>
  <c r="AB36" i="7"/>
  <c r="AG36" i="7" s="1"/>
  <c r="W36" i="7"/>
  <c r="U36" i="7"/>
  <c r="Z36" i="7" s="1"/>
  <c r="P36" i="7"/>
  <c r="N36" i="7"/>
  <c r="R36" i="7" s="1"/>
  <c r="L36" i="7"/>
  <c r="AK35" i="7"/>
  <c r="AI35" i="7"/>
  <c r="AM35" i="7" s="1"/>
  <c r="AD35" i="7"/>
  <c r="AB35" i="7"/>
  <c r="AE35" i="7" s="1"/>
  <c r="W35" i="7"/>
  <c r="U35" i="7"/>
  <c r="V35" i="7" s="1"/>
  <c r="P35" i="7"/>
  <c r="N35" i="7"/>
  <c r="O35" i="7" s="1"/>
  <c r="L35" i="7"/>
  <c r="AK34" i="7"/>
  <c r="AI34" i="7"/>
  <c r="AJ34" i="7" s="1"/>
  <c r="AD34" i="7"/>
  <c r="AB34" i="7"/>
  <c r="AA34" i="7" s="1"/>
  <c r="W34" i="7"/>
  <c r="U34" i="7"/>
  <c r="T34" i="7" s="1"/>
  <c r="P34" i="7"/>
  <c r="N34" i="7"/>
  <c r="S34" i="7" s="1"/>
  <c r="L34" i="7"/>
  <c r="AK33" i="7"/>
  <c r="AI33" i="7"/>
  <c r="AN33" i="7" s="1"/>
  <c r="AD33" i="7"/>
  <c r="AB33" i="7"/>
  <c r="AG33" i="7" s="1"/>
  <c r="W33" i="7"/>
  <c r="U33" i="7"/>
  <c r="Y33" i="7" s="1"/>
  <c r="P33" i="7"/>
  <c r="N33" i="7"/>
  <c r="Q33" i="7" s="1"/>
  <c r="L33" i="7"/>
  <c r="AK32" i="7"/>
  <c r="AI32" i="7"/>
  <c r="AL32" i="7" s="1"/>
  <c r="AD32" i="7"/>
  <c r="AB32" i="7"/>
  <c r="AC32" i="7" s="1"/>
  <c r="W32" i="7"/>
  <c r="U32" i="7"/>
  <c r="T32" i="7" s="1"/>
  <c r="P32" i="7"/>
  <c r="N32" i="7"/>
  <c r="M32" i="7" s="1"/>
  <c r="L32" i="7"/>
  <c r="AK53" i="7"/>
  <c r="AI53" i="7"/>
  <c r="AN53" i="7" s="1"/>
  <c r="AD53" i="7"/>
  <c r="AB53" i="7"/>
  <c r="AF53" i="7" s="1"/>
  <c r="W53" i="7"/>
  <c r="U53" i="7"/>
  <c r="X53" i="7" s="1"/>
  <c r="P53" i="7"/>
  <c r="N53" i="7"/>
  <c r="Q53" i="7" s="1"/>
  <c r="L53" i="7"/>
  <c r="AK52" i="7"/>
  <c r="AI52" i="7"/>
  <c r="AL52" i="7" s="1"/>
  <c r="AD52" i="7"/>
  <c r="AB52" i="7"/>
  <c r="AC52" i="7" s="1"/>
  <c r="W52" i="7"/>
  <c r="U52" i="7"/>
  <c r="Y52" i="7" s="1"/>
  <c r="P52" i="7"/>
  <c r="N52" i="7"/>
  <c r="M52" i="7" s="1"/>
  <c r="L52" i="7"/>
  <c r="AK51" i="7"/>
  <c r="AI51" i="7"/>
  <c r="AH51" i="7" s="1"/>
  <c r="AD51" i="7"/>
  <c r="AB51" i="7"/>
  <c r="AF51" i="7" s="1"/>
  <c r="W51" i="7"/>
  <c r="U51" i="7"/>
  <c r="Z51" i="7" s="1"/>
  <c r="P51" i="7"/>
  <c r="N51" i="7"/>
  <c r="R51" i="7" s="1"/>
  <c r="L51" i="7"/>
  <c r="AK50" i="7"/>
  <c r="AI50" i="7"/>
  <c r="AM50" i="7" s="1"/>
  <c r="AD50" i="7"/>
  <c r="AB50" i="7"/>
  <c r="AE50" i="7" s="1"/>
  <c r="W50" i="7"/>
  <c r="U50" i="7"/>
  <c r="T50" i="7" s="1"/>
  <c r="P50" i="7"/>
  <c r="N50" i="7"/>
  <c r="O50" i="7" s="1"/>
  <c r="L50" i="7"/>
  <c r="AK49" i="7"/>
  <c r="AI49" i="7"/>
  <c r="AJ49" i="7" s="1"/>
  <c r="AD49" i="7"/>
  <c r="AB49" i="7"/>
  <c r="AF49" i="7" s="1"/>
  <c r="W49" i="7"/>
  <c r="U49" i="7"/>
  <c r="T49" i="7" s="1"/>
  <c r="P49" i="7"/>
  <c r="N49" i="7"/>
  <c r="R49" i="7" s="1"/>
  <c r="L49" i="7"/>
  <c r="AK48" i="7"/>
  <c r="AI48" i="7"/>
  <c r="AM48" i="7" s="1"/>
  <c r="AD48" i="7"/>
  <c r="AB48" i="7"/>
  <c r="AG48" i="7" s="1"/>
  <c r="W48" i="7"/>
  <c r="U48" i="7"/>
  <c r="Y48" i="7" s="1"/>
  <c r="P48" i="7"/>
  <c r="N48" i="7"/>
  <c r="Q48" i="7" s="1"/>
  <c r="L48" i="7"/>
  <c r="AK47" i="7"/>
  <c r="AI47" i="7"/>
  <c r="AL47" i="7" s="1"/>
  <c r="AD47" i="7"/>
  <c r="AB47" i="7"/>
  <c r="AA47" i="7" s="1"/>
  <c r="W47" i="7"/>
  <c r="U47" i="7"/>
  <c r="V47" i="7" s="1"/>
  <c r="P47" i="7"/>
  <c r="N47" i="7"/>
  <c r="R47" i="7" s="1"/>
  <c r="L47" i="7"/>
  <c r="L71" i="126" l="1"/>
  <c r="L68" i="126"/>
  <c r="L72" i="126"/>
  <c r="L70" i="126"/>
  <c r="L69" i="126"/>
  <c r="L73" i="126"/>
  <c r="L55" i="126"/>
  <c r="L52" i="126"/>
  <c r="L50" i="126"/>
  <c r="L53" i="126"/>
  <c r="L54" i="126"/>
  <c r="L51" i="126"/>
  <c r="L37" i="126"/>
  <c r="L79" i="126"/>
  <c r="L35" i="126"/>
  <c r="L45" i="126"/>
  <c r="L64" i="126"/>
  <c r="L46" i="126"/>
  <c r="L40" i="126"/>
  <c r="L65" i="126"/>
  <c r="L62" i="126"/>
  <c r="L47" i="126"/>
  <c r="L84" i="126"/>
  <c r="L82" i="126"/>
  <c r="L42" i="126"/>
  <c r="L60" i="126"/>
  <c r="L63" i="126"/>
  <c r="L30" i="126"/>
  <c r="L57" i="126"/>
  <c r="L59" i="126"/>
  <c r="L58" i="126"/>
  <c r="L31" i="126"/>
  <c r="L39" i="126"/>
  <c r="L33" i="126"/>
  <c r="L32" i="126"/>
  <c r="L34" i="126"/>
  <c r="L36" i="126"/>
  <c r="L44" i="126"/>
  <c r="L41" i="126"/>
  <c r="L85" i="126"/>
  <c r="L80" i="126"/>
  <c r="L83" i="126"/>
  <c r="L81" i="126"/>
  <c r="L73" i="125"/>
  <c r="L74" i="125"/>
  <c r="L78" i="125"/>
  <c r="L76" i="125"/>
  <c r="L77" i="125"/>
  <c r="L75" i="125"/>
  <c r="L56" i="125"/>
  <c r="L57" i="125"/>
  <c r="L52" i="125"/>
  <c r="L54" i="125"/>
  <c r="L55" i="125"/>
  <c r="L53" i="125"/>
  <c r="L35" i="125"/>
  <c r="L49" i="125"/>
  <c r="L80" i="125"/>
  <c r="L82" i="125"/>
  <c r="L40" i="125"/>
  <c r="L60" i="125"/>
  <c r="L106" i="125"/>
  <c r="L44" i="125"/>
  <c r="L39" i="125"/>
  <c r="L38" i="125"/>
  <c r="L64" i="125"/>
  <c r="L59" i="125"/>
  <c r="L33" i="125"/>
  <c r="L100" i="125"/>
  <c r="L31" i="125"/>
  <c r="L48" i="125"/>
  <c r="L94" i="125"/>
  <c r="L63" i="125"/>
  <c r="L92" i="125"/>
  <c r="L84" i="125"/>
  <c r="L93" i="125"/>
  <c r="L65" i="125"/>
  <c r="L85" i="125"/>
  <c r="L89" i="125"/>
  <c r="L86" i="125"/>
  <c r="L87" i="125"/>
  <c r="L68" i="125"/>
  <c r="L91" i="125"/>
  <c r="L70" i="125"/>
  <c r="L90" i="125"/>
  <c r="L67" i="125"/>
  <c r="L81" i="125"/>
  <c r="L69" i="125"/>
  <c r="L32" i="125"/>
  <c r="L46" i="125"/>
  <c r="L36" i="125"/>
  <c r="L47" i="125"/>
  <c r="L61" i="125"/>
  <c r="L43" i="125"/>
  <c r="L34" i="125"/>
  <c r="L42" i="125"/>
  <c r="L105" i="125"/>
  <c r="L101" i="125"/>
  <c r="L102" i="125"/>
  <c r="L103" i="125"/>
  <c r="L104" i="125"/>
  <c r="X33" i="124"/>
  <c r="L82" i="124"/>
  <c r="L86" i="124"/>
  <c r="AE32" i="124"/>
  <c r="AA35" i="124"/>
  <c r="AL68" i="124"/>
  <c r="AA96" i="124"/>
  <c r="L81" i="124"/>
  <c r="AH43" i="124"/>
  <c r="L87" i="124"/>
  <c r="AF61" i="124"/>
  <c r="L84" i="124"/>
  <c r="L85" i="124"/>
  <c r="AL64" i="124"/>
  <c r="X69" i="124"/>
  <c r="M65" i="124"/>
  <c r="L83" i="124"/>
  <c r="M64" i="124"/>
  <c r="Z66" i="124"/>
  <c r="T30" i="124"/>
  <c r="AH32" i="124"/>
  <c r="Y33" i="124"/>
  <c r="AM44" i="124"/>
  <c r="M62" i="124"/>
  <c r="AM68" i="124"/>
  <c r="Z69" i="124"/>
  <c r="T75" i="124"/>
  <c r="T32" i="124"/>
  <c r="O62" i="124"/>
  <c r="M69" i="124"/>
  <c r="T76" i="124"/>
  <c r="M77" i="124"/>
  <c r="T93" i="124"/>
  <c r="AA31" i="124"/>
  <c r="Q66" i="124"/>
  <c r="AM66" i="124"/>
  <c r="M34" i="124"/>
  <c r="AA40" i="124"/>
  <c r="M43" i="124"/>
  <c r="AA45" i="124"/>
  <c r="AN66" i="124"/>
  <c r="AG67" i="124"/>
  <c r="Z68" i="124"/>
  <c r="AN68" i="124"/>
  <c r="AH76" i="124"/>
  <c r="AJ76" i="124"/>
  <c r="O93" i="124"/>
  <c r="AF45" i="124"/>
  <c r="AG74" i="124"/>
  <c r="L49" i="124"/>
  <c r="Y30" i="124"/>
  <c r="AE60" i="124"/>
  <c r="AL71" i="124"/>
  <c r="AA72" i="124"/>
  <c r="AL76" i="124"/>
  <c r="AA77" i="124"/>
  <c r="Y98" i="124"/>
  <c r="Q99" i="124"/>
  <c r="V72" i="124"/>
  <c r="Z30" i="124"/>
  <c r="AE42" i="124"/>
  <c r="Q69" i="124"/>
  <c r="AN71" i="124"/>
  <c r="AM76" i="124"/>
  <c r="V98" i="124"/>
  <c r="AE61" i="124"/>
  <c r="AH64" i="124"/>
  <c r="R69" i="124"/>
  <c r="T74" i="124"/>
  <c r="Z78" i="124"/>
  <c r="T96" i="124"/>
  <c r="S42" i="124"/>
  <c r="S69" i="124"/>
  <c r="AA95" i="124"/>
  <c r="L54" i="124"/>
  <c r="L50" i="124"/>
  <c r="L51" i="124"/>
  <c r="L53" i="124"/>
  <c r="AC69" i="124"/>
  <c r="AJ73" i="124"/>
  <c r="V75" i="124"/>
  <c r="O78" i="124"/>
  <c r="AC95" i="124"/>
  <c r="Q61" i="124"/>
  <c r="AC68" i="124"/>
  <c r="AJ74" i="124"/>
  <c r="V57" i="124"/>
  <c r="AC63" i="124"/>
  <c r="AC64" i="124"/>
  <c r="Q30" i="124"/>
  <c r="R40" i="124"/>
  <c r="AE63" i="124"/>
  <c r="V74" i="124"/>
  <c r="R30" i="124"/>
  <c r="M33" i="124"/>
  <c r="M38" i="124"/>
  <c r="AF39" i="124"/>
  <c r="S40" i="124"/>
  <c r="O43" i="124"/>
  <c r="AE43" i="124"/>
  <c r="V60" i="124"/>
  <c r="AL60" i="124"/>
  <c r="R61" i="124"/>
  <c r="AF63" i="124"/>
  <c r="Q64" i="124"/>
  <c r="S65" i="124"/>
  <c r="AE66" i="124"/>
  <c r="AH69" i="124"/>
  <c r="Q72" i="124"/>
  <c r="AC72" i="124"/>
  <c r="Y75" i="124"/>
  <c r="AE77" i="124"/>
  <c r="L48" i="124"/>
  <c r="AC71" i="124"/>
  <c r="AE39" i="124"/>
  <c r="Z70" i="124"/>
  <c r="X74" i="124"/>
  <c r="Z75" i="124"/>
  <c r="R77" i="124"/>
  <c r="X93" i="124"/>
  <c r="AL35" i="124"/>
  <c r="Q40" i="124"/>
  <c r="AN32" i="124"/>
  <c r="AN35" i="124"/>
  <c r="R72" i="124"/>
  <c r="R43" i="124"/>
  <c r="Y60" i="124"/>
  <c r="AC62" i="124"/>
  <c r="AJ69" i="124"/>
  <c r="S72" i="124"/>
  <c r="Y74" i="124"/>
  <c r="S77" i="124"/>
  <c r="AJ77" i="124"/>
  <c r="Y93" i="124"/>
  <c r="O60" i="124"/>
  <c r="O61" i="124"/>
  <c r="AM60" i="124"/>
  <c r="AG63" i="124"/>
  <c r="AJ33" i="124"/>
  <c r="AG32" i="124"/>
  <c r="AG42" i="124"/>
  <c r="S43" i="124"/>
  <c r="T57" i="124"/>
  <c r="M60" i="124"/>
  <c r="M61" i="124"/>
  <c r="AA64" i="124"/>
  <c r="AL66" i="124"/>
  <c r="AM71" i="124"/>
  <c r="AC73" i="124"/>
  <c r="O74" i="124"/>
  <c r="Z93" i="124"/>
  <c r="X98" i="124"/>
  <c r="L52" i="124"/>
  <c r="Z98" i="124"/>
  <c r="AA99" i="124"/>
  <c r="AJ92" i="124"/>
  <c r="Q93" i="124"/>
  <c r="Q96" i="124"/>
  <c r="R93" i="124"/>
  <c r="V94" i="124"/>
  <c r="M95" i="124"/>
  <c r="R96" i="124"/>
  <c r="AA97" i="124"/>
  <c r="AC99" i="124"/>
  <c r="Q92" i="124"/>
  <c r="AL92" i="124"/>
  <c r="S93" i="124"/>
  <c r="S96" i="124"/>
  <c r="AE98" i="124"/>
  <c r="AM92" i="124"/>
  <c r="Z94" i="124"/>
  <c r="O95" i="124"/>
  <c r="AF98" i="124"/>
  <c r="AN92" i="124"/>
  <c r="AJ93" i="124"/>
  <c r="AF97" i="124"/>
  <c r="AG98" i="124"/>
  <c r="AH98" i="124"/>
  <c r="O33" i="124"/>
  <c r="AC35" i="124"/>
  <c r="AC38" i="124"/>
  <c r="AJ39" i="124"/>
  <c r="AM39" i="124"/>
  <c r="AJ41" i="124"/>
  <c r="O45" i="124"/>
  <c r="S45" i="124"/>
  <c r="R45" i="124"/>
  <c r="Q45" i="124"/>
  <c r="X63" i="124"/>
  <c r="V63" i="124"/>
  <c r="AE30" i="124"/>
  <c r="V32" i="124"/>
  <c r="X40" i="124"/>
  <c r="Z40" i="124"/>
  <c r="AF58" i="124"/>
  <c r="AG58" i="124"/>
  <c r="AE58" i="124"/>
  <c r="AA58" i="124"/>
  <c r="AL62" i="124"/>
  <c r="AH62" i="124"/>
  <c r="AN62" i="124"/>
  <c r="AM62" i="124"/>
  <c r="AJ62" i="124"/>
  <c r="V42" i="124"/>
  <c r="Z42" i="124"/>
  <c r="Y42" i="124"/>
  <c r="AJ32" i="124"/>
  <c r="R33" i="124"/>
  <c r="O34" i="124"/>
  <c r="AE35" i="124"/>
  <c r="AE38" i="124"/>
  <c r="AL39" i="124"/>
  <c r="AF44" i="124"/>
  <c r="AG44" i="124"/>
  <c r="AE44" i="124"/>
  <c r="AC58" i="124"/>
  <c r="AN65" i="124"/>
  <c r="AL65" i="124"/>
  <c r="AJ65" i="124"/>
  <c r="Q70" i="124"/>
  <c r="M70" i="124"/>
  <c r="S70" i="124"/>
  <c r="R70" i="124"/>
  <c r="O70" i="124"/>
  <c r="AE76" i="124"/>
  <c r="AC76" i="124"/>
  <c r="AH41" i="124"/>
  <c r="AM41" i="124"/>
  <c r="AA70" i="124"/>
  <c r="AF70" i="124"/>
  <c r="M75" i="124"/>
  <c r="S75" i="124"/>
  <c r="R75" i="124"/>
  <c r="Q75" i="124"/>
  <c r="O75" i="124"/>
  <c r="V30" i="124"/>
  <c r="Y32" i="124"/>
  <c r="S33" i="124"/>
  <c r="AG33" i="124"/>
  <c r="AF35" i="124"/>
  <c r="AG39" i="124"/>
  <c r="AC39" i="124"/>
  <c r="Q56" i="124"/>
  <c r="AH67" i="124"/>
  <c r="AM67" i="124"/>
  <c r="AM32" i="124"/>
  <c r="T33" i="124"/>
  <c r="AH33" i="124"/>
  <c r="AH35" i="124"/>
  <c r="T38" i="124"/>
  <c r="AH38" i="124"/>
  <c r="AN38" i="124"/>
  <c r="AL38" i="124"/>
  <c r="X45" i="124"/>
  <c r="V56" i="124"/>
  <c r="X56" i="124"/>
  <c r="AJ95" i="124"/>
  <c r="AH95" i="124"/>
  <c r="AN95" i="124"/>
  <c r="AM95" i="124"/>
  <c r="AL95" i="124"/>
  <c r="X67" i="124"/>
  <c r="T67" i="124"/>
  <c r="Z67" i="124"/>
  <c r="Y67" i="124"/>
  <c r="V67" i="124"/>
  <c r="AG38" i="124"/>
  <c r="AA38" i="124"/>
  <c r="AL42" i="124"/>
  <c r="AM42" i="124"/>
  <c r="M71" i="124"/>
  <c r="S71" i="124"/>
  <c r="O71" i="124"/>
  <c r="AH61" i="124"/>
  <c r="AA62" i="124"/>
  <c r="T66" i="124"/>
  <c r="M73" i="124"/>
  <c r="T77" i="124"/>
  <c r="AA78" i="124"/>
  <c r="AA93" i="124"/>
  <c r="M94" i="124"/>
  <c r="AJ61" i="124"/>
  <c r="T43" i="124"/>
  <c r="Q60" i="124"/>
  <c r="Y61" i="124"/>
  <c r="R62" i="124"/>
  <c r="R64" i="124"/>
  <c r="AF64" i="124"/>
  <c r="AC65" i="124"/>
  <c r="V66" i="124"/>
  <c r="AF66" i="124"/>
  <c r="AM69" i="124"/>
  <c r="AE71" i="124"/>
  <c r="AF72" i="124"/>
  <c r="AL74" i="124"/>
  <c r="AG77" i="124"/>
  <c r="Q95" i="124"/>
  <c r="AE95" i="124"/>
  <c r="S99" i="124"/>
  <c r="AG99" i="124"/>
  <c r="AH60" i="124"/>
  <c r="AM61" i="124"/>
  <c r="S62" i="124"/>
  <c r="AE62" i="124"/>
  <c r="AM63" i="124"/>
  <c r="S64" i="124"/>
  <c r="AG64" i="124"/>
  <c r="AG66" i="124"/>
  <c r="AE69" i="124"/>
  <c r="AN69" i="124"/>
  <c r="V71" i="124"/>
  <c r="AF71" i="124"/>
  <c r="X72" i="124"/>
  <c r="AG72" i="124"/>
  <c r="AM74" i="124"/>
  <c r="O77" i="124"/>
  <c r="X77" i="124"/>
  <c r="T78" i="124"/>
  <c r="AG93" i="124"/>
  <c r="AF95" i="124"/>
  <c r="M96" i="124"/>
  <c r="AC97" i="124"/>
  <c r="AA98" i="124"/>
  <c r="AN61" i="124"/>
  <c r="AF62" i="124"/>
  <c r="AN63" i="124"/>
  <c r="AF65" i="124"/>
  <c r="X66" i="124"/>
  <c r="AF69" i="124"/>
  <c r="Y72" i="124"/>
  <c r="AE74" i="124"/>
  <c r="AN74" i="124"/>
  <c r="Y77" i="124"/>
  <c r="AH93" i="124"/>
  <c r="X96" i="124"/>
  <c r="AL98" i="124"/>
  <c r="AJ60" i="124"/>
  <c r="AG65" i="124"/>
  <c r="AJ66" i="124"/>
  <c r="V68" i="124"/>
  <c r="AG69" i="124"/>
  <c r="Z72" i="124"/>
  <c r="V73" i="124"/>
  <c r="AF74" i="124"/>
  <c r="Z77" i="124"/>
  <c r="Z96" i="124"/>
  <c r="AE97" i="124"/>
  <c r="AN98" i="124"/>
  <c r="AG30" i="124"/>
  <c r="T31" i="124"/>
  <c r="X32" i="124"/>
  <c r="T34" i="124"/>
  <c r="AH34" i="124"/>
  <c r="M36" i="124"/>
  <c r="AA36" i="124"/>
  <c r="S39" i="124"/>
  <c r="AL41" i="124"/>
  <c r="R42" i="124"/>
  <c r="AC44" i="124"/>
  <c r="AL44" i="124"/>
  <c r="AC45" i="124"/>
  <c r="AA56" i="124"/>
  <c r="X57" i="124"/>
  <c r="AM58" i="124"/>
  <c r="V31" i="124"/>
  <c r="V39" i="124"/>
  <c r="O41" i="124"/>
  <c r="AN42" i="124"/>
  <c r="V44" i="124"/>
  <c r="AN44" i="124"/>
  <c r="R56" i="124"/>
  <c r="AC56" i="124"/>
  <c r="V58" i="124"/>
  <c r="S30" i="124"/>
  <c r="AA30" i="124"/>
  <c r="AN30" i="124"/>
  <c r="Z33" i="124"/>
  <c r="AA34" i="124"/>
  <c r="AL34" i="124"/>
  <c r="Q36" i="124"/>
  <c r="AH36" i="124"/>
  <c r="O38" i="124"/>
  <c r="AM38" i="124"/>
  <c r="AN39" i="124"/>
  <c r="AH40" i="124"/>
  <c r="AE41" i="124"/>
  <c r="AG45" i="124"/>
  <c r="S56" i="124"/>
  <c r="AM34" i="124"/>
  <c r="R36" i="124"/>
  <c r="X39" i="124"/>
  <c r="Q41" i="124"/>
  <c r="X44" i="124"/>
  <c r="AF56" i="124"/>
  <c r="X58" i="124"/>
  <c r="AF32" i="124"/>
  <c r="AC34" i="124"/>
  <c r="AM35" i="124"/>
  <c r="S36" i="124"/>
  <c r="AJ36" i="124"/>
  <c r="Y39" i="124"/>
  <c r="Y40" i="124"/>
  <c r="AJ40" i="124"/>
  <c r="T41" i="124"/>
  <c r="O42" i="124"/>
  <c r="X42" i="124"/>
  <c r="AH42" i="124"/>
  <c r="AH44" i="124"/>
  <c r="M56" i="124"/>
  <c r="AG56" i="124"/>
  <c r="Y58" i="124"/>
  <c r="Z39" i="124"/>
  <c r="AF30" i="124"/>
  <c r="S31" i="124"/>
  <c r="Q42" i="124"/>
  <c r="AJ42" i="124"/>
  <c r="AC43" i="124"/>
  <c r="Y56" i="124"/>
  <c r="AL58" i="124"/>
  <c r="S58" i="124"/>
  <c r="R58" i="124"/>
  <c r="M58" i="124"/>
  <c r="AJ31" i="124"/>
  <c r="O32" i="124"/>
  <c r="V35" i="124"/>
  <c r="X43" i="124"/>
  <c r="V43" i="124"/>
  <c r="Y43" i="124"/>
  <c r="O44" i="124"/>
  <c r="AG57" i="124"/>
  <c r="AF57" i="124"/>
  <c r="AE57" i="124"/>
  <c r="AC57" i="124"/>
  <c r="O58" i="124"/>
  <c r="Z65" i="124"/>
  <c r="Y65" i="124"/>
  <c r="X65" i="124"/>
  <c r="V65" i="124"/>
  <c r="T65" i="124"/>
  <c r="AH30" i="124"/>
  <c r="M31" i="124"/>
  <c r="AC31" i="124"/>
  <c r="AA33" i="124"/>
  <c r="V34" i="124"/>
  <c r="M35" i="124"/>
  <c r="T36" i="124"/>
  <c r="AC36" i="124"/>
  <c r="Y38" i="124"/>
  <c r="Z38" i="124"/>
  <c r="AE40" i="124"/>
  <c r="AF40" i="124"/>
  <c r="Z41" i="124"/>
  <c r="X41" i="124"/>
  <c r="AN43" i="124"/>
  <c r="AL43" i="124"/>
  <c r="AL31" i="124"/>
  <c r="Q32" i="124"/>
  <c r="X35" i="124"/>
  <c r="AN57" i="124"/>
  <c r="AM57" i="124"/>
  <c r="AH57" i="124"/>
  <c r="Q58" i="124"/>
  <c r="Q57" i="124"/>
  <c r="O57" i="124"/>
  <c r="M57" i="124"/>
  <c r="R57" i="124"/>
  <c r="AJ30" i="124"/>
  <c r="O31" i="124"/>
  <c r="AE31" i="124"/>
  <c r="AM31" i="124"/>
  <c r="R32" i="124"/>
  <c r="AC33" i="124"/>
  <c r="X34" i="124"/>
  <c r="O35" i="124"/>
  <c r="Y35" i="124"/>
  <c r="AF36" i="124"/>
  <c r="O39" i="124"/>
  <c r="Y44" i="124"/>
  <c r="T44" i="124"/>
  <c r="AL56" i="124"/>
  <c r="AJ56" i="124"/>
  <c r="AH56" i="124"/>
  <c r="AM56" i="124"/>
  <c r="AJ57" i="124"/>
  <c r="S44" i="124"/>
  <c r="Q44" i="124"/>
  <c r="M30" i="124"/>
  <c r="X31" i="124"/>
  <c r="AF31" i="124"/>
  <c r="AN31" i="124"/>
  <c r="S32" i="124"/>
  <c r="AA32" i="124"/>
  <c r="AL33" i="124"/>
  <c r="Q34" i="124"/>
  <c r="Z34" i="124"/>
  <c r="AJ34" i="124"/>
  <c r="Z35" i="124"/>
  <c r="X36" i="124"/>
  <c r="AG36" i="124"/>
  <c r="Q38" i="124"/>
  <c r="R38" i="124"/>
  <c r="X38" i="124"/>
  <c r="AJ38" i="124"/>
  <c r="M40" i="124"/>
  <c r="V40" i="124"/>
  <c r="AG40" i="124"/>
  <c r="R41" i="124"/>
  <c r="S41" i="124"/>
  <c r="Y41" i="124"/>
  <c r="AF43" i="124"/>
  <c r="AG43" i="124"/>
  <c r="AM43" i="124"/>
  <c r="V45" i="124"/>
  <c r="T45" i="124"/>
  <c r="Z45" i="124"/>
  <c r="AL30" i="124"/>
  <c r="Q31" i="124"/>
  <c r="Y31" i="124"/>
  <c r="AE33" i="124"/>
  <c r="AM33" i="124"/>
  <c r="R34" i="124"/>
  <c r="Q35" i="124"/>
  <c r="Y36" i="124"/>
  <c r="Q39" i="124"/>
  <c r="AF41" i="124"/>
  <c r="AA41" i="124"/>
  <c r="AC42" i="124"/>
  <c r="AA42" i="124"/>
  <c r="AL57" i="124"/>
  <c r="Y62" i="124"/>
  <c r="V62" i="124"/>
  <c r="Z62" i="124"/>
  <c r="T62" i="124"/>
  <c r="Q63" i="124"/>
  <c r="R63" i="124"/>
  <c r="O63" i="124"/>
  <c r="M63" i="124"/>
  <c r="S63" i="124"/>
  <c r="T64" i="124"/>
  <c r="Z64" i="124"/>
  <c r="Y64" i="124"/>
  <c r="X64" i="124"/>
  <c r="V64" i="124"/>
  <c r="AF34" i="124"/>
  <c r="AG34" i="124"/>
  <c r="R35" i="124"/>
  <c r="Z36" i="124"/>
  <c r="AL36" i="124"/>
  <c r="AM36" i="124"/>
  <c r="R39" i="124"/>
  <c r="AM40" i="124"/>
  <c r="AN40" i="124"/>
  <c r="AC41" i="124"/>
  <c r="M44" i="124"/>
  <c r="AL45" i="124"/>
  <c r="AJ45" i="124"/>
  <c r="AH45" i="124"/>
  <c r="AM45" i="124"/>
  <c r="Z57" i="124"/>
  <c r="T60" i="124"/>
  <c r="T61" i="124"/>
  <c r="AL63" i="124"/>
  <c r="R67" i="124"/>
  <c r="V69" i="124"/>
  <c r="T69" i="124"/>
  <c r="AM72" i="124"/>
  <c r="AL72" i="124"/>
  <c r="AJ72" i="124"/>
  <c r="AH73" i="124"/>
  <c r="AN73" i="124"/>
  <c r="AM73" i="124"/>
  <c r="AF75" i="124"/>
  <c r="AE75" i="124"/>
  <c r="AC75" i="124"/>
  <c r="AA76" i="124"/>
  <c r="AG76" i="124"/>
  <c r="AF76" i="124"/>
  <c r="AN78" i="124"/>
  <c r="AM78" i="124"/>
  <c r="AL78" i="124"/>
  <c r="T63" i="124"/>
  <c r="Y63" i="124"/>
  <c r="S67" i="124"/>
  <c r="AF67" i="124"/>
  <c r="AC67" i="124"/>
  <c r="Y68" i="124"/>
  <c r="X68" i="124"/>
  <c r="Y70" i="124"/>
  <c r="V70" i="124"/>
  <c r="R71" i="124"/>
  <c r="Q71" i="124"/>
  <c r="Z73" i="124"/>
  <c r="Y73" i="124"/>
  <c r="X73" i="124"/>
  <c r="S76" i="124"/>
  <c r="R76" i="124"/>
  <c r="Q76" i="124"/>
  <c r="Z92" i="124"/>
  <c r="Y92" i="124"/>
  <c r="X92" i="124"/>
  <c r="V92" i="124"/>
  <c r="T92" i="124"/>
  <c r="O76" i="124"/>
  <c r="Z56" i="124"/>
  <c r="AN58" i="124"/>
  <c r="X61" i="124"/>
  <c r="AG61" i="124"/>
  <c r="M66" i="124"/>
  <c r="R66" i="124"/>
  <c r="AE67" i="124"/>
  <c r="X70" i="124"/>
  <c r="AM70" i="124"/>
  <c r="AL70" i="124"/>
  <c r="Q78" i="124"/>
  <c r="S78" i="124"/>
  <c r="R78" i="124"/>
  <c r="AA92" i="124"/>
  <c r="AG92" i="124"/>
  <c r="AF92" i="124"/>
  <c r="AC92" i="124"/>
  <c r="S68" i="124"/>
  <c r="Q68" i="124"/>
  <c r="AN75" i="124"/>
  <c r="AM75" i="124"/>
  <c r="AL75" i="124"/>
  <c r="AM96" i="124"/>
  <c r="AL96" i="124"/>
  <c r="AN96" i="124"/>
  <c r="AJ96" i="124"/>
  <c r="AH96" i="124"/>
  <c r="T56" i="124"/>
  <c r="Z58" i="124"/>
  <c r="AH58" i="124"/>
  <c r="Z60" i="124"/>
  <c r="Z61" i="124"/>
  <c r="Z63" i="124"/>
  <c r="AH63" i="124"/>
  <c r="R65" i="124"/>
  <c r="O65" i="124"/>
  <c r="AH65" i="124"/>
  <c r="AM65" i="124"/>
  <c r="O67" i="124"/>
  <c r="O68" i="124"/>
  <c r="AA68" i="124"/>
  <c r="AG68" i="124"/>
  <c r="AF68" i="124"/>
  <c r="T71" i="124"/>
  <c r="Z71" i="124"/>
  <c r="Y71" i="124"/>
  <c r="R73" i="124"/>
  <c r="Q73" i="124"/>
  <c r="O73" i="124"/>
  <c r="AG73" i="124"/>
  <c r="AF73" i="124"/>
  <c r="AE73" i="124"/>
  <c r="M74" i="124"/>
  <c r="S74" i="124"/>
  <c r="R74" i="124"/>
  <c r="AJ75" i="124"/>
  <c r="Z76" i="124"/>
  <c r="Y76" i="124"/>
  <c r="X76" i="124"/>
  <c r="AE92" i="124"/>
  <c r="AN94" i="124"/>
  <c r="AM94" i="124"/>
  <c r="AH94" i="124"/>
  <c r="AJ94" i="124"/>
  <c r="AA60" i="124"/>
  <c r="AF60" i="124"/>
  <c r="AN67" i="124"/>
  <c r="AL67" i="124"/>
  <c r="AG70" i="124"/>
  <c r="AE70" i="124"/>
  <c r="AN70" i="124"/>
  <c r="AL77" i="124"/>
  <c r="AN77" i="124"/>
  <c r="AM77" i="124"/>
  <c r="R97" i="124"/>
  <c r="Q97" i="124"/>
  <c r="M97" i="124"/>
  <c r="O97" i="124"/>
  <c r="R60" i="124"/>
  <c r="AC60" i="124"/>
  <c r="AC61" i="124"/>
  <c r="AM64" i="124"/>
  <c r="AJ64" i="124"/>
  <c r="AA65" i="124"/>
  <c r="S66" i="124"/>
  <c r="AA66" i="124"/>
  <c r="Q67" i="124"/>
  <c r="AJ67" i="124"/>
  <c r="R68" i="124"/>
  <c r="AC70" i="124"/>
  <c r="AH72" i="124"/>
  <c r="AA75" i="124"/>
  <c r="AH78" i="124"/>
  <c r="T95" i="124"/>
  <c r="Z95" i="124"/>
  <c r="V95" i="124"/>
  <c r="M98" i="124"/>
  <c r="S98" i="124"/>
  <c r="O98" i="124"/>
  <c r="O94" i="124"/>
  <c r="AG78" i="124"/>
  <c r="AF78" i="124"/>
  <c r="R94" i="124"/>
  <c r="AG94" i="124"/>
  <c r="AF94" i="124"/>
  <c r="AE94" i="124"/>
  <c r="Y95" i="124"/>
  <c r="Z97" i="124"/>
  <c r="Y97" i="124"/>
  <c r="X97" i="124"/>
  <c r="T97" i="124"/>
  <c r="R98" i="124"/>
  <c r="AH71" i="124"/>
  <c r="M72" i="124"/>
  <c r="AA74" i="124"/>
  <c r="AM93" i="124"/>
  <c r="S94" i="124"/>
  <c r="AC94" i="124"/>
  <c r="V97" i="124"/>
  <c r="AH97" i="124"/>
  <c r="AN97" i="124"/>
  <c r="AJ97" i="124"/>
  <c r="X99" i="124"/>
  <c r="V99" i="124"/>
  <c r="Z99" i="124"/>
  <c r="S92" i="124"/>
  <c r="R92" i="124"/>
  <c r="AE93" i="124"/>
  <c r="AN93" i="124"/>
  <c r="AF77" i="124"/>
  <c r="Y78" i="124"/>
  <c r="X78" i="124"/>
  <c r="AE78" i="124"/>
  <c r="O92" i="124"/>
  <c r="AF93" i="124"/>
  <c r="Y94" i="124"/>
  <c r="X94" i="124"/>
  <c r="AE96" i="124"/>
  <c r="AC96" i="124"/>
  <c r="AG96" i="124"/>
  <c r="AL97" i="124"/>
  <c r="Y99" i="124"/>
  <c r="Y96" i="124"/>
  <c r="AM98" i="124"/>
  <c r="R99" i="124"/>
  <c r="AH99" i="124"/>
  <c r="AJ99" i="124"/>
  <c r="R95" i="124"/>
  <c r="AL99" i="124"/>
  <c r="AE99" i="124"/>
  <c r="AM99" i="124"/>
  <c r="V42" i="7"/>
  <c r="AJ66" i="7"/>
  <c r="V85" i="7"/>
  <c r="O88" i="7"/>
  <c r="AL48" i="7"/>
  <c r="AG90" i="7"/>
  <c r="AG91" i="7"/>
  <c r="X65" i="7"/>
  <c r="S66" i="7"/>
  <c r="AF67" i="7"/>
  <c r="AM70" i="7"/>
  <c r="Q73" i="7"/>
  <c r="X75" i="7"/>
  <c r="Y76" i="7"/>
  <c r="Z78" i="7"/>
  <c r="AC79" i="7"/>
  <c r="X80" i="7"/>
  <c r="AN80" i="7"/>
  <c r="S81" i="7"/>
  <c r="V82" i="7"/>
  <c r="AL82" i="7"/>
  <c r="Q83" i="7"/>
  <c r="AG83" i="7"/>
  <c r="AJ84" i="7"/>
  <c r="O85" i="7"/>
  <c r="AE85" i="7"/>
  <c r="Z86" i="7"/>
  <c r="AC87" i="7"/>
  <c r="X88" i="7"/>
  <c r="AN88" i="7"/>
  <c r="S89" i="7"/>
  <c r="AC41" i="7"/>
  <c r="V67" i="7"/>
  <c r="AJ79" i="7"/>
  <c r="AM34" i="7"/>
  <c r="AH90" i="7"/>
  <c r="AL93" i="7"/>
  <c r="Y65" i="7"/>
  <c r="T66" i="7"/>
  <c r="X67" i="7"/>
  <c r="AG67" i="7"/>
  <c r="M68" i="7"/>
  <c r="Y68" i="7"/>
  <c r="AC69" i="7"/>
  <c r="AN70" i="7"/>
  <c r="V71" i="7"/>
  <c r="AC72" i="7"/>
  <c r="AL72" i="7"/>
  <c r="R73" i="7"/>
  <c r="AN73" i="7"/>
  <c r="Y75" i="7"/>
  <c r="AH75" i="7"/>
  <c r="Z76" i="7"/>
  <c r="AA78" i="7"/>
  <c r="V79" i="7"/>
  <c r="AL79" i="7"/>
  <c r="Q80" i="7"/>
  <c r="Y80" i="7"/>
  <c r="T81" i="7"/>
  <c r="AJ81" i="7"/>
  <c r="O82" i="7"/>
  <c r="AE82" i="7"/>
  <c r="AM82" i="7"/>
  <c r="R83" i="7"/>
  <c r="AH83" i="7"/>
  <c r="M84" i="7"/>
  <c r="AC84" i="7"/>
  <c r="X85" i="7"/>
  <c r="AF85" i="7"/>
  <c r="AA86" i="7"/>
  <c r="V87" i="7"/>
  <c r="AL87" i="7"/>
  <c r="Q88" i="7"/>
  <c r="Y88" i="7"/>
  <c r="T89" i="7"/>
  <c r="AJ89" i="7"/>
  <c r="AM93" i="7"/>
  <c r="Z65" i="7"/>
  <c r="Y67" i="7"/>
  <c r="AH67" i="7"/>
  <c r="Z68" i="7"/>
  <c r="T70" i="7"/>
  <c r="AM72" i="7"/>
  <c r="S73" i="7"/>
  <c r="Z75" i="7"/>
  <c r="AE79" i="7"/>
  <c r="AM79" i="7"/>
  <c r="R80" i="7"/>
  <c r="Z80" i="7"/>
  <c r="X82" i="7"/>
  <c r="AF82" i="7"/>
  <c r="AN82" i="7"/>
  <c r="S83" i="7"/>
  <c r="AL84" i="7"/>
  <c r="Q85" i="7"/>
  <c r="Y85" i="7"/>
  <c r="AG85" i="7"/>
  <c r="AE87" i="7"/>
  <c r="AM87" i="7"/>
  <c r="R88" i="7"/>
  <c r="Z88" i="7"/>
  <c r="Z67" i="7"/>
  <c r="AN72" i="7"/>
  <c r="AF79" i="7"/>
  <c r="AN79" i="7"/>
  <c r="S80" i="7"/>
  <c r="Y82" i="7"/>
  <c r="AG82" i="7"/>
  <c r="AM84" i="7"/>
  <c r="R85" i="7"/>
  <c r="Z85" i="7"/>
  <c r="X87" i="7"/>
  <c r="AF87" i="7"/>
  <c r="AN87" i="7"/>
  <c r="S88" i="7"/>
  <c r="V89" i="7"/>
  <c r="AL89" i="7"/>
  <c r="AJ73" i="7"/>
  <c r="O80" i="7"/>
  <c r="AC82" i="7"/>
  <c r="AJ87" i="7"/>
  <c r="AN90" i="7"/>
  <c r="AA93" i="7"/>
  <c r="S65" i="7"/>
  <c r="AA67" i="7"/>
  <c r="Q68" i="7"/>
  <c r="AA71" i="7"/>
  <c r="AG73" i="7"/>
  <c r="AL75" i="7"/>
  <c r="R76" i="7"/>
  <c r="AC76" i="7"/>
  <c r="AA91" i="7"/>
  <c r="T65" i="7"/>
  <c r="M66" i="7"/>
  <c r="M73" i="7"/>
  <c r="AH73" i="7"/>
  <c r="AL34" i="7"/>
  <c r="X40" i="7"/>
  <c r="T92" i="7"/>
  <c r="T94" i="7"/>
  <c r="AA66" i="7"/>
  <c r="T69" i="7"/>
  <c r="AH71" i="7"/>
  <c r="M72" i="7"/>
  <c r="AA74" i="7"/>
  <c r="Y37" i="7"/>
  <c r="AL39" i="7"/>
  <c r="V92" i="7"/>
  <c r="V94" i="7"/>
  <c r="AC66" i="7"/>
  <c r="V69" i="7"/>
  <c r="AJ71" i="7"/>
  <c r="O72" i="7"/>
  <c r="AC74" i="7"/>
  <c r="Z37" i="7"/>
  <c r="AE77" i="7"/>
  <c r="AN91" i="7"/>
  <c r="V66" i="7"/>
  <c r="AL66" i="7"/>
  <c r="Q67" i="7"/>
  <c r="T68" i="7"/>
  <c r="AJ68" i="7"/>
  <c r="O69" i="7"/>
  <c r="AE69" i="7"/>
  <c r="AH70" i="7"/>
  <c r="M71" i="7"/>
  <c r="AC71" i="7"/>
  <c r="X72" i="7"/>
  <c r="AA73" i="7"/>
  <c r="V74" i="7"/>
  <c r="AL74" i="7"/>
  <c r="Q75" i="7"/>
  <c r="T76" i="7"/>
  <c r="AJ76" i="7"/>
  <c r="AF77" i="7"/>
  <c r="X92" i="7"/>
  <c r="Y94" i="7"/>
  <c r="AJ65" i="7"/>
  <c r="O66" i="7"/>
  <c r="AE66" i="7"/>
  <c r="AM66" i="7"/>
  <c r="R67" i="7"/>
  <c r="AC68" i="7"/>
  <c r="X69" i="7"/>
  <c r="AF69" i="7"/>
  <c r="AL71" i="7"/>
  <c r="Q72" i="7"/>
  <c r="Y72" i="7"/>
  <c r="AE74" i="7"/>
  <c r="AM74" i="7"/>
  <c r="R75" i="7"/>
  <c r="AH34" i="7"/>
  <c r="AG77" i="7"/>
  <c r="Q91" i="7"/>
  <c r="AC91" i="7"/>
  <c r="AE93" i="7"/>
  <c r="Z94" i="7"/>
  <c r="AC65" i="7"/>
  <c r="X66" i="7"/>
  <c r="AF66" i="7"/>
  <c r="AN66" i="7"/>
  <c r="S67" i="7"/>
  <c r="V68" i="7"/>
  <c r="AL68" i="7"/>
  <c r="Q69" i="7"/>
  <c r="Y69" i="7"/>
  <c r="AG69" i="7"/>
  <c r="AJ70" i="7"/>
  <c r="O71" i="7"/>
  <c r="AE71" i="7"/>
  <c r="AM71" i="7"/>
  <c r="R72" i="7"/>
  <c r="Z72" i="7"/>
  <c r="AC73" i="7"/>
  <c r="X74" i="7"/>
  <c r="AF74" i="7"/>
  <c r="AN74" i="7"/>
  <c r="S75" i="7"/>
  <c r="V76" i="7"/>
  <c r="AL76" i="7"/>
  <c r="M77" i="7"/>
  <c r="Z77" i="7"/>
  <c r="AH77" i="7"/>
  <c r="S91" i="7"/>
  <c r="V93" i="7"/>
  <c r="AG93" i="7"/>
  <c r="Q94" i="7"/>
  <c r="AL65" i="7"/>
  <c r="Q66" i="7"/>
  <c r="Y66" i="7"/>
  <c r="AE68" i="7"/>
  <c r="AM68" i="7"/>
  <c r="R69" i="7"/>
  <c r="X71" i="7"/>
  <c r="AF71" i="7"/>
  <c r="AL73" i="7"/>
  <c r="Q74" i="7"/>
  <c r="Y74" i="7"/>
  <c r="AE76" i="7"/>
  <c r="AM76" i="7"/>
  <c r="AL90" i="7"/>
  <c r="AF91" i="7"/>
  <c r="S92" i="7"/>
  <c r="R94" i="7"/>
  <c r="M49" i="7"/>
  <c r="S36" i="7"/>
  <c r="AM39" i="7"/>
  <c r="Y40" i="7"/>
  <c r="T77" i="7"/>
  <c r="AJ77" i="7"/>
  <c r="O90" i="7"/>
  <c r="AE90" i="7"/>
  <c r="AM90" i="7"/>
  <c r="R91" i="7"/>
  <c r="Z91" i="7"/>
  <c r="AH91" i="7"/>
  <c r="M92" i="7"/>
  <c r="AC92" i="7"/>
  <c r="X93" i="7"/>
  <c r="AF93" i="7"/>
  <c r="AN93" i="7"/>
  <c r="S94" i="7"/>
  <c r="AA94" i="7"/>
  <c r="X45" i="7"/>
  <c r="X90" i="7"/>
  <c r="AL92" i="7"/>
  <c r="Q93" i="7"/>
  <c r="AJ94" i="7"/>
  <c r="V45" i="7"/>
  <c r="O93" i="7"/>
  <c r="AA45" i="7"/>
  <c r="V77" i="7"/>
  <c r="AL77" i="7"/>
  <c r="Q90" i="7"/>
  <c r="Y90" i="7"/>
  <c r="T91" i="7"/>
  <c r="AJ91" i="7"/>
  <c r="O92" i="7"/>
  <c r="AE92" i="7"/>
  <c r="AM92" i="7"/>
  <c r="R93" i="7"/>
  <c r="AH93" i="7"/>
  <c r="M94" i="7"/>
  <c r="AC94" i="7"/>
  <c r="AM77" i="7"/>
  <c r="R90" i="7"/>
  <c r="Z90" i="7"/>
  <c r="AF92" i="7"/>
  <c r="AN92" i="7"/>
  <c r="S93" i="7"/>
  <c r="AL94" i="7"/>
  <c r="AH32" i="7"/>
  <c r="T40" i="7"/>
  <c r="X77" i="7"/>
  <c r="AL91" i="7"/>
  <c r="Q92" i="7"/>
  <c r="Y92" i="7"/>
  <c r="AE94" i="7"/>
  <c r="AM94" i="7"/>
  <c r="V90" i="7"/>
  <c r="AJ92" i="7"/>
  <c r="X37" i="7"/>
  <c r="M38" i="7"/>
  <c r="AG35" i="7"/>
  <c r="O37" i="7"/>
  <c r="Z40" i="7"/>
  <c r="R41" i="7"/>
  <c r="O39" i="7"/>
  <c r="AH42" i="7"/>
  <c r="X43" i="7"/>
  <c r="AH52" i="7"/>
  <c r="AA53" i="7"/>
  <c r="AG34" i="7"/>
  <c r="Y43" i="7"/>
  <c r="AA41" i="7"/>
  <c r="X32" i="7"/>
  <c r="T48" i="7"/>
  <c r="S49" i="7"/>
  <c r="AG32" i="7"/>
  <c r="AF34" i="7"/>
  <c r="M35" i="7"/>
  <c r="AA37" i="7"/>
  <c r="Y46" i="7"/>
  <c r="AM47" i="7"/>
  <c r="X48" i="7"/>
  <c r="AN48" i="7"/>
  <c r="V50" i="7"/>
  <c r="AC53" i="7"/>
  <c r="O32" i="7"/>
  <c r="Y32" i="7"/>
  <c r="AF37" i="7"/>
  <c r="M39" i="7"/>
  <c r="Q40" i="7"/>
  <c r="M41" i="7"/>
  <c r="S44" i="7"/>
  <c r="Z45" i="7"/>
  <c r="M46" i="7"/>
  <c r="Z46" i="7"/>
  <c r="Z48" i="7"/>
  <c r="AA32" i="7"/>
  <c r="AM32" i="7"/>
  <c r="AA33" i="7"/>
  <c r="AG37" i="7"/>
  <c r="R40" i="7"/>
  <c r="AA40" i="7"/>
  <c r="T44" i="7"/>
  <c r="AE53" i="7"/>
  <c r="Q32" i="7"/>
  <c r="AN32" i="7"/>
  <c r="AH37" i="7"/>
  <c r="S40" i="7"/>
  <c r="AG53" i="7"/>
  <c r="R32" i="7"/>
  <c r="V44" i="7"/>
  <c r="Q46" i="7"/>
  <c r="AC47" i="7"/>
  <c r="R48" i="7"/>
  <c r="AH48" i="7"/>
  <c r="S32" i="7"/>
  <c r="AF32" i="7"/>
  <c r="M33" i="7"/>
  <c r="AF35" i="7"/>
  <c r="T36" i="7"/>
  <c r="AN39" i="7"/>
  <c r="AH40" i="7"/>
  <c r="S41" i="7"/>
  <c r="AC42" i="7"/>
  <c r="AN43" i="7"/>
  <c r="AE45" i="7"/>
  <c r="R46" i="7"/>
  <c r="O47" i="7"/>
  <c r="V48" i="7"/>
  <c r="AJ48" i="7"/>
  <c r="Q49" i="7"/>
  <c r="AG49" i="7"/>
  <c r="M53" i="7"/>
  <c r="V32" i="7"/>
  <c r="AE32" i="7"/>
  <c r="Z33" i="7"/>
  <c r="AE34" i="7"/>
  <c r="AN34" i="7"/>
  <c r="T35" i="7"/>
  <c r="V37" i="7"/>
  <c r="AE37" i="7"/>
  <c r="AN37" i="7"/>
  <c r="T38" i="7"/>
  <c r="AH38" i="7"/>
  <c r="AJ39" i="7"/>
  <c r="O40" i="7"/>
  <c r="AG40" i="7"/>
  <c r="AG42" i="7"/>
  <c r="M43" i="7"/>
  <c r="Y45" i="7"/>
  <c r="AH45" i="7"/>
  <c r="AA46" i="7"/>
  <c r="AC46" i="7"/>
  <c r="AF50" i="7"/>
  <c r="R53" i="7"/>
  <c r="AC33" i="7"/>
  <c r="V34" i="7"/>
  <c r="X35" i="7"/>
  <c r="Y38" i="7"/>
  <c r="Q43" i="7"/>
  <c r="AA43" i="7"/>
  <c r="AL45" i="7"/>
  <c r="S46" i="7"/>
  <c r="AA49" i="7"/>
  <c r="AH50" i="7"/>
  <c r="T52" i="7"/>
  <c r="S53" i="7"/>
  <c r="Z32" i="7"/>
  <c r="R33" i="7"/>
  <c r="Y35" i="7"/>
  <c r="V36" i="7"/>
  <c r="Z38" i="7"/>
  <c r="AC39" i="7"/>
  <c r="AM40" i="7"/>
  <c r="AL42" i="7"/>
  <c r="R43" i="7"/>
  <c r="AM45" i="7"/>
  <c r="AG46" i="7"/>
  <c r="AM52" i="7"/>
  <c r="S33" i="7"/>
  <c r="Q35" i="7"/>
  <c r="Z35" i="7"/>
  <c r="AN35" i="7"/>
  <c r="Q38" i="7"/>
  <c r="AN40" i="7"/>
  <c r="AM42" i="7"/>
  <c r="S43" i="7"/>
  <c r="AH46" i="7"/>
  <c r="AJ50" i="7"/>
  <c r="AN52" i="7"/>
  <c r="AC34" i="7"/>
  <c r="R35" i="7"/>
  <c r="AA35" i="7"/>
  <c r="AL37" i="7"/>
  <c r="R38" i="7"/>
  <c r="AE40" i="7"/>
  <c r="Z41" i="7"/>
  <c r="AE42" i="7"/>
  <c r="AN42" i="7"/>
  <c r="T43" i="7"/>
  <c r="AF43" i="7"/>
  <c r="AJ44" i="7"/>
  <c r="AF45" i="7"/>
  <c r="AJ38" i="7"/>
  <c r="O45" i="7"/>
  <c r="AE49" i="7"/>
  <c r="Z52" i="7"/>
  <c r="S35" i="7"/>
  <c r="AM37" i="7"/>
  <c r="S38" i="7"/>
  <c r="AG38" i="7"/>
  <c r="AF40" i="7"/>
  <c r="AF42" i="7"/>
  <c r="AG43" i="7"/>
  <c r="AG45" i="7"/>
  <c r="M51" i="7"/>
  <c r="AA51" i="7"/>
  <c r="AH33" i="7"/>
  <c r="M34" i="7"/>
  <c r="AA36" i="7"/>
  <c r="T39" i="7"/>
  <c r="AH41" i="7"/>
  <c r="M42" i="7"/>
  <c r="AA44" i="7"/>
  <c r="O51" i="7"/>
  <c r="AC51" i="7"/>
  <c r="T33" i="7"/>
  <c r="AJ33" i="7"/>
  <c r="O34" i="7"/>
  <c r="AH35" i="7"/>
  <c r="M36" i="7"/>
  <c r="AC36" i="7"/>
  <c r="AA38" i="7"/>
  <c r="V39" i="7"/>
  <c r="T41" i="7"/>
  <c r="AJ41" i="7"/>
  <c r="O42" i="7"/>
  <c r="Z43" i="7"/>
  <c r="AH43" i="7"/>
  <c r="M44" i="7"/>
  <c r="AC44" i="7"/>
  <c r="AN45" i="7"/>
  <c r="Q47" i="7"/>
  <c r="AE47" i="7"/>
  <c r="X50" i="7"/>
  <c r="X34" i="7"/>
  <c r="AL36" i="7"/>
  <c r="Q37" i="7"/>
  <c r="AE39" i="7"/>
  <c r="X42" i="7"/>
  <c r="AL44" i="7"/>
  <c r="Q45" i="7"/>
  <c r="T46" i="7"/>
  <c r="AJ46" i="7"/>
  <c r="S47" i="7"/>
  <c r="AF47" i="7"/>
  <c r="Y50" i="7"/>
  <c r="Q51" i="7"/>
  <c r="AE51" i="7"/>
  <c r="Y53" i="7"/>
  <c r="V33" i="7"/>
  <c r="AL33" i="7"/>
  <c r="Q34" i="7"/>
  <c r="Y34" i="7"/>
  <c r="AJ35" i="7"/>
  <c r="O36" i="7"/>
  <c r="AE36" i="7"/>
  <c r="AM36" i="7"/>
  <c r="R37" i="7"/>
  <c r="AC38" i="7"/>
  <c r="X39" i="7"/>
  <c r="AF39" i="7"/>
  <c r="V41" i="7"/>
  <c r="AL41" i="7"/>
  <c r="Q42" i="7"/>
  <c r="Y42" i="7"/>
  <c r="AJ43" i="7"/>
  <c r="O44" i="7"/>
  <c r="AE44" i="7"/>
  <c r="AM44" i="7"/>
  <c r="R45" i="7"/>
  <c r="AG47" i="7"/>
  <c r="Z50" i="7"/>
  <c r="AL50" i="7"/>
  <c r="S51" i="7"/>
  <c r="AG51" i="7"/>
  <c r="V52" i="7"/>
  <c r="AJ52" i="7"/>
  <c r="O53" i="7"/>
  <c r="AJ32" i="7"/>
  <c r="O33" i="7"/>
  <c r="AE33" i="7"/>
  <c r="AM33" i="7"/>
  <c r="R34" i="7"/>
  <c r="Z34" i="7"/>
  <c r="AC35" i="7"/>
  <c r="X36" i="7"/>
  <c r="AF36" i="7"/>
  <c r="AN36" i="7"/>
  <c r="S37" i="7"/>
  <c r="V38" i="7"/>
  <c r="AL38" i="7"/>
  <c r="Q39" i="7"/>
  <c r="Y39" i="7"/>
  <c r="AG39" i="7"/>
  <c r="AJ40" i="7"/>
  <c r="O41" i="7"/>
  <c r="AE41" i="7"/>
  <c r="AM41" i="7"/>
  <c r="R42" i="7"/>
  <c r="Z42" i="7"/>
  <c r="AC43" i="7"/>
  <c r="X44" i="7"/>
  <c r="AF44" i="7"/>
  <c r="AN44" i="7"/>
  <c r="S45" i="7"/>
  <c r="V46" i="7"/>
  <c r="AL46" i="7"/>
  <c r="O49" i="7"/>
  <c r="AC49" i="7"/>
  <c r="AN50" i="7"/>
  <c r="X33" i="7"/>
  <c r="AF33" i="7"/>
  <c r="AL35" i="7"/>
  <c r="Q36" i="7"/>
  <c r="Y36" i="7"/>
  <c r="AE38" i="7"/>
  <c r="AM38" i="7"/>
  <c r="R39" i="7"/>
  <c r="X41" i="7"/>
  <c r="AF41" i="7"/>
  <c r="AL43" i="7"/>
  <c r="Q44" i="7"/>
  <c r="Y44" i="7"/>
  <c r="AE46" i="7"/>
  <c r="AM46" i="7"/>
  <c r="M47" i="7"/>
  <c r="X52" i="7"/>
  <c r="X47" i="7"/>
  <c r="AN47" i="7"/>
  <c r="S48" i="7"/>
  <c r="AA48" i="7"/>
  <c r="V49" i="7"/>
  <c r="AL49" i="7"/>
  <c r="Q50" i="7"/>
  <c r="AG50" i="7"/>
  <c r="T51" i="7"/>
  <c r="AJ51" i="7"/>
  <c r="O52" i="7"/>
  <c r="AE52" i="7"/>
  <c r="Z53" i="7"/>
  <c r="AH53" i="7"/>
  <c r="Y47" i="7"/>
  <c r="AM49" i="7"/>
  <c r="R50" i="7"/>
  <c r="AF52" i="7"/>
  <c r="Z47" i="7"/>
  <c r="AH47" i="7"/>
  <c r="M48" i="7"/>
  <c r="AC48" i="7"/>
  <c r="X49" i="7"/>
  <c r="AN49" i="7"/>
  <c r="S50" i="7"/>
  <c r="AA50" i="7"/>
  <c r="V51" i="7"/>
  <c r="AL51" i="7"/>
  <c r="Q52" i="7"/>
  <c r="AG52" i="7"/>
  <c r="T53" i="7"/>
  <c r="AJ53" i="7"/>
  <c r="Y49" i="7"/>
  <c r="AM51" i="7"/>
  <c r="R52" i="7"/>
  <c r="T47" i="7"/>
  <c r="AJ47" i="7"/>
  <c r="O48" i="7"/>
  <c r="AE48" i="7"/>
  <c r="Z49" i="7"/>
  <c r="AH49" i="7"/>
  <c r="M50" i="7"/>
  <c r="AC50" i="7"/>
  <c r="X51" i="7"/>
  <c r="AN51" i="7"/>
  <c r="S52" i="7"/>
  <c r="AA52" i="7"/>
  <c r="V53" i="7"/>
  <c r="AL53" i="7"/>
  <c r="AF48" i="7"/>
  <c r="Y51" i="7"/>
  <c r="AM53" i="7"/>
  <c r="L65" i="124" l="1"/>
  <c r="L66" i="124"/>
  <c r="L75" i="124"/>
  <c r="L68" i="124"/>
  <c r="L67" i="124"/>
  <c r="L78" i="124"/>
  <c r="L74" i="124"/>
  <c r="L61" i="124"/>
  <c r="L60" i="124"/>
  <c r="L64" i="124"/>
  <c r="L63" i="124"/>
  <c r="L77" i="124"/>
  <c r="L72" i="124"/>
  <c r="L70" i="124"/>
  <c r="L71" i="124"/>
  <c r="L69" i="124"/>
  <c r="L73" i="124"/>
  <c r="L76" i="124"/>
  <c r="L62" i="124"/>
  <c r="L38" i="124"/>
  <c r="L30" i="124"/>
  <c r="L99" i="124"/>
  <c r="L93" i="124"/>
  <c r="L34" i="124"/>
  <c r="L96" i="124"/>
  <c r="L43" i="124"/>
  <c r="L45" i="124"/>
  <c r="L33" i="124"/>
  <c r="L94" i="124"/>
  <c r="L42" i="124"/>
  <c r="L41" i="124"/>
  <c r="L95" i="124"/>
  <c r="L40" i="124"/>
  <c r="L32" i="124"/>
  <c r="L39" i="124"/>
  <c r="L58" i="124"/>
  <c r="L31" i="124"/>
  <c r="L57" i="124"/>
  <c r="L56" i="124"/>
  <c r="L44" i="124"/>
  <c r="L36" i="124"/>
  <c r="L35" i="124"/>
  <c r="L98" i="124"/>
  <c r="L97" i="124"/>
  <c r="C1" i="106" a="1"/>
  <c r="C1" i="106" l="1"/>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L79" i="106" l="1"/>
  <c r="L16" i="106"/>
  <c r="B26" i="106"/>
  <c r="L26" i="106" s="1"/>
  <c r="L12" i="106"/>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L27" i="106" s="1"/>
  <c r="L11" i="106"/>
  <c r="L10" i="106"/>
  <c r="L37" i="106" l="1"/>
  <c r="L38" i="106"/>
  <c r="L32" i="106"/>
  <c r="L74" i="106"/>
  <c r="L36" i="106"/>
  <c r="L90" i="106"/>
  <c r="L60" i="106"/>
  <c r="L65" i="106"/>
  <c r="L45" i="106"/>
  <c r="L33" i="106"/>
  <c r="L31" i="106"/>
  <c r="L41" i="106"/>
  <c r="L46" i="106"/>
  <c r="C19" i="106"/>
  <c r="L19" i="106" s="1"/>
  <c r="L7" i="106"/>
  <c r="L61" i="106"/>
  <c r="L75" i="106"/>
  <c r="L35" i="106"/>
  <c r="L72" i="106"/>
  <c r="L50" i="106"/>
  <c r="L42" i="106"/>
  <c r="R63" i="7" l="1"/>
  <c r="AK106" i="7"/>
  <c r="AI106" i="7"/>
  <c r="AH106" i="7" s="1"/>
  <c r="AD106" i="7"/>
  <c r="AB106" i="7"/>
  <c r="W106" i="7"/>
  <c r="U106" i="7"/>
  <c r="Z106" i="7" s="1"/>
  <c r="P106" i="7"/>
  <c r="N106" i="7"/>
  <c r="M106" i="7" s="1"/>
  <c r="AK105" i="7"/>
  <c r="AI105" i="7"/>
  <c r="AD105" i="7"/>
  <c r="AB105" i="7"/>
  <c r="AA105" i="7" s="1"/>
  <c r="W105" i="7"/>
  <c r="U105" i="7"/>
  <c r="P105" i="7"/>
  <c r="N105" i="7"/>
  <c r="R119" i="7"/>
  <c r="R110"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00" i="7"/>
  <c r="AI100" i="7"/>
  <c r="AN100" i="7" s="1"/>
  <c r="AD100" i="7"/>
  <c r="AB100" i="7"/>
  <c r="AF100" i="7" s="1"/>
  <c r="W100" i="7"/>
  <c r="U100" i="7"/>
  <c r="X100" i="7" s="1"/>
  <c r="P100" i="7"/>
  <c r="N100" i="7"/>
  <c r="AK99" i="7"/>
  <c r="AI99" i="7"/>
  <c r="AD99" i="7"/>
  <c r="AB99" i="7"/>
  <c r="AC99" i="7" s="1"/>
  <c r="W99" i="7"/>
  <c r="U99" i="7"/>
  <c r="X99" i="7" s="1"/>
  <c r="P99" i="7"/>
  <c r="N99" i="7"/>
  <c r="AK98" i="7"/>
  <c r="AI98" i="7"/>
  <c r="AH98" i="7" s="1"/>
  <c r="AD98" i="7"/>
  <c r="AB98" i="7"/>
  <c r="W98" i="7"/>
  <c r="U98" i="7"/>
  <c r="Z98" i="7" s="1"/>
  <c r="P98" i="7"/>
  <c r="N98" i="7"/>
  <c r="R98" i="7" s="1"/>
  <c r="AK97" i="7"/>
  <c r="AI97" i="7"/>
  <c r="AJ97" i="7" s="1"/>
  <c r="AD97" i="7"/>
  <c r="AB97" i="7"/>
  <c r="AA97" i="7" s="1"/>
  <c r="W97" i="7"/>
  <c r="U97" i="7"/>
  <c r="T97" i="7" s="1"/>
  <c r="P97" i="7"/>
  <c r="N97" i="7"/>
  <c r="AK96" i="7"/>
  <c r="AI96" i="7"/>
  <c r="AN96" i="7" s="1"/>
  <c r="AD96" i="7"/>
  <c r="AB96" i="7"/>
  <c r="AG96" i="7" s="1"/>
  <c r="W96" i="7"/>
  <c r="U96" i="7"/>
  <c r="Y96" i="7" s="1"/>
  <c r="P96" i="7"/>
  <c r="N96" i="7"/>
  <c r="AK95" i="7"/>
  <c r="AI95" i="7"/>
  <c r="AL95" i="7" s="1"/>
  <c r="AD95" i="7"/>
  <c r="AB95" i="7"/>
  <c r="AA95" i="7" s="1"/>
  <c r="W95" i="7"/>
  <c r="U95" i="7"/>
  <c r="V95" i="7" s="1"/>
  <c r="P95" i="7"/>
  <c r="N95" i="7"/>
  <c r="R95" i="7" s="1"/>
  <c r="AK62" i="7"/>
  <c r="AI62" i="7"/>
  <c r="AJ62" i="7" s="1"/>
  <c r="AD62" i="7"/>
  <c r="AB62" i="7"/>
  <c r="AC62" i="7" s="1"/>
  <c r="W62" i="7"/>
  <c r="U62" i="7"/>
  <c r="Y62" i="7" s="1"/>
  <c r="P62" i="7"/>
  <c r="N62" i="7"/>
  <c r="M62" i="7" s="1"/>
  <c r="AK61" i="7"/>
  <c r="AI61" i="7"/>
  <c r="AH61" i="7" s="1"/>
  <c r="AD61" i="7"/>
  <c r="AB61" i="7"/>
  <c r="AG61" i="7" s="1"/>
  <c r="W61" i="7"/>
  <c r="U61" i="7"/>
  <c r="Z61" i="7" s="1"/>
  <c r="P61" i="7"/>
  <c r="N61" i="7"/>
  <c r="R61" i="7" s="1"/>
  <c r="AK60" i="7"/>
  <c r="AI60" i="7"/>
  <c r="AM60" i="7" s="1"/>
  <c r="AD60" i="7"/>
  <c r="AB60" i="7"/>
  <c r="AE60" i="7" s="1"/>
  <c r="W60" i="7"/>
  <c r="U60" i="7"/>
  <c r="T60" i="7" s="1"/>
  <c r="P60" i="7"/>
  <c r="N60" i="7"/>
  <c r="O60" i="7" s="1"/>
  <c r="AK59" i="7"/>
  <c r="AI59" i="7"/>
  <c r="AJ59" i="7" s="1"/>
  <c r="AD59" i="7"/>
  <c r="AB59" i="7"/>
  <c r="AG59" i="7" s="1"/>
  <c r="W59" i="7"/>
  <c r="U59" i="7"/>
  <c r="T59" i="7" s="1"/>
  <c r="P59" i="7"/>
  <c r="N59" i="7"/>
  <c r="S59" i="7" s="1"/>
  <c r="AJ99" i="7" l="1"/>
  <c r="AH99" i="7"/>
  <c r="AN105" i="7"/>
  <c r="AH105" i="7"/>
  <c r="AG98" i="7"/>
  <c r="AA98" i="7"/>
  <c r="R59" i="7"/>
  <c r="R60" i="7"/>
  <c r="R62" i="7"/>
  <c r="AN106" i="7"/>
  <c r="AL106" i="7"/>
  <c r="AE106" i="7"/>
  <c r="AG106" i="7"/>
  <c r="AC106" i="7"/>
  <c r="AF106" i="7"/>
  <c r="AA106" i="7"/>
  <c r="S106" i="7"/>
  <c r="R106" i="7"/>
  <c r="AG105" i="7"/>
  <c r="AF105" i="7"/>
  <c r="AE105" i="7"/>
  <c r="AC105" i="7"/>
  <c r="V105" i="7"/>
  <c r="X105" i="7"/>
  <c r="Z105" i="7"/>
  <c r="Q105" i="7"/>
  <c r="S105" i="7"/>
  <c r="R105" i="7"/>
  <c r="O105" i="7"/>
  <c r="M105" i="7"/>
  <c r="O100" i="7"/>
  <c r="R100" i="7"/>
  <c r="M99" i="7"/>
  <c r="R99" i="7"/>
  <c r="S97" i="7"/>
  <c r="R97" i="7"/>
  <c r="Q96" i="7"/>
  <c r="R96" i="7"/>
  <c r="Y105" i="7"/>
  <c r="T106" i="7"/>
  <c r="AJ106" i="7"/>
  <c r="T105" i="7"/>
  <c r="AJ105" i="7"/>
  <c r="O106" i="7"/>
  <c r="AM106" i="7"/>
  <c r="X106" i="7"/>
  <c r="AH60" i="7"/>
  <c r="AL105" i="7"/>
  <c r="Q106" i="7"/>
  <c r="Y106" i="7"/>
  <c r="V106" i="7"/>
  <c r="AM105" i="7"/>
  <c r="AM95" i="7"/>
  <c r="X95" i="7"/>
  <c r="AF95" i="7"/>
  <c r="T98" i="7"/>
  <c r="AC95" i="7"/>
  <c r="AH100" i="7"/>
  <c r="T99" i="7"/>
  <c r="AG95" i="7"/>
  <c r="AC100" i="7"/>
  <c r="AL62" i="7"/>
  <c r="S95" i="7"/>
  <c r="AJ60" i="7"/>
  <c r="V62" i="7"/>
  <c r="AM99" i="7"/>
  <c r="S100" i="7"/>
  <c r="AL99" i="7"/>
  <c r="AA59" i="7"/>
  <c r="V96" i="7"/>
  <c r="AL97" i="7"/>
  <c r="AN99" i="7"/>
  <c r="Q100" i="7"/>
  <c r="AM62" i="7"/>
  <c r="AM97" i="7"/>
  <c r="AL59" i="7"/>
  <c r="M61" i="7"/>
  <c r="AN95" i="7"/>
  <c r="Z96" i="7"/>
  <c r="AN97" i="7"/>
  <c r="M100" i="7"/>
  <c r="Y100" i="7"/>
  <c r="AC97" i="7"/>
  <c r="O98" i="7"/>
  <c r="AF60" i="7"/>
  <c r="Z62" i="7"/>
  <c r="AN62" i="7"/>
  <c r="M95" i="7"/>
  <c r="AE95" i="7"/>
  <c r="AA96" i="7"/>
  <c r="M97" i="7"/>
  <c r="V99" i="7"/>
  <c r="AE99" i="7"/>
  <c r="AG100" i="7"/>
  <c r="AG60" i="7"/>
  <c r="AF99" i="7"/>
  <c r="AG99" i="7"/>
  <c r="AH62" i="7"/>
  <c r="Z95" i="7"/>
  <c r="S96" i="7"/>
  <c r="AG97" i="7"/>
  <c r="Y99" i="7"/>
  <c r="Z100" i="7"/>
  <c r="S98" i="7"/>
  <c r="AF97" i="7"/>
  <c r="V60" i="7"/>
  <c r="AA61" i="7"/>
  <c r="T62" i="7"/>
  <c r="Q95" i="7"/>
  <c r="AH96" i="7"/>
  <c r="V98" i="7"/>
  <c r="Z99" i="7"/>
  <c r="AA100" i="7"/>
  <c r="AE97" i="7"/>
  <c r="O95" i="7"/>
  <c r="Y95" i="7"/>
  <c r="AC96" i="7"/>
  <c r="M59" i="7"/>
  <c r="AA99" i="7"/>
  <c r="V97" i="7"/>
  <c r="AJ98" i="7"/>
  <c r="AC59" i="7"/>
  <c r="X60" i="7"/>
  <c r="O61" i="7"/>
  <c r="AE62" i="7"/>
  <c r="T96" i="7"/>
  <c r="AJ96" i="7"/>
  <c r="O97" i="7"/>
  <c r="M98" i="7"/>
  <c r="AC98" i="7"/>
  <c r="Y60" i="7"/>
  <c r="AF62" i="7"/>
  <c r="AH95" i="7"/>
  <c r="M96" i="7"/>
  <c r="X97" i="7"/>
  <c r="AL98" i="7"/>
  <c r="Q99" i="7"/>
  <c r="T100" i="7"/>
  <c r="AJ100" i="7"/>
  <c r="AE59" i="7"/>
  <c r="Z60" i="7"/>
  <c r="Q61" i="7"/>
  <c r="AL96" i="7"/>
  <c r="Q97" i="7"/>
  <c r="Y97" i="7"/>
  <c r="AE98" i="7"/>
  <c r="AM98" i="7"/>
  <c r="AF59" i="7"/>
  <c r="Q60" i="7"/>
  <c r="AL60" i="7"/>
  <c r="S61" i="7"/>
  <c r="X62" i="7"/>
  <c r="T95" i="7"/>
  <c r="AJ95" i="7"/>
  <c r="O96" i="7"/>
  <c r="AE96" i="7"/>
  <c r="AM96" i="7"/>
  <c r="Z97" i="7"/>
  <c r="AH97" i="7"/>
  <c r="X98" i="7"/>
  <c r="AF98" i="7"/>
  <c r="AN98" i="7"/>
  <c r="S99" i="7"/>
  <c r="V100" i="7"/>
  <c r="AL100" i="7"/>
  <c r="AN60" i="7"/>
  <c r="T61" i="7"/>
  <c r="X96" i="7"/>
  <c r="AF96" i="7"/>
  <c r="Q98" i="7"/>
  <c r="Y98" i="7"/>
  <c r="AE100" i="7"/>
  <c r="AM100" i="7"/>
  <c r="O99" i="7"/>
  <c r="O62" i="7"/>
  <c r="O59" i="7"/>
  <c r="AM59" i="7"/>
  <c r="AC61" i="7"/>
  <c r="V59" i="7"/>
  <c r="X59" i="7"/>
  <c r="AN59" i="7"/>
  <c r="S60" i="7"/>
  <c r="AA60" i="7"/>
  <c r="V61" i="7"/>
  <c r="AL61" i="7"/>
  <c r="Q62" i="7"/>
  <c r="AG62" i="7"/>
  <c r="AJ61" i="7"/>
  <c r="Q59" i="7"/>
  <c r="Y59" i="7"/>
  <c r="AE61" i="7"/>
  <c r="AM61" i="7"/>
  <c r="Z59" i="7"/>
  <c r="AH59" i="7"/>
  <c r="M60" i="7"/>
  <c r="AC60" i="7"/>
  <c r="X61" i="7"/>
  <c r="AF61" i="7"/>
  <c r="AN61" i="7"/>
  <c r="S62" i="7"/>
  <c r="AA62" i="7"/>
  <c r="Y6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100" i="7" l="1"/>
  <c r="L98" i="7"/>
  <c r="L99" i="7"/>
  <c r="L95" i="7"/>
  <c r="L105" i="7"/>
  <c r="L97" i="7"/>
  <c r="L96" i="7"/>
  <c r="L106" i="7"/>
  <c r="L62" i="7"/>
  <c r="L59" i="7"/>
  <c r="L61" i="7"/>
  <c r="L60"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8" i="7"/>
  <c r="AI118" i="7"/>
  <c r="AN118" i="7" s="1"/>
  <c r="AD118" i="7"/>
  <c r="AB118" i="7"/>
  <c r="AG118" i="7" s="1"/>
  <c r="W118" i="7"/>
  <c r="U118" i="7"/>
  <c r="Y118" i="7" s="1"/>
  <c r="P118" i="7"/>
  <c r="N118" i="7"/>
  <c r="AK117" i="7"/>
  <c r="AI117" i="7"/>
  <c r="AL117" i="7" s="1"/>
  <c r="AD117" i="7"/>
  <c r="AB117" i="7"/>
  <c r="AF117" i="7" s="1"/>
  <c r="W117" i="7"/>
  <c r="U117" i="7"/>
  <c r="V117" i="7" s="1"/>
  <c r="P117" i="7"/>
  <c r="N117" i="7"/>
  <c r="AK116" i="7"/>
  <c r="AI116" i="7"/>
  <c r="AJ116" i="7" s="1"/>
  <c r="AD116" i="7"/>
  <c r="AB116" i="7"/>
  <c r="W116" i="7"/>
  <c r="U116" i="7"/>
  <c r="V116" i="7" s="1"/>
  <c r="P116" i="7"/>
  <c r="N116" i="7"/>
  <c r="AK115" i="7"/>
  <c r="AI115" i="7"/>
  <c r="AN115" i="7" s="1"/>
  <c r="AD115" i="7"/>
  <c r="AB115" i="7"/>
  <c r="AF115" i="7" s="1"/>
  <c r="W115" i="7"/>
  <c r="U115" i="7"/>
  <c r="X115" i="7" s="1"/>
  <c r="P115" i="7"/>
  <c r="N115" i="7"/>
  <c r="AK114" i="7"/>
  <c r="AI114" i="7"/>
  <c r="AM114" i="7" s="1"/>
  <c r="AD114" i="7"/>
  <c r="AB114" i="7"/>
  <c r="AC114" i="7" s="1"/>
  <c r="W114" i="7"/>
  <c r="U114" i="7"/>
  <c r="T114" i="7" s="1"/>
  <c r="P114" i="7"/>
  <c r="N114" i="7"/>
  <c r="AK113" i="7"/>
  <c r="AI113" i="7"/>
  <c r="AD113" i="7"/>
  <c r="AB113" i="7"/>
  <c r="AC113" i="7" s="1"/>
  <c r="W113" i="7"/>
  <c r="U113" i="7"/>
  <c r="Z113" i="7" s="1"/>
  <c r="P113" i="7"/>
  <c r="N113" i="7"/>
  <c r="AK112" i="7"/>
  <c r="AI112" i="7"/>
  <c r="AM112" i="7" s="1"/>
  <c r="AD112" i="7"/>
  <c r="AB112" i="7"/>
  <c r="AE112" i="7" s="1"/>
  <c r="W112" i="7"/>
  <c r="U112" i="7"/>
  <c r="Y112" i="7" s="1"/>
  <c r="P112" i="7"/>
  <c r="N112" i="7"/>
  <c r="AK111" i="7"/>
  <c r="AI111" i="7"/>
  <c r="AJ111" i="7" s="1"/>
  <c r="AD111" i="7"/>
  <c r="AB111" i="7"/>
  <c r="AG111" i="7" s="1"/>
  <c r="W111" i="7"/>
  <c r="U111" i="7"/>
  <c r="P111" i="7"/>
  <c r="N111" i="7"/>
  <c r="R111" i="7" s="1"/>
  <c r="AK104" i="7"/>
  <c r="AI104" i="7"/>
  <c r="AL104" i="7" s="1"/>
  <c r="AD104" i="7"/>
  <c r="AB104" i="7"/>
  <c r="AA104" i="7" s="1"/>
  <c r="W104" i="7"/>
  <c r="U104" i="7"/>
  <c r="V104" i="7" s="1"/>
  <c r="P104" i="7"/>
  <c r="N104" i="7"/>
  <c r="R104" i="7" s="1"/>
  <c r="AK103" i="7"/>
  <c r="AI103" i="7"/>
  <c r="AH103" i="7" s="1"/>
  <c r="AD103" i="7"/>
  <c r="AB103" i="7"/>
  <c r="W103" i="7"/>
  <c r="U103" i="7"/>
  <c r="Y103" i="7" s="1"/>
  <c r="P103" i="7"/>
  <c r="N103" i="7"/>
  <c r="R103" i="7" s="1"/>
  <c r="AK102" i="7"/>
  <c r="AI102" i="7"/>
  <c r="AN102" i="7" s="1"/>
  <c r="AD102" i="7"/>
  <c r="AB102" i="7"/>
  <c r="AF102" i="7" s="1"/>
  <c r="W102" i="7"/>
  <c r="U102" i="7"/>
  <c r="X102" i="7" s="1"/>
  <c r="P102" i="7"/>
  <c r="N102" i="7"/>
  <c r="R102" i="7" s="1"/>
  <c r="AK101" i="7"/>
  <c r="AI101" i="7"/>
  <c r="AH101" i="7" s="1"/>
  <c r="AD101" i="7"/>
  <c r="AB101" i="7"/>
  <c r="W101" i="7"/>
  <c r="U101" i="7"/>
  <c r="T101" i="7" s="1"/>
  <c r="P101" i="7"/>
  <c r="N101" i="7"/>
  <c r="R101" i="7" s="1"/>
  <c r="AK64" i="7"/>
  <c r="AI64" i="7"/>
  <c r="AD64" i="7"/>
  <c r="AB64" i="7"/>
  <c r="AF64" i="7" s="1"/>
  <c r="W64" i="7"/>
  <c r="U64" i="7"/>
  <c r="P64" i="7"/>
  <c r="N64" i="7"/>
  <c r="R64" i="7" s="1"/>
  <c r="AK58" i="7"/>
  <c r="AI58" i="7"/>
  <c r="AL58" i="7" s="1"/>
  <c r="AD58" i="7"/>
  <c r="AB58" i="7"/>
  <c r="AC58" i="7" s="1"/>
  <c r="W58" i="7"/>
  <c r="U58" i="7"/>
  <c r="V58" i="7" s="1"/>
  <c r="P58" i="7"/>
  <c r="N58" i="7"/>
  <c r="R58" i="7" s="1"/>
  <c r="AK57" i="7"/>
  <c r="AI57" i="7"/>
  <c r="AM57" i="7" s="1"/>
  <c r="AD57" i="7"/>
  <c r="AB57" i="7"/>
  <c r="AA57" i="7" s="1"/>
  <c r="W57" i="7"/>
  <c r="U57" i="7"/>
  <c r="V57" i="7" s="1"/>
  <c r="P57" i="7"/>
  <c r="N57" i="7"/>
  <c r="R57" i="7" s="1"/>
  <c r="AK56" i="7"/>
  <c r="AI56" i="7"/>
  <c r="AH56" i="7" s="1"/>
  <c r="AD56" i="7"/>
  <c r="AB56" i="7"/>
  <c r="AA56" i="7" s="1"/>
  <c r="W56" i="7"/>
  <c r="U56" i="7"/>
  <c r="X56" i="7" s="1"/>
  <c r="P56" i="7"/>
  <c r="N56" i="7"/>
  <c r="R56" i="7" s="1"/>
  <c r="AK55" i="7"/>
  <c r="AI55" i="7"/>
  <c r="AJ55" i="7" s="1"/>
  <c r="AD55" i="7"/>
  <c r="AB55" i="7"/>
  <c r="AC55" i="7" s="1"/>
  <c r="W55" i="7"/>
  <c r="U55" i="7"/>
  <c r="Y55" i="7" s="1"/>
  <c r="P55" i="7"/>
  <c r="N55" i="7"/>
  <c r="R55" i="7" s="1"/>
  <c r="AK54" i="7"/>
  <c r="AI54" i="7"/>
  <c r="AH54" i="7" s="1"/>
  <c r="AD54" i="7"/>
  <c r="AB54" i="7"/>
  <c r="AC54" i="7" s="1"/>
  <c r="W54" i="7"/>
  <c r="U54" i="7"/>
  <c r="T54" i="7" s="1"/>
  <c r="P54" i="7"/>
  <c r="N54" i="7"/>
  <c r="R54" i="7" s="1"/>
  <c r="AK31" i="7"/>
  <c r="AI31" i="7"/>
  <c r="AH31" i="7" s="1"/>
  <c r="AD31" i="7"/>
  <c r="AB31" i="7"/>
  <c r="AE31" i="7" s="1"/>
  <c r="W31" i="7"/>
  <c r="U31" i="7"/>
  <c r="V31" i="7" s="1"/>
  <c r="P31" i="7"/>
  <c r="N31" i="7"/>
  <c r="R31" i="7" s="1"/>
  <c r="L18" i="7"/>
  <c r="L17" i="7"/>
  <c r="L15" i="7"/>
  <c r="L14" i="7"/>
  <c r="L13" i="7"/>
  <c r="R112" i="7" l="1"/>
  <c r="R113" i="7"/>
  <c r="R114" i="7"/>
  <c r="R115" i="7"/>
  <c r="R116" i="7"/>
  <c r="R117" i="7"/>
  <c r="R118" i="7"/>
  <c r="AH116" i="7"/>
  <c r="M117" i="7"/>
  <c r="T115" i="7"/>
  <c r="AH57" i="7"/>
  <c r="AA117" i="7"/>
  <c r="T116" i="7"/>
  <c r="O31" i="7"/>
  <c r="O112" i="7"/>
  <c r="M113" i="7"/>
  <c r="T118" i="7"/>
  <c r="M102" i="7"/>
  <c r="M55" i="7"/>
  <c r="S103" i="7"/>
  <c r="S116" i="7"/>
  <c r="M104" i="7"/>
  <c r="M54" i="7"/>
  <c r="T55" i="7"/>
  <c r="O56" i="7"/>
  <c r="M57" i="7"/>
  <c r="O117" i="7"/>
  <c r="M64" i="7"/>
  <c r="Q118" i="7"/>
  <c r="AN112" i="7"/>
  <c r="AL112" i="7"/>
  <c r="Q115" i="7"/>
  <c r="AM104" i="7"/>
  <c r="V112" i="7"/>
  <c r="X112" i="7"/>
  <c r="AM31" i="7"/>
  <c r="V103" i="7"/>
  <c r="O58" i="7"/>
  <c r="AL31" i="7"/>
  <c r="S117" i="7"/>
  <c r="O115" i="7"/>
  <c r="Y101" i="7"/>
  <c r="S115" i="7"/>
  <c r="Z112" i="7"/>
  <c r="AE64" i="7"/>
  <c r="AL103" i="7"/>
  <c r="AM103" i="7"/>
  <c r="X57" i="7"/>
  <c r="Y57" i="7"/>
  <c r="V101" i="7"/>
  <c r="AE54" i="7"/>
  <c r="Q117" i="7"/>
  <c r="AN57" i="7"/>
  <c r="AE117" i="7"/>
  <c r="AJ103" i="7"/>
  <c r="AL116" i="7"/>
  <c r="Q54" i="7"/>
  <c r="AJ57" i="7"/>
  <c r="AC104" i="7"/>
  <c r="O102" i="7"/>
  <c r="AG117" i="7"/>
  <c r="AL56" i="7"/>
  <c r="AN116" i="7"/>
  <c r="AM116" i="7"/>
  <c r="Y102" i="7"/>
  <c r="AM115" i="7"/>
  <c r="S113" i="7"/>
  <c r="X31" i="7"/>
  <c r="V56" i="7"/>
  <c r="AA113" i="7"/>
  <c r="V114" i="7"/>
  <c r="X114" i="7"/>
  <c r="X116" i="7"/>
  <c r="Y56" i="7"/>
  <c r="Y116" i="7"/>
  <c r="Z116" i="7"/>
  <c r="AA64" i="7"/>
  <c r="M111" i="7"/>
  <c r="AF54" i="7"/>
  <c r="O57" i="7"/>
  <c r="Z57" i="7"/>
  <c r="Q102" i="7"/>
  <c r="X103" i="7"/>
  <c r="AF118" i="7"/>
  <c r="X54" i="7"/>
  <c r="AG54" i="7"/>
  <c r="V55" i="7"/>
  <c r="AJ101" i="7"/>
  <c r="AM102" i="7"/>
  <c r="Z103" i="7"/>
  <c r="AA112" i="7"/>
  <c r="Y115" i="7"/>
  <c r="AH118" i="7"/>
  <c r="AE113" i="7"/>
  <c r="V54" i="7"/>
  <c r="AJ31" i="7"/>
  <c r="Z54" i="7"/>
  <c r="Z55" i="7"/>
  <c r="AJ56" i="7"/>
  <c r="T57" i="7"/>
  <c r="AM58" i="7"/>
  <c r="Q64" i="7"/>
  <c r="AG64" i="7"/>
  <c r="AL101" i="7"/>
  <c r="O104" i="7"/>
  <c r="T112" i="7"/>
  <c r="Q113" i="7"/>
  <c r="AF113" i="7"/>
  <c r="Y54" i="7"/>
  <c r="Q57" i="7"/>
  <c r="S54" i="7"/>
  <c r="AA54" i="7"/>
  <c r="AA55" i="7"/>
  <c r="S58" i="7"/>
  <c r="S64" i="7"/>
  <c r="X101" i="7"/>
  <c r="AA102" i="7"/>
  <c r="AE104" i="7"/>
  <c r="AA111" i="7"/>
  <c r="AG113" i="7"/>
  <c r="Q104" i="7"/>
  <c r="AH117" i="7"/>
  <c r="Y113" i="7"/>
  <c r="AE115" i="7"/>
  <c r="AC31" i="7"/>
  <c r="AN31" i="7"/>
  <c r="Q56" i="7"/>
  <c r="AE56" i="7"/>
  <c r="AM56" i="7"/>
  <c r="M58" i="7"/>
  <c r="Z101" i="7"/>
  <c r="AM101" i="7"/>
  <c r="AN103" i="7"/>
  <c r="S104" i="7"/>
  <c r="AF104" i="7"/>
  <c r="O111" i="7"/>
  <c r="AC111" i="7"/>
  <c r="Y114" i="7"/>
  <c r="AL114" i="7"/>
  <c r="AG115" i="7"/>
  <c r="AJ118" i="7"/>
  <c r="AC56" i="7"/>
  <c r="AJ114" i="7"/>
  <c r="M31" i="7"/>
  <c r="AF56" i="7"/>
  <c r="AN56" i="7"/>
  <c r="S57" i="7"/>
  <c r="AE58" i="7"/>
  <c r="O64" i="7"/>
  <c r="AC64" i="7"/>
  <c r="AN101" i="7"/>
  <c r="S102" i="7"/>
  <c r="AE102" i="7"/>
  <c r="AG104" i="7"/>
  <c r="Z114" i="7"/>
  <c r="AN114" i="7"/>
  <c r="AM117" i="7"/>
  <c r="X118" i="7"/>
  <c r="AG56" i="7"/>
  <c r="AG102" i="7"/>
  <c r="T103" i="7"/>
  <c r="Q111" i="7"/>
  <c r="AE111" i="7"/>
  <c r="AF112" i="7"/>
  <c r="M115" i="7"/>
  <c r="AC117" i="7"/>
  <c r="M118" i="7"/>
  <c r="Z118" i="7"/>
  <c r="AL118" i="7"/>
  <c r="O54" i="7"/>
  <c r="AJ58" i="7"/>
  <c r="S111" i="7"/>
  <c r="AF111" i="7"/>
  <c r="AH112" i="7"/>
  <c r="AM118" i="7"/>
  <c r="AC102" i="7"/>
  <c r="AF31" i="7"/>
  <c r="AL55" i="7"/>
  <c r="AH114" i="7"/>
  <c r="AA115" i="7"/>
  <c r="B26" i="8"/>
  <c r="L26" i="8" s="1"/>
  <c r="B27" i="8"/>
  <c r="L27" i="8" s="1"/>
  <c r="L11" i="8"/>
  <c r="L10" i="8"/>
  <c r="L16" i="8"/>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54" i="7"/>
  <c r="O55" i="7"/>
  <c r="AE55" i="7"/>
  <c r="AM55" i="7"/>
  <c r="Z56" i="7"/>
  <c r="AC57" i="7"/>
  <c r="X58" i="7"/>
  <c r="AF58" i="7"/>
  <c r="AN58" i="7"/>
  <c r="Z64" i="7"/>
  <c r="X64" i="7"/>
  <c r="V64" i="7"/>
  <c r="T64" i="7"/>
  <c r="T111" i="7"/>
  <c r="Z111" i="7"/>
  <c r="Y111" i="7"/>
  <c r="X111" i="7"/>
  <c r="V111" i="7"/>
  <c r="Z31" i="7"/>
  <c r="X55" i="7"/>
  <c r="AF55" i="7"/>
  <c r="AN55" i="7"/>
  <c r="S56" i="7"/>
  <c r="AL57" i="7"/>
  <c r="Q58" i="7"/>
  <c r="Y58" i="7"/>
  <c r="AG58" i="7"/>
  <c r="AH64" i="7"/>
  <c r="AN64" i="7"/>
  <c r="AM64" i="7"/>
  <c r="AL64" i="7"/>
  <c r="AJ64" i="7"/>
  <c r="S31" i="7"/>
  <c r="AA31" i="7"/>
  <c r="AL54" i="7"/>
  <c r="Q55" i="7"/>
  <c r="AG55" i="7"/>
  <c r="T56" i="7"/>
  <c r="AE57" i="7"/>
  <c r="Z58" i="7"/>
  <c r="AH58" i="7"/>
  <c r="Y64" i="7"/>
  <c r="T31" i="7"/>
  <c r="AM54" i="7"/>
  <c r="AH55" i="7"/>
  <c r="M56" i="7"/>
  <c r="AF57" i="7"/>
  <c r="AA58" i="7"/>
  <c r="AN54" i="7"/>
  <c r="S55" i="7"/>
  <c r="AG57" i="7"/>
  <c r="T58" i="7"/>
  <c r="M101" i="7"/>
  <c r="S101" i="7"/>
  <c r="Q101" i="7"/>
  <c r="O101" i="7"/>
  <c r="AA103" i="7"/>
  <c r="AG103" i="7"/>
  <c r="AF103" i="7"/>
  <c r="AE103" i="7"/>
  <c r="AC103" i="7"/>
  <c r="AC101" i="7"/>
  <c r="AA101" i="7"/>
  <c r="AG101" i="7"/>
  <c r="AF101" i="7"/>
  <c r="AE101" i="7"/>
  <c r="Z102" i="7"/>
  <c r="AH102" i="7"/>
  <c r="M103" i="7"/>
  <c r="X104" i="7"/>
  <c r="AN104" i="7"/>
  <c r="Y104" i="7"/>
  <c r="T102" i="7"/>
  <c r="AJ102" i="7"/>
  <c r="O103" i="7"/>
  <c r="Z104" i="7"/>
  <c r="AH104" i="7"/>
  <c r="AH113" i="7"/>
  <c r="AN113" i="7"/>
  <c r="AM113" i="7"/>
  <c r="AL113" i="7"/>
  <c r="AJ113" i="7"/>
  <c r="AA116" i="7"/>
  <c r="AG116" i="7"/>
  <c r="AF116" i="7"/>
  <c r="AE116" i="7"/>
  <c r="AC116" i="7"/>
  <c r="V102" i="7"/>
  <c r="AL102" i="7"/>
  <c r="Q103" i="7"/>
  <c r="T104" i="7"/>
  <c r="AJ104" i="7"/>
  <c r="M114" i="7"/>
  <c r="S114" i="7"/>
  <c r="Q114" i="7"/>
  <c r="O114" i="7"/>
  <c r="AL111" i="7"/>
  <c r="Q112" i="7"/>
  <c r="AG112" i="7"/>
  <c r="T113" i="7"/>
  <c r="AE114" i="7"/>
  <c r="Z115" i="7"/>
  <c r="AH115" i="7"/>
  <c r="M116" i="7"/>
  <c r="X117" i="7"/>
  <c r="AN117" i="7"/>
  <c r="S118" i="7"/>
  <c r="AA118" i="7"/>
  <c r="AM111" i="7"/>
  <c r="AF114" i="7"/>
  <c r="Y117" i="7"/>
  <c r="AN111" i="7"/>
  <c r="S112" i="7"/>
  <c r="V113" i="7"/>
  <c r="AG114" i="7"/>
  <c r="AJ115" i="7"/>
  <c r="O116" i="7"/>
  <c r="Z117" i="7"/>
  <c r="AC118" i="7"/>
  <c r="AJ112" i="7"/>
  <c r="O113" i="7"/>
  <c r="AC115" i="7"/>
  <c r="V118" i="7"/>
  <c r="AH111" i="7"/>
  <c r="M112" i="7"/>
  <c r="AC112" i="7"/>
  <c r="X113" i="7"/>
  <c r="AA114" i="7"/>
  <c r="V115" i="7"/>
  <c r="AL115" i="7"/>
  <c r="Q116" i="7"/>
  <c r="T117" i="7"/>
  <c r="AJ117" i="7"/>
  <c r="O118" i="7"/>
  <c r="AE118" i="7"/>
  <c r="L102" i="7" l="1"/>
  <c r="L104" i="7"/>
  <c r="L64" i="7"/>
  <c r="L101" i="7"/>
  <c r="L103" i="7"/>
  <c r="L55" i="7"/>
  <c r="L58" i="7"/>
  <c r="L56" i="7"/>
  <c r="L31" i="7"/>
  <c r="L54" i="7"/>
  <c r="L57" i="7"/>
  <c r="L115" i="7"/>
  <c r="L113" i="7"/>
  <c r="L116" i="7"/>
  <c r="L112" i="7"/>
  <c r="L117" i="7"/>
  <c r="L98" i="8"/>
  <c r="L94" i="8"/>
  <c r="L102" i="8"/>
  <c r="C9" i="8"/>
  <c r="L9" i="8" s="1"/>
  <c r="C8" i="8"/>
  <c r="L8" i="8" s="1"/>
  <c r="L4" i="8"/>
  <c r="C7" i="8" a="1"/>
  <c r="C7" i="8" s="1"/>
  <c r="L114" i="7"/>
  <c r="L118"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4" a="1"/>
  <c r="C1" i="124" l="1"/>
  <c r="C1" i="125" a="1"/>
  <c r="C1" i="125" l="1"/>
  <c r="C16" i="124"/>
  <c r="L16" i="124" s="1"/>
  <c r="B27" i="124"/>
  <c r="C27" i="124" s="1"/>
  <c r="L27" i="124" s="1"/>
  <c r="C10" i="124"/>
  <c r="L10" i="124" s="1"/>
  <c r="B26" i="124"/>
  <c r="C26" i="124" s="1"/>
  <c r="L26" i="124" s="1"/>
  <c r="L1" i="124"/>
  <c r="C12" i="124"/>
  <c r="L12" i="124" s="1"/>
  <c r="C11" i="124"/>
  <c r="L11" i="124" s="1"/>
  <c r="C1" i="126" a="1"/>
  <c r="C1" i="126" l="1"/>
  <c r="C12" i="125"/>
  <c r="L12" i="125" s="1"/>
  <c r="B27" i="125"/>
  <c r="C27" i="125" s="1"/>
  <c r="L27" i="125" s="1"/>
  <c r="C11" i="125"/>
  <c r="L11" i="125" s="1"/>
  <c r="B26" i="125"/>
  <c r="C26" i="125" s="1"/>
  <c r="L26" i="125" s="1"/>
  <c r="L1" i="125"/>
  <c r="C16" i="125"/>
  <c r="L16" i="125" s="1"/>
  <c r="C10" i="125"/>
  <c r="L10" i="125" s="1"/>
  <c r="L88" i="124"/>
  <c r="C7" i="124" a="1"/>
  <c r="C7" i="124" s="1"/>
  <c r="L4" i="124"/>
  <c r="C9" i="124"/>
  <c r="L9" i="124" s="1"/>
  <c r="C8" i="124"/>
  <c r="L8" i="124" s="1"/>
  <c r="C1" i="7" a="1"/>
  <c r="C1" i="7" l="1"/>
  <c r="L1" i="7" s="1"/>
  <c r="L4" i="7" s="1"/>
  <c r="B27" i="126"/>
  <c r="C27" i="126" s="1"/>
  <c r="L27" i="126" s="1"/>
  <c r="C11" i="126"/>
  <c r="L11" i="126" s="1"/>
  <c r="C16" i="126"/>
  <c r="L16" i="126" s="1"/>
  <c r="C10" i="126"/>
  <c r="L10" i="126" s="1"/>
  <c r="B26" i="126"/>
  <c r="C26" i="126" s="1"/>
  <c r="L26" i="126" s="1"/>
  <c r="L1" i="126"/>
  <c r="C12" i="126"/>
  <c r="L12" i="126" s="1"/>
  <c r="C16" i="7"/>
  <c r="L16" i="7" s="1"/>
  <c r="L95" i="125"/>
  <c r="C8" i="125"/>
  <c r="L8" i="125" s="1"/>
  <c r="C7" i="125" a="1"/>
  <c r="C7" i="125" s="1"/>
  <c r="L4" i="125"/>
  <c r="C9" i="125"/>
  <c r="L9" i="125" s="1"/>
  <c r="C19" i="124"/>
  <c r="L19" i="124" s="1"/>
  <c r="L7" i="124"/>
  <c r="C1" i="36" a="1"/>
  <c r="B27" i="7" l="1"/>
  <c r="C27" i="7" s="1"/>
  <c r="L27" i="7" s="1"/>
  <c r="C12" i="7"/>
  <c r="L12" i="7" s="1"/>
  <c r="B26" i="7"/>
  <c r="C26" i="7" s="1"/>
  <c r="L26" i="7" s="1"/>
  <c r="C1" i="36"/>
  <c r="C11" i="36" s="1"/>
  <c r="L11" i="36" s="1"/>
  <c r="L74" i="126"/>
  <c r="C7" i="126" a="1"/>
  <c r="C7" i="126" s="1"/>
  <c r="C8" i="126"/>
  <c r="L8" i="126" s="1"/>
  <c r="L4" i="126"/>
  <c r="C9" i="126"/>
  <c r="L9" i="126" s="1"/>
  <c r="C11" i="7"/>
  <c r="L11" i="7" s="1"/>
  <c r="C10" i="7"/>
  <c r="L10" i="7" s="1"/>
  <c r="C10" i="36"/>
  <c r="L10" i="36" s="1"/>
  <c r="C7" i="7" a="1"/>
  <c r="C7" i="7" s="1"/>
  <c r="L7" i="7" s="1"/>
  <c r="C9" i="7"/>
  <c r="L9" i="7" s="1"/>
  <c r="C8" i="7"/>
  <c r="L8" i="7" s="1"/>
  <c r="L107" i="7"/>
  <c r="L7" i="125"/>
  <c r="C19" i="125"/>
  <c r="L19" i="125" s="1"/>
  <c r="B27" i="36" l="1"/>
  <c r="C27" i="36" s="1"/>
  <c r="L27" i="36" s="1"/>
  <c r="L1" i="36"/>
  <c r="B26" i="36"/>
  <c r="C26" i="36" s="1"/>
  <c r="L26" i="36" s="1"/>
  <c r="C12" i="36"/>
  <c r="L12" i="36" s="1"/>
  <c r="C16" i="36"/>
  <c r="L16" i="36" s="1"/>
  <c r="L7" i="126"/>
  <c r="C19" i="126"/>
  <c r="L19" i="126" s="1"/>
  <c r="C19" i="7"/>
  <c r="L19" i="7" s="1"/>
  <c r="L4" i="36" l="1"/>
  <c r="C7" i="36" a="1"/>
  <c r="C7" i="36" s="1"/>
  <c r="C8" i="36"/>
  <c r="L8" i="36" s="1"/>
  <c r="C9" i="36"/>
  <c r="L9" i="36" s="1"/>
  <c r="L102" i="36"/>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A7151A-C069-4A40-B6A0-D180226D9BEB}">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300A066-4B44-4226-A22D-CD4EAD19D0C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FAC8AE2-BE19-489D-9E9C-A633FE6C2507}">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<sst xmlns="http://schemas.openxmlformats.org/spreadsheetml/2006/main" count="5316" uniqueCount="1160">
  <si>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</si>
  <si>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</si>
  <si>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</si>
  <si>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</si>
  <si>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</si>
  <si>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</si>
  <si>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</si>
  <si>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</si>
  <si>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</si>
  <si>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</si>
  <si>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</si>
  <si>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</si>
  <si>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</si>
  <si>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</si>
  <si>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</si>
  <si>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</si>
  <si>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</si>
  <si>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</si>
  <si>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</si>
  <si>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</si>
  <si>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</si>
  <si>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</si>
  <si>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</si>
  <si>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</si>
  <si>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</si>
  <si>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</si>
  <si>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</si>
  <si>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</si>
  <si>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</si>
  <si>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</si>
  <si>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</si>
  <si>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</si>
  <si>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</si>
  <si>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</si>
  <si>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</si>
  <si>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</si>
  <si>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</si>
  <si>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</si>
  <si>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</si>
  <si>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</si>
  <si>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</si>
  <si>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</si>
  <si>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</si>
  <si>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</si>
  <si>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</si>
  <si>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</si>
  <si>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</si>
  <si>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</si>
  <si>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</si>
  <si>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</si>
  <si>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</si>
  <si>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</si>
  <si>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</si>
  <si>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</si>
  <si>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</si>
  <si>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</si>
  <si>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</si>
  <si>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</si>
  <si>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</si>
  <si>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</si>
  <si>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</si>
  <si>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</si>
  <si>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</si>
  <si>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</si>
  <si>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</si>
  <si>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</si>
  <si>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</si>
  <si>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</si>
  <si>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</si>
  <si>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</si>
  <si>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</si>
  <si>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</si>
  <si>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</si>
  <si>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</si>
  <si>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</si>
  <si>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</si>
  <si>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</si>
  <si>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</si>
  <si>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</si>
  <si>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</si>
  <si>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</si>
  <si>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</si>
  <si>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</si>
  <si>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</si>
  <si>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</si>
  <si>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</si>
  <si>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</si>
  <si>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</si>
  <si>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</si>
  <si>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</si>
  <si>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</si>
  <si>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</si>
  <si>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</si>
  <si>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</si>
  <si>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</si>
  <si>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</si>
  <si>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</si>
  <si>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</si>
  <si>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</si>
  <si>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</si>
  <si>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</si>
  <si>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</si>
  <si>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</si>
  <si>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</si>
  <si>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</si>
  <si>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</si>
  <si>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</si>
  <si>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</si>
  <si>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</si>
  <si>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</si>
  <si>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</si>
  <si>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</si>
  <si>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</si>
  <si>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</si>
  <si>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</si>
  <si>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</si>
  <si>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</si>
  <si>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</si>
  <si>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</si>
  <si>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</si>
  <si>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</si>
  <si>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</si>
  <si>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</si>
  <si>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</si>
  <si>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</si>
  <si>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</si>
  <si>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</si>
  <si>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</si>
  <si>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</si>
  <si>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</si>
  <si>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</si>
  <si>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</si>
  <si>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</si>
  <si>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</si>
  <si>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</si>
  <si>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</si>
  <si>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</si>
  <si>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</si>
  <si>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</si>
  <si>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</si>
  <si>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</si>
  <si>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</si>
  <si>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</si>
  <si>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</si>
  <si>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</si>
  <si>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</si>
  <si>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</si>
  <si>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</si>
  <si>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</si>
  <si>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</si>
  <si>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</si>
  <si>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</si>
  <si>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</si>
  <si>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</si>
  <si>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</si>
  <si>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</si>
  <si>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</si>
  <si>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</si>
  <si>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</si>
  <si>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</si>
  <si>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</si>
  <si>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</si>
  <si>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</si>
  <si>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</si>
  <si>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</si>
  <si>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</si>
  <si>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</si>
  <si>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</si>
  <si>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</si>
  <si>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</si>
  <si>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</si>
  <si>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</si>
  <si>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</si>
  <si>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</si>
  <si>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</si>
  <si>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</si>
  <si>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</si>
  <si>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</si>
  <si>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</si>
  <si>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</si>
  <si>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</si>
  <si>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</si>
  <si>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</si>
  <si>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</si>
  <si>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</si>
  <si>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</si>
  <si>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</si>
  <si>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</si>
  <si>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</si>
  <si>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</si>
  <si>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</si>
  <si>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</si>
  <si>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</si>
  <si>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</si>
  <si>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</si>
  <si>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</si>
  <si>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</si>
  <si>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</si>
  <si>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</si>
  <si>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</si>
  <si>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</si>
  <si>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</si>
  <si>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</si>
  <si>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</si>
  <si>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</si>
  <si>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</si>
  <si>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</si>
  <si>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</si>
  <si>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</si>
  <si>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</si>
  <si>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</si>
  <si>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</si>
  <si>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</si>
  <si>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</si>
  <si>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</si>
  <si>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</si>
  <si>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</si>
  <si>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</si>
  <si>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</si>
  <si>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</si>
  <si>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</si>
  <si>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</si>
  <si>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</si>
  <si>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</si>
  <si>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</si>
  <si>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</si>
  <si>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</si>
  <si>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</si>
  <si>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</si>
  <si>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</si>
  <si>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</si>
  <si>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</si>
  <si>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</si>
  <si>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</si>
  <si>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</si>
  <si>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</si>
  <si>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</si>
  <si>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</si>
  <si>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</si>
  <si>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</si>
  <si>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</si>
  <si>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</si>
  <si>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</si>
  <si>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</si>
  <si>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</si>
  <si>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</si>
  <si>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</si>
  <si>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</si>
  <si>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</si>
  <si>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</si>
  <si>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</si>
  <si>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</si>
  <si>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</si>
  <si>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</si>
  <si>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</si>
  <si>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</si>
  <si>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</si>
  <si>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</si>
  <si>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</si>
  <si>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</si>
  <si>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</si>
  <si>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</si>
  <si>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</si>
  <si>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</si>
  <si>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</si>
  <si>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</si>
  <si>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</si>
  <si>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</si>
  <si>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</si>
  <si>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</si>
  <si>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</si>
  <si>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</si>
  <si>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</si>
  <si>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</si>
  <si>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</si>
  <si>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</si>
  <si>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</si>
  <si>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</si>
  <si>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</si>
  <si>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</si>
  <si>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</si>
  <si>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</si>
  <si>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</si>
  <si>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</si>
  <si>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</si>
  <si>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</si>
  <si>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</si>
  <si>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</si>
  <si>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</si>
  <si>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</si>
  <si>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</si>
  <si>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</si>
  <si>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</si>
  <si>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</si>
  <si>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</si>
  <si>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</si>
  <si>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</si>
  <si>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</si>
  <si>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</si>
  <si>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</si>
  <si>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</si>
  <si>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</si>
  <si>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</si>
  <si>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</si>
  <si>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</si>
  <si>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</si>
  <si>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</si>
  <si>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</si>
  <si>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</si>
  <si>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</si>
  <si>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</si>
  <si>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</si>
  <si>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</si>
  <si>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</si>
  <si>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</si>
  <si>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</si>
  <si>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</si>
  <si>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</si>
  <si>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</si>
  <si>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</si>
  <si>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</si>
  <si>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</si>
  <si>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</si>
  <si>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</si>
  <si>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</si>
  <si>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</si>
  <si>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</si>
  <si>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</si>
  <si>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</si>
  <si>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</si>
  <si>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</si>
  <si>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</si>
  <si>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</si>
  <si>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</si>
  <si>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</si>
  <si>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</si>
  <si>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</si>
  <si>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</si>
  <si>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</si>
  <si>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</si>
  <si>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</si>
  <si>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</si>
  <si>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</si>
  <si>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</si>
  <si>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</si>
  <si>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</si>
  <si>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</si>
  <si>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</si>
  <si>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</si>
  <si>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</si>
  <si>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</si>
  <si>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</si>
  <si>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</si>
  <si>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</si>
  <si>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</si>
  <si>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</si>
  <si>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</si>
  <si>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</si>
  <si>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</si>
  <si>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</si>
  <si>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</si>
  <si>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</si>
  <si>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</si>
  <si>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</si>
  <si>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</si>
  <si>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</si>
  <si>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</si>
  <si>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</si>
  <si>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</si>
  <si>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</si>
  <si>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</si>
  <si>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</si>
  <si>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</si>
  <si>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</si>
  <si>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</si>
  <si>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</si>
  <si>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</si>
  <si>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</si>
  <si>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</si>
  <si>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</si>
  <si>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</si>
  <si>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</si>
  <si>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</si>
  <si>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</si>
  <si>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</si>
  <si>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</si>
  <si>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</si>
  <si>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</si>
  <si>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</si>
  <si>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</si>
  <si>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</si>
  <si>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</si>
  <si>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</si>
  <si>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</si>
  <si>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</si>
  <si>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</si>
  <si>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</si>
  <si>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</si>
  <si>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</si>
  <si>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</si>
  <si>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</si>
  <si>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</si>
  <si>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</si>
  <si>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</si>
  <si>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</si>
  <si>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</si>
  <si>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</si>
  <si>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</si>
  <si>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</si>
  <si>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</si>
  <si>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</si>
  <si>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</si>
  <si>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</si>
  <si>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</si>
  <si>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</si>
  <si>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</si>
  <si>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</si>
  <si>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</si>
  <si>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</si>
  <si>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</si>
  <si>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</si>
  <si>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</si>
  <si>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</si>
  <si>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</si>
  <si>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</si>
  <si>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</si>
  <si>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</si>
  <si>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</si>
  <si>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</si>
  <si>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</si>
  <si>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</si>
  <si>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</si>
  <si>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</si>
  <si>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</si>
  <si>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</si>
  <si>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</si>
  <si>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</si>
  <si>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</si>
  <si>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</si>
  <si>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</si>
  <si>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</si>
  <si>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</si>
  <si>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</si>
  <si>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</si>
  <si>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</si>
  <si>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</si>
  <si>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</si>
  <si>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</si>
  <si>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</si>
  <si>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</si>
  <si>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</si>
  <si>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</si>
  <si>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</si>
  <si>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</si>
  <si>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</si>
  <si>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</si>
  <si>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</si>
  <si>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</si>
  <si>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</si>
  <si>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</si>
  <si>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</si>
  <si>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</si>
  <si>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</si>
  <si>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</si>
  <si>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</si>
  <si>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</si>
  <si>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</si>
  <si>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</si>
  <si>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</si>
  <si>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</si>
  <si>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</si>
  <si>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</si>
  <si>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</si>
  <si>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</si>
  <si>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</si>
  <si>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</si>
  <si>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</si>
  <si>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</si>
  <si>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</si>
  <si>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</si>
  <si>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</si>
  <si>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</si>
  <si>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</si>
  <si>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</si>
  <si>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</si>
  <si>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</si>
  <si>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</si>
  <si>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</si>
  <si>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</si>
  <si>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</si>
  <si>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</si>
  <si>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</si>
  <si>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</si>
  <si>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</si>
  <si>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</si>
  <si>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</si>
  <si>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</si>
  <si>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</si>
  <si>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</si>
  <si>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</si>
  <si>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</si>
  <si>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</si>
  <si>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</si>
  <si>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</si>
  <si>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</si>
  <si>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</si>
  <si>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</si>
  <si>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</si>
  <si>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</si>
  <si>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</si>
  <si>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</si>
  <si>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</si>
  <si>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</si>
  <si>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</si>
  <si>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</si>
  <si>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</si>
  <si>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</si>
  <si>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</si>
  <si>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</si>
  <si>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</si>
  <si>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</si>
  <si>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</si>
  <si>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</si>
  <si>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</si>
  <si>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</si>
  <si>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</si>
  <si>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</si>
  <si>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</si>
  <si>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</si>
  <si>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</si>
  <si>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</si>
  <si>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</si>
  <si>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</si>
  <si>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</si>
  <si>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</si>
  <si>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</si>
  <si>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</si>
  <si>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</si>
  <si>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</si>
  <si>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</si>
  <si>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</si>
  <si>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</si>
  <si>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</si>
  <si>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</si>
  <si>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</si>
  <si>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</si>
  <si>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</si>
  <si>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</si>
  <si>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</si>
  <si>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</si>
  <si>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</si>
  <si>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</si>
  <si>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</si>
  <si>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</si>
  <si>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</si>
  <si>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</si>
  <si>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</si>
  <si>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</si>
  <si>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</si>
  <si>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</si>
  <si>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</si>
  <si>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</si>
  <si>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</si>
  <si>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</si>
  <si>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</si>
  <si>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</si>
  <si>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</si>
  <si>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</si>
  <si>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</si>
  <si>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</si>
  <si>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</si>
  <si>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</si>
  <si>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</si>
  <si>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</si>
  <si>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</si>
  <si>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</si>
  <si>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</si>
  <si>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</si>
  <si>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</si>
  <si>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</si>
  <si>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</si>
  <si>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</si>
  <si>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</si>
  <si>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</si>
  <si>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</si>
  <si>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</si>
  <si>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</si>
  <si>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</si>
  <si>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</si>
  <si>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</si>
  <si>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</si>
  <si>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</si>
  <si>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</si>
  <si>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</si>
  <si>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</si>
  <si>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</si>
  <si>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</si>
  <si>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</si>
  <si>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</si>
  <si>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</si>
  <si>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</si>
  <si>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</si>
  <si>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</si>
  <si>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</si>
  <si>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</si>
  <si>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</si>
  <si>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</si>
  <si>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</si>
  <si>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</si>
  <si>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</si>
  <si>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</si>
  <si>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</si>
  <si>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</si>
  <si>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</si>
  <si>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</si>
  <si>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</si>
  <si>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</si>
  <si>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</si>
  <si>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</si>
  <si>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</si>
  <si>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</si>
  <si>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</si>
  <si>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</si>
  <si>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</si>
  <si>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</si>
  <si>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</si>
  <si>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</si>
  <si>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</si>
  <si>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</si>
  <si>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</si>
  <si>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</si>
  <si>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</si>
  <si>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</si>
  <si>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</si>
  <si>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</si>
  <si>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</si>
  <si>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</si>
  <si>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</si>
  <si>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</si>
  <si>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</si>
  <si>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</si>
  <si>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</si>
  <si>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</si>
  <si>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</si>
  <si>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</si>
  <si>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</si>
  <si>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</si>
  <si>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</si>
  <si>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</si>
  <si>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</si>
  <si>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</si>
  <si>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</si>
  <si>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</si>
  <si>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</si>
  <si>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</si>
  <si>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</si>
  <si>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</si>
  <si>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</si>
  <si>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</si>
  <si>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</si>
  <si>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</si>
  <si>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</si>
  <si>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</si>
  <si>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</si>
  <si>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</si>
  <si>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</si>
  <si>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</si>
  <si>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</si>
  <si>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</si>
  <si>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</si>
  <si>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</si>
  <si>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</si>
  <si>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</si>
  <si>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</si>
  <si>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</si>
  <si>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</si>
  <si>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</si>
  <si>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</si>
  <si>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</si>
  <si>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</si>
  <si>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</si>
  <si>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</si>
  <si>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</si>
  <si>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</si>
  <si>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</si>
  <si>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</si>
  <si>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</si>
  <si>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</si>
  <si>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</si>
  <si>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</si>
  <si>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</si>
  <si>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</si>
  <si>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</si>
  <si>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</si>
  <si>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</si>
  <si>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</si>
  <si>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</si>
  <si>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</si>
  <si>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</si>
  <si>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</si>
  <si>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</si>
  <si>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</si>
  <si>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</si>
  <si>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</si>
  <si>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</si>
  <si>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</si>
  <si>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</si>
  <si>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</si>
  <si>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</si>
  <si>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</si>
  <si>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</si>
  <si>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</si>
  <si>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</si>
  <si>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</si>
  <si>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</si>
  <si>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</si>
  <si>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</si>
  <si>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</si>
  <si>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</si>
  <si>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</si>
  <si>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</si>
  <si>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</si>
  <si>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</si>
  <si>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</si>
  <si>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</si>
  <si>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</si>
  <si>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</si>
  <si>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</si>
  <si>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</si>
  <si>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</si>
  <si>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</si>
  <si>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</si>
  <si>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</si>
  <si>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</si>
  <si>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</si>
  <si>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</si>
  <si>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</si>
  <si>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</si>
  <si>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</si>
  <si>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</si>
  <si>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</si>
  <si>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</si>
  <si>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</si>
  <si>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</si>
  <si>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</si>
  <si>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</si>
  <si>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</si>
  <si>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</si>
  <si>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</si>
  <si>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</si>
  <si>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</si>
  <si>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</si>
  <si>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</si>
  <si>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</si>
  <si>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</si>
  <si>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</si>
  <si>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</si>
  <si>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</si>
  <si>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</si>
  <si>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</si>
  <si>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</si>
  <si>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</si>
  <si>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</si>
  <si>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</si>
  <si>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</si>
  <si>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</si>
  <si>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</si>
  <si>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</si>
  <si>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</si>
  <si>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</si>
  <si>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</si>
  <si>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</si>
  <si>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</si>
  <si>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</si>
  <si>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</si>
  <si>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</si>
  <si>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</si>
  <si>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</si>
  <si>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</si>
  <si>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</si>
  <si>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</si>
  <si>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</si>
  <si>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</si>
  <si>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</si>
  <si>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</si>
  <si>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</si>
  <si>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</si>
  <si>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</si>
  <si>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</si>
  <si>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</si>
  <si>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</si>
  <si>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</si>
  <si>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</si>
  <si>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</si>
  <si>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</si>
  <si>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</si>
  <si>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</si>
  <si>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</si>
  <si>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</si>
  <si>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</si>
  <si>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</si>
  <si>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</si>
  <si>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</si>
  <si>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</si>
  <si>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</si>
  <si>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</si>
  <si>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</si>
  <si>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</si>
  <si>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</si>
  <si>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</si>
  <si>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</si>
  <si>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</si>
  <si>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</si>
  <si>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</si>
  <si>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</si>
  <si>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</si>
  <si>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</si>
  <si>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</si>
  <si>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</si>
  <si>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</si>
  <si>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</si>
  <si>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</si>
  <si>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</si>
  <si>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</si>
  <si>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</si>
  <si>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</si>
  <si>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</si>
  <si>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</si>
  <si>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</si>
  <si>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</si>
  <si>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</si>
  <si>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</si>
  <si>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</si>
  <si>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</si>
  <si>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</si>
  <si>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</si>
  <si>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</si>
  <si>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</si>
  <si>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</si>
  <si>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</si>
  <si>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</si>
  <si>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</si>
  <si>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</si>
  <si>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</si>
  <si>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</si>
  <si>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</si>
  <si>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</si>
  <si>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</si>
  <si>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</si>
  <si>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</si>
  <si>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</si>
  <si>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</si>
  <si>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</si>
  <si>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</si>
  <si>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</si>
  <si>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</si>
  <si>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</si>
  <si>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</si>
  <si>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</si>
  <si>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</si>
  <si>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</si>
  <si>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</si>
  <si>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</si>
  <si>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</si>
  <si>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</si>
  <si>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</si>
  <si>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</si>
  <si>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</si>
  <si>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</si>
  <si>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</si>
  <si>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</si>
  <si>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</si>
  <si>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</si>
  <si>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</si>
  <si>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</si>
  <si>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</si>
  <si>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</si>
  <si>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</si>
  <si>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</si>
  <si>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</si>
  <si>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</si>
  <si>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</si>
  <si>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</si>
  <si>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</si>
  <si>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</si>
  <si>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</si>
  <si>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</si>
  <si>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</si>
  <si>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</si>
  <si>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</si>
  <si>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</si>
  <si>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</si>
  <si>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</si>
  <si>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</si>
  <si>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</si>
  <si>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</si>
  <si>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</si>
  <si>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</si>
  <si>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</si>
  <si>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</si>
  <si>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</si>
  <si>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</si>
  <si>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</si>
  <si>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</si>
  <si>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</si>
  <si>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</si>
  <si>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</si>
  <si>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</si>
  <si>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</si>
  <si>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</si>
  <si>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</si>
  <si>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</si>
  <si>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</si>
  <si>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</si>
  <si>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</si>
  <si>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</si>
  <si>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</si>
  <si>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</si>
  <si>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</si>
  <si>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</si>
  <si>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</si>
  <si>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</si>
  <si>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</si>
  <si>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</si>
  <si>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</si>
  <si>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</si>
  <si>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</si>
  <si>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</si>
  <si>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</si>
  <si>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</si>
  <si>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</si>
  <si>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</si>
  <si>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</si>
  <si>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</si>
  <si>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</si>
  <si>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</si>
  <si>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</si>
  <si>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</si>
  <si>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</si>
  <si>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</si>
  <si>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</si>
  <si>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</si>
  <si>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</si>
  <si>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</si>
  <si>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</si>
  <si>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</si>
  <si>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</si>
  <si>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</si>
  <si>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</si>
  <si>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</si>
  <si>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</si>
  <si>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</si>
  <si>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</si>
  <si>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</si>
  <si>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</si>
  <si>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</si>
  <si>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</si>
  <si>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</si>
  <si>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</si>
  <si>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</si>
  <si>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</si>
  <si>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</si>
  <si>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</si>
  <si>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</si>
  <si>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</si>
  <si>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</si>
  <si>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</si>
  <si>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</si>
  <si>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</si>
  <si>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</si>
  <si>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</si>
  <si>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</si>
  <si>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</si>
  <si>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</si>
  <si>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</si>
  <si>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</si>
  <si>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</si>
  <si>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</si>
  <si>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</si>
  <si>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</si>
  <si>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</si>
  <si>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</si>
  <si>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</si>
  <si>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</si>
  <si>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</si>
  <si>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</si>
  <si>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</si>
  <si>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</si>
  <si>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</si>
  <si>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</si>
  <si>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</si>
  <si>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</si>
  <si>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</si>
  <si>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</si>
  <si>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</si>
  <si>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</si>
  <si>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</si>
  <si>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</si>
  <si>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</si>
  <si>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</si>
  <si>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</si>
  <si>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</si>
  <si>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</si>
  <si>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</si>
  <si>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</si>
  <si>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</si>
  <si>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</si>
  <si>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</si>
  <si>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</si>
  <si>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</si>
  <si>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</si>
  <si>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</si>
  <si>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</si>
  <si>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</si>
  <si>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</si>
  <si>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</si>
  <si>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</si>
  <si>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</si>
  <si>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</si>
  <si>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</si>
  <si>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</si>
  <si>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</si>
  <si>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</si>
  <si>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</si>
  <si>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</si>
  <si>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</si>
  <si>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</si>
  <si>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</si>
  <si>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</si>
  <si>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</si>
  <si>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</si>
  <si>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</si>
  <si>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</si>
  <si>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</si>
  <si>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</si>
  <si>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</si>
  <si>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</si>
  <si>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</si>
  <si>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</si>
  <si>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</si>
  <si>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</si>
  <si>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</si>
  <si>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</si>
  <si>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</si>
  <si>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</si>
  <si>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</si>
  <si>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</si>
  <si>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</si>
  <si>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</si>
  <si>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</si>
  <si>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</si>
  <si>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</si>
  <si>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</si>
  <si>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</si>
  <si>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</si>
  <si>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</si>
  <si>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</si>
  <si>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</si>
  <si>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</si>
  <si>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</si>
  <si>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</si>
  <si>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</si>
  <si>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</si>
  <si>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/resucito/src/index.html?canto=resucito</t>
  </si>
  <si>
    <t>/resucito/src/index.html?canto=salvereinadeloscielos</t>
  </si>
  <si>
    <r>
      <t xml:space="preserve">        scrollConfig: </t>
    </r>
    <r>
      <rPr>
        <sz val="18"/>
        <color rgb="FF00B0F0"/>
        <rFont val="Consolas"/>
        <family val="3"/>
      </rPr>
      <t>{</t>
    </r>
  </si>
  <si>
    <t>UN RETOÑO BROTA DEL TRONCO DE JESÉ,</t>
  </si>
  <si>
    <t>UN GERMEN DE SUS RAÍCES.</t>
  </si>
  <si>
    <t>SOBRE ÉL SE POSA EL ESPÍRITU DEL SEÑOR:</t>
  </si>
  <si>
    <t>ESPÍRITU DE SABIDURÍA E INTELIGENCIA,</t>
  </si>
  <si>
    <t>ESPÍRITU DE CONSEJO Y FORTALEZA,</t>
  </si>
  <si>
    <t>ESPÍRITU DE CIENCIA Y DE PIEDAD,</t>
  </si>
  <si>
    <t>ESPÍRITU DE TEMOR DEL SEÑOR.</t>
  </si>
  <si>
    <t>No juzgará de oídas,</t>
  </si>
  <si>
    <t>sino que ayudará a los oprimidos.</t>
  </si>
  <si>
    <t>Su palabra será una vara contra el violento</t>
  </si>
  <si>
    <t>y con el soplo de su boca matará al malvado.</t>
  </si>
  <si>
    <t>El lobo vivirá con el cordero,</t>
  </si>
  <si>
    <t>la pantera se echará con el cabrito,</t>
  </si>
  <si>
    <t>el león y el novillo pacerán juntos,</t>
  </si>
  <si>
    <t>y un niño los guiará, y un niño los guiará.</t>
  </si>
  <si>
    <t>UN RETOÑO BROTA DEL TRONCO DE JESÉ...</t>
  </si>
  <si>
    <t>La vaca y la osa estarán juntas,</t>
  </si>
  <si>
    <t>el león, como el buey, comerá paja.</t>
  </si>
  <si>
    <t>El niño de pecho hurgará</t>
  </si>
  <si>
    <t>en el agujero del áspid,</t>
  </si>
  <si>
    <t>el recién nacido meterá la mano</t>
  </si>
  <si>
    <t>en la hura de la víbora.</t>
  </si>
  <si>
    <t>Porque ya nadie hará daño.</t>
  </si>
  <si>
    <t>Porque la tierra estará llena</t>
  </si>
  <si>
    <t>del conocimiento del Señor.</t>
  </si>
  <si>
    <t>PORQUE LA TIERRA ESTARÁ LLENA</t>
  </si>
  <si>
    <t>DEL CONOCIMIENTO DEL SEÑOR.</t>
  </si>
  <si>
    <t>Porque aquel día</t>
  </si>
  <si>
    <t>la raíz de Jesé se levantará</t>
  </si>
  <si>
    <t>como estandarte de los pueblos,</t>
  </si>
  <si>
    <t>y las gentes lo seguirán con ansia.</t>
  </si>
  <si>
    <t>En aquel día el Señor extenderá su mano</t>
  </si>
  <si>
    <t>y un camino se formará,</t>
  </si>
  <si>
    <t>Y UN CAMINO SE FORMARÁ;</t>
  </si>
  <si>
    <t>una vía para todas las naciones,</t>
  </si>
  <si>
    <t>UNA VÍA PARA TODAS LAS NACIONES</t>
  </si>
  <si>
    <t>que la Virgen indicará.</t>
  </si>
  <si>
    <t>PORQUE YA NADIE HARÁ DAÑO.</t>
  </si>
  <si>
    <t>UNA GRAN SEÑAL APARECIÓ EN EL CIELO:</t>
  </si>
  <si>
    <t>UNA MUJER, UNA MUJER VESTIDA DEL SOL,</t>
  </si>
  <si>
    <t>CON LA LUNA BAJO SUS PIES,</t>
  </si>
  <si>
    <t>Y UNA CORONA DE DOCE ESTRELLAS;</t>
  </si>
  <si>
    <t>ESTÁ ENCINTA, Y GRITA</t>
  </si>
  <si>
    <t>CON LOS TORMENTOS DE DAR A LUZ.</t>
  </si>
  <si>
    <t>Y apareció otra señal en el cielo:</t>
  </si>
  <si>
    <t>un enorme Dragón rojo,</t>
  </si>
  <si>
    <t>con siete cabezas y diez cuernos.</t>
  </si>
  <si>
    <t>El Dragón se detuvo delante de la Mujer,</t>
  </si>
  <si>
    <t>de la Mujer que iba a dar a luz,</t>
  </si>
  <si>
    <t>para devorar a su Hijo en cuanto naciera.</t>
  </si>
  <si>
    <t>Y la Mujer dio a luz un Hijo varón,</t>
  </si>
  <si>
    <t>aquel que ha de regir las naciones de la tierra,</t>
  </si>
  <si>
    <t>y su Hijo fue arrebatado</t>
  </si>
  <si>
    <t>hasta Dios y hasta su trono.</t>
  </si>
  <si>
    <t>UNA GRAN SEÑAL APARECIÓ EN EL CIELO...</t>
  </si>
  <si>
    <t>Entonces se entabló una batalla en el cielo:</t>
  </si>
  <si>
    <t>Miguel y sus Ángeles combatieron</t>
  </si>
  <si>
    <t>con el Dragón, con el gran Dragón.</t>
  </si>
  <si>
    <t>También el Dragón y sus ángeles combatieron,</t>
  </si>
  <si>
    <t>pero no prevalecieron</t>
  </si>
  <si>
    <t>y no hubo ya lugar para ellos en el cielo.</t>
  </si>
  <si>
    <t>Y fue arrojado el Dragón, el gran Dragón,</t>
  </si>
  <si>
    <t>la Serpiente antigua, el llamado Diablo</t>
  </si>
  <si>
    <t>y Satanás, el seductor del mundo entero,</t>
  </si>
  <si>
    <t>fue arrojado a la tierra y sus ángeles con él.</t>
  </si>
  <si>
    <t>arrojado a la tierra, persiguió a la Mujer</t>
  </si>
  <si>
    <t>que había dado a luz al Hijo varón.</t>
  </si>
  <si>
    <t>Pero se le dieron a la Mujer las dos alas</t>
  </si>
  <si>
    <t>del águila grande, para volar al desierto,</t>
  </si>
  <si>
    <t>donde tiene que ser alimentada</t>
  </si>
  <si>
    <t>un tiempo, dos tiempos y medio tiempo.</t>
  </si>
  <si>
    <t>Entonces, despechado contra la Mujer,</t>
  </si>
  <si>
    <t>el gran Dragón, se fue a hacer la guerra</t>
  </si>
  <si>
    <t>al resto de sus hijos</t>
  </si>
  <si>
    <t>los que guardan los mandamientos de Dios</t>
  </si>
  <si>
    <t>y mantienen el testimonio de Jesús.</t>
  </si>
  <si>
    <t>LA LA LA, LA LA, LA LA...</t>
  </si>
  <si>
    <t>Cuando el Dragón vio que había sido</t>
  </si>
  <si>
    <t>Urí, urí, urí, urá,</t>
  </si>
  <si>
    <t>urí, urí, urí, urá.</t>
  </si>
  <si>
    <t>URÍ, URÍ, URÍ, URÁ.</t>
  </si>
  <si>
    <t>PAMPAM, PAMPAM, PAMPARAM PAMPAM,</t>
  </si>
  <si>
    <t>LALALALÁ LALÁ.</t>
  </si>
  <si>
    <t>Un niño pequeño va a nacer,</t>
  </si>
  <si>
    <t>un niñito pequeño.</t>
  </si>
  <si>
    <t>UN NIÑO PEQUEÑO VA A NACER,</t>
  </si>
  <si>
    <t>UN NIÑITO PEQUEÑO.</t>
  </si>
  <si>
    <t>¿Cómo se llamará? Emmanuel.</t>
  </si>
  <si>
    <t>¿CÓMO SE LLAMARÁ? EMMANUEL.</t>
  </si>
  <si>
    <t>VEN CHIQUITITO, VEN.</t>
  </si>
  <si>
    <t>Su madrecita está en Belén,</t>
  </si>
  <si>
    <t>su padre es carpintero.</t>
  </si>
  <si>
    <t>SU MADRECITA ESTÁ EN BELÉN,</t>
  </si>
  <si>
    <t>SU PADRE ES CARPINTERO.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</si>
</sst>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4"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5">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0" fontId="48" fillId="18" borderId="0" xfId="1" applyFont="1" applyFill="1" applyAlignment="1">
      <alignment horizontal="center" vertical="center"/>
    </xf>
    <xf numFmtId="0" fontId="49" fillId="0" borderId="0" xfId="0" applyFont="1" applyAlignment="1">
      <alignment vertical="center"/>
    </xf>
    <xf numFmtId="0" fontId="50" fillId="0" borderId="0" xfId="0" applyFont="1" applyAlignment="1">
      <alignment horizontal="left" vertical="center"/>
    </xf>
    <xf numFmtId="0" fontId="52" fillId="2" borderId="0" xfId="0" applyFont="1" applyFill="1" applyAlignment="1">
      <alignment vertical="center"/>
    </xf>
    <xf numFmtId="0" fontId="53" fillId="2" borderId="0" xfId="0" applyFont="1" applyFill="1" applyAlignment="1">
      <alignment horizontal="left" vertical="center"/>
    </xf>
    <xf numFmtId="0" fontId="53" fillId="20" borderId="0" xfId="0" applyFont="1" applyFill="1" applyAlignment="1">
      <alignment horizontal="left" vertical="center"/>
    </xf>
    <xf numFmtId="0" fontId="53" fillId="2" borderId="17" xfId="0" applyFont="1" applyFill="1" applyBorder="1" applyAlignment="1">
      <alignment horizontal="left" vertical="center"/>
    </xf>
    <xf numFmtId="0" fontId="53"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D28388-AC57-4885-A15E-0802319B445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4E29C4-0F33-4419-A3FB-B2857262489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0800-0000019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C9346CD-C40E-4483-AC3F-9A95CA8684E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572FD4-A3F3-45D0-85E9-06CE650484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0900-0000019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55C5A60-17B0-48C9-ABFC-555CE75B34B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256028-9471-4859-923C-80F4B0BB57A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150C785F-35D5-4C26-9262-6A15379B032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B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22" t="str" cm="1">
        <f t="array" aca="1" ref="B1" ca="1">MID(CELL("filename", B1), FIND("]", CELL("filename", B1)) + 1, 255)</f>
        <v>Indice</v>
      </c>
      <c r="C1" s="122"/>
      <c r="D1" s="122"/>
      <c r="E1" s="122"/>
      <c r="F1" s="36"/>
      <c r="G1" s="123"/>
      <c r="H1" s="123"/>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1062</v>
      </c>
      <c r="B6" s="37"/>
      <c r="C6" s="37"/>
      <c r="D6" s="37"/>
      <c r="E6" s="37"/>
      <c r="F6" s="38"/>
      <c r="G6" s="38"/>
      <c r="H6" s="38"/>
    </row>
    <row r="7" spans="1:8" ht="26.1" customHeight="1" x14ac:dyDescent="0.45">
      <c r="A7" s="37" t="s">
        <v>978</v>
      </c>
      <c r="B7" s="37"/>
      <c r="C7" s="37"/>
      <c r="D7" s="37"/>
      <c r="E7" s="37"/>
      <c r="F7" s="38"/>
      <c r="G7" s="38"/>
      <c r="H7" s="38"/>
    </row>
    <row r="8" spans="1:8" ht="26.1" customHeight="1" x14ac:dyDescent="0.45">
      <c r="A8" s="37" t="s">
        <v>1016</v>
      </c>
      <c r="B8" s="37"/>
      <c r="C8" s="37"/>
      <c r="D8" s="37"/>
      <c r="E8" s="37"/>
      <c r="F8" s="38"/>
      <c r="G8" s="38"/>
      <c r="H8" s="38"/>
    </row>
    <row r="9" spans="1:8" ht="26.1" customHeight="1" x14ac:dyDescent="0.45">
      <c r="A9" s="37" t="s">
        <v>1017</v>
      </c>
      <c r="B9" s="37"/>
      <c r="C9" s="37"/>
      <c r="D9" s="37"/>
      <c r="E9" s="37"/>
      <c r="F9" s="38"/>
      <c r="G9" s="38"/>
      <c r="H9" s="38"/>
    </row>
    <row r="10" spans="1:8" ht="26.1" customHeight="1" x14ac:dyDescent="0.45">
      <c r="A10" s="37" t="s">
        <v>1026</v>
      </c>
      <c r="B10" s="37"/>
      <c r="C10" s="37"/>
      <c r="D10" s="37"/>
      <c r="E10" s="38"/>
      <c r="F10" s="38"/>
      <c r="G10" s="38"/>
      <c r="H10" s="38"/>
    </row>
    <row r="11" spans="1:8" ht="26.1" customHeight="1" x14ac:dyDescent="0.45">
      <c r="A11" s="37"/>
      <c r="B11" s="37"/>
      <c r="C11" s="37"/>
      <c r="D11" s="37"/>
      <c r="E11" s="38"/>
      <c r="F11" s="38"/>
      <c r="G11" s="38"/>
      <c r="H11" s="38"/>
    </row>
    <row r="12" spans="1:8" ht="26.1" customHeight="1" x14ac:dyDescent="0.45">
      <c r="A12" s="37"/>
      <c r="B12" s="37"/>
      <c r="C12" s="37"/>
      <c r="D12" s="37"/>
      <c r="E12" s="38"/>
      <c r="F12" s="38"/>
      <c r="G12" s="38"/>
      <c r="H12" s="38"/>
    </row>
    <row r="13" spans="1:8" ht="26.1" customHeight="1" x14ac:dyDescent="0.45">
      <c r="A13" s="37"/>
      <c r="B13" s="37"/>
      <c r="C13" s="37"/>
      <c r="D13" s="37"/>
      <c r="E13" s="38"/>
      <c r="F13" s="38"/>
      <c r="G13" s="38"/>
      <c r="H13" s="38"/>
    </row>
    <row r="14" spans="1:8" ht="26.1" customHeight="1" x14ac:dyDescent="0.45">
      <c r="A14" s="37"/>
      <c r="B14" s="37"/>
      <c r="C14" s="37"/>
      <c r="D14" s="37"/>
      <c r="E14" s="38"/>
      <c r="F14" s="38"/>
      <c r="G14" s="38"/>
      <c r="H14" s="38"/>
    </row>
    <row r="15" spans="1:8" ht="26.1" customHeight="1" x14ac:dyDescent="0.45">
      <c r="A15" s="37"/>
      <c r="B15" s="37"/>
      <c r="C15" s="37"/>
      <c r="D15" s="37"/>
      <c r="E15" s="38"/>
      <c r="F15" s="38"/>
      <c r="G15" s="38"/>
      <c r="H15" s="38"/>
    </row>
    <row r="16" spans="1:8" ht="26.1" customHeight="1" x14ac:dyDescent="0.45">
      <c r="A16" s="37"/>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417D4322-8B4F-4CA0-BFC5-B9CF3263F3CD}"/>
    <hyperlink ref="A3" location="'Index'!A3" display="'Index'!A3" xr:uid="{8987A5F7-FD88-44BD-B45B-E8012B17CEEE}"/>
    <hyperlink ref="A4" location="'Index Web'!A3" display="'Index Web'!A3" xr:uid="{28102E8B-803A-436B-8A46-59A0CDDD1EA4}"/>
    <hyperlink ref="A5" location="'cantosJS'!A3" display="'cantosJS'!A3" xr:uid="{24E7EB65-F175-4CD2-8E6B-9818D02C10AB}"/>
    <hyperlink ref="A6" location="'QUÉ AMABLES SON TUS MORADAS (2)'!A3" display="'QUÉ AMABLES SON TUS MORADAS (2)'!A3" xr:uid="{E9D88531-8C21-49BC-91C8-4A806C4DC103}"/>
    <hyperlink ref="A7" location="'Find'!A3" display="'Find'!A3" xr:uid="{1F0047EF-C304-4D65-83E8-B2EC79FF501A}"/>
    <hyperlink ref="A8" location="'html'!A3" display="'html'!A3" xr:uid="{988CFE40-C660-4336-829B-6082A37AD6AF}"/>
    <hyperlink ref="A9" location="'MARIA, MADRE MÍA'!A3" display="'MARIA, MADRE MÍA'!A3" xr:uid="{D301C67E-BD7D-47FA-896F-967A37AB7DB9}"/>
    <hyperlink ref="A10" location="'boceto'!A3" display="'boceto'!A3" xr:uid="{0459A257-BC61-4327-9FC9-5618F0A51DA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L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t="e" cm="1">
        <f t="array" aca="1" ref="C1" ca="1">SumarE1HojaAnterior()+1</f>
        <v>#VALUE!</v>
      </c>
      <c r="E1" s="40"/>
      <c r="F1" s="40"/>
      <c r="G1" s="40"/>
      <c r="H1" s="40"/>
      <c r="I1" s="40"/>
      <c r="J1" s="40"/>
      <c r="K1" s="40"/>
      <c r="L1" s="41" t="e">
        <v>#VALUE!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_xlfn.CONCAT("║           ",L1,"               ║")</f>
        <v>#VALUE!</v>
      </c>
    </row>
    <row r="5" spans="2:32" ht="23.25" x14ac:dyDescent="0.25">
      <c r="L5" s="46" t="s">
        <v>982</v>
      </c>
    </row>
    <row r="6" spans="2:32" ht="23.25" x14ac:dyDescent="0.25">
      <c r="L6" s="47" t="s">
        <v>983</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_xlfn.CONCAT("        id: ","""",C7,"""",",")</f>
        <v>#VALUE!</v>
      </c>
    </row>
    <row r="8" spans="2:32" ht="23.25" x14ac:dyDescent="0.25">
      <c r="C8" t="e">
        <f>PROPER(L1)</f>
        <v>#VALUE!</v>
      </c>
      <c r="L8" s="48" t="e">
        <f>_xlfn.CONCAT("        tt: ","""",C8,"""",",")</f>
        <v>#VALUE!</v>
      </c>
    </row>
    <row r="9" spans="2:32" ht="23.25" x14ac:dyDescent="0.25">
      <c r="C9" t="e">
        <f>PROPER(L1)</f>
        <v>#VALUE!</v>
      </c>
      <c r="L9" s="48" t="e">
        <f>_xlfn.CONCAT("        title: ","""",C9,"""",",")</f>
        <v>#VALUE!</v>
      </c>
    </row>
    <row r="10" spans="2:32" ht="23.25" x14ac:dyDescent="0.25">
      <c r="C10" t="e">
        <v>#VALUE!</v>
      </c>
      <c r="L10" s="48" t="e">
        <f>_xlfn.CONCAT("        ","subtitle: ","""",C10,"""",",")</f>
        <v>#VALUE!</v>
      </c>
    </row>
    <row r="11" spans="2:32" ht="23.25" x14ac:dyDescent="0.25">
      <c r="C11" t="e">
        <v>#VALUE!</v>
      </c>
      <c r="L11" s="48" t="e">
        <f>_xlfn.CONCAT("        ",C11)</f>
        <v>#VALUE!</v>
      </c>
    </row>
    <row r="12" spans="2:32" ht="23.25" x14ac:dyDescent="0.25">
      <c r="C12" t="e">
        <v>#VALUE!</v>
      </c>
      <c r="L12" s="48" t="e">
        <f>_xlfn.CONCAT("        catCanto: ","""",C12,"""",",   // Precatecumenado | Catecumenado | Liturgia | Eleccion")</f>
        <v>#VALUE!</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v>#VALUE!</v>
      </c>
      <c r="L16" s="48" t="e">
        <f>_xlfn.CONCAT("        dbno: ","""",C16,"""",",")</f>
        <v>#VALUE!</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C7</f>
        <v>#VALUE!</v>
      </c>
      <c r="L19" s="48" t="e">
        <f>_xlfn.CONCAT("        audioSrc: ","""https://audio.resucito.do/",C19,".mp3""",",")</f>
        <v>#VALUE!</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t="e">
        <f ca="1">+C1-1</f>
        <v>#VALUE!</v>
      </c>
      <c r="C26" t="e">
        <v>#VALUE!</v>
      </c>
      <c r="L26" s="48" t="e">
        <f>_xlfn.CONCAT("        ant: ",C26,",")</f>
        <v>#VALUE!</v>
      </c>
    </row>
    <row r="27" spans="1:40" ht="23.25" x14ac:dyDescent="0.25">
      <c r="B27" t="e">
        <f ca="1">+C1+1</f>
        <v>#VALUE!</v>
      </c>
      <c r="C27" t="e">
        <v>#VALUE!</v>
      </c>
      <c r="L27" s="48" t="e">
        <f>_xlfn.CONCAT("        sig: ",C27,",")</f>
        <v>#VALUE!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5.5" thickTop="1" thickBot="1" x14ac:dyDescent="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5.5" thickTop="1" thickBot="1" x14ac:dyDescent="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5.5" thickTop="1" thickBot="1" x14ac:dyDescent="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75" thickTop="1" thickBot="1" x14ac:dyDescent="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5.5" outlineLevel="1" thickTop="1" thickBot="1" x14ac:dyDescent="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outlineLevel="1" thickTop="1" thickBot="1" x14ac:dyDescent="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outlineLevel="1" thickTop="1" thickBot="1" x14ac:dyDescent="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outlineLevel="1" thickTop="1" thickBot="1" x14ac:dyDescent="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5.5" outlineLevel="1" thickTop="1" thickBot="1" x14ac:dyDescent="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outlineLevel="1" thickTop="1" thickBot="1" x14ac:dyDescent="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outlineLevel="1" thickTop="1" thickBot="1" x14ac:dyDescent="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5.5" outlineLevel="1" thickTop="1" thickBot="1" x14ac:dyDescent="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outlineLevel="1" thickTop="1" thickBot="1" x14ac:dyDescent="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5.5" outlineLevel="1" thickTop="1" thickBot="1" x14ac:dyDescent="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5.5" outlineLevel="1" thickTop="1" thickBot="1" x14ac:dyDescent="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5.5" outlineLevel="1" thickTop="1" thickBot="1" x14ac:dyDescent="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5.5" outlineLevel="1" thickTop="1" thickBot="1" x14ac:dyDescent="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5.5" outlineLevel="1" thickTop="1" thickBot="1" x14ac:dyDescent="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5.5" outlineLevel="1" thickTop="1" thickBot="1" x14ac:dyDescent="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5.5" outlineLevel="1" thickTop="1" thickBot="1" x14ac:dyDescent="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5.5" outlineLevel="1" thickTop="1" thickBot="1" x14ac:dyDescent="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5.5" outlineLevel="1" thickTop="1" thickBot="1" x14ac:dyDescent="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5.5" outlineLevel="1" thickTop="1" thickBot="1" x14ac:dyDescent="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5.5" outlineLevel="1" thickTop="1" thickBot="1" x14ac:dyDescent="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5.5" outlineLevel="1" thickTop="1" thickBot="1" x14ac:dyDescent="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5.5" outlineLevel="1" thickTop="1" thickBot="1" x14ac:dyDescent="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4">
      <c r="A79" s="95"/>
      <c r="B79" s="95"/>
      <c r="C79" s="95"/>
      <c r="D79" s="95"/>
      <c r="E79" s="95"/>
      <c r="F79" s="95"/>
      <c r="G79" s="95"/>
      <c r="H79" s="95"/>
      <c r="I79" s="95"/>
      <c r="J79" s="95"/>
      <c r="K79" s="95"/>
      <c r="L79" s="99" t="e">
        <f>_xlfn.CONCAT("]}, // ULTIMA LINEA DEL CANTO: ",L1)</f>
        <v>#VALUE!</v>
      </c>
      <c r="M79" s="95"/>
    </row>
    <row r="80" spans="1:40" ht="20.25" x14ac:dyDescent="0.25">
      <c r="L80" s="100" t="s">
        <v>1008</v>
      </c>
      <c r="M80" s="101"/>
    </row>
    <row r="81" spans="1:40" hidden="1" outlineLevel="1" x14ac:dyDescent="0.25">
      <c r="M81" s="101"/>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hidden="1" outlineLevel="1" thickTop="1" thickBot="1" x14ac:dyDescent="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5.5" hidden="1" outlineLevel="1"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5.5" hidden="1" outlineLevel="1"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5.5" hidden="1" outlineLevel="1"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5.5" hidden="1" outlineLevel="1"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5.5" hidden="1" outlineLevel="1"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5.5" hidden="1" outlineLevel="1"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5.5" hidden="1" outlineLevel="1"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24" t="s">
        <v>969</v>
      </c>
      <c r="E1" s="124"/>
      <c r="F1" s="124"/>
      <c r="G1" s="124"/>
      <c r="H1" s="124"/>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161</v>
      </c>
      <c r="E1" s="40"/>
      <c r="F1" s="40"/>
      <c r="G1" s="40"/>
      <c r="H1" s="40"/>
      <c r="I1" s="40"/>
      <c r="J1" s="40"/>
      <c r="K1" s="40"/>
      <c r="L1" s="41"/>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8" t="str">
        <f>_xlfn.CONCAT("        id: ","""",C7,"""",",")</f>
        <v xml:space="preserve">        id: "",</v>
      </c>
    </row>
    <row r="8" spans="2:32" ht="23.25" x14ac:dyDescent="0.25">
      <c r="C8" t="str">
        <f>PROPER(L1)</f>
        <v/>
      </c>
      <c r="L8" s="48" t="str">
        <f>_xlfn.CONCAT("        tt: ","""",C8,"""",",")</f>
        <v xml:space="preserve">        tt: "",</v>
      </c>
    </row>
    <row r="9" spans="2:32" ht="23.25" x14ac:dyDescent="0.25">
      <c r="C9" t="str">
        <f>PROPER(L1)</f>
        <v/>
      </c>
      <c r="L9" s="48" t="str">
        <f>_xlfn.CONCAT("        title: ","""",C9,"""",",")</f>
        <v xml:space="preserve">        title: "",</v>
      </c>
    </row>
    <row r="10" spans="2:32" ht="23.25" x14ac:dyDescent="0.25">
      <c r="C10" t="s">
        <v>379</v>
      </c>
      <c r="L10" s="48" t="str">
        <f>_xlfn.CONCAT("        ","subtitle: ","""",C10,"""",",")</f>
        <v xml:space="preserve">        subtitle: "Juan 11,25s",</v>
      </c>
    </row>
    <row r="11" spans="2:32" ht="23.25" x14ac:dyDescent="0.25">
      <c r="C11" t="str">
        <f>_xlfn.CONCAT("category: [",VLOOKUP(C1,Table223[],16,FALSE),"],")</f>
        <v>category: ["Precatecumenado","Cuaresma","Penitencial","Entrada","Antiguo Testamento"],</v>
      </c>
      <c r="L11" s="48" t="str">
        <f>_xlfn.CONCAT("        ",C11)</f>
        <v xml:space="preserve">        category: ["Precatecumenado","Cuaresma","Penitencial","Entrada","Antiguo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v>143</v>
      </c>
      <c r="L16" s="48" t="str">
        <f>_xlfn.CONCAT("        dbno: ","""",C16,"""",",")</f>
        <v xml:space="preserve">        dbno: "143",</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
      </c>
      <c r="L19" s="48" t="str">
        <f>_xlfn.CONCAT("        audioSrc: ","""/audio/",C19,".mp3""",",")</f>
        <v xml:space="preserve">        audioSrc: "/audio/.mp3",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160</v>
      </c>
      <c r="C26" t="s">
        <v>1063</v>
      </c>
      <c r="L26" s="48" t="str">
        <f>_xlfn.CONCAT("        ant: ","""",C26,"""",",")</f>
        <v xml:space="preserve">        ant: "/resucito/src/index.html?canto=resucito",</v>
      </c>
    </row>
    <row r="27" spans="2:40" ht="23.25" x14ac:dyDescent="0.25">
      <c r="B27">
        <f>+C1+1</f>
        <v>162</v>
      </c>
      <c r="C27" t="s">
        <v>1064</v>
      </c>
      <c r="L27" s="48" t="str">
        <f>_xlfn.CONCAT("        sig: ","""",C27,"""",",")</f>
        <v xml:space="preserve">        sig: "/resucito/src/index.html?canto=salvereinadeloscielos",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xml:space="preserve">]}, // ULTIMA LINEA DEL CANTO: </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EB368-1D82-4CA4-ABF2-5E71BEC7326D}">
  <sheetPr codeName="Sheet86">
    <tabColor rgb="FF00B0F0"/>
  </sheetPr>
  <dimension ref="A1:AN101"/>
  <sheetViews>
    <sheetView zoomScale="85" zoomScaleNormal="85" workbookViewId="0">
      <pane xSplit="2" ySplit="1" topLeftCell="C44" activePane="bottomRight" state="frozen"/>
      <selection pane="topRight" activeCell="C1" sqref="C1"/>
      <selection pane="bottomLeft" activeCell="A2" sqref="A2"/>
      <selection pane="bottomRight" activeCell="C89" sqref="C8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162</v>
      </c>
      <c r="E1" s="40"/>
      <c r="F1" s="40"/>
      <c r="G1" s="40"/>
      <c r="H1" s="40"/>
      <c r="I1" s="40"/>
      <c r="J1" s="40"/>
      <c r="K1" s="40"/>
      <c r="L1" s="114" t="str">
        <f ca="1">UPPER(VLOOKUP(C1,Table223[],3,FALSE))</f>
        <v>UN RETOÑO BROTA DEL TRONCO DE JESÉ</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 RETOÑO BROTA DEL TRONCO DE JESÉ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unretonobrotadeltroncodejese</v>
      </c>
      <c r="L7" s="116" t="str">
        <f ca="1">_xlfn.CONCAT("        id: ","""",C7,"""",",")</f>
        <v xml:space="preserve">        id: "unretonobrotadeltroncodejese",</v>
      </c>
    </row>
    <row r="8" spans="2:32" ht="23.25" x14ac:dyDescent="0.25">
      <c r="C8" t="str">
        <f ca="1">PROPER(L1)</f>
        <v>Un Retoño Brota Del Tronco De Jesé</v>
      </c>
      <c r="L8" s="116" t="str">
        <f ca="1">_xlfn.CONCAT("        tt: ","""",C8,"""",",")</f>
        <v xml:space="preserve">        tt: "Un Retoño Brota Del Tronco De Jesé",</v>
      </c>
    </row>
    <row r="9" spans="2:32" ht="23.25" x14ac:dyDescent="0.25">
      <c r="C9" t="str">
        <f ca="1">PROPER(L1)</f>
        <v>Un Retoño Brota Del Tronco De Jesé</v>
      </c>
      <c r="L9" s="116" t="str">
        <f ca="1">_xlfn.CONCAT("        title: ","""",C9,"""",",")</f>
        <v xml:space="preserve">        title: "Un Retoño Brota Del Tronco De Jesé",</v>
      </c>
    </row>
    <row r="10" spans="2:32" ht="23.25" x14ac:dyDescent="0.25">
      <c r="C10" t="str">
        <f ca="1">VLOOKUP(C1,Table223[],4,FALSE)</f>
        <v>Isaías 11,1-11</v>
      </c>
      <c r="L10" s="116" t="str">
        <f ca="1">_xlfn.CONCAT("        ","subtitle: ","""",C10,"""",",")</f>
        <v xml:space="preserve">        subtitle: "Isaías 11,1-11",</v>
      </c>
    </row>
    <row r="11" spans="2:32" ht="23.25" x14ac:dyDescent="0.25">
      <c r="C11" t="str">
        <f ca="1">_xlfn.CONCAT("category: [",VLOOKUP(C1,Table223[],16,FALSE),"],")</f>
        <v>category: ["Precatecumenado","Adviento","Navidad","Pascua","Pentecostés","Comunión","Antiguo Testamento"],</v>
      </c>
      <c r="L11" s="116" t="str">
        <f ca="1">_xlfn.CONCAT("        ",C11)</f>
        <v xml:space="preserve">        category: ["Precatecumenado","Adviento","Navidad","Pascua","Pentecostés","Comunión","Antiguo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162</v>
      </c>
      <c r="L16" s="116" t="str">
        <f ca="1">_xlfn.CONCAT("        dbno: ","""",C16,"""",",")</f>
        <v xml:space="preserve">        dbno: "162",</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unretonobrotadeltroncodejese</v>
      </c>
      <c r="L19" s="116" t="str">
        <f ca="1">_xlfn.CONCAT("        audioSrc: ","""https://audio.resucito.do/",C19,".mp3""",",")</f>
        <v xml:space="preserve">        audioSrc: "https://audio.resucito.do/unretonobrotadeltroncodejese.mp3",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161</v>
      </c>
      <c r="C26" t="str">
        <f ca="1">VLOOKUP(B26,Table4[],13,FALSE)</f>
        <v>"/src/index.html?canto=tuqueeresfiel"</v>
      </c>
      <c r="L26" s="116" t="str">
        <f ca="1">_xlfn.CONCAT("        ant: ",C26,",")</f>
        <v xml:space="preserve">        ant: "/src/index.html?canto=tuqueeresfiel",</v>
      </c>
    </row>
    <row r="27" spans="1:40" ht="23.25" x14ac:dyDescent="0.25">
      <c r="B27">
        <f ca="1">+C1+1</f>
        <v>163</v>
      </c>
      <c r="C27" t="str">
        <f ca="1">VLOOKUP(B27,Table4[],13,FALSE)</f>
        <v>"/src/index.html?canto=unagransenal"</v>
      </c>
      <c r="L27" s="116" t="str">
        <f ca="1">_xlfn.CONCAT("        sig: ",C27,",")</f>
        <v xml:space="preserve">        sig: "/src/index.html?canto=unagransenal",</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1066</v>
      </c>
      <c r="D30" s="112" t="s">
        <v>1015</v>
      </c>
      <c r="E30" s="52"/>
      <c r="F30" s="53" t="s">
        <v>1011</v>
      </c>
      <c r="G30" s="53" t="s">
        <v>1012</v>
      </c>
      <c r="H30" s="52"/>
      <c r="I30" s="52"/>
      <c r="J30" s="54"/>
      <c r="K30" s="54"/>
      <c r="L30" s="78" t="str">
        <f t="shared" ref="L30:L57" si="0">IF(C30="","",_xlfn.CONCAT("            { line: ","""",C30,", ",M30:AN30,""", sC: ","""",B30,"""},"))</f>
        <v xml:space="preserve">            { line: "UN RETOÑO BROTA DEL TRONCO DE JESÉ,, (Sol,,14)(Mi,m,250)", sC: "ta as"},</v>
      </c>
      <c r="M30" s="56" t="str">
        <f t="shared" ref="M30:M58" si="1">IF(N30="","","(")</f>
        <v>(</v>
      </c>
      <c r="N30" s="57" t="str">
        <f t="shared" ref="N30:N78" si="2">IF(D30="","",D30)</f>
        <v>Sol</v>
      </c>
      <c r="O30" s="58" t="str">
        <f t="shared" ref="O30:O58" si="3">IF(N30="","",",")</f>
        <v>,</v>
      </c>
      <c r="P30" s="59" t="str">
        <f t="shared" ref="P30:P78" si="4">IF(E30="","",E30)</f>
        <v/>
      </c>
      <c r="Q30" s="60" t="str">
        <f t="shared" ref="Q30:Q58" si="5">IF(N30="","",",")</f>
        <v>,</v>
      </c>
      <c r="R30" s="61">
        <f t="shared" ref="R30:R78" si="6">IF(N30="Do",10,IF(N30="Re",22,IF(N30="Mi",20,IF(N30="Fa",20,IF(N30="Sol",14,IF(N30="La",20,IF(N30="Si",20,IF(N30="Do#",14,IF(N30="Fa#",15,IF(N30="Sol#",20,IF(N30="Si♭",17,"")))))))))))</f>
        <v>14</v>
      </c>
      <c r="S30" s="56" t="str">
        <f t="shared" ref="S30:S58" si="7">IF(N30="","",")")</f>
        <v>)</v>
      </c>
      <c r="T30" s="62" t="str">
        <f t="shared" ref="T30:T58" si="8">IF(U30="","","(")</f>
        <v>(</v>
      </c>
      <c r="U30" s="63" t="str">
        <f t="shared" ref="U30:U78" si="9">IF(F30="","",F30)</f>
        <v>Mi</v>
      </c>
      <c r="V30" s="64" t="str">
        <f t="shared" ref="V30:V58" si="10">IF(U30="","",",")</f>
        <v>,</v>
      </c>
      <c r="W30" s="65" t="str">
        <f t="shared" ref="W30:W78" si="11">IF(G30="","",G30)</f>
        <v>m</v>
      </c>
      <c r="X30" s="64" t="str">
        <f t="shared" ref="X30:X58" si="12">IF(U30="","",",")</f>
        <v>,</v>
      </c>
      <c r="Y30" s="64">
        <f t="shared" ref="Y30:Y58" si="13">IF(U30="","",250)</f>
        <v>250</v>
      </c>
      <c r="Z30" s="56" t="str">
        <f t="shared" ref="Z30:Z58" si="14">IF(U30="","",")")</f>
        <v>)</v>
      </c>
      <c r="AA30" s="66" t="str">
        <f t="shared" ref="AA30:AA58" si="15">IF(AB30="","","(")</f>
        <v/>
      </c>
      <c r="AB30" s="57" t="str">
        <f t="shared" ref="AB30:AB78"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78"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B31" t="s">
        <v>999</v>
      </c>
      <c r="C31" s="113" t="s">
        <v>1067</v>
      </c>
      <c r="D31" s="112" t="s">
        <v>1015</v>
      </c>
      <c r="E31" s="52"/>
      <c r="F31" s="53"/>
      <c r="G31" s="53"/>
      <c r="H31" s="52"/>
      <c r="I31" s="52"/>
      <c r="J31" s="54"/>
      <c r="K31" s="54"/>
      <c r="L31" s="78" t="str">
        <f t="shared" si="0"/>
        <v xml:space="preserve">            { line: "UN GERMEN DE SUS RAÍCES., (Sol,,14)", sC: "as"},</v>
      </c>
      <c r="M31" s="56" t="str">
        <f t="shared" si="1"/>
        <v>(</v>
      </c>
      <c r="N31" s="57" t="str">
        <f t="shared" si="2"/>
        <v>Sol</v>
      </c>
      <c r="O31" s="58" t="str">
        <f t="shared" si="3"/>
        <v>,</v>
      </c>
      <c r="P31" s="59" t="str">
        <f t="shared" si="4"/>
        <v/>
      </c>
      <c r="Q31" s="60" t="str">
        <f t="shared" si="5"/>
        <v>,</v>
      </c>
      <c r="R31" s="61">
        <f t="shared" si="6"/>
        <v>14</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1068</v>
      </c>
      <c r="D32" s="112" t="s">
        <v>1030</v>
      </c>
      <c r="E32" s="52"/>
      <c r="F32" s="53" t="s">
        <v>1015</v>
      </c>
      <c r="G32" s="53"/>
      <c r="H32" s="52"/>
      <c r="I32" s="52"/>
      <c r="J32" s="54"/>
      <c r="K32" s="54"/>
      <c r="L32" s="78" t="str">
        <f>IF(C32="","",_xlfn.CONCAT("            { line: ","""",C32,", ",M32:AN32,""", sC: ","""",B32,"""},"))</f>
        <v xml:space="preserve">            { line: "SOBRE ÉL SE POSA EL ESPÍRITU DEL SEÑOR:, (Do,,10)(Sol,,250)", sC: "as"},</v>
      </c>
      <c r="M32" s="56" t="str">
        <f t="shared" si="1"/>
        <v>(</v>
      </c>
      <c r="N32" s="57" t="str">
        <f t="shared" si="2"/>
        <v>Do</v>
      </c>
      <c r="O32" s="58" t="str">
        <f t="shared" si="3"/>
        <v>,</v>
      </c>
      <c r="P32" s="59" t="str">
        <f t="shared" si="4"/>
        <v/>
      </c>
      <c r="Q32" s="60" t="str">
        <f t="shared" si="5"/>
        <v>,</v>
      </c>
      <c r="R32" s="61">
        <f t="shared" si="6"/>
        <v>10</v>
      </c>
      <c r="S32" s="56" t="str">
        <f t="shared" si="7"/>
        <v>)</v>
      </c>
      <c r="T32" s="62" t="str">
        <f t="shared" si="8"/>
        <v>(</v>
      </c>
      <c r="U32" s="63" t="str">
        <f t="shared" si="9"/>
        <v>Sol</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1069</v>
      </c>
      <c r="D33" s="112" t="s">
        <v>1029</v>
      </c>
      <c r="E33" s="52"/>
      <c r="F33" s="53" t="s">
        <v>1015</v>
      </c>
      <c r="G33" s="53"/>
      <c r="H33" s="52"/>
      <c r="I33" s="52"/>
      <c r="J33" s="54"/>
      <c r="K33" s="54"/>
      <c r="L33" s="78" t="str">
        <f>IF(C33="","",_xlfn.CONCAT("            { line: ","""",C33,", ",M33:AN33,""", sC: ","""",B33,"""},"))</f>
        <v xml:space="preserve">            { line: "ESPÍRITU DE SABIDURÍA E INTELIGENCIA,, (Re,,22)(Sol,,250)", sC: "as"},</v>
      </c>
      <c r="M33" s="56" t="str">
        <f t="shared" si="1"/>
        <v>(</v>
      </c>
      <c r="N33" s="57" t="str">
        <f t="shared" si="2"/>
        <v>Re</v>
      </c>
      <c r="O33" s="58" t="str">
        <f t="shared" si="3"/>
        <v>,</v>
      </c>
      <c r="P33" s="59" t="str">
        <f t="shared" si="4"/>
        <v/>
      </c>
      <c r="Q33" s="60" t="str">
        <f t="shared" si="5"/>
        <v>,</v>
      </c>
      <c r="R33" s="61">
        <f t="shared" si="6"/>
        <v>22</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1070</v>
      </c>
      <c r="D34" s="112" t="s">
        <v>1029</v>
      </c>
      <c r="E34" s="52"/>
      <c r="F34" s="53" t="s">
        <v>1015</v>
      </c>
      <c r="G34" s="53"/>
      <c r="H34" s="52"/>
      <c r="I34" s="52"/>
      <c r="J34" s="54"/>
      <c r="K34" s="54"/>
      <c r="L34" s="78" t="str">
        <f t="shared" ref="L34:L39" si="29">IF(C34="","",_xlfn.CONCAT("            { line: ","""",C34,", ",M34:AN34,""", sC: ","""",B34,"""},"))</f>
        <v xml:space="preserve">            { line: "ESPÍRITU DE CONSEJO Y FORTALEZA,, (Re,,22)(Sol,,250)", sC: "as"},</v>
      </c>
      <c r="M34" s="56" t="str">
        <f t="shared" si="1"/>
        <v>(</v>
      </c>
      <c r="N34" s="57" t="str">
        <f t="shared" si="2"/>
        <v>Re</v>
      </c>
      <c r="O34" s="58" t="str">
        <f t="shared" si="3"/>
        <v>,</v>
      </c>
      <c r="P34" s="59" t="str">
        <f t="shared" si="4"/>
        <v/>
      </c>
      <c r="Q34" s="60" t="str">
        <f t="shared" si="5"/>
        <v>,</v>
      </c>
      <c r="R34" s="61">
        <f t="shared" si="6"/>
        <v>22</v>
      </c>
      <c r="S34" s="56" t="str">
        <f t="shared" si="7"/>
        <v>)</v>
      </c>
      <c r="T34" s="62" t="str">
        <f t="shared" si="8"/>
        <v>(</v>
      </c>
      <c r="U34" s="63" t="str">
        <f t="shared" si="9"/>
        <v>Sol</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1071</v>
      </c>
      <c r="D35" s="112" t="s">
        <v>1030</v>
      </c>
      <c r="E35" s="52"/>
      <c r="F35" s="53" t="s">
        <v>1015</v>
      </c>
      <c r="G35" s="53"/>
      <c r="H35" s="52"/>
      <c r="I35" s="52"/>
      <c r="J35" s="54"/>
      <c r="K35" s="54"/>
      <c r="L35" s="55" t="str">
        <f t="shared" si="29"/>
        <v xml:space="preserve">            { line: "ESPÍRITU DE CIENCIA Y DE PIEDAD,, (Do,,10)(Sol,,250)", sC: "as"},</v>
      </c>
      <c r="M35" s="56" t="str">
        <f>IF(N35="","","(")</f>
        <v>(</v>
      </c>
      <c r="N35" s="57" t="str">
        <f>IF(D35="","",D35)</f>
        <v>Do</v>
      </c>
      <c r="O35" s="58" t="str">
        <f>IF(N35="","",",")</f>
        <v>,</v>
      </c>
      <c r="P35" s="59" t="str">
        <f>IF(E35="","",E35)</f>
        <v/>
      </c>
      <c r="Q35" s="60" t="str">
        <f>IF(N35="","",",")</f>
        <v>,</v>
      </c>
      <c r="R35" s="61">
        <f t="shared" si="6"/>
        <v>10</v>
      </c>
      <c r="S35" s="56" t="str">
        <f>IF(N35="","",")")</f>
        <v>)</v>
      </c>
      <c r="T35" s="62" t="str">
        <f>IF(U35="","","(")</f>
        <v>(</v>
      </c>
      <c r="U35" s="63" t="str">
        <f>IF(F35="","",F35)</f>
        <v>Sol</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1072</v>
      </c>
      <c r="D36" s="112" t="s">
        <v>1029</v>
      </c>
      <c r="E36" s="52"/>
      <c r="F36" s="53" t="s">
        <v>1015</v>
      </c>
      <c r="G36" s="53"/>
      <c r="H36" s="52"/>
      <c r="I36" s="52"/>
      <c r="J36" s="54"/>
      <c r="K36" s="54"/>
      <c r="L36" s="55" t="str">
        <f t="shared" si="29"/>
        <v xml:space="preserve">            { line: "ESPÍRITU DE TEMOR DEL SEÑOR., (Re,,22)(Sol,,250)", sC: "as"},</v>
      </c>
      <c r="M36" s="56" t="str">
        <f>IF(N36="","","(")</f>
        <v>(</v>
      </c>
      <c r="N36" s="57" t="str">
        <f>IF(D36="","",D36)</f>
        <v>Re</v>
      </c>
      <c r="O36" s="58" t="str">
        <f>IF(N36="","",",")</f>
        <v>,</v>
      </c>
      <c r="P36" s="59" t="str">
        <f>IF(E36="","",E36)</f>
        <v/>
      </c>
      <c r="Q36" s="60" t="str">
        <f>IF(N36="","",",")</f>
        <v>,</v>
      </c>
      <c r="R36" s="61">
        <f t="shared" si="6"/>
        <v>22</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1073</v>
      </c>
      <c r="D38" s="112" t="s">
        <v>1030</v>
      </c>
      <c r="E38" s="52"/>
      <c r="F38" s="53" t="s">
        <v>1015</v>
      </c>
      <c r="G38" s="53"/>
      <c r="H38" s="52"/>
      <c r="I38" s="52"/>
      <c r="J38" s="54"/>
      <c r="K38" s="54"/>
      <c r="L38" s="55" t="str">
        <f t="shared" si="29"/>
        <v xml:space="preserve">            { line: "No juzgará de oídas,, (Do,,10)(Sol,,250)", sC: "tc"},</v>
      </c>
      <c r="M38" s="56" t="str">
        <f>IF(N38="","","(")</f>
        <v>(</v>
      </c>
      <c r="N38" s="57" t="str">
        <f>IF(D38="","",D38)</f>
        <v>Do</v>
      </c>
      <c r="O38" s="58" t="str">
        <f>IF(N38="","",",")</f>
        <v>,</v>
      </c>
      <c r="P38" s="59" t="str">
        <f>IF(E38="","",E38)</f>
        <v/>
      </c>
      <c r="Q38" s="60" t="str">
        <f>IF(N38="","",",")</f>
        <v>,</v>
      </c>
      <c r="R38" s="61">
        <f t="shared" si="6"/>
        <v>10</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1074</v>
      </c>
      <c r="D39" s="112" t="s">
        <v>1029</v>
      </c>
      <c r="E39" s="52"/>
      <c r="F39" s="53" t="s">
        <v>1015</v>
      </c>
      <c r="G39" s="53"/>
      <c r="H39" s="52"/>
      <c r="I39" s="52"/>
      <c r="J39" s="54"/>
      <c r="K39" s="54"/>
      <c r="L39" s="78" t="str">
        <f t="shared" si="29"/>
        <v xml:space="preserve">            { line: "sino que ayudará a los oprimidos., (Re,,22)(Sol,,250)", sC: ""},</v>
      </c>
      <c r="M39" s="56" t="str">
        <f t="shared" ref="M39:M42" si="30">IF(N39="","","(")</f>
        <v>(</v>
      </c>
      <c r="N39" s="57" t="str">
        <f t="shared" ref="N39:N42" si="31">IF(D39="","",D39)</f>
        <v>Re</v>
      </c>
      <c r="O39" s="58" t="str">
        <f t="shared" ref="O39:O42" si="32">IF(N39="","",",")</f>
        <v>,</v>
      </c>
      <c r="P39" s="59" t="str">
        <f t="shared" ref="P39:P42" si="33">IF(E39="","",E39)</f>
        <v/>
      </c>
      <c r="Q39" s="60" t="str">
        <f t="shared" ref="Q39:Q42" si="34">IF(N39="","",",")</f>
        <v>,</v>
      </c>
      <c r="R39" s="61">
        <f t="shared" si="6"/>
        <v>22</v>
      </c>
      <c r="S39" s="56" t="str">
        <f t="shared" ref="S39:S42" si="35">IF(N39="","",")")</f>
        <v>)</v>
      </c>
      <c r="T39" s="62" t="str">
        <f t="shared" ref="T39:T42" si="36">IF(U39="","","(")</f>
        <v>(</v>
      </c>
      <c r="U39" s="63" t="str">
        <f t="shared" ref="U39:U42" si="37">IF(F39="","",F39)</f>
        <v>Sol</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1075</v>
      </c>
      <c r="D40" s="112" t="s">
        <v>1030</v>
      </c>
      <c r="E40" s="52"/>
      <c r="F40" s="53" t="s">
        <v>1015</v>
      </c>
      <c r="G40" s="53"/>
      <c r="H40" s="52"/>
      <c r="I40" s="52"/>
      <c r="J40" s="54"/>
      <c r="K40" s="54"/>
      <c r="L40" s="78" t="str">
        <f>IF(C40="","",_xlfn.CONCAT("            { line: ","""",C40,", ",M40:AN40,""", sC: ","""",B40,"""},"))</f>
        <v xml:space="preserve">            { line: "Su palabra será una vara contra el violento, (Do,,10)(Sol,,250)", sC: ""},</v>
      </c>
      <c r="M40" s="56" t="str">
        <f t="shared" si="30"/>
        <v>(</v>
      </c>
      <c r="N40" s="57" t="str">
        <f t="shared" si="31"/>
        <v>Do</v>
      </c>
      <c r="O40" s="58" t="str">
        <f t="shared" si="32"/>
        <v>,</v>
      </c>
      <c r="P40" s="59" t="str">
        <f t="shared" si="33"/>
        <v/>
      </c>
      <c r="Q40" s="60" t="str">
        <f t="shared" si="34"/>
        <v>,</v>
      </c>
      <c r="R40" s="61">
        <f t="shared" si="6"/>
        <v>10</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1076</v>
      </c>
      <c r="D41" s="112" t="s">
        <v>1029</v>
      </c>
      <c r="E41" s="52"/>
      <c r="F41" s="53" t="s">
        <v>1015</v>
      </c>
      <c r="G41" s="53"/>
      <c r="H41" s="52"/>
      <c r="I41" s="52"/>
      <c r="J41" s="54"/>
      <c r="K41" s="54"/>
      <c r="L41" s="78" t="str">
        <f>IF(C41="","",_xlfn.CONCAT("            { line: ","""",C41,", ",M41:AN41,""", sC: ","""",B41,"""},"))</f>
        <v xml:space="preserve">            { line: "y con el soplo de su boca matará al malvado., (Re,,22)(Sol,,250)", sC: ""},</v>
      </c>
      <c r="M41" s="56" t="str">
        <f t="shared" si="30"/>
        <v>(</v>
      </c>
      <c r="N41" s="57" t="str">
        <f t="shared" si="31"/>
        <v>Re</v>
      </c>
      <c r="O41" s="58" t="str">
        <f t="shared" si="32"/>
        <v>,</v>
      </c>
      <c r="P41" s="59" t="str">
        <f t="shared" si="33"/>
        <v/>
      </c>
      <c r="Q41" s="60" t="str">
        <f t="shared" si="34"/>
        <v>,</v>
      </c>
      <c r="R41" s="61">
        <f t="shared" si="6"/>
        <v>22</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1077</v>
      </c>
      <c r="D42" s="112" t="s">
        <v>1030</v>
      </c>
      <c r="E42" s="52"/>
      <c r="F42" s="53" t="s">
        <v>1015</v>
      </c>
      <c r="G42" s="53"/>
      <c r="H42" s="52"/>
      <c r="I42" s="52"/>
      <c r="J42" s="54"/>
      <c r="K42" s="54"/>
      <c r="L42" s="78" t="str">
        <f t="shared" ref="L42:L45" si="57">IF(C42="","",_xlfn.CONCAT("            { line: ","""",C42,", ",M42:AN42,""", sC: ","""",B42,"""},"))</f>
        <v xml:space="preserve">            { line: "El lobo vivirá con el cordero,, (Do,,10)(Sol,,250)", sC: ""},</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1078</v>
      </c>
      <c r="D43" s="112" t="s">
        <v>1030</v>
      </c>
      <c r="E43" s="52"/>
      <c r="F43" s="53" t="s">
        <v>1015</v>
      </c>
      <c r="G43" s="53"/>
      <c r="H43" s="52"/>
      <c r="I43" s="52"/>
      <c r="J43" s="54"/>
      <c r="K43" s="54"/>
      <c r="L43" s="55" t="str">
        <f t="shared" si="57"/>
        <v xml:space="preserve">            { line: "la pantera se echará con el cabrito,, (Do,,10)(Sol,,250)", sC: ""},</v>
      </c>
      <c r="M43" s="56" t="str">
        <f>IF(N43="","","(")</f>
        <v>(</v>
      </c>
      <c r="N43" s="57" t="str">
        <f>IF(D43="","",D43)</f>
        <v>Do</v>
      </c>
      <c r="O43" s="58" t="str">
        <f>IF(N43="","",",")</f>
        <v>,</v>
      </c>
      <c r="P43" s="59" t="str">
        <f>IF(E43="","",E43)</f>
        <v/>
      </c>
      <c r="Q43" s="60" t="str">
        <f>IF(N43="","",",")</f>
        <v>,</v>
      </c>
      <c r="R43" s="61">
        <f t="shared" si="6"/>
        <v>10</v>
      </c>
      <c r="S43" s="56" t="str">
        <f>IF(N43="","",")")</f>
        <v>)</v>
      </c>
      <c r="T43" s="62" t="str">
        <f>IF(U43="","","(")</f>
        <v>(</v>
      </c>
      <c r="U43" s="63" t="str">
        <f>IF(F43="","",F43)</f>
        <v>Sol</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1079</v>
      </c>
      <c r="D44" s="112" t="s">
        <v>1029</v>
      </c>
      <c r="E44" s="52"/>
      <c r="F44" s="53" t="s">
        <v>1015</v>
      </c>
      <c r="G44" s="53"/>
      <c r="H44" s="52"/>
      <c r="I44" s="52"/>
      <c r="J44" s="54"/>
      <c r="K44" s="54"/>
      <c r="L44" s="55" t="str">
        <f t="shared" si="57"/>
        <v xml:space="preserve">            { line: "el león y el novillo pacerán juntos,, (Re,,22)(Sol,,250)", sC: ""},</v>
      </c>
      <c r="M44" s="56" t="str">
        <f>IF(N44="","","(")</f>
        <v>(</v>
      </c>
      <c r="N44" s="57" t="str">
        <f>IF(D44="","",D44)</f>
        <v>Re</v>
      </c>
      <c r="O44" s="58" t="str">
        <f>IF(N44="","",",")</f>
        <v>,</v>
      </c>
      <c r="P44" s="59" t="str">
        <f>IF(E44="","",E44)</f>
        <v/>
      </c>
      <c r="Q44" s="60" t="str">
        <f>IF(N44="","",",")</f>
        <v>,</v>
      </c>
      <c r="R44" s="61">
        <f t="shared" si="6"/>
        <v>22</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1080</v>
      </c>
      <c r="D45" s="112" t="s">
        <v>1030</v>
      </c>
      <c r="E45" s="52"/>
      <c r="F45" s="53" t="s">
        <v>1015</v>
      </c>
      <c r="G45" s="53"/>
      <c r="H45" s="52" t="s">
        <v>1029</v>
      </c>
      <c r="I45" s="52"/>
      <c r="J45" s="54" t="s">
        <v>1015</v>
      </c>
      <c r="K45" s="54"/>
      <c r="L45" s="55" t="str">
        <f t="shared" si="57"/>
        <v xml:space="preserve">            { line: "y un niño los guiará, y un niño los guiará., (Do,,10)(Sol,,250)(Re,,350)(Sol,,450)", sC: ""},</v>
      </c>
      <c r="M45" s="56" t="str">
        <f>IF(N45="","","(")</f>
        <v>(</v>
      </c>
      <c r="N45" s="57" t="str">
        <f>IF(D45="","",D45)</f>
        <v>Do</v>
      </c>
      <c r="O45" s="58" t="str">
        <f>IF(N45="","",",")</f>
        <v>,</v>
      </c>
      <c r="P45" s="59" t="str">
        <f>IF(E45="","",E45)</f>
        <v/>
      </c>
      <c r="Q45" s="60" t="str">
        <f>IF(N45="","",",")</f>
        <v>,</v>
      </c>
      <c r="R45" s="61">
        <f t="shared" si="6"/>
        <v>10</v>
      </c>
      <c r="S45" s="56" t="str">
        <f>IF(N45="","",")")</f>
        <v>)</v>
      </c>
      <c r="T45" s="62" t="str">
        <f>IF(U45="","","(")</f>
        <v>(</v>
      </c>
      <c r="U45" s="63" t="str">
        <f>IF(F45="","",F45)</f>
        <v>Sol</v>
      </c>
      <c r="V45" s="64" t="str">
        <f>IF(U45="","",",")</f>
        <v>,</v>
      </c>
      <c r="W45" s="65" t="str">
        <f>IF(G45="","",G45)</f>
        <v/>
      </c>
      <c r="X45" s="64" t="str">
        <f>IF(U45="","",",")</f>
        <v>,</v>
      </c>
      <c r="Y45" s="64">
        <f>IF(U45="","",250)</f>
        <v>250</v>
      </c>
      <c r="Z45" s="56" t="str">
        <f>IF(U45="","",")")</f>
        <v>)</v>
      </c>
      <c r="AA45" s="66" t="str">
        <f>IF(AB45="","","(")</f>
        <v>(</v>
      </c>
      <c r="AB45" s="57" t="str">
        <f>IF(H45="","",H45)</f>
        <v>Re</v>
      </c>
      <c r="AC45" s="67" t="str">
        <f>IF(AB45="","",",")</f>
        <v>,</v>
      </c>
      <c r="AD45" s="59" t="str">
        <f>IF(I45="","",I45)</f>
        <v/>
      </c>
      <c r="AE45" s="68" t="str">
        <f>IF(AB45="","",",")</f>
        <v>,</v>
      </c>
      <c r="AF45" s="61">
        <f>IF(AB45="","",350)</f>
        <v>350</v>
      </c>
      <c r="AG45" s="61" t="str">
        <f>IF(AB45="","",")")</f>
        <v>)</v>
      </c>
      <c r="AH45" s="69" t="str">
        <f>IF(AI45="","","(")</f>
        <v>(</v>
      </c>
      <c r="AI45" s="70" t="str">
        <f>IF(J45="","",J45)</f>
        <v>Sol</v>
      </c>
      <c r="AJ45" s="64" t="str">
        <f>IF(AI45="","",",")</f>
        <v>,</v>
      </c>
      <c r="AK45" s="64" t="str">
        <f>IF(K45="","",K45)</f>
        <v/>
      </c>
      <c r="AL45" s="64" t="str">
        <f>IF(AI45="","",",")</f>
        <v>,</v>
      </c>
      <c r="AM45" s="64">
        <f>IF(AI45="","",450)</f>
        <v>450</v>
      </c>
      <c r="AN45" s="64" t="str">
        <f>IF(AI45="","",")")</f>
        <v>)</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outlineLevel="1" thickTop="1" thickBot="1" x14ac:dyDescent="0.4">
      <c r="C47" s="79" t="s">
        <v>995</v>
      </c>
      <c r="D47" s="80"/>
      <c r="E47" s="80"/>
      <c r="F47" s="80"/>
      <c r="G47" s="80"/>
      <c r="H47" s="80"/>
      <c r="I47" s="80"/>
      <c r="J47" s="80"/>
      <c r="K47" s="80"/>
      <c r="L47" s="118" t="s">
        <v>996</v>
      </c>
      <c r="M47" s="56" t="str">
        <f t="shared" ref="M47:M54" si="58">IF(N47="","","(")</f>
        <v/>
      </c>
      <c r="N47" s="57" t="str">
        <f t="shared" ref="N47:N54" si="59">IF(D47="","",D47)</f>
        <v/>
      </c>
      <c r="O47" s="58" t="str">
        <f t="shared" ref="O47:O54" si="60">IF(N47="","",",")</f>
        <v/>
      </c>
      <c r="P47" s="59" t="str">
        <f t="shared" ref="P47:P54" si="61">IF(E47="","",E47)</f>
        <v/>
      </c>
      <c r="Q47" s="60" t="str">
        <f t="shared" ref="Q47:Q54" si="62">IF(N47="","",",")</f>
        <v/>
      </c>
      <c r="R47" s="61" t="str">
        <f t="shared" si="6"/>
        <v/>
      </c>
      <c r="S47" s="56" t="str">
        <f t="shared" ref="S47:S54" si="63">IF(N47="","",")")</f>
        <v/>
      </c>
      <c r="T47" s="62" t="str">
        <f t="shared" ref="T47:T54" si="64">IF(U47="","","(")</f>
        <v/>
      </c>
      <c r="U47" s="63" t="str">
        <f t="shared" ref="U47:U54" si="65">IF(F47="","",F47)</f>
        <v/>
      </c>
      <c r="V47" s="64" t="str">
        <f t="shared" ref="V47:V54" si="66">IF(U47="","",",")</f>
        <v/>
      </c>
      <c r="W47" s="65" t="str">
        <f t="shared" ref="W47:W54" si="67">IF(G47="","",G47)</f>
        <v/>
      </c>
      <c r="X47" s="64" t="str">
        <f t="shared" ref="X47:X54" si="68">IF(U47="","",",")</f>
        <v/>
      </c>
      <c r="Y47" s="64" t="str">
        <f t="shared" ref="Y47:Y54" si="69">IF(U47="","",250)</f>
        <v/>
      </c>
      <c r="Z47" s="56" t="str">
        <f t="shared" ref="Z47:Z54" si="70">IF(U47="","",")")</f>
        <v/>
      </c>
      <c r="AA47" s="66" t="str">
        <f t="shared" ref="AA47:AA54" si="71">IF(AB47="","","(")</f>
        <v/>
      </c>
      <c r="AB47" s="57" t="str">
        <f t="shared" ref="AB47:AB54" si="72">IF(H47="","",H47)</f>
        <v/>
      </c>
      <c r="AC47" s="67" t="str">
        <f t="shared" ref="AC47:AC54" si="73">IF(AB47="","",",")</f>
        <v/>
      </c>
      <c r="AD47" s="59" t="str">
        <f t="shared" ref="AD47:AD54" si="74">IF(I47="","",I47)</f>
        <v/>
      </c>
      <c r="AE47" s="68" t="str">
        <f t="shared" ref="AE47:AE54" si="75">IF(AB47="","",",")</f>
        <v/>
      </c>
      <c r="AF47" s="61" t="str">
        <f t="shared" ref="AF47:AF54" si="76">IF(AB47="","",350)</f>
        <v/>
      </c>
      <c r="AG47" s="61" t="str">
        <f t="shared" ref="AG47:AG54" si="77">IF(AB47="","",")")</f>
        <v/>
      </c>
      <c r="AH47" s="69" t="str">
        <f t="shared" ref="AH47:AH54" si="78">IF(AI47="","","(")</f>
        <v/>
      </c>
      <c r="AI47" s="70" t="str">
        <f t="shared" ref="AI47:AI54" si="79">IF(J47="","",J47)</f>
        <v/>
      </c>
      <c r="AJ47" s="64" t="str">
        <f t="shared" ref="AJ47:AJ54" si="80">IF(AI47="","",",")</f>
        <v/>
      </c>
      <c r="AK47" s="64" t="str">
        <f t="shared" ref="AK47:AK54" si="81">IF(K47="","",K47)</f>
        <v/>
      </c>
      <c r="AL47" s="64" t="str">
        <f t="shared" ref="AL47:AL54" si="82">IF(AI47="","",",")</f>
        <v/>
      </c>
      <c r="AM47" s="64" t="str">
        <f t="shared" ref="AM47:AM54" si="83">IF(AI47="","",450)</f>
        <v/>
      </c>
      <c r="AN47" s="64" t="str">
        <f t="shared" ref="AN47:AN54" si="84">IF(AI47="","",")")</f>
        <v/>
      </c>
    </row>
    <row r="48" spans="1:40" ht="25.5" outlineLevel="1" thickTop="1" thickBot="1" x14ac:dyDescent="0.4">
      <c r="B48" t="s">
        <v>997</v>
      </c>
      <c r="C48" s="82" t="s">
        <v>1081</v>
      </c>
      <c r="D48" s="83" t="s">
        <v>1015</v>
      </c>
      <c r="E48" s="83"/>
      <c r="F48" s="83" t="s">
        <v>1011</v>
      </c>
      <c r="G48" s="83" t="s">
        <v>1012</v>
      </c>
      <c r="H48" s="83"/>
      <c r="I48" s="83"/>
      <c r="J48" s="83"/>
      <c r="K48" s="83"/>
      <c r="L48" s="119" t="str">
        <f>IF(C48="","",_xlfn.CONCAT("       triggerLine: ","""",C48,", ",M48:AN48,""", sC: ","""",B48,""", lines: ["))</f>
        <v xml:space="preserve">       triggerLine: "UN RETOÑO BROTA DEL TRONCO DE JESÉ..., (Sol,,14)(Mi,m,250)", sC: "ta as", lines: [</v>
      </c>
      <c r="M48" s="56" t="str">
        <f t="shared" si="58"/>
        <v>(</v>
      </c>
      <c r="N48" s="57" t="str">
        <f t="shared" si="59"/>
        <v>Sol</v>
      </c>
      <c r="O48" s="58" t="str">
        <f t="shared" si="60"/>
        <v>,</v>
      </c>
      <c r="P48" s="59" t="str">
        <f t="shared" si="61"/>
        <v/>
      </c>
      <c r="Q48" s="60" t="str">
        <f t="shared" si="62"/>
        <v>,</v>
      </c>
      <c r="R48" s="61">
        <f t="shared" si="6"/>
        <v>14</v>
      </c>
      <c r="S48" s="56" t="str">
        <f t="shared" si="63"/>
        <v>)</v>
      </c>
      <c r="T48" s="62" t="str">
        <f t="shared" si="64"/>
        <v>(</v>
      </c>
      <c r="U48" s="63" t="str">
        <f t="shared" si="65"/>
        <v>Mi</v>
      </c>
      <c r="V48" s="64" t="str">
        <f t="shared" si="66"/>
        <v>,</v>
      </c>
      <c r="W48" s="65" t="str">
        <f t="shared" si="67"/>
        <v>m</v>
      </c>
      <c r="X48" s="64" t="str">
        <f t="shared" si="68"/>
        <v>,</v>
      </c>
      <c r="Y48" s="64">
        <f t="shared" si="69"/>
        <v>250</v>
      </c>
      <c r="Z48" s="56" t="str">
        <f t="shared" si="70"/>
        <v>)</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outlineLevel="1" thickTop="1" thickBot="1" x14ac:dyDescent="0.4">
      <c r="B49" t="s">
        <v>999</v>
      </c>
      <c r="C49" s="85" t="s">
        <v>1067</v>
      </c>
      <c r="D49" s="86" t="s">
        <v>1015</v>
      </c>
      <c r="E49" s="86"/>
      <c r="F49" s="86"/>
      <c r="G49" s="86"/>
      <c r="H49" s="87"/>
      <c r="I49" s="87"/>
      <c r="J49" s="87"/>
      <c r="K49" s="87"/>
      <c r="L49" s="120" t="str">
        <f>IF(C49="","",_xlfn.CONCAT("            { line: ","""",C49,", ",M49:AN49,""", sC: ","""",B49,"""},"))</f>
        <v xml:space="preserve">            { line: "UN GERMEN DE SUS RAÍCES., (Sol,,14)", sC: "as"},</v>
      </c>
      <c r="M49" s="56" t="str">
        <f t="shared" si="58"/>
        <v>(</v>
      </c>
      <c r="N49" s="57" t="str">
        <f t="shared" si="59"/>
        <v>Sol</v>
      </c>
      <c r="O49" s="58" t="str">
        <f t="shared" si="60"/>
        <v>,</v>
      </c>
      <c r="P49" s="59" t="str">
        <f t="shared" si="61"/>
        <v/>
      </c>
      <c r="Q49" s="60" t="str">
        <f t="shared" si="62"/>
        <v>,</v>
      </c>
      <c r="R49" s="61">
        <f t="shared" si="6"/>
        <v>14</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5.5" outlineLevel="1" thickTop="1" thickBot="1" x14ac:dyDescent="0.4">
      <c r="B50" t="s">
        <v>999</v>
      </c>
      <c r="C50" s="85" t="s">
        <v>1068</v>
      </c>
      <c r="D50" s="89" t="s">
        <v>1030</v>
      </c>
      <c r="E50" s="89"/>
      <c r="F50" s="89" t="s">
        <v>1015</v>
      </c>
      <c r="G50" s="89"/>
      <c r="H50" s="90"/>
      <c r="I50" s="90"/>
      <c r="J50" s="90"/>
      <c r="K50" s="90"/>
      <c r="L50" s="120" t="str">
        <f>IF(C50="","",_xlfn.CONCAT("            { line: ","""",C50,", ",M50:AN50,""", sC: ","""",B50,"""},"))</f>
        <v xml:space="preserve">            { line: "SOBRE ÉL SE POSA EL ESPÍRITU DEL SEÑOR:, (Do,,10)(Sol,,250)", sC: "as"},</v>
      </c>
      <c r="M50" s="56" t="str">
        <f t="shared" si="58"/>
        <v>(</v>
      </c>
      <c r="N50" s="57" t="str">
        <f t="shared" si="59"/>
        <v>Do</v>
      </c>
      <c r="O50" s="58" t="str">
        <f t="shared" si="60"/>
        <v>,</v>
      </c>
      <c r="P50" s="59" t="str">
        <f t="shared" si="61"/>
        <v/>
      </c>
      <c r="Q50" s="60" t="str">
        <f t="shared" si="62"/>
        <v>,</v>
      </c>
      <c r="R50" s="61">
        <f t="shared" si="6"/>
        <v>10</v>
      </c>
      <c r="S50" s="56" t="str">
        <f t="shared" si="63"/>
        <v>)</v>
      </c>
      <c r="T50" s="62" t="str">
        <f t="shared" si="64"/>
        <v>(</v>
      </c>
      <c r="U50" s="63" t="str">
        <f t="shared" si="65"/>
        <v>Sol</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outlineLevel="1" thickTop="1" thickBot="1" x14ac:dyDescent="0.4">
      <c r="B51" t="s">
        <v>999</v>
      </c>
      <c r="C51" s="85" t="s">
        <v>1069</v>
      </c>
      <c r="D51" s="86" t="s">
        <v>1029</v>
      </c>
      <c r="E51" s="86"/>
      <c r="F51" s="86" t="s">
        <v>1015</v>
      </c>
      <c r="G51" s="86"/>
      <c r="H51" s="87"/>
      <c r="I51" s="87"/>
      <c r="J51" s="87"/>
      <c r="K51" s="87"/>
      <c r="L51" s="120" t="str">
        <f>IF(C51="","",_xlfn.CONCAT("            { line: ","""",C51,", ",M51:AN51,""", sC: ","""",B51,"""},"))</f>
        <v xml:space="preserve">            { line: "ESPÍRITU DE SABIDURÍA E INTELIGENCIA,, (Re,,22)(Sol,,250)", sC: "as"},</v>
      </c>
      <c r="M51" s="56" t="str">
        <f t="shared" si="58"/>
        <v>(</v>
      </c>
      <c r="N51" s="57" t="str">
        <f t="shared" si="59"/>
        <v>Re</v>
      </c>
      <c r="O51" s="58" t="str">
        <f t="shared" si="60"/>
        <v>,</v>
      </c>
      <c r="P51" s="59" t="str">
        <f t="shared" si="61"/>
        <v/>
      </c>
      <c r="Q51" s="60" t="str">
        <f t="shared" si="62"/>
        <v>,</v>
      </c>
      <c r="R51" s="61">
        <f t="shared" si="6"/>
        <v>22</v>
      </c>
      <c r="S51" s="56" t="str">
        <f t="shared" si="63"/>
        <v>)</v>
      </c>
      <c r="T51" s="62" t="str">
        <f t="shared" si="64"/>
        <v>(</v>
      </c>
      <c r="U51" s="63" t="str">
        <f t="shared" si="65"/>
        <v>Sol</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outlineLevel="1" thickTop="1" thickBot="1" x14ac:dyDescent="0.4">
      <c r="B52" t="s">
        <v>999</v>
      </c>
      <c r="C52" s="85" t="s">
        <v>1070</v>
      </c>
      <c r="D52" s="89" t="s">
        <v>1029</v>
      </c>
      <c r="E52" s="89"/>
      <c r="F52" s="89" t="s">
        <v>1015</v>
      </c>
      <c r="G52" s="89"/>
      <c r="H52" s="90"/>
      <c r="I52" s="90"/>
      <c r="J52" s="90"/>
      <c r="K52" s="90"/>
      <c r="L52" s="120" t="str">
        <f>IF(C52="","",_xlfn.CONCAT("            { line: ","""",C52,", ",M52:AN52,""", sC: ","""",B52,"""},"))</f>
        <v xml:space="preserve">            { line: "ESPÍRITU DE CONSEJO Y FORTALEZA,, (Re,,22)(Sol,,250)", sC: "as"},</v>
      </c>
      <c r="M52" s="56" t="str">
        <f t="shared" si="58"/>
        <v>(</v>
      </c>
      <c r="N52" s="57" t="str">
        <f t="shared" si="59"/>
        <v>Re</v>
      </c>
      <c r="O52" s="58" t="str">
        <f t="shared" si="60"/>
        <v>,</v>
      </c>
      <c r="P52" s="59" t="str">
        <f t="shared" si="61"/>
        <v/>
      </c>
      <c r="Q52" s="60" t="str">
        <f t="shared" si="62"/>
        <v>,</v>
      </c>
      <c r="R52" s="61">
        <f t="shared" si="6"/>
        <v>22</v>
      </c>
      <c r="S52" s="56" t="str">
        <f t="shared" si="63"/>
        <v>)</v>
      </c>
      <c r="T52" s="62" t="str">
        <f t="shared" si="64"/>
        <v>(</v>
      </c>
      <c r="U52" s="63" t="str">
        <f t="shared" si="65"/>
        <v>Sol</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outlineLevel="1" thickTop="1" thickBot="1" x14ac:dyDescent="0.4">
      <c r="B53" t="s">
        <v>999</v>
      </c>
      <c r="C53" s="85" t="s">
        <v>1071</v>
      </c>
      <c r="D53" s="91" t="s">
        <v>1030</v>
      </c>
      <c r="E53" s="91"/>
      <c r="F53" s="91" t="s">
        <v>1015</v>
      </c>
      <c r="G53" s="91"/>
      <c r="H53" s="92"/>
      <c r="I53" s="92"/>
      <c r="J53" s="92"/>
      <c r="K53" s="92"/>
      <c r="L53" s="120" t="str">
        <f>IF(C53="","",_xlfn.CONCAT("            { line: ","""",C53,", ",M53:AN53,""", sC: ","""",B53,"""},"))</f>
        <v xml:space="preserve">            { line: "ESPÍRITU DE CIENCIA Y DE PIEDAD,, (Do,,10)(Sol,,250)", sC: "as"},</v>
      </c>
      <c r="M53" s="56" t="str">
        <f t="shared" si="58"/>
        <v>(</v>
      </c>
      <c r="N53" s="57" t="str">
        <f t="shared" si="59"/>
        <v>Do</v>
      </c>
      <c r="O53" s="58" t="str">
        <f t="shared" si="60"/>
        <v>,</v>
      </c>
      <c r="P53" s="59" t="str">
        <f t="shared" si="61"/>
        <v/>
      </c>
      <c r="Q53" s="60" t="str">
        <f t="shared" si="62"/>
        <v>,</v>
      </c>
      <c r="R53" s="61">
        <f t="shared" si="6"/>
        <v>10</v>
      </c>
      <c r="S53" s="56" t="str">
        <f t="shared" si="63"/>
        <v>)</v>
      </c>
      <c r="T53" s="62" t="str">
        <f t="shared" si="64"/>
        <v>(</v>
      </c>
      <c r="U53" s="63" t="str">
        <f t="shared" si="65"/>
        <v>Sol</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5.5" outlineLevel="1" thickTop="1" thickBot="1" x14ac:dyDescent="0.4">
      <c r="B54" t="s">
        <v>999</v>
      </c>
      <c r="C54" s="93" t="s">
        <v>1072</v>
      </c>
      <c r="D54" s="83" t="s">
        <v>1029</v>
      </c>
      <c r="E54" s="83"/>
      <c r="F54" s="83" t="s">
        <v>1015</v>
      </c>
      <c r="G54" s="83"/>
      <c r="H54" s="83"/>
      <c r="I54" s="83"/>
      <c r="J54" s="83"/>
      <c r="K54" s="83"/>
      <c r="L54" s="121" t="str">
        <f>IF(C54="","",_xlfn.CONCAT("            { line: ","""",C54,", ",M54:AN54,""", sC: ","""",B54,"""},  ]},"))</f>
        <v xml:space="preserve">            { line: "ESPÍRITU DE TEMOR DEL SEÑOR., (Re,,22)(Sol,,250)", sC: "as"},  ]},</v>
      </c>
      <c r="M54" s="56" t="str">
        <f t="shared" si="58"/>
        <v>(</v>
      </c>
      <c r="N54" s="57" t="str">
        <f t="shared" si="59"/>
        <v>Re</v>
      </c>
      <c r="O54" s="58" t="str">
        <f t="shared" si="60"/>
        <v>,</v>
      </c>
      <c r="P54" s="59" t="str">
        <f t="shared" si="61"/>
        <v/>
      </c>
      <c r="Q54" s="60" t="str">
        <f t="shared" si="62"/>
        <v>,</v>
      </c>
      <c r="R54" s="61">
        <f t="shared" si="6"/>
        <v>22</v>
      </c>
      <c r="S54" s="56" t="str">
        <f t="shared" si="63"/>
        <v>)</v>
      </c>
      <c r="T54" s="62" t="str">
        <f t="shared" si="64"/>
        <v>(</v>
      </c>
      <c r="U54" s="63" t="str">
        <f t="shared" si="65"/>
        <v>Sol</v>
      </c>
      <c r="V54" s="64" t="str">
        <f t="shared" si="66"/>
        <v>,</v>
      </c>
      <c r="W54" s="65" t="str">
        <f t="shared" si="67"/>
        <v/>
      </c>
      <c r="X54" s="64" t="str">
        <f t="shared" si="68"/>
        <v>,</v>
      </c>
      <c r="Y54" s="64">
        <f t="shared" si="69"/>
        <v>250</v>
      </c>
      <c r="Z54" s="56" t="str">
        <f t="shared" si="70"/>
        <v>)</v>
      </c>
      <c r="AA54" s="66" t="str">
        <f t="shared" si="71"/>
        <v/>
      </c>
      <c r="AB54" s="57" t="str">
        <f t="shared" si="72"/>
        <v/>
      </c>
      <c r="AC54" s="67" t="str">
        <f t="shared" si="73"/>
        <v/>
      </c>
      <c r="AD54" s="59" t="str">
        <f t="shared" si="74"/>
        <v/>
      </c>
      <c r="AE54" s="68" t="str">
        <f t="shared" si="75"/>
        <v/>
      </c>
      <c r="AF54" s="61" t="str">
        <f t="shared" si="76"/>
        <v/>
      </c>
      <c r="AG54" s="61" t="str">
        <f t="shared" si="77"/>
        <v/>
      </c>
      <c r="AH54" s="69" t="str">
        <f t="shared" si="78"/>
        <v/>
      </c>
      <c r="AI54" s="70" t="str">
        <f t="shared" si="79"/>
        <v/>
      </c>
      <c r="AJ54" s="64" t="str">
        <f t="shared" si="80"/>
        <v/>
      </c>
      <c r="AK54" s="64" t="str">
        <f t="shared" si="81"/>
        <v/>
      </c>
      <c r="AL54" s="64" t="str">
        <f t="shared" si="82"/>
        <v/>
      </c>
      <c r="AM54" s="64" t="str">
        <f t="shared" si="83"/>
        <v/>
      </c>
      <c r="AN54" s="64" t="str">
        <f t="shared" si="84"/>
        <v/>
      </c>
    </row>
    <row r="55" spans="1:40" ht="27.75" outlineLevel="1" thickTop="1" thickBot="1" x14ac:dyDescent="0.4">
      <c r="A55" s="73"/>
      <c r="B55" s="73"/>
      <c r="C55" s="73"/>
      <c r="D55" s="74"/>
      <c r="E55" s="74"/>
      <c r="F55" s="74"/>
      <c r="G55" s="74"/>
      <c r="H55" s="74"/>
      <c r="I55" s="74"/>
      <c r="J55" s="74"/>
      <c r="K55" s="74"/>
      <c r="L55" s="75" t="s">
        <v>993</v>
      </c>
      <c r="M55" s="56"/>
      <c r="N55" s="57"/>
      <c r="O55" s="58"/>
      <c r="P55" s="59"/>
      <c r="Q55" s="60"/>
      <c r="R55" s="61" t="str">
        <f t="shared" si="6"/>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1014</v>
      </c>
      <c r="C56" s="113" t="s">
        <v>1082</v>
      </c>
      <c r="D56" s="112" t="s">
        <v>1030</v>
      </c>
      <c r="E56" s="52"/>
      <c r="F56" s="53" t="s">
        <v>1015</v>
      </c>
      <c r="G56" s="53"/>
      <c r="H56" s="52"/>
      <c r="I56" s="52"/>
      <c r="J56" s="54"/>
      <c r="K56" s="54"/>
      <c r="L56" s="55" t="str">
        <f t="shared" ref="L56" si="85">IF(C56="","",_xlfn.CONCAT("            { line: ","""",C56,", ",M56:AN56,""", sC: ","""",B56,"""},"))</f>
        <v xml:space="preserve">            { line: "La vaca y la osa estarán juntas,, (Do,,10)(Sol,,250)", sC: "tc"},</v>
      </c>
      <c r="M56" s="56" t="str">
        <f>IF(N56="","","(")</f>
        <v>(</v>
      </c>
      <c r="N56" s="57" t="str">
        <f>IF(D56="","",D56)</f>
        <v>Do</v>
      </c>
      <c r="O56" s="58" t="str">
        <f>IF(N56="","",",")</f>
        <v>,</v>
      </c>
      <c r="P56" s="59" t="str">
        <f>IF(E56="","",E56)</f>
        <v/>
      </c>
      <c r="Q56" s="60" t="str">
        <f>IF(N56="","",",")</f>
        <v>,</v>
      </c>
      <c r="R56" s="61">
        <f t="shared" si="6"/>
        <v>10</v>
      </c>
      <c r="S56" s="56" t="str">
        <f>IF(N56="","",")")</f>
        <v>)</v>
      </c>
      <c r="T56" s="62" t="str">
        <f>IF(U56="","","(")</f>
        <v>(</v>
      </c>
      <c r="U56" s="63" t="str">
        <f>IF(F56="","",F56)</f>
        <v>Sol</v>
      </c>
      <c r="V56" s="64" t="str">
        <f>IF(U56="","",",")</f>
        <v>,</v>
      </c>
      <c r="W56" s="65" t="str">
        <f>IF(G56="","",G56)</f>
        <v/>
      </c>
      <c r="X56" s="64" t="str">
        <f>IF(U56="","",",")</f>
        <v>,</v>
      </c>
      <c r="Y56" s="64">
        <f>IF(U56="","",250)</f>
        <v>250</v>
      </c>
      <c r="Z56" s="56" t="str">
        <f>IF(U56="","",")")</f>
        <v>)</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25.5" thickTop="1" thickBot="1" x14ac:dyDescent="0.4">
      <c r="C57" s="113" t="s">
        <v>1083</v>
      </c>
      <c r="D57" s="112" t="s">
        <v>1030</v>
      </c>
      <c r="E57" s="52"/>
      <c r="F57" s="53" t="s">
        <v>1015</v>
      </c>
      <c r="G57" s="53"/>
      <c r="H57" s="52"/>
      <c r="I57" s="52"/>
      <c r="J57" s="54"/>
      <c r="K57" s="54"/>
      <c r="L57" s="78" t="str">
        <f t="shared" si="0"/>
        <v xml:space="preserve">            { line: "el león, como el buey, comerá paja., (Do,,10)(Sol,,250)", sC: ""},</v>
      </c>
      <c r="M57" s="56" t="str">
        <f t="shared" si="1"/>
        <v>(</v>
      </c>
      <c r="N57" s="57" t="str">
        <f t="shared" si="2"/>
        <v>Do</v>
      </c>
      <c r="O57" s="58" t="str">
        <f t="shared" si="3"/>
        <v>,</v>
      </c>
      <c r="P57" s="59" t="str">
        <f t="shared" si="4"/>
        <v/>
      </c>
      <c r="Q57" s="60" t="str">
        <f t="shared" si="5"/>
        <v>,</v>
      </c>
      <c r="R57" s="61">
        <f t="shared" si="6"/>
        <v>10</v>
      </c>
      <c r="S57" s="56" t="str">
        <f t="shared" si="7"/>
        <v>)</v>
      </c>
      <c r="T57" s="62" t="str">
        <f t="shared" si="8"/>
        <v>(</v>
      </c>
      <c r="U57" s="63" t="str">
        <f t="shared" si="9"/>
        <v>Sol</v>
      </c>
      <c r="V57" s="64" t="str">
        <f t="shared" si="10"/>
        <v>,</v>
      </c>
      <c r="W57" s="65" t="str">
        <f t="shared" si="11"/>
        <v/>
      </c>
      <c r="X57" s="64" t="str">
        <f t="shared" si="12"/>
        <v>,</v>
      </c>
      <c r="Y57" s="64">
        <f t="shared" si="13"/>
        <v>250</v>
      </c>
      <c r="Z57" s="56" t="str">
        <f t="shared" si="14"/>
        <v>)</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113" t="s">
        <v>1084</v>
      </c>
      <c r="D58" s="112" t="s">
        <v>1029</v>
      </c>
      <c r="E58" s="52"/>
      <c r="F58" s="53"/>
      <c r="G58" s="53"/>
      <c r="H58" s="52"/>
      <c r="I58" s="52"/>
      <c r="J58" s="54"/>
      <c r="K58" s="54"/>
      <c r="L58" s="78" t="str">
        <f>IF(C58="","",_xlfn.CONCAT("            { line: ","""",C58,", ",M58:AN58,""", sC: ","""",B58,"""},"))</f>
        <v xml:space="preserve">            { line: "El niño de pecho hurgará, (Re,,22)", sC: ""},</v>
      </c>
      <c r="M58" s="56" t="str">
        <f t="shared" si="1"/>
        <v>(</v>
      </c>
      <c r="N58" s="57" t="str">
        <f t="shared" si="2"/>
        <v>Re</v>
      </c>
      <c r="O58" s="58" t="str">
        <f t="shared" si="3"/>
        <v>,</v>
      </c>
      <c r="P58" s="59" t="str">
        <f t="shared" si="4"/>
        <v/>
      </c>
      <c r="Q58" s="60" t="str">
        <f t="shared" si="5"/>
        <v>,</v>
      </c>
      <c r="R58" s="61">
        <f t="shared" si="6"/>
        <v>22</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36.75" thickTop="1" thickBot="1" x14ac:dyDescent="0.4">
      <c r="A59" s="76"/>
      <c r="B59" s="76"/>
      <c r="C59" s="76" t="s">
        <v>1031</v>
      </c>
      <c r="D59" s="77"/>
      <c r="E59" s="77"/>
      <c r="F59" s="77"/>
      <c r="G59" s="77"/>
      <c r="H59" s="77"/>
      <c r="I59" s="77"/>
      <c r="J59" s="77"/>
      <c r="K59" s="77"/>
      <c r="L59" s="117"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outlineLevel="1" thickTop="1" thickBot="1" x14ac:dyDescent="0.4">
      <c r="C60" s="113" t="s">
        <v>1085</v>
      </c>
      <c r="D60" s="112" t="s">
        <v>1015</v>
      </c>
      <c r="E60" s="52"/>
      <c r="F60" s="53"/>
      <c r="G60" s="53"/>
      <c r="H60" s="52"/>
      <c r="I60" s="52"/>
      <c r="J60" s="54"/>
      <c r="K60" s="54"/>
      <c r="L60" s="55" t="str">
        <f t="shared" ref="L60:L78" si="86">IF(C60="","",_xlfn.CONCAT("            { line: ","""",C60,", ",M60:AN60,""", sC: ","""",B60,"""},"))</f>
        <v xml:space="preserve">            { line: "en el agujero del áspid,, (Sol,,14)", sC: ""},</v>
      </c>
      <c r="M60" s="56" t="str">
        <f t="shared" ref="M60:M78" si="87">IF(N60="","","(")</f>
        <v>(</v>
      </c>
      <c r="N60" s="57" t="str">
        <f t="shared" si="2"/>
        <v>Sol</v>
      </c>
      <c r="O60" s="58" t="str">
        <f t="shared" ref="O60:O78" si="88">IF(N60="","",",")</f>
        <v>,</v>
      </c>
      <c r="P60" s="59" t="str">
        <f t="shared" si="4"/>
        <v/>
      </c>
      <c r="Q60" s="60" t="str">
        <f t="shared" ref="Q60:Q78" si="89">IF(N60="","",",")</f>
        <v>,</v>
      </c>
      <c r="R60" s="61">
        <f t="shared" si="6"/>
        <v>14</v>
      </c>
      <c r="S60" s="56" t="str">
        <f t="shared" ref="S60:S78" si="90">IF(N60="","",")")</f>
        <v>)</v>
      </c>
      <c r="T60" s="62" t="str">
        <f t="shared" ref="T60:T78" si="91">IF(U60="","","(")</f>
        <v/>
      </c>
      <c r="U60" s="63" t="str">
        <f t="shared" si="9"/>
        <v/>
      </c>
      <c r="V60" s="64" t="str">
        <f t="shared" ref="V60:V78" si="92">IF(U60="","",",")</f>
        <v/>
      </c>
      <c r="W60" s="65" t="str">
        <f t="shared" si="11"/>
        <v/>
      </c>
      <c r="X60" s="64" t="str">
        <f t="shared" ref="X60:X78" si="93">IF(U60="","",",")</f>
        <v/>
      </c>
      <c r="Y60" s="64" t="str">
        <f t="shared" ref="Y60:Y78" si="94">IF(U60="","",250)</f>
        <v/>
      </c>
      <c r="Z60" s="56" t="str">
        <f t="shared" ref="Z60:Z78" si="95">IF(U60="","",")")</f>
        <v/>
      </c>
      <c r="AA60" s="66" t="str">
        <f t="shared" ref="AA60:AA78" si="96">IF(AB60="","","(")</f>
        <v/>
      </c>
      <c r="AB60" s="57" t="str">
        <f t="shared" si="16"/>
        <v/>
      </c>
      <c r="AC60" s="67" t="str">
        <f t="shared" ref="AC60:AC78" si="97">IF(AB60="","",",")</f>
        <v/>
      </c>
      <c r="AD60" s="59" t="str">
        <f t="shared" ref="AD60:AD78" si="98">IF(I60="","",I60)</f>
        <v/>
      </c>
      <c r="AE60" s="68" t="str">
        <f t="shared" ref="AE60:AE78" si="99">IF(AB60="","",",")</f>
        <v/>
      </c>
      <c r="AF60" s="61" t="str">
        <f t="shared" ref="AF60:AF78" si="100">IF(AB60="","",350)</f>
        <v/>
      </c>
      <c r="AG60" s="61" t="str">
        <f t="shared" ref="AG60:AG78" si="101">IF(AB60="","",")")</f>
        <v/>
      </c>
      <c r="AH60" s="69" t="str">
        <f t="shared" ref="AH60:AH78" si="102">IF(AI60="","","(")</f>
        <v/>
      </c>
      <c r="AI60" s="70" t="str">
        <f t="shared" si="23"/>
        <v/>
      </c>
      <c r="AJ60" s="64" t="str">
        <f t="shared" ref="AJ60:AJ78" si="103">IF(AI60="","",",")</f>
        <v/>
      </c>
      <c r="AK60" s="64" t="str">
        <f t="shared" ref="AK60:AK78" si="104">IF(K60="","",K60)</f>
        <v/>
      </c>
      <c r="AL60" s="64" t="str">
        <f t="shared" ref="AL60:AL78" si="105">IF(AI60="","",",")</f>
        <v/>
      </c>
      <c r="AM60" s="64" t="str">
        <f t="shared" ref="AM60:AM78" si="106">IF(AI60="","",450)</f>
        <v/>
      </c>
      <c r="AN60" s="64" t="str">
        <f t="shared" ref="AN60:AN78" si="107">IF(AI60="","",")")</f>
        <v/>
      </c>
    </row>
    <row r="61" spans="1:40" ht="25.5" outlineLevel="1" thickTop="1" thickBot="1" x14ac:dyDescent="0.4">
      <c r="C61" s="113" t="s">
        <v>1086</v>
      </c>
      <c r="D61" s="112" t="s">
        <v>1030</v>
      </c>
      <c r="E61" s="52"/>
      <c r="F61" s="53"/>
      <c r="G61" s="53"/>
      <c r="H61" s="52"/>
      <c r="I61" s="52"/>
      <c r="J61" s="54"/>
      <c r="K61" s="54"/>
      <c r="L61" s="55" t="str">
        <f t="shared" si="86"/>
        <v xml:space="preserve">            { line: "el recién nacido meterá la mano, (Do,,10)", sC: ""},</v>
      </c>
      <c r="M61" s="56" t="str">
        <f t="shared" si="87"/>
        <v>(</v>
      </c>
      <c r="N61" s="57" t="str">
        <f t="shared" si="2"/>
        <v>Do</v>
      </c>
      <c r="O61" s="58" t="str">
        <f t="shared" si="88"/>
        <v>,</v>
      </c>
      <c r="P61" s="59" t="str">
        <f t="shared" si="4"/>
        <v/>
      </c>
      <c r="Q61" s="60" t="str">
        <f t="shared" si="89"/>
        <v>,</v>
      </c>
      <c r="R61" s="61">
        <f t="shared" si="6"/>
        <v>10</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outlineLevel="1" thickTop="1" thickBot="1" x14ac:dyDescent="0.4">
      <c r="C62" s="113" t="s">
        <v>1087</v>
      </c>
      <c r="D62" s="112" t="s">
        <v>1015</v>
      </c>
      <c r="E62" s="52"/>
      <c r="F62" s="53"/>
      <c r="G62" s="53"/>
      <c r="H62" s="52"/>
      <c r="I62" s="52"/>
      <c r="J62" s="54"/>
      <c r="K62" s="54"/>
      <c r="L62" s="55" t="str">
        <f t="shared" si="86"/>
        <v xml:space="preserve">            { line: "en la hura de la víbora., (Sol,,14)", sC: ""},</v>
      </c>
      <c r="M62" s="56" t="str">
        <f t="shared" si="87"/>
        <v>(</v>
      </c>
      <c r="N62" s="57" t="str">
        <f t="shared" si="2"/>
        <v>Sol</v>
      </c>
      <c r="O62" s="58" t="str">
        <f t="shared" si="88"/>
        <v>,</v>
      </c>
      <c r="P62" s="59" t="str">
        <f t="shared" si="4"/>
        <v/>
      </c>
      <c r="Q62" s="60" t="str">
        <f t="shared" si="89"/>
        <v>,</v>
      </c>
      <c r="R62" s="61">
        <f t="shared" si="6"/>
        <v>14</v>
      </c>
      <c r="S62" s="56" t="str">
        <f t="shared" si="90"/>
        <v>)</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5.5" outlineLevel="1" thickTop="1" thickBot="1" x14ac:dyDescent="0.4">
      <c r="B63" t="s">
        <v>1014</v>
      </c>
      <c r="C63" s="113" t="s">
        <v>1088</v>
      </c>
      <c r="D63" s="112" t="s">
        <v>1029</v>
      </c>
      <c r="E63" s="52"/>
      <c r="F63" s="53" t="s">
        <v>1015</v>
      </c>
      <c r="G63" s="53"/>
      <c r="H63" s="52"/>
      <c r="I63" s="52"/>
      <c r="J63" s="54"/>
      <c r="K63" s="54"/>
      <c r="L63" s="55" t="str">
        <f t="shared" si="86"/>
        <v xml:space="preserve">            { line: "Porque ya nadie hará daño., (Re,,22)(Sol,,250)", sC: "tc"},</v>
      </c>
      <c r="M63" s="56" t="str">
        <f t="shared" si="87"/>
        <v>(</v>
      </c>
      <c r="N63" s="57" t="str">
        <f t="shared" si="2"/>
        <v>Re</v>
      </c>
      <c r="O63" s="58" t="str">
        <f t="shared" si="88"/>
        <v>,</v>
      </c>
      <c r="P63" s="59" t="str">
        <f t="shared" si="4"/>
        <v/>
      </c>
      <c r="Q63" s="60" t="str">
        <f t="shared" si="89"/>
        <v>,</v>
      </c>
      <c r="R63" s="61">
        <f t="shared" si="6"/>
        <v>22</v>
      </c>
      <c r="S63" s="56" t="str">
        <f t="shared" si="90"/>
        <v>)</v>
      </c>
      <c r="T63" s="62" t="str">
        <f t="shared" si="91"/>
        <v>(</v>
      </c>
      <c r="U63" s="63" t="str">
        <f t="shared" si="9"/>
        <v>Sol</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5.5" outlineLevel="1" thickTop="1" thickBot="1" x14ac:dyDescent="0.4">
      <c r="B64" t="s">
        <v>997</v>
      </c>
      <c r="C64" s="113" t="s">
        <v>1103</v>
      </c>
      <c r="D64" s="112" t="s">
        <v>1029</v>
      </c>
      <c r="E64" s="52"/>
      <c r="F64" s="53" t="s">
        <v>1015</v>
      </c>
      <c r="G64" s="53"/>
      <c r="H64" s="52"/>
      <c r="I64" s="52"/>
      <c r="J64" s="54"/>
      <c r="K64" s="54"/>
      <c r="L64" s="55" t="str">
        <f t="shared" si="86"/>
        <v xml:space="preserve">            { line: "PORQUE YA NADIE HARÁ DAÑO., (Re,,22)(Sol,,250)", sC: "ta as"},</v>
      </c>
      <c r="M64" s="56" t="str">
        <f t="shared" si="87"/>
        <v>(</v>
      </c>
      <c r="N64" s="57" t="str">
        <f t="shared" si="2"/>
        <v>Re</v>
      </c>
      <c r="O64" s="58" t="str">
        <f t="shared" si="88"/>
        <v>,</v>
      </c>
      <c r="P64" s="59" t="str">
        <f t="shared" si="4"/>
        <v/>
      </c>
      <c r="Q64" s="60" t="str">
        <f t="shared" si="89"/>
        <v>,</v>
      </c>
      <c r="R64" s="61">
        <f t="shared" si="6"/>
        <v>22</v>
      </c>
      <c r="S64" s="56" t="str">
        <f t="shared" si="90"/>
        <v>)</v>
      </c>
      <c r="T64" s="62" t="str">
        <f t="shared" si="91"/>
        <v>(</v>
      </c>
      <c r="U64" s="63" t="str">
        <f t="shared" si="9"/>
        <v>Sol</v>
      </c>
      <c r="V64" s="64" t="str">
        <f t="shared" si="92"/>
        <v>,</v>
      </c>
      <c r="W64" s="65" t="str">
        <f t="shared" si="11"/>
        <v/>
      </c>
      <c r="X64" s="64" t="str">
        <f t="shared" si="93"/>
        <v>,</v>
      </c>
      <c r="Y64" s="64">
        <f t="shared" si="94"/>
        <v>250</v>
      </c>
      <c r="Z64" s="56" t="str">
        <f t="shared" si="95"/>
        <v>)</v>
      </c>
      <c r="AA64" s="66" t="str">
        <f t="shared" si="96"/>
        <v/>
      </c>
      <c r="AB64" s="57" t="str">
        <f t="shared" si="16"/>
        <v/>
      </c>
      <c r="AC64" s="67" t="str">
        <f t="shared" si="97"/>
        <v/>
      </c>
      <c r="AD64" s="59" t="str">
        <f t="shared" si="98"/>
        <v/>
      </c>
      <c r="AE64" s="68" t="str">
        <f t="shared" si="99"/>
        <v/>
      </c>
      <c r="AF64" s="61" t="str">
        <f t="shared" si="100"/>
        <v/>
      </c>
      <c r="AG64" s="61" t="str">
        <f t="shared" si="101"/>
        <v/>
      </c>
      <c r="AH64" s="69" t="str">
        <f t="shared" si="102"/>
        <v/>
      </c>
      <c r="AI64" s="70" t="str">
        <f t="shared" si="23"/>
        <v/>
      </c>
      <c r="AJ64" s="64" t="str">
        <f t="shared" si="103"/>
        <v/>
      </c>
      <c r="AK64" s="64" t="str">
        <f t="shared" si="104"/>
        <v/>
      </c>
      <c r="AL64" s="64" t="str">
        <f t="shared" si="105"/>
        <v/>
      </c>
      <c r="AM64" s="64" t="str">
        <f t="shared" si="106"/>
        <v/>
      </c>
      <c r="AN64" s="64" t="str">
        <f t="shared" si="107"/>
        <v/>
      </c>
    </row>
    <row r="65" spans="1:40" ht="25.5" outlineLevel="1" thickTop="1" thickBot="1" x14ac:dyDescent="0.4">
      <c r="B65" t="s">
        <v>1014</v>
      </c>
      <c r="C65" s="113" t="s">
        <v>1089</v>
      </c>
      <c r="D65" s="112" t="s">
        <v>1029</v>
      </c>
      <c r="E65" s="52"/>
      <c r="F65" s="53"/>
      <c r="G65" s="53"/>
      <c r="H65" s="52"/>
      <c r="I65" s="52"/>
      <c r="J65" s="54"/>
      <c r="K65" s="54"/>
      <c r="L65" s="55" t="str">
        <f t="shared" si="86"/>
        <v xml:space="preserve">            { line: "Porque la tierra estará llena, (Re,,22)", sC: "tc"},</v>
      </c>
      <c r="M65" s="56" t="str">
        <f t="shared" si="87"/>
        <v>(</v>
      </c>
      <c r="N65" s="57" t="str">
        <f t="shared" si="2"/>
        <v>Re</v>
      </c>
      <c r="O65" s="58" t="str">
        <f t="shared" si="88"/>
        <v>,</v>
      </c>
      <c r="P65" s="59" t="str">
        <f t="shared" si="4"/>
        <v/>
      </c>
      <c r="Q65" s="60" t="str">
        <f t="shared" si="89"/>
        <v>,</v>
      </c>
      <c r="R65" s="61">
        <f t="shared" si="6"/>
        <v>22</v>
      </c>
      <c r="S65" s="56" t="str">
        <f t="shared" si="90"/>
        <v>)</v>
      </c>
      <c r="T65" s="62" t="str">
        <f t="shared" si="91"/>
        <v/>
      </c>
      <c r="U65" s="63" t="str">
        <f t="shared" si="9"/>
        <v/>
      </c>
      <c r="V65" s="64" t="str">
        <f t="shared" si="92"/>
        <v/>
      </c>
      <c r="W65" s="65" t="str">
        <f t="shared" si="11"/>
        <v/>
      </c>
      <c r="X65" s="64" t="str">
        <f t="shared" si="93"/>
        <v/>
      </c>
      <c r="Y65" s="64" t="str">
        <f t="shared" si="94"/>
        <v/>
      </c>
      <c r="Z65" s="56" t="str">
        <f t="shared" si="95"/>
        <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1:40" ht="25.5" outlineLevel="1" thickTop="1" thickBot="1" x14ac:dyDescent="0.4">
      <c r="C66" s="113" t="s">
        <v>1090</v>
      </c>
      <c r="D66" s="112" t="s">
        <v>1015</v>
      </c>
      <c r="E66" s="52"/>
      <c r="F66" s="53"/>
      <c r="G66" s="53"/>
      <c r="H66" s="52"/>
      <c r="I66" s="52"/>
      <c r="J66" s="54"/>
      <c r="K66" s="54"/>
      <c r="L66" s="55" t="str">
        <f t="shared" si="86"/>
        <v xml:space="preserve">            { line: "del conocimiento del Señor., (Sol,,14)", sC: ""},</v>
      </c>
      <c r="M66" s="56" t="str">
        <f t="shared" si="87"/>
        <v>(</v>
      </c>
      <c r="N66" s="57" t="str">
        <f t="shared" si="2"/>
        <v>Sol</v>
      </c>
      <c r="O66" s="58" t="str">
        <f t="shared" si="88"/>
        <v>,</v>
      </c>
      <c r="P66" s="59" t="str">
        <f t="shared" si="4"/>
        <v/>
      </c>
      <c r="Q66" s="60" t="str">
        <f t="shared" si="89"/>
        <v>,</v>
      </c>
      <c r="R66" s="61">
        <f t="shared" si="6"/>
        <v>14</v>
      </c>
      <c r="S66" s="56" t="str">
        <f t="shared" si="90"/>
        <v>)</v>
      </c>
      <c r="T66" s="62" t="str">
        <f t="shared" si="91"/>
        <v/>
      </c>
      <c r="U66" s="63" t="str">
        <f t="shared" si="9"/>
        <v/>
      </c>
      <c r="V66" s="64" t="str">
        <f t="shared" si="92"/>
        <v/>
      </c>
      <c r="W66" s="65" t="str">
        <f t="shared" si="11"/>
        <v/>
      </c>
      <c r="X66" s="64" t="str">
        <f t="shared" si="93"/>
        <v/>
      </c>
      <c r="Y66" s="64" t="str">
        <f t="shared" si="94"/>
        <v/>
      </c>
      <c r="Z66" s="56" t="str">
        <f t="shared" si="95"/>
        <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1:40" ht="25.5" outlineLevel="1" thickTop="1" thickBot="1" x14ac:dyDescent="0.4">
      <c r="B67" t="s">
        <v>997</v>
      </c>
      <c r="C67" s="113" t="s">
        <v>1091</v>
      </c>
      <c r="D67" s="112" t="s">
        <v>1029</v>
      </c>
      <c r="E67" s="52"/>
      <c r="F67" s="53"/>
      <c r="G67" s="53"/>
      <c r="H67" s="52"/>
      <c r="I67" s="52"/>
      <c r="J67" s="54"/>
      <c r="K67" s="54"/>
      <c r="L67" s="55" t="str">
        <f t="shared" si="86"/>
        <v xml:space="preserve">            { line: "PORQUE LA TIERRA ESTARÁ LLENA, (Re,,22)", sC: "ta as"},</v>
      </c>
      <c r="M67" s="56" t="str">
        <f t="shared" si="87"/>
        <v>(</v>
      </c>
      <c r="N67" s="57" t="str">
        <f t="shared" si="2"/>
        <v>Re</v>
      </c>
      <c r="O67" s="58" t="str">
        <f t="shared" si="88"/>
        <v>,</v>
      </c>
      <c r="P67" s="59" t="str">
        <f t="shared" si="4"/>
        <v/>
      </c>
      <c r="Q67" s="60" t="str">
        <f t="shared" si="89"/>
        <v>,</v>
      </c>
      <c r="R67" s="61">
        <f t="shared" si="6"/>
        <v>22</v>
      </c>
      <c r="S67" s="56" t="str">
        <f t="shared" si="90"/>
        <v>)</v>
      </c>
      <c r="T67" s="62" t="str">
        <f t="shared" si="91"/>
        <v/>
      </c>
      <c r="U67" s="63" t="str">
        <f t="shared" si="9"/>
        <v/>
      </c>
      <c r="V67" s="64" t="str">
        <f t="shared" si="92"/>
        <v/>
      </c>
      <c r="W67" s="65" t="str">
        <f t="shared" si="11"/>
        <v/>
      </c>
      <c r="X67" s="64" t="str">
        <f t="shared" si="93"/>
        <v/>
      </c>
      <c r="Y67" s="64" t="str">
        <f t="shared" si="94"/>
        <v/>
      </c>
      <c r="Z67" s="56" t="str">
        <f t="shared" si="95"/>
        <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1:40" ht="25.5" outlineLevel="1" thickTop="1" thickBot="1" x14ac:dyDescent="0.4">
      <c r="B68" t="s">
        <v>999</v>
      </c>
      <c r="C68" s="113" t="s">
        <v>1092</v>
      </c>
      <c r="D68" s="112" t="s">
        <v>1015</v>
      </c>
      <c r="E68" s="52"/>
      <c r="F68" s="53"/>
      <c r="G68" s="53"/>
      <c r="H68" s="52"/>
      <c r="I68" s="52"/>
      <c r="J68" s="54"/>
      <c r="K68" s="54"/>
      <c r="L68" s="55" t="str">
        <f t="shared" si="86"/>
        <v xml:space="preserve">            { line: "DEL CONOCIMIENTO DEL SEÑOR., (Sol,,14)", sC: "as"},</v>
      </c>
      <c r="M68" s="56" t="str">
        <f t="shared" si="87"/>
        <v>(</v>
      </c>
      <c r="N68" s="57" t="str">
        <f t="shared" si="2"/>
        <v>Sol</v>
      </c>
      <c r="O68" s="58" t="str">
        <f t="shared" si="88"/>
        <v>,</v>
      </c>
      <c r="P68" s="59" t="str">
        <f t="shared" si="4"/>
        <v/>
      </c>
      <c r="Q68" s="60" t="str">
        <f t="shared" si="89"/>
        <v>,</v>
      </c>
      <c r="R68" s="61">
        <f t="shared" si="6"/>
        <v>14</v>
      </c>
      <c r="S68" s="56" t="str">
        <f t="shared" si="90"/>
        <v>)</v>
      </c>
      <c r="T68" s="62" t="str">
        <f t="shared" si="91"/>
        <v/>
      </c>
      <c r="U68" s="63" t="str">
        <f t="shared" si="9"/>
        <v/>
      </c>
      <c r="V68" s="64" t="str">
        <f t="shared" si="92"/>
        <v/>
      </c>
      <c r="W68" s="65" t="str">
        <f t="shared" si="11"/>
        <v/>
      </c>
      <c r="X68" s="64" t="str">
        <f t="shared" si="93"/>
        <v/>
      </c>
      <c r="Y68" s="64" t="str">
        <f t="shared" si="94"/>
        <v/>
      </c>
      <c r="Z68" s="56" t="str">
        <f t="shared" si="95"/>
        <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1:40" ht="25.5" outlineLevel="1" thickTop="1" thickBot="1" x14ac:dyDescent="0.4">
      <c r="B69" t="s">
        <v>1014</v>
      </c>
      <c r="C69" s="113" t="s">
        <v>1093</v>
      </c>
      <c r="D69" s="112" t="s">
        <v>984</v>
      </c>
      <c r="E69" s="52">
        <v>7</v>
      </c>
      <c r="F69" s="53"/>
      <c r="G69" s="53"/>
      <c r="H69" s="52"/>
      <c r="I69" s="52"/>
      <c r="J69" s="54"/>
      <c r="K69" s="54"/>
      <c r="L69" s="55" t="str">
        <f t="shared" si="86"/>
        <v xml:space="preserve">            { line: "Porque aquel día, (Si,7,20)", sC: "tc"},</v>
      </c>
      <c r="M69" s="56" t="str">
        <f t="shared" si="87"/>
        <v>(</v>
      </c>
      <c r="N69" s="57" t="str">
        <f t="shared" si="2"/>
        <v>Si</v>
      </c>
      <c r="O69" s="58" t="str">
        <f t="shared" si="88"/>
        <v>,</v>
      </c>
      <c r="P69" s="59">
        <f t="shared" si="4"/>
        <v>7</v>
      </c>
      <c r="Q69" s="60" t="str">
        <f t="shared" si="89"/>
        <v>,</v>
      </c>
      <c r="R69" s="61">
        <f t="shared" si="6"/>
        <v>20</v>
      </c>
      <c r="S69" s="56" t="str">
        <f t="shared" si="90"/>
        <v>)</v>
      </c>
      <c r="T69" s="62" t="str">
        <f t="shared" si="91"/>
        <v/>
      </c>
      <c r="U69" s="63" t="str">
        <f t="shared" si="9"/>
        <v/>
      </c>
      <c r="V69" s="64" t="str">
        <f t="shared" si="92"/>
        <v/>
      </c>
      <c r="W69" s="65" t="str">
        <f t="shared" si="11"/>
        <v/>
      </c>
      <c r="X69" s="64" t="str">
        <f t="shared" si="93"/>
        <v/>
      </c>
      <c r="Y69" s="64" t="str">
        <f t="shared" si="94"/>
        <v/>
      </c>
      <c r="Z69" s="56" t="str">
        <f t="shared" si="95"/>
        <v/>
      </c>
      <c r="AA69" s="66" t="str">
        <f t="shared" si="96"/>
        <v/>
      </c>
      <c r="AB69" s="57" t="str">
        <f t="shared" si="16"/>
        <v/>
      </c>
      <c r="AC69" s="67" t="str">
        <f t="shared" si="97"/>
        <v/>
      </c>
      <c r="AD69" s="59" t="str">
        <f t="shared" si="98"/>
        <v/>
      </c>
      <c r="AE69" s="68" t="str">
        <f t="shared" si="99"/>
        <v/>
      </c>
      <c r="AF69" s="61" t="str">
        <f t="shared" si="100"/>
        <v/>
      </c>
      <c r="AG69" s="61" t="str">
        <f t="shared" si="101"/>
        <v/>
      </c>
      <c r="AH69" s="69" t="str">
        <f t="shared" si="102"/>
        <v/>
      </c>
      <c r="AI69" s="70" t="str">
        <f t="shared" si="23"/>
        <v/>
      </c>
      <c r="AJ69" s="64" t="str">
        <f t="shared" si="103"/>
        <v/>
      </c>
      <c r="AK69" s="64" t="str">
        <f t="shared" si="104"/>
        <v/>
      </c>
      <c r="AL69" s="64" t="str">
        <f t="shared" si="105"/>
        <v/>
      </c>
      <c r="AM69" s="64" t="str">
        <f t="shared" si="106"/>
        <v/>
      </c>
      <c r="AN69" s="64" t="str">
        <f t="shared" si="107"/>
        <v/>
      </c>
    </row>
    <row r="70" spans="1:40" ht="25.5" outlineLevel="1" thickTop="1" thickBot="1" x14ac:dyDescent="0.4">
      <c r="C70" s="113" t="s">
        <v>1094</v>
      </c>
      <c r="D70" s="112"/>
      <c r="E70" s="52"/>
      <c r="F70" s="53"/>
      <c r="G70" s="53"/>
      <c r="H70" s="52"/>
      <c r="I70" s="52"/>
      <c r="J70" s="54"/>
      <c r="K70" s="54"/>
      <c r="L70" s="55" t="str">
        <f t="shared" si="86"/>
        <v xml:space="preserve">            { line: "la raíz de Jesé se levantará, ", sC: ""},</v>
      </c>
      <c r="M70" s="56" t="str">
        <f t="shared" si="87"/>
        <v/>
      </c>
      <c r="N70" s="57" t="str">
        <f t="shared" si="2"/>
        <v/>
      </c>
      <c r="O70" s="58" t="str">
        <f t="shared" si="88"/>
        <v/>
      </c>
      <c r="P70" s="59" t="str">
        <f t="shared" si="4"/>
        <v/>
      </c>
      <c r="Q70" s="60" t="str">
        <f t="shared" si="89"/>
        <v/>
      </c>
      <c r="R70" s="61" t="str">
        <f t="shared" si="6"/>
        <v/>
      </c>
      <c r="S70" s="56" t="str">
        <f t="shared" si="90"/>
        <v/>
      </c>
      <c r="T70" s="62" t="str">
        <f t="shared" si="91"/>
        <v/>
      </c>
      <c r="U70" s="63" t="str">
        <f t="shared" si="9"/>
        <v/>
      </c>
      <c r="V70" s="64" t="str">
        <f t="shared" si="92"/>
        <v/>
      </c>
      <c r="W70" s="65" t="str">
        <f t="shared" si="11"/>
        <v/>
      </c>
      <c r="X70" s="64" t="str">
        <f t="shared" si="93"/>
        <v/>
      </c>
      <c r="Y70" s="64" t="str">
        <f t="shared" si="94"/>
        <v/>
      </c>
      <c r="Z70" s="56" t="str">
        <f t="shared" si="95"/>
        <v/>
      </c>
      <c r="AA70" s="66" t="str">
        <f t="shared" si="96"/>
        <v/>
      </c>
      <c r="AB70" s="57" t="str">
        <f t="shared" si="16"/>
        <v/>
      </c>
      <c r="AC70" s="67" t="str">
        <f t="shared" si="97"/>
        <v/>
      </c>
      <c r="AD70" s="59" t="str">
        <f t="shared" si="98"/>
        <v/>
      </c>
      <c r="AE70" s="68" t="str">
        <f t="shared" si="99"/>
        <v/>
      </c>
      <c r="AF70" s="61" t="str">
        <f t="shared" si="100"/>
        <v/>
      </c>
      <c r="AG70" s="61" t="str">
        <f t="shared" si="101"/>
        <v/>
      </c>
      <c r="AH70" s="69" t="str">
        <f t="shared" si="102"/>
        <v/>
      </c>
      <c r="AI70" s="70" t="str">
        <f t="shared" si="23"/>
        <v/>
      </c>
      <c r="AJ70" s="64" t="str">
        <f t="shared" si="103"/>
        <v/>
      </c>
      <c r="AK70" s="64" t="str">
        <f t="shared" si="104"/>
        <v/>
      </c>
      <c r="AL70" s="64" t="str">
        <f t="shared" si="105"/>
        <v/>
      </c>
      <c r="AM70" s="64" t="str">
        <f t="shared" si="106"/>
        <v/>
      </c>
      <c r="AN70" s="64" t="str">
        <f t="shared" si="107"/>
        <v/>
      </c>
    </row>
    <row r="71" spans="1:40" ht="25.5" outlineLevel="1" thickTop="1" thickBot="1" x14ac:dyDescent="0.4">
      <c r="C71" s="113" t="s">
        <v>1095</v>
      </c>
      <c r="D71" s="112" t="s">
        <v>1011</v>
      </c>
      <c r="E71" s="52" t="s">
        <v>1012</v>
      </c>
      <c r="F71" s="53"/>
      <c r="G71" s="53"/>
      <c r="H71" s="52"/>
      <c r="I71" s="52"/>
      <c r="J71" s="54"/>
      <c r="K71" s="54"/>
      <c r="L71" s="55" t="str">
        <f t="shared" si="86"/>
        <v xml:space="preserve">            { line: "como estandarte de los pueblos,, (Mi,m,20)", sC: ""},</v>
      </c>
      <c r="M71" s="56" t="str">
        <f t="shared" si="87"/>
        <v>(</v>
      </c>
      <c r="N71" s="57" t="str">
        <f t="shared" si="2"/>
        <v>Mi</v>
      </c>
      <c r="O71" s="58" t="str">
        <f t="shared" si="88"/>
        <v>,</v>
      </c>
      <c r="P71" s="59" t="str">
        <f t="shared" si="4"/>
        <v>m</v>
      </c>
      <c r="Q71" s="60" t="str">
        <f t="shared" si="89"/>
        <v>,</v>
      </c>
      <c r="R71" s="61">
        <f t="shared" si="6"/>
        <v>20</v>
      </c>
      <c r="S71" s="56" t="str">
        <f t="shared" si="90"/>
        <v>)</v>
      </c>
      <c r="T71" s="62" t="str">
        <f t="shared" si="91"/>
        <v/>
      </c>
      <c r="U71" s="63" t="str">
        <f t="shared" si="9"/>
        <v/>
      </c>
      <c r="V71" s="64" t="str">
        <f t="shared" si="92"/>
        <v/>
      </c>
      <c r="W71" s="65" t="str">
        <f t="shared" si="11"/>
        <v/>
      </c>
      <c r="X71" s="64" t="str">
        <f t="shared" si="93"/>
        <v/>
      </c>
      <c r="Y71" s="64" t="str">
        <f t="shared" si="94"/>
        <v/>
      </c>
      <c r="Z71" s="56" t="str">
        <f t="shared" si="95"/>
        <v/>
      </c>
      <c r="AA71" s="66" t="str">
        <f t="shared" si="96"/>
        <v/>
      </c>
      <c r="AB71" s="57" t="str">
        <f t="shared" si="16"/>
        <v/>
      </c>
      <c r="AC71" s="67" t="str">
        <f t="shared" si="97"/>
        <v/>
      </c>
      <c r="AD71" s="59" t="str">
        <f t="shared" si="98"/>
        <v/>
      </c>
      <c r="AE71" s="68" t="str">
        <f t="shared" si="99"/>
        <v/>
      </c>
      <c r="AF71" s="61" t="str">
        <f t="shared" si="100"/>
        <v/>
      </c>
      <c r="AG71" s="61" t="str">
        <f t="shared" si="101"/>
        <v/>
      </c>
      <c r="AH71" s="69" t="str">
        <f t="shared" si="102"/>
        <v/>
      </c>
      <c r="AI71" s="70" t="str">
        <f t="shared" si="23"/>
        <v/>
      </c>
      <c r="AJ71" s="64" t="str">
        <f t="shared" si="103"/>
        <v/>
      </c>
      <c r="AK71" s="64" t="str">
        <f t="shared" si="104"/>
        <v/>
      </c>
      <c r="AL71" s="64" t="str">
        <f t="shared" si="105"/>
        <v/>
      </c>
      <c r="AM71" s="64" t="str">
        <f t="shared" si="106"/>
        <v/>
      </c>
      <c r="AN71" s="64" t="str">
        <f t="shared" si="107"/>
        <v/>
      </c>
    </row>
    <row r="72" spans="1:40" ht="25.5" outlineLevel="1" thickTop="1" thickBot="1" x14ac:dyDescent="0.4">
      <c r="C72" s="113" t="s">
        <v>1096</v>
      </c>
      <c r="D72" s="112" t="s">
        <v>1013</v>
      </c>
      <c r="E72" s="52" t="s">
        <v>1012</v>
      </c>
      <c r="F72" s="53" t="s">
        <v>984</v>
      </c>
      <c r="G72" s="53">
        <v>7</v>
      </c>
      <c r="H72" s="52"/>
      <c r="I72" s="52"/>
      <c r="J72" s="54"/>
      <c r="K72" s="54"/>
      <c r="L72" s="55" t="str">
        <f t="shared" si="86"/>
        <v xml:space="preserve">            { line: "y las gentes lo seguirán con ansia., (La,m,20)(Si,7,250)", sC: ""},</v>
      </c>
      <c r="M72" s="56" t="str">
        <f t="shared" si="87"/>
        <v>(</v>
      </c>
      <c r="N72" s="57" t="str">
        <f t="shared" si="2"/>
        <v>La</v>
      </c>
      <c r="O72" s="58" t="str">
        <f t="shared" si="88"/>
        <v>,</v>
      </c>
      <c r="P72" s="59" t="str">
        <f t="shared" si="4"/>
        <v>m</v>
      </c>
      <c r="Q72" s="60" t="str">
        <f t="shared" si="89"/>
        <v>,</v>
      </c>
      <c r="R72" s="61">
        <f t="shared" si="6"/>
        <v>20</v>
      </c>
      <c r="S72" s="56" t="str">
        <f t="shared" si="90"/>
        <v>)</v>
      </c>
      <c r="T72" s="62" t="str">
        <f t="shared" si="91"/>
        <v>(</v>
      </c>
      <c r="U72" s="63" t="str">
        <f t="shared" si="9"/>
        <v>Si</v>
      </c>
      <c r="V72" s="64" t="str">
        <f t="shared" si="92"/>
        <v>,</v>
      </c>
      <c r="W72" s="65">
        <f t="shared" si="11"/>
        <v>7</v>
      </c>
      <c r="X72" s="64" t="str">
        <f t="shared" si="93"/>
        <v>,</v>
      </c>
      <c r="Y72" s="64">
        <f t="shared" si="94"/>
        <v>250</v>
      </c>
      <c r="Z72" s="56" t="str">
        <f t="shared" si="95"/>
        <v>)</v>
      </c>
      <c r="AA72" s="66" t="str">
        <f t="shared" si="96"/>
        <v/>
      </c>
      <c r="AB72" s="57" t="str">
        <f t="shared" si="16"/>
        <v/>
      </c>
      <c r="AC72" s="67" t="str">
        <f t="shared" si="97"/>
        <v/>
      </c>
      <c r="AD72" s="59" t="str">
        <f t="shared" si="98"/>
        <v/>
      </c>
      <c r="AE72" s="68" t="str">
        <f t="shared" si="99"/>
        <v/>
      </c>
      <c r="AF72" s="61" t="str">
        <f t="shared" si="100"/>
        <v/>
      </c>
      <c r="AG72" s="61" t="str">
        <f t="shared" si="101"/>
        <v/>
      </c>
      <c r="AH72" s="69" t="str">
        <f t="shared" si="102"/>
        <v/>
      </c>
      <c r="AI72" s="70" t="str">
        <f t="shared" si="23"/>
        <v/>
      </c>
      <c r="AJ72" s="64" t="str">
        <f t="shared" si="103"/>
        <v/>
      </c>
      <c r="AK72" s="64" t="str">
        <f t="shared" si="104"/>
        <v/>
      </c>
      <c r="AL72" s="64" t="str">
        <f t="shared" si="105"/>
        <v/>
      </c>
      <c r="AM72" s="64" t="str">
        <f t="shared" si="106"/>
        <v/>
      </c>
      <c r="AN72" s="64" t="str">
        <f t="shared" si="107"/>
        <v/>
      </c>
    </row>
    <row r="73" spans="1:40" ht="25.5" outlineLevel="1" thickTop="1" thickBot="1" x14ac:dyDescent="0.4">
      <c r="C73" s="113" t="s">
        <v>1097</v>
      </c>
      <c r="D73" s="112" t="s">
        <v>1030</v>
      </c>
      <c r="E73" s="52"/>
      <c r="F73" s="53" t="s">
        <v>984</v>
      </c>
      <c r="G73" s="53">
        <v>7</v>
      </c>
      <c r="H73" s="52"/>
      <c r="I73" s="52"/>
      <c r="J73" s="54"/>
      <c r="K73" s="54"/>
      <c r="L73" s="55" t="str">
        <f t="shared" si="86"/>
        <v xml:space="preserve">            { line: "En aquel día el Señor extenderá su mano, (Do,,10)(Si,7,250)", sC: ""},</v>
      </c>
      <c r="M73" s="56" t="str">
        <f t="shared" si="87"/>
        <v>(</v>
      </c>
      <c r="N73" s="57" t="str">
        <f t="shared" si="2"/>
        <v>Do</v>
      </c>
      <c r="O73" s="58" t="str">
        <f t="shared" si="88"/>
        <v>,</v>
      </c>
      <c r="P73" s="59" t="str">
        <f t="shared" si="4"/>
        <v/>
      </c>
      <c r="Q73" s="60" t="str">
        <f t="shared" si="89"/>
        <v>,</v>
      </c>
      <c r="R73" s="61">
        <f t="shared" si="6"/>
        <v>10</v>
      </c>
      <c r="S73" s="56" t="str">
        <f t="shared" si="90"/>
        <v>)</v>
      </c>
      <c r="T73" s="62" t="str">
        <f t="shared" si="91"/>
        <v>(</v>
      </c>
      <c r="U73" s="63" t="str">
        <f t="shared" si="9"/>
        <v>Si</v>
      </c>
      <c r="V73" s="64" t="str">
        <f t="shared" si="92"/>
        <v>,</v>
      </c>
      <c r="W73" s="65">
        <f t="shared" si="11"/>
        <v>7</v>
      </c>
      <c r="X73" s="64" t="str">
        <f t="shared" si="93"/>
        <v>,</v>
      </c>
      <c r="Y73" s="64">
        <f t="shared" si="94"/>
        <v>250</v>
      </c>
      <c r="Z73" s="56" t="str">
        <f t="shared" si="95"/>
        <v>)</v>
      </c>
      <c r="AA73" s="66" t="str">
        <f t="shared" si="96"/>
        <v/>
      </c>
      <c r="AB73" s="57" t="str">
        <f t="shared" si="16"/>
        <v/>
      </c>
      <c r="AC73" s="67" t="str">
        <f t="shared" si="97"/>
        <v/>
      </c>
      <c r="AD73" s="59" t="str">
        <f t="shared" si="98"/>
        <v/>
      </c>
      <c r="AE73" s="68" t="str">
        <f t="shared" si="99"/>
        <v/>
      </c>
      <c r="AF73" s="61" t="str">
        <f t="shared" si="100"/>
        <v/>
      </c>
      <c r="AG73" s="61" t="str">
        <f t="shared" si="101"/>
        <v/>
      </c>
      <c r="AH73" s="69" t="str">
        <f t="shared" si="102"/>
        <v/>
      </c>
      <c r="AI73" s="70" t="str">
        <f t="shared" si="23"/>
        <v/>
      </c>
      <c r="AJ73" s="64" t="str">
        <f t="shared" si="103"/>
        <v/>
      </c>
      <c r="AK73" s="64" t="str">
        <f t="shared" si="104"/>
        <v/>
      </c>
      <c r="AL73" s="64" t="str">
        <f t="shared" si="105"/>
        <v/>
      </c>
      <c r="AM73" s="64" t="str">
        <f t="shared" si="106"/>
        <v/>
      </c>
      <c r="AN73" s="64" t="str">
        <f t="shared" si="107"/>
        <v/>
      </c>
    </row>
    <row r="74" spans="1:40" ht="25.5" outlineLevel="1" thickTop="1" thickBot="1" x14ac:dyDescent="0.4">
      <c r="C74" s="113" t="s">
        <v>1098</v>
      </c>
      <c r="D74" s="112" t="s">
        <v>1030</v>
      </c>
      <c r="E74" s="52"/>
      <c r="F74" s="53" t="s">
        <v>984</v>
      </c>
      <c r="G74" s="53">
        <v>7</v>
      </c>
      <c r="H74" s="52"/>
      <c r="I74" s="52"/>
      <c r="J74" s="54"/>
      <c r="K74" s="54"/>
      <c r="L74" s="55" t="str">
        <f t="shared" si="86"/>
        <v xml:space="preserve">            { line: "y un camino se formará,, (Do,,10)(Si,7,250)", sC: ""},</v>
      </c>
      <c r="M74" s="56" t="str">
        <f t="shared" si="87"/>
        <v>(</v>
      </c>
      <c r="N74" s="57" t="str">
        <f t="shared" si="2"/>
        <v>Do</v>
      </c>
      <c r="O74" s="58" t="str">
        <f t="shared" si="88"/>
        <v>,</v>
      </c>
      <c r="P74" s="59" t="str">
        <f t="shared" si="4"/>
        <v/>
      </c>
      <c r="Q74" s="60" t="str">
        <f t="shared" si="89"/>
        <v>,</v>
      </c>
      <c r="R74" s="61">
        <f t="shared" si="6"/>
        <v>10</v>
      </c>
      <c r="S74" s="56" t="str">
        <f t="shared" si="90"/>
        <v>)</v>
      </c>
      <c r="T74" s="62" t="str">
        <f t="shared" si="91"/>
        <v>(</v>
      </c>
      <c r="U74" s="63" t="str">
        <f t="shared" si="9"/>
        <v>Si</v>
      </c>
      <c r="V74" s="64" t="str">
        <f t="shared" si="92"/>
        <v>,</v>
      </c>
      <c r="W74" s="65">
        <f t="shared" si="11"/>
        <v>7</v>
      </c>
      <c r="X74" s="64" t="str">
        <f t="shared" si="93"/>
        <v>,</v>
      </c>
      <c r="Y74" s="64">
        <f t="shared" si="94"/>
        <v>250</v>
      </c>
      <c r="Z74" s="56" t="str">
        <f t="shared" si="95"/>
        <v>)</v>
      </c>
      <c r="AA74" s="66" t="str">
        <f t="shared" si="96"/>
        <v/>
      </c>
      <c r="AB74" s="57" t="str">
        <f t="shared" si="16"/>
        <v/>
      </c>
      <c r="AC74" s="67" t="str">
        <f t="shared" si="97"/>
        <v/>
      </c>
      <c r="AD74" s="59" t="str">
        <f t="shared" si="98"/>
        <v/>
      </c>
      <c r="AE74" s="68" t="str">
        <f t="shared" si="99"/>
        <v/>
      </c>
      <c r="AF74" s="61" t="str">
        <f t="shared" si="100"/>
        <v/>
      </c>
      <c r="AG74" s="61" t="str">
        <f t="shared" si="101"/>
        <v/>
      </c>
      <c r="AH74" s="69" t="str">
        <f t="shared" si="102"/>
        <v/>
      </c>
      <c r="AI74" s="70" t="str">
        <f t="shared" si="23"/>
        <v/>
      </c>
      <c r="AJ74" s="64" t="str">
        <f t="shared" si="103"/>
        <v/>
      </c>
      <c r="AK74" s="64" t="str">
        <f t="shared" si="104"/>
        <v/>
      </c>
      <c r="AL74" s="64" t="str">
        <f t="shared" si="105"/>
        <v/>
      </c>
      <c r="AM74" s="64" t="str">
        <f t="shared" si="106"/>
        <v/>
      </c>
      <c r="AN74" s="64" t="str">
        <f t="shared" si="107"/>
        <v/>
      </c>
    </row>
    <row r="75" spans="1:40" ht="25.5" outlineLevel="1" thickTop="1" thickBot="1" x14ac:dyDescent="0.4">
      <c r="B75" t="s">
        <v>997</v>
      </c>
      <c r="C75" s="113" t="s">
        <v>1099</v>
      </c>
      <c r="D75" s="112" t="s">
        <v>1030</v>
      </c>
      <c r="E75" s="52"/>
      <c r="F75" s="53" t="s">
        <v>984</v>
      </c>
      <c r="G75" s="53">
        <v>7</v>
      </c>
      <c r="H75" s="52"/>
      <c r="I75" s="52"/>
      <c r="J75" s="54"/>
      <c r="K75" s="54"/>
      <c r="L75" s="55" t="str">
        <f t="shared" si="86"/>
        <v xml:space="preserve">            { line: "Y UN CAMINO SE FORMARÁ;, (Do,,10)(Si,7,250)", sC: "ta as"},</v>
      </c>
      <c r="M75" s="56" t="str">
        <f t="shared" si="87"/>
        <v>(</v>
      </c>
      <c r="N75" s="57" t="str">
        <f t="shared" si="2"/>
        <v>Do</v>
      </c>
      <c r="O75" s="58" t="str">
        <f t="shared" si="88"/>
        <v>,</v>
      </c>
      <c r="P75" s="59" t="str">
        <f t="shared" si="4"/>
        <v/>
      </c>
      <c r="Q75" s="60" t="str">
        <f t="shared" si="89"/>
        <v>,</v>
      </c>
      <c r="R75" s="61">
        <f t="shared" si="6"/>
        <v>10</v>
      </c>
      <c r="S75" s="56" t="str">
        <f t="shared" si="90"/>
        <v>)</v>
      </c>
      <c r="T75" s="62" t="str">
        <f t="shared" si="91"/>
        <v>(</v>
      </c>
      <c r="U75" s="63" t="str">
        <f t="shared" si="9"/>
        <v>Si</v>
      </c>
      <c r="V75" s="64" t="str">
        <f t="shared" si="92"/>
        <v>,</v>
      </c>
      <c r="W75" s="65">
        <f t="shared" si="11"/>
        <v>7</v>
      </c>
      <c r="X75" s="64" t="str">
        <f t="shared" si="93"/>
        <v>,</v>
      </c>
      <c r="Y75" s="64">
        <f t="shared" si="94"/>
        <v>250</v>
      </c>
      <c r="Z75" s="56" t="str">
        <f t="shared" si="95"/>
        <v>)</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5.5" outlineLevel="1" thickTop="1" thickBot="1" x14ac:dyDescent="0.4">
      <c r="B76" t="s">
        <v>1014</v>
      </c>
      <c r="C76" s="113" t="s">
        <v>1100</v>
      </c>
      <c r="D76" s="112" t="s">
        <v>1030</v>
      </c>
      <c r="E76" s="52"/>
      <c r="F76" s="53" t="s">
        <v>984</v>
      </c>
      <c r="G76" s="53">
        <v>7</v>
      </c>
      <c r="H76" s="52"/>
      <c r="I76" s="52"/>
      <c r="J76" s="54"/>
      <c r="K76" s="54"/>
      <c r="L76" s="55" t="str">
        <f t="shared" si="86"/>
        <v xml:space="preserve">            { line: "una vía para todas las naciones,, (Do,,10)(Si,7,250)", sC: "tc"},</v>
      </c>
      <c r="M76" s="56" t="str">
        <f t="shared" si="87"/>
        <v>(</v>
      </c>
      <c r="N76" s="57" t="str">
        <f t="shared" si="2"/>
        <v>Do</v>
      </c>
      <c r="O76" s="58" t="str">
        <f t="shared" si="88"/>
        <v>,</v>
      </c>
      <c r="P76" s="59" t="str">
        <f t="shared" si="4"/>
        <v/>
      </c>
      <c r="Q76" s="60" t="str">
        <f t="shared" si="89"/>
        <v>,</v>
      </c>
      <c r="R76" s="61">
        <f t="shared" si="6"/>
        <v>10</v>
      </c>
      <c r="S76" s="56" t="str">
        <f t="shared" si="90"/>
        <v>)</v>
      </c>
      <c r="T76" s="62" t="str">
        <f t="shared" si="91"/>
        <v>(</v>
      </c>
      <c r="U76" s="63" t="str">
        <f t="shared" si="9"/>
        <v>Si</v>
      </c>
      <c r="V76" s="64" t="str">
        <f t="shared" si="92"/>
        <v>,</v>
      </c>
      <c r="W76" s="65">
        <f t="shared" si="11"/>
        <v>7</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5.5" outlineLevel="1" thickTop="1" thickBot="1" x14ac:dyDescent="0.4">
      <c r="B77" t="s">
        <v>997</v>
      </c>
      <c r="C77" s="113" t="s">
        <v>1101</v>
      </c>
      <c r="D77" s="112" t="s">
        <v>1030</v>
      </c>
      <c r="E77" s="52"/>
      <c r="F77" s="53" t="s">
        <v>984</v>
      </c>
      <c r="G77" s="53">
        <v>7</v>
      </c>
      <c r="H77" s="52"/>
      <c r="I77" s="52"/>
      <c r="J77" s="54"/>
      <c r="K77" s="54"/>
      <c r="L77" s="55" t="str">
        <f t="shared" si="86"/>
        <v xml:space="preserve">            { line: "UNA VÍA PARA TODAS LAS NACIONES, (Do,,10)(Si,7,250)", sC: "ta as"},</v>
      </c>
      <c r="M77" s="56" t="str">
        <f t="shared" si="87"/>
        <v>(</v>
      </c>
      <c r="N77" s="57" t="str">
        <f t="shared" si="2"/>
        <v>Do</v>
      </c>
      <c r="O77" s="58" t="str">
        <f t="shared" si="88"/>
        <v>,</v>
      </c>
      <c r="P77" s="59" t="str">
        <f t="shared" si="4"/>
        <v/>
      </c>
      <c r="Q77" s="60" t="str">
        <f t="shared" si="89"/>
        <v>,</v>
      </c>
      <c r="R77" s="61">
        <f t="shared" si="6"/>
        <v>10</v>
      </c>
      <c r="S77" s="56" t="str">
        <f t="shared" si="90"/>
        <v>)</v>
      </c>
      <c r="T77" s="62" t="str">
        <f t="shared" si="91"/>
        <v>(</v>
      </c>
      <c r="U77" s="63" t="str">
        <f t="shared" si="9"/>
        <v>Si</v>
      </c>
      <c r="V77" s="64" t="str">
        <f t="shared" si="92"/>
        <v>,</v>
      </c>
      <c r="W77" s="65">
        <f t="shared" si="11"/>
        <v>7</v>
      </c>
      <c r="X77" s="64" t="str">
        <f t="shared" si="93"/>
        <v>,</v>
      </c>
      <c r="Y77" s="64">
        <f t="shared" si="94"/>
        <v>250</v>
      </c>
      <c r="Z77" s="56" t="str">
        <f t="shared" si="95"/>
        <v>)</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5.5" outlineLevel="1" thickTop="1" thickBot="1" x14ac:dyDescent="0.4">
      <c r="B78" t="s">
        <v>1014</v>
      </c>
      <c r="C78" s="113" t="s">
        <v>1102</v>
      </c>
      <c r="D78" s="112" t="s">
        <v>1013</v>
      </c>
      <c r="E78" s="52" t="s">
        <v>1012</v>
      </c>
      <c r="F78" s="53" t="s">
        <v>984</v>
      </c>
      <c r="G78" s="53">
        <v>7</v>
      </c>
      <c r="H78" s="52"/>
      <c r="I78" s="52"/>
      <c r="J78" s="54"/>
      <c r="K78" s="54"/>
      <c r="L78" s="55" t="str">
        <f t="shared" si="86"/>
        <v xml:space="preserve">            { line: "que la Virgen indicará., (La,m,20)(Si,7,250)", sC: "tc"},</v>
      </c>
      <c r="M78" s="56" t="str">
        <f t="shared" si="87"/>
        <v>(</v>
      </c>
      <c r="N78" s="57" t="str">
        <f t="shared" si="2"/>
        <v>La</v>
      </c>
      <c r="O78" s="58" t="str">
        <f t="shared" si="88"/>
        <v>,</v>
      </c>
      <c r="P78" s="59" t="str">
        <f t="shared" si="4"/>
        <v>m</v>
      </c>
      <c r="Q78" s="60" t="str">
        <f t="shared" si="89"/>
        <v>,</v>
      </c>
      <c r="R78" s="61">
        <f t="shared" si="6"/>
        <v>20</v>
      </c>
      <c r="S78" s="56" t="str">
        <f t="shared" si="90"/>
        <v>)</v>
      </c>
      <c r="T78" s="62" t="str">
        <f t="shared" si="91"/>
        <v>(</v>
      </c>
      <c r="U78" s="63" t="str">
        <f t="shared" si="9"/>
        <v>Si</v>
      </c>
      <c r="V78" s="64" t="str">
        <f t="shared" si="92"/>
        <v>,</v>
      </c>
      <c r="W78" s="65">
        <f t="shared" si="11"/>
        <v>7</v>
      </c>
      <c r="X78" s="64" t="str">
        <f t="shared" si="93"/>
        <v>,</v>
      </c>
      <c r="Y78" s="64">
        <f t="shared" si="94"/>
        <v>250</v>
      </c>
      <c r="Z78" s="56" t="str">
        <f t="shared" si="95"/>
        <v>)</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7.75" outlineLevel="1" thickTop="1" thickBot="1" x14ac:dyDescent="0.4">
      <c r="A79" s="73"/>
      <c r="B79" s="73"/>
      <c r="C79" s="73"/>
      <c r="D79" s="74"/>
      <c r="E79" s="74"/>
      <c r="F79" s="74"/>
      <c r="G79" s="74"/>
      <c r="H79" s="74"/>
      <c r="I79" s="74"/>
      <c r="J79" s="74"/>
      <c r="K79" s="74"/>
      <c r="L79" s="75" t="s">
        <v>993</v>
      </c>
      <c r="M79" s="56"/>
      <c r="N79" s="57"/>
      <c r="O79" s="58"/>
      <c r="P79" s="59"/>
      <c r="Q79" s="60"/>
      <c r="R79" s="61" t="str">
        <f t="shared" ref="R79:R87" si="108">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C80" s="79" t="s">
        <v>995</v>
      </c>
      <c r="D80" s="80"/>
      <c r="E80" s="80"/>
      <c r="F80" s="80"/>
      <c r="G80" s="80"/>
      <c r="H80" s="80"/>
      <c r="I80" s="80"/>
      <c r="J80" s="80"/>
      <c r="K80" s="80"/>
      <c r="L80" s="118" t="s">
        <v>996</v>
      </c>
      <c r="M80" s="56" t="str">
        <f t="shared" ref="M80:M87" si="109">IF(N80="","","(")</f>
        <v/>
      </c>
      <c r="N80" s="57" t="str">
        <f t="shared" ref="N80:N87" si="110">IF(D80="","",D80)</f>
        <v/>
      </c>
      <c r="O80" s="58" t="str">
        <f t="shared" ref="O80:O87" si="111">IF(N80="","",",")</f>
        <v/>
      </c>
      <c r="P80" s="59" t="str">
        <f t="shared" ref="P80:P87" si="112">IF(E80="","",E80)</f>
        <v/>
      </c>
      <c r="Q80" s="60" t="str">
        <f t="shared" ref="Q80:Q87" si="113">IF(N80="","",",")</f>
        <v/>
      </c>
      <c r="R80" s="61" t="str">
        <f t="shared" si="108"/>
        <v/>
      </c>
      <c r="S80" s="56" t="str">
        <f t="shared" ref="S80:S87" si="114">IF(N80="","",")")</f>
        <v/>
      </c>
      <c r="T80" s="62" t="str">
        <f t="shared" ref="T80:T87" si="115">IF(U80="","","(")</f>
        <v/>
      </c>
      <c r="U80" s="63" t="str">
        <f t="shared" ref="U80:U87" si="116">IF(F80="","",F80)</f>
        <v/>
      </c>
      <c r="V80" s="64" t="str">
        <f t="shared" ref="V80:V87" si="117">IF(U80="","",",")</f>
        <v/>
      </c>
      <c r="W80" s="65" t="str">
        <f t="shared" ref="W80:W87" si="118">IF(G80="","",G80)</f>
        <v/>
      </c>
      <c r="X80" s="64" t="str">
        <f t="shared" ref="X80:X87" si="119">IF(U80="","",",")</f>
        <v/>
      </c>
      <c r="Y80" s="64" t="str">
        <f t="shared" ref="Y80:Y87" si="120">IF(U80="","",250)</f>
        <v/>
      </c>
      <c r="Z80" s="56" t="str">
        <f t="shared" ref="Z80:Z87" si="121">IF(U80="","",")")</f>
        <v/>
      </c>
      <c r="AA80" s="66" t="str">
        <f t="shared" ref="AA80:AA87" si="122">IF(AB80="","","(")</f>
        <v/>
      </c>
      <c r="AB80" s="57" t="str">
        <f t="shared" ref="AB80:AB87" si="123">IF(H80="","",H80)</f>
        <v/>
      </c>
      <c r="AC80" s="67" t="str">
        <f t="shared" ref="AC80:AC87" si="124">IF(AB80="","",",")</f>
        <v/>
      </c>
      <c r="AD80" s="59" t="str">
        <f t="shared" ref="AD80:AD87" si="125">IF(I80="","",I80)</f>
        <v/>
      </c>
      <c r="AE80" s="68" t="str">
        <f t="shared" ref="AE80:AE87" si="126">IF(AB80="","",",")</f>
        <v/>
      </c>
      <c r="AF80" s="61" t="str">
        <f t="shared" ref="AF80:AF87" si="127">IF(AB80="","",350)</f>
        <v/>
      </c>
      <c r="AG80" s="61" t="str">
        <f t="shared" ref="AG80:AG87" si="128">IF(AB80="","",")")</f>
        <v/>
      </c>
      <c r="AH80" s="69" t="str">
        <f t="shared" ref="AH80:AH87" si="129">IF(AI80="","","(")</f>
        <v/>
      </c>
      <c r="AI80" s="70" t="str">
        <f t="shared" ref="AI80:AI87" si="130">IF(J80="","",J80)</f>
        <v/>
      </c>
      <c r="AJ80" s="64" t="str">
        <f t="shared" ref="AJ80:AJ87" si="131">IF(AI80="","",",")</f>
        <v/>
      </c>
      <c r="AK80" s="64" t="str">
        <f t="shared" ref="AK80:AK87" si="132">IF(K80="","",K80)</f>
        <v/>
      </c>
      <c r="AL80" s="64" t="str">
        <f t="shared" ref="AL80:AL87" si="133">IF(AI80="","",",")</f>
        <v/>
      </c>
      <c r="AM80" s="64" t="str">
        <f t="shared" ref="AM80:AM87" si="134">IF(AI80="","",450)</f>
        <v/>
      </c>
      <c r="AN80" s="64" t="str">
        <f t="shared" ref="AN80:AN87" si="135">IF(AI80="","",")")</f>
        <v/>
      </c>
    </row>
    <row r="81" spans="1:40" ht="25.5" outlineLevel="1" thickTop="1" thickBot="1" x14ac:dyDescent="0.4">
      <c r="B81" t="s">
        <v>997</v>
      </c>
      <c r="C81" s="82" t="s">
        <v>1081</v>
      </c>
      <c r="D81" s="83" t="s">
        <v>1015</v>
      </c>
      <c r="E81" s="83"/>
      <c r="F81" s="83" t="s">
        <v>1011</v>
      </c>
      <c r="G81" s="83" t="s">
        <v>1012</v>
      </c>
      <c r="H81" s="83"/>
      <c r="I81" s="83"/>
      <c r="J81" s="83"/>
      <c r="K81" s="83"/>
      <c r="L81" s="119" t="str">
        <f>IF(C81="","",_xlfn.CONCAT("       triggerLine: ","""",C81,", ",M81:AN81,""", sC: ","""",B81,""", lines: ["))</f>
        <v xml:space="preserve">       triggerLine: "UN RETOÑO BROTA DEL TRONCO DE JESÉ..., (Sol,,14)(Mi,m,250)", sC: "ta as", lines: [</v>
      </c>
      <c r="M81" s="56" t="str">
        <f t="shared" si="109"/>
        <v>(</v>
      </c>
      <c r="N81" s="57" t="str">
        <f t="shared" si="110"/>
        <v>Sol</v>
      </c>
      <c r="O81" s="58" t="str">
        <f t="shared" si="111"/>
        <v>,</v>
      </c>
      <c r="P81" s="59" t="str">
        <f t="shared" si="112"/>
        <v/>
      </c>
      <c r="Q81" s="60" t="str">
        <f t="shared" si="113"/>
        <v>,</v>
      </c>
      <c r="R81" s="61">
        <f t="shared" si="108"/>
        <v>14</v>
      </c>
      <c r="S81" s="56" t="str">
        <f t="shared" si="114"/>
        <v>)</v>
      </c>
      <c r="T81" s="62" t="str">
        <f t="shared" si="115"/>
        <v>(</v>
      </c>
      <c r="U81" s="63" t="str">
        <f t="shared" si="116"/>
        <v>Mi</v>
      </c>
      <c r="V81" s="64" t="str">
        <f t="shared" si="117"/>
        <v>,</v>
      </c>
      <c r="W81" s="65" t="str">
        <f t="shared" si="118"/>
        <v>m</v>
      </c>
      <c r="X81" s="64" t="str">
        <f t="shared" si="119"/>
        <v>,</v>
      </c>
      <c r="Y81" s="64">
        <f t="shared" si="120"/>
        <v>250</v>
      </c>
      <c r="Z81" s="56" t="str">
        <f t="shared" si="121"/>
        <v>)</v>
      </c>
      <c r="AA81" s="66" t="str">
        <f t="shared" si="122"/>
        <v/>
      </c>
      <c r="AB81" s="57" t="str">
        <f t="shared" si="123"/>
        <v/>
      </c>
      <c r="AC81" s="67" t="str">
        <f t="shared" si="124"/>
        <v/>
      </c>
      <c r="AD81" s="59" t="str">
        <f t="shared" si="125"/>
        <v/>
      </c>
      <c r="AE81" s="68" t="str">
        <f t="shared" si="126"/>
        <v/>
      </c>
      <c r="AF81" s="61" t="str">
        <f t="shared" si="127"/>
        <v/>
      </c>
      <c r="AG81" s="61" t="str">
        <f t="shared" si="128"/>
        <v/>
      </c>
      <c r="AH81" s="69" t="str">
        <f t="shared" si="129"/>
        <v/>
      </c>
      <c r="AI81" s="70" t="str">
        <f t="shared" si="130"/>
        <v/>
      </c>
      <c r="AJ81" s="64" t="str">
        <f t="shared" si="131"/>
        <v/>
      </c>
      <c r="AK81" s="64" t="str">
        <f t="shared" si="132"/>
        <v/>
      </c>
      <c r="AL81" s="64" t="str">
        <f t="shared" si="133"/>
        <v/>
      </c>
      <c r="AM81" s="64" t="str">
        <f t="shared" si="134"/>
        <v/>
      </c>
      <c r="AN81" s="64" t="str">
        <f t="shared" si="135"/>
        <v/>
      </c>
    </row>
    <row r="82" spans="1:40" ht="25.5" outlineLevel="1" thickTop="1" thickBot="1" x14ac:dyDescent="0.4">
      <c r="B82" t="s">
        <v>999</v>
      </c>
      <c r="C82" s="85" t="s">
        <v>1067</v>
      </c>
      <c r="D82" s="86" t="s">
        <v>1015</v>
      </c>
      <c r="E82" s="86"/>
      <c r="F82" s="86"/>
      <c r="G82" s="86"/>
      <c r="H82" s="87"/>
      <c r="I82" s="87"/>
      <c r="J82" s="87"/>
      <c r="K82" s="87"/>
      <c r="L82" s="120" t="str">
        <f>IF(C82="","",_xlfn.CONCAT("            { line: ","""",C82,", ",M82:AN82,""", sC: ","""",B82,"""},"))</f>
        <v xml:space="preserve">            { line: "UN GERMEN DE SUS RAÍCES., (Sol,,14)", sC: "as"},</v>
      </c>
      <c r="M82" s="56" t="str">
        <f t="shared" si="109"/>
        <v>(</v>
      </c>
      <c r="N82" s="57" t="str">
        <f t="shared" si="110"/>
        <v>Sol</v>
      </c>
      <c r="O82" s="58" t="str">
        <f t="shared" si="111"/>
        <v>,</v>
      </c>
      <c r="P82" s="59" t="str">
        <f t="shared" si="112"/>
        <v/>
      </c>
      <c r="Q82" s="60" t="str">
        <f t="shared" si="113"/>
        <v>,</v>
      </c>
      <c r="R82" s="61">
        <f t="shared" si="108"/>
        <v>14</v>
      </c>
      <c r="S82" s="56" t="str">
        <f t="shared" si="114"/>
        <v>)</v>
      </c>
      <c r="T82" s="62" t="str">
        <f t="shared" si="115"/>
        <v/>
      </c>
      <c r="U82" s="63" t="str">
        <f t="shared" si="116"/>
        <v/>
      </c>
      <c r="V82" s="64" t="str">
        <f t="shared" si="117"/>
        <v/>
      </c>
      <c r="W82" s="65" t="str">
        <f t="shared" si="118"/>
        <v/>
      </c>
      <c r="X82" s="64" t="str">
        <f t="shared" si="119"/>
        <v/>
      </c>
      <c r="Y82" s="64" t="str">
        <f t="shared" si="120"/>
        <v/>
      </c>
      <c r="Z82" s="56" t="str">
        <f t="shared" si="121"/>
        <v/>
      </c>
      <c r="AA82" s="66" t="str">
        <f t="shared" si="122"/>
        <v/>
      </c>
      <c r="AB82" s="57" t="str">
        <f t="shared" si="123"/>
        <v/>
      </c>
      <c r="AC82" s="67" t="str">
        <f t="shared" si="124"/>
        <v/>
      </c>
      <c r="AD82" s="59" t="str">
        <f t="shared" si="125"/>
        <v/>
      </c>
      <c r="AE82" s="68" t="str">
        <f t="shared" si="126"/>
        <v/>
      </c>
      <c r="AF82" s="61" t="str">
        <f t="shared" si="127"/>
        <v/>
      </c>
      <c r="AG82" s="61" t="str">
        <f t="shared" si="128"/>
        <v/>
      </c>
      <c r="AH82" s="69" t="str">
        <f t="shared" si="129"/>
        <v/>
      </c>
      <c r="AI82" s="70" t="str">
        <f t="shared" si="130"/>
        <v/>
      </c>
      <c r="AJ82" s="64" t="str">
        <f t="shared" si="131"/>
        <v/>
      </c>
      <c r="AK82" s="64" t="str">
        <f t="shared" si="132"/>
        <v/>
      </c>
      <c r="AL82" s="64" t="str">
        <f t="shared" si="133"/>
        <v/>
      </c>
      <c r="AM82" s="64" t="str">
        <f t="shared" si="134"/>
        <v/>
      </c>
      <c r="AN82" s="64" t="str">
        <f t="shared" si="135"/>
        <v/>
      </c>
    </row>
    <row r="83" spans="1:40" ht="25.5" outlineLevel="1" thickTop="1" thickBot="1" x14ac:dyDescent="0.4">
      <c r="B83" t="s">
        <v>999</v>
      </c>
      <c r="C83" s="85" t="s">
        <v>1068</v>
      </c>
      <c r="D83" s="89" t="s">
        <v>1030</v>
      </c>
      <c r="E83" s="89"/>
      <c r="F83" s="89" t="s">
        <v>1015</v>
      </c>
      <c r="G83" s="89"/>
      <c r="H83" s="90"/>
      <c r="I83" s="90"/>
      <c r="J83" s="90"/>
      <c r="K83" s="90"/>
      <c r="L83" s="120" t="str">
        <f>IF(C83="","",_xlfn.CONCAT("            { line: ","""",C83,", ",M83:AN83,""", sC: ","""",B83,"""},"))</f>
        <v xml:space="preserve">            { line: "SOBRE ÉL SE POSA EL ESPÍRITU DEL SEÑOR:, (Do,,10)(Sol,,250)", sC: "as"},</v>
      </c>
      <c r="M83" s="56" t="str">
        <f t="shared" si="109"/>
        <v>(</v>
      </c>
      <c r="N83" s="57" t="str">
        <f t="shared" si="110"/>
        <v>Do</v>
      </c>
      <c r="O83" s="58" t="str">
        <f t="shared" si="111"/>
        <v>,</v>
      </c>
      <c r="P83" s="59" t="str">
        <f t="shared" si="112"/>
        <v/>
      </c>
      <c r="Q83" s="60" t="str">
        <f t="shared" si="113"/>
        <v>,</v>
      </c>
      <c r="R83" s="61">
        <f t="shared" si="108"/>
        <v>10</v>
      </c>
      <c r="S83" s="56" t="str">
        <f t="shared" si="114"/>
        <v>)</v>
      </c>
      <c r="T83" s="62" t="str">
        <f t="shared" si="115"/>
        <v>(</v>
      </c>
      <c r="U83" s="63" t="str">
        <f t="shared" si="116"/>
        <v>Sol</v>
      </c>
      <c r="V83" s="64" t="str">
        <f t="shared" si="117"/>
        <v>,</v>
      </c>
      <c r="W83" s="65" t="str">
        <f t="shared" si="118"/>
        <v/>
      </c>
      <c r="X83" s="64" t="str">
        <f t="shared" si="119"/>
        <v>,</v>
      </c>
      <c r="Y83" s="64">
        <f t="shared" si="120"/>
        <v>250</v>
      </c>
      <c r="Z83" s="56" t="str">
        <f t="shared" si="121"/>
        <v>)</v>
      </c>
      <c r="AA83" s="66" t="str">
        <f t="shared" si="122"/>
        <v/>
      </c>
      <c r="AB83" s="57" t="str">
        <f t="shared" si="123"/>
        <v/>
      </c>
      <c r="AC83" s="67" t="str">
        <f t="shared" si="124"/>
        <v/>
      </c>
      <c r="AD83" s="59" t="str">
        <f t="shared" si="125"/>
        <v/>
      </c>
      <c r="AE83" s="68" t="str">
        <f t="shared" si="126"/>
        <v/>
      </c>
      <c r="AF83" s="61" t="str">
        <f t="shared" si="127"/>
        <v/>
      </c>
      <c r="AG83" s="61" t="str">
        <f t="shared" si="128"/>
        <v/>
      </c>
      <c r="AH83" s="69" t="str">
        <f t="shared" si="129"/>
        <v/>
      </c>
      <c r="AI83" s="70" t="str">
        <f t="shared" si="130"/>
        <v/>
      </c>
      <c r="AJ83" s="64" t="str">
        <f t="shared" si="131"/>
        <v/>
      </c>
      <c r="AK83" s="64" t="str">
        <f t="shared" si="132"/>
        <v/>
      </c>
      <c r="AL83" s="64" t="str">
        <f t="shared" si="133"/>
        <v/>
      </c>
      <c r="AM83" s="64" t="str">
        <f t="shared" si="134"/>
        <v/>
      </c>
      <c r="AN83" s="64" t="str">
        <f t="shared" si="135"/>
        <v/>
      </c>
    </row>
    <row r="84" spans="1:40" ht="25.5" outlineLevel="1" thickTop="1" thickBot="1" x14ac:dyDescent="0.4">
      <c r="B84" t="s">
        <v>999</v>
      </c>
      <c r="C84" s="85" t="s">
        <v>1069</v>
      </c>
      <c r="D84" s="86" t="s">
        <v>1029</v>
      </c>
      <c r="E84" s="86"/>
      <c r="F84" s="86" t="s">
        <v>1015</v>
      </c>
      <c r="G84" s="86"/>
      <c r="H84" s="87"/>
      <c r="I84" s="87"/>
      <c r="J84" s="87"/>
      <c r="K84" s="87"/>
      <c r="L84" s="120" t="str">
        <f>IF(C84="","",_xlfn.CONCAT("            { line: ","""",C84,", ",M84:AN84,""", sC: ","""",B84,"""},"))</f>
        <v xml:space="preserve">            { line: "ESPÍRITU DE SABIDURÍA E INTELIGENCIA,, (Re,,22)(Sol,,250)", sC: "as"},</v>
      </c>
      <c r="M84" s="56" t="str">
        <f t="shared" si="109"/>
        <v>(</v>
      </c>
      <c r="N84" s="57" t="str">
        <f t="shared" si="110"/>
        <v>Re</v>
      </c>
      <c r="O84" s="58" t="str">
        <f t="shared" si="111"/>
        <v>,</v>
      </c>
      <c r="P84" s="59" t="str">
        <f t="shared" si="112"/>
        <v/>
      </c>
      <c r="Q84" s="60" t="str">
        <f t="shared" si="113"/>
        <v>,</v>
      </c>
      <c r="R84" s="61">
        <f t="shared" si="108"/>
        <v>22</v>
      </c>
      <c r="S84" s="56" t="str">
        <f t="shared" si="114"/>
        <v>)</v>
      </c>
      <c r="T84" s="62" t="str">
        <f t="shared" si="115"/>
        <v>(</v>
      </c>
      <c r="U84" s="63" t="str">
        <f t="shared" si="116"/>
        <v>Sol</v>
      </c>
      <c r="V84" s="64" t="str">
        <f t="shared" si="117"/>
        <v>,</v>
      </c>
      <c r="W84" s="65" t="str">
        <f t="shared" si="118"/>
        <v/>
      </c>
      <c r="X84" s="64" t="str">
        <f t="shared" si="119"/>
        <v>,</v>
      </c>
      <c r="Y84" s="64">
        <f t="shared" si="120"/>
        <v>250</v>
      </c>
      <c r="Z84" s="56" t="str">
        <f t="shared" si="121"/>
        <v>)</v>
      </c>
      <c r="AA84" s="66" t="str">
        <f t="shared" si="122"/>
        <v/>
      </c>
      <c r="AB84" s="57" t="str">
        <f t="shared" si="123"/>
        <v/>
      </c>
      <c r="AC84" s="67" t="str">
        <f t="shared" si="124"/>
        <v/>
      </c>
      <c r="AD84" s="59" t="str">
        <f t="shared" si="125"/>
        <v/>
      </c>
      <c r="AE84" s="68" t="str">
        <f t="shared" si="126"/>
        <v/>
      </c>
      <c r="AF84" s="61" t="str">
        <f t="shared" si="127"/>
        <v/>
      </c>
      <c r="AG84" s="61" t="str">
        <f t="shared" si="128"/>
        <v/>
      </c>
      <c r="AH84" s="69" t="str">
        <f t="shared" si="129"/>
        <v/>
      </c>
      <c r="AI84" s="70" t="str">
        <f t="shared" si="130"/>
        <v/>
      </c>
      <c r="AJ84" s="64" t="str">
        <f t="shared" si="131"/>
        <v/>
      </c>
      <c r="AK84" s="64" t="str">
        <f t="shared" si="132"/>
        <v/>
      </c>
      <c r="AL84" s="64" t="str">
        <f t="shared" si="133"/>
        <v/>
      </c>
      <c r="AM84" s="64" t="str">
        <f t="shared" si="134"/>
        <v/>
      </c>
      <c r="AN84" s="64" t="str">
        <f t="shared" si="135"/>
        <v/>
      </c>
    </row>
    <row r="85" spans="1:40" ht="25.5" outlineLevel="1" thickTop="1" thickBot="1" x14ac:dyDescent="0.4">
      <c r="B85" t="s">
        <v>999</v>
      </c>
      <c r="C85" s="85" t="s">
        <v>1070</v>
      </c>
      <c r="D85" s="89" t="s">
        <v>1029</v>
      </c>
      <c r="E85" s="89"/>
      <c r="F85" s="89" t="s">
        <v>1015</v>
      </c>
      <c r="G85" s="89"/>
      <c r="H85" s="90"/>
      <c r="I85" s="90"/>
      <c r="J85" s="90"/>
      <c r="K85" s="90"/>
      <c r="L85" s="120" t="str">
        <f>IF(C85="","",_xlfn.CONCAT("            { line: ","""",C85,", ",M85:AN85,""", sC: ","""",B85,"""},"))</f>
        <v xml:space="preserve">            { line: "ESPÍRITU DE CONSEJO Y FORTALEZA,, (Re,,22)(Sol,,250)", sC: "as"},</v>
      </c>
      <c r="M85" s="56" t="str">
        <f t="shared" si="109"/>
        <v>(</v>
      </c>
      <c r="N85" s="57" t="str">
        <f t="shared" si="110"/>
        <v>Re</v>
      </c>
      <c r="O85" s="58" t="str">
        <f t="shared" si="111"/>
        <v>,</v>
      </c>
      <c r="P85" s="59" t="str">
        <f t="shared" si="112"/>
        <v/>
      </c>
      <c r="Q85" s="60" t="str">
        <f t="shared" si="113"/>
        <v>,</v>
      </c>
      <c r="R85" s="61">
        <f t="shared" si="108"/>
        <v>22</v>
      </c>
      <c r="S85" s="56" t="str">
        <f t="shared" si="114"/>
        <v>)</v>
      </c>
      <c r="T85" s="62" t="str">
        <f t="shared" si="115"/>
        <v>(</v>
      </c>
      <c r="U85" s="63" t="str">
        <f t="shared" si="116"/>
        <v>Sol</v>
      </c>
      <c r="V85" s="64" t="str">
        <f t="shared" si="117"/>
        <v>,</v>
      </c>
      <c r="W85" s="65" t="str">
        <f t="shared" si="118"/>
        <v/>
      </c>
      <c r="X85" s="64" t="str">
        <f t="shared" si="119"/>
        <v>,</v>
      </c>
      <c r="Y85" s="64">
        <f t="shared" si="120"/>
        <v>250</v>
      </c>
      <c r="Z85" s="56" t="str">
        <f t="shared" si="121"/>
        <v>)</v>
      </c>
      <c r="AA85" s="66" t="str">
        <f t="shared" si="122"/>
        <v/>
      </c>
      <c r="AB85" s="57" t="str">
        <f t="shared" si="123"/>
        <v/>
      </c>
      <c r="AC85" s="67" t="str">
        <f t="shared" si="124"/>
        <v/>
      </c>
      <c r="AD85" s="59" t="str">
        <f t="shared" si="125"/>
        <v/>
      </c>
      <c r="AE85" s="68" t="str">
        <f t="shared" si="126"/>
        <v/>
      </c>
      <c r="AF85" s="61" t="str">
        <f t="shared" si="127"/>
        <v/>
      </c>
      <c r="AG85" s="61" t="str">
        <f t="shared" si="128"/>
        <v/>
      </c>
      <c r="AH85" s="69" t="str">
        <f t="shared" si="129"/>
        <v/>
      </c>
      <c r="AI85" s="70" t="str">
        <f t="shared" si="130"/>
        <v/>
      </c>
      <c r="AJ85" s="64" t="str">
        <f t="shared" si="131"/>
        <v/>
      </c>
      <c r="AK85" s="64" t="str">
        <f t="shared" si="132"/>
        <v/>
      </c>
      <c r="AL85" s="64" t="str">
        <f t="shared" si="133"/>
        <v/>
      </c>
      <c r="AM85" s="64" t="str">
        <f t="shared" si="134"/>
        <v/>
      </c>
      <c r="AN85" s="64" t="str">
        <f t="shared" si="135"/>
        <v/>
      </c>
    </row>
    <row r="86" spans="1:40" ht="25.5" outlineLevel="1" thickTop="1" thickBot="1" x14ac:dyDescent="0.4">
      <c r="B86" t="s">
        <v>999</v>
      </c>
      <c r="C86" s="85" t="s">
        <v>1071</v>
      </c>
      <c r="D86" s="91" t="s">
        <v>1030</v>
      </c>
      <c r="E86" s="91"/>
      <c r="F86" s="91" t="s">
        <v>1015</v>
      </c>
      <c r="G86" s="91"/>
      <c r="H86" s="92"/>
      <c r="I86" s="92"/>
      <c r="J86" s="92"/>
      <c r="K86" s="92"/>
      <c r="L86" s="120" t="str">
        <f>IF(C86="","",_xlfn.CONCAT("            { line: ","""",C86,", ",M86:AN86,""", sC: ","""",B86,"""},"))</f>
        <v xml:space="preserve">            { line: "ESPÍRITU DE CIENCIA Y DE PIEDAD,, (Do,,10)(Sol,,250)", sC: "as"},</v>
      </c>
      <c r="M86" s="56" t="str">
        <f t="shared" si="109"/>
        <v>(</v>
      </c>
      <c r="N86" s="57" t="str">
        <f t="shared" si="110"/>
        <v>Do</v>
      </c>
      <c r="O86" s="58" t="str">
        <f t="shared" si="111"/>
        <v>,</v>
      </c>
      <c r="P86" s="59" t="str">
        <f t="shared" si="112"/>
        <v/>
      </c>
      <c r="Q86" s="60" t="str">
        <f t="shared" si="113"/>
        <v>,</v>
      </c>
      <c r="R86" s="61">
        <f t="shared" si="108"/>
        <v>10</v>
      </c>
      <c r="S86" s="56" t="str">
        <f t="shared" si="114"/>
        <v>)</v>
      </c>
      <c r="T86" s="62" t="str">
        <f t="shared" si="115"/>
        <v>(</v>
      </c>
      <c r="U86" s="63" t="str">
        <f t="shared" si="116"/>
        <v>Sol</v>
      </c>
      <c r="V86" s="64" t="str">
        <f t="shared" si="117"/>
        <v>,</v>
      </c>
      <c r="W86" s="65" t="str">
        <f t="shared" si="118"/>
        <v/>
      </c>
      <c r="X86" s="64" t="str">
        <f t="shared" si="119"/>
        <v>,</v>
      </c>
      <c r="Y86" s="64">
        <f t="shared" si="120"/>
        <v>250</v>
      </c>
      <c r="Z86" s="56" t="str">
        <f t="shared" si="121"/>
        <v>)</v>
      </c>
      <c r="AA86" s="66" t="str">
        <f t="shared" si="122"/>
        <v/>
      </c>
      <c r="AB86" s="57" t="str">
        <f t="shared" si="123"/>
        <v/>
      </c>
      <c r="AC86" s="67" t="str">
        <f t="shared" si="124"/>
        <v/>
      </c>
      <c r="AD86" s="59" t="str">
        <f t="shared" si="125"/>
        <v/>
      </c>
      <c r="AE86" s="68" t="str">
        <f t="shared" si="126"/>
        <v/>
      </c>
      <c r="AF86" s="61" t="str">
        <f t="shared" si="127"/>
        <v/>
      </c>
      <c r="AG86" s="61" t="str">
        <f t="shared" si="128"/>
        <v/>
      </c>
      <c r="AH86" s="69" t="str">
        <f t="shared" si="129"/>
        <v/>
      </c>
      <c r="AI86" s="70" t="str">
        <f t="shared" si="130"/>
        <v/>
      </c>
      <c r="AJ86" s="64" t="str">
        <f t="shared" si="131"/>
        <v/>
      </c>
      <c r="AK86" s="64" t="str">
        <f t="shared" si="132"/>
        <v/>
      </c>
      <c r="AL86" s="64" t="str">
        <f t="shared" si="133"/>
        <v/>
      </c>
      <c r="AM86" s="64" t="str">
        <f t="shared" si="134"/>
        <v/>
      </c>
      <c r="AN86" s="64" t="str">
        <f t="shared" si="135"/>
        <v/>
      </c>
    </row>
    <row r="87" spans="1:40" ht="25.5" outlineLevel="1" thickTop="1" thickBot="1" x14ac:dyDescent="0.4">
      <c r="B87" t="s">
        <v>999</v>
      </c>
      <c r="C87" s="93" t="s">
        <v>1072</v>
      </c>
      <c r="D87" s="83" t="s">
        <v>1029</v>
      </c>
      <c r="E87" s="83"/>
      <c r="F87" s="83" t="s">
        <v>1015</v>
      </c>
      <c r="G87" s="83"/>
      <c r="H87" s="83"/>
      <c r="I87" s="83"/>
      <c r="J87" s="83"/>
      <c r="K87" s="83"/>
      <c r="L87" s="121" t="str">
        <f>IF(C87="","",_xlfn.CONCAT("            { line: ","""",C87,", ",M87:AN87,""", sC: ","""",B87,"""},  ]},"))</f>
        <v xml:space="preserve">            { line: "ESPÍRITU DE TEMOR DEL SEÑOR., (Re,,22)(Sol,,250)", sC: "as"},  ]},</v>
      </c>
      <c r="M87" s="56" t="str">
        <f t="shared" si="109"/>
        <v>(</v>
      </c>
      <c r="N87" s="57" t="str">
        <f t="shared" si="110"/>
        <v>Re</v>
      </c>
      <c r="O87" s="58" t="str">
        <f t="shared" si="111"/>
        <v>,</v>
      </c>
      <c r="P87" s="59" t="str">
        <f t="shared" si="112"/>
        <v/>
      </c>
      <c r="Q87" s="60" t="str">
        <f t="shared" si="113"/>
        <v>,</v>
      </c>
      <c r="R87" s="61">
        <f t="shared" si="108"/>
        <v>22</v>
      </c>
      <c r="S87" s="56" t="str">
        <f t="shared" si="114"/>
        <v>)</v>
      </c>
      <c r="T87" s="62" t="str">
        <f t="shared" si="115"/>
        <v>(</v>
      </c>
      <c r="U87" s="63" t="str">
        <f t="shared" si="116"/>
        <v>Sol</v>
      </c>
      <c r="V87" s="64" t="str">
        <f t="shared" si="117"/>
        <v>,</v>
      </c>
      <c r="W87" s="65" t="str">
        <f t="shared" si="118"/>
        <v/>
      </c>
      <c r="X87" s="64" t="str">
        <f t="shared" si="119"/>
        <v>,</v>
      </c>
      <c r="Y87" s="64">
        <f t="shared" si="120"/>
        <v>250</v>
      </c>
      <c r="Z87" s="56" t="str">
        <f t="shared" si="121"/>
        <v>)</v>
      </c>
      <c r="AA87" s="66" t="str">
        <f t="shared" si="122"/>
        <v/>
      </c>
      <c r="AB87" s="57" t="str">
        <f t="shared" si="123"/>
        <v/>
      </c>
      <c r="AC87" s="67" t="str">
        <f t="shared" si="124"/>
        <v/>
      </c>
      <c r="AD87" s="59" t="str">
        <f t="shared" si="125"/>
        <v/>
      </c>
      <c r="AE87" s="68" t="str">
        <f t="shared" si="126"/>
        <v/>
      </c>
      <c r="AF87" s="61" t="str">
        <f t="shared" si="127"/>
        <v/>
      </c>
      <c r="AG87" s="61" t="str">
        <f t="shared" si="128"/>
        <v/>
      </c>
      <c r="AH87" s="69" t="str">
        <f t="shared" si="129"/>
        <v/>
      </c>
      <c r="AI87" s="70" t="str">
        <f t="shared" si="130"/>
        <v/>
      </c>
      <c r="AJ87" s="64" t="str">
        <f t="shared" si="131"/>
        <v/>
      </c>
      <c r="AK87" s="64" t="str">
        <f t="shared" si="132"/>
        <v/>
      </c>
      <c r="AL87" s="64" t="str">
        <f t="shared" si="133"/>
        <v/>
      </c>
      <c r="AM87" s="64" t="str">
        <f t="shared" si="134"/>
        <v/>
      </c>
      <c r="AN87" s="64" t="str">
        <f t="shared" si="135"/>
        <v/>
      </c>
    </row>
    <row r="88" spans="1:40" ht="24" customHeight="1" x14ac:dyDescent="0.4">
      <c r="A88" s="95"/>
      <c r="B88" s="95"/>
      <c r="C88" s="95"/>
      <c r="D88" s="95"/>
      <c r="E88" s="95"/>
      <c r="F88" s="95"/>
      <c r="G88" s="95"/>
      <c r="H88" s="95"/>
      <c r="I88" s="95"/>
      <c r="J88" s="95"/>
      <c r="K88" s="95"/>
      <c r="L88" s="99" t="str">
        <f ca="1">_xlfn.CONCAT("]}, // ULTIMA LINEA DEL CANTO: ",L1)</f>
        <v>]}, // ULTIMA LINEA DEL CANTO: UN RETOÑO BROTA DEL TRONCO DE JESÉ</v>
      </c>
      <c r="M88" s="95"/>
    </row>
    <row r="89" spans="1:40" ht="20.25" x14ac:dyDescent="0.25">
      <c r="L89" s="100" t="s">
        <v>1008</v>
      </c>
      <c r="M89" s="101"/>
    </row>
    <row r="90" spans="1:40" ht="15.75" hidden="1" outlineLevel="1" thickBot="1" x14ac:dyDescent="0.3">
      <c r="M90" s="101"/>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ref="R91:R100" si="136">IF(N91="Do",10,IF(N91="Re",22,IF(N91="Mi",20,IF(N91="Fa",20,IF(N91="Sol",14,IF(N91="La",20,IF(N91="Si",20,IF(N91="Do#",14,IF(N91="Fa#",15,IF(N91="Sol#",20,IF(N91="Si♭",17,"")))))))))))</f>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5.5" hidden="1" outlineLevel="1" thickTop="1" thickBot="1" x14ac:dyDescent="0.4">
      <c r="C92" s="79" t="s">
        <v>995</v>
      </c>
      <c r="D92" s="80"/>
      <c r="E92" s="80"/>
      <c r="F92" s="80"/>
      <c r="G92" s="80"/>
      <c r="H92" s="80"/>
      <c r="I92" s="80"/>
      <c r="J92" s="80"/>
      <c r="K92" s="80"/>
      <c r="L92" s="118" t="s">
        <v>996</v>
      </c>
      <c r="M92" s="56" t="str">
        <f t="shared" ref="M92:M99" si="137">IF(N92="","","(")</f>
        <v/>
      </c>
      <c r="N92" s="57" t="str">
        <f t="shared" ref="N92:N99" si="138">IF(D92="","",D92)</f>
        <v/>
      </c>
      <c r="O92" s="58" t="str">
        <f t="shared" ref="O92:O99" si="139">IF(N92="","",",")</f>
        <v/>
      </c>
      <c r="P92" s="59" t="str">
        <f t="shared" ref="P92:P99" si="140">IF(E92="","",E92)</f>
        <v/>
      </c>
      <c r="Q92" s="60" t="str">
        <f t="shared" ref="Q92:Q99" si="141">IF(N92="","",",")</f>
        <v/>
      </c>
      <c r="R92" s="61" t="str">
        <f t="shared" si="136"/>
        <v/>
      </c>
      <c r="S92" s="56" t="str">
        <f t="shared" ref="S92:S99" si="142">IF(N92="","",")")</f>
        <v/>
      </c>
      <c r="T92" s="62" t="str">
        <f t="shared" ref="T92:T99" si="143">IF(U92="","","(")</f>
        <v/>
      </c>
      <c r="U92" s="63" t="str">
        <f t="shared" ref="U92:U99" si="144">IF(F92="","",F92)</f>
        <v/>
      </c>
      <c r="V92" s="64" t="str">
        <f t="shared" ref="V92:V99" si="145">IF(U92="","",",")</f>
        <v/>
      </c>
      <c r="W92" s="65" t="str">
        <f t="shared" ref="W92:W99" si="146">IF(G92="","",G92)</f>
        <v/>
      </c>
      <c r="X92" s="64" t="str">
        <f t="shared" ref="X92:X99" si="147">IF(U92="","",",")</f>
        <v/>
      </c>
      <c r="Y92" s="64" t="str">
        <f t="shared" ref="Y92:Y99" si="148">IF(U92="","",250)</f>
        <v/>
      </c>
      <c r="Z92" s="56" t="str">
        <f t="shared" ref="Z92:Z99" si="149">IF(U92="","",")")</f>
        <v/>
      </c>
      <c r="AA92" s="66" t="str">
        <f t="shared" ref="AA92:AA99" si="150">IF(AB92="","","(")</f>
        <v/>
      </c>
      <c r="AB92" s="57" t="str">
        <f t="shared" ref="AB92:AB99" si="151">IF(H92="","",H92)</f>
        <v/>
      </c>
      <c r="AC92" s="67" t="str">
        <f t="shared" ref="AC92:AC99" si="152">IF(AB92="","",",")</f>
        <v/>
      </c>
      <c r="AD92" s="59" t="str">
        <f t="shared" ref="AD92:AD99" si="153">IF(I92="","",I92)</f>
        <v/>
      </c>
      <c r="AE92" s="68" t="str">
        <f t="shared" ref="AE92:AE99" si="154">IF(AB92="","",",")</f>
        <v/>
      </c>
      <c r="AF92" s="61" t="str">
        <f t="shared" ref="AF92:AF99" si="155">IF(AB92="","",350)</f>
        <v/>
      </c>
      <c r="AG92" s="61" t="str">
        <f t="shared" ref="AG92:AG99" si="156">IF(AB92="","",")")</f>
        <v/>
      </c>
      <c r="AH92" s="69" t="str">
        <f t="shared" ref="AH92:AH99" si="157">IF(AI92="","","(")</f>
        <v/>
      </c>
      <c r="AI92" s="70" t="str">
        <f t="shared" ref="AI92:AI99" si="158">IF(J92="","",J92)</f>
        <v/>
      </c>
      <c r="AJ92" s="64" t="str">
        <f t="shared" ref="AJ92:AJ99" si="159">IF(AI92="","",",")</f>
        <v/>
      </c>
      <c r="AK92" s="64" t="str">
        <f t="shared" ref="AK92:AK99" si="160">IF(K92="","",K92)</f>
        <v/>
      </c>
      <c r="AL92" s="64" t="str">
        <f t="shared" ref="AL92:AL99" si="161">IF(AI92="","",",")</f>
        <v/>
      </c>
      <c r="AM92" s="64" t="str">
        <f t="shared" ref="AM92:AM99" si="162">IF(AI92="","",450)</f>
        <v/>
      </c>
      <c r="AN92" s="64" t="str">
        <f t="shared" ref="AN92:AN99" si="163">IF(AI92="","",")")</f>
        <v/>
      </c>
    </row>
    <row r="93" spans="1:40" ht="25.5" hidden="1" outlineLevel="1" thickTop="1" thickBot="1" x14ac:dyDescent="0.4">
      <c r="B93" t="s">
        <v>997</v>
      </c>
      <c r="C93" s="82" t="s">
        <v>998</v>
      </c>
      <c r="D93" s="83"/>
      <c r="E93" s="83"/>
      <c r="F93" s="83"/>
      <c r="G93" s="83"/>
      <c r="H93" s="83"/>
      <c r="I93" s="83"/>
      <c r="J93" s="83"/>
      <c r="K93" s="83"/>
      <c r="L93" s="119" t="str">
        <f>IF(C93="","",_xlfn.CONCAT("       triggerLine: ","""",C93,", ",M93:AN93,""", sC: ","""",B93,""", lines: ["))</f>
        <v xml:space="preserve">       triggerLine: "ASAMBLEA UNO, ", sC: "ta as", lines: [</v>
      </c>
      <c r="M93" s="56" t="str">
        <f t="shared" si="137"/>
        <v/>
      </c>
      <c r="N93" s="57" t="str">
        <f t="shared" si="138"/>
        <v/>
      </c>
      <c r="O93" s="58" t="str">
        <f t="shared" si="139"/>
        <v/>
      </c>
      <c r="P93" s="59" t="str">
        <f t="shared" si="140"/>
        <v/>
      </c>
      <c r="Q93" s="60" t="str">
        <f t="shared" si="141"/>
        <v/>
      </c>
      <c r="R93" s="61" t="str">
        <f t="shared" si="136"/>
        <v/>
      </c>
      <c r="S93" s="56" t="str">
        <f t="shared" si="142"/>
        <v/>
      </c>
      <c r="T93" s="62" t="str">
        <f t="shared" si="143"/>
        <v/>
      </c>
      <c r="U93" s="63" t="str">
        <f t="shared" si="144"/>
        <v/>
      </c>
      <c r="V93" s="64" t="str">
        <f t="shared" si="145"/>
        <v/>
      </c>
      <c r="W93" s="65" t="str">
        <f t="shared" si="146"/>
        <v/>
      </c>
      <c r="X93" s="64" t="str">
        <f t="shared" si="147"/>
        <v/>
      </c>
      <c r="Y93" s="64" t="str">
        <f t="shared" si="148"/>
        <v/>
      </c>
      <c r="Z93" s="56" t="str">
        <f t="shared" si="149"/>
        <v/>
      </c>
      <c r="AA93" s="66" t="str">
        <f t="shared" si="150"/>
        <v/>
      </c>
      <c r="AB93" s="57" t="str">
        <f t="shared" si="151"/>
        <v/>
      </c>
      <c r="AC93" s="67" t="str">
        <f t="shared" si="152"/>
        <v/>
      </c>
      <c r="AD93" s="59" t="str">
        <f t="shared" si="153"/>
        <v/>
      </c>
      <c r="AE93" s="68" t="str">
        <f t="shared" si="154"/>
        <v/>
      </c>
      <c r="AF93" s="61" t="str">
        <f t="shared" si="155"/>
        <v/>
      </c>
      <c r="AG93" s="61" t="str">
        <f t="shared" si="156"/>
        <v/>
      </c>
      <c r="AH93" s="69" t="str">
        <f t="shared" si="157"/>
        <v/>
      </c>
      <c r="AI93" s="70" t="str">
        <f t="shared" si="158"/>
        <v/>
      </c>
      <c r="AJ93" s="64" t="str">
        <f t="shared" si="159"/>
        <v/>
      </c>
      <c r="AK93" s="64" t="str">
        <f t="shared" si="160"/>
        <v/>
      </c>
      <c r="AL93" s="64" t="str">
        <f t="shared" si="161"/>
        <v/>
      </c>
      <c r="AM93" s="64" t="str">
        <f t="shared" si="162"/>
        <v/>
      </c>
      <c r="AN93" s="64" t="str">
        <f t="shared" si="163"/>
        <v/>
      </c>
    </row>
    <row r="94" spans="1:40" ht="25.5" hidden="1" outlineLevel="1" thickTop="1" thickBot="1" x14ac:dyDescent="0.4">
      <c r="B94" t="s">
        <v>999</v>
      </c>
      <c r="C94" s="85" t="s">
        <v>1000</v>
      </c>
      <c r="D94" s="86"/>
      <c r="E94" s="86"/>
      <c r="F94" s="86"/>
      <c r="G94" s="86"/>
      <c r="H94" s="87"/>
      <c r="I94" s="87"/>
      <c r="J94" s="87"/>
      <c r="K94" s="87"/>
      <c r="L94" s="120" t="str">
        <f>IF(C94="","",_xlfn.CONCAT("            { line: ","""",C94,", ",M94:AN94,""", sC: ","""",B94,"""},"))</f>
        <v xml:space="preserve">            { line: "ASAMBLEA DOS, ", sC: "as"},</v>
      </c>
      <c r="M94" s="56" t="str">
        <f t="shared" si="137"/>
        <v/>
      </c>
      <c r="N94" s="57" t="str">
        <f t="shared" si="138"/>
        <v/>
      </c>
      <c r="O94" s="58" t="str">
        <f t="shared" si="139"/>
        <v/>
      </c>
      <c r="P94" s="59" t="str">
        <f t="shared" si="140"/>
        <v/>
      </c>
      <c r="Q94" s="60" t="str">
        <f t="shared" si="141"/>
        <v/>
      </c>
      <c r="R94" s="61" t="str">
        <f t="shared" si="136"/>
        <v/>
      </c>
      <c r="S94" s="56" t="str">
        <f t="shared" si="142"/>
        <v/>
      </c>
      <c r="T94" s="62" t="str">
        <f t="shared" si="143"/>
        <v/>
      </c>
      <c r="U94" s="63" t="str">
        <f t="shared" si="144"/>
        <v/>
      </c>
      <c r="V94" s="64" t="str">
        <f t="shared" si="145"/>
        <v/>
      </c>
      <c r="W94" s="65" t="str">
        <f t="shared" si="146"/>
        <v/>
      </c>
      <c r="X94" s="64" t="str">
        <f t="shared" si="147"/>
        <v/>
      </c>
      <c r="Y94" s="64" t="str">
        <f t="shared" si="148"/>
        <v/>
      </c>
      <c r="Z94" s="56" t="str">
        <f t="shared" si="149"/>
        <v/>
      </c>
      <c r="AA94" s="66" t="str">
        <f t="shared" si="150"/>
        <v/>
      </c>
      <c r="AB94" s="57" t="str">
        <f t="shared" si="151"/>
        <v/>
      </c>
      <c r="AC94" s="67" t="str">
        <f t="shared" si="152"/>
        <v/>
      </c>
      <c r="AD94" s="59" t="str">
        <f t="shared" si="153"/>
        <v/>
      </c>
      <c r="AE94" s="68" t="str">
        <f t="shared" si="154"/>
        <v/>
      </c>
      <c r="AF94" s="61" t="str">
        <f t="shared" si="155"/>
        <v/>
      </c>
      <c r="AG94" s="61" t="str">
        <f t="shared" si="156"/>
        <v/>
      </c>
      <c r="AH94" s="69" t="str">
        <f t="shared" si="157"/>
        <v/>
      </c>
      <c r="AI94" s="70" t="str">
        <f t="shared" si="158"/>
        <v/>
      </c>
      <c r="AJ94" s="64" t="str">
        <f t="shared" si="159"/>
        <v/>
      </c>
      <c r="AK94" s="64" t="str">
        <f t="shared" si="160"/>
        <v/>
      </c>
      <c r="AL94" s="64" t="str">
        <f t="shared" si="161"/>
        <v/>
      </c>
      <c r="AM94" s="64" t="str">
        <f t="shared" si="162"/>
        <v/>
      </c>
      <c r="AN94" s="64" t="str">
        <f t="shared" si="163"/>
        <v/>
      </c>
    </row>
    <row r="95" spans="1:40" ht="25.5" hidden="1" outlineLevel="1" thickTop="1" thickBot="1" x14ac:dyDescent="0.4">
      <c r="B95" t="s">
        <v>999</v>
      </c>
      <c r="C95" s="85" t="s">
        <v>1001</v>
      </c>
      <c r="D95" s="89"/>
      <c r="E95" s="89"/>
      <c r="F95" s="89"/>
      <c r="G95" s="89"/>
      <c r="H95" s="90"/>
      <c r="I95" s="90"/>
      <c r="J95" s="90"/>
      <c r="K95" s="90"/>
      <c r="L95" s="120" t="str">
        <f>IF(C95="","",_xlfn.CONCAT("            { line: ","""",C95,", ",M95:AN95,""", sC: ","""",B95,"""},"))</f>
        <v xml:space="preserve">            { line: "ASAMBLEA TRES, ", sC: "as"},</v>
      </c>
      <c r="M95" s="56" t="str">
        <f t="shared" si="137"/>
        <v/>
      </c>
      <c r="N95" s="57" t="str">
        <f t="shared" si="138"/>
        <v/>
      </c>
      <c r="O95" s="58" t="str">
        <f t="shared" si="139"/>
        <v/>
      </c>
      <c r="P95" s="59" t="str">
        <f t="shared" si="140"/>
        <v/>
      </c>
      <c r="Q95" s="60" t="str">
        <f t="shared" si="141"/>
        <v/>
      </c>
      <c r="R95" s="61" t="str">
        <f t="shared" si="136"/>
        <v/>
      </c>
      <c r="S95" s="56" t="str">
        <f t="shared" si="142"/>
        <v/>
      </c>
      <c r="T95" s="62" t="str">
        <f t="shared" si="143"/>
        <v/>
      </c>
      <c r="U95" s="63" t="str">
        <f t="shared" si="144"/>
        <v/>
      </c>
      <c r="V95" s="64" t="str">
        <f t="shared" si="145"/>
        <v/>
      </c>
      <c r="W95" s="65" t="str">
        <f t="shared" si="146"/>
        <v/>
      </c>
      <c r="X95" s="64" t="str">
        <f t="shared" si="147"/>
        <v/>
      </c>
      <c r="Y95" s="64" t="str">
        <f t="shared" si="148"/>
        <v/>
      </c>
      <c r="Z95" s="56" t="str">
        <f t="shared" si="149"/>
        <v/>
      </c>
      <c r="AA95" s="66" t="str">
        <f t="shared" si="150"/>
        <v/>
      </c>
      <c r="AB95" s="57" t="str">
        <f t="shared" si="151"/>
        <v/>
      </c>
      <c r="AC95" s="67" t="str">
        <f t="shared" si="152"/>
        <v/>
      </c>
      <c r="AD95" s="59" t="str">
        <f t="shared" si="153"/>
        <v/>
      </c>
      <c r="AE95" s="68" t="str">
        <f t="shared" si="154"/>
        <v/>
      </c>
      <c r="AF95" s="61" t="str">
        <f t="shared" si="155"/>
        <v/>
      </c>
      <c r="AG95" s="61" t="str">
        <f t="shared" si="156"/>
        <v/>
      </c>
      <c r="AH95" s="69" t="str">
        <f t="shared" si="157"/>
        <v/>
      </c>
      <c r="AI95" s="70" t="str">
        <f t="shared" si="158"/>
        <v/>
      </c>
      <c r="AJ95" s="64" t="str">
        <f t="shared" si="159"/>
        <v/>
      </c>
      <c r="AK95" s="64" t="str">
        <f t="shared" si="160"/>
        <v/>
      </c>
      <c r="AL95" s="64" t="str">
        <f t="shared" si="161"/>
        <v/>
      </c>
      <c r="AM95" s="64" t="str">
        <f t="shared" si="162"/>
        <v/>
      </c>
      <c r="AN95" s="64" t="str">
        <f t="shared" si="163"/>
        <v/>
      </c>
    </row>
    <row r="96" spans="1:40" ht="25.5" hidden="1" outlineLevel="1" thickTop="1" thickBot="1" x14ac:dyDescent="0.4">
      <c r="B96" t="s">
        <v>999</v>
      </c>
      <c r="C96" s="85" t="s">
        <v>1002</v>
      </c>
      <c r="D96" s="86"/>
      <c r="E96" s="86"/>
      <c r="F96" s="86"/>
      <c r="G96" s="86"/>
      <c r="H96" s="87"/>
      <c r="I96" s="87"/>
      <c r="J96" s="87"/>
      <c r="K96" s="87"/>
      <c r="L96" s="120" t="str">
        <f>IF(C96="","",_xlfn.CONCAT("            { line: ","""",C96,", ",M96:AN96,""", sC: ","""",B96,"""},"))</f>
        <v xml:space="preserve">            { line: "ASAMBLEA CUATRO, ", sC: "as"},</v>
      </c>
      <c r="M96" s="56" t="str">
        <f t="shared" si="137"/>
        <v/>
      </c>
      <c r="N96" s="57" t="str">
        <f t="shared" si="138"/>
        <v/>
      </c>
      <c r="O96" s="58" t="str">
        <f t="shared" si="139"/>
        <v/>
      </c>
      <c r="P96" s="59" t="str">
        <f t="shared" si="140"/>
        <v/>
      </c>
      <c r="Q96" s="60" t="str">
        <f t="shared" si="141"/>
        <v/>
      </c>
      <c r="R96" s="61" t="str">
        <f t="shared" si="136"/>
        <v/>
      </c>
      <c r="S96" s="56" t="str">
        <f t="shared" si="142"/>
        <v/>
      </c>
      <c r="T96" s="62" t="str">
        <f t="shared" si="143"/>
        <v/>
      </c>
      <c r="U96" s="63" t="str">
        <f t="shared" si="144"/>
        <v/>
      </c>
      <c r="V96" s="64" t="str">
        <f t="shared" si="145"/>
        <v/>
      </c>
      <c r="W96" s="65" t="str">
        <f t="shared" si="146"/>
        <v/>
      </c>
      <c r="X96" s="64" t="str">
        <f t="shared" si="147"/>
        <v/>
      </c>
      <c r="Y96" s="64" t="str">
        <f t="shared" si="148"/>
        <v/>
      </c>
      <c r="Z96" s="56" t="str">
        <f t="shared" si="149"/>
        <v/>
      </c>
      <c r="AA96" s="66" t="str">
        <f t="shared" si="150"/>
        <v/>
      </c>
      <c r="AB96" s="57" t="str">
        <f t="shared" si="151"/>
        <v/>
      </c>
      <c r="AC96" s="67" t="str">
        <f t="shared" si="152"/>
        <v/>
      </c>
      <c r="AD96" s="59" t="str">
        <f t="shared" si="153"/>
        <v/>
      </c>
      <c r="AE96" s="68" t="str">
        <f t="shared" si="154"/>
        <v/>
      </c>
      <c r="AF96" s="61" t="str">
        <f t="shared" si="155"/>
        <v/>
      </c>
      <c r="AG96" s="61" t="str">
        <f t="shared" si="156"/>
        <v/>
      </c>
      <c r="AH96" s="69" t="str">
        <f t="shared" si="157"/>
        <v/>
      </c>
      <c r="AI96" s="70" t="str">
        <f t="shared" si="158"/>
        <v/>
      </c>
      <c r="AJ96" s="64" t="str">
        <f t="shared" si="159"/>
        <v/>
      </c>
      <c r="AK96" s="64" t="str">
        <f t="shared" si="160"/>
        <v/>
      </c>
      <c r="AL96" s="64" t="str">
        <f t="shared" si="161"/>
        <v/>
      </c>
      <c r="AM96" s="64" t="str">
        <f t="shared" si="162"/>
        <v/>
      </c>
      <c r="AN96" s="64" t="str">
        <f t="shared" si="163"/>
        <v/>
      </c>
    </row>
    <row r="97" spans="1:40" ht="25.5" hidden="1" outlineLevel="1" thickTop="1" thickBot="1" x14ac:dyDescent="0.4">
      <c r="B97" t="s">
        <v>999</v>
      </c>
      <c r="C97" s="85" t="s">
        <v>1003</v>
      </c>
      <c r="D97" s="89"/>
      <c r="E97" s="89"/>
      <c r="F97" s="89"/>
      <c r="G97" s="89"/>
      <c r="H97" s="90"/>
      <c r="I97" s="90"/>
      <c r="J97" s="90"/>
      <c r="K97" s="90"/>
      <c r="L97" s="120" t="str">
        <f>IF(C97="","",_xlfn.CONCAT("            { line: ","""",C97,", ",M97:AN97,""", sC: ","""",B97,"""},"))</f>
        <v xml:space="preserve">            { line: "ASAMBLEA CISCO, ", sC: "as"},</v>
      </c>
      <c r="M97" s="56" t="str">
        <f t="shared" si="137"/>
        <v/>
      </c>
      <c r="N97" s="57" t="str">
        <f t="shared" si="138"/>
        <v/>
      </c>
      <c r="O97" s="58" t="str">
        <f t="shared" si="139"/>
        <v/>
      </c>
      <c r="P97" s="59" t="str">
        <f t="shared" si="140"/>
        <v/>
      </c>
      <c r="Q97" s="60" t="str">
        <f t="shared" si="141"/>
        <v/>
      </c>
      <c r="R97" s="61" t="str">
        <f t="shared" si="136"/>
        <v/>
      </c>
      <c r="S97" s="56" t="str">
        <f t="shared" si="142"/>
        <v/>
      </c>
      <c r="T97" s="62" t="str">
        <f t="shared" si="143"/>
        <v/>
      </c>
      <c r="U97" s="63" t="str">
        <f t="shared" si="144"/>
        <v/>
      </c>
      <c r="V97" s="64" t="str">
        <f t="shared" si="145"/>
        <v/>
      </c>
      <c r="W97" s="65" t="str">
        <f t="shared" si="146"/>
        <v/>
      </c>
      <c r="X97" s="64" t="str">
        <f t="shared" si="147"/>
        <v/>
      </c>
      <c r="Y97" s="64" t="str">
        <f t="shared" si="148"/>
        <v/>
      </c>
      <c r="Z97" s="56" t="str">
        <f t="shared" si="149"/>
        <v/>
      </c>
      <c r="AA97" s="66" t="str">
        <f t="shared" si="150"/>
        <v/>
      </c>
      <c r="AB97" s="57" t="str">
        <f t="shared" si="151"/>
        <v/>
      </c>
      <c r="AC97" s="67" t="str">
        <f t="shared" si="152"/>
        <v/>
      </c>
      <c r="AD97" s="59" t="str">
        <f t="shared" si="153"/>
        <v/>
      </c>
      <c r="AE97" s="68" t="str">
        <f t="shared" si="154"/>
        <v/>
      </c>
      <c r="AF97" s="61" t="str">
        <f t="shared" si="155"/>
        <v/>
      </c>
      <c r="AG97" s="61" t="str">
        <f t="shared" si="156"/>
        <v/>
      </c>
      <c r="AH97" s="69" t="str">
        <f t="shared" si="157"/>
        <v/>
      </c>
      <c r="AI97" s="70" t="str">
        <f t="shared" si="158"/>
        <v/>
      </c>
      <c r="AJ97" s="64" t="str">
        <f t="shared" si="159"/>
        <v/>
      </c>
      <c r="AK97" s="64" t="str">
        <f t="shared" si="160"/>
        <v/>
      </c>
      <c r="AL97" s="64" t="str">
        <f t="shared" si="161"/>
        <v/>
      </c>
      <c r="AM97" s="64" t="str">
        <f t="shared" si="162"/>
        <v/>
      </c>
      <c r="AN97" s="64" t="str">
        <f t="shared" si="163"/>
        <v/>
      </c>
    </row>
    <row r="98" spans="1:40" ht="25.5" hidden="1" outlineLevel="1" thickTop="1" thickBot="1" x14ac:dyDescent="0.4">
      <c r="B98" t="s">
        <v>999</v>
      </c>
      <c r="C98" s="85" t="s">
        <v>1004</v>
      </c>
      <c r="D98" s="91"/>
      <c r="E98" s="91"/>
      <c r="F98" s="91"/>
      <c r="G98" s="91"/>
      <c r="H98" s="92"/>
      <c r="I98" s="92"/>
      <c r="J98" s="92"/>
      <c r="K98" s="92"/>
      <c r="L98" s="120" t="str">
        <f>IF(C98="","",_xlfn.CONCAT("            { line: ","""",C98,", ",M98:AN98,""", sC: ","""",B98,"""},"))</f>
        <v xml:space="preserve">            { line: "ASAMBLEA SEIS, ", sC: "as"},</v>
      </c>
      <c r="M98" s="56" t="str">
        <f t="shared" si="137"/>
        <v/>
      </c>
      <c r="N98" s="57" t="str">
        <f t="shared" si="138"/>
        <v/>
      </c>
      <c r="O98" s="58" t="str">
        <f t="shared" si="139"/>
        <v/>
      </c>
      <c r="P98" s="59" t="str">
        <f t="shared" si="140"/>
        <v/>
      </c>
      <c r="Q98" s="60" t="str">
        <f t="shared" si="141"/>
        <v/>
      </c>
      <c r="R98" s="61" t="str">
        <f t="shared" si="136"/>
        <v/>
      </c>
      <c r="S98" s="56" t="str">
        <f t="shared" si="142"/>
        <v/>
      </c>
      <c r="T98" s="62" t="str">
        <f t="shared" si="143"/>
        <v/>
      </c>
      <c r="U98" s="63" t="str">
        <f t="shared" si="144"/>
        <v/>
      </c>
      <c r="V98" s="64" t="str">
        <f t="shared" si="145"/>
        <v/>
      </c>
      <c r="W98" s="65" t="str">
        <f t="shared" si="146"/>
        <v/>
      </c>
      <c r="X98" s="64" t="str">
        <f t="shared" si="147"/>
        <v/>
      </c>
      <c r="Y98" s="64" t="str">
        <f t="shared" si="148"/>
        <v/>
      </c>
      <c r="Z98" s="56" t="str">
        <f t="shared" si="149"/>
        <v/>
      </c>
      <c r="AA98" s="66" t="str">
        <f t="shared" si="150"/>
        <v/>
      </c>
      <c r="AB98" s="57" t="str">
        <f t="shared" si="151"/>
        <v/>
      </c>
      <c r="AC98" s="67" t="str">
        <f t="shared" si="152"/>
        <v/>
      </c>
      <c r="AD98" s="59" t="str">
        <f t="shared" si="153"/>
        <v/>
      </c>
      <c r="AE98" s="68" t="str">
        <f t="shared" si="154"/>
        <v/>
      </c>
      <c r="AF98" s="61" t="str">
        <f t="shared" si="155"/>
        <v/>
      </c>
      <c r="AG98" s="61" t="str">
        <f t="shared" si="156"/>
        <v/>
      </c>
      <c r="AH98" s="69" t="str">
        <f t="shared" si="157"/>
        <v/>
      </c>
      <c r="AI98" s="70" t="str">
        <f t="shared" si="158"/>
        <v/>
      </c>
      <c r="AJ98" s="64" t="str">
        <f t="shared" si="159"/>
        <v/>
      </c>
      <c r="AK98" s="64" t="str">
        <f t="shared" si="160"/>
        <v/>
      </c>
      <c r="AL98" s="64" t="str">
        <f t="shared" si="161"/>
        <v/>
      </c>
      <c r="AM98" s="64" t="str">
        <f t="shared" si="162"/>
        <v/>
      </c>
      <c r="AN98" s="64" t="str">
        <f t="shared" si="163"/>
        <v/>
      </c>
    </row>
    <row r="99" spans="1:40" ht="25.5" hidden="1" outlineLevel="1" thickTop="1" thickBot="1" x14ac:dyDescent="0.4">
      <c r="B99" t="s">
        <v>999</v>
      </c>
      <c r="C99" s="93" t="s">
        <v>1005</v>
      </c>
      <c r="D99" s="83"/>
      <c r="E99" s="83"/>
      <c r="F99" s="83"/>
      <c r="G99" s="83"/>
      <c r="H99" s="83"/>
      <c r="I99" s="83"/>
      <c r="J99" s="83"/>
      <c r="K99" s="83"/>
      <c r="L99" s="121" t="str">
        <f>IF(C99="","",_xlfn.CONCAT("            { line: ","""",C99,", ",M99:AN99,""", sC: ","""",B99,"""},  ]},"))</f>
        <v xml:space="preserve">            { line: "ASAMBLEA CIERRE, ", sC: "as"},  ]},</v>
      </c>
      <c r="M99" s="56" t="str">
        <f t="shared" si="137"/>
        <v/>
      </c>
      <c r="N99" s="57" t="str">
        <f t="shared" si="138"/>
        <v/>
      </c>
      <c r="O99" s="58" t="str">
        <f t="shared" si="139"/>
        <v/>
      </c>
      <c r="P99" s="59" t="str">
        <f t="shared" si="140"/>
        <v/>
      </c>
      <c r="Q99" s="60" t="str">
        <f t="shared" si="141"/>
        <v/>
      </c>
      <c r="R99" s="61" t="str">
        <f t="shared" si="136"/>
        <v/>
      </c>
      <c r="S99" s="56" t="str">
        <f t="shared" si="142"/>
        <v/>
      </c>
      <c r="T99" s="62" t="str">
        <f t="shared" si="143"/>
        <v/>
      </c>
      <c r="U99" s="63" t="str">
        <f t="shared" si="144"/>
        <v/>
      </c>
      <c r="V99" s="64" t="str">
        <f t="shared" si="145"/>
        <v/>
      </c>
      <c r="W99" s="65" t="str">
        <f t="shared" si="146"/>
        <v/>
      </c>
      <c r="X99" s="64" t="str">
        <f t="shared" si="147"/>
        <v/>
      </c>
      <c r="Y99" s="64" t="str">
        <f t="shared" si="148"/>
        <v/>
      </c>
      <c r="Z99" s="56" t="str">
        <f t="shared" si="149"/>
        <v/>
      </c>
      <c r="AA99" s="66" t="str">
        <f t="shared" si="150"/>
        <v/>
      </c>
      <c r="AB99" s="57" t="str">
        <f t="shared" si="151"/>
        <v/>
      </c>
      <c r="AC99" s="67" t="str">
        <f t="shared" si="152"/>
        <v/>
      </c>
      <c r="AD99" s="59" t="str">
        <f t="shared" si="153"/>
        <v/>
      </c>
      <c r="AE99" s="68" t="str">
        <f t="shared" si="154"/>
        <v/>
      </c>
      <c r="AF99" s="61" t="str">
        <f t="shared" si="155"/>
        <v/>
      </c>
      <c r="AG99" s="61" t="str">
        <f t="shared" si="156"/>
        <v/>
      </c>
      <c r="AH99" s="69" t="str">
        <f t="shared" si="157"/>
        <v/>
      </c>
      <c r="AI99" s="70" t="str">
        <f t="shared" si="158"/>
        <v/>
      </c>
      <c r="AJ99" s="64" t="str">
        <f t="shared" si="159"/>
        <v/>
      </c>
      <c r="AK99" s="64" t="str">
        <f t="shared" si="160"/>
        <v/>
      </c>
      <c r="AL99" s="64" t="str">
        <f t="shared" si="161"/>
        <v/>
      </c>
      <c r="AM99" s="64" t="str">
        <f t="shared" si="162"/>
        <v/>
      </c>
      <c r="AN99" s="64" t="str">
        <f t="shared" si="163"/>
        <v/>
      </c>
    </row>
    <row r="100" spans="1:40" ht="27.75" hidden="1" outlineLevel="1" thickTop="1" thickBot="1" x14ac:dyDescent="0.4">
      <c r="A100" s="73"/>
      <c r="B100" s="73"/>
      <c r="C100" s="73"/>
      <c r="D100" s="74"/>
      <c r="E100" s="74"/>
      <c r="F100" s="74"/>
      <c r="G100" s="74"/>
      <c r="H100" s="74"/>
      <c r="I100" s="74"/>
      <c r="J100" s="74"/>
      <c r="K100" s="74"/>
      <c r="L100" s="75" t="s">
        <v>993</v>
      </c>
      <c r="M100" s="56"/>
      <c r="N100" s="57"/>
      <c r="O100" s="58"/>
      <c r="P100" s="59"/>
      <c r="Q100" s="60"/>
      <c r="R100" s="61" t="str">
        <f t="shared" si="136"/>
        <v/>
      </c>
      <c r="S100" s="56"/>
      <c r="T100" s="62"/>
      <c r="U100" s="63"/>
      <c r="V100" s="64"/>
      <c r="W100" s="65"/>
      <c r="X100" s="64"/>
      <c r="Y100" s="64"/>
      <c r="Z100" s="56"/>
      <c r="AA100" s="66"/>
      <c r="AB100" s="57"/>
      <c r="AC100" s="67"/>
      <c r="AD100" s="59"/>
      <c r="AE100" s="68"/>
      <c r="AF100" s="61"/>
      <c r="AG100" s="61"/>
      <c r="AH100" s="69"/>
      <c r="AI100" s="70"/>
      <c r="AJ100" s="64"/>
      <c r="AK100" s="64"/>
      <c r="AL100" s="64"/>
      <c r="AM100" s="64"/>
      <c r="AN100" s="64"/>
    </row>
    <row r="10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7E35B-448D-4B77-B2A5-CB481879FA61}">
  <sheetPr codeName="Sheet69">
    <tabColor rgb="FF00B0F0"/>
  </sheetPr>
  <dimension ref="A1:AN108"/>
  <sheetViews>
    <sheetView zoomScale="85" zoomScaleNormal="85" workbookViewId="0">
      <pane xSplit="2" ySplit="1" topLeftCell="C87" activePane="bottomRight" state="frozen"/>
      <selection pane="topRight" activeCell="C1" sqref="C1"/>
      <selection pane="bottomLeft" activeCell="A2" sqref="A2"/>
      <selection pane="bottomRight" activeCell="C114" sqref="C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163</v>
      </c>
      <c r="E1" s="40"/>
      <c r="F1" s="40"/>
      <c r="G1" s="40"/>
      <c r="H1" s="40"/>
      <c r="I1" s="40"/>
      <c r="J1" s="40"/>
      <c r="K1" s="40"/>
      <c r="L1" s="114" t="str">
        <f ca="1">UPPER(VLOOKUP(C1,Table223[],3,FALSE))</f>
        <v>UNA GRAN SEÑAL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UNA GRAN SEÑAL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unagransenal</v>
      </c>
      <c r="L7" s="116" t="str">
        <f ca="1">_xlfn.CONCAT("        id: ","""",C7,"""",",")</f>
        <v xml:space="preserve">        id: "unagransenal",</v>
      </c>
    </row>
    <row r="8" spans="2:32" ht="23.25" x14ac:dyDescent="0.25">
      <c r="C8" t="str">
        <f ca="1">PROPER(L1)</f>
        <v>Una Gran Señal</v>
      </c>
      <c r="L8" s="116" t="str">
        <f ca="1">_xlfn.CONCAT("        tt: ","""",C8,"""",",")</f>
        <v xml:space="preserve">        tt: "Una Gran Señal",</v>
      </c>
    </row>
    <row r="9" spans="2:32" ht="23.25" x14ac:dyDescent="0.25">
      <c r="C9" t="str">
        <f ca="1">PROPER(L1)</f>
        <v>Una Gran Señal</v>
      </c>
      <c r="L9" s="116" t="str">
        <f ca="1">_xlfn.CONCAT("        title: ","""",C9,"""",",")</f>
        <v xml:space="preserve">        title: "Una Gran Señal",</v>
      </c>
    </row>
    <row r="10" spans="2:32" ht="23.25" x14ac:dyDescent="0.25">
      <c r="C10" t="str">
        <f ca="1">VLOOKUP(C1,Table223[],4,FALSE)</f>
        <v>Apocalipsis 12</v>
      </c>
      <c r="L10" s="116" t="str">
        <f ca="1">_xlfn.CONCAT("        ","subtitle: ","""",C10,"""",",")</f>
        <v xml:space="preserve">        subtitle: "Apocalipsis 12",</v>
      </c>
    </row>
    <row r="11" spans="2:32" ht="23.25" x14ac:dyDescent="0.25">
      <c r="C11" t="str">
        <f ca="1">_xlfn.CONCAT("category: [",VLOOKUP(C1,Table223[],16,FALSE),"],")</f>
        <v>category: ["Precatecumenado","Vírgen María","Adviento","Navidad","Pascua","Pentecostés","Final","Nuevo Testamento"],</v>
      </c>
      <c r="L11" s="116" t="str">
        <f ca="1">_xlfn.CONCAT("        ",C11)</f>
        <v xml:space="preserve">        category: ["Precatecumenado","Vírgen María","Adviento","Navidad","Pascua","Pentecostés","Final","Nuevo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163</v>
      </c>
      <c r="L16" s="116" t="str">
        <f ca="1">_xlfn.CONCAT("        dbno: ","""",C16,"""",",")</f>
        <v xml:space="preserve">        dbno: "163",</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unagransenal</v>
      </c>
      <c r="L19" s="116" t="str">
        <f ca="1">_xlfn.CONCAT("        audioSrc: ","""https://audio.resucito.do/",C19,".mp3""",",")</f>
        <v xml:space="preserve">        audioSrc: "https://audio.resucito.do/unagransenal.mp3",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162</v>
      </c>
      <c r="C26" t="str">
        <f ca="1">VLOOKUP(B26,Table4[],13,FALSE)</f>
        <v>"/src/index.html?canto=unretonobrotadeltroncodejese"</v>
      </c>
      <c r="L26" s="116" t="str">
        <f ca="1">_xlfn.CONCAT("        ant: ",C26,",")</f>
        <v xml:space="preserve">        ant: "/src/index.html?canto=unretonobrotadeltroncodejese",</v>
      </c>
    </row>
    <row r="27" spans="1:40" ht="23.25" x14ac:dyDescent="0.25">
      <c r="B27">
        <f ca="1">+C1+1</f>
        <v>164</v>
      </c>
      <c r="C27" t="str">
        <f ca="1">VLOOKUP(B27,Table4[],13,FALSE)</f>
        <v>"/src/index.html?canto=uriuriura"</v>
      </c>
      <c r="L27" s="116" t="str">
        <f ca="1">_xlfn.CONCAT("        sig: ",C27,",")</f>
        <v xml:space="preserve">        sig: "/src/index.html?canto=uriuriura",</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997</v>
      </c>
      <c r="C31" s="113" t="s">
        <v>1104</v>
      </c>
      <c r="D31" s="112" t="s">
        <v>1013</v>
      </c>
      <c r="E31" s="52" t="s">
        <v>1012</v>
      </c>
      <c r="F31" s="53"/>
      <c r="G31" s="53"/>
      <c r="H31" s="52"/>
      <c r="I31" s="52"/>
      <c r="J31" s="54"/>
      <c r="K31" s="54"/>
      <c r="L31" s="78" t="str">
        <f t="shared" ref="L31:L60" si="0">IF(C31="","",_xlfn.CONCAT("            { line: ","""",C31,", ",M31:AN31,""", sC: ","""",B31,"""},"))</f>
        <v xml:space="preserve">            { line: "UNA GRAN SEÑAL APARECIÓ EN EL CIELO:, (La,m,20)", sC: "ta as"},</v>
      </c>
      <c r="M31" s="56" t="str">
        <f t="shared" ref="M31:M61" si="1">IF(N31="","","(")</f>
        <v>(</v>
      </c>
      <c r="N31" s="57" t="str">
        <f t="shared" ref="N31:N94" si="2">IF(D31="","",D31)</f>
        <v>La</v>
      </c>
      <c r="O31" s="58" t="str">
        <f t="shared" ref="O31:O61" si="3">IF(N31="","",",")</f>
        <v>,</v>
      </c>
      <c r="P31" s="59" t="str">
        <f t="shared" ref="P31:P94" si="4">IF(E31="","",E31)</f>
        <v>m</v>
      </c>
      <c r="Q31" s="60" t="str">
        <f t="shared" ref="Q31:Q61" si="5">IF(N31="","",",")</f>
        <v>,</v>
      </c>
      <c r="R31" s="61">
        <f t="shared" ref="R31:R94" si="6">IF(N31="Do",10,IF(N31="Re",22,IF(N31="Mi",20,IF(N31="Fa",20,IF(N31="Sol",14,IF(N31="La",20,IF(N31="Si",20,IF(N31="Do#",14,IF(N31="Fa#",15,IF(N31="Sol#",20,IF(N31="Si♭",17,"")))))))))))</f>
        <v>20</v>
      </c>
      <c r="S31" s="56" t="str">
        <f t="shared" ref="S31:S61" si="7">IF(N31="","",")")</f>
        <v>)</v>
      </c>
      <c r="T31" s="62" t="str">
        <f t="shared" ref="T31:T61" si="8">IF(U31="","","(")</f>
        <v/>
      </c>
      <c r="U31" s="63" t="str">
        <f t="shared" ref="U31:U94" si="9">IF(F31="","",F31)</f>
        <v/>
      </c>
      <c r="V31" s="64" t="str">
        <f t="shared" ref="V31:V61" si="10">IF(U31="","",",")</f>
        <v/>
      </c>
      <c r="W31" s="65" t="str">
        <f t="shared" ref="W31:W94" si="11">IF(G31="","",G31)</f>
        <v/>
      </c>
      <c r="X31" s="64" t="str">
        <f t="shared" ref="X31:X61" si="12">IF(U31="","",",")</f>
        <v/>
      </c>
      <c r="Y31" s="64" t="str">
        <f t="shared" ref="Y31:Y61" si="13">IF(U31="","",250)</f>
        <v/>
      </c>
      <c r="Z31" s="56" t="str">
        <f t="shared" ref="Z31:Z61" si="14">IF(U31="","",")")</f>
        <v/>
      </c>
      <c r="AA31" s="66" t="str">
        <f t="shared" ref="AA31:AA61" si="15">IF(AB31="","","(")</f>
        <v/>
      </c>
      <c r="AB31" s="57" t="str">
        <f t="shared" ref="AB31:AB94" si="16">IF(H31="","",H31)</f>
        <v/>
      </c>
      <c r="AC31" s="67" t="str">
        <f t="shared" ref="AC31:AC61" si="17">IF(AB31="","",",")</f>
        <v/>
      </c>
      <c r="AD31" s="59" t="str">
        <f t="shared" ref="AD31:AD61" si="18">IF(I31="","",I31)</f>
        <v/>
      </c>
      <c r="AE31" s="68" t="str">
        <f t="shared" ref="AE31:AE61" si="19">IF(AB31="","",",")</f>
        <v/>
      </c>
      <c r="AF31" s="61" t="str">
        <f t="shared" ref="AF31:AF61" si="20">IF(AB31="","",350)</f>
        <v/>
      </c>
      <c r="AG31" s="61" t="str">
        <f t="shared" ref="AG31:AG61" si="21">IF(AB31="","",")")</f>
        <v/>
      </c>
      <c r="AH31" s="69" t="str">
        <f t="shared" ref="AH31:AH61" si="22">IF(AI31="","","(")</f>
        <v/>
      </c>
      <c r="AI31" s="70" t="str">
        <f t="shared" ref="AI31:AI94" si="23">IF(J31="","",J31)</f>
        <v/>
      </c>
      <c r="AJ31" s="64" t="str">
        <f t="shared" ref="AJ31:AJ61" si="24">IF(AI31="","",",")</f>
        <v/>
      </c>
      <c r="AK31" s="64" t="str">
        <f t="shared" ref="AK31:AK61" si="25">IF(K31="","",K31)</f>
        <v/>
      </c>
      <c r="AL31" s="64" t="str">
        <f t="shared" ref="AL31:AL61" si="26">IF(AI31="","",",")</f>
        <v/>
      </c>
      <c r="AM31" s="64" t="str">
        <f t="shared" ref="AM31:AM61" si="27">IF(AI31="","",450)</f>
        <v/>
      </c>
      <c r="AN31" s="64" t="str">
        <f t="shared" ref="AN31:AN61" si="28">IF(AI31="","",")")</f>
        <v/>
      </c>
    </row>
    <row r="32" spans="1:40" ht="25.5" thickTop="1" thickBot="1" x14ac:dyDescent="0.4">
      <c r="B32" t="s">
        <v>999</v>
      </c>
      <c r="C32" s="113" t="s">
        <v>1105</v>
      </c>
      <c r="D32" s="112" t="s">
        <v>1015</v>
      </c>
      <c r="E32" s="52"/>
      <c r="F32" s="53" t="s">
        <v>1013</v>
      </c>
      <c r="G32" s="53" t="s">
        <v>1012</v>
      </c>
      <c r="H32" s="52"/>
      <c r="I32" s="52"/>
      <c r="J32" s="54"/>
      <c r="K32" s="54"/>
      <c r="L32" s="78" t="str">
        <f t="shared" si="0"/>
        <v xml:space="preserve">            { line: "UNA MUJER, UNA MUJER VESTIDA DEL SOL,, (Sol,,14)(La,m,250)", sC: "as"},</v>
      </c>
      <c r="M32" s="56" t="str">
        <f t="shared" si="1"/>
        <v>(</v>
      </c>
      <c r="N32" s="57" t="str">
        <f t="shared" si="2"/>
        <v>Sol</v>
      </c>
      <c r="O32" s="58" t="str">
        <f t="shared" si="3"/>
        <v>,</v>
      </c>
      <c r="P32" s="59" t="str">
        <f t="shared" si="4"/>
        <v/>
      </c>
      <c r="Q32" s="60" t="str">
        <f t="shared" si="5"/>
        <v>,</v>
      </c>
      <c r="R32" s="61">
        <f t="shared" si="6"/>
        <v>14</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1106</v>
      </c>
      <c r="D33" s="112"/>
      <c r="E33" s="52"/>
      <c r="F33" s="53"/>
      <c r="G33" s="53"/>
      <c r="H33" s="52"/>
      <c r="I33" s="52"/>
      <c r="J33" s="54"/>
      <c r="K33" s="54"/>
      <c r="L33" s="78" t="str">
        <f>IF(C33="","",_xlfn.CONCAT("            { line: ","""",C33,", ",M33:AN33,""", sC: ","""",B33,"""},"))</f>
        <v xml:space="preserve">            { line: "CON LA LUNA BAJO SUS PIES,, ", sC: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1107</v>
      </c>
      <c r="D34" s="112" t="s">
        <v>1015</v>
      </c>
      <c r="E34" s="52"/>
      <c r="F34" s="53"/>
      <c r="G34" s="53"/>
      <c r="H34" s="52"/>
      <c r="I34" s="52"/>
      <c r="J34" s="54"/>
      <c r="K34" s="54"/>
      <c r="L34" s="78" t="str">
        <f>IF(C34="","",_xlfn.CONCAT("            { line: ","""",C34,", ",M34:AN34,""", sC: ","""",B34,"""},"))</f>
        <v xml:space="preserve">            { line: "Y UNA CORONA DE DOCE ESTRELLAS;, (Sol,,14)", sC: "as"},</v>
      </c>
      <c r="M34" s="56" t="str">
        <f t="shared" si="1"/>
        <v>(</v>
      </c>
      <c r="N34" s="57" t="str">
        <f t="shared" si="2"/>
        <v>Sol</v>
      </c>
      <c r="O34" s="58" t="str">
        <f t="shared" si="3"/>
        <v>,</v>
      </c>
      <c r="P34" s="59" t="str">
        <f t="shared" si="4"/>
        <v/>
      </c>
      <c r="Q34" s="60" t="str">
        <f t="shared" si="5"/>
        <v>,</v>
      </c>
      <c r="R34" s="61">
        <f t="shared" si="6"/>
        <v>14</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1108</v>
      </c>
      <c r="D35" s="112" t="s">
        <v>1013</v>
      </c>
      <c r="E35" s="52" t="s">
        <v>1012</v>
      </c>
      <c r="F35" s="53"/>
      <c r="G35" s="53"/>
      <c r="H35" s="52"/>
      <c r="I35" s="52"/>
      <c r="J35" s="54"/>
      <c r="K35" s="54"/>
      <c r="L35" s="78" t="str">
        <f t="shared" ref="L35:L40" si="29">IF(C35="","",_xlfn.CONCAT("            { line: ","""",C35,", ",M35:AN35,""", sC: ","""",B35,"""},"))</f>
        <v xml:space="preserve">            { line: "ESTÁ ENCINTA, Y GRITA, (La,m,20)", sC: "as"},</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1109</v>
      </c>
      <c r="D36" s="112" t="s">
        <v>1032</v>
      </c>
      <c r="E36" s="52"/>
      <c r="F36" s="53" t="s">
        <v>1011</v>
      </c>
      <c r="G36" s="53"/>
      <c r="H36" s="52"/>
      <c r="I36" s="52"/>
      <c r="J36" s="54"/>
      <c r="K36" s="54"/>
      <c r="L36" s="55" t="str">
        <f t="shared" si="29"/>
        <v xml:space="preserve">            { line: "CON LOS TORMENTOS DE DAR A LUZ., (Fa,,20)(Mi,,250)", sC: "as"},</v>
      </c>
      <c r="M36" s="56" t="str">
        <f>IF(N36="","","(")</f>
        <v>(</v>
      </c>
      <c r="N36" s="57" t="str">
        <f>IF(D36="","",D36)</f>
        <v>Fa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1110</v>
      </c>
      <c r="D38" s="112" t="s">
        <v>1013</v>
      </c>
      <c r="E38" s="52" t="s">
        <v>1012</v>
      </c>
      <c r="F38" s="53"/>
      <c r="G38" s="53"/>
      <c r="H38" s="52"/>
      <c r="I38" s="52"/>
      <c r="J38" s="54"/>
      <c r="K38" s="54"/>
      <c r="L38" s="55" t="str">
        <f t="shared" si="29"/>
        <v xml:space="preserve">            { line: "Y apareció otra señal en el cielo:, (La,m,20)", sC: "tc"},</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1111</v>
      </c>
      <c r="D39" s="112" t="s">
        <v>1015</v>
      </c>
      <c r="E39" s="52"/>
      <c r="F39" s="53"/>
      <c r="G39" s="53"/>
      <c r="H39" s="52"/>
      <c r="I39" s="52"/>
      <c r="J39" s="54"/>
      <c r="K39" s="54"/>
      <c r="L39" s="55" t="str">
        <f t="shared" si="29"/>
        <v xml:space="preserve">            { line: "un enorme Dragón rojo,, (Sol,,14)", sC: ""},</v>
      </c>
      <c r="M39" s="56" t="str">
        <f>IF(N39="","","(")</f>
        <v>(</v>
      </c>
      <c r="N39" s="57" t="str">
        <f>IF(D39="","",D39)</f>
        <v>Sol</v>
      </c>
      <c r="O39" s="58" t="str">
        <f>IF(N39="","",",")</f>
        <v>,</v>
      </c>
      <c r="P39" s="59" t="str">
        <f>IF(E39="","",E39)</f>
        <v/>
      </c>
      <c r="Q39" s="60" t="str">
        <f>IF(N39="","",",")</f>
        <v>,</v>
      </c>
      <c r="R39" s="61">
        <f t="shared" si="6"/>
        <v>14</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1112</v>
      </c>
      <c r="D40" s="112" t="s">
        <v>1032</v>
      </c>
      <c r="E40" s="52"/>
      <c r="F40" s="53" t="s">
        <v>1011</v>
      </c>
      <c r="G40" s="53"/>
      <c r="H40" s="52"/>
      <c r="I40" s="52"/>
      <c r="J40" s="54"/>
      <c r="K40" s="54"/>
      <c r="L40" s="78" t="str">
        <f t="shared" si="29"/>
        <v xml:space="preserve">            { line: "con siete cabezas y diez cuernos., (Fa,,20)(Mi,,250)", sC: ""},</v>
      </c>
      <c r="M40" s="56" t="str">
        <f t="shared" ref="M40:M44" si="30">IF(N40="","","(")</f>
        <v>(</v>
      </c>
      <c r="N40" s="57" t="str">
        <f t="shared" ref="N40:N44" si="31">IF(D40="","",D40)</f>
        <v>Fa</v>
      </c>
      <c r="O40" s="58" t="str">
        <f t="shared" ref="O40:O44" si="32">IF(N40="","",",")</f>
        <v>,</v>
      </c>
      <c r="P40" s="59" t="str">
        <f t="shared" ref="P40:P44" si="33">IF(E40="","",E40)</f>
        <v/>
      </c>
      <c r="Q40" s="60" t="str">
        <f t="shared" ref="Q40:Q44" si="34">IF(N40="","",",")</f>
        <v>,</v>
      </c>
      <c r="R40" s="61">
        <f t="shared" si="6"/>
        <v>20</v>
      </c>
      <c r="S40" s="56" t="str">
        <f t="shared" ref="S40:S44" si="35">IF(N40="","",")")</f>
        <v>)</v>
      </c>
      <c r="T40" s="62" t="str">
        <f t="shared" ref="T40:T44" si="36">IF(U40="","","(")</f>
        <v>(</v>
      </c>
      <c r="U40" s="63" t="str">
        <f t="shared" ref="U40:U44" si="37">IF(F40="","",F40)</f>
        <v>Mi</v>
      </c>
      <c r="V40" s="64" t="str">
        <f t="shared" ref="V40:V44" si="38">IF(U40="","",",")</f>
        <v>,</v>
      </c>
      <c r="W40" s="65" t="str">
        <f t="shared" ref="W40:W44" si="39">IF(G40="","",G40)</f>
        <v/>
      </c>
      <c r="X40" s="64" t="str">
        <f t="shared" ref="X40:X44" si="40">IF(U40="","",",")</f>
        <v>,</v>
      </c>
      <c r="Y40" s="64">
        <f t="shared" ref="Y40:Y44" si="41">IF(U40="","",250)</f>
        <v>250</v>
      </c>
      <c r="Z40" s="56" t="str">
        <f t="shared" ref="Z40:Z44" si="42">IF(U40="","",")")</f>
        <v>)</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1113</v>
      </c>
      <c r="D42" s="112" t="s">
        <v>1013</v>
      </c>
      <c r="E42" s="52" t="s">
        <v>1012</v>
      </c>
      <c r="F42" s="53"/>
      <c r="G42" s="53"/>
      <c r="H42" s="52"/>
      <c r="I42" s="52"/>
      <c r="J42" s="54"/>
      <c r="K42" s="54"/>
      <c r="L42" s="78" t="str">
        <f>IF(C42="","",_xlfn.CONCAT("            { line: ","""",C42,", ",M42:AN42,""", sC: ","""",B42,"""},"))</f>
        <v xml:space="preserve">            { line: "El Dragón se detuvo delante de la Mujer,, (La,m,20)", sC: ""},</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1114</v>
      </c>
      <c r="D43" s="112" t="s">
        <v>1015</v>
      </c>
      <c r="E43" s="52"/>
      <c r="F43" s="53"/>
      <c r="G43" s="53"/>
      <c r="H43" s="52"/>
      <c r="I43" s="52"/>
      <c r="J43" s="54"/>
      <c r="K43" s="54"/>
      <c r="L43" s="78" t="str">
        <f>IF(C43="","",_xlfn.CONCAT("            { line: ","""",C43,", ",M43:AN43,""", sC: ","""",B43,"""},"))</f>
        <v xml:space="preserve">            { line: "de la Mujer que iba a dar a luz,, (Sol,,14)", sC: ""},</v>
      </c>
      <c r="M43" s="56" t="str">
        <f t="shared" si="30"/>
        <v>(</v>
      </c>
      <c r="N43" s="57" t="str">
        <f t="shared" si="31"/>
        <v>Sol</v>
      </c>
      <c r="O43" s="58" t="str">
        <f t="shared" si="32"/>
        <v>,</v>
      </c>
      <c r="P43" s="59" t="str">
        <f t="shared" si="33"/>
        <v/>
      </c>
      <c r="Q43" s="60" t="str">
        <f t="shared" si="34"/>
        <v>,</v>
      </c>
      <c r="R43" s="61">
        <f t="shared" si="6"/>
        <v>14</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C44" s="113" t="s">
        <v>1115</v>
      </c>
      <c r="D44" s="112" t="s">
        <v>1032</v>
      </c>
      <c r="E44" s="52"/>
      <c r="F44" s="53" t="s">
        <v>1011</v>
      </c>
      <c r="G44" s="53"/>
      <c r="H44" s="52"/>
      <c r="I44" s="52"/>
      <c r="J44" s="54"/>
      <c r="K44" s="54"/>
      <c r="L44" s="78" t="str">
        <f t="shared" ref="L44:L49" si="57">IF(C44="","",_xlfn.CONCAT("            { line: ","""",C44,", ",M44:AN44,""", sC: ","""",B44,"""},"))</f>
        <v xml:space="preserve">            { line: "para devorar a su Hijo en cuanto naciera., (Fa,,20)(Mi,,250)", sC: ""},</v>
      </c>
      <c r="M44" s="56" t="str">
        <f t="shared" si="30"/>
        <v>(</v>
      </c>
      <c r="N44" s="57" t="str">
        <f t="shared" si="31"/>
        <v>Fa</v>
      </c>
      <c r="O44" s="58" t="str">
        <f t="shared" si="32"/>
        <v>,</v>
      </c>
      <c r="P44" s="59" t="str">
        <f t="shared" si="33"/>
        <v/>
      </c>
      <c r="Q44" s="60" t="str">
        <f t="shared" si="34"/>
        <v>,</v>
      </c>
      <c r="R44" s="61">
        <f t="shared" si="6"/>
        <v>20</v>
      </c>
      <c r="S44" s="56" t="str">
        <f t="shared" si="35"/>
        <v>)</v>
      </c>
      <c r="T44" s="62" t="str">
        <f t="shared" si="36"/>
        <v>(</v>
      </c>
      <c r="U44" s="63" t="str">
        <f t="shared" si="37"/>
        <v>Mi</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113" t="s">
        <v>1116</v>
      </c>
      <c r="D46" s="112" t="s">
        <v>1013</v>
      </c>
      <c r="E46" s="52" t="s">
        <v>1012</v>
      </c>
      <c r="F46" s="53"/>
      <c r="G46" s="53"/>
      <c r="H46" s="52"/>
      <c r="I46" s="52"/>
      <c r="J46" s="54"/>
      <c r="K46" s="54"/>
      <c r="L46" s="55" t="str">
        <f t="shared" si="57"/>
        <v xml:space="preserve">            { line: "Y la Mujer dio a luz un Hijo varón,,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1117</v>
      </c>
      <c r="D47" s="112" t="s">
        <v>1015</v>
      </c>
      <c r="E47" s="52"/>
      <c r="F47" s="53"/>
      <c r="G47" s="53"/>
      <c r="H47" s="52"/>
      <c r="I47" s="52"/>
      <c r="J47" s="54"/>
      <c r="K47" s="54"/>
      <c r="L47" s="55" t="str">
        <f t="shared" si="57"/>
        <v xml:space="preserve">            { line: "aquel que ha de regir las naciones de la tierra,, (Sol,,14)", sC: ""},</v>
      </c>
      <c r="M47" s="56" t="str">
        <f>IF(N47="","","(")</f>
        <v>(</v>
      </c>
      <c r="N47" s="57" t="str">
        <f>IF(D47="","",D47)</f>
        <v>Sol</v>
      </c>
      <c r="O47" s="58" t="str">
        <f>IF(N47="","",",")</f>
        <v>,</v>
      </c>
      <c r="P47" s="59" t="str">
        <f>IF(E47="","",E47)</f>
        <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1118</v>
      </c>
      <c r="D48" s="112" t="s">
        <v>1032</v>
      </c>
      <c r="E48" s="52"/>
      <c r="F48" s="53"/>
      <c r="G48" s="53"/>
      <c r="H48" s="52"/>
      <c r="I48" s="52"/>
      <c r="J48" s="54"/>
      <c r="K48" s="54"/>
      <c r="L48" s="55" t="str">
        <f t="shared" si="57"/>
        <v xml:space="preserve">            { line: "y su Hijo fue arrebatado, (Fa,,20)", sC: ""},</v>
      </c>
      <c r="M48" s="56" t="str">
        <f>IF(N48="","","(")</f>
        <v>(</v>
      </c>
      <c r="N48" s="57" t="str">
        <f>IF(D48="","",D48)</f>
        <v>Fa</v>
      </c>
      <c r="O48" s="58" t="str">
        <f>IF(N48="","",",")</f>
        <v>,</v>
      </c>
      <c r="P48" s="59" t="str">
        <f>IF(E48="","",E48)</f>
        <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1119</v>
      </c>
      <c r="D49" s="112" t="s">
        <v>1011</v>
      </c>
      <c r="E49" s="52"/>
      <c r="F49" s="53"/>
      <c r="G49" s="53"/>
      <c r="H49" s="52"/>
      <c r="I49" s="52"/>
      <c r="J49" s="54"/>
      <c r="K49" s="54"/>
      <c r="L49" s="55" t="str">
        <f t="shared" si="57"/>
        <v xml:space="preserve">            { line: "hasta Dios y hasta su trono., (Mi,,20)", sC: ""},</v>
      </c>
      <c r="M49" s="56" t="str">
        <f t="shared" ref="M49" si="58">IF(N49="","","(")</f>
        <v>(</v>
      </c>
      <c r="N49" s="57" t="str">
        <f t="shared" ref="N49" si="59">IF(D49="","",D49)</f>
        <v>Mi</v>
      </c>
      <c r="O49" s="58" t="str">
        <f t="shared" ref="O49" si="60">IF(N49="","",",")</f>
        <v>,</v>
      </c>
      <c r="P49" s="59" t="str">
        <f t="shared" ref="P49" si="61">IF(E49="","",E49)</f>
        <v/>
      </c>
      <c r="Q49" s="60" t="str">
        <f t="shared" ref="Q49" si="62">IF(N49="","",",")</f>
        <v>,</v>
      </c>
      <c r="R49" s="61">
        <f t="shared" si="6"/>
        <v>20</v>
      </c>
      <c r="S49" s="56" t="str">
        <f t="shared" ref="S49" si="63">IF(N49="","",")")</f>
        <v>)</v>
      </c>
      <c r="T49" s="62" t="str">
        <f t="shared" ref="T49" si="64">IF(U49="","","(")</f>
        <v/>
      </c>
      <c r="U49" s="63" t="str">
        <f t="shared" ref="U49" si="65">IF(F49="","",F49)</f>
        <v/>
      </c>
      <c r="V49" s="64" t="str">
        <f t="shared" ref="V49" si="66">IF(U49="","",",")</f>
        <v/>
      </c>
      <c r="W49" s="65" t="str">
        <f t="shared" ref="W49" si="67">IF(G49="","",G49)</f>
        <v/>
      </c>
      <c r="X49" s="64" t="str">
        <f t="shared" ref="X49" si="68">IF(U49="","",",")</f>
        <v/>
      </c>
      <c r="Y49" s="64" t="str">
        <f t="shared" ref="Y49" si="69">IF(U49="","",250)</f>
        <v/>
      </c>
      <c r="Z49" s="56" t="str">
        <f t="shared" ref="Z49" si="70">IF(U49="","",")")</f>
        <v/>
      </c>
      <c r="AA49" s="66" t="str">
        <f t="shared" ref="AA49" si="71">IF(AB49="","","(")</f>
        <v/>
      </c>
      <c r="AB49" s="57" t="str">
        <f t="shared" ref="AB49" si="72">IF(H49="","",H49)</f>
        <v/>
      </c>
      <c r="AC49" s="67" t="str">
        <f t="shared" ref="AC49" si="73">IF(AB49="","",",")</f>
        <v/>
      </c>
      <c r="AD49" s="59" t="str">
        <f t="shared" ref="AD49" si="74">IF(I49="","",I49)</f>
        <v/>
      </c>
      <c r="AE49" s="68" t="str">
        <f t="shared" ref="AE49" si="75">IF(AB49="","",",")</f>
        <v/>
      </c>
      <c r="AF49" s="61" t="str">
        <f t="shared" ref="AF49" si="76">IF(AB49="","",350)</f>
        <v/>
      </c>
      <c r="AG49" s="61" t="str">
        <f t="shared" ref="AG49" si="77">IF(AB49="","",")")</f>
        <v/>
      </c>
      <c r="AH49" s="69" t="str">
        <f t="shared" ref="AH49" si="78">IF(AI49="","","(")</f>
        <v/>
      </c>
      <c r="AI49" s="70" t="str">
        <f t="shared" ref="AI49" si="79">IF(J49="","",J49)</f>
        <v/>
      </c>
      <c r="AJ49" s="64" t="str">
        <f t="shared" ref="AJ49" si="80">IF(AI49="","",",")</f>
        <v/>
      </c>
      <c r="AK49" s="64" t="str">
        <f t="shared" ref="AK49" si="81">IF(K49="","",K49)</f>
        <v/>
      </c>
      <c r="AL49" s="64" t="str">
        <f t="shared" ref="AL49" si="82">IF(AI49="","",",")</f>
        <v/>
      </c>
      <c r="AM49" s="64" t="str">
        <f t="shared" ref="AM49" si="83">IF(AI49="","",450)</f>
        <v/>
      </c>
      <c r="AN49" s="64" t="str">
        <f t="shared" ref="AN49" si="84">IF(AI49="","",")")</f>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118" t="s">
        <v>996</v>
      </c>
      <c r="M51" s="56" t="str">
        <f t="shared" ref="M51:M57" si="85">IF(N51="","","(")</f>
        <v/>
      </c>
      <c r="N51" s="57" t="str">
        <f t="shared" ref="N51:N57" si="86">IF(D51="","",D51)</f>
        <v/>
      </c>
      <c r="O51" s="58" t="str">
        <f t="shared" ref="O51:O57" si="87">IF(N51="","",",")</f>
        <v/>
      </c>
      <c r="P51" s="59" t="str">
        <f t="shared" ref="P51:P57" si="88">IF(E51="","",E51)</f>
        <v/>
      </c>
      <c r="Q51" s="60" t="str">
        <f t="shared" ref="Q51:Q57" si="89">IF(N51="","",",")</f>
        <v/>
      </c>
      <c r="R51" s="61" t="str">
        <f t="shared" si="6"/>
        <v/>
      </c>
      <c r="S51" s="56" t="str">
        <f t="shared" ref="S51:S57" si="90">IF(N51="","",")")</f>
        <v/>
      </c>
      <c r="T51" s="62" t="str">
        <f t="shared" ref="T51:T57" si="91">IF(U51="","","(")</f>
        <v/>
      </c>
      <c r="U51" s="63" t="str">
        <f t="shared" ref="U51:U57" si="92">IF(F51="","",F51)</f>
        <v/>
      </c>
      <c r="V51" s="64" t="str">
        <f t="shared" ref="V51:V57" si="93">IF(U51="","",",")</f>
        <v/>
      </c>
      <c r="W51" s="65" t="str">
        <f t="shared" ref="W51:W57" si="94">IF(G51="","",G51)</f>
        <v/>
      </c>
      <c r="X51" s="64" t="str">
        <f t="shared" ref="X51:X57" si="95">IF(U51="","",",")</f>
        <v/>
      </c>
      <c r="Y51" s="64" t="str">
        <f t="shared" ref="Y51:Y57" si="96">IF(U51="","",250)</f>
        <v/>
      </c>
      <c r="Z51" s="56" t="str">
        <f t="shared" ref="Z51:Z57" si="97">IF(U51="","",")")</f>
        <v/>
      </c>
      <c r="AA51" s="66" t="str">
        <f t="shared" ref="AA51:AA57" si="98">IF(AB51="","","(")</f>
        <v/>
      </c>
      <c r="AB51" s="57" t="str">
        <f t="shared" ref="AB51:AB57" si="99">IF(H51="","",H51)</f>
        <v/>
      </c>
      <c r="AC51" s="67" t="str">
        <f t="shared" ref="AC51:AC57" si="100">IF(AB51="","",",")</f>
        <v/>
      </c>
      <c r="AD51" s="59" t="str">
        <f t="shared" ref="AD51:AD57" si="101">IF(I51="","",I51)</f>
        <v/>
      </c>
      <c r="AE51" s="68" t="str">
        <f t="shared" ref="AE51:AE57" si="102">IF(AB51="","",",")</f>
        <v/>
      </c>
      <c r="AF51" s="61" t="str">
        <f t="shared" ref="AF51:AF57" si="103">IF(AB51="","",350)</f>
        <v/>
      </c>
      <c r="AG51" s="61" t="str">
        <f t="shared" ref="AG51:AG57" si="104">IF(AB51="","",")")</f>
        <v/>
      </c>
      <c r="AH51" s="69" t="str">
        <f t="shared" ref="AH51:AH57" si="105">IF(AI51="","","(")</f>
        <v/>
      </c>
      <c r="AI51" s="70" t="str">
        <f t="shared" ref="AI51:AI57" si="106">IF(J51="","",J51)</f>
        <v/>
      </c>
      <c r="AJ51" s="64" t="str">
        <f t="shared" ref="AJ51:AJ57" si="107">IF(AI51="","",",")</f>
        <v/>
      </c>
      <c r="AK51" s="64" t="str">
        <f t="shared" ref="AK51:AK57" si="108">IF(K51="","",K51)</f>
        <v/>
      </c>
      <c r="AL51" s="64" t="str">
        <f t="shared" ref="AL51:AL57" si="109">IF(AI51="","",",")</f>
        <v/>
      </c>
      <c r="AM51" s="64" t="str">
        <f t="shared" ref="AM51:AM57" si="110">IF(AI51="","",450)</f>
        <v/>
      </c>
      <c r="AN51" s="64" t="str">
        <f t="shared" ref="AN51:AN57" si="111">IF(AI51="","",")")</f>
        <v/>
      </c>
    </row>
    <row r="52" spans="1:40" ht="25.5" outlineLevel="1" thickTop="1" thickBot="1" x14ac:dyDescent="0.4">
      <c r="B52" t="s">
        <v>997</v>
      </c>
      <c r="C52" s="82" t="s">
        <v>1120</v>
      </c>
      <c r="D52" s="83" t="s">
        <v>1013</v>
      </c>
      <c r="E52" s="83" t="s">
        <v>1012</v>
      </c>
      <c r="F52" s="83"/>
      <c r="G52" s="83"/>
      <c r="H52" s="83"/>
      <c r="I52" s="83"/>
      <c r="J52" s="83"/>
      <c r="K52" s="83"/>
      <c r="L52" s="119" t="str">
        <f>IF(C52="","",_xlfn.CONCAT("       triggerLine: ","""",C52,", ",M52:AN52,""", sC: ","""",B52,""", lines: ["))</f>
        <v xml:space="preserve">       triggerLine: "UNA GRAN SEÑAL APARECIÓ EN EL CIELO..., (La,m,20)", sC: "ta as", lines: [</v>
      </c>
      <c r="M52" s="56" t="str">
        <f t="shared" si="85"/>
        <v>(</v>
      </c>
      <c r="N52" s="57" t="str">
        <f t="shared" si="86"/>
        <v>La</v>
      </c>
      <c r="O52" s="58" t="str">
        <f t="shared" si="87"/>
        <v>,</v>
      </c>
      <c r="P52" s="59" t="str">
        <f t="shared" si="88"/>
        <v>m</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1105</v>
      </c>
      <c r="D53" s="86" t="s">
        <v>1015</v>
      </c>
      <c r="E53" s="86"/>
      <c r="F53" s="86" t="s">
        <v>1013</v>
      </c>
      <c r="G53" s="86" t="s">
        <v>1012</v>
      </c>
      <c r="H53" s="87"/>
      <c r="I53" s="87"/>
      <c r="J53" s="87"/>
      <c r="K53" s="87"/>
      <c r="L53" s="120" t="str">
        <f>IF(C53="","",_xlfn.CONCAT("            { line: ","""",C53,", ",M53:AN53,""", sC: ","""",B53,"""},"))</f>
        <v xml:space="preserve">            { line: "UNA MUJER, UNA MUJER VESTIDA DEL SOL,, (Sol,,14)(La,m,250)", sC: "as"},</v>
      </c>
      <c r="M53" s="56" t="str">
        <f t="shared" si="85"/>
        <v>(</v>
      </c>
      <c r="N53" s="57" t="str">
        <f t="shared" si="86"/>
        <v>Sol</v>
      </c>
      <c r="O53" s="58" t="str">
        <f t="shared" si="87"/>
        <v>,</v>
      </c>
      <c r="P53" s="59" t="str">
        <f t="shared" si="88"/>
        <v/>
      </c>
      <c r="Q53" s="60" t="str">
        <f t="shared" si="89"/>
        <v>,</v>
      </c>
      <c r="R53" s="61">
        <f t="shared" si="6"/>
        <v>14</v>
      </c>
      <c r="S53" s="56" t="str">
        <f t="shared" si="90"/>
        <v>)</v>
      </c>
      <c r="T53" s="62" t="str">
        <f t="shared" si="91"/>
        <v>(</v>
      </c>
      <c r="U53" s="63" t="str">
        <f t="shared" si="92"/>
        <v>La</v>
      </c>
      <c r="V53" s="64" t="str">
        <f t="shared" si="93"/>
        <v>,</v>
      </c>
      <c r="W53" s="65" t="str">
        <f t="shared" si="94"/>
        <v>m</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1106</v>
      </c>
      <c r="D54" s="89"/>
      <c r="E54" s="89"/>
      <c r="F54" s="89"/>
      <c r="G54" s="89"/>
      <c r="H54" s="90"/>
      <c r="I54" s="90"/>
      <c r="J54" s="90"/>
      <c r="K54" s="90"/>
      <c r="L54" s="120" t="str">
        <f>IF(C54="","",_xlfn.CONCAT("            { line: ","""",C54,", ",M54:AN54,""", sC: ","""",B54,"""},"))</f>
        <v xml:space="preserve">            { line: "CON LA LUNA BAJO SUS PIES,, ", sC: "as"},</v>
      </c>
      <c r="M54" s="56" t="str">
        <f t="shared" si="85"/>
        <v/>
      </c>
      <c r="N54" s="57" t="str">
        <f t="shared" si="86"/>
        <v/>
      </c>
      <c r="O54" s="58" t="str">
        <f t="shared" si="87"/>
        <v/>
      </c>
      <c r="P54" s="59" t="str">
        <f t="shared" si="88"/>
        <v/>
      </c>
      <c r="Q54" s="60" t="str">
        <f t="shared" si="89"/>
        <v/>
      </c>
      <c r="R54" s="61" t="str">
        <f t="shared" si="6"/>
        <v/>
      </c>
      <c r="S54" s="56" t="str">
        <f t="shared" si="90"/>
        <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85" t="s">
        <v>1107</v>
      </c>
      <c r="D55" s="86" t="s">
        <v>1015</v>
      </c>
      <c r="E55" s="86"/>
      <c r="F55" s="86"/>
      <c r="G55" s="86"/>
      <c r="H55" s="87"/>
      <c r="I55" s="87"/>
      <c r="J55" s="87"/>
      <c r="K55" s="87"/>
      <c r="L55" s="120" t="str">
        <f>IF(C55="","",_xlfn.CONCAT("            { line: ","""",C55,", ",M55:AN55,""", sC: ","""",B55,"""},"))</f>
        <v xml:space="preserve">            { line: "Y UNA CORONA DE DOCE ESTRELLAS;, (Sol,,14)", sC: "as"},</v>
      </c>
      <c r="M55" s="56" t="str">
        <f t="shared" si="85"/>
        <v>(</v>
      </c>
      <c r="N55" s="57" t="str">
        <f t="shared" si="86"/>
        <v>Sol</v>
      </c>
      <c r="O55" s="58" t="str">
        <f t="shared" si="87"/>
        <v>,</v>
      </c>
      <c r="P55" s="59" t="str">
        <f t="shared" si="88"/>
        <v/>
      </c>
      <c r="Q55" s="60" t="str">
        <f t="shared" si="89"/>
        <v>,</v>
      </c>
      <c r="R55" s="61">
        <f t="shared" si="6"/>
        <v>14</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outlineLevel="1" thickTop="1" thickBot="1" x14ac:dyDescent="0.4">
      <c r="B56" t="s">
        <v>999</v>
      </c>
      <c r="C56" s="85" t="s">
        <v>1108</v>
      </c>
      <c r="D56" s="89" t="s">
        <v>1013</v>
      </c>
      <c r="E56" s="89" t="s">
        <v>1012</v>
      </c>
      <c r="F56" s="89"/>
      <c r="G56" s="89"/>
      <c r="H56" s="90"/>
      <c r="I56" s="90"/>
      <c r="J56" s="90"/>
      <c r="K56" s="90"/>
      <c r="L56" s="120" t="str">
        <f>IF(C56="","",_xlfn.CONCAT("            { line: ","""",C56,", ",M56:AN56,""", sC: ","""",B56,"""},"))</f>
        <v xml:space="preserve">            { line: "ESTÁ ENCINTA, Y GRITA, (La,m,20)", sC: "as"},</v>
      </c>
      <c r="M56" s="56" t="str">
        <f t="shared" si="85"/>
        <v>(</v>
      </c>
      <c r="N56" s="57" t="str">
        <f t="shared" si="86"/>
        <v>La</v>
      </c>
      <c r="O56" s="58" t="str">
        <f t="shared" si="87"/>
        <v>,</v>
      </c>
      <c r="P56" s="59" t="str">
        <f t="shared" si="88"/>
        <v>m</v>
      </c>
      <c r="Q56" s="60" t="str">
        <f t="shared" si="89"/>
        <v>,</v>
      </c>
      <c r="R56" s="61">
        <f t="shared" si="6"/>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outlineLevel="1" thickTop="1" thickBot="1" x14ac:dyDescent="0.4">
      <c r="B57" t="s">
        <v>999</v>
      </c>
      <c r="C57" s="93" t="s">
        <v>1109</v>
      </c>
      <c r="D57" s="83" t="s">
        <v>1032</v>
      </c>
      <c r="E57" s="83"/>
      <c r="F57" s="83" t="s">
        <v>1011</v>
      </c>
      <c r="G57" s="83"/>
      <c r="H57" s="83"/>
      <c r="I57" s="83"/>
      <c r="J57" s="83"/>
      <c r="K57" s="83"/>
      <c r="L57" s="121" t="str">
        <f>IF(C57="","",_xlfn.CONCAT("            { line: ","""",C57,", ",M57:AN57,""", sC: ","""",B57,"""},  ]},"))</f>
        <v xml:space="preserve">            { line: "CON LOS TORMENTOS DE DAR A LUZ., (Fa,,20)(Mi,,250)", sC: "as"},  ]},</v>
      </c>
      <c r="M57" s="56" t="str">
        <f t="shared" si="85"/>
        <v>(</v>
      </c>
      <c r="N57" s="57" t="str">
        <f t="shared" si="86"/>
        <v>Fa</v>
      </c>
      <c r="O57" s="58" t="str">
        <f t="shared" si="87"/>
        <v>,</v>
      </c>
      <c r="P57" s="59" t="str">
        <f t="shared" si="88"/>
        <v/>
      </c>
      <c r="Q57" s="60" t="str">
        <f t="shared" si="89"/>
        <v>,</v>
      </c>
      <c r="R57" s="61">
        <f t="shared" si="6"/>
        <v>20</v>
      </c>
      <c r="S57" s="56" t="str">
        <f t="shared" si="90"/>
        <v>)</v>
      </c>
      <c r="T57" s="62" t="str">
        <f t="shared" si="91"/>
        <v>(</v>
      </c>
      <c r="U57" s="63" t="str">
        <f t="shared" si="92"/>
        <v>Mi</v>
      </c>
      <c r="V57" s="64" t="str">
        <f t="shared" si="93"/>
        <v>,</v>
      </c>
      <c r="W57" s="65" t="str">
        <f t="shared" si="94"/>
        <v/>
      </c>
      <c r="X57" s="64" t="str">
        <f t="shared" si="95"/>
        <v>,</v>
      </c>
      <c r="Y57" s="64">
        <f t="shared" si="96"/>
        <v>250</v>
      </c>
      <c r="Z57" s="56" t="str">
        <f t="shared" si="97"/>
        <v>)</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7.75" outlineLevel="1" thickTop="1" thickBot="1" x14ac:dyDescent="0.4">
      <c r="A58" s="73"/>
      <c r="B58" s="73"/>
      <c r="C58" s="73"/>
      <c r="D58" s="74"/>
      <c r="E58" s="74"/>
      <c r="F58" s="74"/>
      <c r="G58" s="74"/>
      <c r="H58" s="74"/>
      <c r="I58" s="74"/>
      <c r="J58" s="74"/>
      <c r="K58" s="74"/>
      <c r="L58" s="75" t="s">
        <v>993</v>
      </c>
      <c r="M58" s="56"/>
      <c r="N58" s="57"/>
      <c r="O58" s="58"/>
      <c r="P58" s="59"/>
      <c r="Q58" s="60"/>
      <c r="R58" s="61" t="str">
        <f t="shared" si="6"/>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1121</v>
      </c>
      <c r="D59" s="112" t="s">
        <v>1013</v>
      </c>
      <c r="E59" s="52" t="s">
        <v>1012</v>
      </c>
      <c r="F59" s="53"/>
      <c r="G59" s="53"/>
      <c r="H59" s="52"/>
      <c r="I59" s="52"/>
      <c r="J59" s="54"/>
      <c r="K59" s="54"/>
      <c r="L59" s="55" t="str">
        <f t="shared" ref="L59" si="112">IF(C59="","",_xlfn.CONCAT("            { line: ","""",C59,", ",M59:AN59,""", sC: ","""",B59,"""},"))</f>
        <v xml:space="preserve">            { line: "Entonces se entabló una batalla en el cielo:, (La,m,20)", sC: "tc"},</v>
      </c>
      <c r="M59" s="56" t="str">
        <f>IF(N59="","","(")</f>
        <v>(</v>
      </c>
      <c r="N59" s="57" t="str">
        <f>IF(D59="","",D59)</f>
        <v>La</v>
      </c>
      <c r="O59" s="58" t="str">
        <f>IF(N59="","",",")</f>
        <v>,</v>
      </c>
      <c r="P59" s="59" t="str">
        <f>IF(E59="","",E59)</f>
        <v>m</v>
      </c>
      <c r="Q59" s="60" t="str">
        <f>IF(N59="","",",")</f>
        <v>,</v>
      </c>
      <c r="R59" s="61">
        <f t="shared" si="6"/>
        <v>20</v>
      </c>
      <c r="S59" s="56" t="str">
        <f>IF(N59="","",")")</f>
        <v>)</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thickTop="1" thickBot="1" x14ac:dyDescent="0.4">
      <c r="C60" s="113" t="s">
        <v>1122</v>
      </c>
      <c r="D60" s="112" t="s">
        <v>1015</v>
      </c>
      <c r="E60" s="52"/>
      <c r="F60" s="53" t="s">
        <v>1032</v>
      </c>
      <c r="G60" s="53"/>
      <c r="H60" s="52"/>
      <c r="I60" s="52"/>
      <c r="J60" s="54"/>
      <c r="K60" s="54"/>
      <c r="L60" s="78" t="str">
        <f t="shared" si="0"/>
        <v xml:space="preserve">            { line: "Miguel y sus Ángeles combatieron, (Sol,,14)(Fa,,250)", sC: ""},</v>
      </c>
      <c r="M60" s="56" t="str">
        <f t="shared" si="1"/>
        <v>(</v>
      </c>
      <c r="N60" s="57" t="str">
        <f t="shared" si="2"/>
        <v>Sol</v>
      </c>
      <c r="O60" s="58" t="str">
        <f t="shared" si="3"/>
        <v>,</v>
      </c>
      <c r="P60" s="59" t="str">
        <f t="shared" si="4"/>
        <v/>
      </c>
      <c r="Q60" s="60" t="str">
        <f t="shared" si="5"/>
        <v>,</v>
      </c>
      <c r="R60" s="61">
        <f t="shared" si="6"/>
        <v>14</v>
      </c>
      <c r="S60" s="56" t="str">
        <f t="shared" si="7"/>
        <v>)</v>
      </c>
      <c r="T60" s="62" t="str">
        <f t="shared" si="8"/>
        <v>(</v>
      </c>
      <c r="U60" s="63" t="str">
        <f t="shared" si="9"/>
        <v>Fa</v>
      </c>
      <c r="V60" s="64" t="str">
        <f t="shared" si="10"/>
        <v>,</v>
      </c>
      <c r="W60" s="65" t="str">
        <f t="shared" si="11"/>
        <v/>
      </c>
      <c r="X60" s="64" t="str">
        <f t="shared" si="12"/>
        <v>,</v>
      </c>
      <c r="Y60" s="64">
        <f t="shared" si="13"/>
        <v>250</v>
      </c>
      <c r="Z60" s="56" t="str">
        <f t="shared" si="14"/>
        <v>)</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thickTop="1" thickBot="1" x14ac:dyDescent="0.4">
      <c r="C61" s="113" t="s">
        <v>1123</v>
      </c>
      <c r="D61" s="112" t="s">
        <v>1011</v>
      </c>
      <c r="E61" s="52"/>
      <c r="F61" s="53"/>
      <c r="G61" s="53"/>
      <c r="H61" s="52"/>
      <c r="I61" s="52"/>
      <c r="J61" s="54"/>
      <c r="K61" s="54"/>
      <c r="L61" s="78" t="str">
        <f>IF(C61="","",_xlfn.CONCAT("            { line: ","""",C61,", ",M61:AN61,""", sC: ","""",B61,"""},"))</f>
        <v xml:space="preserve">            { line: "con el Dragón, con el gran Dragón., (Mi,,20)", sC: ""},</v>
      </c>
      <c r="M61" s="56" t="str">
        <f t="shared" si="1"/>
        <v>(</v>
      </c>
      <c r="N61" s="57" t="str">
        <f t="shared" si="2"/>
        <v>Mi</v>
      </c>
      <c r="O61" s="58" t="str">
        <f t="shared" si="3"/>
        <v>,</v>
      </c>
      <c r="P61" s="59" t="str">
        <f t="shared" si="4"/>
        <v/>
      </c>
      <c r="Q61" s="60" t="str">
        <f t="shared" si="5"/>
        <v>,</v>
      </c>
      <c r="R61" s="61">
        <f t="shared" si="6"/>
        <v>20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36.75" thickTop="1" thickBot="1" x14ac:dyDescent="0.4">
      <c r="A62" s="76"/>
      <c r="B62" s="76"/>
      <c r="C62" s="76" t="s">
        <v>1031</v>
      </c>
      <c r="D62" s="77"/>
      <c r="E62" s="77"/>
      <c r="F62" s="77"/>
      <c r="G62" s="77"/>
      <c r="H62" s="77"/>
      <c r="I62" s="77"/>
      <c r="J62" s="77"/>
      <c r="K62" s="77"/>
      <c r="L62" s="117" t="s">
        <v>994</v>
      </c>
      <c r="M62" s="104"/>
      <c r="N62" s="57"/>
      <c r="O62" s="105"/>
      <c r="P62" s="59"/>
      <c r="Q62" s="106"/>
      <c r="R62" s="61" t="str">
        <f t="shared" si="6"/>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outlineLevel="1" thickTop="1" thickBot="1" x14ac:dyDescent="0.4">
      <c r="C63" s="113" t="s">
        <v>1124</v>
      </c>
      <c r="D63" s="112" t="s">
        <v>1013</v>
      </c>
      <c r="E63" s="52" t="s">
        <v>1012</v>
      </c>
      <c r="F63" s="53" t="s">
        <v>1015</v>
      </c>
      <c r="G63" s="53"/>
      <c r="H63" s="52"/>
      <c r="I63" s="52"/>
      <c r="J63" s="54"/>
      <c r="K63" s="54"/>
      <c r="L63" s="55" t="str">
        <f t="shared" ref="L63:L94" si="113">IF(C63="","",_xlfn.CONCAT("            { line: ","""",C63,", ",M63:AN63,""", sC: ","""",B63,"""},"))</f>
        <v xml:space="preserve">            { line: "También el Dragón y sus ángeles combatieron,, (La,m,20)(Sol,,250)", sC: ""},</v>
      </c>
      <c r="M63" s="56" t="str">
        <f t="shared" ref="M63:M94" si="114">IF(N63="","","(")</f>
        <v>(</v>
      </c>
      <c r="N63" s="57" t="str">
        <f t="shared" si="2"/>
        <v>La</v>
      </c>
      <c r="O63" s="58" t="str">
        <f t="shared" ref="O63:O94" si="115">IF(N63="","",",")</f>
        <v>,</v>
      </c>
      <c r="P63" s="59" t="str">
        <f t="shared" si="4"/>
        <v>m</v>
      </c>
      <c r="Q63" s="60" t="str">
        <f t="shared" ref="Q63:Q94" si="116">IF(N63="","",",")</f>
        <v>,</v>
      </c>
      <c r="R63" s="61">
        <f t="shared" si="6"/>
        <v>20</v>
      </c>
      <c r="S63" s="56" t="str">
        <f t="shared" ref="S63:S94" si="117">IF(N63="","",")")</f>
        <v>)</v>
      </c>
      <c r="T63" s="62" t="str">
        <f t="shared" ref="T63:T94" si="118">IF(U63="","","(")</f>
        <v>(</v>
      </c>
      <c r="U63" s="63" t="str">
        <f t="shared" si="9"/>
        <v>Sol</v>
      </c>
      <c r="V63" s="64" t="str">
        <f t="shared" ref="V63:V94" si="119">IF(U63="","",",")</f>
        <v>,</v>
      </c>
      <c r="W63" s="65" t="str">
        <f t="shared" si="11"/>
        <v/>
      </c>
      <c r="X63" s="64" t="str">
        <f t="shared" ref="X63:X94" si="120">IF(U63="","",",")</f>
        <v>,</v>
      </c>
      <c r="Y63" s="64">
        <f t="shared" ref="Y63:Y94" si="121">IF(U63="","",250)</f>
        <v>250</v>
      </c>
      <c r="Z63" s="56" t="str">
        <f t="shared" ref="Z63:Z94" si="122">IF(U63="","",")")</f>
        <v>)</v>
      </c>
      <c r="AA63" s="66" t="str">
        <f t="shared" ref="AA63:AA94" si="123">IF(AB63="","","(")</f>
        <v/>
      </c>
      <c r="AB63" s="57" t="str">
        <f t="shared" si="16"/>
        <v/>
      </c>
      <c r="AC63" s="67" t="str">
        <f t="shared" ref="AC63:AC94" si="124">IF(AB63="","",",")</f>
        <v/>
      </c>
      <c r="AD63" s="59" t="str">
        <f t="shared" ref="AD63:AD94" si="125">IF(I63="","",I63)</f>
        <v/>
      </c>
      <c r="AE63" s="68" t="str">
        <f t="shared" ref="AE63:AE94" si="126">IF(AB63="","",",")</f>
        <v/>
      </c>
      <c r="AF63" s="61" t="str">
        <f t="shared" ref="AF63:AF94" si="127">IF(AB63="","",350)</f>
        <v/>
      </c>
      <c r="AG63" s="61" t="str">
        <f t="shared" ref="AG63:AG94" si="128">IF(AB63="","",")")</f>
        <v/>
      </c>
      <c r="AH63" s="69" t="str">
        <f t="shared" ref="AH63:AH94" si="129">IF(AI63="","","(")</f>
        <v/>
      </c>
      <c r="AI63" s="70" t="str">
        <f t="shared" si="23"/>
        <v/>
      </c>
      <c r="AJ63" s="64" t="str">
        <f t="shared" ref="AJ63:AJ94" si="130">IF(AI63="","",",")</f>
        <v/>
      </c>
      <c r="AK63" s="64" t="str">
        <f t="shared" ref="AK63:AK94" si="131">IF(K63="","",K63)</f>
        <v/>
      </c>
      <c r="AL63" s="64" t="str">
        <f t="shared" ref="AL63:AL94" si="132">IF(AI63="","",",")</f>
        <v/>
      </c>
      <c r="AM63" s="64" t="str">
        <f t="shared" ref="AM63:AM94" si="133">IF(AI63="","",450)</f>
        <v/>
      </c>
      <c r="AN63" s="64" t="str">
        <f t="shared" ref="AN63:AN94" si="134">IF(AI63="","",")")</f>
        <v/>
      </c>
    </row>
    <row r="64" spans="1:40" ht="25.5" outlineLevel="1" thickTop="1" thickBot="1" x14ac:dyDescent="0.4">
      <c r="C64" s="113" t="s">
        <v>1125</v>
      </c>
      <c r="D64" s="112" t="s">
        <v>1032</v>
      </c>
      <c r="E64" s="52"/>
      <c r="F64" s="53"/>
      <c r="G64" s="53"/>
      <c r="H64" s="52"/>
      <c r="I64" s="52"/>
      <c r="J64" s="54"/>
      <c r="K64" s="54"/>
      <c r="L64" s="55" t="str">
        <f t="shared" si="113"/>
        <v xml:space="preserve">            { line: "pero no prevalecieron, (Fa,,20)", sC: ""},</v>
      </c>
      <c r="M64" s="56" t="str">
        <f t="shared" si="114"/>
        <v>(</v>
      </c>
      <c r="N64" s="57" t="str">
        <f t="shared" si="2"/>
        <v>Fa</v>
      </c>
      <c r="O64" s="58" t="str">
        <f t="shared" si="115"/>
        <v>,</v>
      </c>
      <c r="P64" s="59" t="str">
        <f t="shared" si="4"/>
        <v/>
      </c>
      <c r="Q64" s="60" t="str">
        <f t="shared" si="116"/>
        <v>,</v>
      </c>
      <c r="R64" s="61">
        <f t="shared" si="6"/>
        <v>20</v>
      </c>
      <c r="S64" s="56" t="str">
        <f t="shared" si="117"/>
        <v>)</v>
      </c>
      <c r="T64" s="62" t="str">
        <f t="shared" si="118"/>
        <v/>
      </c>
      <c r="U64" s="63" t="str">
        <f t="shared" si="9"/>
        <v/>
      </c>
      <c r="V64" s="64" t="str">
        <f t="shared" si="119"/>
        <v/>
      </c>
      <c r="W64" s="65" t="str">
        <f t="shared" si="11"/>
        <v/>
      </c>
      <c r="X64" s="64" t="str">
        <f t="shared" si="120"/>
        <v/>
      </c>
      <c r="Y64" s="64" t="str">
        <f t="shared" si="121"/>
        <v/>
      </c>
      <c r="Z64" s="56" t="str">
        <f t="shared" si="122"/>
        <v/>
      </c>
      <c r="AA64" s="66" t="str">
        <f t="shared" si="123"/>
        <v/>
      </c>
      <c r="AB64" s="57" t="str">
        <f t="shared" si="16"/>
        <v/>
      </c>
      <c r="AC64" s="67" t="str">
        <f t="shared" si="124"/>
        <v/>
      </c>
      <c r="AD64" s="59" t="str">
        <f t="shared" si="125"/>
        <v/>
      </c>
      <c r="AE64" s="68" t="str">
        <f t="shared" si="126"/>
        <v/>
      </c>
      <c r="AF64" s="61" t="str">
        <f t="shared" si="127"/>
        <v/>
      </c>
      <c r="AG64" s="61" t="str">
        <f t="shared" si="128"/>
        <v/>
      </c>
      <c r="AH64" s="69" t="str">
        <f t="shared" si="129"/>
        <v/>
      </c>
      <c r="AI64" s="70" t="str">
        <f t="shared" si="23"/>
        <v/>
      </c>
      <c r="AJ64" s="64" t="str">
        <f t="shared" si="130"/>
        <v/>
      </c>
      <c r="AK64" s="64" t="str">
        <f t="shared" si="131"/>
        <v/>
      </c>
      <c r="AL64" s="64" t="str">
        <f t="shared" si="132"/>
        <v/>
      </c>
      <c r="AM64" s="64" t="str">
        <f t="shared" si="133"/>
        <v/>
      </c>
      <c r="AN64" s="64" t="str">
        <f t="shared" si="134"/>
        <v/>
      </c>
    </row>
    <row r="65" spans="1:40" ht="25.5" outlineLevel="1" thickTop="1" thickBot="1" x14ac:dyDescent="0.4">
      <c r="C65" s="113" t="s">
        <v>1126</v>
      </c>
      <c r="D65" s="112" t="s">
        <v>1011</v>
      </c>
      <c r="E65" s="52"/>
      <c r="F65" s="53"/>
      <c r="G65" s="53"/>
      <c r="H65" s="52"/>
      <c r="I65" s="52"/>
      <c r="J65" s="54"/>
      <c r="K65" s="54"/>
      <c r="L65" s="55" t="str">
        <f t="shared" si="113"/>
        <v xml:space="preserve">            { line: "y no hubo ya lugar para ellos en el cielo., (Mi,,20)", sC: ""},</v>
      </c>
      <c r="M65" s="56" t="str">
        <f t="shared" si="114"/>
        <v>(</v>
      </c>
      <c r="N65" s="57" t="str">
        <f t="shared" si="2"/>
        <v>Mi</v>
      </c>
      <c r="O65" s="58" t="str">
        <f t="shared" si="115"/>
        <v>,</v>
      </c>
      <c r="P65" s="59" t="str">
        <f t="shared" si="4"/>
        <v/>
      </c>
      <c r="Q65" s="60" t="str">
        <f t="shared" si="116"/>
        <v>,</v>
      </c>
      <c r="R65" s="61">
        <f t="shared" si="6"/>
        <v>20</v>
      </c>
      <c r="S65" s="56" t="str">
        <f t="shared" si="117"/>
        <v>)</v>
      </c>
      <c r="T65" s="62" t="str">
        <f t="shared" si="118"/>
        <v/>
      </c>
      <c r="U65" s="63" t="str">
        <f t="shared" si="9"/>
        <v/>
      </c>
      <c r="V65" s="64" t="str">
        <f t="shared" si="119"/>
        <v/>
      </c>
      <c r="W65" s="65" t="str">
        <f t="shared" si="11"/>
        <v/>
      </c>
      <c r="X65" s="64" t="str">
        <f t="shared" si="120"/>
        <v/>
      </c>
      <c r="Y65" s="64" t="str">
        <f t="shared" si="121"/>
        <v/>
      </c>
      <c r="Z65" s="56" t="str">
        <f t="shared" si="122"/>
        <v/>
      </c>
      <c r="AA65" s="66" t="str">
        <f t="shared" si="123"/>
        <v/>
      </c>
      <c r="AB65" s="57" t="str">
        <f t="shared" si="16"/>
        <v/>
      </c>
      <c r="AC65" s="67" t="str">
        <f t="shared" si="124"/>
        <v/>
      </c>
      <c r="AD65" s="59" t="str">
        <f t="shared" si="125"/>
        <v/>
      </c>
      <c r="AE65" s="68" t="str">
        <f t="shared" si="126"/>
        <v/>
      </c>
      <c r="AF65" s="61" t="str">
        <f t="shared" si="127"/>
        <v/>
      </c>
      <c r="AG65" s="61" t="str">
        <f t="shared" si="128"/>
        <v/>
      </c>
      <c r="AH65" s="69" t="str">
        <f t="shared" si="129"/>
        <v/>
      </c>
      <c r="AI65" s="70" t="str">
        <f t="shared" si="23"/>
        <v/>
      </c>
      <c r="AJ65" s="64" t="str">
        <f t="shared" si="130"/>
        <v/>
      </c>
      <c r="AK65" s="64" t="str">
        <f t="shared" si="131"/>
        <v/>
      </c>
      <c r="AL65" s="64" t="str">
        <f t="shared" si="132"/>
        <v/>
      </c>
      <c r="AM65" s="64" t="str">
        <f t="shared" si="133"/>
        <v/>
      </c>
      <c r="AN65" s="64" t="str">
        <f t="shared" si="134"/>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113" t="s">
        <v>1127</v>
      </c>
      <c r="D67" s="112" t="s">
        <v>1013</v>
      </c>
      <c r="E67" s="52" t="s">
        <v>1012</v>
      </c>
      <c r="F67" s="53"/>
      <c r="G67" s="53"/>
      <c r="H67" s="52"/>
      <c r="I67" s="52"/>
      <c r="J67" s="54"/>
      <c r="K67" s="54"/>
      <c r="L67" s="55" t="str">
        <f t="shared" si="113"/>
        <v xml:space="preserve">            { line: "Y fue arrojado el Dragón, el gran Dragón,, (La,m,20)", sC: ""},</v>
      </c>
      <c r="M67" s="56" t="str">
        <f t="shared" si="114"/>
        <v>(</v>
      </c>
      <c r="N67" s="57" t="str">
        <f t="shared" si="2"/>
        <v>La</v>
      </c>
      <c r="O67" s="58" t="str">
        <f t="shared" si="115"/>
        <v>,</v>
      </c>
      <c r="P67" s="59" t="str">
        <f t="shared" si="4"/>
        <v>m</v>
      </c>
      <c r="Q67" s="60" t="str">
        <f t="shared" si="116"/>
        <v>,</v>
      </c>
      <c r="R67" s="61">
        <f t="shared" si="6"/>
        <v>20</v>
      </c>
      <c r="S67" s="56" t="str">
        <f t="shared" si="117"/>
        <v>)</v>
      </c>
      <c r="T67" s="62" t="str">
        <f t="shared" si="118"/>
        <v/>
      </c>
      <c r="U67" s="63" t="str">
        <f t="shared" si="9"/>
        <v/>
      </c>
      <c r="V67" s="64" t="str">
        <f t="shared" si="119"/>
        <v/>
      </c>
      <c r="W67" s="65" t="str">
        <f t="shared" si="11"/>
        <v/>
      </c>
      <c r="X67" s="64" t="str">
        <f t="shared" si="120"/>
        <v/>
      </c>
      <c r="Y67" s="64" t="str">
        <f t="shared" si="121"/>
        <v/>
      </c>
      <c r="Z67" s="56" t="str">
        <f t="shared" si="122"/>
        <v/>
      </c>
      <c r="AA67" s="66" t="str">
        <f t="shared" si="123"/>
        <v/>
      </c>
      <c r="AB67" s="57" t="str">
        <f t="shared" si="16"/>
        <v/>
      </c>
      <c r="AC67" s="67" t="str">
        <f t="shared" si="124"/>
        <v/>
      </c>
      <c r="AD67" s="59" t="str">
        <f t="shared" si="125"/>
        <v/>
      </c>
      <c r="AE67" s="68" t="str">
        <f t="shared" si="126"/>
        <v/>
      </c>
      <c r="AF67" s="61" t="str">
        <f t="shared" si="127"/>
        <v/>
      </c>
      <c r="AG67" s="61" t="str">
        <f t="shared" si="128"/>
        <v/>
      </c>
      <c r="AH67" s="69" t="str">
        <f t="shared" si="129"/>
        <v/>
      </c>
      <c r="AI67" s="70" t="str">
        <f t="shared" si="23"/>
        <v/>
      </c>
      <c r="AJ67" s="64" t="str">
        <f t="shared" si="130"/>
        <v/>
      </c>
      <c r="AK67" s="64" t="str">
        <f t="shared" si="131"/>
        <v/>
      </c>
      <c r="AL67" s="64" t="str">
        <f t="shared" si="132"/>
        <v/>
      </c>
      <c r="AM67" s="64" t="str">
        <f t="shared" si="133"/>
        <v/>
      </c>
      <c r="AN67" s="64" t="str">
        <f t="shared" si="134"/>
        <v/>
      </c>
    </row>
    <row r="68" spans="1:40" ht="25.5" outlineLevel="1" thickTop="1" thickBot="1" x14ac:dyDescent="0.4">
      <c r="C68" s="113" t="s">
        <v>1128</v>
      </c>
      <c r="D68" s="112"/>
      <c r="E68" s="52"/>
      <c r="F68" s="53"/>
      <c r="G68" s="53"/>
      <c r="H68" s="52"/>
      <c r="I68" s="52"/>
      <c r="J68" s="54"/>
      <c r="K68" s="54"/>
      <c r="L68" s="55" t="str">
        <f t="shared" si="113"/>
        <v xml:space="preserve">            { line: "la Serpiente antigua, el llamado Diablo, ", sC: ""},</v>
      </c>
      <c r="M68" s="56" t="str">
        <f t="shared" si="114"/>
        <v/>
      </c>
      <c r="N68" s="57" t="str">
        <f t="shared" si="2"/>
        <v/>
      </c>
      <c r="O68" s="58" t="str">
        <f t="shared" si="115"/>
        <v/>
      </c>
      <c r="P68" s="59" t="str">
        <f t="shared" si="4"/>
        <v/>
      </c>
      <c r="Q68" s="60" t="str">
        <f t="shared" si="116"/>
        <v/>
      </c>
      <c r="R68" s="61" t="str">
        <f t="shared" si="6"/>
        <v/>
      </c>
      <c r="S68" s="56" t="str">
        <f t="shared" si="117"/>
        <v/>
      </c>
      <c r="T68" s="62" t="str">
        <f t="shared" si="118"/>
        <v/>
      </c>
      <c r="U68" s="63" t="str">
        <f t="shared" si="9"/>
        <v/>
      </c>
      <c r="V68" s="64" t="str">
        <f t="shared" si="119"/>
        <v/>
      </c>
      <c r="W68" s="65" t="str">
        <f t="shared" si="11"/>
        <v/>
      </c>
      <c r="X68" s="64" t="str">
        <f t="shared" si="120"/>
        <v/>
      </c>
      <c r="Y68" s="64" t="str">
        <f t="shared" si="121"/>
        <v/>
      </c>
      <c r="Z68" s="56" t="str">
        <f t="shared" si="122"/>
        <v/>
      </c>
      <c r="AA68" s="66" t="str">
        <f t="shared" si="123"/>
        <v/>
      </c>
      <c r="AB68" s="57" t="str">
        <f t="shared" si="16"/>
        <v/>
      </c>
      <c r="AC68" s="67" t="str">
        <f t="shared" si="124"/>
        <v/>
      </c>
      <c r="AD68" s="59" t="str">
        <f t="shared" si="125"/>
        <v/>
      </c>
      <c r="AE68" s="68" t="str">
        <f t="shared" si="126"/>
        <v/>
      </c>
      <c r="AF68" s="61" t="str">
        <f t="shared" si="127"/>
        <v/>
      </c>
      <c r="AG68" s="61" t="str">
        <f t="shared" si="128"/>
        <v/>
      </c>
      <c r="AH68" s="69" t="str">
        <f t="shared" si="129"/>
        <v/>
      </c>
      <c r="AI68" s="70" t="str">
        <f t="shared" si="23"/>
        <v/>
      </c>
      <c r="AJ68" s="64" t="str">
        <f t="shared" si="130"/>
        <v/>
      </c>
      <c r="AK68" s="64" t="str">
        <f t="shared" si="131"/>
        <v/>
      </c>
      <c r="AL68" s="64" t="str">
        <f t="shared" si="132"/>
        <v/>
      </c>
      <c r="AM68" s="64" t="str">
        <f t="shared" si="133"/>
        <v/>
      </c>
      <c r="AN68" s="64" t="str">
        <f t="shared" si="134"/>
        <v/>
      </c>
    </row>
    <row r="69" spans="1:40" ht="25.5" outlineLevel="1" thickTop="1" thickBot="1" x14ac:dyDescent="0.4">
      <c r="C69" s="113" t="s">
        <v>1129</v>
      </c>
      <c r="D69" s="112" t="s">
        <v>1015</v>
      </c>
      <c r="E69" s="52"/>
      <c r="F69" s="53" t="s">
        <v>1032</v>
      </c>
      <c r="G69" s="53"/>
      <c r="H69" s="52"/>
      <c r="I69" s="52"/>
      <c r="J69" s="54"/>
      <c r="K69" s="54"/>
      <c r="L69" s="55" t="str">
        <f t="shared" si="113"/>
        <v xml:space="preserve">            { line: "y Satanás, el seductor del mundo entero,, (Sol,,14)(Fa,,250)", sC: ""},</v>
      </c>
      <c r="M69" s="56" t="str">
        <f t="shared" si="114"/>
        <v>(</v>
      </c>
      <c r="N69" s="57" t="str">
        <f t="shared" si="2"/>
        <v>Sol</v>
      </c>
      <c r="O69" s="58" t="str">
        <f t="shared" si="115"/>
        <v>,</v>
      </c>
      <c r="P69" s="59" t="str">
        <f t="shared" si="4"/>
        <v/>
      </c>
      <c r="Q69" s="60" t="str">
        <f t="shared" si="116"/>
        <v>,</v>
      </c>
      <c r="R69" s="61">
        <f t="shared" si="6"/>
        <v>14</v>
      </c>
      <c r="S69" s="56" t="str">
        <f t="shared" si="117"/>
        <v>)</v>
      </c>
      <c r="T69" s="62" t="str">
        <f t="shared" si="118"/>
        <v>(</v>
      </c>
      <c r="U69" s="63" t="str">
        <f t="shared" si="9"/>
        <v>Fa</v>
      </c>
      <c r="V69" s="64" t="str">
        <f t="shared" si="119"/>
        <v>,</v>
      </c>
      <c r="W69" s="65" t="str">
        <f t="shared" si="11"/>
        <v/>
      </c>
      <c r="X69" s="64" t="str">
        <f t="shared" si="120"/>
        <v>,</v>
      </c>
      <c r="Y69" s="64">
        <f t="shared" si="121"/>
        <v>250</v>
      </c>
      <c r="Z69" s="56" t="str">
        <f t="shared" si="122"/>
        <v>)</v>
      </c>
      <c r="AA69" s="66" t="str">
        <f t="shared" si="123"/>
        <v/>
      </c>
      <c r="AB69" s="57" t="str">
        <f t="shared" si="16"/>
        <v/>
      </c>
      <c r="AC69" s="67" t="str">
        <f t="shared" si="124"/>
        <v/>
      </c>
      <c r="AD69" s="59" t="str">
        <f t="shared" si="125"/>
        <v/>
      </c>
      <c r="AE69" s="68" t="str">
        <f t="shared" si="126"/>
        <v/>
      </c>
      <c r="AF69" s="61" t="str">
        <f t="shared" si="127"/>
        <v/>
      </c>
      <c r="AG69" s="61" t="str">
        <f t="shared" si="128"/>
        <v/>
      </c>
      <c r="AH69" s="69" t="str">
        <f t="shared" si="129"/>
        <v/>
      </c>
      <c r="AI69" s="70" t="str">
        <f t="shared" si="23"/>
        <v/>
      </c>
      <c r="AJ69" s="64" t="str">
        <f t="shared" si="130"/>
        <v/>
      </c>
      <c r="AK69" s="64" t="str">
        <f t="shared" si="131"/>
        <v/>
      </c>
      <c r="AL69" s="64" t="str">
        <f t="shared" si="132"/>
        <v/>
      </c>
      <c r="AM69" s="64" t="str">
        <f t="shared" si="133"/>
        <v/>
      </c>
      <c r="AN69" s="64" t="str">
        <f t="shared" si="134"/>
        <v/>
      </c>
    </row>
    <row r="70" spans="1:40" ht="25.5" outlineLevel="1" thickTop="1" thickBot="1" x14ac:dyDescent="0.4">
      <c r="C70" s="113" t="s">
        <v>1130</v>
      </c>
      <c r="D70" s="112" t="s">
        <v>1011</v>
      </c>
      <c r="E70" s="52"/>
      <c r="F70" s="53"/>
      <c r="G70" s="53"/>
      <c r="H70" s="52"/>
      <c r="I70" s="52"/>
      <c r="J70" s="54"/>
      <c r="K70" s="54"/>
      <c r="L70" s="55" t="str">
        <f t="shared" si="113"/>
        <v xml:space="preserve">            { line: "fue arrojado a la tierra y sus ángeles con él., (Mi,,20)", sC: ""},</v>
      </c>
      <c r="M70" s="56" t="str">
        <f t="shared" si="114"/>
        <v>(</v>
      </c>
      <c r="N70" s="57" t="str">
        <f t="shared" si="2"/>
        <v>Mi</v>
      </c>
      <c r="O70" s="58" t="str">
        <f t="shared" si="115"/>
        <v>,</v>
      </c>
      <c r="P70" s="59" t="str">
        <f t="shared" si="4"/>
        <v/>
      </c>
      <c r="Q70" s="60" t="str">
        <f t="shared" si="116"/>
        <v>,</v>
      </c>
      <c r="R70" s="61">
        <f t="shared" si="6"/>
        <v>20</v>
      </c>
      <c r="S70" s="56" t="str">
        <f t="shared" si="117"/>
        <v>)</v>
      </c>
      <c r="T70" s="62" t="str">
        <f t="shared" si="118"/>
        <v/>
      </c>
      <c r="U70" s="63" t="str">
        <f t="shared" si="9"/>
        <v/>
      </c>
      <c r="V70" s="64" t="str">
        <f t="shared" si="119"/>
        <v/>
      </c>
      <c r="W70" s="65" t="str">
        <f t="shared" si="11"/>
        <v/>
      </c>
      <c r="X70" s="64" t="str">
        <f t="shared" si="120"/>
        <v/>
      </c>
      <c r="Y70" s="64" t="str">
        <f t="shared" si="121"/>
        <v/>
      </c>
      <c r="Z70" s="56" t="str">
        <f t="shared" si="122"/>
        <v/>
      </c>
      <c r="AA70" s="66" t="str">
        <f t="shared" si="123"/>
        <v/>
      </c>
      <c r="AB70" s="57" t="str">
        <f t="shared" si="16"/>
        <v/>
      </c>
      <c r="AC70" s="67" t="str">
        <f t="shared" si="124"/>
        <v/>
      </c>
      <c r="AD70" s="59" t="str">
        <f t="shared" si="125"/>
        <v/>
      </c>
      <c r="AE70" s="68" t="str">
        <f t="shared" si="126"/>
        <v/>
      </c>
      <c r="AF70" s="61" t="str">
        <f t="shared" si="127"/>
        <v/>
      </c>
      <c r="AG70" s="61" t="str">
        <f t="shared" si="128"/>
        <v/>
      </c>
      <c r="AH70" s="69" t="str">
        <f t="shared" si="129"/>
        <v/>
      </c>
      <c r="AI70" s="70" t="str">
        <f t="shared" si="23"/>
        <v/>
      </c>
      <c r="AJ70" s="64" t="str">
        <f t="shared" si="130"/>
        <v/>
      </c>
      <c r="AK70" s="64" t="str">
        <f t="shared" si="131"/>
        <v/>
      </c>
      <c r="AL70" s="64" t="str">
        <f t="shared" si="132"/>
        <v/>
      </c>
      <c r="AM70" s="64" t="str">
        <f t="shared" si="133"/>
        <v/>
      </c>
      <c r="AN70" s="64" t="str">
        <f t="shared" si="134"/>
        <v/>
      </c>
    </row>
    <row r="71" spans="1:40" ht="27.75" outlineLevel="1" thickTop="1" thickBot="1" x14ac:dyDescent="0.4">
      <c r="A71" s="73"/>
      <c r="B71" s="73"/>
      <c r="C71" s="73"/>
      <c r="D71" s="74"/>
      <c r="E71" s="74"/>
      <c r="F71" s="74"/>
      <c r="G71" s="74"/>
      <c r="H71" s="74"/>
      <c r="I71" s="74"/>
      <c r="J71" s="74"/>
      <c r="K71" s="74"/>
      <c r="L71" s="75" t="s">
        <v>993</v>
      </c>
      <c r="M71" s="56"/>
      <c r="N71" s="57"/>
      <c r="O71" s="58"/>
      <c r="P71" s="59"/>
      <c r="Q71" s="60"/>
      <c r="R71" s="61" t="str">
        <f t="shared" ref="R71:R78" si="135">IF(N71="Do",10,IF(N71="Re",22,IF(N71="Mi",20,IF(N71="Fa",20,IF(N71="Sol",14,IF(N71="La",20,IF(N71="Si",20,IF(N71="Do#",14,IF(N71="Fa#",15,IF(N71="Sol#",20,IF(N71="Si♭",17,"")))))))))))</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outlineLevel="1" thickTop="1" thickBot="1" x14ac:dyDescent="0.4">
      <c r="C72" s="79" t="s">
        <v>995</v>
      </c>
      <c r="D72" s="80"/>
      <c r="E72" s="80"/>
      <c r="F72" s="80"/>
      <c r="G72" s="80"/>
      <c r="H72" s="80"/>
      <c r="I72" s="80"/>
      <c r="J72" s="80"/>
      <c r="K72" s="80"/>
      <c r="L72" s="118" t="s">
        <v>996</v>
      </c>
      <c r="M72" s="56" t="str">
        <f t="shared" ref="M72:M78" si="136">IF(N72="","","(")</f>
        <v/>
      </c>
      <c r="N72" s="57" t="str">
        <f t="shared" ref="N72:N78" si="137">IF(D72="","",D72)</f>
        <v/>
      </c>
      <c r="O72" s="58" t="str">
        <f t="shared" ref="O72:O78" si="138">IF(N72="","",",")</f>
        <v/>
      </c>
      <c r="P72" s="59" t="str">
        <f t="shared" ref="P72:P78" si="139">IF(E72="","",E72)</f>
        <v/>
      </c>
      <c r="Q72" s="60" t="str">
        <f t="shared" ref="Q72:Q78" si="140">IF(N72="","",",")</f>
        <v/>
      </c>
      <c r="R72" s="61" t="str">
        <f t="shared" si="135"/>
        <v/>
      </c>
      <c r="S72" s="56" t="str">
        <f t="shared" ref="S72:S78" si="141">IF(N72="","",")")</f>
        <v/>
      </c>
      <c r="T72" s="62" t="str">
        <f t="shared" ref="T72:T78" si="142">IF(U72="","","(")</f>
        <v/>
      </c>
      <c r="U72" s="63" t="str">
        <f t="shared" ref="U72:U78" si="143">IF(F72="","",F72)</f>
        <v/>
      </c>
      <c r="V72" s="64" t="str">
        <f t="shared" ref="V72:V78" si="144">IF(U72="","",",")</f>
        <v/>
      </c>
      <c r="W72" s="65" t="str">
        <f t="shared" ref="W72:W78" si="145">IF(G72="","",G72)</f>
        <v/>
      </c>
      <c r="X72" s="64" t="str">
        <f t="shared" ref="X72:X78" si="146">IF(U72="","",",")</f>
        <v/>
      </c>
      <c r="Y72" s="64" t="str">
        <f t="shared" ref="Y72:Y78" si="147">IF(U72="","",250)</f>
        <v/>
      </c>
      <c r="Z72" s="56" t="str">
        <f t="shared" ref="Z72:Z78" si="148">IF(U72="","",")")</f>
        <v/>
      </c>
      <c r="AA72" s="66" t="str">
        <f t="shared" ref="AA72:AA78" si="149">IF(AB72="","","(")</f>
        <v/>
      </c>
      <c r="AB72" s="57" t="str">
        <f t="shared" ref="AB72:AB78" si="150">IF(H72="","",H72)</f>
        <v/>
      </c>
      <c r="AC72" s="67" t="str">
        <f t="shared" ref="AC72:AC78" si="151">IF(AB72="","",",")</f>
        <v/>
      </c>
      <c r="AD72" s="59" t="str">
        <f t="shared" ref="AD72:AD78" si="152">IF(I72="","",I72)</f>
        <v/>
      </c>
      <c r="AE72" s="68" t="str">
        <f t="shared" ref="AE72:AE78" si="153">IF(AB72="","",",")</f>
        <v/>
      </c>
      <c r="AF72" s="61" t="str">
        <f t="shared" ref="AF72:AF78" si="154">IF(AB72="","",350)</f>
        <v/>
      </c>
      <c r="AG72" s="61" t="str">
        <f t="shared" ref="AG72:AG78" si="155">IF(AB72="","",")")</f>
        <v/>
      </c>
      <c r="AH72" s="69" t="str">
        <f t="shared" ref="AH72:AH78" si="156">IF(AI72="","","(")</f>
        <v/>
      </c>
      <c r="AI72" s="70" t="str">
        <f t="shared" ref="AI72:AI78" si="157">IF(J72="","",J72)</f>
        <v/>
      </c>
      <c r="AJ72" s="64" t="str">
        <f t="shared" ref="AJ72:AJ78" si="158">IF(AI72="","",",")</f>
        <v/>
      </c>
      <c r="AK72" s="64" t="str">
        <f t="shared" ref="AK72:AK78" si="159">IF(K72="","",K72)</f>
        <v/>
      </c>
      <c r="AL72" s="64" t="str">
        <f t="shared" ref="AL72:AL78" si="160">IF(AI72="","",",")</f>
        <v/>
      </c>
      <c r="AM72" s="64" t="str">
        <f t="shared" ref="AM72:AM78" si="161">IF(AI72="","",450)</f>
        <v/>
      </c>
      <c r="AN72" s="64" t="str">
        <f t="shared" ref="AN72:AN78" si="162">IF(AI72="","",")")</f>
        <v/>
      </c>
    </row>
    <row r="73" spans="1:40" ht="25.5" outlineLevel="1" thickTop="1" thickBot="1" x14ac:dyDescent="0.4">
      <c r="B73" t="s">
        <v>997</v>
      </c>
      <c r="C73" s="82" t="s">
        <v>1120</v>
      </c>
      <c r="D73" s="83" t="s">
        <v>1013</v>
      </c>
      <c r="E73" s="83" t="s">
        <v>1012</v>
      </c>
      <c r="F73" s="83"/>
      <c r="G73" s="83"/>
      <c r="H73" s="83"/>
      <c r="I73" s="83"/>
      <c r="J73" s="83"/>
      <c r="K73" s="83"/>
      <c r="L73" s="119" t="str">
        <f>IF(C73="","",_xlfn.CONCAT("       triggerLine: ","""",C73,", ",M73:AN73,""", sC: ","""",B73,""", lines: ["))</f>
        <v xml:space="preserve">       triggerLine: "UNA GRAN SEÑAL APARECIÓ EN EL CIELO..., (La,m,20)", sC: "ta as", lines: [</v>
      </c>
      <c r="M73" s="56" t="str">
        <f t="shared" si="136"/>
        <v>(</v>
      </c>
      <c r="N73" s="57" t="str">
        <f t="shared" si="137"/>
        <v>La</v>
      </c>
      <c r="O73" s="58" t="str">
        <f t="shared" si="138"/>
        <v>,</v>
      </c>
      <c r="P73" s="59" t="str">
        <f t="shared" si="139"/>
        <v>m</v>
      </c>
      <c r="Q73" s="60" t="str">
        <f t="shared" si="140"/>
        <v>,</v>
      </c>
      <c r="R73" s="61">
        <f t="shared" si="135"/>
        <v>20</v>
      </c>
      <c r="S73" s="56" t="str">
        <f t="shared" si="141"/>
        <v>)</v>
      </c>
      <c r="T73" s="62" t="str">
        <f t="shared" si="142"/>
        <v/>
      </c>
      <c r="U73" s="63" t="str">
        <f t="shared" si="143"/>
        <v/>
      </c>
      <c r="V73" s="64" t="str">
        <f t="shared" si="144"/>
        <v/>
      </c>
      <c r="W73" s="65" t="str">
        <f t="shared" si="145"/>
        <v/>
      </c>
      <c r="X73" s="64" t="str">
        <f t="shared" si="146"/>
        <v/>
      </c>
      <c r="Y73" s="64" t="str">
        <f t="shared" si="147"/>
        <v/>
      </c>
      <c r="Z73" s="56" t="str">
        <f t="shared" si="148"/>
        <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5.5" outlineLevel="1" thickTop="1" thickBot="1" x14ac:dyDescent="0.4">
      <c r="B74" t="s">
        <v>999</v>
      </c>
      <c r="C74" s="85" t="s">
        <v>1105</v>
      </c>
      <c r="D74" s="86" t="s">
        <v>1015</v>
      </c>
      <c r="E74" s="86"/>
      <c r="F74" s="86" t="s">
        <v>1013</v>
      </c>
      <c r="G74" s="86" t="s">
        <v>1012</v>
      </c>
      <c r="H74" s="87"/>
      <c r="I74" s="87"/>
      <c r="J74" s="87"/>
      <c r="K74" s="87"/>
      <c r="L74" s="120" t="str">
        <f>IF(C74="","",_xlfn.CONCAT("            { line: ","""",C74,", ",M74:AN74,""", sC: ","""",B74,"""},"))</f>
        <v xml:space="preserve">            { line: "UNA MUJER, UNA MUJER VESTIDA DEL SOL,, (Sol,,14)(La,m,250)", sC: "as"},</v>
      </c>
      <c r="M74" s="56" t="str">
        <f t="shared" si="136"/>
        <v>(</v>
      </c>
      <c r="N74" s="57" t="str">
        <f t="shared" si="137"/>
        <v>Sol</v>
      </c>
      <c r="O74" s="58" t="str">
        <f t="shared" si="138"/>
        <v>,</v>
      </c>
      <c r="P74" s="59" t="str">
        <f t="shared" si="139"/>
        <v/>
      </c>
      <c r="Q74" s="60" t="str">
        <f t="shared" si="140"/>
        <v>,</v>
      </c>
      <c r="R74" s="61">
        <f t="shared" si="135"/>
        <v>14</v>
      </c>
      <c r="S74" s="56" t="str">
        <f t="shared" si="141"/>
        <v>)</v>
      </c>
      <c r="T74" s="62" t="str">
        <f t="shared" si="142"/>
        <v>(</v>
      </c>
      <c r="U74" s="63" t="str">
        <f t="shared" si="143"/>
        <v>La</v>
      </c>
      <c r="V74" s="64" t="str">
        <f t="shared" si="144"/>
        <v>,</v>
      </c>
      <c r="W74" s="65" t="str">
        <f t="shared" si="145"/>
        <v>m</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5.5" outlineLevel="1" thickTop="1" thickBot="1" x14ac:dyDescent="0.4">
      <c r="B75" t="s">
        <v>999</v>
      </c>
      <c r="C75" s="85" t="s">
        <v>1106</v>
      </c>
      <c r="D75" s="89"/>
      <c r="E75" s="89"/>
      <c r="F75" s="89"/>
      <c r="G75" s="89"/>
      <c r="H75" s="90"/>
      <c r="I75" s="90"/>
      <c r="J75" s="90"/>
      <c r="K75" s="90"/>
      <c r="L75" s="120" t="str">
        <f>IF(C75="","",_xlfn.CONCAT("            { line: ","""",C75,", ",M75:AN75,""", sC: ","""",B75,"""},"))</f>
        <v xml:space="preserve">            { line: "CON LA LUNA BAJO SUS PIES,, ", sC: "as"},</v>
      </c>
      <c r="M75" s="56" t="str">
        <f t="shared" si="136"/>
        <v/>
      </c>
      <c r="N75" s="57" t="str">
        <f t="shared" si="137"/>
        <v/>
      </c>
      <c r="O75" s="58" t="str">
        <f t="shared" si="138"/>
        <v/>
      </c>
      <c r="P75" s="59" t="str">
        <f t="shared" si="139"/>
        <v/>
      </c>
      <c r="Q75" s="60" t="str">
        <f t="shared" si="140"/>
        <v/>
      </c>
      <c r="R75" s="61" t="str">
        <f t="shared" si="135"/>
        <v/>
      </c>
      <c r="S75" s="56" t="str">
        <f t="shared" si="141"/>
        <v/>
      </c>
      <c r="T75" s="62" t="str">
        <f t="shared" si="142"/>
        <v/>
      </c>
      <c r="U75" s="63" t="str">
        <f t="shared" si="143"/>
        <v/>
      </c>
      <c r="V75" s="64" t="str">
        <f t="shared" si="144"/>
        <v/>
      </c>
      <c r="W75" s="65" t="str">
        <f t="shared" si="145"/>
        <v/>
      </c>
      <c r="X75" s="64" t="str">
        <f t="shared" si="146"/>
        <v/>
      </c>
      <c r="Y75" s="64" t="str">
        <f t="shared" si="147"/>
        <v/>
      </c>
      <c r="Z75" s="56" t="str">
        <f t="shared" si="148"/>
        <v/>
      </c>
      <c r="AA75" s="66" t="str">
        <f t="shared" si="149"/>
        <v/>
      </c>
      <c r="AB75" s="57" t="str">
        <f t="shared" si="150"/>
        <v/>
      </c>
      <c r="AC75" s="67" t="str">
        <f t="shared" si="151"/>
        <v/>
      </c>
      <c r="AD75" s="59" t="str">
        <f t="shared" si="152"/>
        <v/>
      </c>
      <c r="AE75" s="68" t="str">
        <f t="shared" si="153"/>
        <v/>
      </c>
      <c r="AF75" s="61" t="str">
        <f t="shared" si="154"/>
        <v/>
      </c>
      <c r="AG75" s="61" t="str">
        <f t="shared" si="155"/>
        <v/>
      </c>
      <c r="AH75" s="69" t="str">
        <f t="shared" si="156"/>
        <v/>
      </c>
      <c r="AI75" s="70" t="str">
        <f t="shared" si="157"/>
        <v/>
      </c>
      <c r="AJ75" s="64" t="str">
        <f t="shared" si="158"/>
        <v/>
      </c>
      <c r="AK75" s="64" t="str">
        <f t="shared" si="159"/>
        <v/>
      </c>
      <c r="AL75" s="64" t="str">
        <f t="shared" si="160"/>
        <v/>
      </c>
      <c r="AM75" s="64" t="str">
        <f t="shared" si="161"/>
        <v/>
      </c>
      <c r="AN75" s="64" t="str">
        <f t="shared" si="162"/>
        <v/>
      </c>
    </row>
    <row r="76" spans="1:40" ht="25.5" outlineLevel="1" thickTop="1" thickBot="1" x14ac:dyDescent="0.4">
      <c r="B76" t="s">
        <v>999</v>
      </c>
      <c r="C76" s="85" t="s">
        <v>1107</v>
      </c>
      <c r="D76" s="86" t="s">
        <v>1015</v>
      </c>
      <c r="E76" s="86"/>
      <c r="F76" s="86"/>
      <c r="G76" s="86"/>
      <c r="H76" s="87"/>
      <c r="I76" s="87"/>
      <c r="J76" s="87"/>
      <c r="K76" s="87"/>
      <c r="L76" s="120" t="str">
        <f>IF(C76="","",_xlfn.CONCAT("            { line: ","""",C76,", ",M76:AN76,""", sC: ","""",B76,"""},"))</f>
        <v xml:space="preserve">            { line: "Y UNA CORONA DE DOCE ESTRELLAS;, (Sol,,14)", sC: "as"},</v>
      </c>
      <c r="M76" s="56" t="str">
        <f t="shared" si="136"/>
        <v>(</v>
      </c>
      <c r="N76" s="57" t="str">
        <f t="shared" si="137"/>
        <v>Sol</v>
      </c>
      <c r="O76" s="58" t="str">
        <f t="shared" si="138"/>
        <v>,</v>
      </c>
      <c r="P76" s="59" t="str">
        <f t="shared" si="139"/>
        <v/>
      </c>
      <c r="Q76" s="60" t="str">
        <f t="shared" si="140"/>
        <v>,</v>
      </c>
      <c r="R76" s="61">
        <f t="shared" si="135"/>
        <v>14</v>
      </c>
      <c r="S76" s="56" t="str">
        <f t="shared" si="141"/>
        <v>)</v>
      </c>
      <c r="T76" s="62" t="str">
        <f t="shared" si="142"/>
        <v/>
      </c>
      <c r="U76" s="63" t="str">
        <f t="shared" si="143"/>
        <v/>
      </c>
      <c r="V76" s="64" t="str">
        <f t="shared" si="144"/>
        <v/>
      </c>
      <c r="W76" s="65" t="str">
        <f t="shared" si="145"/>
        <v/>
      </c>
      <c r="X76" s="64" t="str">
        <f t="shared" si="146"/>
        <v/>
      </c>
      <c r="Y76" s="64" t="str">
        <f t="shared" si="147"/>
        <v/>
      </c>
      <c r="Z76" s="56" t="str">
        <f t="shared" si="148"/>
        <v/>
      </c>
      <c r="AA76" s="66" t="str">
        <f t="shared" si="149"/>
        <v/>
      </c>
      <c r="AB76" s="57" t="str">
        <f t="shared" si="150"/>
        <v/>
      </c>
      <c r="AC76" s="67" t="str">
        <f t="shared" si="151"/>
        <v/>
      </c>
      <c r="AD76" s="59" t="str">
        <f t="shared" si="152"/>
        <v/>
      </c>
      <c r="AE76" s="68" t="str">
        <f t="shared" si="153"/>
        <v/>
      </c>
      <c r="AF76" s="61" t="str">
        <f t="shared" si="154"/>
        <v/>
      </c>
      <c r="AG76" s="61" t="str">
        <f t="shared" si="155"/>
        <v/>
      </c>
      <c r="AH76" s="69" t="str">
        <f t="shared" si="156"/>
        <v/>
      </c>
      <c r="AI76" s="70" t="str">
        <f t="shared" si="157"/>
        <v/>
      </c>
      <c r="AJ76" s="64" t="str">
        <f t="shared" si="158"/>
        <v/>
      </c>
      <c r="AK76" s="64" t="str">
        <f t="shared" si="159"/>
        <v/>
      </c>
      <c r="AL76" s="64" t="str">
        <f t="shared" si="160"/>
        <v/>
      </c>
      <c r="AM76" s="64" t="str">
        <f t="shared" si="161"/>
        <v/>
      </c>
      <c r="AN76" s="64" t="str">
        <f t="shared" si="162"/>
        <v/>
      </c>
    </row>
    <row r="77" spans="1:40" ht="25.5" outlineLevel="1" thickTop="1" thickBot="1" x14ac:dyDescent="0.4">
      <c r="B77" t="s">
        <v>999</v>
      </c>
      <c r="C77" s="85" t="s">
        <v>1108</v>
      </c>
      <c r="D77" s="89" t="s">
        <v>1013</v>
      </c>
      <c r="E77" s="89" t="s">
        <v>1012</v>
      </c>
      <c r="F77" s="89"/>
      <c r="G77" s="89"/>
      <c r="H77" s="90"/>
      <c r="I77" s="90"/>
      <c r="J77" s="90"/>
      <c r="K77" s="90"/>
      <c r="L77" s="120" t="str">
        <f>IF(C77="","",_xlfn.CONCAT("            { line: ","""",C77,", ",M77:AN77,""", sC: ","""",B77,"""},"))</f>
        <v xml:space="preserve">            { line: "ESTÁ ENCINTA, Y GRITA, (La,m,20)", sC: "as"},</v>
      </c>
      <c r="M77" s="56" t="str">
        <f t="shared" si="136"/>
        <v>(</v>
      </c>
      <c r="N77" s="57" t="str">
        <f t="shared" si="137"/>
        <v>La</v>
      </c>
      <c r="O77" s="58" t="str">
        <f t="shared" si="138"/>
        <v>,</v>
      </c>
      <c r="P77" s="59" t="str">
        <f t="shared" si="139"/>
        <v>m</v>
      </c>
      <c r="Q77" s="60" t="str">
        <f t="shared" si="140"/>
        <v>,</v>
      </c>
      <c r="R77" s="61">
        <f t="shared" si="135"/>
        <v>20</v>
      </c>
      <c r="S77" s="56" t="str">
        <f t="shared" si="141"/>
        <v>)</v>
      </c>
      <c r="T77" s="62" t="str">
        <f t="shared" si="142"/>
        <v/>
      </c>
      <c r="U77" s="63" t="str">
        <f t="shared" si="143"/>
        <v/>
      </c>
      <c r="V77" s="64" t="str">
        <f t="shared" si="144"/>
        <v/>
      </c>
      <c r="W77" s="65" t="str">
        <f t="shared" si="145"/>
        <v/>
      </c>
      <c r="X77" s="64" t="str">
        <f t="shared" si="146"/>
        <v/>
      </c>
      <c r="Y77" s="64" t="str">
        <f t="shared" si="147"/>
        <v/>
      </c>
      <c r="Z77" s="56" t="str">
        <f t="shared" si="148"/>
        <v/>
      </c>
      <c r="AA77" s="66" t="str">
        <f t="shared" si="149"/>
        <v/>
      </c>
      <c r="AB77" s="57" t="str">
        <f t="shared" si="150"/>
        <v/>
      </c>
      <c r="AC77" s="67" t="str">
        <f t="shared" si="151"/>
        <v/>
      </c>
      <c r="AD77" s="59" t="str">
        <f t="shared" si="152"/>
        <v/>
      </c>
      <c r="AE77" s="68" t="str">
        <f t="shared" si="153"/>
        <v/>
      </c>
      <c r="AF77" s="61" t="str">
        <f t="shared" si="154"/>
        <v/>
      </c>
      <c r="AG77" s="61" t="str">
        <f t="shared" si="155"/>
        <v/>
      </c>
      <c r="AH77" s="69" t="str">
        <f t="shared" si="156"/>
        <v/>
      </c>
      <c r="AI77" s="70" t="str">
        <f t="shared" si="157"/>
        <v/>
      </c>
      <c r="AJ77" s="64" t="str">
        <f t="shared" si="158"/>
        <v/>
      </c>
      <c r="AK77" s="64" t="str">
        <f t="shared" si="159"/>
        <v/>
      </c>
      <c r="AL77" s="64" t="str">
        <f t="shared" si="160"/>
        <v/>
      </c>
      <c r="AM77" s="64" t="str">
        <f t="shared" si="161"/>
        <v/>
      </c>
      <c r="AN77" s="64" t="str">
        <f t="shared" si="162"/>
        <v/>
      </c>
    </row>
    <row r="78" spans="1:40" ht="25.5" outlineLevel="1" thickTop="1" thickBot="1" x14ac:dyDescent="0.4">
      <c r="B78" t="s">
        <v>999</v>
      </c>
      <c r="C78" s="93" t="s">
        <v>1109</v>
      </c>
      <c r="D78" s="83" t="s">
        <v>1032</v>
      </c>
      <c r="E78" s="83"/>
      <c r="F78" s="83" t="s">
        <v>1011</v>
      </c>
      <c r="G78" s="83"/>
      <c r="H78" s="83"/>
      <c r="I78" s="83"/>
      <c r="J78" s="83"/>
      <c r="K78" s="83"/>
      <c r="L78" s="121" t="str">
        <f>IF(C78="","",_xlfn.CONCAT("            { line: ","""",C78,", ",M78:AN78,""", sC: ","""",B78,"""},  ]},"))</f>
        <v xml:space="preserve">            { line: "CON LOS TORMENTOS DE DAR A LUZ., (Fa,,20)(Mi,,250)", sC: "as"},  ]},</v>
      </c>
      <c r="M78" s="56" t="str">
        <f t="shared" si="136"/>
        <v>(</v>
      </c>
      <c r="N78" s="57" t="str">
        <f t="shared" si="137"/>
        <v>Fa</v>
      </c>
      <c r="O78" s="58" t="str">
        <f t="shared" si="138"/>
        <v>,</v>
      </c>
      <c r="P78" s="59" t="str">
        <f t="shared" si="139"/>
        <v/>
      </c>
      <c r="Q78" s="60" t="str">
        <f t="shared" si="140"/>
        <v>,</v>
      </c>
      <c r="R78" s="61">
        <f t="shared" si="135"/>
        <v>20</v>
      </c>
      <c r="S78" s="56" t="str">
        <f t="shared" si="141"/>
        <v>)</v>
      </c>
      <c r="T78" s="62" t="str">
        <f t="shared" si="142"/>
        <v>(</v>
      </c>
      <c r="U78" s="63" t="str">
        <f t="shared" si="143"/>
        <v>Mi</v>
      </c>
      <c r="V78" s="64" t="str">
        <f t="shared" si="144"/>
        <v>,</v>
      </c>
      <c r="W78" s="65" t="str">
        <f t="shared" si="145"/>
        <v/>
      </c>
      <c r="X78" s="64" t="str">
        <f t="shared" si="146"/>
        <v>,</v>
      </c>
      <c r="Y78" s="64">
        <f t="shared" si="147"/>
        <v>250</v>
      </c>
      <c r="Z78" s="56" t="str">
        <f t="shared" si="148"/>
        <v>)</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7.75" thickTop="1" thickBot="1" x14ac:dyDescent="0.4">
      <c r="A79" s="73"/>
      <c r="B79" s="73"/>
      <c r="C79" s="73"/>
      <c r="D79" s="74"/>
      <c r="E79" s="74"/>
      <c r="F79" s="74"/>
      <c r="G79" s="74"/>
      <c r="H79" s="74"/>
      <c r="I79" s="74"/>
      <c r="J79" s="74"/>
      <c r="K79" s="74"/>
      <c r="L79" s="75" t="s">
        <v>993</v>
      </c>
      <c r="M79" s="56"/>
      <c r="N79" s="57"/>
      <c r="O79" s="58"/>
      <c r="P79" s="59"/>
      <c r="Q79" s="60"/>
      <c r="R79" s="61" t="str">
        <f>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B80" t="s">
        <v>1014</v>
      </c>
      <c r="C80" s="113" t="s">
        <v>1143</v>
      </c>
      <c r="D80" s="112" t="s">
        <v>1013</v>
      </c>
      <c r="E80" s="52" t="s">
        <v>1012</v>
      </c>
      <c r="F80" s="53"/>
      <c r="G80" s="53"/>
      <c r="H80" s="52"/>
      <c r="I80" s="52"/>
      <c r="J80" s="54"/>
      <c r="K80" s="54"/>
      <c r="L80" s="55" t="str">
        <f t="shared" si="113"/>
        <v xml:space="preserve">            { line: "Cuando el Dragón vio que había sido, (La,m,20)", sC: "tc"},</v>
      </c>
      <c r="M80" s="56" t="str">
        <f t="shared" si="114"/>
        <v>(</v>
      </c>
      <c r="N80" s="57" t="str">
        <f t="shared" si="2"/>
        <v>La</v>
      </c>
      <c r="O80" s="58" t="str">
        <f t="shared" si="115"/>
        <v>,</v>
      </c>
      <c r="P80" s="59" t="str">
        <f t="shared" si="4"/>
        <v>m</v>
      </c>
      <c r="Q80" s="60" t="str">
        <f t="shared" si="116"/>
        <v>,</v>
      </c>
      <c r="R80" s="61">
        <f t="shared" si="6"/>
        <v>20</v>
      </c>
      <c r="S80" s="56" t="str">
        <f t="shared" si="117"/>
        <v>)</v>
      </c>
      <c r="T80" s="62" t="str">
        <f t="shared" si="118"/>
        <v/>
      </c>
      <c r="U80" s="63" t="str">
        <f t="shared" si="9"/>
        <v/>
      </c>
      <c r="V80" s="64" t="str">
        <f t="shared" si="119"/>
        <v/>
      </c>
      <c r="W80" s="65" t="str">
        <f t="shared" si="11"/>
        <v/>
      </c>
      <c r="X80" s="64" t="str">
        <f t="shared" si="120"/>
        <v/>
      </c>
      <c r="Y80" s="64" t="str">
        <f t="shared" si="121"/>
        <v/>
      </c>
      <c r="Z80" s="56" t="str">
        <f t="shared" si="122"/>
        <v/>
      </c>
      <c r="AA80" s="66" t="str">
        <f t="shared" si="123"/>
        <v/>
      </c>
      <c r="AB80" s="57" t="str">
        <f t="shared" si="16"/>
        <v/>
      </c>
      <c r="AC80" s="67" t="str">
        <f t="shared" si="124"/>
        <v/>
      </c>
      <c r="AD80" s="59" t="str">
        <f t="shared" si="125"/>
        <v/>
      </c>
      <c r="AE80" s="68" t="str">
        <f t="shared" si="126"/>
        <v/>
      </c>
      <c r="AF80" s="61" t="str">
        <f t="shared" si="127"/>
        <v/>
      </c>
      <c r="AG80" s="61" t="str">
        <f t="shared" si="128"/>
        <v/>
      </c>
      <c r="AH80" s="69" t="str">
        <f t="shared" si="129"/>
        <v/>
      </c>
      <c r="AI80" s="70" t="str">
        <f t="shared" si="23"/>
        <v/>
      </c>
      <c r="AJ80" s="64" t="str">
        <f t="shared" si="130"/>
        <v/>
      </c>
      <c r="AK80" s="64" t="str">
        <f t="shared" si="131"/>
        <v/>
      </c>
      <c r="AL80" s="64" t="str">
        <f t="shared" si="132"/>
        <v/>
      </c>
      <c r="AM80" s="64" t="str">
        <f t="shared" si="133"/>
        <v/>
      </c>
      <c r="AN80" s="64" t="str">
        <f t="shared" si="134"/>
        <v/>
      </c>
    </row>
    <row r="81" spans="1:40" ht="25.5" outlineLevel="1" thickTop="1" thickBot="1" x14ac:dyDescent="0.4">
      <c r="C81" s="113" t="s">
        <v>1131</v>
      </c>
      <c r="D81" s="112" t="s">
        <v>1015</v>
      </c>
      <c r="E81" s="52"/>
      <c r="F81" s="53" t="s">
        <v>1032</v>
      </c>
      <c r="G81" s="53"/>
      <c r="H81" s="52"/>
      <c r="I81" s="52"/>
      <c r="J81" s="54"/>
      <c r="K81" s="54"/>
      <c r="L81" s="55" t="str">
        <f t="shared" si="113"/>
        <v xml:space="preserve">            { line: "arrojado a la tierra, persiguió a la Mujer, (Sol,,14)(Fa,,250)", sC: ""},</v>
      </c>
      <c r="M81" s="56" t="str">
        <f t="shared" si="114"/>
        <v>(</v>
      </c>
      <c r="N81" s="57" t="str">
        <f t="shared" si="2"/>
        <v>Sol</v>
      </c>
      <c r="O81" s="58" t="str">
        <f t="shared" si="115"/>
        <v>,</v>
      </c>
      <c r="P81" s="59" t="str">
        <f t="shared" si="4"/>
        <v/>
      </c>
      <c r="Q81" s="60" t="str">
        <f t="shared" si="116"/>
        <v>,</v>
      </c>
      <c r="R81" s="61">
        <f t="shared" si="6"/>
        <v>14</v>
      </c>
      <c r="S81" s="56" t="str">
        <f t="shared" si="117"/>
        <v>)</v>
      </c>
      <c r="T81" s="62" t="str">
        <f t="shared" si="118"/>
        <v>(</v>
      </c>
      <c r="U81" s="63" t="str">
        <f t="shared" si="9"/>
        <v>Fa</v>
      </c>
      <c r="V81" s="64" t="str">
        <f t="shared" si="119"/>
        <v>,</v>
      </c>
      <c r="W81" s="65" t="str">
        <f t="shared" si="11"/>
        <v/>
      </c>
      <c r="X81" s="64" t="str">
        <f t="shared" si="120"/>
        <v>,</v>
      </c>
      <c r="Y81" s="64">
        <f t="shared" si="121"/>
        <v>250</v>
      </c>
      <c r="Z81" s="56" t="str">
        <f t="shared" si="122"/>
        <v>)</v>
      </c>
      <c r="AA81" s="66" t="str">
        <f t="shared" si="123"/>
        <v/>
      </c>
      <c r="AB81" s="57" t="str">
        <f t="shared" si="16"/>
        <v/>
      </c>
      <c r="AC81" s="67" t="str">
        <f t="shared" si="124"/>
        <v/>
      </c>
      <c r="AD81" s="59" t="str">
        <f t="shared" si="125"/>
        <v/>
      </c>
      <c r="AE81" s="68" t="str">
        <f t="shared" si="126"/>
        <v/>
      </c>
      <c r="AF81" s="61" t="str">
        <f t="shared" si="127"/>
        <v/>
      </c>
      <c r="AG81" s="61" t="str">
        <f t="shared" si="128"/>
        <v/>
      </c>
      <c r="AH81" s="69" t="str">
        <f t="shared" si="129"/>
        <v/>
      </c>
      <c r="AI81" s="70" t="str">
        <f t="shared" si="23"/>
        <v/>
      </c>
      <c r="AJ81" s="64" t="str">
        <f t="shared" si="130"/>
        <v/>
      </c>
      <c r="AK81" s="64" t="str">
        <f t="shared" si="131"/>
        <v/>
      </c>
      <c r="AL81" s="64" t="str">
        <f t="shared" si="132"/>
        <v/>
      </c>
      <c r="AM81" s="64" t="str">
        <f t="shared" si="133"/>
        <v/>
      </c>
      <c r="AN81" s="64" t="str">
        <f t="shared" si="134"/>
        <v/>
      </c>
    </row>
    <row r="82" spans="1:40" ht="25.5" outlineLevel="1" thickTop="1" thickBot="1" x14ac:dyDescent="0.4">
      <c r="C82" s="113" t="s">
        <v>1132</v>
      </c>
      <c r="D82" s="112" t="s">
        <v>1011</v>
      </c>
      <c r="E82" s="52"/>
      <c r="F82" s="53"/>
      <c r="G82" s="53"/>
      <c r="H82" s="52"/>
      <c r="I82" s="52"/>
      <c r="J82" s="54"/>
      <c r="K82" s="54"/>
      <c r="L82" s="55" t="str">
        <f t="shared" si="113"/>
        <v xml:space="preserve">            { line: "que había dado a luz al Hijo varón., (Mi,,20)", sC: ""},</v>
      </c>
      <c r="M82" s="56" t="str">
        <f t="shared" si="114"/>
        <v>(</v>
      </c>
      <c r="N82" s="57" t="str">
        <f t="shared" si="2"/>
        <v>Mi</v>
      </c>
      <c r="O82" s="58" t="str">
        <f t="shared" si="115"/>
        <v>,</v>
      </c>
      <c r="P82" s="59" t="str">
        <f t="shared" si="4"/>
        <v/>
      </c>
      <c r="Q82" s="60" t="str">
        <f t="shared" si="116"/>
        <v>,</v>
      </c>
      <c r="R82" s="61">
        <f t="shared" si="6"/>
        <v>20</v>
      </c>
      <c r="S82" s="56" t="str">
        <f t="shared" si="117"/>
        <v>)</v>
      </c>
      <c r="T82" s="62" t="str">
        <f t="shared" si="118"/>
        <v/>
      </c>
      <c r="U82" s="63" t="str">
        <f t="shared" si="9"/>
        <v/>
      </c>
      <c r="V82" s="64" t="str">
        <f t="shared" si="119"/>
        <v/>
      </c>
      <c r="W82" s="65" t="str">
        <f t="shared" si="11"/>
        <v/>
      </c>
      <c r="X82" s="64" t="str">
        <f t="shared" si="120"/>
        <v/>
      </c>
      <c r="Y82" s="64" t="str">
        <f t="shared" si="121"/>
        <v/>
      </c>
      <c r="Z82" s="56" t="str">
        <f t="shared" si="122"/>
        <v/>
      </c>
      <c r="AA82" s="66" t="str">
        <f t="shared" si="123"/>
        <v/>
      </c>
      <c r="AB82" s="57" t="str">
        <f t="shared" si="16"/>
        <v/>
      </c>
      <c r="AC82" s="67" t="str">
        <f t="shared" si="124"/>
        <v/>
      </c>
      <c r="AD82" s="59" t="str">
        <f t="shared" si="125"/>
        <v/>
      </c>
      <c r="AE82" s="68" t="str">
        <f t="shared" si="126"/>
        <v/>
      </c>
      <c r="AF82" s="61" t="str">
        <f t="shared" si="127"/>
        <v/>
      </c>
      <c r="AG82" s="61" t="str">
        <f t="shared" si="128"/>
        <v/>
      </c>
      <c r="AH82" s="69" t="str">
        <f t="shared" si="129"/>
        <v/>
      </c>
      <c r="AI82" s="70" t="str">
        <f t="shared" si="23"/>
        <v/>
      </c>
      <c r="AJ82" s="64" t="str">
        <f t="shared" si="130"/>
        <v/>
      </c>
      <c r="AK82" s="64" t="str">
        <f t="shared" si="131"/>
        <v/>
      </c>
      <c r="AL82" s="64" t="str">
        <f t="shared" si="132"/>
        <v/>
      </c>
      <c r="AM82" s="64" t="str">
        <f t="shared" si="133"/>
        <v/>
      </c>
      <c r="AN82" s="64" t="str">
        <f t="shared" si="134"/>
        <v/>
      </c>
    </row>
    <row r="83" spans="1:40" ht="27.75" thickTop="1" thickBot="1" x14ac:dyDescent="0.4">
      <c r="A83" s="73"/>
      <c r="B83" s="73"/>
      <c r="C83" s="73"/>
      <c r="D83" s="74"/>
      <c r="E83" s="74"/>
      <c r="F83" s="74"/>
      <c r="G83" s="74"/>
      <c r="H83" s="74"/>
      <c r="I83" s="74"/>
      <c r="J83" s="74"/>
      <c r="K83" s="74"/>
      <c r="L83" s="75" t="s">
        <v>993</v>
      </c>
      <c r="M83" s="56"/>
      <c r="N83" s="57"/>
      <c r="O83" s="58"/>
      <c r="P83" s="59"/>
      <c r="Q83" s="60"/>
      <c r="R83" s="61" t="str">
        <f>IF(N83="Do",10,IF(N83="Re",22,IF(N83="Mi",20,IF(N83="Fa",20,IF(N83="Sol",14,IF(N83="La",20,IF(N83="Si",20,IF(N83="Do#",14,IF(N83="Fa#",15,IF(N83="Sol#",20,IF(N83="Si♭",17,"")))))))))))</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outlineLevel="1" thickTop="1" thickBot="1" x14ac:dyDescent="0.4">
      <c r="C84" s="113" t="s">
        <v>1133</v>
      </c>
      <c r="D84" s="112" t="s">
        <v>1013</v>
      </c>
      <c r="E84" s="52" t="s">
        <v>1012</v>
      </c>
      <c r="F84" s="53"/>
      <c r="G84" s="53"/>
      <c r="H84" s="52"/>
      <c r="I84" s="52"/>
      <c r="J84" s="54"/>
      <c r="K84" s="54"/>
      <c r="L84" s="55" t="str">
        <f t="shared" si="113"/>
        <v xml:space="preserve">            { line: "Pero se le dieron a la Mujer las dos alas, (La,m,20)", sC: ""},</v>
      </c>
      <c r="M84" s="56" t="str">
        <f t="shared" si="114"/>
        <v>(</v>
      </c>
      <c r="N84" s="57" t="str">
        <f t="shared" si="2"/>
        <v>La</v>
      </c>
      <c r="O84" s="58" t="str">
        <f t="shared" si="115"/>
        <v>,</v>
      </c>
      <c r="P84" s="59" t="str">
        <f t="shared" si="4"/>
        <v>m</v>
      </c>
      <c r="Q84" s="60" t="str">
        <f t="shared" si="116"/>
        <v>,</v>
      </c>
      <c r="R84" s="61">
        <f t="shared" si="6"/>
        <v>20</v>
      </c>
      <c r="S84" s="56" t="str">
        <f t="shared" si="117"/>
        <v>)</v>
      </c>
      <c r="T84" s="62" t="str">
        <f t="shared" si="118"/>
        <v/>
      </c>
      <c r="U84" s="63" t="str">
        <f t="shared" si="9"/>
        <v/>
      </c>
      <c r="V84" s="64" t="str">
        <f t="shared" si="119"/>
        <v/>
      </c>
      <c r="W84" s="65" t="str">
        <f t="shared" si="11"/>
        <v/>
      </c>
      <c r="X84" s="64" t="str">
        <f t="shared" si="120"/>
        <v/>
      </c>
      <c r="Y84" s="64" t="str">
        <f t="shared" si="121"/>
        <v/>
      </c>
      <c r="Z84" s="56" t="str">
        <f t="shared" si="122"/>
        <v/>
      </c>
      <c r="AA84" s="66" t="str">
        <f t="shared" si="123"/>
        <v/>
      </c>
      <c r="AB84" s="57" t="str">
        <f t="shared" si="16"/>
        <v/>
      </c>
      <c r="AC84" s="67" t="str">
        <f t="shared" si="124"/>
        <v/>
      </c>
      <c r="AD84" s="59" t="str">
        <f t="shared" si="125"/>
        <v/>
      </c>
      <c r="AE84" s="68" t="str">
        <f t="shared" si="126"/>
        <v/>
      </c>
      <c r="AF84" s="61" t="str">
        <f t="shared" si="127"/>
        <v/>
      </c>
      <c r="AG84" s="61" t="str">
        <f t="shared" si="128"/>
        <v/>
      </c>
      <c r="AH84" s="69" t="str">
        <f t="shared" si="129"/>
        <v/>
      </c>
      <c r="AI84" s="70" t="str">
        <f t="shared" si="23"/>
        <v/>
      </c>
      <c r="AJ84" s="64" t="str">
        <f t="shared" si="130"/>
        <v/>
      </c>
      <c r="AK84" s="64" t="str">
        <f t="shared" si="131"/>
        <v/>
      </c>
      <c r="AL84" s="64" t="str">
        <f t="shared" si="132"/>
        <v/>
      </c>
      <c r="AM84" s="64" t="str">
        <f t="shared" si="133"/>
        <v/>
      </c>
      <c r="AN84" s="64" t="str">
        <f t="shared" si="134"/>
        <v/>
      </c>
    </row>
    <row r="85" spans="1:40" ht="25.5" outlineLevel="1" thickTop="1" thickBot="1" x14ac:dyDescent="0.4">
      <c r="C85" s="113" t="s">
        <v>1134</v>
      </c>
      <c r="D85" s="112" t="s">
        <v>1015</v>
      </c>
      <c r="E85" s="52"/>
      <c r="F85" s="53" t="s">
        <v>1032</v>
      </c>
      <c r="G85" s="53"/>
      <c r="H85" s="52"/>
      <c r="I85" s="52"/>
      <c r="J85" s="54"/>
      <c r="K85" s="54"/>
      <c r="L85" s="55" t="str">
        <f t="shared" si="113"/>
        <v xml:space="preserve">            { line: "del águila grande, para volar al desierto,, (Sol,,14)(Fa,,250)", sC: ""},</v>
      </c>
      <c r="M85" s="56" t="str">
        <f t="shared" si="114"/>
        <v>(</v>
      </c>
      <c r="N85" s="57" t="str">
        <f t="shared" si="2"/>
        <v>Sol</v>
      </c>
      <c r="O85" s="58" t="str">
        <f t="shared" si="115"/>
        <v>,</v>
      </c>
      <c r="P85" s="59" t="str">
        <f t="shared" si="4"/>
        <v/>
      </c>
      <c r="Q85" s="60" t="str">
        <f t="shared" si="116"/>
        <v>,</v>
      </c>
      <c r="R85" s="61">
        <f t="shared" si="6"/>
        <v>14</v>
      </c>
      <c r="S85" s="56" t="str">
        <f t="shared" si="117"/>
        <v>)</v>
      </c>
      <c r="T85" s="62" t="str">
        <f t="shared" si="118"/>
        <v>(</v>
      </c>
      <c r="U85" s="63" t="str">
        <f t="shared" si="9"/>
        <v>Fa</v>
      </c>
      <c r="V85" s="64" t="str">
        <f t="shared" si="119"/>
        <v>,</v>
      </c>
      <c r="W85" s="65" t="str">
        <f t="shared" si="11"/>
        <v/>
      </c>
      <c r="X85" s="64" t="str">
        <f t="shared" si="120"/>
        <v>,</v>
      </c>
      <c r="Y85" s="64">
        <f t="shared" si="121"/>
        <v>250</v>
      </c>
      <c r="Z85" s="56" t="str">
        <f t="shared" si="122"/>
        <v>)</v>
      </c>
      <c r="AA85" s="66" t="str">
        <f t="shared" si="123"/>
        <v/>
      </c>
      <c r="AB85" s="57" t="str">
        <f t="shared" si="16"/>
        <v/>
      </c>
      <c r="AC85" s="67" t="str">
        <f t="shared" si="124"/>
        <v/>
      </c>
      <c r="AD85" s="59" t="str">
        <f t="shared" si="125"/>
        <v/>
      </c>
      <c r="AE85" s="68" t="str">
        <f t="shared" si="126"/>
        <v/>
      </c>
      <c r="AF85" s="61" t="str">
        <f t="shared" si="127"/>
        <v/>
      </c>
      <c r="AG85" s="61" t="str">
        <f t="shared" si="128"/>
        <v/>
      </c>
      <c r="AH85" s="69" t="str">
        <f t="shared" si="129"/>
        <v/>
      </c>
      <c r="AI85" s="70" t="str">
        <f t="shared" si="23"/>
        <v/>
      </c>
      <c r="AJ85" s="64" t="str">
        <f t="shared" si="130"/>
        <v/>
      </c>
      <c r="AK85" s="64" t="str">
        <f t="shared" si="131"/>
        <v/>
      </c>
      <c r="AL85" s="64" t="str">
        <f t="shared" si="132"/>
        <v/>
      </c>
      <c r="AM85" s="64" t="str">
        <f t="shared" si="133"/>
        <v/>
      </c>
      <c r="AN85" s="64" t="str">
        <f t="shared" si="134"/>
        <v/>
      </c>
    </row>
    <row r="86" spans="1:40" ht="25.5" outlineLevel="1" thickTop="1" thickBot="1" x14ac:dyDescent="0.4">
      <c r="C86" s="113" t="s">
        <v>1135</v>
      </c>
      <c r="D86" s="112"/>
      <c r="E86" s="52"/>
      <c r="F86" s="53"/>
      <c r="G86" s="53"/>
      <c r="H86" s="52"/>
      <c r="I86" s="52"/>
      <c r="J86" s="54"/>
      <c r="K86" s="54"/>
      <c r="L86" s="55" t="str">
        <f t="shared" si="113"/>
        <v xml:space="preserve">            { line: "donde tiene que ser alimentada, ", sC: ""},</v>
      </c>
      <c r="M86" s="56" t="str">
        <f t="shared" si="114"/>
        <v/>
      </c>
      <c r="N86" s="57" t="str">
        <f t="shared" si="2"/>
        <v/>
      </c>
      <c r="O86" s="58" t="str">
        <f t="shared" si="115"/>
        <v/>
      </c>
      <c r="P86" s="59" t="str">
        <f t="shared" si="4"/>
        <v/>
      </c>
      <c r="Q86" s="60" t="str">
        <f t="shared" si="116"/>
        <v/>
      </c>
      <c r="R86" s="61" t="str">
        <f t="shared" si="6"/>
        <v/>
      </c>
      <c r="S86" s="56" t="str">
        <f t="shared" si="117"/>
        <v/>
      </c>
      <c r="T86" s="62" t="str">
        <f t="shared" si="118"/>
        <v/>
      </c>
      <c r="U86" s="63" t="str">
        <f t="shared" si="9"/>
        <v/>
      </c>
      <c r="V86" s="64" t="str">
        <f t="shared" si="119"/>
        <v/>
      </c>
      <c r="W86" s="65" t="str">
        <f t="shared" si="11"/>
        <v/>
      </c>
      <c r="X86" s="64" t="str">
        <f t="shared" si="120"/>
        <v/>
      </c>
      <c r="Y86" s="64" t="str">
        <f t="shared" si="121"/>
        <v/>
      </c>
      <c r="Z86" s="56" t="str">
        <f t="shared" si="122"/>
        <v/>
      </c>
      <c r="AA86" s="66" t="str">
        <f t="shared" si="123"/>
        <v/>
      </c>
      <c r="AB86" s="57" t="str">
        <f t="shared" si="16"/>
        <v/>
      </c>
      <c r="AC86" s="67" t="str">
        <f t="shared" si="124"/>
        <v/>
      </c>
      <c r="AD86" s="59" t="str">
        <f t="shared" si="125"/>
        <v/>
      </c>
      <c r="AE86" s="68" t="str">
        <f t="shared" si="126"/>
        <v/>
      </c>
      <c r="AF86" s="61" t="str">
        <f t="shared" si="127"/>
        <v/>
      </c>
      <c r="AG86" s="61" t="str">
        <f t="shared" si="128"/>
        <v/>
      </c>
      <c r="AH86" s="69" t="str">
        <f t="shared" si="129"/>
        <v/>
      </c>
      <c r="AI86" s="70" t="str">
        <f t="shared" si="23"/>
        <v/>
      </c>
      <c r="AJ86" s="64" t="str">
        <f t="shared" si="130"/>
        <v/>
      </c>
      <c r="AK86" s="64" t="str">
        <f t="shared" si="131"/>
        <v/>
      </c>
      <c r="AL86" s="64" t="str">
        <f t="shared" si="132"/>
        <v/>
      </c>
      <c r="AM86" s="64" t="str">
        <f t="shared" si="133"/>
        <v/>
      </c>
      <c r="AN86" s="64" t="str">
        <f t="shared" si="134"/>
        <v/>
      </c>
    </row>
    <row r="87" spans="1:40" ht="25.5" outlineLevel="1" thickTop="1" thickBot="1" x14ac:dyDescent="0.4">
      <c r="C87" s="113" t="s">
        <v>1136</v>
      </c>
      <c r="D87" s="112" t="s">
        <v>1011</v>
      </c>
      <c r="E87" s="52"/>
      <c r="F87" s="53"/>
      <c r="G87" s="53"/>
      <c r="H87" s="52"/>
      <c r="I87" s="52"/>
      <c r="J87" s="54"/>
      <c r="K87" s="54"/>
      <c r="L87" s="55" t="str">
        <f t="shared" si="113"/>
        <v xml:space="preserve">            { line: "un tiempo, dos tiempos y medio tiempo., (Mi,,20)", sC: ""},</v>
      </c>
      <c r="M87" s="56" t="str">
        <f t="shared" si="114"/>
        <v>(</v>
      </c>
      <c r="N87" s="57" t="str">
        <f t="shared" si="2"/>
        <v>Mi</v>
      </c>
      <c r="O87" s="58" t="str">
        <f t="shared" si="115"/>
        <v>,</v>
      </c>
      <c r="P87" s="59" t="str">
        <f t="shared" si="4"/>
        <v/>
      </c>
      <c r="Q87" s="60" t="str">
        <f t="shared" si="116"/>
        <v>,</v>
      </c>
      <c r="R87" s="61">
        <f t="shared" si="6"/>
        <v>20</v>
      </c>
      <c r="S87" s="56" t="str">
        <f t="shared" si="117"/>
        <v>)</v>
      </c>
      <c r="T87" s="62" t="str">
        <f t="shared" si="118"/>
        <v/>
      </c>
      <c r="U87" s="63" t="str">
        <f t="shared" si="9"/>
        <v/>
      </c>
      <c r="V87" s="64" t="str">
        <f t="shared" si="119"/>
        <v/>
      </c>
      <c r="W87" s="65" t="str">
        <f t="shared" si="11"/>
        <v/>
      </c>
      <c r="X87" s="64" t="str">
        <f t="shared" si="120"/>
        <v/>
      </c>
      <c r="Y87" s="64" t="str">
        <f t="shared" si="121"/>
        <v/>
      </c>
      <c r="Z87" s="56" t="str">
        <f t="shared" si="122"/>
        <v/>
      </c>
      <c r="AA87" s="66" t="str">
        <f t="shared" si="123"/>
        <v/>
      </c>
      <c r="AB87" s="57" t="str">
        <f t="shared" si="16"/>
        <v/>
      </c>
      <c r="AC87" s="67" t="str">
        <f t="shared" si="124"/>
        <v/>
      </c>
      <c r="AD87" s="59" t="str">
        <f t="shared" si="125"/>
        <v/>
      </c>
      <c r="AE87" s="68" t="str">
        <f t="shared" si="126"/>
        <v/>
      </c>
      <c r="AF87" s="61" t="str">
        <f t="shared" si="127"/>
        <v/>
      </c>
      <c r="AG87" s="61" t="str">
        <f t="shared" si="128"/>
        <v/>
      </c>
      <c r="AH87" s="69" t="str">
        <f t="shared" si="129"/>
        <v/>
      </c>
      <c r="AI87" s="70" t="str">
        <f t="shared" si="23"/>
        <v/>
      </c>
      <c r="AJ87" s="64" t="str">
        <f t="shared" si="130"/>
        <v/>
      </c>
      <c r="AK87" s="64" t="str">
        <f t="shared" si="131"/>
        <v/>
      </c>
      <c r="AL87" s="64" t="str">
        <f t="shared" si="132"/>
        <v/>
      </c>
      <c r="AM87" s="64" t="str">
        <f t="shared" si="133"/>
        <v/>
      </c>
      <c r="AN87" s="64" t="str">
        <f t="shared" si="134"/>
        <v/>
      </c>
    </row>
    <row r="88" spans="1:40" ht="27.75" thickTop="1" thickBot="1" x14ac:dyDescent="0.4">
      <c r="A88" s="73"/>
      <c r="B88" s="73"/>
      <c r="C88" s="73"/>
      <c r="D88" s="74"/>
      <c r="E88" s="74"/>
      <c r="F88" s="74"/>
      <c r="G88" s="74"/>
      <c r="H88" s="74"/>
      <c r="I88" s="74"/>
      <c r="J88" s="74"/>
      <c r="K88" s="74"/>
      <c r="L88" s="75" t="s">
        <v>993</v>
      </c>
      <c r="M88" s="56"/>
      <c r="N88" s="57"/>
      <c r="O88" s="58"/>
      <c r="P88" s="59"/>
      <c r="Q88" s="60"/>
      <c r="R88" s="61" t="str">
        <f>IF(N88="Do",10,IF(N88="Re",22,IF(N88="Mi",20,IF(N88="Fa",20,IF(N88="Sol",14,IF(N88="La",20,IF(N88="Si",20,IF(N88="Do#",14,IF(N88="Fa#",15,IF(N88="Sol#",20,IF(N88="Si♭",17,"")))))))))))</f>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5.5" outlineLevel="1" thickTop="1" thickBot="1" x14ac:dyDescent="0.4">
      <c r="C89" s="113" t="s">
        <v>1137</v>
      </c>
      <c r="D89" s="112" t="s">
        <v>1013</v>
      </c>
      <c r="E89" s="52" t="s">
        <v>1012</v>
      </c>
      <c r="F89" s="53"/>
      <c r="G89" s="53"/>
      <c r="H89" s="52"/>
      <c r="I89" s="52"/>
      <c r="J89" s="54"/>
      <c r="K89" s="54"/>
      <c r="L89" s="55" t="str">
        <f t="shared" si="113"/>
        <v xml:space="preserve">            { line: "Entonces, despechado contra la Mujer,, (La,m,20)", sC: ""},</v>
      </c>
      <c r="M89" s="56" t="str">
        <f t="shared" si="114"/>
        <v>(</v>
      </c>
      <c r="N89" s="57" t="str">
        <f t="shared" si="2"/>
        <v>La</v>
      </c>
      <c r="O89" s="58" t="str">
        <f t="shared" si="115"/>
        <v>,</v>
      </c>
      <c r="P89" s="59" t="str">
        <f t="shared" si="4"/>
        <v>m</v>
      </c>
      <c r="Q89" s="60" t="str">
        <f t="shared" si="116"/>
        <v>,</v>
      </c>
      <c r="R89" s="61">
        <f t="shared" si="6"/>
        <v>20</v>
      </c>
      <c r="S89" s="56" t="str">
        <f t="shared" si="117"/>
        <v>)</v>
      </c>
      <c r="T89" s="62" t="str">
        <f t="shared" si="118"/>
        <v/>
      </c>
      <c r="U89" s="63" t="str">
        <f t="shared" si="9"/>
        <v/>
      </c>
      <c r="V89" s="64" t="str">
        <f t="shared" si="119"/>
        <v/>
      </c>
      <c r="W89" s="65" t="str">
        <f t="shared" si="11"/>
        <v/>
      </c>
      <c r="X89" s="64" t="str">
        <f t="shared" si="120"/>
        <v/>
      </c>
      <c r="Y89" s="64" t="str">
        <f t="shared" si="121"/>
        <v/>
      </c>
      <c r="Z89" s="56" t="str">
        <f t="shared" si="122"/>
        <v/>
      </c>
      <c r="AA89" s="66" t="str">
        <f t="shared" si="123"/>
        <v/>
      </c>
      <c r="AB89" s="57" t="str">
        <f t="shared" si="16"/>
        <v/>
      </c>
      <c r="AC89" s="67" t="str">
        <f t="shared" si="124"/>
        <v/>
      </c>
      <c r="AD89" s="59" t="str">
        <f t="shared" si="125"/>
        <v/>
      </c>
      <c r="AE89" s="68" t="str">
        <f t="shared" si="126"/>
        <v/>
      </c>
      <c r="AF89" s="61" t="str">
        <f t="shared" si="127"/>
        <v/>
      </c>
      <c r="AG89" s="61" t="str">
        <f t="shared" si="128"/>
        <v/>
      </c>
      <c r="AH89" s="69" t="str">
        <f t="shared" si="129"/>
        <v/>
      </c>
      <c r="AI89" s="70" t="str">
        <f t="shared" si="23"/>
        <v/>
      </c>
      <c r="AJ89" s="64" t="str">
        <f t="shared" si="130"/>
        <v/>
      </c>
      <c r="AK89" s="64" t="str">
        <f t="shared" si="131"/>
        <v/>
      </c>
      <c r="AL89" s="64" t="str">
        <f t="shared" si="132"/>
        <v/>
      </c>
      <c r="AM89" s="64" t="str">
        <f t="shared" si="133"/>
        <v/>
      </c>
      <c r="AN89" s="64" t="str">
        <f t="shared" si="134"/>
        <v/>
      </c>
    </row>
    <row r="90" spans="1:40" ht="25.5" outlineLevel="1" thickTop="1" thickBot="1" x14ac:dyDescent="0.4">
      <c r="C90" s="113" t="s">
        <v>1138</v>
      </c>
      <c r="D90" s="112" t="s">
        <v>1015</v>
      </c>
      <c r="E90" s="52"/>
      <c r="F90" s="53"/>
      <c r="G90" s="53"/>
      <c r="H90" s="52"/>
      <c r="I90" s="52"/>
      <c r="J90" s="54"/>
      <c r="K90" s="54"/>
      <c r="L90" s="55" t="str">
        <f t="shared" si="113"/>
        <v xml:space="preserve">            { line: "el gran Dragón, se fue a hacer la guerra, (Sol,,14)", sC: ""},</v>
      </c>
      <c r="M90" s="56" t="str">
        <f t="shared" si="114"/>
        <v>(</v>
      </c>
      <c r="N90" s="57" t="str">
        <f t="shared" si="2"/>
        <v>Sol</v>
      </c>
      <c r="O90" s="58" t="str">
        <f t="shared" si="115"/>
        <v>,</v>
      </c>
      <c r="P90" s="59" t="str">
        <f t="shared" si="4"/>
        <v/>
      </c>
      <c r="Q90" s="60" t="str">
        <f t="shared" si="116"/>
        <v>,</v>
      </c>
      <c r="R90" s="61">
        <f t="shared" si="6"/>
        <v>14</v>
      </c>
      <c r="S90" s="56" t="str">
        <f t="shared" si="117"/>
        <v>)</v>
      </c>
      <c r="T90" s="62" t="str">
        <f t="shared" si="118"/>
        <v/>
      </c>
      <c r="U90" s="63" t="str">
        <f t="shared" si="9"/>
        <v/>
      </c>
      <c r="V90" s="64" t="str">
        <f t="shared" si="119"/>
        <v/>
      </c>
      <c r="W90" s="65" t="str">
        <f t="shared" si="11"/>
        <v/>
      </c>
      <c r="X90" s="64" t="str">
        <f t="shared" si="120"/>
        <v/>
      </c>
      <c r="Y90" s="64" t="str">
        <f t="shared" si="121"/>
        <v/>
      </c>
      <c r="Z90" s="56" t="str">
        <f t="shared" si="122"/>
        <v/>
      </c>
      <c r="AA90" s="66" t="str">
        <f t="shared" si="123"/>
        <v/>
      </c>
      <c r="AB90" s="57" t="str">
        <f t="shared" si="16"/>
        <v/>
      </c>
      <c r="AC90" s="67" t="str">
        <f t="shared" si="124"/>
        <v/>
      </c>
      <c r="AD90" s="59" t="str">
        <f t="shared" si="125"/>
        <v/>
      </c>
      <c r="AE90" s="68" t="str">
        <f t="shared" si="126"/>
        <v/>
      </c>
      <c r="AF90" s="61" t="str">
        <f t="shared" si="127"/>
        <v/>
      </c>
      <c r="AG90" s="61" t="str">
        <f t="shared" si="128"/>
        <v/>
      </c>
      <c r="AH90" s="69" t="str">
        <f t="shared" si="129"/>
        <v/>
      </c>
      <c r="AI90" s="70" t="str">
        <f t="shared" si="23"/>
        <v/>
      </c>
      <c r="AJ90" s="64" t="str">
        <f t="shared" si="130"/>
        <v/>
      </c>
      <c r="AK90" s="64" t="str">
        <f t="shared" si="131"/>
        <v/>
      </c>
      <c r="AL90" s="64" t="str">
        <f t="shared" si="132"/>
        <v/>
      </c>
      <c r="AM90" s="64" t="str">
        <f t="shared" si="133"/>
        <v/>
      </c>
      <c r="AN90" s="64" t="str">
        <f t="shared" si="134"/>
        <v/>
      </c>
    </row>
    <row r="91" spans="1:40" ht="25.5" outlineLevel="1" thickTop="1" thickBot="1" x14ac:dyDescent="0.4">
      <c r="C91" s="113" t="s">
        <v>1139</v>
      </c>
      <c r="D91" s="112" t="s">
        <v>1032</v>
      </c>
      <c r="E91" s="52"/>
      <c r="F91" s="53"/>
      <c r="G91" s="53"/>
      <c r="H91" s="52"/>
      <c r="I91" s="52"/>
      <c r="J91" s="54"/>
      <c r="K91" s="54"/>
      <c r="L91" s="55" t="str">
        <f t="shared" si="113"/>
        <v xml:space="preserve">            { line: "al resto de sus hijos, (Fa,,20)", sC: ""},</v>
      </c>
      <c r="M91" s="56" t="str">
        <f t="shared" si="114"/>
        <v>(</v>
      </c>
      <c r="N91" s="57" t="str">
        <f t="shared" si="2"/>
        <v>Fa</v>
      </c>
      <c r="O91" s="58" t="str">
        <f t="shared" si="115"/>
        <v>,</v>
      </c>
      <c r="P91" s="59" t="str">
        <f t="shared" si="4"/>
        <v/>
      </c>
      <c r="Q91" s="60" t="str">
        <f t="shared" si="116"/>
        <v>,</v>
      </c>
      <c r="R91" s="61">
        <f t="shared" si="6"/>
        <v>20</v>
      </c>
      <c r="S91" s="56" t="str">
        <f t="shared" si="117"/>
        <v>)</v>
      </c>
      <c r="T91" s="62" t="str">
        <f t="shared" si="118"/>
        <v/>
      </c>
      <c r="U91" s="63" t="str">
        <f t="shared" si="9"/>
        <v/>
      </c>
      <c r="V91" s="64" t="str">
        <f t="shared" si="119"/>
        <v/>
      </c>
      <c r="W91" s="65" t="str">
        <f t="shared" si="11"/>
        <v/>
      </c>
      <c r="X91" s="64" t="str">
        <f t="shared" si="120"/>
        <v/>
      </c>
      <c r="Y91" s="64" t="str">
        <f t="shared" si="121"/>
        <v/>
      </c>
      <c r="Z91" s="56" t="str">
        <f t="shared" si="122"/>
        <v/>
      </c>
      <c r="AA91" s="66" t="str">
        <f t="shared" si="123"/>
        <v/>
      </c>
      <c r="AB91" s="57" t="str">
        <f t="shared" si="16"/>
        <v/>
      </c>
      <c r="AC91" s="67" t="str">
        <f t="shared" si="124"/>
        <v/>
      </c>
      <c r="AD91" s="59" t="str">
        <f t="shared" si="125"/>
        <v/>
      </c>
      <c r="AE91" s="68" t="str">
        <f t="shared" si="126"/>
        <v/>
      </c>
      <c r="AF91" s="61" t="str">
        <f t="shared" si="127"/>
        <v/>
      </c>
      <c r="AG91" s="61" t="str">
        <f t="shared" si="128"/>
        <v/>
      </c>
      <c r="AH91" s="69" t="str">
        <f t="shared" si="129"/>
        <v/>
      </c>
      <c r="AI91" s="70" t="str">
        <f t="shared" si="23"/>
        <v/>
      </c>
      <c r="AJ91" s="64" t="str">
        <f t="shared" si="130"/>
        <v/>
      </c>
      <c r="AK91" s="64" t="str">
        <f t="shared" si="131"/>
        <v/>
      </c>
      <c r="AL91" s="64" t="str">
        <f t="shared" si="132"/>
        <v/>
      </c>
      <c r="AM91" s="64" t="str">
        <f t="shared" si="133"/>
        <v/>
      </c>
      <c r="AN91" s="64" t="str">
        <f t="shared" si="134"/>
        <v/>
      </c>
    </row>
    <row r="92" spans="1:40" ht="25.5" outlineLevel="1" thickTop="1" thickBot="1" x14ac:dyDescent="0.4">
      <c r="C92" s="113" t="s">
        <v>1140</v>
      </c>
      <c r="D92" s="112"/>
      <c r="E92" s="52"/>
      <c r="F92" s="53"/>
      <c r="G92" s="53"/>
      <c r="H92" s="52"/>
      <c r="I92" s="52"/>
      <c r="J92" s="54"/>
      <c r="K92" s="54"/>
      <c r="L92" s="55" t="str">
        <f t="shared" si="113"/>
        <v xml:space="preserve">            { line: "los que guardan los mandamientos de Dios, ", sC: ""},</v>
      </c>
      <c r="M92" s="56" t="str">
        <f t="shared" si="114"/>
        <v/>
      </c>
      <c r="N92" s="57" t="str">
        <f t="shared" si="2"/>
        <v/>
      </c>
      <c r="O92" s="58" t="str">
        <f t="shared" si="115"/>
        <v/>
      </c>
      <c r="P92" s="59" t="str">
        <f t="shared" si="4"/>
        <v/>
      </c>
      <c r="Q92" s="60" t="str">
        <f t="shared" si="116"/>
        <v/>
      </c>
      <c r="R92" s="61" t="str">
        <f t="shared" si="6"/>
        <v/>
      </c>
      <c r="S92" s="56" t="str">
        <f t="shared" si="117"/>
        <v/>
      </c>
      <c r="T92" s="62" t="str">
        <f t="shared" si="118"/>
        <v/>
      </c>
      <c r="U92" s="63" t="str">
        <f t="shared" si="9"/>
        <v/>
      </c>
      <c r="V92" s="64" t="str">
        <f t="shared" si="119"/>
        <v/>
      </c>
      <c r="W92" s="65" t="str">
        <f t="shared" si="11"/>
        <v/>
      </c>
      <c r="X92" s="64" t="str">
        <f t="shared" si="120"/>
        <v/>
      </c>
      <c r="Y92" s="64" t="str">
        <f t="shared" si="121"/>
        <v/>
      </c>
      <c r="Z92" s="56" t="str">
        <f t="shared" si="122"/>
        <v/>
      </c>
      <c r="AA92" s="66" t="str">
        <f t="shared" si="123"/>
        <v/>
      </c>
      <c r="AB92" s="57" t="str">
        <f t="shared" si="16"/>
        <v/>
      </c>
      <c r="AC92" s="67" t="str">
        <f t="shared" si="124"/>
        <v/>
      </c>
      <c r="AD92" s="59" t="str">
        <f t="shared" si="125"/>
        <v/>
      </c>
      <c r="AE92" s="68" t="str">
        <f t="shared" si="126"/>
        <v/>
      </c>
      <c r="AF92" s="61" t="str">
        <f t="shared" si="127"/>
        <v/>
      </c>
      <c r="AG92" s="61" t="str">
        <f t="shared" si="128"/>
        <v/>
      </c>
      <c r="AH92" s="69" t="str">
        <f t="shared" si="129"/>
        <v/>
      </c>
      <c r="AI92" s="70" t="str">
        <f t="shared" si="23"/>
        <v/>
      </c>
      <c r="AJ92" s="64" t="str">
        <f t="shared" si="130"/>
        <v/>
      </c>
      <c r="AK92" s="64" t="str">
        <f t="shared" si="131"/>
        <v/>
      </c>
      <c r="AL92" s="64" t="str">
        <f t="shared" si="132"/>
        <v/>
      </c>
      <c r="AM92" s="64" t="str">
        <f t="shared" si="133"/>
        <v/>
      </c>
      <c r="AN92" s="64" t="str">
        <f t="shared" si="134"/>
        <v/>
      </c>
    </row>
    <row r="93" spans="1:40" ht="25.5" outlineLevel="1" thickTop="1" thickBot="1" x14ac:dyDescent="0.4">
      <c r="C93" s="113" t="s">
        <v>1141</v>
      </c>
      <c r="D93" s="112" t="s">
        <v>1011</v>
      </c>
      <c r="E93" s="52"/>
      <c r="F93" s="53"/>
      <c r="G93" s="53"/>
      <c r="H93" s="52"/>
      <c r="I93" s="52"/>
      <c r="J93" s="54"/>
      <c r="K93" s="54"/>
      <c r="L93" s="55" t="str">
        <f t="shared" si="113"/>
        <v xml:space="preserve">            { line: "y mantienen el testimonio de Jesús., (Mi,,20)", sC: ""},</v>
      </c>
      <c r="M93" s="56" t="str">
        <f t="shared" si="114"/>
        <v>(</v>
      </c>
      <c r="N93" s="57" t="str">
        <f t="shared" si="2"/>
        <v>Mi</v>
      </c>
      <c r="O93" s="58" t="str">
        <f t="shared" si="115"/>
        <v>,</v>
      </c>
      <c r="P93" s="59" t="str">
        <f t="shared" si="4"/>
        <v/>
      </c>
      <c r="Q93" s="60" t="str">
        <f t="shared" si="116"/>
        <v>,</v>
      </c>
      <c r="R93" s="61">
        <f t="shared" si="6"/>
        <v>20</v>
      </c>
      <c r="S93" s="56" t="str">
        <f t="shared" si="117"/>
        <v>)</v>
      </c>
      <c r="T93" s="62" t="str">
        <f t="shared" si="118"/>
        <v/>
      </c>
      <c r="U93" s="63" t="str">
        <f t="shared" si="9"/>
        <v/>
      </c>
      <c r="V93" s="64" t="str">
        <f t="shared" si="119"/>
        <v/>
      </c>
      <c r="W93" s="65" t="str">
        <f t="shared" si="11"/>
        <v/>
      </c>
      <c r="X93" s="64" t="str">
        <f t="shared" si="120"/>
        <v/>
      </c>
      <c r="Y93" s="64" t="str">
        <f t="shared" si="121"/>
        <v/>
      </c>
      <c r="Z93" s="56" t="str">
        <f t="shared" si="122"/>
        <v/>
      </c>
      <c r="AA93" s="66" t="str">
        <f t="shared" si="123"/>
        <v/>
      </c>
      <c r="AB93" s="57" t="str">
        <f t="shared" si="16"/>
        <v/>
      </c>
      <c r="AC93" s="67" t="str">
        <f t="shared" si="124"/>
        <v/>
      </c>
      <c r="AD93" s="59" t="str">
        <f t="shared" si="125"/>
        <v/>
      </c>
      <c r="AE93" s="68" t="str">
        <f t="shared" si="126"/>
        <v/>
      </c>
      <c r="AF93" s="61" t="str">
        <f t="shared" si="127"/>
        <v/>
      </c>
      <c r="AG93" s="61" t="str">
        <f t="shared" si="128"/>
        <v/>
      </c>
      <c r="AH93" s="69" t="str">
        <f t="shared" si="129"/>
        <v/>
      </c>
      <c r="AI93" s="70" t="str">
        <f t="shared" si="23"/>
        <v/>
      </c>
      <c r="AJ93" s="64" t="str">
        <f t="shared" si="130"/>
        <v/>
      </c>
      <c r="AK93" s="64" t="str">
        <f t="shared" si="131"/>
        <v/>
      </c>
      <c r="AL93" s="64" t="str">
        <f t="shared" si="132"/>
        <v/>
      </c>
      <c r="AM93" s="64" t="str">
        <f t="shared" si="133"/>
        <v/>
      </c>
      <c r="AN93" s="64" t="str">
        <f t="shared" si="134"/>
        <v/>
      </c>
    </row>
    <row r="94" spans="1:40" ht="25.5" outlineLevel="1" thickTop="1" thickBot="1" x14ac:dyDescent="0.4">
      <c r="B94" t="s">
        <v>997</v>
      </c>
      <c r="C94" s="113" t="s">
        <v>1142</v>
      </c>
      <c r="D94" s="112"/>
      <c r="E94" s="52"/>
      <c r="F94" s="53"/>
      <c r="G94" s="53"/>
      <c r="H94" s="52"/>
      <c r="I94" s="52"/>
      <c r="J94" s="54"/>
      <c r="K94" s="54"/>
      <c r="L94" s="55" t="str">
        <f t="shared" si="113"/>
        <v xml:space="preserve">            { line: "LA LA LA, LA LA, LA LA..., ", sC: "ta as"},</v>
      </c>
      <c r="M94" s="56" t="str">
        <f t="shared" si="114"/>
        <v/>
      </c>
      <c r="N94" s="57" t="str">
        <f t="shared" si="2"/>
        <v/>
      </c>
      <c r="O94" s="58" t="str">
        <f t="shared" si="115"/>
        <v/>
      </c>
      <c r="P94" s="59" t="str">
        <f t="shared" si="4"/>
        <v/>
      </c>
      <c r="Q94" s="60" t="str">
        <f t="shared" si="116"/>
        <v/>
      </c>
      <c r="R94" s="61" t="str">
        <f t="shared" si="6"/>
        <v/>
      </c>
      <c r="S94" s="56" t="str">
        <f t="shared" si="117"/>
        <v/>
      </c>
      <c r="T94" s="62" t="str">
        <f t="shared" si="118"/>
        <v/>
      </c>
      <c r="U94" s="63" t="str">
        <f t="shared" si="9"/>
        <v/>
      </c>
      <c r="V94" s="64" t="str">
        <f t="shared" si="119"/>
        <v/>
      </c>
      <c r="W94" s="65" t="str">
        <f t="shared" si="11"/>
        <v/>
      </c>
      <c r="X94" s="64" t="str">
        <f t="shared" si="120"/>
        <v/>
      </c>
      <c r="Y94" s="64" t="str">
        <f t="shared" si="121"/>
        <v/>
      </c>
      <c r="Z94" s="56" t="str">
        <f t="shared" si="122"/>
        <v/>
      </c>
      <c r="AA94" s="66" t="str">
        <f t="shared" si="123"/>
        <v/>
      </c>
      <c r="AB94" s="57" t="str">
        <f t="shared" si="16"/>
        <v/>
      </c>
      <c r="AC94" s="67" t="str">
        <f t="shared" si="124"/>
        <v/>
      </c>
      <c r="AD94" s="59" t="str">
        <f t="shared" si="125"/>
        <v/>
      </c>
      <c r="AE94" s="68" t="str">
        <f t="shared" si="126"/>
        <v/>
      </c>
      <c r="AF94" s="61" t="str">
        <f t="shared" si="127"/>
        <v/>
      </c>
      <c r="AG94" s="61" t="str">
        <f t="shared" si="128"/>
        <v/>
      </c>
      <c r="AH94" s="69" t="str">
        <f t="shared" si="129"/>
        <v/>
      </c>
      <c r="AI94" s="70" t="str">
        <f t="shared" si="23"/>
        <v/>
      </c>
      <c r="AJ94" s="64" t="str">
        <f t="shared" si="130"/>
        <v/>
      </c>
      <c r="AK94" s="64" t="str">
        <f t="shared" si="131"/>
        <v/>
      </c>
      <c r="AL94" s="64" t="str">
        <f t="shared" si="132"/>
        <v/>
      </c>
      <c r="AM94" s="64" t="str">
        <f t="shared" si="133"/>
        <v/>
      </c>
      <c r="AN94" s="64" t="str">
        <f t="shared" si="134"/>
        <v/>
      </c>
    </row>
    <row r="95" spans="1:40" ht="24" customHeight="1" thickTop="1" x14ac:dyDescent="0.4">
      <c r="A95" s="95"/>
      <c r="B95" s="95"/>
      <c r="C95" s="95"/>
      <c r="D95" s="95"/>
      <c r="E95" s="95"/>
      <c r="F95" s="95"/>
      <c r="G95" s="95"/>
      <c r="H95" s="95"/>
      <c r="I95" s="95"/>
      <c r="J95" s="95"/>
      <c r="K95" s="95"/>
      <c r="L95" s="99" t="str">
        <f ca="1">_xlfn.CONCAT("]}, // ULTIMA LINEA DEL CANTO: ",L1)</f>
        <v>]}, // ULTIMA LINEA DEL CANTO: UNA GRAN SEÑAL</v>
      </c>
      <c r="M95" s="95"/>
    </row>
    <row r="96" spans="1:40" ht="20.25" x14ac:dyDescent="0.25">
      <c r="L96" s="100" t="s">
        <v>1008</v>
      </c>
      <c r="M96" s="101"/>
    </row>
    <row r="97" spans="1:40" ht="15.75" hidden="1" outlineLevel="1" thickBot="1" x14ac:dyDescent="0.3">
      <c r="M97" s="101"/>
    </row>
    <row r="98" spans="1:40" ht="27.75" hidden="1" outlineLevel="1" thickTop="1" thickBot="1" x14ac:dyDescent="0.4">
      <c r="A98" s="73"/>
      <c r="B98" s="73"/>
      <c r="C98" s="73"/>
      <c r="D98" s="74"/>
      <c r="E98" s="74"/>
      <c r="F98" s="74"/>
      <c r="G98" s="74"/>
      <c r="H98" s="74"/>
      <c r="I98" s="74"/>
      <c r="J98" s="74"/>
      <c r="K98" s="74"/>
      <c r="L98" s="75" t="s">
        <v>993</v>
      </c>
      <c r="M98" s="56"/>
      <c r="N98" s="57"/>
      <c r="O98" s="58"/>
      <c r="P98" s="59"/>
      <c r="Q98" s="60"/>
      <c r="R98" s="61" t="str">
        <f t="shared" ref="R98:R107" si="163">IF(N98="Do",10,IF(N98="Re",22,IF(N98="Mi",20,IF(N98="Fa",20,IF(N98="Sol",14,IF(N98="La",20,IF(N98="Si",20,IF(N98="Do#",14,IF(N98="Fa#",15,IF(N98="Sol#",20,IF(N98="Si♭",17,"")))))))))))</f>
        <v/>
      </c>
      <c r="S98" s="56"/>
      <c r="T98" s="62"/>
      <c r="U98" s="63"/>
      <c r="V98" s="64"/>
      <c r="W98" s="65"/>
      <c r="X98" s="64"/>
      <c r="Y98" s="64"/>
      <c r="Z98" s="56"/>
      <c r="AA98" s="66"/>
      <c r="AB98" s="57"/>
      <c r="AC98" s="67"/>
      <c r="AD98" s="59"/>
      <c r="AE98" s="68"/>
      <c r="AF98" s="61"/>
      <c r="AG98" s="61"/>
      <c r="AH98" s="69"/>
      <c r="AI98" s="70"/>
      <c r="AJ98" s="64"/>
      <c r="AK98" s="64"/>
      <c r="AL98" s="64"/>
      <c r="AM98" s="64"/>
      <c r="AN98" s="64"/>
    </row>
    <row r="99" spans="1:40" ht="25.5" hidden="1" outlineLevel="1" thickTop="1" thickBot="1" x14ac:dyDescent="0.4">
      <c r="C99" s="79" t="s">
        <v>995</v>
      </c>
      <c r="D99" s="80"/>
      <c r="E99" s="80"/>
      <c r="F99" s="80"/>
      <c r="G99" s="80"/>
      <c r="H99" s="80"/>
      <c r="I99" s="80"/>
      <c r="J99" s="80"/>
      <c r="K99" s="80"/>
      <c r="L99" s="118" t="s">
        <v>996</v>
      </c>
      <c r="M99" s="56" t="str">
        <f t="shared" ref="M99:M106" si="164">IF(N99="","","(")</f>
        <v/>
      </c>
      <c r="N99" s="57" t="str">
        <f t="shared" ref="N99:N106" si="165">IF(D99="","",D99)</f>
        <v/>
      </c>
      <c r="O99" s="58" t="str">
        <f t="shared" ref="O99:O106" si="166">IF(N99="","",",")</f>
        <v/>
      </c>
      <c r="P99" s="59" t="str">
        <f t="shared" ref="P99:P106" si="167">IF(E99="","",E99)</f>
        <v/>
      </c>
      <c r="Q99" s="60" t="str">
        <f t="shared" ref="Q99:Q106" si="168">IF(N99="","",",")</f>
        <v/>
      </c>
      <c r="R99" s="61" t="str">
        <f t="shared" si="163"/>
        <v/>
      </c>
      <c r="S99" s="56" t="str">
        <f t="shared" ref="S99:S106" si="169">IF(N99="","",")")</f>
        <v/>
      </c>
      <c r="T99" s="62" t="str">
        <f t="shared" ref="T99:T106" si="170">IF(U99="","","(")</f>
        <v/>
      </c>
      <c r="U99" s="63" t="str">
        <f t="shared" ref="U99:U106" si="171">IF(F99="","",F99)</f>
        <v/>
      </c>
      <c r="V99" s="64" t="str">
        <f t="shared" ref="V99:V106" si="172">IF(U99="","",",")</f>
        <v/>
      </c>
      <c r="W99" s="65" t="str">
        <f t="shared" ref="W99:W106" si="173">IF(G99="","",G99)</f>
        <v/>
      </c>
      <c r="X99" s="64" t="str">
        <f t="shared" ref="X99:X106" si="174">IF(U99="","",",")</f>
        <v/>
      </c>
      <c r="Y99" s="64" t="str">
        <f t="shared" ref="Y99:Y106" si="175">IF(U99="","",250)</f>
        <v/>
      </c>
      <c r="Z99" s="56" t="str">
        <f t="shared" ref="Z99:Z106" si="176">IF(U99="","",")")</f>
        <v/>
      </c>
      <c r="AA99" s="66" t="str">
        <f t="shared" ref="AA99:AA106" si="177">IF(AB99="","","(")</f>
        <v/>
      </c>
      <c r="AB99" s="57" t="str">
        <f t="shared" ref="AB99:AB106" si="178">IF(H99="","",H99)</f>
        <v/>
      </c>
      <c r="AC99" s="67" t="str">
        <f t="shared" ref="AC99:AC106" si="179">IF(AB99="","",",")</f>
        <v/>
      </c>
      <c r="AD99" s="59" t="str">
        <f t="shared" ref="AD99:AD106" si="180">IF(I99="","",I99)</f>
        <v/>
      </c>
      <c r="AE99" s="68" t="str">
        <f t="shared" ref="AE99:AE106" si="181">IF(AB99="","",",")</f>
        <v/>
      </c>
      <c r="AF99" s="61" t="str">
        <f t="shared" ref="AF99:AF106" si="182">IF(AB99="","",350)</f>
        <v/>
      </c>
      <c r="AG99" s="61" t="str">
        <f t="shared" ref="AG99:AG106" si="183">IF(AB99="","",")")</f>
        <v/>
      </c>
      <c r="AH99" s="69" t="str">
        <f t="shared" ref="AH99:AH106" si="184">IF(AI99="","","(")</f>
        <v/>
      </c>
      <c r="AI99" s="70" t="str">
        <f t="shared" ref="AI99:AI106" si="185">IF(J99="","",J99)</f>
        <v/>
      </c>
      <c r="AJ99" s="64" t="str">
        <f t="shared" ref="AJ99:AJ106" si="186">IF(AI99="","",",")</f>
        <v/>
      </c>
      <c r="AK99" s="64" t="str">
        <f t="shared" ref="AK99:AK106" si="187">IF(K99="","",K99)</f>
        <v/>
      </c>
      <c r="AL99" s="64" t="str">
        <f t="shared" ref="AL99:AL106" si="188">IF(AI99="","",",")</f>
        <v/>
      </c>
      <c r="AM99" s="64" t="str">
        <f t="shared" ref="AM99:AM106" si="189">IF(AI99="","",450)</f>
        <v/>
      </c>
      <c r="AN99" s="64" t="str">
        <f t="shared" ref="AN99:AN106" si="190">IF(AI99="","",")")</f>
        <v/>
      </c>
    </row>
    <row r="100" spans="1:40" ht="25.5" hidden="1" outlineLevel="1" thickTop="1" thickBot="1" x14ac:dyDescent="0.4">
      <c r="B100" t="s">
        <v>997</v>
      </c>
      <c r="C100" s="82" t="s">
        <v>998</v>
      </c>
      <c r="D100" s="83"/>
      <c r="E100" s="83"/>
      <c r="F100" s="83"/>
      <c r="G100" s="83"/>
      <c r="H100" s="83"/>
      <c r="I100" s="83"/>
      <c r="J100" s="83"/>
      <c r="K100" s="83"/>
      <c r="L100" s="119" t="str">
        <f>IF(C100="","",_xlfn.CONCAT("       triggerLine: ","""",C100,", ",M100:AN100,""", sC: ","""",B100,""", lines: ["))</f>
        <v xml:space="preserve">       triggerLine: "ASAMBLEA UNO, ", sC: "ta as", lines: [</v>
      </c>
      <c r="M100" s="56" t="str">
        <f t="shared" si="164"/>
        <v/>
      </c>
      <c r="N100" s="57" t="str">
        <f t="shared" si="165"/>
        <v/>
      </c>
      <c r="O100" s="58" t="str">
        <f t="shared" si="166"/>
        <v/>
      </c>
      <c r="P100" s="59" t="str">
        <f t="shared" si="167"/>
        <v/>
      </c>
      <c r="Q100" s="60" t="str">
        <f t="shared" si="168"/>
        <v/>
      </c>
      <c r="R100" s="61" t="str">
        <f t="shared" si="163"/>
        <v/>
      </c>
      <c r="S100" s="56" t="str">
        <f t="shared" si="169"/>
        <v/>
      </c>
      <c r="T100" s="62" t="str">
        <f t="shared" si="170"/>
        <v/>
      </c>
      <c r="U100" s="63" t="str">
        <f t="shared" si="171"/>
        <v/>
      </c>
      <c r="V100" s="64" t="str">
        <f t="shared" si="172"/>
        <v/>
      </c>
      <c r="W100" s="65" t="str">
        <f t="shared" si="173"/>
        <v/>
      </c>
      <c r="X100" s="64" t="str">
        <f t="shared" si="174"/>
        <v/>
      </c>
      <c r="Y100" s="64" t="str">
        <f t="shared" si="175"/>
        <v/>
      </c>
      <c r="Z100" s="56" t="str">
        <f t="shared" si="176"/>
        <v/>
      </c>
      <c r="AA100" s="66" t="str">
        <f t="shared" si="177"/>
        <v/>
      </c>
      <c r="AB100" s="57" t="str">
        <f t="shared" si="178"/>
        <v/>
      </c>
      <c r="AC100" s="67" t="str">
        <f t="shared" si="179"/>
        <v/>
      </c>
      <c r="AD100" s="59" t="str">
        <f t="shared" si="180"/>
        <v/>
      </c>
      <c r="AE100" s="68" t="str">
        <f t="shared" si="181"/>
        <v/>
      </c>
      <c r="AF100" s="61" t="str">
        <f t="shared" si="182"/>
        <v/>
      </c>
      <c r="AG100" s="61" t="str">
        <f t="shared" si="183"/>
        <v/>
      </c>
      <c r="AH100" s="69" t="str">
        <f t="shared" si="184"/>
        <v/>
      </c>
      <c r="AI100" s="70" t="str">
        <f t="shared" si="185"/>
        <v/>
      </c>
      <c r="AJ100" s="64" t="str">
        <f t="shared" si="186"/>
        <v/>
      </c>
      <c r="AK100" s="64" t="str">
        <f t="shared" si="187"/>
        <v/>
      </c>
      <c r="AL100" s="64" t="str">
        <f t="shared" si="188"/>
        <v/>
      </c>
      <c r="AM100" s="64" t="str">
        <f t="shared" si="189"/>
        <v/>
      </c>
      <c r="AN100" s="64" t="str">
        <f t="shared" si="190"/>
        <v/>
      </c>
    </row>
    <row r="101" spans="1:40" ht="25.5" hidden="1" outlineLevel="1" thickTop="1" thickBot="1" x14ac:dyDescent="0.4">
      <c r="B101" t="s">
        <v>999</v>
      </c>
      <c r="C101" s="85" t="s">
        <v>1000</v>
      </c>
      <c r="D101" s="86"/>
      <c r="E101" s="86"/>
      <c r="F101" s="86"/>
      <c r="G101" s="86"/>
      <c r="H101" s="87"/>
      <c r="I101" s="87"/>
      <c r="J101" s="87"/>
      <c r="K101" s="87"/>
      <c r="L101" s="120" t="str">
        <f>IF(C101="","",_xlfn.CONCAT("            { line: ","""",C101,", ",M101:AN101,""", sC: ","""",B101,"""},"))</f>
        <v xml:space="preserve">            { line: "ASAMBLEA DOS, ", sC: "as"},</v>
      </c>
      <c r="M101" s="56" t="str">
        <f t="shared" si="164"/>
        <v/>
      </c>
      <c r="N101" s="57" t="str">
        <f t="shared" si="165"/>
        <v/>
      </c>
      <c r="O101" s="58" t="str">
        <f t="shared" si="166"/>
        <v/>
      </c>
      <c r="P101" s="59" t="str">
        <f t="shared" si="167"/>
        <v/>
      </c>
      <c r="Q101" s="60" t="str">
        <f t="shared" si="168"/>
        <v/>
      </c>
      <c r="R101" s="61" t="str">
        <f t="shared" si="163"/>
        <v/>
      </c>
      <c r="S101" s="56" t="str">
        <f t="shared" si="169"/>
        <v/>
      </c>
      <c r="T101" s="62" t="str">
        <f t="shared" si="170"/>
        <v/>
      </c>
      <c r="U101" s="63" t="str">
        <f t="shared" si="171"/>
        <v/>
      </c>
      <c r="V101" s="64" t="str">
        <f t="shared" si="172"/>
        <v/>
      </c>
      <c r="W101" s="65" t="str">
        <f t="shared" si="173"/>
        <v/>
      </c>
      <c r="X101" s="64" t="str">
        <f t="shared" si="174"/>
        <v/>
      </c>
      <c r="Y101" s="64" t="str">
        <f t="shared" si="175"/>
        <v/>
      </c>
      <c r="Z101" s="56" t="str">
        <f t="shared" si="176"/>
        <v/>
      </c>
      <c r="AA101" s="66" t="str">
        <f t="shared" si="177"/>
        <v/>
      </c>
      <c r="AB101" s="57" t="str">
        <f t="shared" si="178"/>
        <v/>
      </c>
      <c r="AC101" s="67" t="str">
        <f t="shared" si="179"/>
        <v/>
      </c>
      <c r="AD101" s="59" t="str">
        <f t="shared" si="180"/>
        <v/>
      </c>
      <c r="AE101" s="68" t="str">
        <f t="shared" si="181"/>
        <v/>
      </c>
      <c r="AF101" s="61" t="str">
        <f t="shared" si="182"/>
        <v/>
      </c>
      <c r="AG101" s="61" t="str">
        <f t="shared" si="183"/>
        <v/>
      </c>
      <c r="AH101" s="69" t="str">
        <f t="shared" si="184"/>
        <v/>
      </c>
      <c r="AI101" s="70" t="str">
        <f t="shared" si="185"/>
        <v/>
      </c>
      <c r="AJ101" s="64" t="str">
        <f t="shared" si="186"/>
        <v/>
      </c>
      <c r="AK101" s="64" t="str">
        <f t="shared" si="187"/>
        <v/>
      </c>
      <c r="AL101" s="64" t="str">
        <f t="shared" si="188"/>
        <v/>
      </c>
      <c r="AM101" s="64" t="str">
        <f t="shared" si="189"/>
        <v/>
      </c>
      <c r="AN101" s="64" t="str">
        <f t="shared" si="190"/>
        <v/>
      </c>
    </row>
    <row r="102" spans="1:40" ht="25.5" hidden="1" outlineLevel="1" thickTop="1" thickBot="1" x14ac:dyDescent="0.4">
      <c r="B102" t="s">
        <v>999</v>
      </c>
      <c r="C102" s="85" t="s">
        <v>1001</v>
      </c>
      <c r="D102" s="89"/>
      <c r="E102" s="89"/>
      <c r="F102" s="89"/>
      <c r="G102" s="89"/>
      <c r="H102" s="90"/>
      <c r="I102" s="90"/>
      <c r="J102" s="90"/>
      <c r="K102" s="90"/>
      <c r="L102" s="120" t="str">
        <f>IF(C102="","",_xlfn.CONCAT("            { line: ","""",C102,", ",M102:AN102,""", sC: ","""",B102,"""},"))</f>
        <v xml:space="preserve">            { line: "ASAMBLEA TRES, ", sC: "as"},</v>
      </c>
      <c r="M102" s="56" t="str">
        <f t="shared" si="164"/>
        <v/>
      </c>
      <c r="N102" s="57" t="str">
        <f t="shared" si="165"/>
        <v/>
      </c>
      <c r="O102" s="58" t="str">
        <f t="shared" si="166"/>
        <v/>
      </c>
      <c r="P102" s="59" t="str">
        <f t="shared" si="167"/>
        <v/>
      </c>
      <c r="Q102" s="60" t="str">
        <f t="shared" si="168"/>
        <v/>
      </c>
      <c r="R102" s="61" t="str">
        <f t="shared" si="163"/>
        <v/>
      </c>
      <c r="S102" s="56" t="str">
        <f t="shared" si="169"/>
        <v/>
      </c>
      <c r="T102" s="62" t="str">
        <f t="shared" si="170"/>
        <v/>
      </c>
      <c r="U102" s="63" t="str">
        <f t="shared" si="171"/>
        <v/>
      </c>
      <c r="V102" s="64" t="str">
        <f t="shared" si="172"/>
        <v/>
      </c>
      <c r="W102" s="65" t="str">
        <f t="shared" si="173"/>
        <v/>
      </c>
      <c r="X102" s="64" t="str">
        <f t="shared" si="174"/>
        <v/>
      </c>
      <c r="Y102" s="64" t="str">
        <f t="shared" si="175"/>
        <v/>
      </c>
      <c r="Z102" s="56" t="str">
        <f t="shared" si="176"/>
        <v/>
      </c>
      <c r="AA102" s="66" t="str">
        <f t="shared" si="177"/>
        <v/>
      </c>
      <c r="AB102" s="57" t="str">
        <f t="shared" si="178"/>
        <v/>
      </c>
      <c r="AC102" s="67" t="str">
        <f t="shared" si="179"/>
        <v/>
      </c>
      <c r="AD102" s="59" t="str">
        <f t="shared" si="180"/>
        <v/>
      </c>
      <c r="AE102" s="68" t="str">
        <f t="shared" si="181"/>
        <v/>
      </c>
      <c r="AF102" s="61" t="str">
        <f t="shared" si="182"/>
        <v/>
      </c>
      <c r="AG102" s="61" t="str">
        <f t="shared" si="183"/>
        <v/>
      </c>
      <c r="AH102" s="69" t="str">
        <f t="shared" si="184"/>
        <v/>
      </c>
      <c r="AI102" s="70" t="str">
        <f t="shared" si="185"/>
        <v/>
      </c>
      <c r="AJ102" s="64" t="str">
        <f t="shared" si="186"/>
        <v/>
      </c>
      <c r="AK102" s="64" t="str">
        <f t="shared" si="187"/>
        <v/>
      </c>
      <c r="AL102" s="64" t="str">
        <f t="shared" si="188"/>
        <v/>
      </c>
      <c r="AM102" s="64" t="str">
        <f t="shared" si="189"/>
        <v/>
      </c>
      <c r="AN102" s="64" t="str">
        <f t="shared" si="190"/>
        <v/>
      </c>
    </row>
    <row r="103" spans="1:40" ht="25.5" hidden="1" outlineLevel="1" thickTop="1" thickBot="1" x14ac:dyDescent="0.4">
      <c r="B103" t="s">
        <v>999</v>
      </c>
      <c r="C103" s="85" t="s">
        <v>1002</v>
      </c>
      <c r="D103" s="86"/>
      <c r="E103" s="86"/>
      <c r="F103" s="86"/>
      <c r="G103" s="86"/>
      <c r="H103" s="87"/>
      <c r="I103" s="87"/>
      <c r="J103" s="87"/>
      <c r="K103" s="87"/>
      <c r="L103" s="120" t="str">
        <f>IF(C103="","",_xlfn.CONCAT("            { line: ","""",C103,", ",M103:AN103,""", sC: ","""",B103,"""},"))</f>
        <v xml:space="preserve">            { line: "ASAMBLEA CUATRO, ", sC: "as"},</v>
      </c>
      <c r="M103" s="56" t="str">
        <f t="shared" si="164"/>
        <v/>
      </c>
      <c r="N103" s="57" t="str">
        <f t="shared" si="165"/>
        <v/>
      </c>
      <c r="O103" s="58" t="str">
        <f t="shared" si="166"/>
        <v/>
      </c>
      <c r="P103" s="59" t="str">
        <f t="shared" si="167"/>
        <v/>
      </c>
      <c r="Q103" s="60" t="str">
        <f t="shared" si="168"/>
        <v/>
      </c>
      <c r="R103" s="61" t="str">
        <f t="shared" si="163"/>
        <v/>
      </c>
      <c r="S103" s="56" t="str">
        <f t="shared" si="169"/>
        <v/>
      </c>
      <c r="T103" s="62" t="str">
        <f t="shared" si="170"/>
        <v/>
      </c>
      <c r="U103" s="63" t="str">
        <f t="shared" si="171"/>
        <v/>
      </c>
      <c r="V103" s="64" t="str">
        <f t="shared" si="172"/>
        <v/>
      </c>
      <c r="W103" s="65" t="str">
        <f t="shared" si="173"/>
        <v/>
      </c>
      <c r="X103" s="64" t="str">
        <f t="shared" si="174"/>
        <v/>
      </c>
      <c r="Y103" s="64" t="str">
        <f t="shared" si="175"/>
        <v/>
      </c>
      <c r="Z103" s="56" t="str">
        <f t="shared" si="176"/>
        <v/>
      </c>
      <c r="AA103" s="66" t="str">
        <f t="shared" si="177"/>
        <v/>
      </c>
      <c r="AB103" s="57" t="str">
        <f t="shared" si="178"/>
        <v/>
      </c>
      <c r="AC103" s="67" t="str">
        <f t="shared" si="179"/>
        <v/>
      </c>
      <c r="AD103" s="59" t="str">
        <f t="shared" si="180"/>
        <v/>
      </c>
      <c r="AE103" s="68" t="str">
        <f t="shared" si="181"/>
        <v/>
      </c>
      <c r="AF103" s="61" t="str">
        <f t="shared" si="182"/>
        <v/>
      </c>
      <c r="AG103" s="61" t="str">
        <f t="shared" si="183"/>
        <v/>
      </c>
      <c r="AH103" s="69" t="str">
        <f t="shared" si="184"/>
        <v/>
      </c>
      <c r="AI103" s="70" t="str">
        <f t="shared" si="185"/>
        <v/>
      </c>
      <c r="AJ103" s="64" t="str">
        <f t="shared" si="186"/>
        <v/>
      </c>
      <c r="AK103" s="64" t="str">
        <f t="shared" si="187"/>
        <v/>
      </c>
      <c r="AL103" s="64" t="str">
        <f t="shared" si="188"/>
        <v/>
      </c>
      <c r="AM103" s="64" t="str">
        <f t="shared" si="189"/>
        <v/>
      </c>
      <c r="AN103" s="64" t="str">
        <f t="shared" si="190"/>
        <v/>
      </c>
    </row>
    <row r="104" spans="1:40" ht="25.5" hidden="1" outlineLevel="1" thickTop="1" thickBot="1" x14ac:dyDescent="0.4">
      <c r="B104" t="s">
        <v>999</v>
      </c>
      <c r="C104" s="85" t="s">
        <v>1003</v>
      </c>
      <c r="D104" s="89"/>
      <c r="E104" s="89"/>
      <c r="F104" s="89"/>
      <c r="G104" s="89"/>
      <c r="H104" s="90"/>
      <c r="I104" s="90"/>
      <c r="J104" s="90"/>
      <c r="K104" s="90"/>
      <c r="L104" s="120" t="str">
        <f>IF(C104="","",_xlfn.CONCAT("            { line: ","""",C104,", ",M104:AN104,""", sC: ","""",B104,"""},"))</f>
        <v xml:space="preserve">            { line: "ASAMBLEA CISCO, ", sC: "as"},</v>
      </c>
      <c r="M104" s="56" t="str">
        <f t="shared" si="164"/>
        <v/>
      </c>
      <c r="N104" s="57" t="str">
        <f t="shared" si="165"/>
        <v/>
      </c>
      <c r="O104" s="58" t="str">
        <f t="shared" si="166"/>
        <v/>
      </c>
      <c r="P104" s="59" t="str">
        <f t="shared" si="167"/>
        <v/>
      </c>
      <c r="Q104" s="60" t="str">
        <f t="shared" si="168"/>
        <v/>
      </c>
      <c r="R104" s="61" t="str">
        <f t="shared" si="163"/>
        <v/>
      </c>
      <c r="S104" s="56" t="str">
        <f t="shared" si="169"/>
        <v/>
      </c>
      <c r="T104" s="62" t="str">
        <f t="shared" si="170"/>
        <v/>
      </c>
      <c r="U104" s="63" t="str">
        <f t="shared" si="171"/>
        <v/>
      </c>
      <c r="V104" s="64" t="str">
        <f t="shared" si="172"/>
        <v/>
      </c>
      <c r="W104" s="65" t="str">
        <f t="shared" si="173"/>
        <v/>
      </c>
      <c r="X104" s="64" t="str">
        <f t="shared" si="174"/>
        <v/>
      </c>
      <c r="Y104" s="64" t="str">
        <f t="shared" si="175"/>
        <v/>
      </c>
      <c r="Z104" s="56" t="str">
        <f t="shared" si="176"/>
        <v/>
      </c>
      <c r="AA104" s="66" t="str">
        <f t="shared" si="177"/>
        <v/>
      </c>
      <c r="AB104" s="57" t="str">
        <f t="shared" si="178"/>
        <v/>
      </c>
      <c r="AC104" s="67" t="str">
        <f t="shared" si="179"/>
        <v/>
      </c>
      <c r="AD104" s="59" t="str">
        <f t="shared" si="180"/>
        <v/>
      </c>
      <c r="AE104" s="68" t="str">
        <f t="shared" si="181"/>
        <v/>
      </c>
      <c r="AF104" s="61" t="str">
        <f t="shared" si="182"/>
        <v/>
      </c>
      <c r="AG104" s="61" t="str">
        <f t="shared" si="183"/>
        <v/>
      </c>
      <c r="AH104" s="69" t="str">
        <f t="shared" si="184"/>
        <v/>
      </c>
      <c r="AI104" s="70" t="str">
        <f t="shared" si="185"/>
        <v/>
      </c>
      <c r="AJ104" s="64" t="str">
        <f t="shared" si="186"/>
        <v/>
      </c>
      <c r="AK104" s="64" t="str">
        <f t="shared" si="187"/>
        <v/>
      </c>
      <c r="AL104" s="64" t="str">
        <f t="shared" si="188"/>
        <v/>
      </c>
      <c r="AM104" s="64" t="str">
        <f t="shared" si="189"/>
        <v/>
      </c>
      <c r="AN104" s="64" t="str">
        <f t="shared" si="190"/>
        <v/>
      </c>
    </row>
    <row r="105" spans="1:40" ht="25.5" hidden="1" outlineLevel="1" thickTop="1" thickBot="1" x14ac:dyDescent="0.4">
      <c r="B105" t="s">
        <v>999</v>
      </c>
      <c r="C105" s="85" t="s">
        <v>1004</v>
      </c>
      <c r="D105" s="91"/>
      <c r="E105" s="91"/>
      <c r="F105" s="91"/>
      <c r="G105" s="91"/>
      <c r="H105" s="92"/>
      <c r="I105" s="92"/>
      <c r="J105" s="92"/>
      <c r="K105" s="92"/>
      <c r="L105" s="120" t="str">
        <f>IF(C105="","",_xlfn.CONCAT("            { line: ","""",C105,", ",M105:AN105,""", sC: ","""",B105,"""},"))</f>
        <v xml:space="preserve">            { line: "ASAMBLEA SEIS, ", sC: "as"},</v>
      </c>
      <c r="M105" s="56" t="str">
        <f t="shared" si="164"/>
        <v/>
      </c>
      <c r="N105" s="57" t="str">
        <f t="shared" si="165"/>
        <v/>
      </c>
      <c r="O105" s="58" t="str">
        <f t="shared" si="166"/>
        <v/>
      </c>
      <c r="P105" s="59" t="str">
        <f t="shared" si="167"/>
        <v/>
      </c>
      <c r="Q105" s="60" t="str">
        <f t="shared" si="168"/>
        <v/>
      </c>
      <c r="R105" s="61" t="str">
        <f t="shared" si="163"/>
        <v/>
      </c>
      <c r="S105" s="56" t="str">
        <f t="shared" si="169"/>
        <v/>
      </c>
      <c r="T105" s="62" t="str">
        <f t="shared" si="170"/>
        <v/>
      </c>
      <c r="U105" s="63" t="str">
        <f t="shared" si="171"/>
        <v/>
      </c>
      <c r="V105" s="64" t="str">
        <f t="shared" si="172"/>
        <v/>
      </c>
      <c r="W105" s="65" t="str">
        <f t="shared" si="173"/>
        <v/>
      </c>
      <c r="X105" s="64" t="str">
        <f t="shared" si="174"/>
        <v/>
      </c>
      <c r="Y105" s="64" t="str">
        <f t="shared" si="175"/>
        <v/>
      </c>
      <c r="Z105" s="56" t="str">
        <f t="shared" si="176"/>
        <v/>
      </c>
      <c r="AA105" s="66" t="str">
        <f t="shared" si="177"/>
        <v/>
      </c>
      <c r="AB105" s="57" t="str">
        <f t="shared" si="178"/>
        <v/>
      </c>
      <c r="AC105" s="67" t="str">
        <f t="shared" si="179"/>
        <v/>
      </c>
      <c r="AD105" s="59" t="str">
        <f t="shared" si="180"/>
        <v/>
      </c>
      <c r="AE105" s="68" t="str">
        <f t="shared" si="181"/>
        <v/>
      </c>
      <c r="AF105" s="61" t="str">
        <f t="shared" si="182"/>
        <v/>
      </c>
      <c r="AG105" s="61" t="str">
        <f t="shared" si="183"/>
        <v/>
      </c>
      <c r="AH105" s="69" t="str">
        <f t="shared" si="184"/>
        <v/>
      </c>
      <c r="AI105" s="70" t="str">
        <f t="shared" si="185"/>
        <v/>
      </c>
      <c r="AJ105" s="64" t="str">
        <f t="shared" si="186"/>
        <v/>
      </c>
      <c r="AK105" s="64" t="str">
        <f t="shared" si="187"/>
        <v/>
      </c>
      <c r="AL105" s="64" t="str">
        <f t="shared" si="188"/>
        <v/>
      </c>
      <c r="AM105" s="64" t="str">
        <f t="shared" si="189"/>
        <v/>
      </c>
      <c r="AN105" s="64" t="str">
        <f t="shared" si="190"/>
        <v/>
      </c>
    </row>
    <row r="106" spans="1:40" ht="25.5" hidden="1" outlineLevel="1" thickTop="1" thickBot="1" x14ac:dyDescent="0.4">
      <c r="B106" t="s">
        <v>999</v>
      </c>
      <c r="C106" s="93" t="s">
        <v>1005</v>
      </c>
      <c r="D106" s="83"/>
      <c r="E106" s="83"/>
      <c r="F106" s="83"/>
      <c r="G106" s="83"/>
      <c r="H106" s="83"/>
      <c r="I106" s="83"/>
      <c r="J106" s="83"/>
      <c r="K106" s="83"/>
      <c r="L106" s="121" t="str">
        <f>IF(C106="","",_xlfn.CONCAT("            { line: ","""",C106,", ",M106:AN106,""", sC: ","""",B106,"""},  ]},"))</f>
        <v xml:space="preserve">            { line: "ASAMBLEA CIERRE, ", sC: "as"},  ]},</v>
      </c>
      <c r="M106" s="56" t="str">
        <f t="shared" si="164"/>
        <v/>
      </c>
      <c r="N106" s="57" t="str">
        <f t="shared" si="165"/>
        <v/>
      </c>
      <c r="O106" s="58" t="str">
        <f t="shared" si="166"/>
        <v/>
      </c>
      <c r="P106" s="59" t="str">
        <f t="shared" si="167"/>
        <v/>
      </c>
      <c r="Q106" s="60" t="str">
        <f t="shared" si="168"/>
        <v/>
      </c>
      <c r="R106" s="61" t="str">
        <f t="shared" si="163"/>
        <v/>
      </c>
      <c r="S106" s="56" t="str">
        <f t="shared" si="169"/>
        <v/>
      </c>
      <c r="T106" s="62" t="str">
        <f t="shared" si="170"/>
        <v/>
      </c>
      <c r="U106" s="63" t="str">
        <f t="shared" si="171"/>
        <v/>
      </c>
      <c r="V106" s="64" t="str">
        <f t="shared" si="172"/>
        <v/>
      </c>
      <c r="W106" s="65" t="str">
        <f t="shared" si="173"/>
        <v/>
      </c>
      <c r="X106" s="64" t="str">
        <f t="shared" si="174"/>
        <v/>
      </c>
      <c r="Y106" s="64" t="str">
        <f t="shared" si="175"/>
        <v/>
      </c>
      <c r="Z106" s="56" t="str">
        <f t="shared" si="176"/>
        <v/>
      </c>
      <c r="AA106" s="66" t="str">
        <f t="shared" si="177"/>
        <v/>
      </c>
      <c r="AB106" s="57" t="str">
        <f t="shared" si="178"/>
        <v/>
      </c>
      <c r="AC106" s="67" t="str">
        <f t="shared" si="179"/>
        <v/>
      </c>
      <c r="AD106" s="59" t="str">
        <f t="shared" si="180"/>
        <v/>
      </c>
      <c r="AE106" s="68" t="str">
        <f t="shared" si="181"/>
        <v/>
      </c>
      <c r="AF106" s="61" t="str">
        <f t="shared" si="182"/>
        <v/>
      </c>
      <c r="AG106" s="61" t="str">
        <f t="shared" si="183"/>
        <v/>
      </c>
      <c r="AH106" s="69" t="str">
        <f t="shared" si="184"/>
        <v/>
      </c>
      <c r="AI106" s="70" t="str">
        <f t="shared" si="185"/>
        <v/>
      </c>
      <c r="AJ106" s="64" t="str">
        <f t="shared" si="186"/>
        <v/>
      </c>
      <c r="AK106" s="64" t="str">
        <f t="shared" si="187"/>
        <v/>
      </c>
      <c r="AL106" s="64" t="str">
        <f t="shared" si="188"/>
        <v/>
      </c>
      <c r="AM106" s="64" t="str">
        <f t="shared" si="189"/>
        <v/>
      </c>
      <c r="AN106" s="64" t="str">
        <f t="shared" si="190"/>
        <v/>
      </c>
    </row>
    <row r="107" spans="1:40" ht="27.75" hidden="1" outlineLevel="1" thickTop="1" thickBot="1" x14ac:dyDescent="0.4">
      <c r="A107" s="73"/>
      <c r="B107" s="73"/>
      <c r="C107" s="73"/>
      <c r="D107" s="74"/>
      <c r="E107" s="74"/>
      <c r="F107" s="74"/>
      <c r="G107" s="74"/>
      <c r="H107" s="74"/>
      <c r="I107" s="74"/>
      <c r="J107" s="74"/>
      <c r="K107" s="74"/>
      <c r="L107" s="75" t="s">
        <v>993</v>
      </c>
      <c r="M107" s="56"/>
      <c r="N107" s="57"/>
      <c r="O107" s="58"/>
      <c r="P107" s="59"/>
      <c r="Q107" s="60"/>
      <c r="R107" s="61" t="str">
        <f t="shared" si="163"/>
        <v/>
      </c>
      <c r="S107" s="56"/>
      <c r="T107" s="62"/>
      <c r="U107" s="63"/>
      <c r="V107" s="64"/>
      <c r="W107" s="65"/>
      <c r="X107" s="64"/>
      <c r="Y107" s="64"/>
      <c r="Z107" s="56"/>
      <c r="AA107" s="66"/>
      <c r="AB107" s="57"/>
      <c r="AC107" s="67"/>
      <c r="AD107" s="59"/>
      <c r="AE107" s="68"/>
      <c r="AF107" s="61"/>
      <c r="AG107" s="61"/>
      <c r="AH107" s="69"/>
      <c r="AI107" s="70"/>
      <c r="AJ107" s="64"/>
      <c r="AK107" s="64"/>
      <c r="AL107" s="64"/>
      <c r="AM107" s="64"/>
      <c r="AN107" s="64"/>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BB47E-B2F7-4C94-B0EF-981F2DD0BFC6}">
  <sheetPr codeName="Sheet70">
    <tabColor rgb="FF00B0F0"/>
  </sheetPr>
  <dimension ref="A1:AN87"/>
  <sheetViews>
    <sheetView tabSelected="1" zoomScale="85" zoomScaleNormal="85" workbookViewId="0">
      <pane xSplit="2" ySplit="1" topLeftCell="C4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164</v>
      </c>
      <c r="E1" s="40"/>
      <c r="F1" s="40"/>
      <c r="G1" s="40"/>
      <c r="H1" s="40"/>
      <c r="I1" s="40"/>
      <c r="J1" s="40"/>
      <c r="K1" s="40"/>
      <c r="L1" s="114" t="str">
        <f ca="1">UPPER(VLOOKUP(C1,Table223[],3,FALSE))</f>
        <v>URÍ, URÍ, URÁ</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URÍ, URÍ, URÁ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uriuriura</v>
      </c>
      <c r="L7" s="116" t="str">
        <f ca="1">_xlfn.CONCAT("        id: ","""",C7,"""",",")</f>
        <v xml:space="preserve">        id: "uriuriura",</v>
      </c>
    </row>
    <row r="8" spans="2:32" ht="23.25" x14ac:dyDescent="0.25">
      <c r="C8" t="str">
        <f ca="1">PROPER(L1)</f>
        <v>Urí, Urí, Urá</v>
      </c>
      <c r="L8" s="116" t="str">
        <f ca="1">_xlfn.CONCAT("        tt: ","""",C8,"""",",")</f>
        <v xml:space="preserve">        tt: "Urí, Urí, Urá",</v>
      </c>
    </row>
    <row r="9" spans="2:32" ht="23.25" x14ac:dyDescent="0.25">
      <c r="C9" t="str">
        <f ca="1">PROPER(L1)</f>
        <v>Urí, Urí, Urá</v>
      </c>
      <c r="L9" s="116" t="str">
        <f ca="1">_xlfn.CONCAT("        title: ","""",C9,"""",",")</f>
        <v xml:space="preserve">        title: "Urí, Urí, Urá",</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164</v>
      </c>
      <c r="L16" s="116" t="str">
        <f ca="1">_xlfn.CONCAT("        dbno: ","""",C16,"""",",")</f>
        <v xml:space="preserve">        dbno: "164",</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uriuriura</v>
      </c>
      <c r="L19" s="116" t="str">
        <f ca="1">_xlfn.CONCAT("        audioSrc: ","""https://audio.resucito.do/",C19,".mp3""",",")</f>
        <v xml:space="preserve">        audioSrc: "https://audio.resucito.do/uriuriura.mp3",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163</v>
      </c>
      <c r="C26" t="str">
        <f ca="1">VLOOKUP(B26,Table4[],13,FALSE)</f>
        <v>"/src/index.html?canto=unagransenal"</v>
      </c>
      <c r="L26" s="116" t="str">
        <f ca="1">_xlfn.CONCAT("        ant: ",C26,",")</f>
        <v xml:space="preserve">        ant: "/src/index.html?canto=unagransenal",</v>
      </c>
    </row>
    <row r="27" spans="1:40" ht="23.25" x14ac:dyDescent="0.25">
      <c r="B27">
        <f ca="1">+C1+1</f>
        <v>165</v>
      </c>
      <c r="C27" t="str">
        <f ca="1">VLOOKUP(B27,Table4[],13,FALSE)</f>
        <v>"/src/index.html?canto=vamosyapastores"</v>
      </c>
      <c r="L27" s="116" t="str">
        <f ca="1">_xlfn.CONCAT("        sig: ",C27,",")</f>
        <v xml:space="preserve">        sig: "/src/index.html?canto=vamosyapastores",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1144</v>
      </c>
      <c r="D30" s="112" t="s">
        <v>1011</v>
      </c>
      <c r="E30" s="52" t="s">
        <v>1012</v>
      </c>
      <c r="F30" s="53" t="s">
        <v>984</v>
      </c>
      <c r="G30" s="53">
        <v>7</v>
      </c>
      <c r="H30" s="52"/>
      <c r="I30" s="52"/>
      <c r="J30" s="54"/>
      <c r="K30" s="54"/>
      <c r="L30" s="78" t="str">
        <f t="shared" ref="L30:L31" si="0">IF(C30="","",_xlfn.CONCAT("            { line: ","""",C30,", ",M30:AN30,""", sC: ","""",B30,"""},"))</f>
        <v xml:space="preserve">            { line: "Urí, urí, urí, urá,, (Mi,m,20)(Si,7,250)", sC: "tc"},</v>
      </c>
      <c r="M30" s="56" t="str">
        <f t="shared" ref="M30:M34" si="1">IF(N30="","","(")</f>
        <v>(</v>
      </c>
      <c r="N30" s="57" t="str">
        <f t="shared" ref="N30:N65" si="2">IF(D30="","",D30)</f>
        <v>Mi</v>
      </c>
      <c r="O30" s="58" t="str">
        <f t="shared" ref="O30:O34" si="3">IF(N30="","",",")</f>
        <v>,</v>
      </c>
      <c r="P30" s="59" t="str">
        <f t="shared" ref="P30:P65" si="4">IF(E30="","",E30)</f>
        <v>m</v>
      </c>
      <c r="Q30" s="60" t="str">
        <f t="shared" ref="Q30:Q34" si="5">IF(N30="","",",")</f>
        <v>,</v>
      </c>
      <c r="R30" s="61">
        <f t="shared" ref="R30:R65" si="6">IF(N30="Do",10,IF(N30="Re",22,IF(N30="Mi",20,IF(N30="Fa",20,IF(N30="Sol",14,IF(N30="La",20,IF(N30="Si",20,IF(N30="Do#",14,IF(N30="Fa#",15,IF(N30="Sol#",20,IF(N30="Si♭",17,"")))))))))))</f>
        <v>20</v>
      </c>
      <c r="S30" s="56" t="str">
        <f t="shared" ref="S30:S34" si="7">IF(N30="","",")")</f>
        <v>)</v>
      </c>
      <c r="T30" s="62" t="str">
        <f t="shared" ref="T30:T34" si="8">IF(U30="","","(")</f>
        <v>(</v>
      </c>
      <c r="U30" s="63" t="str">
        <f t="shared" ref="U30:U65" si="9">IF(F30="","",F30)</f>
        <v>Si</v>
      </c>
      <c r="V30" s="64" t="str">
        <f t="shared" ref="V30:V34" si="10">IF(U30="","",",")</f>
        <v>,</v>
      </c>
      <c r="W30" s="65">
        <f t="shared" ref="W30:W65" si="11">IF(G30="","",G30)</f>
        <v>7</v>
      </c>
      <c r="X30" s="64" t="str">
        <f t="shared" ref="X30:X34" si="12">IF(U30="","",",")</f>
        <v>,</v>
      </c>
      <c r="Y30" s="64">
        <f t="shared" ref="Y30:Y34" si="13">IF(U30="","",250)</f>
        <v>250</v>
      </c>
      <c r="Z30" s="56" t="str">
        <f t="shared" ref="Z30:Z34" si="14">IF(U30="","",")")</f>
        <v>)</v>
      </c>
      <c r="AA30" s="66" t="str">
        <f t="shared" ref="AA30:AA34" si="15">IF(AB30="","","(")</f>
        <v/>
      </c>
      <c r="AB30" s="57" t="str">
        <f t="shared" ref="AB30:AB65"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5"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C31" s="113" t="s">
        <v>1145</v>
      </c>
      <c r="D31" s="112" t="s">
        <v>1011</v>
      </c>
      <c r="E31" s="52" t="s">
        <v>1012</v>
      </c>
      <c r="F31" s="53"/>
      <c r="G31" s="53"/>
      <c r="H31" s="52"/>
      <c r="I31" s="52"/>
      <c r="J31" s="54"/>
      <c r="K31" s="54"/>
      <c r="L31" s="78" t="str">
        <f t="shared" si="0"/>
        <v xml:space="preserve">            { line: "urí, urí, urí, urá., (Mi,m,20)", sC: ""},</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997</v>
      </c>
      <c r="C32" s="113" t="s">
        <v>1146</v>
      </c>
      <c r="D32" s="112" t="s">
        <v>984</v>
      </c>
      <c r="E32" s="52">
        <v>7</v>
      </c>
      <c r="F32" s="53"/>
      <c r="G32" s="53"/>
      <c r="H32" s="52"/>
      <c r="I32" s="52"/>
      <c r="J32" s="54"/>
      <c r="K32" s="54"/>
      <c r="L32" s="78" t="str">
        <f>IF(C32="","",_xlfn.CONCAT("            { line: ","""",C32,", ",M32:AN32,""", sC: ","""",B32,"""},"))</f>
        <v xml:space="preserve">            { line: "URÍ, URÍ, URÍ, URÁ., (Si,7,20)", sC: "ta as"},</v>
      </c>
      <c r="M32" s="56" t="str">
        <f t="shared" si="1"/>
        <v>(</v>
      </c>
      <c r="N32" s="57" t="str">
        <f t="shared" si="2"/>
        <v>Si</v>
      </c>
      <c r="O32" s="58" t="str">
        <f t="shared" si="3"/>
        <v>,</v>
      </c>
      <c r="P32" s="59">
        <f t="shared" si="4"/>
        <v>7</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1146</v>
      </c>
      <c r="D33" s="112" t="s">
        <v>1011</v>
      </c>
      <c r="E33" s="52" t="s">
        <v>1012</v>
      </c>
      <c r="F33" s="53"/>
      <c r="G33" s="53"/>
      <c r="H33" s="52"/>
      <c r="I33" s="52"/>
      <c r="J33" s="54"/>
      <c r="K33" s="54"/>
      <c r="L33" s="78" t="str">
        <f>IF(C33="","",_xlfn.CONCAT("            { line: ","""",C33,", ",M33:AN33,""", sC: ","""",B33,"""},"))</f>
        <v xml:space="preserve">            { line: "URÍ, URÍ, URÍ, URÁ.,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1146</v>
      </c>
      <c r="D34" s="112" t="s">
        <v>984</v>
      </c>
      <c r="E34" s="52">
        <v>7</v>
      </c>
      <c r="F34" s="53"/>
      <c r="G34" s="53"/>
      <c r="H34" s="52"/>
      <c r="I34" s="52"/>
      <c r="J34" s="54"/>
      <c r="K34" s="54"/>
      <c r="L34" s="78" t="str">
        <f t="shared" ref="L34:L39" si="29">IF(C34="","",_xlfn.CONCAT("            { line: ","""",C34,", ",M34:AN34,""", sC: ","""",B34,"""},"))</f>
        <v xml:space="preserve">            { line: "URÍ, URÍ, URÍ, URÁ., (Si,7,20)", sC: "as"},</v>
      </c>
      <c r="M34" s="56" t="str">
        <f t="shared" si="1"/>
        <v>(</v>
      </c>
      <c r="N34" s="57" t="str">
        <f t="shared" si="2"/>
        <v>Si</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1147</v>
      </c>
      <c r="D35" s="112" t="s">
        <v>1011</v>
      </c>
      <c r="E35" s="52" t="s">
        <v>1012</v>
      </c>
      <c r="F35" s="53"/>
      <c r="G35" s="53"/>
      <c r="H35" s="52"/>
      <c r="I35" s="52"/>
      <c r="J35" s="54"/>
      <c r="K35" s="54"/>
      <c r="L35" s="55" t="str">
        <f t="shared" si="29"/>
        <v xml:space="preserve">            { line: "PAMPAM, PAMPAM, PAMPARAM PAMPAM,, (Mi,m,20)", sC: "as"},</v>
      </c>
      <c r="M35" s="56" t="str">
        <f>IF(N35="","","(")</f>
        <v>(</v>
      </c>
      <c r="N35" s="57" t="str">
        <f>IF(D35="","",D35)</f>
        <v>Mi</v>
      </c>
      <c r="O35" s="58" t="str">
        <f>IF(N35="","",",")</f>
        <v>,</v>
      </c>
      <c r="P35" s="59" t="str">
        <f>IF(E35="","",E35)</f>
        <v>m</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1147</v>
      </c>
      <c r="D36" s="112" t="s">
        <v>984</v>
      </c>
      <c r="E36" s="52">
        <v>7</v>
      </c>
      <c r="F36" s="53"/>
      <c r="G36" s="53"/>
      <c r="H36" s="52"/>
      <c r="I36" s="52"/>
      <c r="J36" s="54"/>
      <c r="K36" s="54"/>
      <c r="L36" s="55" t="str">
        <f t="shared" si="29"/>
        <v xml:space="preserve">            { line: "PAMPAM, PAMPAM, PAMPARAM PAMPAM,, (Si,7,20)", sC: "as"},</v>
      </c>
      <c r="M36" s="56" t="str">
        <f>IF(N36="","","(")</f>
        <v>(</v>
      </c>
      <c r="N36" s="57" t="str">
        <f>IF(D36="","",D36)</f>
        <v>Si</v>
      </c>
      <c r="O36" s="58" t="str">
        <f>IF(N36="","",",")</f>
        <v>,</v>
      </c>
      <c r="P36" s="59">
        <f>IF(E36="","",E36)</f>
        <v>7</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1148</v>
      </c>
      <c r="D37" s="112" t="s">
        <v>1011</v>
      </c>
      <c r="E37" s="52" t="s">
        <v>1012</v>
      </c>
      <c r="F37" s="53"/>
      <c r="G37" s="53"/>
      <c r="H37" s="52"/>
      <c r="I37" s="52"/>
      <c r="J37" s="54"/>
      <c r="K37" s="54"/>
      <c r="L37" s="55" t="str">
        <f t="shared" si="29"/>
        <v xml:space="preserve">            { line: "LALALALÁ LALÁ., (Mi,m,20)", sC: "as"},</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1014</v>
      </c>
      <c r="C39" s="113" t="s">
        <v>1149</v>
      </c>
      <c r="D39" s="112" t="s">
        <v>1011</v>
      </c>
      <c r="E39" s="52" t="s">
        <v>1012</v>
      </c>
      <c r="F39" s="53" t="s">
        <v>984</v>
      </c>
      <c r="G39" s="53">
        <v>7</v>
      </c>
      <c r="H39" s="52"/>
      <c r="I39" s="52"/>
      <c r="J39" s="54"/>
      <c r="K39" s="54"/>
      <c r="L39" s="78" t="str">
        <f t="shared" si="29"/>
        <v xml:space="preserve">            { line: "Un niño pequeño va a nacer,, (Mi,m,20)(Si,7,250)", sC: "tc"},</v>
      </c>
      <c r="M39" s="56" t="str">
        <f t="shared" ref="M39:M42" si="30">IF(N39="","","(")</f>
        <v>(</v>
      </c>
      <c r="N39" s="57" t="str">
        <f t="shared" ref="N39:N42" si="31">IF(D39="","",D39)</f>
        <v>Mi</v>
      </c>
      <c r="O39" s="58" t="str">
        <f t="shared" ref="O39:O42" si="32">IF(N39="","",",")</f>
        <v>,</v>
      </c>
      <c r="P39" s="59" t="str">
        <f t="shared" ref="P39:P42" si="33">IF(E39="","",E39)</f>
        <v>m</v>
      </c>
      <c r="Q39" s="60" t="str">
        <f t="shared" ref="Q39:Q42" si="34">IF(N39="","",",")</f>
        <v>,</v>
      </c>
      <c r="R39" s="61">
        <f t="shared" si="6"/>
        <v>20</v>
      </c>
      <c r="S39" s="56" t="str">
        <f t="shared" ref="S39:S42" si="35">IF(N39="","",")")</f>
        <v>)</v>
      </c>
      <c r="T39" s="62" t="str">
        <f t="shared" ref="T39:T42" si="36">IF(U39="","","(")</f>
        <v>(</v>
      </c>
      <c r="U39" s="63" t="str">
        <f t="shared" ref="U39:U42" si="37">IF(F39="","",F39)</f>
        <v>Si</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1150</v>
      </c>
      <c r="D40" s="112" t="s">
        <v>1011</v>
      </c>
      <c r="E40" s="52" t="s">
        <v>1012</v>
      </c>
      <c r="F40" s="53"/>
      <c r="G40" s="53"/>
      <c r="H40" s="52"/>
      <c r="I40" s="52"/>
      <c r="J40" s="54"/>
      <c r="K40" s="54"/>
      <c r="L40" s="78" t="str">
        <f>IF(C40="","",_xlfn.CONCAT("            { line: ","""",C40,", ",M40:AN40,""", sC: ","""",B40,"""},"))</f>
        <v xml:space="preserve">            { line: "un niñito pequeño., (Mi,m,20)", sC: ""},</v>
      </c>
      <c r="M40" s="56" t="str">
        <f t="shared" si="30"/>
        <v>(</v>
      </c>
      <c r="N40" s="57" t="str">
        <f t="shared" si="31"/>
        <v>Mi</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997</v>
      </c>
      <c r="C41" s="113" t="s">
        <v>1151</v>
      </c>
      <c r="D41" s="112" t="s">
        <v>984</v>
      </c>
      <c r="E41" s="52">
        <v>7</v>
      </c>
      <c r="F41" s="53"/>
      <c r="G41" s="53"/>
      <c r="H41" s="52"/>
      <c r="I41" s="52"/>
      <c r="J41" s="54"/>
      <c r="K41" s="54"/>
      <c r="L41" s="78" t="str">
        <f>IF(C41="","",_xlfn.CONCAT("            { line: ","""",C41,", ",M41:AN41,""", sC: ","""",B41,"""},"))</f>
        <v xml:space="preserve">            { line: "UN NIÑO PEQUEÑO VA A NACER,, (Si,7,20)", sC: "ta as"},</v>
      </c>
      <c r="M41" s="56" t="str">
        <f t="shared" si="30"/>
        <v>(</v>
      </c>
      <c r="N41" s="57" t="str">
        <f t="shared" si="31"/>
        <v>Si</v>
      </c>
      <c r="O41" s="58" t="str">
        <f t="shared" si="32"/>
        <v>,</v>
      </c>
      <c r="P41" s="59">
        <f t="shared" si="33"/>
        <v>7</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1152</v>
      </c>
      <c r="D42" s="112" t="s">
        <v>1011</v>
      </c>
      <c r="E42" s="52" t="s">
        <v>1012</v>
      </c>
      <c r="F42" s="53"/>
      <c r="G42" s="53"/>
      <c r="H42" s="52"/>
      <c r="I42" s="52"/>
      <c r="J42" s="54"/>
      <c r="K42" s="54"/>
      <c r="L42" s="78" t="str">
        <f t="shared" ref="L42:L47" si="57">IF(C42="","",_xlfn.CONCAT("            { line: ","""",C42,", ",M42:AN42,""", sC: ","""",B42,"""},"))</f>
        <v xml:space="preserve">            { line: "UN NIÑITO PEQUEÑO., (Mi,m,20)", sC: "as"},</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1153</v>
      </c>
      <c r="D44" s="112" t="s">
        <v>984</v>
      </c>
      <c r="E44" s="52">
        <v>7</v>
      </c>
      <c r="F44" s="53"/>
      <c r="G44" s="53"/>
      <c r="H44" s="52"/>
      <c r="I44" s="52"/>
      <c r="J44" s="54"/>
      <c r="K44" s="54"/>
      <c r="L44" s="55" t="str">
        <f t="shared" si="57"/>
        <v xml:space="preserve">            { line: "¿Cómo se llamará? Emmanuel., (Si,7,20)", sC: "tc"},</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997</v>
      </c>
      <c r="C45" s="113" t="s">
        <v>1154</v>
      </c>
      <c r="D45" s="112" t="s">
        <v>1011</v>
      </c>
      <c r="E45" s="52" t="s">
        <v>1012</v>
      </c>
      <c r="F45" s="53"/>
      <c r="G45" s="53"/>
      <c r="H45" s="52"/>
      <c r="I45" s="52"/>
      <c r="J45" s="54"/>
      <c r="K45" s="54"/>
      <c r="L45" s="55" t="str">
        <f t="shared" si="57"/>
        <v xml:space="preserve">            { line: "¿CÓMO SE LLAMARÁ? EMMANUEL., (Mi,m,20)", sC: "ta as"},</v>
      </c>
      <c r="M45" s="56" t="str">
        <f>IF(N45="","","(")</f>
        <v>(</v>
      </c>
      <c r="N45" s="57" t="str">
        <f>IF(D45="","",D45)</f>
        <v>Mi</v>
      </c>
      <c r="O45" s="58" t="str">
        <f>IF(N45="","",",")</f>
        <v>,</v>
      </c>
      <c r="P45" s="59" t="str">
        <f>IF(E45="","",E45)</f>
        <v>m</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1154</v>
      </c>
      <c r="D46" s="112" t="s">
        <v>984</v>
      </c>
      <c r="E46" s="52">
        <v>7</v>
      </c>
      <c r="F46" s="53"/>
      <c r="G46" s="53"/>
      <c r="H46" s="52"/>
      <c r="I46" s="52"/>
      <c r="J46" s="54"/>
      <c r="K46" s="54"/>
      <c r="L46" s="55" t="str">
        <f t="shared" si="57"/>
        <v xml:space="preserve">            { line: "¿CÓMO SE LLAMARÁ? EMMANUEL., (Si,7,20)", sC: "as"},</v>
      </c>
      <c r="M46" s="56" t="str">
        <f>IF(N46="","","(")</f>
        <v>(</v>
      </c>
      <c r="N46" s="57" t="str">
        <f>IF(D46="","",D46)</f>
        <v>Si</v>
      </c>
      <c r="O46" s="58" t="str">
        <f>IF(N46="","",",")</f>
        <v>,</v>
      </c>
      <c r="P46" s="59">
        <f>IF(E46="","",E46)</f>
        <v>7</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1155</v>
      </c>
      <c r="D47" s="112" t="s">
        <v>1011</v>
      </c>
      <c r="E47" s="52" t="s">
        <v>1012</v>
      </c>
      <c r="F47" s="53"/>
      <c r="G47" s="53"/>
      <c r="H47" s="52"/>
      <c r="I47" s="52"/>
      <c r="J47" s="54"/>
      <c r="K47" s="54"/>
      <c r="L47" s="55" t="str">
        <f t="shared" si="57"/>
        <v xml:space="preserve">            { line: "VEN CHIQUITITO, VEN., (Mi,m,20)", sC: "as"},</v>
      </c>
      <c r="M47" s="56" t="str">
        <f t="shared" ref="M47" si="58">IF(N47="","","(")</f>
        <v>(</v>
      </c>
      <c r="N47" s="57" t="str">
        <f t="shared" ref="N47" si="59">IF(D47="","",D47)</f>
        <v>Mi</v>
      </c>
      <c r="O47" s="58" t="str">
        <f t="shared" ref="O47" si="60">IF(N47="","",",")</f>
        <v>,</v>
      </c>
      <c r="P47" s="59" t="str">
        <f t="shared" ref="P47" si="61">IF(E47="","",E47)</f>
        <v>m</v>
      </c>
      <c r="Q47" s="60" t="str">
        <f t="shared" ref="Q47" si="62">IF(N47="","",",")</f>
        <v>,</v>
      </c>
      <c r="R47" s="61">
        <f t="shared" si="6"/>
        <v>20</v>
      </c>
      <c r="S47" s="56" t="str">
        <f t="shared" ref="S47" si="63">IF(N47="","",")")</f>
        <v>)</v>
      </c>
      <c r="T47" s="62" t="str">
        <f t="shared" ref="T47" si="64">IF(U47="","","(")</f>
        <v/>
      </c>
      <c r="U47" s="63" t="str">
        <f t="shared" ref="U47" si="65">IF(F47="","",F47)</f>
        <v/>
      </c>
      <c r="V47" s="64" t="str">
        <f t="shared" ref="V47" si="66">IF(U47="","",",")</f>
        <v/>
      </c>
      <c r="W47" s="65" t="str">
        <f t="shared" ref="W47" si="67">IF(G47="","",G47)</f>
        <v/>
      </c>
      <c r="X47" s="64" t="str">
        <f t="shared" ref="X47" si="68">IF(U47="","",",")</f>
        <v/>
      </c>
      <c r="Y47" s="64" t="str">
        <f t="shared" ref="Y47" si="69">IF(U47="","",250)</f>
        <v/>
      </c>
      <c r="Z47" s="56" t="str">
        <f t="shared" ref="Z47" si="70">IF(U47="","",")")</f>
        <v/>
      </c>
      <c r="AA47" s="66" t="str">
        <f t="shared" ref="AA47" si="71">IF(AB47="","","(")</f>
        <v/>
      </c>
      <c r="AB47" s="57" t="str">
        <f t="shared" ref="AB47" si="72">IF(H47="","",H47)</f>
        <v/>
      </c>
      <c r="AC47" s="67" t="str">
        <f t="shared" ref="AC47" si="73">IF(AB47="","",",")</f>
        <v/>
      </c>
      <c r="AD47" s="59" t="str">
        <f t="shared" ref="AD47" si="74">IF(I47="","",I47)</f>
        <v/>
      </c>
      <c r="AE47" s="68" t="str">
        <f t="shared" ref="AE47" si="75">IF(AB47="","",",")</f>
        <v/>
      </c>
      <c r="AF47" s="61" t="str">
        <f t="shared" ref="AF47" si="76">IF(AB47="","",350)</f>
        <v/>
      </c>
      <c r="AG47" s="61" t="str">
        <f t="shared" ref="AG47" si="77">IF(AB47="","",")")</f>
        <v/>
      </c>
      <c r="AH47" s="69" t="str">
        <f t="shared" ref="AH47" si="78">IF(AI47="","","(")</f>
        <v/>
      </c>
      <c r="AI47" s="70" t="str">
        <f t="shared" ref="AI47" si="79">IF(J47="","",J47)</f>
        <v/>
      </c>
      <c r="AJ47" s="64" t="str">
        <f t="shared" ref="AJ47" si="80">IF(AI47="","",",")</f>
        <v/>
      </c>
      <c r="AK47" s="64" t="str">
        <f t="shared" ref="AK47" si="81">IF(K47="","",K47)</f>
        <v/>
      </c>
      <c r="AL47" s="64" t="str">
        <f t="shared" ref="AL47" si="82">IF(AI47="","",",")</f>
        <v/>
      </c>
      <c r="AM47" s="64" t="str">
        <f t="shared" ref="AM47" si="83">IF(AI47="","",450)</f>
        <v/>
      </c>
      <c r="AN47" s="64" t="str">
        <f t="shared" ref="AN47" si="84">IF(AI47="","",")")</f>
        <v/>
      </c>
    </row>
    <row r="48" spans="1:40" ht="27.75" outlineLevel="1" thickTop="1" thickBot="1" x14ac:dyDescent="0.4">
      <c r="A48" s="73"/>
      <c r="B48" s="73"/>
      <c r="C48" s="73"/>
      <c r="D48" s="74"/>
      <c r="E48" s="74"/>
      <c r="F48" s="74"/>
      <c r="G48" s="74"/>
      <c r="H48" s="74"/>
      <c r="I48" s="74"/>
      <c r="J48" s="74"/>
      <c r="K48" s="74"/>
      <c r="L48" s="75" t="s">
        <v>993</v>
      </c>
      <c r="M48" s="56"/>
      <c r="N48" s="57"/>
      <c r="O48" s="58"/>
      <c r="P48" s="59"/>
      <c r="Q48" s="60"/>
      <c r="R48" s="61" t="str">
        <f t="shared" si="6"/>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79" t="s">
        <v>995</v>
      </c>
      <c r="D49" s="80"/>
      <c r="E49" s="80"/>
      <c r="F49" s="80"/>
      <c r="G49" s="80"/>
      <c r="H49" s="80"/>
      <c r="I49" s="80"/>
      <c r="J49" s="80"/>
      <c r="K49" s="80"/>
      <c r="L49" s="118" t="s">
        <v>996</v>
      </c>
      <c r="M49" s="56" t="str">
        <f t="shared" ref="M49:M55" si="85">IF(N49="","","(")</f>
        <v/>
      </c>
      <c r="N49" s="57" t="str">
        <f t="shared" ref="N49:N55" si="86">IF(D49="","",D49)</f>
        <v/>
      </c>
      <c r="O49" s="58" t="str">
        <f t="shared" ref="O49:O55" si="87">IF(N49="","",",")</f>
        <v/>
      </c>
      <c r="P49" s="59" t="str">
        <f t="shared" ref="P49:P55" si="88">IF(E49="","",E49)</f>
        <v/>
      </c>
      <c r="Q49" s="60" t="str">
        <f t="shared" ref="Q49:Q55" si="89">IF(N49="","",",")</f>
        <v/>
      </c>
      <c r="R49" s="61" t="str">
        <f t="shared" si="6"/>
        <v/>
      </c>
      <c r="S49" s="56" t="str">
        <f t="shared" ref="S49:S55" si="90">IF(N49="","",")")</f>
        <v/>
      </c>
      <c r="T49" s="62" t="str">
        <f t="shared" ref="T49:T55" si="91">IF(U49="","","(")</f>
        <v/>
      </c>
      <c r="U49" s="63" t="str">
        <f t="shared" ref="U49:U55" si="92">IF(F49="","",F49)</f>
        <v/>
      </c>
      <c r="V49" s="64" t="str">
        <f t="shared" ref="V49:V55" si="93">IF(U49="","",",")</f>
        <v/>
      </c>
      <c r="W49" s="65" t="str">
        <f t="shared" ref="W49:W55" si="94">IF(G49="","",G49)</f>
        <v/>
      </c>
      <c r="X49" s="64" t="str">
        <f t="shared" ref="X49:X55" si="95">IF(U49="","",",")</f>
        <v/>
      </c>
      <c r="Y49" s="64" t="str">
        <f t="shared" ref="Y49:Y55" si="96">IF(U49="","",250)</f>
        <v/>
      </c>
      <c r="Z49" s="56" t="str">
        <f t="shared" ref="Z49:Z55" si="97">IF(U49="","",")")</f>
        <v/>
      </c>
      <c r="AA49" s="66" t="str">
        <f t="shared" ref="AA49:AA55" si="98">IF(AB49="","","(")</f>
        <v/>
      </c>
      <c r="AB49" s="57" t="str">
        <f t="shared" ref="AB49:AB55" si="99">IF(H49="","",H49)</f>
        <v/>
      </c>
      <c r="AC49" s="67" t="str">
        <f t="shared" ref="AC49:AC55" si="100">IF(AB49="","",",")</f>
        <v/>
      </c>
      <c r="AD49" s="59" t="str">
        <f t="shared" ref="AD49:AD55" si="101">IF(I49="","",I49)</f>
        <v/>
      </c>
      <c r="AE49" s="68" t="str">
        <f t="shared" ref="AE49:AE55" si="102">IF(AB49="","",",")</f>
        <v/>
      </c>
      <c r="AF49" s="61" t="str">
        <f t="shared" ref="AF49:AF55" si="103">IF(AB49="","",350)</f>
        <v/>
      </c>
      <c r="AG49" s="61" t="str">
        <f t="shared" ref="AG49:AG55" si="104">IF(AB49="","",")")</f>
        <v/>
      </c>
      <c r="AH49" s="69" t="str">
        <f t="shared" ref="AH49:AH55" si="105">IF(AI49="","","(")</f>
        <v/>
      </c>
      <c r="AI49" s="70" t="str">
        <f t="shared" ref="AI49:AI55" si="106">IF(J49="","",J49)</f>
        <v/>
      </c>
      <c r="AJ49" s="64" t="str">
        <f t="shared" ref="AJ49:AJ55" si="107">IF(AI49="","",",")</f>
        <v/>
      </c>
      <c r="AK49" s="64" t="str">
        <f t="shared" ref="AK49:AK55" si="108">IF(K49="","",K49)</f>
        <v/>
      </c>
      <c r="AL49" s="64" t="str">
        <f t="shared" ref="AL49:AL55" si="109">IF(AI49="","",",")</f>
        <v/>
      </c>
      <c r="AM49" s="64" t="str">
        <f t="shared" ref="AM49:AM55" si="110">IF(AI49="","",450)</f>
        <v/>
      </c>
      <c r="AN49" s="64" t="str">
        <f t="shared" ref="AN49:AN55" si="111">IF(AI49="","",")")</f>
        <v/>
      </c>
    </row>
    <row r="50" spans="1:40" ht="25.5" outlineLevel="1" thickTop="1" thickBot="1" x14ac:dyDescent="0.4">
      <c r="B50" t="s">
        <v>997</v>
      </c>
      <c r="C50" s="82" t="s">
        <v>1146</v>
      </c>
      <c r="D50" s="83" t="s">
        <v>984</v>
      </c>
      <c r="E50" s="83">
        <v>7</v>
      </c>
      <c r="F50" s="83"/>
      <c r="G50" s="83"/>
      <c r="H50" s="83"/>
      <c r="I50" s="83"/>
      <c r="J50" s="83"/>
      <c r="K50" s="83"/>
      <c r="L50" s="119" t="str">
        <f>IF(C50="","",_xlfn.CONCAT("       triggerLine: ","""",C50,", ",M50:AN50,""", sC: ","""",B50,""", lines: ["))</f>
        <v xml:space="preserve">       triggerLine: "URÍ, URÍ, URÍ, URÁ., (Si,7,20)", sC: "ta as", lines: [</v>
      </c>
      <c r="M50" s="56" t="str">
        <f t="shared" si="85"/>
        <v>(</v>
      </c>
      <c r="N50" s="57" t="str">
        <f t="shared" si="86"/>
        <v>Si</v>
      </c>
      <c r="O50" s="58" t="str">
        <f t="shared" si="87"/>
        <v>,</v>
      </c>
      <c r="P50" s="59">
        <f t="shared" si="88"/>
        <v>7</v>
      </c>
      <c r="Q50" s="60" t="str">
        <f t="shared" si="89"/>
        <v>,</v>
      </c>
      <c r="R50" s="61">
        <f t="shared" si="6"/>
        <v>20</v>
      </c>
      <c r="S50" s="56" t="str">
        <f t="shared" si="90"/>
        <v>)</v>
      </c>
      <c r="T50" s="62" t="str">
        <f t="shared" si="91"/>
        <v/>
      </c>
      <c r="U50" s="63" t="str">
        <f t="shared" si="92"/>
        <v/>
      </c>
      <c r="V50" s="64" t="str">
        <f t="shared" si="93"/>
        <v/>
      </c>
      <c r="W50" s="65" t="str">
        <f t="shared" si="94"/>
        <v/>
      </c>
      <c r="X50" s="64" t="str">
        <f t="shared" si="95"/>
        <v/>
      </c>
      <c r="Y50" s="64" t="str">
        <f t="shared" si="96"/>
        <v/>
      </c>
      <c r="Z50" s="56" t="str">
        <f t="shared" si="97"/>
        <v/>
      </c>
      <c r="AA50" s="66" t="str">
        <f t="shared" si="98"/>
        <v/>
      </c>
      <c r="AB50" s="57" t="str">
        <f t="shared" si="99"/>
        <v/>
      </c>
      <c r="AC50" s="67" t="str">
        <f t="shared" si="100"/>
        <v/>
      </c>
      <c r="AD50" s="59" t="str">
        <f t="shared" si="101"/>
        <v/>
      </c>
      <c r="AE50" s="68" t="str">
        <f t="shared" si="102"/>
        <v/>
      </c>
      <c r="AF50" s="61" t="str">
        <f t="shared" si="103"/>
        <v/>
      </c>
      <c r="AG50" s="61" t="str">
        <f t="shared" si="104"/>
        <v/>
      </c>
      <c r="AH50" s="69" t="str">
        <f t="shared" si="105"/>
        <v/>
      </c>
      <c r="AI50" s="70" t="str">
        <f t="shared" si="106"/>
        <v/>
      </c>
      <c r="AJ50" s="64" t="str">
        <f t="shared" si="107"/>
        <v/>
      </c>
      <c r="AK50" s="64" t="str">
        <f t="shared" si="108"/>
        <v/>
      </c>
      <c r="AL50" s="64" t="str">
        <f t="shared" si="109"/>
        <v/>
      </c>
      <c r="AM50" s="64" t="str">
        <f t="shared" si="110"/>
        <v/>
      </c>
      <c r="AN50" s="64" t="str">
        <f t="shared" si="111"/>
        <v/>
      </c>
    </row>
    <row r="51" spans="1:40" ht="25.5" outlineLevel="1" thickTop="1" thickBot="1" x14ac:dyDescent="0.4">
      <c r="B51" t="s">
        <v>999</v>
      </c>
      <c r="C51" s="85" t="s">
        <v>1146</v>
      </c>
      <c r="D51" s="86" t="s">
        <v>1011</v>
      </c>
      <c r="E51" s="86" t="s">
        <v>1012</v>
      </c>
      <c r="F51" s="86"/>
      <c r="G51" s="86"/>
      <c r="H51" s="87"/>
      <c r="I51" s="87"/>
      <c r="J51" s="87"/>
      <c r="K51" s="87"/>
      <c r="L51" s="120" t="str">
        <f>IF(C51="","",_xlfn.CONCAT("            { line: ","""",C51,", ",M51:AN51,""", sC: ","""",B51,"""},"))</f>
        <v xml:space="preserve">            { line: "URÍ, URÍ, URÍ, URÁ., (Mi,m,20)", sC: "as"},</v>
      </c>
      <c r="M51" s="56" t="str">
        <f t="shared" si="85"/>
        <v>(</v>
      </c>
      <c r="N51" s="57" t="str">
        <f t="shared" si="86"/>
        <v>Mi</v>
      </c>
      <c r="O51" s="58" t="str">
        <f t="shared" si="87"/>
        <v>,</v>
      </c>
      <c r="P51" s="59" t="str">
        <f t="shared" si="88"/>
        <v>m</v>
      </c>
      <c r="Q51" s="60" t="str">
        <f t="shared" si="89"/>
        <v>,</v>
      </c>
      <c r="R51" s="61">
        <f t="shared" si="6"/>
        <v>20</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outlineLevel="1" thickTop="1" thickBot="1" x14ac:dyDescent="0.4">
      <c r="B52" t="s">
        <v>999</v>
      </c>
      <c r="C52" s="85" t="s">
        <v>1146</v>
      </c>
      <c r="D52" s="89" t="s">
        <v>984</v>
      </c>
      <c r="E52" s="89">
        <v>7</v>
      </c>
      <c r="F52" s="89"/>
      <c r="G52" s="89"/>
      <c r="H52" s="90"/>
      <c r="I52" s="90"/>
      <c r="J52" s="90"/>
      <c r="K52" s="90"/>
      <c r="L52" s="120" t="str">
        <f>IF(C52="","",_xlfn.CONCAT("            { line: ","""",C52,", ",M52:AN52,""", sC: ","""",B52,"""},"))</f>
        <v xml:space="preserve">            { line: "URÍ, URÍ, URÍ, URÁ., (Si,7,20)", sC: "as"},</v>
      </c>
      <c r="M52" s="56" t="str">
        <f t="shared" si="85"/>
        <v>(</v>
      </c>
      <c r="N52" s="57" t="str">
        <f t="shared" si="86"/>
        <v>Si</v>
      </c>
      <c r="O52" s="58" t="str">
        <f t="shared" si="87"/>
        <v>,</v>
      </c>
      <c r="P52" s="59">
        <f t="shared" si="88"/>
        <v>7</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1147</v>
      </c>
      <c r="D53" s="86" t="s">
        <v>1011</v>
      </c>
      <c r="E53" s="86" t="s">
        <v>1012</v>
      </c>
      <c r="F53" s="86"/>
      <c r="G53" s="86"/>
      <c r="H53" s="87"/>
      <c r="I53" s="87"/>
      <c r="J53" s="87"/>
      <c r="K53" s="87"/>
      <c r="L53" s="120" t="str">
        <f>IF(C53="","",_xlfn.CONCAT("            { line: ","""",C53,", ",M53:AN53,""", sC: ","""",B53,"""},"))</f>
        <v xml:space="preserve">            { line: "PAMPAM, PAMPAM, PAMPARAM PAMPAM,, (Mi,m,20)", sC: "as"},</v>
      </c>
      <c r="M53" s="56" t="str">
        <f t="shared" si="85"/>
        <v>(</v>
      </c>
      <c r="N53" s="57" t="str">
        <f t="shared" si="86"/>
        <v>Mi</v>
      </c>
      <c r="O53" s="58" t="str">
        <f t="shared" si="87"/>
        <v>,</v>
      </c>
      <c r="P53" s="59" t="str">
        <f t="shared" si="88"/>
        <v>m</v>
      </c>
      <c r="Q53" s="60" t="str">
        <f t="shared" si="89"/>
        <v>,</v>
      </c>
      <c r="R53" s="61">
        <f t="shared" si="6"/>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1147</v>
      </c>
      <c r="D54" s="89" t="s">
        <v>984</v>
      </c>
      <c r="E54" s="89">
        <v>7</v>
      </c>
      <c r="F54" s="89"/>
      <c r="G54" s="89"/>
      <c r="H54" s="90"/>
      <c r="I54" s="90"/>
      <c r="J54" s="90"/>
      <c r="K54" s="90"/>
      <c r="L54" s="120" t="str">
        <f>IF(C54="","",_xlfn.CONCAT("            { line: ","""",C54,", ",M54:AN54,""", sC: ","""",B54,"""},"))</f>
        <v xml:space="preserve">            { line: "PAMPAM, PAMPAM, PAMPARAM PAMPAM,, (Si,7,20)", sC: "as"},</v>
      </c>
      <c r="M54" s="56" t="str">
        <f t="shared" si="85"/>
        <v>(</v>
      </c>
      <c r="N54" s="57" t="str">
        <f t="shared" si="86"/>
        <v>Si</v>
      </c>
      <c r="O54" s="58" t="str">
        <f t="shared" si="87"/>
        <v>,</v>
      </c>
      <c r="P54" s="59">
        <f t="shared" si="88"/>
        <v>7</v>
      </c>
      <c r="Q54" s="60" t="str">
        <f t="shared" si="89"/>
        <v>,</v>
      </c>
      <c r="R54" s="61">
        <f t="shared" si="6"/>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93" t="s">
        <v>1148</v>
      </c>
      <c r="D55" s="83" t="s">
        <v>1011</v>
      </c>
      <c r="E55" s="83" t="s">
        <v>1012</v>
      </c>
      <c r="F55" s="83"/>
      <c r="G55" s="83"/>
      <c r="H55" s="83"/>
      <c r="I55" s="83"/>
      <c r="J55" s="83"/>
      <c r="K55" s="83"/>
      <c r="L55" s="121" t="str">
        <f>IF(C55="","",_xlfn.CONCAT("            { line: ","""",C55,", ",M55:AN55,""", sC: ","""",B55,"""},  ]},"))</f>
        <v xml:space="preserve">            { line: "LALALALÁ LALÁ., (Mi,m,20)", sC: "as"},  ]},</v>
      </c>
      <c r="M55" s="56" t="str">
        <f t="shared" si="85"/>
        <v>(</v>
      </c>
      <c r="N55" s="57" t="str">
        <f t="shared" si="86"/>
        <v>Mi</v>
      </c>
      <c r="O55" s="58" t="str">
        <f t="shared" si="87"/>
        <v>,</v>
      </c>
      <c r="P55" s="59" t="str">
        <f t="shared" si="88"/>
        <v>m</v>
      </c>
      <c r="Q55" s="60" t="str">
        <f t="shared" si="89"/>
        <v>,</v>
      </c>
      <c r="R55" s="61">
        <f t="shared" si="6"/>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1156</v>
      </c>
      <c r="D57" s="112" t="s">
        <v>1011</v>
      </c>
      <c r="E57" s="52" t="s">
        <v>1012</v>
      </c>
      <c r="F57" s="53" t="s">
        <v>984</v>
      </c>
      <c r="G57" s="53">
        <v>7</v>
      </c>
      <c r="H57" s="52"/>
      <c r="I57" s="52"/>
      <c r="J57" s="54"/>
      <c r="K57" s="54"/>
      <c r="L57" s="55" t="str">
        <f t="shared" ref="L57:L65" si="112">IF(C57="","",_xlfn.CONCAT("            { line: ","""",C57,", ",M57:AN57,""", sC: ","""",B57,"""},"))</f>
        <v xml:space="preserve">            { line: "Su madrecita está en Belén,, (Mi,m,20)(Si,7,250)", sC: "tc"},</v>
      </c>
      <c r="M57" s="56" t="str">
        <f t="shared" ref="M57:M65" si="113">IF(N57="","","(")</f>
        <v>(</v>
      </c>
      <c r="N57" s="57" t="str">
        <f t="shared" si="2"/>
        <v>Mi</v>
      </c>
      <c r="O57" s="58" t="str">
        <f t="shared" ref="O57:O65" si="114">IF(N57="","",",")</f>
        <v>,</v>
      </c>
      <c r="P57" s="59" t="str">
        <f t="shared" si="4"/>
        <v>m</v>
      </c>
      <c r="Q57" s="60" t="str">
        <f t="shared" ref="Q57:Q65" si="115">IF(N57="","",",")</f>
        <v>,</v>
      </c>
      <c r="R57" s="61">
        <f t="shared" si="6"/>
        <v>20</v>
      </c>
      <c r="S57" s="56" t="str">
        <f t="shared" ref="S57:S65" si="116">IF(N57="","",")")</f>
        <v>)</v>
      </c>
      <c r="T57" s="62" t="str">
        <f t="shared" ref="T57:T65" si="117">IF(U57="","","(")</f>
        <v>(</v>
      </c>
      <c r="U57" s="63" t="str">
        <f t="shared" si="9"/>
        <v>Si</v>
      </c>
      <c r="V57" s="64" t="str">
        <f t="shared" ref="V57:V65" si="118">IF(U57="","",",")</f>
        <v>,</v>
      </c>
      <c r="W57" s="65">
        <f t="shared" si="11"/>
        <v>7</v>
      </c>
      <c r="X57" s="64" t="str">
        <f t="shared" ref="X57:X65" si="119">IF(U57="","",",")</f>
        <v>,</v>
      </c>
      <c r="Y57" s="64">
        <f t="shared" ref="Y57:Y65" si="120">IF(U57="","",250)</f>
        <v>250</v>
      </c>
      <c r="Z57" s="56" t="str">
        <f t="shared" ref="Z57:Z65" si="121">IF(U57="","",")")</f>
        <v>)</v>
      </c>
      <c r="AA57" s="66" t="str">
        <f t="shared" ref="AA57:AA65" si="122">IF(AB57="","","(")</f>
        <v/>
      </c>
      <c r="AB57" s="57" t="str">
        <f t="shared" si="16"/>
        <v/>
      </c>
      <c r="AC57" s="67" t="str">
        <f t="shared" ref="AC57:AC65" si="123">IF(AB57="","",",")</f>
        <v/>
      </c>
      <c r="AD57" s="59" t="str">
        <f t="shared" ref="AD57:AD65" si="124">IF(I57="","",I57)</f>
        <v/>
      </c>
      <c r="AE57" s="68" t="str">
        <f t="shared" ref="AE57:AE65" si="125">IF(AB57="","",",")</f>
        <v/>
      </c>
      <c r="AF57" s="61" t="str">
        <f t="shared" ref="AF57:AF65" si="126">IF(AB57="","",350)</f>
        <v/>
      </c>
      <c r="AG57" s="61" t="str">
        <f t="shared" ref="AG57:AG65" si="127">IF(AB57="","",")")</f>
        <v/>
      </c>
      <c r="AH57" s="69" t="str">
        <f t="shared" ref="AH57:AH65" si="128">IF(AI57="","","(")</f>
        <v/>
      </c>
      <c r="AI57" s="70" t="str">
        <f t="shared" si="23"/>
        <v/>
      </c>
      <c r="AJ57" s="64" t="str">
        <f t="shared" ref="AJ57:AJ65" si="129">IF(AI57="","",",")</f>
        <v/>
      </c>
      <c r="AK57" s="64" t="str">
        <f t="shared" ref="AK57:AK65" si="130">IF(K57="","",K57)</f>
        <v/>
      </c>
      <c r="AL57" s="64" t="str">
        <f t="shared" ref="AL57:AL65" si="131">IF(AI57="","",",")</f>
        <v/>
      </c>
      <c r="AM57" s="64" t="str">
        <f t="shared" ref="AM57:AM65" si="132">IF(AI57="","",450)</f>
        <v/>
      </c>
      <c r="AN57" s="64" t="str">
        <f t="shared" ref="AN57:AN65" si="133">IF(AI57="","",")")</f>
        <v/>
      </c>
    </row>
    <row r="58" spans="1:40" ht="25.5" outlineLevel="1" thickTop="1" thickBot="1" x14ac:dyDescent="0.4">
      <c r="C58" s="113" t="s">
        <v>1157</v>
      </c>
      <c r="D58" s="112" t="s">
        <v>1011</v>
      </c>
      <c r="E58" s="52" t="s">
        <v>1012</v>
      </c>
      <c r="F58" s="53"/>
      <c r="G58" s="53"/>
      <c r="H58" s="52"/>
      <c r="I58" s="52"/>
      <c r="J58" s="54"/>
      <c r="K58" s="54"/>
      <c r="L58" s="55" t="str">
        <f t="shared" si="112"/>
        <v xml:space="preserve">            { line: "su padre es carpintero., (Mi,m,20)", sC: ""},</v>
      </c>
      <c r="M58" s="56" t="str">
        <f t="shared" si="113"/>
        <v>(</v>
      </c>
      <c r="N58" s="57" t="str">
        <f t="shared" si="2"/>
        <v>Mi</v>
      </c>
      <c r="O58" s="58" t="str">
        <f t="shared" si="114"/>
        <v>,</v>
      </c>
      <c r="P58" s="59" t="str">
        <f t="shared" si="4"/>
        <v>m</v>
      </c>
      <c r="Q58" s="60" t="str">
        <f t="shared" si="115"/>
        <v>,</v>
      </c>
      <c r="R58" s="61">
        <f t="shared" si="6"/>
        <v>20</v>
      </c>
      <c r="S58" s="56" t="str">
        <f t="shared" si="116"/>
        <v>)</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B59" t="s">
        <v>997</v>
      </c>
      <c r="C59" s="113" t="s">
        <v>1158</v>
      </c>
      <c r="D59" s="112" t="s">
        <v>984</v>
      </c>
      <c r="E59" s="52">
        <v>7</v>
      </c>
      <c r="F59" s="53"/>
      <c r="G59" s="53"/>
      <c r="H59" s="52"/>
      <c r="I59" s="52"/>
      <c r="J59" s="54"/>
      <c r="K59" s="54"/>
      <c r="L59" s="55" t="str">
        <f t="shared" si="112"/>
        <v xml:space="preserve">            { line: "SU MADRECITA ESTÁ EN BELÉN,, (Si,7,20)", sC: "ta as"},</v>
      </c>
      <c r="M59" s="56" t="str">
        <f t="shared" si="113"/>
        <v>(</v>
      </c>
      <c r="N59" s="57" t="str">
        <f t="shared" si="2"/>
        <v>Si</v>
      </c>
      <c r="O59" s="58" t="str">
        <f t="shared" si="114"/>
        <v>,</v>
      </c>
      <c r="P59" s="59">
        <f t="shared" si="4"/>
        <v>7</v>
      </c>
      <c r="Q59" s="60" t="str">
        <f t="shared" si="115"/>
        <v>,</v>
      </c>
      <c r="R59" s="61">
        <f t="shared" si="6"/>
        <v>20</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B60" t="s">
        <v>999</v>
      </c>
      <c r="C60" s="113" t="s">
        <v>1159</v>
      </c>
      <c r="D60" s="112" t="s">
        <v>1011</v>
      </c>
      <c r="E60" s="52" t="s">
        <v>1012</v>
      </c>
      <c r="F60" s="53"/>
      <c r="G60" s="53"/>
      <c r="H60" s="52"/>
      <c r="I60" s="52"/>
      <c r="J60" s="54"/>
      <c r="K60" s="54"/>
      <c r="L60" s="55" t="str">
        <f t="shared" si="112"/>
        <v xml:space="preserve">            { line: "SU PADRE ES CARPINTERO., (Mi,m,20)", sC: "as"},</v>
      </c>
      <c r="M60" s="56" t="str">
        <f t="shared" si="113"/>
        <v>(</v>
      </c>
      <c r="N60" s="57" t="str">
        <f t="shared" si="2"/>
        <v>Mi</v>
      </c>
      <c r="O60" s="58" t="str">
        <f t="shared" si="114"/>
        <v>,</v>
      </c>
      <c r="P60" s="59" t="str">
        <f t="shared" si="4"/>
        <v>m</v>
      </c>
      <c r="Q60" s="60" t="str">
        <f t="shared" si="115"/>
        <v>,</v>
      </c>
      <c r="R60" s="61">
        <f t="shared" si="6"/>
        <v>20</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B62" t="s">
        <v>1014</v>
      </c>
      <c r="C62" s="113" t="s">
        <v>1153</v>
      </c>
      <c r="D62" s="112" t="s">
        <v>984</v>
      </c>
      <c r="E62" s="52">
        <v>7</v>
      </c>
      <c r="F62" s="53"/>
      <c r="G62" s="53"/>
      <c r="H62" s="52"/>
      <c r="I62" s="52"/>
      <c r="J62" s="54"/>
      <c r="K62" s="54"/>
      <c r="L62" s="55" t="str">
        <f t="shared" si="112"/>
        <v xml:space="preserve">            { line: "¿Cómo se llamará? Emmanuel., (Si,7,20)", sC: "tc"},</v>
      </c>
      <c r="M62" s="56" t="str">
        <f t="shared" si="113"/>
        <v>(</v>
      </c>
      <c r="N62" s="57" t="str">
        <f t="shared" si="2"/>
        <v>Si</v>
      </c>
      <c r="O62" s="58" t="str">
        <f t="shared" si="114"/>
        <v>,</v>
      </c>
      <c r="P62" s="59">
        <f t="shared" si="4"/>
        <v>7</v>
      </c>
      <c r="Q62" s="60" t="str">
        <f t="shared" si="115"/>
        <v>,</v>
      </c>
      <c r="R62" s="61">
        <f t="shared" si="6"/>
        <v>20</v>
      </c>
      <c r="S62" s="56" t="str">
        <f t="shared" si="116"/>
        <v>)</v>
      </c>
      <c r="T62" s="62" t="str">
        <f t="shared" si="117"/>
        <v/>
      </c>
      <c r="U62" s="63" t="str">
        <f t="shared" si="9"/>
        <v/>
      </c>
      <c r="V62" s="64" t="str">
        <f t="shared" si="118"/>
        <v/>
      </c>
      <c r="W62" s="65" t="str">
        <f t="shared" si="11"/>
        <v/>
      </c>
      <c r="X62" s="64" t="str">
        <f t="shared" si="119"/>
        <v/>
      </c>
      <c r="Y62" s="64" t="str">
        <f t="shared" si="120"/>
        <v/>
      </c>
      <c r="Z62" s="56" t="str">
        <f t="shared" si="121"/>
        <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outlineLevel="1" thickTop="1" thickBot="1" x14ac:dyDescent="0.4">
      <c r="B63" t="s">
        <v>997</v>
      </c>
      <c r="C63" s="113" t="s">
        <v>1154</v>
      </c>
      <c r="D63" s="112" t="s">
        <v>1011</v>
      </c>
      <c r="E63" s="52" t="s">
        <v>1012</v>
      </c>
      <c r="F63" s="53"/>
      <c r="G63" s="53"/>
      <c r="H63" s="52"/>
      <c r="I63" s="52"/>
      <c r="J63" s="54"/>
      <c r="K63" s="54"/>
      <c r="L63" s="55" t="str">
        <f t="shared" si="112"/>
        <v xml:space="preserve">            { line: "¿CÓMO SE LLAMARÁ? EMMANUEL., (Mi,m,20)", sC: "ta as"},</v>
      </c>
      <c r="M63" s="56" t="str">
        <f t="shared" si="113"/>
        <v>(</v>
      </c>
      <c r="N63" s="57" t="str">
        <f t="shared" si="2"/>
        <v>Mi</v>
      </c>
      <c r="O63" s="58" t="str">
        <f t="shared" si="114"/>
        <v>,</v>
      </c>
      <c r="P63" s="59" t="str">
        <f t="shared" si="4"/>
        <v>m</v>
      </c>
      <c r="Q63" s="60" t="str">
        <f t="shared" si="115"/>
        <v>,</v>
      </c>
      <c r="R63" s="61">
        <f t="shared" si="6"/>
        <v>20</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B64" t="s">
        <v>999</v>
      </c>
      <c r="C64" s="113" t="s">
        <v>1154</v>
      </c>
      <c r="D64" s="112" t="s">
        <v>984</v>
      </c>
      <c r="E64" s="52">
        <v>7</v>
      </c>
      <c r="F64" s="53"/>
      <c r="G64" s="53"/>
      <c r="H64" s="52"/>
      <c r="I64" s="52"/>
      <c r="J64" s="54"/>
      <c r="K64" s="54"/>
      <c r="L64" s="55" t="str">
        <f t="shared" si="112"/>
        <v xml:space="preserve">            { line: "¿CÓMO SE LLAMARÁ? EMMANUEL., (Si,7,20)", sC: "as"},</v>
      </c>
      <c r="M64" s="56" t="str">
        <f t="shared" si="113"/>
        <v>(</v>
      </c>
      <c r="N64" s="57" t="str">
        <f t="shared" si="2"/>
        <v>Si</v>
      </c>
      <c r="O64" s="58" t="str">
        <f t="shared" si="114"/>
        <v>,</v>
      </c>
      <c r="P64" s="59">
        <f t="shared" si="4"/>
        <v>7</v>
      </c>
      <c r="Q64" s="60" t="str">
        <f t="shared" si="115"/>
        <v>,</v>
      </c>
      <c r="R64" s="61">
        <f t="shared" si="6"/>
        <v>20</v>
      </c>
      <c r="S64" s="56" t="str">
        <f t="shared" si="116"/>
        <v>)</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5.5" outlineLevel="1" thickTop="1" thickBot="1" x14ac:dyDescent="0.4">
      <c r="B65" t="s">
        <v>999</v>
      </c>
      <c r="C65" s="113" t="s">
        <v>1155</v>
      </c>
      <c r="D65" s="112" t="s">
        <v>1011</v>
      </c>
      <c r="E65" s="52" t="s">
        <v>1012</v>
      </c>
      <c r="F65" s="53"/>
      <c r="G65" s="53"/>
      <c r="H65" s="52"/>
      <c r="I65" s="52"/>
      <c r="J65" s="54"/>
      <c r="K65" s="54"/>
      <c r="L65" s="55" t="str">
        <f t="shared" si="112"/>
        <v xml:space="preserve">            { line: "VEN CHIQUITITO, VEN., (Mi,m,20)", sC: "as"},</v>
      </c>
      <c r="M65" s="56" t="str">
        <f t="shared" si="113"/>
        <v>(</v>
      </c>
      <c r="N65" s="57" t="str">
        <f t="shared" si="2"/>
        <v>Mi</v>
      </c>
      <c r="O65" s="58" t="str">
        <f t="shared" si="114"/>
        <v>,</v>
      </c>
      <c r="P65" s="59" t="str">
        <f t="shared" si="4"/>
        <v>m</v>
      </c>
      <c r="Q65" s="60" t="str">
        <f t="shared" si="115"/>
        <v>,</v>
      </c>
      <c r="R65" s="61">
        <f t="shared" si="6"/>
        <v>20</v>
      </c>
      <c r="S65" s="56" t="str">
        <f t="shared" si="116"/>
        <v>)</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1:40" ht="27.75" outlineLevel="1" thickTop="1" thickBot="1" x14ac:dyDescent="0.4">
      <c r="A66" s="73"/>
      <c r="B66" s="73"/>
      <c r="C66" s="73"/>
      <c r="D66" s="74"/>
      <c r="E66" s="74"/>
      <c r="F66" s="74"/>
      <c r="G66" s="74"/>
      <c r="H66" s="74"/>
      <c r="I66" s="74"/>
      <c r="J66" s="74"/>
      <c r="K66" s="74"/>
      <c r="L66" s="75" t="s">
        <v>993</v>
      </c>
      <c r="M66" s="56"/>
      <c r="N66" s="57"/>
      <c r="O66" s="58"/>
      <c r="P66" s="59"/>
      <c r="Q66" s="60"/>
      <c r="R66" s="61" t="str">
        <f t="shared" ref="R66:R73" si="134">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79" t="s">
        <v>995</v>
      </c>
      <c r="D67" s="80"/>
      <c r="E67" s="80"/>
      <c r="F67" s="80"/>
      <c r="G67" s="80"/>
      <c r="H67" s="80"/>
      <c r="I67" s="80"/>
      <c r="J67" s="80"/>
      <c r="K67" s="80"/>
      <c r="L67" s="118" t="s">
        <v>996</v>
      </c>
      <c r="M67" s="56" t="str">
        <f t="shared" ref="M67:M73" si="135">IF(N67="","","(")</f>
        <v/>
      </c>
      <c r="N67" s="57" t="str">
        <f t="shared" ref="N67:N73" si="136">IF(D67="","",D67)</f>
        <v/>
      </c>
      <c r="O67" s="58" t="str">
        <f t="shared" ref="O67:O73" si="137">IF(N67="","",",")</f>
        <v/>
      </c>
      <c r="P67" s="59" t="str">
        <f t="shared" ref="P67:P73" si="138">IF(E67="","",E67)</f>
        <v/>
      </c>
      <c r="Q67" s="60" t="str">
        <f t="shared" ref="Q67:Q73" si="139">IF(N67="","",",")</f>
        <v/>
      </c>
      <c r="R67" s="61" t="str">
        <f t="shared" si="134"/>
        <v/>
      </c>
      <c r="S67" s="56" t="str">
        <f t="shared" ref="S67:S73" si="140">IF(N67="","",")")</f>
        <v/>
      </c>
      <c r="T67" s="62" t="str">
        <f t="shared" ref="T67:T73" si="141">IF(U67="","","(")</f>
        <v/>
      </c>
      <c r="U67" s="63" t="str">
        <f t="shared" ref="U67:U73" si="142">IF(F67="","",F67)</f>
        <v/>
      </c>
      <c r="V67" s="64" t="str">
        <f t="shared" ref="V67:V73" si="143">IF(U67="","",",")</f>
        <v/>
      </c>
      <c r="W67" s="65" t="str">
        <f t="shared" ref="W67:W73" si="144">IF(G67="","",G67)</f>
        <v/>
      </c>
      <c r="X67" s="64" t="str">
        <f t="shared" ref="X67:X73" si="145">IF(U67="","",",")</f>
        <v/>
      </c>
      <c r="Y67" s="64" t="str">
        <f t="shared" ref="Y67:Y73" si="146">IF(U67="","",250)</f>
        <v/>
      </c>
      <c r="Z67" s="56" t="str">
        <f t="shared" ref="Z67:Z73" si="147">IF(U67="","",")")</f>
        <v/>
      </c>
      <c r="AA67" s="66" t="str">
        <f t="shared" ref="AA67:AA73" si="148">IF(AB67="","","(")</f>
        <v/>
      </c>
      <c r="AB67" s="57" t="str">
        <f t="shared" ref="AB67:AB73" si="149">IF(H67="","",H67)</f>
        <v/>
      </c>
      <c r="AC67" s="67" t="str">
        <f t="shared" ref="AC67:AC73" si="150">IF(AB67="","",",")</f>
        <v/>
      </c>
      <c r="AD67" s="59" t="str">
        <f t="shared" ref="AD67:AD73" si="151">IF(I67="","",I67)</f>
        <v/>
      </c>
      <c r="AE67" s="68" t="str">
        <f t="shared" ref="AE67:AE73" si="152">IF(AB67="","",",")</f>
        <v/>
      </c>
      <c r="AF67" s="61" t="str">
        <f t="shared" ref="AF67:AF73" si="153">IF(AB67="","",350)</f>
        <v/>
      </c>
      <c r="AG67" s="61" t="str">
        <f t="shared" ref="AG67:AG73" si="154">IF(AB67="","",")")</f>
        <v/>
      </c>
      <c r="AH67" s="69" t="str">
        <f t="shared" ref="AH67:AH73" si="155">IF(AI67="","","(")</f>
        <v/>
      </c>
      <c r="AI67" s="70" t="str">
        <f t="shared" ref="AI67:AI73" si="156">IF(J67="","",J67)</f>
        <v/>
      </c>
      <c r="AJ67" s="64" t="str">
        <f t="shared" ref="AJ67:AJ73" si="157">IF(AI67="","",",")</f>
        <v/>
      </c>
      <c r="AK67" s="64" t="str">
        <f t="shared" ref="AK67:AK73" si="158">IF(K67="","",K67)</f>
        <v/>
      </c>
      <c r="AL67" s="64" t="str">
        <f t="shared" ref="AL67:AL73" si="159">IF(AI67="","",",")</f>
        <v/>
      </c>
      <c r="AM67" s="64" t="str">
        <f t="shared" ref="AM67:AM73" si="160">IF(AI67="","",450)</f>
        <v/>
      </c>
      <c r="AN67" s="64" t="str">
        <f t="shared" ref="AN67:AN73" si="161">IF(AI67="","",")")</f>
        <v/>
      </c>
    </row>
    <row r="68" spans="1:40" ht="25.5" outlineLevel="1" thickTop="1" thickBot="1" x14ac:dyDescent="0.4">
      <c r="B68" t="s">
        <v>997</v>
      </c>
      <c r="C68" s="82" t="s">
        <v>1146</v>
      </c>
      <c r="D68" s="83" t="s">
        <v>984</v>
      </c>
      <c r="E68" s="83">
        <v>7</v>
      </c>
      <c r="F68" s="83"/>
      <c r="G68" s="83"/>
      <c r="H68" s="83"/>
      <c r="I68" s="83"/>
      <c r="J68" s="83"/>
      <c r="K68" s="83"/>
      <c r="L68" s="119" t="str">
        <f>IF(C68="","",_xlfn.CONCAT("       triggerLine: ","""",C68,", ",M68:AN68,""", sC: ","""",B68,""", lines: ["))</f>
        <v xml:space="preserve">       triggerLine: "URÍ, URÍ, URÍ, URÁ., (Si,7,20)", sC: "ta as", lines: [</v>
      </c>
      <c r="M68" s="56" t="str">
        <f t="shared" si="135"/>
        <v>(</v>
      </c>
      <c r="N68" s="57" t="str">
        <f t="shared" si="136"/>
        <v>Si</v>
      </c>
      <c r="O68" s="58" t="str">
        <f t="shared" si="137"/>
        <v>,</v>
      </c>
      <c r="P68" s="59">
        <f t="shared" si="138"/>
        <v>7</v>
      </c>
      <c r="Q68" s="60" t="str">
        <f t="shared" si="139"/>
        <v>,</v>
      </c>
      <c r="R68" s="61">
        <f t="shared" si="134"/>
        <v>20</v>
      </c>
      <c r="S68" s="56" t="str">
        <f t="shared" si="140"/>
        <v>)</v>
      </c>
      <c r="T68" s="62" t="str">
        <f t="shared" si="141"/>
        <v/>
      </c>
      <c r="U68" s="63" t="str">
        <f t="shared" si="142"/>
        <v/>
      </c>
      <c r="V68" s="64" t="str">
        <f t="shared" si="143"/>
        <v/>
      </c>
      <c r="W68" s="65" t="str">
        <f t="shared" si="144"/>
        <v/>
      </c>
      <c r="X68" s="64" t="str">
        <f t="shared" si="145"/>
        <v/>
      </c>
      <c r="Y68" s="64" t="str">
        <f t="shared" si="146"/>
        <v/>
      </c>
      <c r="Z68" s="56" t="str">
        <f t="shared" si="147"/>
        <v/>
      </c>
      <c r="AA68" s="66" t="str">
        <f t="shared" si="148"/>
        <v/>
      </c>
      <c r="AB68" s="57" t="str">
        <f t="shared" si="149"/>
        <v/>
      </c>
      <c r="AC68" s="67" t="str">
        <f t="shared" si="150"/>
        <v/>
      </c>
      <c r="AD68" s="59" t="str">
        <f t="shared" si="151"/>
        <v/>
      </c>
      <c r="AE68" s="68" t="str">
        <f t="shared" si="152"/>
        <v/>
      </c>
      <c r="AF68" s="61" t="str">
        <f t="shared" si="153"/>
        <v/>
      </c>
      <c r="AG68" s="61" t="str">
        <f t="shared" si="154"/>
        <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5.5" outlineLevel="1" thickTop="1" thickBot="1" x14ac:dyDescent="0.4">
      <c r="B69" t="s">
        <v>999</v>
      </c>
      <c r="C69" s="85" t="s">
        <v>1146</v>
      </c>
      <c r="D69" s="86" t="s">
        <v>1011</v>
      </c>
      <c r="E69" s="86" t="s">
        <v>1012</v>
      </c>
      <c r="F69" s="86"/>
      <c r="G69" s="86"/>
      <c r="H69" s="87"/>
      <c r="I69" s="87"/>
      <c r="J69" s="87"/>
      <c r="K69" s="87"/>
      <c r="L69" s="120" t="str">
        <f>IF(C69="","",_xlfn.CONCAT("            { line: ","""",C69,", ",M69:AN69,""", sC: ","""",B69,"""},"))</f>
        <v xml:space="preserve">            { line: "URÍ, URÍ, URÍ, URÁ., (Mi,m,20)", sC: "as"},</v>
      </c>
      <c r="M69" s="56" t="str">
        <f t="shared" si="135"/>
        <v>(</v>
      </c>
      <c r="N69" s="57" t="str">
        <f t="shared" si="136"/>
        <v>Mi</v>
      </c>
      <c r="O69" s="58" t="str">
        <f t="shared" si="137"/>
        <v>,</v>
      </c>
      <c r="P69" s="59" t="str">
        <f t="shared" si="138"/>
        <v>m</v>
      </c>
      <c r="Q69" s="60" t="str">
        <f t="shared" si="139"/>
        <v>,</v>
      </c>
      <c r="R69" s="61">
        <f t="shared" si="134"/>
        <v>20</v>
      </c>
      <c r="S69" s="56" t="str">
        <f t="shared" si="140"/>
        <v>)</v>
      </c>
      <c r="T69" s="62" t="str">
        <f t="shared" si="141"/>
        <v/>
      </c>
      <c r="U69" s="63" t="str">
        <f t="shared" si="142"/>
        <v/>
      </c>
      <c r="V69" s="64" t="str">
        <f t="shared" si="143"/>
        <v/>
      </c>
      <c r="W69" s="65" t="str">
        <f t="shared" si="144"/>
        <v/>
      </c>
      <c r="X69" s="64" t="str">
        <f t="shared" si="145"/>
        <v/>
      </c>
      <c r="Y69" s="64" t="str">
        <f t="shared" si="146"/>
        <v/>
      </c>
      <c r="Z69" s="56" t="str">
        <f t="shared" si="147"/>
        <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5.5" outlineLevel="1" thickTop="1" thickBot="1" x14ac:dyDescent="0.4">
      <c r="B70" t="s">
        <v>999</v>
      </c>
      <c r="C70" s="85" t="s">
        <v>1146</v>
      </c>
      <c r="D70" s="89" t="s">
        <v>984</v>
      </c>
      <c r="E70" s="89">
        <v>7</v>
      </c>
      <c r="F70" s="89"/>
      <c r="G70" s="89"/>
      <c r="H70" s="90"/>
      <c r="I70" s="90"/>
      <c r="J70" s="90"/>
      <c r="K70" s="90"/>
      <c r="L70" s="120" t="str">
        <f>IF(C70="","",_xlfn.CONCAT("            { line: ","""",C70,", ",M70:AN70,""", sC: ","""",B70,"""},"))</f>
        <v xml:space="preserve">            { line: "URÍ, URÍ, URÍ, URÁ., (Si,7,20)", sC: "as"},</v>
      </c>
      <c r="M70" s="56" t="str">
        <f t="shared" si="135"/>
        <v>(</v>
      </c>
      <c r="N70" s="57" t="str">
        <f t="shared" si="136"/>
        <v>Si</v>
      </c>
      <c r="O70" s="58" t="str">
        <f t="shared" si="137"/>
        <v>,</v>
      </c>
      <c r="P70" s="59">
        <f t="shared" si="138"/>
        <v>7</v>
      </c>
      <c r="Q70" s="60" t="str">
        <f t="shared" si="139"/>
        <v>,</v>
      </c>
      <c r="R70" s="61">
        <f t="shared" si="134"/>
        <v>20</v>
      </c>
      <c r="S70" s="56" t="str">
        <f t="shared" si="140"/>
        <v>)</v>
      </c>
      <c r="T70" s="62" t="str">
        <f t="shared" si="141"/>
        <v/>
      </c>
      <c r="U70" s="63" t="str">
        <f t="shared" si="142"/>
        <v/>
      </c>
      <c r="V70" s="64" t="str">
        <f t="shared" si="143"/>
        <v/>
      </c>
      <c r="W70" s="65" t="str">
        <f t="shared" si="144"/>
        <v/>
      </c>
      <c r="X70" s="64" t="str">
        <f t="shared" si="145"/>
        <v/>
      </c>
      <c r="Y70" s="64" t="str">
        <f t="shared" si="146"/>
        <v/>
      </c>
      <c r="Z70" s="56" t="str">
        <f t="shared" si="147"/>
        <v/>
      </c>
      <c r="AA70" s="66" t="str">
        <f t="shared" si="148"/>
        <v/>
      </c>
      <c r="AB70" s="57" t="str">
        <f t="shared" si="149"/>
        <v/>
      </c>
      <c r="AC70" s="67" t="str">
        <f t="shared" si="150"/>
        <v/>
      </c>
      <c r="AD70" s="59" t="str">
        <f t="shared" si="151"/>
        <v/>
      </c>
      <c r="AE70" s="68" t="str">
        <f t="shared" si="152"/>
        <v/>
      </c>
      <c r="AF70" s="61" t="str">
        <f t="shared" si="153"/>
        <v/>
      </c>
      <c r="AG70" s="61" t="str">
        <f t="shared" si="154"/>
        <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5.5" outlineLevel="1" thickTop="1" thickBot="1" x14ac:dyDescent="0.4">
      <c r="B71" t="s">
        <v>999</v>
      </c>
      <c r="C71" s="85" t="s">
        <v>1147</v>
      </c>
      <c r="D71" s="86" t="s">
        <v>1011</v>
      </c>
      <c r="E71" s="86" t="s">
        <v>1012</v>
      </c>
      <c r="F71" s="86"/>
      <c r="G71" s="86"/>
      <c r="H71" s="87"/>
      <c r="I71" s="87"/>
      <c r="J71" s="87"/>
      <c r="K71" s="87"/>
      <c r="L71" s="120" t="str">
        <f>IF(C71="","",_xlfn.CONCAT("            { line: ","""",C71,", ",M71:AN71,""", sC: ","""",B71,"""},"))</f>
        <v xml:space="preserve">            { line: "PAMPAM, PAMPAM, PAMPARAM PAMPAM,, (Mi,m,20)", sC: "as"},</v>
      </c>
      <c r="M71" s="56" t="str">
        <f t="shared" si="135"/>
        <v>(</v>
      </c>
      <c r="N71" s="57" t="str">
        <f t="shared" si="136"/>
        <v>Mi</v>
      </c>
      <c r="O71" s="58" t="str">
        <f t="shared" si="137"/>
        <v>,</v>
      </c>
      <c r="P71" s="59" t="str">
        <f t="shared" si="138"/>
        <v>m</v>
      </c>
      <c r="Q71" s="60" t="str">
        <f t="shared" si="139"/>
        <v>,</v>
      </c>
      <c r="R71" s="61">
        <f t="shared" si="134"/>
        <v>20</v>
      </c>
      <c r="S71" s="56" t="str">
        <f t="shared" si="140"/>
        <v>)</v>
      </c>
      <c r="T71" s="62" t="str">
        <f t="shared" si="141"/>
        <v/>
      </c>
      <c r="U71" s="63" t="str">
        <f t="shared" si="142"/>
        <v/>
      </c>
      <c r="V71" s="64" t="str">
        <f t="shared" si="143"/>
        <v/>
      </c>
      <c r="W71" s="65" t="str">
        <f t="shared" si="144"/>
        <v/>
      </c>
      <c r="X71" s="64" t="str">
        <f t="shared" si="145"/>
        <v/>
      </c>
      <c r="Y71" s="64" t="str">
        <f t="shared" si="146"/>
        <v/>
      </c>
      <c r="Z71" s="56" t="str">
        <f t="shared" si="147"/>
        <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5.5" outlineLevel="1" thickTop="1" thickBot="1" x14ac:dyDescent="0.4">
      <c r="B72" t="s">
        <v>999</v>
      </c>
      <c r="C72" s="85" t="s">
        <v>1147</v>
      </c>
      <c r="D72" s="89" t="s">
        <v>984</v>
      </c>
      <c r="E72" s="89">
        <v>7</v>
      </c>
      <c r="F72" s="89"/>
      <c r="G72" s="89"/>
      <c r="H72" s="90"/>
      <c r="I72" s="90"/>
      <c r="J72" s="90"/>
      <c r="K72" s="90"/>
      <c r="L72" s="120" t="str">
        <f>IF(C72="","",_xlfn.CONCAT("            { line: ","""",C72,", ",M72:AN72,""", sC: ","""",B72,"""},"))</f>
        <v xml:space="preserve">            { line: "PAMPAM, PAMPAM, PAMPARAM PAMPAM,, (Si,7,20)", sC: "as"},</v>
      </c>
      <c r="M72" s="56" t="str">
        <f t="shared" si="135"/>
        <v>(</v>
      </c>
      <c r="N72" s="57" t="str">
        <f t="shared" si="136"/>
        <v>Si</v>
      </c>
      <c r="O72" s="58" t="str">
        <f t="shared" si="137"/>
        <v>,</v>
      </c>
      <c r="P72" s="59">
        <f t="shared" si="138"/>
        <v>7</v>
      </c>
      <c r="Q72" s="60" t="str">
        <f t="shared" si="139"/>
        <v>,</v>
      </c>
      <c r="R72" s="61">
        <f t="shared" si="134"/>
        <v>20</v>
      </c>
      <c r="S72" s="56" t="str">
        <f t="shared" si="140"/>
        <v>)</v>
      </c>
      <c r="T72" s="62" t="str">
        <f t="shared" si="141"/>
        <v/>
      </c>
      <c r="U72" s="63" t="str">
        <f t="shared" si="142"/>
        <v/>
      </c>
      <c r="V72" s="64" t="str">
        <f t="shared" si="143"/>
        <v/>
      </c>
      <c r="W72" s="65" t="str">
        <f t="shared" si="144"/>
        <v/>
      </c>
      <c r="X72" s="64" t="str">
        <f t="shared" si="145"/>
        <v/>
      </c>
      <c r="Y72" s="64" t="str">
        <f t="shared" si="146"/>
        <v/>
      </c>
      <c r="Z72" s="56" t="str">
        <f t="shared" si="147"/>
        <v/>
      </c>
      <c r="AA72" s="66" t="str">
        <f t="shared" si="148"/>
        <v/>
      </c>
      <c r="AB72" s="57" t="str">
        <f t="shared" si="149"/>
        <v/>
      </c>
      <c r="AC72" s="67" t="str">
        <f t="shared" si="150"/>
        <v/>
      </c>
      <c r="AD72" s="59" t="str">
        <f t="shared" si="151"/>
        <v/>
      </c>
      <c r="AE72" s="68" t="str">
        <f t="shared" si="152"/>
        <v/>
      </c>
      <c r="AF72" s="61" t="str">
        <f t="shared" si="153"/>
        <v/>
      </c>
      <c r="AG72" s="61" t="str">
        <f t="shared" si="154"/>
        <v/>
      </c>
      <c r="AH72" s="69" t="str">
        <f t="shared" si="155"/>
        <v/>
      </c>
      <c r="AI72" s="70" t="str">
        <f t="shared" si="156"/>
        <v/>
      </c>
      <c r="AJ72" s="64" t="str">
        <f t="shared" si="157"/>
        <v/>
      </c>
      <c r="AK72" s="64" t="str">
        <f t="shared" si="158"/>
        <v/>
      </c>
      <c r="AL72" s="64" t="str">
        <f t="shared" si="159"/>
        <v/>
      </c>
      <c r="AM72" s="64" t="str">
        <f t="shared" si="160"/>
        <v/>
      </c>
      <c r="AN72" s="64" t="str">
        <f t="shared" si="161"/>
        <v/>
      </c>
    </row>
    <row r="73" spans="1:40" ht="25.5" outlineLevel="1" thickTop="1" thickBot="1" x14ac:dyDescent="0.4">
      <c r="B73" t="s">
        <v>999</v>
      </c>
      <c r="C73" s="93" t="s">
        <v>1148</v>
      </c>
      <c r="D73" s="83" t="s">
        <v>1011</v>
      </c>
      <c r="E73" s="83" t="s">
        <v>1012</v>
      </c>
      <c r="F73" s="83"/>
      <c r="G73" s="83"/>
      <c r="H73" s="83"/>
      <c r="I73" s="83"/>
      <c r="J73" s="83"/>
      <c r="K73" s="83"/>
      <c r="L73" s="121" t="str">
        <f>IF(C73="","",_xlfn.CONCAT("            { line: ","""",C73,", ",M73:AN73,""", sC: ","""",B73,"""},  ]},"))</f>
        <v xml:space="preserve">            { line: "LALALALÁ LALÁ., (Mi,m,20)", sC: "as"},  ]},</v>
      </c>
      <c r="M73" s="56" t="str">
        <f t="shared" si="135"/>
        <v>(</v>
      </c>
      <c r="N73" s="57" t="str">
        <f t="shared" si="136"/>
        <v>Mi</v>
      </c>
      <c r="O73" s="58" t="str">
        <f t="shared" si="137"/>
        <v>,</v>
      </c>
      <c r="P73" s="59" t="str">
        <f t="shared" si="138"/>
        <v>m</v>
      </c>
      <c r="Q73" s="60" t="str">
        <f t="shared" si="139"/>
        <v>,</v>
      </c>
      <c r="R73" s="61">
        <f t="shared" si="134"/>
        <v>20</v>
      </c>
      <c r="S73" s="56" t="str">
        <f t="shared" si="140"/>
        <v>)</v>
      </c>
      <c r="T73" s="62" t="str">
        <f t="shared" si="141"/>
        <v/>
      </c>
      <c r="U73" s="63" t="str">
        <f t="shared" si="142"/>
        <v/>
      </c>
      <c r="V73" s="64" t="str">
        <f t="shared" si="143"/>
        <v/>
      </c>
      <c r="W73" s="65" t="str">
        <f t="shared" si="144"/>
        <v/>
      </c>
      <c r="X73" s="64" t="str">
        <f t="shared" si="145"/>
        <v/>
      </c>
      <c r="Y73" s="64" t="str">
        <f t="shared" si="146"/>
        <v/>
      </c>
      <c r="Z73" s="56" t="str">
        <f t="shared" si="147"/>
        <v/>
      </c>
      <c r="AA73" s="66" t="str">
        <f t="shared" si="148"/>
        <v/>
      </c>
      <c r="AB73" s="57" t="str">
        <f t="shared" si="149"/>
        <v/>
      </c>
      <c r="AC73" s="67" t="str">
        <f t="shared" si="150"/>
        <v/>
      </c>
      <c r="AD73" s="59" t="str">
        <f t="shared" si="151"/>
        <v/>
      </c>
      <c r="AE73" s="68" t="str">
        <f t="shared" si="152"/>
        <v/>
      </c>
      <c r="AF73" s="61" t="str">
        <f t="shared" si="153"/>
        <v/>
      </c>
      <c r="AG73" s="61" t="str">
        <f t="shared" si="154"/>
        <v/>
      </c>
      <c r="AH73" s="69" t="str">
        <f t="shared" si="155"/>
        <v/>
      </c>
      <c r="AI73" s="70" t="str">
        <f t="shared" si="156"/>
        <v/>
      </c>
      <c r="AJ73" s="64" t="str">
        <f t="shared" si="157"/>
        <v/>
      </c>
      <c r="AK73" s="64" t="str">
        <f t="shared" si="158"/>
        <v/>
      </c>
      <c r="AL73" s="64" t="str">
        <f t="shared" si="159"/>
        <v/>
      </c>
      <c r="AM73" s="64" t="str">
        <f t="shared" si="160"/>
        <v/>
      </c>
      <c r="AN73" s="64" t="str">
        <f t="shared" si="161"/>
        <v/>
      </c>
    </row>
    <row r="74" spans="1:40" ht="24" customHeight="1" x14ac:dyDescent="0.4">
      <c r="A74" s="95"/>
      <c r="B74" s="95"/>
      <c r="C74" s="95"/>
      <c r="D74" s="95"/>
      <c r="E74" s="95"/>
      <c r="F74" s="95"/>
      <c r="G74" s="95"/>
      <c r="H74" s="95"/>
      <c r="I74" s="95"/>
      <c r="J74" s="95"/>
      <c r="K74" s="95"/>
      <c r="L74" s="99" t="str">
        <f ca="1">_xlfn.CONCAT("]}, // ULTIMA LINEA DEL CANTO: ",L1)</f>
        <v>]}, // ULTIMA LINEA DEL CANTO: URÍ, URÍ, URÁ</v>
      </c>
      <c r="M74" s="95"/>
    </row>
    <row r="75" spans="1:40" ht="20.25" x14ac:dyDescent="0.25">
      <c r="L75" s="100" t="s">
        <v>1008</v>
      </c>
      <c r="M75" s="101"/>
    </row>
    <row r="76" spans="1:40" ht="15.75" hidden="1" outlineLevel="1" thickBot="1" x14ac:dyDescent="0.3">
      <c r="M76" s="101"/>
    </row>
    <row r="77" spans="1:40" ht="27.75" hidden="1" outlineLevel="1" thickTop="1" thickBot="1" x14ac:dyDescent="0.4">
      <c r="A77" s="73"/>
      <c r="B77" s="73"/>
      <c r="C77" s="73"/>
      <c r="D77" s="74"/>
      <c r="E77" s="74"/>
      <c r="F77" s="74"/>
      <c r="G77" s="74"/>
      <c r="H77" s="74"/>
      <c r="I77" s="74"/>
      <c r="J77" s="74"/>
      <c r="K77" s="74"/>
      <c r="L77" s="75" t="s">
        <v>993</v>
      </c>
      <c r="M77" s="56"/>
      <c r="N77" s="57"/>
      <c r="O77" s="58"/>
      <c r="P77" s="59"/>
      <c r="Q77" s="60"/>
      <c r="R77" s="61" t="str">
        <f t="shared" ref="R77:R86" si="162">IF(N77="Do",10,IF(N77="Re",22,IF(N77="Mi",20,IF(N77="Fa",20,IF(N77="Sol",14,IF(N77="La",20,IF(N77="Si",20,IF(N77="Do#",14,IF(N77="Fa#",15,IF(N77="Sol#",20,IF(N77="Si♭",17,"")))))))))))</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hidden="1" outlineLevel="1" thickTop="1" thickBot="1" x14ac:dyDescent="0.4">
      <c r="C78" s="79" t="s">
        <v>995</v>
      </c>
      <c r="D78" s="80"/>
      <c r="E78" s="80"/>
      <c r="F78" s="80"/>
      <c r="G78" s="80"/>
      <c r="H78" s="80"/>
      <c r="I78" s="80"/>
      <c r="J78" s="80"/>
      <c r="K78" s="80"/>
      <c r="L78" s="118" t="s">
        <v>996</v>
      </c>
      <c r="M78" s="56" t="str">
        <f t="shared" ref="M78:M85" si="163">IF(N78="","","(")</f>
        <v/>
      </c>
      <c r="N78" s="57" t="str">
        <f t="shared" ref="N78:N85" si="164">IF(D78="","",D78)</f>
        <v/>
      </c>
      <c r="O78" s="58" t="str">
        <f t="shared" ref="O78:O85" si="165">IF(N78="","",",")</f>
        <v/>
      </c>
      <c r="P78" s="59" t="str">
        <f t="shared" ref="P78:P85" si="166">IF(E78="","",E78)</f>
        <v/>
      </c>
      <c r="Q78" s="60" t="str">
        <f t="shared" ref="Q78:Q85" si="167">IF(N78="","",",")</f>
        <v/>
      </c>
      <c r="R78" s="61" t="str">
        <f t="shared" si="162"/>
        <v/>
      </c>
      <c r="S78" s="56" t="str">
        <f t="shared" ref="S78:S85" si="168">IF(N78="","",")")</f>
        <v/>
      </c>
      <c r="T78" s="62" t="str">
        <f t="shared" ref="T78:T85" si="169">IF(U78="","","(")</f>
        <v/>
      </c>
      <c r="U78" s="63" t="str">
        <f t="shared" ref="U78:U85" si="170">IF(F78="","",F78)</f>
        <v/>
      </c>
      <c r="V78" s="64" t="str">
        <f t="shared" ref="V78:V85" si="171">IF(U78="","",",")</f>
        <v/>
      </c>
      <c r="W78" s="65" t="str">
        <f t="shared" ref="W78:W85" si="172">IF(G78="","",G78)</f>
        <v/>
      </c>
      <c r="X78" s="64" t="str">
        <f t="shared" ref="X78:X85" si="173">IF(U78="","",",")</f>
        <v/>
      </c>
      <c r="Y78" s="64" t="str">
        <f t="shared" ref="Y78:Y85" si="174">IF(U78="","",250)</f>
        <v/>
      </c>
      <c r="Z78" s="56" t="str">
        <f t="shared" ref="Z78:Z85" si="175">IF(U78="","",")")</f>
        <v/>
      </c>
      <c r="AA78" s="66" t="str">
        <f t="shared" ref="AA78:AA85" si="176">IF(AB78="","","(")</f>
        <v/>
      </c>
      <c r="AB78" s="57" t="str">
        <f t="shared" ref="AB78:AB85" si="177">IF(H78="","",H78)</f>
        <v/>
      </c>
      <c r="AC78" s="67" t="str">
        <f t="shared" ref="AC78:AC85" si="178">IF(AB78="","",",")</f>
        <v/>
      </c>
      <c r="AD78" s="59" t="str">
        <f t="shared" ref="AD78:AD85" si="179">IF(I78="","",I78)</f>
        <v/>
      </c>
      <c r="AE78" s="68" t="str">
        <f t="shared" ref="AE78:AE85" si="180">IF(AB78="","",",")</f>
        <v/>
      </c>
      <c r="AF78" s="61" t="str">
        <f t="shared" ref="AF78:AF85" si="181">IF(AB78="","",350)</f>
        <v/>
      </c>
      <c r="AG78" s="61" t="str">
        <f t="shared" ref="AG78:AG85" si="182">IF(AB78="","",")")</f>
        <v/>
      </c>
      <c r="AH78" s="69" t="str">
        <f t="shared" ref="AH78:AH85" si="183">IF(AI78="","","(")</f>
        <v/>
      </c>
      <c r="AI78" s="70" t="str">
        <f t="shared" ref="AI78:AI85" si="184">IF(J78="","",J78)</f>
        <v/>
      </c>
      <c r="AJ78" s="64" t="str">
        <f t="shared" ref="AJ78:AJ85" si="185">IF(AI78="","",",")</f>
        <v/>
      </c>
      <c r="AK78" s="64" t="str">
        <f t="shared" ref="AK78:AK85" si="186">IF(K78="","",K78)</f>
        <v/>
      </c>
      <c r="AL78" s="64" t="str">
        <f t="shared" ref="AL78:AL85" si="187">IF(AI78="","",",")</f>
        <v/>
      </c>
      <c r="AM78" s="64" t="str">
        <f t="shared" ref="AM78:AM85" si="188">IF(AI78="","",450)</f>
        <v/>
      </c>
      <c r="AN78" s="64" t="str">
        <f t="shared" ref="AN78:AN85" si="189">IF(AI78="","",")")</f>
        <v/>
      </c>
    </row>
    <row r="79" spans="1:40" ht="25.5" hidden="1" outlineLevel="1" thickTop="1" thickBot="1" x14ac:dyDescent="0.4">
      <c r="B79" t="s">
        <v>997</v>
      </c>
      <c r="C79" s="82" t="s">
        <v>998</v>
      </c>
      <c r="D79" s="83"/>
      <c r="E79" s="83"/>
      <c r="F79" s="83"/>
      <c r="G79" s="83"/>
      <c r="H79" s="83"/>
      <c r="I79" s="83"/>
      <c r="J79" s="83"/>
      <c r="K79" s="83"/>
      <c r="L79" s="119" t="str">
        <f>IF(C79="","",_xlfn.CONCAT("       triggerLine: ","""",C79,", ",M79:AN79,""", sC: ","""",B79,""", lines: ["))</f>
        <v xml:space="preserve">       triggerLine: "ASAMBLEA UNO, ", sC: "ta as", lines: [</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5.5" hidden="1" outlineLevel="1" thickTop="1" thickBot="1" x14ac:dyDescent="0.4">
      <c r="B80" t="s">
        <v>999</v>
      </c>
      <c r="C80" s="85" t="s">
        <v>1000</v>
      </c>
      <c r="D80" s="86"/>
      <c r="E80" s="86"/>
      <c r="F80" s="86"/>
      <c r="G80" s="86"/>
      <c r="H80" s="87"/>
      <c r="I80" s="87"/>
      <c r="J80" s="87"/>
      <c r="K80" s="87"/>
      <c r="L80" s="120" t="str">
        <f>IF(C80="","",_xlfn.CONCAT("            { line: ","""",C80,", ",M80:AN80,""", sC: ","""",B80,"""},"))</f>
        <v xml:space="preserve">            { line: "ASAMBLEA DOS,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5.5" hidden="1" outlineLevel="1" thickTop="1" thickBot="1" x14ac:dyDescent="0.4">
      <c r="B81" t="s">
        <v>999</v>
      </c>
      <c r="C81" s="85" t="s">
        <v>1001</v>
      </c>
      <c r="D81" s="89"/>
      <c r="E81" s="89"/>
      <c r="F81" s="89"/>
      <c r="G81" s="89"/>
      <c r="H81" s="90"/>
      <c r="I81" s="90"/>
      <c r="J81" s="90"/>
      <c r="K81" s="90"/>
      <c r="L81" s="120" t="str">
        <f>IF(C81="","",_xlfn.CONCAT("            { line: ","""",C81,", ",M81:AN81,""", sC: ","""",B81,"""},"))</f>
        <v xml:space="preserve">            { line: "ASAMBLEA TRES,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5.5" hidden="1" outlineLevel="1" thickTop="1" thickBot="1" x14ac:dyDescent="0.4">
      <c r="B82" t="s">
        <v>999</v>
      </c>
      <c r="C82" s="85" t="s">
        <v>1002</v>
      </c>
      <c r="D82" s="86"/>
      <c r="E82" s="86"/>
      <c r="F82" s="86"/>
      <c r="G82" s="86"/>
      <c r="H82" s="87"/>
      <c r="I82" s="87"/>
      <c r="J82" s="87"/>
      <c r="K82" s="87"/>
      <c r="L82" s="120" t="str">
        <f>IF(C82="","",_xlfn.CONCAT("            { line: ","""",C82,", ",M82:AN82,""", sC: ","""",B82,"""},"))</f>
        <v xml:space="preserve">            { line: "ASAMBLEA CUATRO,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5.5" hidden="1" outlineLevel="1" thickTop="1" thickBot="1" x14ac:dyDescent="0.4">
      <c r="B83" t="s">
        <v>999</v>
      </c>
      <c r="C83" s="85" t="s">
        <v>1003</v>
      </c>
      <c r="D83" s="89"/>
      <c r="E83" s="89"/>
      <c r="F83" s="89"/>
      <c r="G83" s="89"/>
      <c r="H83" s="90"/>
      <c r="I83" s="90"/>
      <c r="J83" s="90"/>
      <c r="K83" s="90"/>
      <c r="L83" s="120" t="str">
        <f>IF(C83="","",_xlfn.CONCAT("            { line: ","""",C83,", ",M83:AN83,""", sC: ","""",B83,"""},"))</f>
        <v xml:space="preserve">            { line: "ASAMBLEA CISCO, ", sC: "as"},</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5.5" hidden="1" outlineLevel="1" thickTop="1" thickBot="1" x14ac:dyDescent="0.4">
      <c r="B84" t="s">
        <v>999</v>
      </c>
      <c r="C84" s="85" t="s">
        <v>1004</v>
      </c>
      <c r="D84" s="91"/>
      <c r="E84" s="91"/>
      <c r="F84" s="91"/>
      <c r="G84" s="91"/>
      <c r="H84" s="92"/>
      <c r="I84" s="92"/>
      <c r="J84" s="92"/>
      <c r="K84" s="92"/>
      <c r="L84" s="120" t="str">
        <f>IF(C84="","",_xlfn.CONCAT("            { line: ","""",C84,", ",M84:AN84,""", sC: ","""",B84,"""},"))</f>
        <v xml:space="preserve">            { line: "ASAMBLEA SEIS, ", sC: "as"},</v>
      </c>
      <c r="M84" s="56" t="str">
        <f t="shared" si="163"/>
        <v/>
      </c>
      <c r="N84" s="57" t="str">
        <f t="shared" si="164"/>
        <v/>
      </c>
      <c r="O84" s="58" t="str">
        <f t="shared" si="165"/>
        <v/>
      </c>
      <c r="P84" s="59" t="str">
        <f t="shared" si="166"/>
        <v/>
      </c>
      <c r="Q84" s="60" t="str">
        <f t="shared" si="167"/>
        <v/>
      </c>
      <c r="R84" s="61" t="str">
        <f t="shared" si="162"/>
        <v/>
      </c>
      <c r="S84" s="56" t="str">
        <f t="shared" si="168"/>
        <v/>
      </c>
      <c r="T84" s="62" t="str">
        <f t="shared" si="169"/>
        <v/>
      </c>
      <c r="U84" s="63" t="str">
        <f t="shared" si="170"/>
        <v/>
      </c>
      <c r="V84" s="64" t="str">
        <f t="shared" si="171"/>
        <v/>
      </c>
      <c r="W84" s="65" t="str">
        <f t="shared" si="172"/>
        <v/>
      </c>
      <c r="X84" s="64" t="str">
        <f t="shared" si="173"/>
        <v/>
      </c>
      <c r="Y84" s="64" t="str">
        <f t="shared" si="174"/>
        <v/>
      </c>
      <c r="Z84" s="56" t="str">
        <f t="shared" si="175"/>
        <v/>
      </c>
      <c r="AA84" s="66" t="str">
        <f t="shared" si="176"/>
        <v/>
      </c>
      <c r="AB84" s="57" t="str">
        <f t="shared" si="177"/>
        <v/>
      </c>
      <c r="AC84" s="67" t="str">
        <f t="shared" si="178"/>
        <v/>
      </c>
      <c r="AD84" s="59" t="str">
        <f t="shared" si="179"/>
        <v/>
      </c>
      <c r="AE84" s="68" t="str">
        <f t="shared" si="180"/>
        <v/>
      </c>
      <c r="AF84" s="61" t="str">
        <f t="shared" si="181"/>
        <v/>
      </c>
      <c r="AG84" s="61" t="str">
        <f t="shared" si="182"/>
        <v/>
      </c>
      <c r="AH84" s="69" t="str">
        <f t="shared" si="183"/>
        <v/>
      </c>
      <c r="AI84" s="70" t="str">
        <f t="shared" si="184"/>
        <v/>
      </c>
      <c r="AJ84" s="64" t="str">
        <f t="shared" si="185"/>
        <v/>
      </c>
      <c r="AK84" s="64" t="str">
        <f t="shared" si="186"/>
        <v/>
      </c>
      <c r="AL84" s="64" t="str">
        <f t="shared" si="187"/>
        <v/>
      </c>
      <c r="AM84" s="64" t="str">
        <f t="shared" si="188"/>
        <v/>
      </c>
      <c r="AN84" s="64" t="str">
        <f t="shared" si="189"/>
        <v/>
      </c>
    </row>
    <row r="85" spans="1:40" ht="25.5" hidden="1" outlineLevel="1" thickTop="1" thickBot="1" x14ac:dyDescent="0.4">
      <c r="B85" t="s">
        <v>999</v>
      </c>
      <c r="C85" s="93" t="s">
        <v>1005</v>
      </c>
      <c r="D85" s="83"/>
      <c r="E85" s="83"/>
      <c r="F85" s="83"/>
      <c r="G85" s="83"/>
      <c r="H85" s="83"/>
      <c r="I85" s="83"/>
      <c r="J85" s="83"/>
      <c r="K85" s="83"/>
      <c r="L85" s="121" t="str">
        <f>IF(C85="","",_xlfn.CONCAT("            { line: ","""",C85,", ",M85:AN85,""", sC: ","""",B85,"""},  ]},"))</f>
        <v xml:space="preserve">            { line: "ASAMBLEA CIERRE, ", sC: "as"},  ]},</v>
      </c>
      <c r="M85" s="56" t="str">
        <f t="shared" si="163"/>
        <v/>
      </c>
      <c r="N85" s="57" t="str">
        <f t="shared" si="164"/>
        <v/>
      </c>
      <c r="O85" s="58" t="str">
        <f t="shared" si="165"/>
        <v/>
      </c>
      <c r="P85" s="59" t="str">
        <f t="shared" si="166"/>
        <v/>
      </c>
      <c r="Q85" s="60" t="str">
        <f t="shared" si="167"/>
        <v/>
      </c>
      <c r="R85" s="61" t="str">
        <f t="shared" si="162"/>
        <v/>
      </c>
      <c r="S85" s="56" t="str">
        <f t="shared" si="168"/>
        <v/>
      </c>
      <c r="T85" s="62" t="str">
        <f t="shared" si="169"/>
        <v/>
      </c>
      <c r="U85" s="63" t="str">
        <f t="shared" si="170"/>
        <v/>
      </c>
      <c r="V85" s="64" t="str">
        <f t="shared" si="171"/>
        <v/>
      </c>
      <c r="W85" s="65" t="str">
        <f t="shared" si="172"/>
        <v/>
      </c>
      <c r="X85" s="64" t="str">
        <f t="shared" si="173"/>
        <v/>
      </c>
      <c r="Y85" s="64" t="str">
        <f t="shared" si="174"/>
        <v/>
      </c>
      <c r="Z85" s="56" t="str">
        <f t="shared" si="175"/>
        <v/>
      </c>
      <c r="AA85" s="66" t="str">
        <f t="shared" si="176"/>
        <v/>
      </c>
      <c r="AB85" s="57" t="str">
        <f t="shared" si="177"/>
        <v/>
      </c>
      <c r="AC85" s="67" t="str">
        <f t="shared" si="178"/>
        <v/>
      </c>
      <c r="AD85" s="59" t="str">
        <f t="shared" si="179"/>
        <v/>
      </c>
      <c r="AE85" s="68" t="str">
        <f t="shared" si="180"/>
        <v/>
      </c>
      <c r="AF85" s="61" t="str">
        <f t="shared" si="181"/>
        <v/>
      </c>
      <c r="AG85" s="61" t="str">
        <f t="shared" si="182"/>
        <v/>
      </c>
      <c r="AH85" s="69" t="str">
        <f t="shared" si="183"/>
        <v/>
      </c>
      <c r="AI85" s="70" t="str">
        <f t="shared" si="184"/>
        <v/>
      </c>
      <c r="AJ85" s="64" t="str">
        <f t="shared" si="185"/>
        <v/>
      </c>
      <c r="AK85" s="64" t="str">
        <f t="shared" si="186"/>
        <v/>
      </c>
      <c r="AL85" s="64" t="str">
        <f t="shared" si="187"/>
        <v/>
      </c>
      <c r="AM85" s="64" t="str">
        <f t="shared" si="188"/>
        <v/>
      </c>
      <c r="AN85" s="64" t="str">
        <f t="shared" si="189"/>
        <v/>
      </c>
    </row>
    <row r="86" spans="1:40" ht="27.75" hidden="1" outlineLevel="1" thickTop="1" thickBot="1" x14ac:dyDescent="0.4">
      <c r="A86" s="73"/>
      <c r="B86" s="73"/>
      <c r="C86" s="73"/>
      <c r="D86" s="74"/>
      <c r="E86" s="74"/>
      <c r="F86" s="74"/>
      <c r="G86" s="74"/>
      <c r="H86" s="74"/>
      <c r="I86" s="74"/>
      <c r="J86" s="74"/>
      <c r="K86" s="74"/>
      <c r="L86" s="75" t="s">
        <v>993</v>
      </c>
      <c r="M86" s="56"/>
      <c r="N86" s="57"/>
      <c r="O86" s="58"/>
      <c r="P86" s="59"/>
      <c r="Q86" s="60"/>
      <c r="R86" s="61" t="str">
        <f t="shared" si="162"/>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activeCell="C31" sqref="C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165</v>
      </c>
      <c r="E1" s="40"/>
      <c r="F1" s="40"/>
      <c r="G1" s="40"/>
      <c r="H1" s="40"/>
      <c r="I1" s="40"/>
      <c r="J1" s="40"/>
      <c r="K1" s="40"/>
      <c r="L1" s="114" t="str">
        <f ca="1">UPPER(VLOOKUP(C1,Table223[],3,FALSE))</f>
        <v>VAMOS YA, PASTORES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VAMOS YA, PASTORES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vamosyapastores</v>
      </c>
      <c r="L7" s="116" t="str">
        <f ca="1">_xlfn.CONCAT("        id: ","""",C7,"""",",")</f>
        <v xml:space="preserve">        id: "vamosyapastores",</v>
      </c>
    </row>
    <row r="8" spans="2:32" ht="23.25" x14ac:dyDescent="0.25">
      <c r="C8" t="str">
        <f ca="1">PROPER(L1)</f>
        <v>Vamos Ya, Pastores</v>
      </c>
      <c r="L8" s="116" t="str">
        <f ca="1">_xlfn.CONCAT("        tt: ","""",C8,"""",",")</f>
        <v xml:space="preserve">        tt: "Vamos Ya, Pastores",</v>
      </c>
    </row>
    <row r="9" spans="2:32" ht="23.25" x14ac:dyDescent="0.25">
      <c r="C9" t="str">
        <f ca="1">PROPER(L1)</f>
        <v>Vamos Ya, Pastores</v>
      </c>
      <c r="L9" s="116" t="str">
        <f ca="1">_xlfn.CONCAT("        title: ","""",C9,"""",",")</f>
        <v xml:space="preserve">        title: "Vamos Ya, Pastores",</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165</v>
      </c>
      <c r="L16" s="116" t="str">
        <f ca="1">_xlfn.CONCAT("        dbno: ","""",C16,"""",",")</f>
        <v xml:space="preserve">        dbno: "165",</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vamosyapastores</v>
      </c>
      <c r="L19" s="116" t="str">
        <f ca="1">_xlfn.CONCAT("        audioSrc: ","""https://audio.resucito.do/",C19,".mp3""",",")</f>
        <v xml:space="preserve">        audioSrc: "https://audio.resucito.do/vamosyapastores.mp3",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164</v>
      </c>
      <c r="C26" t="str">
        <f ca="1">VLOOKUP(B26,Table4[],13,FALSE)</f>
        <v>"/src/index.html?canto=uriuriura"</v>
      </c>
      <c r="L26" s="116" t="str">
        <f ca="1">_xlfn.CONCAT("        ant: ",C26,",")</f>
        <v xml:space="preserve">        ant: "/src/index.html?canto=uriuriura",</v>
      </c>
    </row>
    <row r="27" spans="1:40" ht="23.25" x14ac:dyDescent="0.25">
      <c r="B27">
        <f ca="1">+C1+1</f>
        <v>166</v>
      </c>
      <c r="C27" t="str">
        <f ca="1">VLOOKUP(B27,Table4[],13,FALSE)</f>
        <v>"/src/index.html?canto=vendellibano"</v>
      </c>
      <c r="L27" s="116" t="str">
        <f ca="1">_xlfn.CONCAT("        sig: ",C27,",")</f>
        <v xml:space="preserve">        sig: "/src/index.html?canto=vendellibano",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78" t="str">
        <f t="shared" ref="L31:L54" si="0">IF(C31="","",_xlfn.CONCAT("            { line: ","""",C31,", ",M31:AN31,""", sC: ","""",B31,"""},"))</f>
        <v/>
      </c>
      <c r="M31" s="56" t="str">
        <f t="shared" ref="M31:M57" si="1">IF(N31="","","(")</f>
        <v/>
      </c>
      <c r="N31" s="57" t="str">
        <f t="shared" ref="N31:N106" si="2">IF(D31="","",D31)</f>
        <v/>
      </c>
      <c r="O31" s="58" t="str">
        <f t="shared" ref="O31:O57" si="3">IF(N31="","",",")</f>
        <v/>
      </c>
      <c r="P31" s="59" t="str">
        <f t="shared" ref="P31:P106" si="4">IF(E31="","",E31)</f>
        <v/>
      </c>
      <c r="Q31" s="60" t="str">
        <f t="shared" ref="Q31:Q57" si="5">IF(N31="","",",")</f>
        <v/>
      </c>
      <c r="R31" s="61" t="str">
        <f t="shared" ref="R31:R106" si="6">IF(N31="Do",10,IF(N31="Re",22,IF(N31="Mi",20,IF(N31="Fa",20,IF(N31="Sol",14,IF(N31="La",20,IF(N31="Si",20,IF(N31="Do#",14,IF(N31="Fa#",15,IF(N31="Sol#",20,IF(N31="Si♭",17,"")))))))))))</f>
        <v/>
      </c>
      <c r="S31" s="56" t="str">
        <f t="shared" ref="S31:S57" si="7">IF(N31="","",")")</f>
        <v/>
      </c>
      <c r="T31" s="62" t="str">
        <f t="shared" ref="T31:T57" si="8">IF(U31="","","(")</f>
        <v/>
      </c>
      <c r="U31" s="63" t="str">
        <f t="shared" ref="U31:U106" si="9">IF(F31="","",F31)</f>
        <v/>
      </c>
      <c r="V31" s="64" t="str">
        <f t="shared" ref="V31:V57" si="10">IF(U31="","",",")</f>
        <v/>
      </c>
      <c r="W31" s="65" t="str">
        <f t="shared" ref="W31:W106" si="11">IF(G31="","",G31)</f>
        <v/>
      </c>
      <c r="X31" s="64" t="str">
        <f t="shared" ref="X31:X57" si="12">IF(U31="","",",")</f>
        <v/>
      </c>
      <c r="Y31" s="64" t="str">
        <f t="shared" ref="Y31:Y57" si="13">IF(U31="","",250)</f>
        <v/>
      </c>
      <c r="Z31" s="56" t="str">
        <f t="shared" ref="Z31:Z57" si="14">IF(U31="","",")")</f>
        <v/>
      </c>
      <c r="AA31" s="66" t="str">
        <f t="shared" ref="AA31:AA57" si="15">IF(AB31="","","(")</f>
        <v/>
      </c>
      <c r="AB31" s="57" t="str">
        <f t="shared" ref="AB31:AB106" si="16">IF(H31="","",H31)</f>
        <v/>
      </c>
      <c r="AC31" s="67" t="str">
        <f t="shared" ref="AC31:AC57" si="17">IF(AB31="","",",")</f>
        <v/>
      </c>
      <c r="AD31" s="59" t="str">
        <f t="shared" ref="AD31:AD57" si="18">IF(I31="","",I31)</f>
        <v/>
      </c>
      <c r="AE31" s="68" t="str">
        <f t="shared" ref="AE31:AE57" si="19">IF(AB31="","",",")</f>
        <v/>
      </c>
      <c r="AF31" s="61" t="str">
        <f t="shared" ref="AF31:AF57" si="20">IF(AB31="","",350)</f>
        <v/>
      </c>
      <c r="AG31" s="61" t="str">
        <f t="shared" ref="AG31:AG57" si="21">IF(AB31="","",")")</f>
        <v/>
      </c>
      <c r="AH31" s="69" t="str">
        <f t="shared" ref="AH31:AH57" si="22">IF(AI31="","","(")</f>
        <v/>
      </c>
      <c r="AI31" s="70" t="str">
        <f t="shared" ref="AI31:AI106" si="23">IF(J31="","",J31)</f>
        <v/>
      </c>
      <c r="AJ31" s="64" t="str">
        <f t="shared" ref="AJ31:AJ57" si="24">IF(AI31="","",",")</f>
        <v/>
      </c>
      <c r="AK31" s="64" t="str">
        <f t="shared" ref="AK31:AK57" si="25">IF(K31="","",K31)</f>
        <v/>
      </c>
      <c r="AL31" s="64" t="str">
        <f t="shared" ref="AL31:AL57" si="26">IF(AI31="","",",")</f>
        <v/>
      </c>
      <c r="AM31" s="64" t="str">
        <f t="shared" ref="AM31:AM57" si="27">IF(AI31="","",450)</f>
        <v/>
      </c>
      <c r="AN31" s="64" t="str">
        <f t="shared" ref="AN31:AN57" si="28">IF(AI31="","",")")</f>
        <v/>
      </c>
    </row>
    <row r="32" spans="1:40" ht="25.5" thickTop="1" thickBot="1" x14ac:dyDescent="0.4">
      <c r="C32" s="113"/>
      <c r="D32" s="112"/>
      <c r="E32" s="52"/>
      <c r="F32" s="53"/>
      <c r="G32" s="53"/>
      <c r="H32" s="52"/>
      <c r="I32" s="52"/>
      <c r="J32" s="54"/>
      <c r="K32" s="54"/>
      <c r="L32" s="78" t="str">
        <f t="shared" si="0"/>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c r="D33" s="112"/>
      <c r="E33" s="52"/>
      <c r="F33" s="53"/>
      <c r="G33" s="53"/>
      <c r="H33" s="52"/>
      <c r="I33" s="52"/>
      <c r="J33" s="54"/>
      <c r="K33" s="54"/>
      <c r="L33" s="78"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c r="D34" s="112"/>
      <c r="E34" s="52"/>
      <c r="F34" s="53"/>
      <c r="G34" s="53"/>
      <c r="H34" s="52"/>
      <c r="I34" s="52"/>
      <c r="J34" s="54"/>
      <c r="K34" s="54"/>
      <c r="L34" s="78" t="str">
        <f>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c r="D35" s="112"/>
      <c r="E35" s="52"/>
      <c r="F35" s="53"/>
      <c r="G35" s="53"/>
      <c r="H35" s="52"/>
      <c r="I35" s="52"/>
      <c r="J35" s="54"/>
      <c r="K35" s="54"/>
      <c r="L35" s="78" t="str">
        <f t="shared" ref="L35:L39" si="29">IF(C35="","",_xlfn.CONCAT("            { line: ","""",C35,", ",M35:AN35,""", sC: ","""",B35,"""},"))</f>
        <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78" t="str">
        <f t="shared" si="29"/>
        <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6" si="35">IF(N39="Do",10,IF(N39="Re",22,IF(N39="Mi",20,IF(N39="Fa",20,IF(N39="Sol",14,IF(N39="La",20,IF(N39="Si",20,IF(N39="Do#",14,IF(N39="Fa#",15,IF(N39="Sol#",20,IF(N39="Si♭",17,"")))))))))))</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3:40" ht="25.5" thickTop="1" thickBot="1" x14ac:dyDescent="0.4">
      <c r="C40" s="113"/>
      <c r="D40" s="112"/>
      <c r="E40" s="52"/>
      <c r="F40" s="53"/>
      <c r="G40" s="53"/>
      <c r="H40" s="52"/>
      <c r="I40" s="52"/>
      <c r="J40" s="54"/>
      <c r="K40" s="54"/>
      <c r="L40" s="78" t="str">
        <f>IF(C40="","",_xlfn.CONCAT("            { line: ","""",C40,", ",M40:AN40,""", sC: ","""",B40,"""},"))</f>
        <v/>
      </c>
      <c r="M40" s="56" t="str">
        <f t="shared" si="30"/>
        <v/>
      </c>
      <c r="N40" s="57" t="str">
        <f t="shared" si="31"/>
        <v/>
      </c>
      <c r="O40" s="58" t="str">
        <f t="shared" si="32"/>
        <v/>
      </c>
      <c r="P40" s="59" t="str">
        <f t="shared" si="33"/>
        <v/>
      </c>
      <c r="Q40" s="60" t="str">
        <f t="shared" si="34"/>
        <v/>
      </c>
      <c r="R40" s="61" t="str">
        <f t="shared" si="35"/>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5.5" thickTop="1" thickBot="1" x14ac:dyDescent="0.4">
      <c r="C41" s="113"/>
      <c r="D41" s="112"/>
      <c r="E41" s="52"/>
      <c r="F41" s="53"/>
      <c r="G41" s="53"/>
      <c r="H41" s="52"/>
      <c r="I41" s="52"/>
      <c r="J41" s="54"/>
      <c r="K41" s="54"/>
      <c r="L41" s="78" t="str">
        <f>IF(C41="","",_xlfn.CONCAT("            { line: ","""",C41,", ",M41:AN41,""", sC: ","""",B41,"""},"))</f>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113"/>
      <c r="D42" s="112"/>
      <c r="E42" s="52"/>
      <c r="F42" s="53"/>
      <c r="G42" s="53"/>
      <c r="H42" s="52"/>
      <c r="I42" s="52"/>
      <c r="J42" s="54"/>
      <c r="K42" s="54"/>
      <c r="L42" s="78" t="str">
        <f t="shared" ref="L42:L46" si="58">IF(C42="","",_xlfn.CONCAT("            { line: ","""",C42,", ",M42:AN42,""", sC: ","""",B42,"""},"))</f>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113"/>
      <c r="D43" s="112"/>
      <c r="E43" s="52"/>
      <c r="F43" s="53"/>
      <c r="G43" s="53"/>
      <c r="H43" s="52"/>
      <c r="I43" s="52"/>
      <c r="J43" s="54"/>
      <c r="K43" s="54"/>
      <c r="L43" s="55" t="str">
        <f t="shared" si="58"/>
        <v/>
      </c>
      <c r="M43" s="56" t="str">
        <f>IF(N43="","","(")</f>
        <v/>
      </c>
      <c r="N43" s="57" t="str">
        <f>IF(D43="","",D43)</f>
        <v/>
      </c>
      <c r="O43" s="58" t="str">
        <f>IF(N43="","",",")</f>
        <v/>
      </c>
      <c r="P43" s="59" t="str">
        <f>IF(E43="","",E43)</f>
        <v/>
      </c>
      <c r="Q43" s="60" t="str">
        <f>IF(N43="","",",")</f>
        <v/>
      </c>
      <c r="R43" s="61" t="str">
        <f t="shared" si="35"/>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58"/>
        <v/>
      </c>
      <c r="M44" s="56" t="str">
        <f>IF(N44="","","(")</f>
        <v/>
      </c>
      <c r="N44" s="57" t="str">
        <f>IF(D44="","",D44)</f>
        <v/>
      </c>
      <c r="O44" s="58" t="str">
        <f>IF(N44="","",",")</f>
        <v/>
      </c>
      <c r="P44" s="59" t="str">
        <f>IF(E44="","",E44)</f>
        <v/>
      </c>
      <c r="Q44" s="60" t="str">
        <f>IF(N44="","",",")</f>
        <v/>
      </c>
      <c r="R44" s="61" t="str">
        <f t="shared" si="35"/>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58"/>
        <v/>
      </c>
      <c r="M45" s="56" t="str">
        <f>IF(N45="","","(")</f>
        <v/>
      </c>
      <c r="N45" s="57" t="str">
        <f>IF(D45="","",D45)</f>
        <v/>
      </c>
      <c r="O45" s="58" t="str">
        <f>IF(N45="","",",")</f>
        <v/>
      </c>
      <c r="P45" s="59" t="str">
        <f>IF(E45="","",E45)</f>
        <v/>
      </c>
      <c r="Q45" s="60" t="str">
        <f>IF(N45="","",",")</f>
        <v/>
      </c>
      <c r="R45" s="61" t="str">
        <f t="shared" si="35"/>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58"/>
        <v/>
      </c>
      <c r="M46" s="56" t="str">
        <f t="shared" ref="M46" si="59">IF(N46="","","(")</f>
        <v/>
      </c>
      <c r="N46" s="57" t="str">
        <f t="shared" ref="N46" si="60">IF(D46="","",D46)</f>
        <v/>
      </c>
      <c r="O46" s="58" t="str">
        <f t="shared" ref="O46" si="61">IF(N46="","",",")</f>
        <v/>
      </c>
      <c r="P46" s="59" t="str">
        <f t="shared" ref="P46" si="62">IF(E46="","",E46)</f>
        <v/>
      </c>
      <c r="Q46" s="60" t="str">
        <f t="shared" ref="Q46" si="63">IF(N46="","",",")</f>
        <v/>
      </c>
      <c r="R46" s="61" t="str">
        <f t="shared" si="35"/>
        <v/>
      </c>
      <c r="S46" s="56" t="str">
        <f t="shared" ref="S46" si="64">IF(N46="","",")")</f>
        <v/>
      </c>
      <c r="T46" s="62" t="str">
        <f t="shared" ref="T46" si="65">IF(U46="","","(")</f>
        <v/>
      </c>
      <c r="U46" s="63" t="str">
        <f t="shared" ref="U46" si="66">IF(F46="","",F46)</f>
        <v/>
      </c>
      <c r="V46" s="64" t="str">
        <f t="shared" ref="V46" si="67">IF(U46="","",",")</f>
        <v/>
      </c>
      <c r="W46" s="65" t="str">
        <f t="shared" ref="W46" si="68">IF(G46="","",G46)</f>
        <v/>
      </c>
      <c r="X46" s="64" t="str">
        <f t="shared" ref="X46" si="69">IF(U46="","",",")</f>
        <v/>
      </c>
      <c r="Y46" s="64" t="str">
        <f t="shared" ref="Y46" si="70">IF(U46="","",250)</f>
        <v/>
      </c>
      <c r="Z46" s="56" t="str">
        <f t="shared" ref="Z46" si="71">IF(U46="","",")")</f>
        <v/>
      </c>
      <c r="AA46" s="66" t="str">
        <f t="shared" ref="AA46" si="72">IF(AB46="","","(")</f>
        <v/>
      </c>
      <c r="AB46" s="57" t="str">
        <f t="shared" ref="AB46" si="73">IF(H46="","",H46)</f>
        <v/>
      </c>
      <c r="AC46" s="67" t="str">
        <f t="shared" ref="AC46" si="74">IF(AB46="","",",")</f>
        <v/>
      </c>
      <c r="AD46" s="59" t="str">
        <f t="shared" ref="AD46" si="75">IF(I46="","",I46)</f>
        <v/>
      </c>
      <c r="AE46" s="68" t="str">
        <f t="shared" ref="AE46" si="76">IF(AB46="","",",")</f>
        <v/>
      </c>
      <c r="AF46" s="61" t="str">
        <f t="shared" ref="AF46" si="77">IF(AB46="","",350)</f>
        <v/>
      </c>
      <c r="AG46" s="61" t="str">
        <f t="shared" ref="AG46" si="78">IF(AB46="","",")")</f>
        <v/>
      </c>
      <c r="AH46" s="69" t="str">
        <f t="shared" ref="AH46" si="79">IF(AI46="","","(")</f>
        <v/>
      </c>
      <c r="AI46" s="70" t="str">
        <f t="shared" ref="AI46" si="80">IF(J46="","",J46)</f>
        <v/>
      </c>
      <c r="AJ46" s="64" t="str">
        <f t="shared" ref="AJ46" si="81">IF(AI46="","",",")</f>
        <v/>
      </c>
      <c r="AK46" s="64" t="str">
        <f t="shared" ref="AK46" si="82">IF(K46="","",K46)</f>
        <v/>
      </c>
      <c r="AL46" s="64" t="str">
        <f t="shared" ref="AL46" si="83">IF(AI46="","",",")</f>
        <v/>
      </c>
      <c r="AM46" s="64" t="str">
        <f t="shared" ref="AM46" si="84">IF(AI46="","",450)</f>
        <v/>
      </c>
      <c r="AN46" s="64" t="str">
        <f t="shared" ref="AN46" si="85">IF(AI46="","",")")</f>
        <v/>
      </c>
    </row>
    <row r="47" spans="3:40" ht="25.5" thickTop="1" thickBot="1" x14ac:dyDescent="0.4">
      <c r="C47" s="113"/>
      <c r="D47" s="112"/>
      <c r="E47" s="52"/>
      <c r="F47" s="53"/>
      <c r="G47" s="53"/>
      <c r="H47" s="52"/>
      <c r="I47" s="52"/>
      <c r="J47" s="54"/>
      <c r="K47" s="54"/>
      <c r="L47" s="78" t="str">
        <f t="shared" ref="L47" si="86">IF(C47="","",_xlfn.CONCAT("            { line: ","""",C47,", ",M47:AN47,""", sC: ","""",B47,"""},"))</f>
        <v/>
      </c>
      <c r="M47" s="56" t="str">
        <f t="shared" ref="M47:M50" si="87">IF(N47="","","(")</f>
        <v/>
      </c>
      <c r="N47" s="57" t="str">
        <f t="shared" ref="N47:N50" si="88">IF(D47="","",D47)</f>
        <v/>
      </c>
      <c r="O47" s="58" t="str">
        <f t="shared" ref="O47:O50" si="89">IF(N47="","",",")</f>
        <v/>
      </c>
      <c r="P47" s="59" t="str">
        <f t="shared" ref="P47:P50" si="90">IF(E47="","",E47)</f>
        <v/>
      </c>
      <c r="Q47" s="60" t="str">
        <f t="shared" ref="Q47:Q50" si="91">IF(N47="","",",")</f>
        <v/>
      </c>
      <c r="R47" s="61" t="str">
        <f t="shared" ref="R47:R53" si="92">IF(N47="Do",10,IF(N47="Re",22,IF(N47="Mi",20,IF(N47="Fa",20,IF(N47="Sol",14,IF(N47="La",20,IF(N47="Si",20,IF(N47="Do#",14,IF(N47="Fa#",15,IF(N47="Sol#",20,IF(N47="Si♭",17,"")))))))))))</f>
        <v/>
      </c>
      <c r="S47" s="56" t="str">
        <f t="shared" ref="S47:S50" si="93">IF(N47="","",")")</f>
        <v/>
      </c>
      <c r="T47" s="62" t="str">
        <f t="shared" ref="T47:T50" si="94">IF(U47="","","(")</f>
        <v/>
      </c>
      <c r="U47" s="63" t="str">
        <f t="shared" ref="U47:U50" si="95">IF(F47="","",F47)</f>
        <v/>
      </c>
      <c r="V47" s="64" t="str">
        <f t="shared" ref="V47:V50" si="96">IF(U47="","",",")</f>
        <v/>
      </c>
      <c r="W47" s="65" t="str">
        <f t="shared" ref="W47:W50" si="97">IF(G47="","",G47)</f>
        <v/>
      </c>
      <c r="X47" s="64" t="str">
        <f t="shared" ref="X47:X50" si="98">IF(U47="","",",")</f>
        <v/>
      </c>
      <c r="Y47" s="64" t="str">
        <f t="shared" ref="Y47:Y50" si="99">IF(U47="","",250)</f>
        <v/>
      </c>
      <c r="Z47" s="56" t="str">
        <f t="shared" ref="Z47:Z50" si="100">IF(U47="","",")")</f>
        <v/>
      </c>
      <c r="AA47" s="66" t="str">
        <f t="shared" ref="AA47:AA50" si="101">IF(AB47="","","(")</f>
        <v/>
      </c>
      <c r="AB47" s="57" t="str">
        <f t="shared" ref="AB47:AB50" si="102">IF(H47="","",H47)</f>
        <v/>
      </c>
      <c r="AC47" s="67" t="str">
        <f t="shared" ref="AC47:AC50" si="103">IF(AB47="","",",")</f>
        <v/>
      </c>
      <c r="AD47" s="59" t="str">
        <f t="shared" ref="AD47:AD50" si="104">IF(I47="","",I47)</f>
        <v/>
      </c>
      <c r="AE47" s="68" t="str">
        <f t="shared" ref="AE47:AE50" si="105">IF(AB47="","",",")</f>
        <v/>
      </c>
      <c r="AF47" s="61" t="str">
        <f t="shared" ref="AF47:AF50" si="106">IF(AB47="","",350)</f>
        <v/>
      </c>
      <c r="AG47" s="61" t="str">
        <f t="shared" ref="AG47:AG50" si="107">IF(AB47="","",")")</f>
        <v/>
      </c>
      <c r="AH47" s="69" t="str">
        <f t="shared" ref="AH47:AH50" si="108">IF(AI47="","","(")</f>
        <v/>
      </c>
      <c r="AI47" s="70" t="str">
        <f t="shared" ref="AI47:AI50" si="109">IF(J47="","",J47)</f>
        <v/>
      </c>
      <c r="AJ47" s="64" t="str">
        <f t="shared" ref="AJ47:AJ50" si="110">IF(AI47="","",",")</f>
        <v/>
      </c>
      <c r="AK47" s="64" t="str">
        <f t="shared" ref="AK47:AK50" si="111">IF(K47="","",K47)</f>
        <v/>
      </c>
      <c r="AL47" s="64" t="str">
        <f t="shared" ref="AL47:AL50" si="112">IF(AI47="","",",")</f>
        <v/>
      </c>
      <c r="AM47" s="64" t="str">
        <f t="shared" ref="AM47:AM50" si="113">IF(AI47="","",450)</f>
        <v/>
      </c>
      <c r="AN47" s="64" t="str">
        <f t="shared" ref="AN47:AN50" si="114">IF(AI47="","",")")</f>
        <v/>
      </c>
    </row>
    <row r="48" spans="3:40" ht="25.5" thickTop="1" thickBot="1" x14ac:dyDescent="0.4">
      <c r="C48" s="113"/>
      <c r="D48" s="112"/>
      <c r="E48" s="52"/>
      <c r="F48" s="53"/>
      <c r="G48" s="53"/>
      <c r="H48" s="52"/>
      <c r="I48" s="52"/>
      <c r="J48" s="54"/>
      <c r="K48" s="54"/>
      <c r="L48" s="78" t="str">
        <f>IF(C48="","",_xlfn.CONCAT("            { line: ","""",C48,", ",M48:AN48,""", sC: ","""",B48,"""},"))</f>
        <v/>
      </c>
      <c r="M48" s="56" t="str">
        <f t="shared" si="87"/>
        <v/>
      </c>
      <c r="N48" s="57" t="str">
        <f t="shared" si="88"/>
        <v/>
      </c>
      <c r="O48" s="58" t="str">
        <f t="shared" si="89"/>
        <v/>
      </c>
      <c r="P48" s="59" t="str">
        <f t="shared" si="90"/>
        <v/>
      </c>
      <c r="Q48" s="60" t="str">
        <f t="shared" si="91"/>
        <v/>
      </c>
      <c r="R48" s="61" t="str">
        <f t="shared" si="92"/>
        <v/>
      </c>
      <c r="S48" s="56" t="str">
        <f t="shared" si="93"/>
        <v/>
      </c>
      <c r="T48" s="62" t="str">
        <f t="shared" si="94"/>
        <v/>
      </c>
      <c r="U48" s="63" t="str">
        <f t="shared" si="95"/>
        <v/>
      </c>
      <c r="V48" s="64" t="str">
        <f t="shared" si="96"/>
        <v/>
      </c>
      <c r="W48" s="65" t="str">
        <f t="shared" si="97"/>
        <v/>
      </c>
      <c r="X48" s="64" t="str">
        <f t="shared" si="98"/>
        <v/>
      </c>
      <c r="Y48" s="64" t="str">
        <f t="shared" si="99"/>
        <v/>
      </c>
      <c r="Z48" s="56" t="str">
        <f t="shared" si="100"/>
        <v/>
      </c>
      <c r="AA48" s="66" t="str">
        <f t="shared" si="101"/>
        <v/>
      </c>
      <c r="AB48" s="57" t="str">
        <f t="shared" si="102"/>
        <v/>
      </c>
      <c r="AC48" s="67" t="str">
        <f t="shared" si="103"/>
        <v/>
      </c>
      <c r="AD48" s="59" t="str">
        <f t="shared" si="104"/>
        <v/>
      </c>
      <c r="AE48" s="68" t="str">
        <f t="shared" si="105"/>
        <v/>
      </c>
      <c r="AF48" s="61" t="str">
        <f t="shared" si="106"/>
        <v/>
      </c>
      <c r="AG48" s="61" t="str">
        <f t="shared" si="107"/>
        <v/>
      </c>
      <c r="AH48" s="69" t="str">
        <f t="shared" si="108"/>
        <v/>
      </c>
      <c r="AI48" s="70" t="str">
        <f t="shared" si="109"/>
        <v/>
      </c>
      <c r="AJ48" s="64" t="str">
        <f t="shared" si="110"/>
        <v/>
      </c>
      <c r="AK48" s="64" t="str">
        <f t="shared" si="111"/>
        <v/>
      </c>
      <c r="AL48" s="64" t="str">
        <f t="shared" si="112"/>
        <v/>
      </c>
      <c r="AM48" s="64" t="str">
        <f t="shared" si="113"/>
        <v/>
      </c>
      <c r="AN48" s="64" t="str">
        <f t="shared" si="114"/>
        <v/>
      </c>
    </row>
    <row r="49" spans="1:40" ht="25.5" thickTop="1" thickBot="1" x14ac:dyDescent="0.4">
      <c r="C49" s="113"/>
      <c r="D49" s="112"/>
      <c r="E49" s="52"/>
      <c r="F49" s="53"/>
      <c r="G49" s="53"/>
      <c r="H49" s="52"/>
      <c r="I49" s="52"/>
      <c r="J49" s="54"/>
      <c r="K49" s="54"/>
      <c r="L49" s="78" t="str">
        <f>IF(C49="","",_xlfn.CONCAT("            { line: ","""",C49,", ",M49:AN49,""", sC: ","""",B49,"""},"))</f>
        <v/>
      </c>
      <c r="M49" s="56" t="str">
        <f t="shared" si="87"/>
        <v/>
      </c>
      <c r="N49" s="57" t="str">
        <f t="shared" si="88"/>
        <v/>
      </c>
      <c r="O49" s="58" t="str">
        <f t="shared" si="89"/>
        <v/>
      </c>
      <c r="P49" s="59" t="str">
        <f t="shared" si="90"/>
        <v/>
      </c>
      <c r="Q49" s="60" t="str">
        <f t="shared" si="91"/>
        <v/>
      </c>
      <c r="R49" s="61" t="str">
        <f t="shared" si="92"/>
        <v/>
      </c>
      <c r="S49" s="56" t="str">
        <f t="shared" si="93"/>
        <v/>
      </c>
      <c r="T49" s="62" t="str">
        <f t="shared" si="94"/>
        <v/>
      </c>
      <c r="U49" s="63" t="str">
        <f t="shared" si="95"/>
        <v/>
      </c>
      <c r="V49" s="64" t="str">
        <f t="shared" si="96"/>
        <v/>
      </c>
      <c r="W49" s="65" t="str">
        <f t="shared" si="97"/>
        <v/>
      </c>
      <c r="X49" s="64" t="str">
        <f t="shared" si="98"/>
        <v/>
      </c>
      <c r="Y49" s="64" t="str">
        <f t="shared" si="99"/>
        <v/>
      </c>
      <c r="Z49" s="56" t="str">
        <f t="shared" si="100"/>
        <v/>
      </c>
      <c r="AA49" s="66" t="str">
        <f t="shared" si="101"/>
        <v/>
      </c>
      <c r="AB49" s="57" t="str">
        <f t="shared" si="102"/>
        <v/>
      </c>
      <c r="AC49" s="67" t="str">
        <f t="shared" si="103"/>
        <v/>
      </c>
      <c r="AD49" s="59" t="str">
        <f t="shared" si="104"/>
        <v/>
      </c>
      <c r="AE49" s="68" t="str">
        <f t="shared" si="105"/>
        <v/>
      </c>
      <c r="AF49" s="61" t="str">
        <f t="shared" si="106"/>
        <v/>
      </c>
      <c r="AG49" s="61" t="str">
        <f t="shared" si="107"/>
        <v/>
      </c>
      <c r="AH49" s="69" t="str">
        <f t="shared" si="108"/>
        <v/>
      </c>
      <c r="AI49" s="70" t="str">
        <f t="shared" si="109"/>
        <v/>
      </c>
      <c r="AJ49" s="64" t="str">
        <f t="shared" si="110"/>
        <v/>
      </c>
      <c r="AK49" s="64" t="str">
        <f t="shared" si="111"/>
        <v/>
      </c>
      <c r="AL49" s="64" t="str">
        <f t="shared" si="112"/>
        <v/>
      </c>
      <c r="AM49" s="64" t="str">
        <f t="shared" si="113"/>
        <v/>
      </c>
      <c r="AN49" s="64" t="str">
        <f t="shared" si="114"/>
        <v/>
      </c>
    </row>
    <row r="50" spans="1:40" ht="25.5" thickTop="1" thickBot="1" x14ac:dyDescent="0.4">
      <c r="C50" s="113"/>
      <c r="D50" s="112"/>
      <c r="E50" s="52"/>
      <c r="F50" s="53"/>
      <c r="G50" s="53"/>
      <c r="H50" s="52"/>
      <c r="I50" s="52"/>
      <c r="J50" s="54"/>
      <c r="K50" s="54"/>
      <c r="L50" s="78" t="str">
        <f t="shared" ref="L50:L53" si="115">IF(C50="","",_xlfn.CONCAT("            { line: ","""",C50,", ",M50:AN50,""", sC: ","""",B50,"""},"))</f>
        <v/>
      </c>
      <c r="M50" s="56" t="str">
        <f t="shared" si="87"/>
        <v/>
      </c>
      <c r="N50" s="57" t="str">
        <f t="shared" si="88"/>
        <v/>
      </c>
      <c r="O50" s="58" t="str">
        <f t="shared" si="89"/>
        <v/>
      </c>
      <c r="P50" s="59" t="str">
        <f t="shared" si="90"/>
        <v/>
      </c>
      <c r="Q50" s="60" t="str">
        <f t="shared" si="91"/>
        <v/>
      </c>
      <c r="R50" s="61" t="str">
        <f t="shared" si="92"/>
        <v/>
      </c>
      <c r="S50" s="56" t="str">
        <f t="shared" si="93"/>
        <v/>
      </c>
      <c r="T50" s="62" t="str">
        <f t="shared" si="94"/>
        <v/>
      </c>
      <c r="U50" s="63" t="str">
        <f t="shared" si="95"/>
        <v/>
      </c>
      <c r="V50" s="64" t="str">
        <f t="shared" si="96"/>
        <v/>
      </c>
      <c r="W50" s="65" t="str">
        <f t="shared" si="97"/>
        <v/>
      </c>
      <c r="X50" s="64" t="str">
        <f t="shared" si="98"/>
        <v/>
      </c>
      <c r="Y50" s="64" t="str">
        <f t="shared" si="99"/>
        <v/>
      </c>
      <c r="Z50" s="56" t="str">
        <f t="shared" si="100"/>
        <v/>
      </c>
      <c r="AA50" s="66" t="str">
        <f t="shared" si="101"/>
        <v/>
      </c>
      <c r="AB50" s="57" t="str">
        <f t="shared" si="102"/>
        <v/>
      </c>
      <c r="AC50" s="67" t="str">
        <f t="shared" si="103"/>
        <v/>
      </c>
      <c r="AD50" s="59" t="str">
        <f t="shared" si="104"/>
        <v/>
      </c>
      <c r="AE50" s="68" t="str">
        <f t="shared" si="105"/>
        <v/>
      </c>
      <c r="AF50" s="61" t="str">
        <f t="shared" si="106"/>
        <v/>
      </c>
      <c r="AG50" s="61" t="str">
        <f t="shared" si="107"/>
        <v/>
      </c>
      <c r="AH50" s="69" t="str">
        <f t="shared" si="108"/>
        <v/>
      </c>
      <c r="AI50" s="70" t="str">
        <f t="shared" si="109"/>
        <v/>
      </c>
      <c r="AJ50" s="64" t="str">
        <f t="shared" si="110"/>
        <v/>
      </c>
      <c r="AK50" s="64" t="str">
        <f t="shared" si="111"/>
        <v/>
      </c>
      <c r="AL50" s="64" t="str">
        <f t="shared" si="112"/>
        <v/>
      </c>
      <c r="AM50" s="64" t="str">
        <f t="shared" si="113"/>
        <v/>
      </c>
      <c r="AN50" s="64" t="str">
        <f t="shared" si="114"/>
        <v/>
      </c>
    </row>
    <row r="51" spans="1:40" ht="25.5" thickTop="1" thickBot="1" x14ac:dyDescent="0.4">
      <c r="C51" s="113"/>
      <c r="D51" s="112"/>
      <c r="E51" s="52"/>
      <c r="F51" s="53"/>
      <c r="G51" s="53"/>
      <c r="H51" s="52"/>
      <c r="I51" s="52"/>
      <c r="J51" s="54"/>
      <c r="K51" s="54"/>
      <c r="L51" s="55" t="str">
        <f t="shared" si="115"/>
        <v/>
      </c>
      <c r="M51" s="56" t="str">
        <f>IF(N51="","","(")</f>
        <v/>
      </c>
      <c r="N51" s="57" t="str">
        <f>IF(D51="","",D51)</f>
        <v/>
      </c>
      <c r="O51" s="58" t="str">
        <f>IF(N51="","",",")</f>
        <v/>
      </c>
      <c r="P51" s="59" t="str">
        <f>IF(E51="","",E51)</f>
        <v/>
      </c>
      <c r="Q51" s="60" t="str">
        <f>IF(N51="","",",")</f>
        <v/>
      </c>
      <c r="R51" s="61" t="str">
        <f t="shared" si="92"/>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115"/>
        <v/>
      </c>
      <c r="M52" s="56" t="str">
        <f>IF(N52="","","(")</f>
        <v/>
      </c>
      <c r="N52" s="57" t="str">
        <f>IF(D52="","",D52)</f>
        <v/>
      </c>
      <c r="O52" s="58" t="str">
        <f>IF(N52="","",",")</f>
        <v/>
      </c>
      <c r="P52" s="59" t="str">
        <f>IF(E52="","",E52)</f>
        <v/>
      </c>
      <c r="Q52" s="60" t="str">
        <f>IF(N52="","",",")</f>
        <v/>
      </c>
      <c r="R52" s="61" t="str">
        <f t="shared" si="92"/>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115"/>
        <v/>
      </c>
      <c r="M53" s="56" t="str">
        <f>IF(N53="","","(")</f>
        <v/>
      </c>
      <c r="N53" s="57" t="str">
        <f>IF(D53="","",D53)</f>
        <v/>
      </c>
      <c r="O53" s="58" t="str">
        <f>IF(N53="","",",")</f>
        <v/>
      </c>
      <c r="P53" s="59" t="str">
        <f>IF(E53="","",E53)</f>
        <v/>
      </c>
      <c r="Q53" s="60" t="str">
        <f>IF(N53="","",",")</f>
        <v/>
      </c>
      <c r="R53" s="61" t="str">
        <f t="shared" si="92"/>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78" t="str">
        <f t="shared" si="0"/>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113"/>
      <c r="D55" s="112"/>
      <c r="E55" s="52"/>
      <c r="F55" s="53"/>
      <c r="G55" s="53"/>
      <c r="H55" s="52"/>
      <c r="I55" s="52"/>
      <c r="J55" s="54"/>
      <c r="K55" s="54"/>
      <c r="L55" s="78" t="str">
        <f>IF(C55="","",_xlfn.CONCAT("            { line: ","""",C55,", ",M55:AN55,""", sC: ","""",B55,"""},"))</f>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113"/>
      <c r="D56" s="112"/>
      <c r="E56" s="52"/>
      <c r="F56" s="53"/>
      <c r="G56" s="53"/>
      <c r="H56" s="52"/>
      <c r="I56" s="52"/>
      <c r="J56" s="54"/>
      <c r="K56" s="54"/>
      <c r="L56" s="78" t="str">
        <f>IF(C56="","",_xlfn.CONCAT("            { line: ","""",C56,", ",M56:AN56,""", sC: ","""",B56,"""},"))</f>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113"/>
      <c r="D57" s="112"/>
      <c r="E57" s="52"/>
      <c r="F57" s="53"/>
      <c r="G57" s="53"/>
      <c r="H57" s="52"/>
      <c r="I57" s="52"/>
      <c r="J57" s="54"/>
      <c r="K57" s="54"/>
      <c r="L57" s="78" t="str">
        <f t="shared" ref="L57:L58" si="116">IF(C57="","",_xlfn.CONCAT("            { line: ","""",C57,", ",M57:AN57,""", sC: ","""",B57,"""},"))</f>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113"/>
      <c r="D58" s="112"/>
      <c r="E58" s="52"/>
      <c r="F58" s="53"/>
      <c r="G58" s="53"/>
      <c r="H58" s="52"/>
      <c r="I58" s="52"/>
      <c r="J58" s="54"/>
      <c r="K58" s="54"/>
      <c r="L58" s="55" t="str">
        <f t="shared" si="116"/>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5.5" thickTop="1" thickBot="1" x14ac:dyDescent="0.4">
      <c r="C59" s="113"/>
      <c r="D59" s="112"/>
      <c r="E59" s="52"/>
      <c r="F59" s="53"/>
      <c r="G59" s="53"/>
      <c r="H59" s="52"/>
      <c r="I59" s="52"/>
      <c r="J59" s="54"/>
      <c r="K59" s="54"/>
      <c r="L59" s="55" t="str">
        <f t="shared" ref="L59:L62" si="117">IF(C59="","",_xlfn.CONCAT("            { line: ","""",C59,", ",M59:AN59,""", sC: ","""",B59,"""},"))</f>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thickTop="1" thickBot="1" x14ac:dyDescent="0.4">
      <c r="C60" s="113"/>
      <c r="D60" s="112"/>
      <c r="E60" s="52"/>
      <c r="F60" s="53"/>
      <c r="G60" s="53"/>
      <c r="H60" s="52"/>
      <c r="I60" s="52"/>
      <c r="J60" s="54"/>
      <c r="K60" s="54"/>
      <c r="L60" s="55" t="str">
        <f t="shared" si="117"/>
        <v/>
      </c>
      <c r="M60" s="56" t="str">
        <f>IF(N60="","","(")</f>
        <v/>
      </c>
      <c r="N60" s="57" t="str">
        <f>IF(D60="","",D60)</f>
        <v/>
      </c>
      <c r="O60" s="58" t="str">
        <f>IF(N60="","",",")</f>
        <v/>
      </c>
      <c r="P60" s="59" t="str">
        <f>IF(E60="","",E60)</f>
        <v/>
      </c>
      <c r="Q60" s="60" t="str">
        <f>IF(N60="","",",")</f>
        <v/>
      </c>
      <c r="R60" s="61" t="str">
        <f t="shared" si="6"/>
        <v/>
      </c>
      <c r="S60" s="56" t="str">
        <f>IF(N60="","",")")</f>
        <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5.5" thickTop="1" thickBot="1" x14ac:dyDescent="0.4">
      <c r="C61" s="113"/>
      <c r="D61" s="112"/>
      <c r="E61" s="52"/>
      <c r="F61" s="53"/>
      <c r="G61" s="53"/>
      <c r="H61" s="52"/>
      <c r="I61" s="52"/>
      <c r="J61" s="54"/>
      <c r="K61" s="54"/>
      <c r="L61" s="55" t="str">
        <f t="shared" si="117"/>
        <v/>
      </c>
      <c r="M61" s="56" t="str">
        <f t="shared" ref="M61:M62" si="118">IF(N61="","","(")</f>
        <v/>
      </c>
      <c r="N61" s="57" t="str">
        <f t="shared" ref="N61:N62" si="119">IF(D61="","",D61)</f>
        <v/>
      </c>
      <c r="O61" s="58" t="str">
        <f t="shared" ref="O61:O62" si="120">IF(N61="","",",")</f>
        <v/>
      </c>
      <c r="P61" s="59" t="str">
        <f t="shared" ref="P61:P62" si="121">IF(E61="","",E61)</f>
        <v/>
      </c>
      <c r="Q61" s="60" t="str">
        <f t="shared" ref="Q61:Q62" si="122">IF(N61="","",",")</f>
        <v/>
      </c>
      <c r="R61" s="61" t="str">
        <f t="shared" si="6"/>
        <v/>
      </c>
      <c r="S61" s="56" t="str">
        <f t="shared" ref="S61:S62" si="123">IF(N61="","",")")</f>
        <v/>
      </c>
      <c r="T61" s="62" t="str">
        <f t="shared" ref="T61:T62" si="124">IF(U61="","","(")</f>
        <v/>
      </c>
      <c r="U61" s="63" t="str">
        <f t="shared" ref="U61:U62" si="125">IF(F61="","",F61)</f>
        <v/>
      </c>
      <c r="V61" s="64" t="str">
        <f t="shared" ref="V61:V62" si="126">IF(U61="","",",")</f>
        <v/>
      </c>
      <c r="W61" s="65" t="str">
        <f t="shared" ref="W61:W62" si="127">IF(G61="","",G61)</f>
        <v/>
      </c>
      <c r="X61" s="64" t="str">
        <f t="shared" ref="X61:X62" si="128">IF(U61="","",",")</f>
        <v/>
      </c>
      <c r="Y61" s="64" t="str">
        <f t="shared" ref="Y61:Y62" si="129">IF(U61="","",250)</f>
        <v/>
      </c>
      <c r="Z61" s="56" t="str">
        <f t="shared" ref="Z61:Z62" si="130">IF(U61="","",")")</f>
        <v/>
      </c>
      <c r="AA61" s="66" t="str">
        <f t="shared" ref="AA61:AA62" si="131">IF(AB61="","","(")</f>
        <v/>
      </c>
      <c r="AB61" s="57" t="str">
        <f t="shared" ref="AB61:AB62" si="132">IF(H61="","",H61)</f>
        <v/>
      </c>
      <c r="AC61" s="67" t="str">
        <f t="shared" ref="AC61:AC62" si="133">IF(AB61="","",",")</f>
        <v/>
      </c>
      <c r="AD61" s="59" t="str">
        <f t="shared" ref="AD61:AD62" si="134">IF(I61="","",I61)</f>
        <v/>
      </c>
      <c r="AE61" s="68" t="str">
        <f t="shared" ref="AE61:AE62" si="135">IF(AB61="","",",")</f>
        <v/>
      </c>
      <c r="AF61" s="61" t="str">
        <f t="shared" ref="AF61:AF62" si="136">IF(AB61="","",350)</f>
        <v/>
      </c>
      <c r="AG61" s="61" t="str">
        <f t="shared" ref="AG61:AG62" si="137">IF(AB61="","",")")</f>
        <v/>
      </c>
      <c r="AH61" s="69" t="str">
        <f t="shared" ref="AH61:AH62" si="138">IF(AI61="","","(")</f>
        <v/>
      </c>
      <c r="AI61" s="70" t="str">
        <f t="shared" ref="AI61:AI62" si="139">IF(J61="","",J61)</f>
        <v/>
      </c>
      <c r="AJ61" s="64" t="str">
        <f t="shared" ref="AJ61:AJ62" si="140">IF(AI61="","",",")</f>
        <v/>
      </c>
      <c r="AK61" s="64" t="str">
        <f t="shared" ref="AK61:AK62" si="141">IF(K61="","",K61)</f>
        <v/>
      </c>
      <c r="AL61" s="64" t="str">
        <f t="shared" ref="AL61:AL62" si="142">IF(AI61="","",",")</f>
        <v/>
      </c>
      <c r="AM61" s="64" t="str">
        <f t="shared" ref="AM61:AM62" si="143">IF(AI61="","",450)</f>
        <v/>
      </c>
      <c r="AN61" s="64" t="str">
        <f t="shared" ref="AN61:AN62" si="144">IF(AI61="","",")")</f>
        <v/>
      </c>
    </row>
    <row r="62" spans="1:40" ht="25.5" thickTop="1" thickBot="1" x14ac:dyDescent="0.4">
      <c r="C62" s="113"/>
      <c r="D62" s="112"/>
      <c r="E62" s="52"/>
      <c r="F62" s="53"/>
      <c r="G62" s="53"/>
      <c r="H62" s="52"/>
      <c r="I62" s="52"/>
      <c r="J62" s="54"/>
      <c r="K62" s="54"/>
      <c r="L62" s="55" t="str">
        <f t="shared" si="117"/>
        <v/>
      </c>
      <c r="M62" s="56" t="str">
        <f t="shared" si="118"/>
        <v/>
      </c>
      <c r="N62" s="57" t="str">
        <f t="shared" si="119"/>
        <v/>
      </c>
      <c r="O62" s="58" t="str">
        <f t="shared" si="120"/>
        <v/>
      </c>
      <c r="P62" s="59" t="str">
        <f t="shared" si="121"/>
        <v/>
      </c>
      <c r="Q62" s="60" t="str">
        <f t="shared" si="122"/>
        <v/>
      </c>
      <c r="R62" s="61" t="str">
        <f t="shared" si="6"/>
        <v/>
      </c>
      <c r="S62" s="56" t="str">
        <f t="shared" si="123"/>
        <v/>
      </c>
      <c r="T62" s="62" t="str">
        <f t="shared" si="124"/>
        <v/>
      </c>
      <c r="U62" s="63" t="str">
        <f t="shared" si="125"/>
        <v/>
      </c>
      <c r="V62" s="64" t="str">
        <f t="shared" si="126"/>
        <v/>
      </c>
      <c r="W62" s="65" t="str">
        <f t="shared" si="127"/>
        <v/>
      </c>
      <c r="X62" s="64" t="str">
        <f t="shared" si="128"/>
        <v/>
      </c>
      <c r="Y62" s="64" t="str">
        <f t="shared" si="129"/>
        <v/>
      </c>
      <c r="Z62" s="56" t="str">
        <f t="shared" si="130"/>
        <v/>
      </c>
      <c r="AA62" s="66" t="str">
        <f t="shared" si="131"/>
        <v/>
      </c>
      <c r="AB62" s="57" t="str">
        <f t="shared" si="132"/>
        <v/>
      </c>
      <c r="AC62" s="67" t="str">
        <f t="shared" si="133"/>
        <v/>
      </c>
      <c r="AD62" s="59" t="str">
        <f t="shared" si="134"/>
        <v/>
      </c>
      <c r="AE62" s="68" t="str">
        <f t="shared" si="135"/>
        <v/>
      </c>
      <c r="AF62" s="61" t="str">
        <f t="shared" si="136"/>
        <v/>
      </c>
      <c r="AG62" s="61" t="str">
        <f t="shared" si="137"/>
        <v/>
      </c>
      <c r="AH62" s="69" t="str">
        <f t="shared" si="138"/>
        <v/>
      </c>
      <c r="AI62" s="70" t="str">
        <f t="shared" si="139"/>
        <v/>
      </c>
      <c r="AJ62" s="64" t="str">
        <f t="shared" si="140"/>
        <v/>
      </c>
      <c r="AK62" s="64" t="str">
        <f t="shared" si="141"/>
        <v/>
      </c>
      <c r="AL62" s="64" t="str">
        <f t="shared" si="142"/>
        <v/>
      </c>
      <c r="AM62" s="64" t="str">
        <f t="shared" si="143"/>
        <v/>
      </c>
      <c r="AN62" s="64" t="str">
        <f t="shared" si="144"/>
        <v/>
      </c>
    </row>
    <row r="63" spans="1:40" ht="36.75" thickTop="1" thickBot="1" x14ac:dyDescent="0.4">
      <c r="A63" s="76"/>
      <c r="B63" s="76"/>
      <c r="C63" s="76" t="s">
        <v>1031</v>
      </c>
      <c r="D63" s="77"/>
      <c r="E63" s="77"/>
      <c r="F63" s="77"/>
      <c r="G63" s="77"/>
      <c r="H63" s="77"/>
      <c r="I63" s="77"/>
      <c r="J63" s="77"/>
      <c r="K63" s="77"/>
      <c r="L63" s="117" t="s">
        <v>994</v>
      </c>
      <c r="M63" s="104"/>
      <c r="N63" s="57"/>
      <c r="O63" s="105"/>
      <c r="P63" s="59"/>
      <c r="Q63" s="106"/>
      <c r="R63" s="61" t="str">
        <f t="shared" si="6"/>
        <v/>
      </c>
      <c r="S63" s="104"/>
      <c r="T63" s="107"/>
      <c r="U63" s="108"/>
      <c r="V63" s="109"/>
      <c r="W63" s="110"/>
      <c r="X63" s="109"/>
      <c r="Y63" s="109"/>
      <c r="Z63" s="104"/>
      <c r="AA63" s="66"/>
      <c r="AB63" s="57"/>
      <c r="AC63" s="67"/>
      <c r="AD63" s="59"/>
      <c r="AE63" s="68"/>
      <c r="AF63" s="61"/>
      <c r="AG63" s="61"/>
      <c r="AH63" s="66"/>
      <c r="AI63" s="111"/>
      <c r="AJ63" s="109"/>
      <c r="AK63" s="109"/>
      <c r="AL63" s="109"/>
      <c r="AM63" s="109"/>
      <c r="AN63" s="109"/>
    </row>
    <row r="64" spans="1:40" ht="25.5" outlineLevel="1" thickTop="1" thickBot="1" x14ac:dyDescent="0.4">
      <c r="C64" s="113"/>
      <c r="D64" s="112"/>
      <c r="E64" s="52"/>
      <c r="F64" s="53"/>
      <c r="G64" s="53"/>
      <c r="H64" s="52"/>
      <c r="I64" s="52"/>
      <c r="J64" s="54"/>
      <c r="K64" s="54"/>
      <c r="L64" s="55" t="str">
        <f t="shared" ref="L64:L106" si="145">IF(C64="","",_xlfn.CONCAT("            { line: ","""",C64,", ",M64:AN64,""", sC: ","""",B64,"""},"))</f>
        <v/>
      </c>
      <c r="M64" s="56" t="str">
        <f t="shared" ref="M64:M106" si="146">IF(N64="","","(")</f>
        <v/>
      </c>
      <c r="N64" s="57" t="str">
        <f t="shared" si="2"/>
        <v/>
      </c>
      <c r="O64" s="58" t="str">
        <f t="shared" ref="O64:O106" si="147">IF(N64="","",",")</f>
        <v/>
      </c>
      <c r="P64" s="59" t="str">
        <f t="shared" si="4"/>
        <v/>
      </c>
      <c r="Q64" s="60" t="str">
        <f t="shared" ref="Q64:Q106" si="148">IF(N64="","",",")</f>
        <v/>
      </c>
      <c r="R64" s="61" t="str">
        <f t="shared" si="6"/>
        <v/>
      </c>
      <c r="S64" s="56" t="str">
        <f t="shared" ref="S64:S106" si="149">IF(N64="","",")")</f>
        <v/>
      </c>
      <c r="T64" s="62" t="str">
        <f t="shared" ref="T64:T106" si="150">IF(U64="","","(")</f>
        <v/>
      </c>
      <c r="U64" s="63" t="str">
        <f t="shared" si="9"/>
        <v/>
      </c>
      <c r="V64" s="64" t="str">
        <f t="shared" ref="V64:V106" si="151">IF(U64="","",",")</f>
        <v/>
      </c>
      <c r="W64" s="65" t="str">
        <f t="shared" si="11"/>
        <v/>
      </c>
      <c r="X64" s="64" t="str">
        <f t="shared" ref="X64:X106" si="152">IF(U64="","",",")</f>
        <v/>
      </c>
      <c r="Y64" s="64" t="str">
        <f t="shared" ref="Y64:Y106" si="153">IF(U64="","",250)</f>
        <v/>
      </c>
      <c r="Z64" s="56" t="str">
        <f t="shared" ref="Z64:Z106" si="154">IF(U64="","",")")</f>
        <v/>
      </c>
      <c r="AA64" s="66" t="str">
        <f t="shared" ref="AA64:AA106" si="155">IF(AB64="","","(")</f>
        <v/>
      </c>
      <c r="AB64" s="57" t="str">
        <f t="shared" si="16"/>
        <v/>
      </c>
      <c r="AC64" s="67" t="str">
        <f t="shared" ref="AC64:AC106" si="156">IF(AB64="","",",")</f>
        <v/>
      </c>
      <c r="AD64" s="59" t="str">
        <f t="shared" ref="AD64:AD106" si="157">IF(I64="","",I64)</f>
        <v/>
      </c>
      <c r="AE64" s="68" t="str">
        <f t="shared" ref="AE64:AE106" si="158">IF(AB64="","",",")</f>
        <v/>
      </c>
      <c r="AF64" s="61" t="str">
        <f t="shared" ref="AF64:AF106" si="159">IF(AB64="","",350)</f>
        <v/>
      </c>
      <c r="AG64" s="61" t="str">
        <f t="shared" ref="AG64:AG106" si="160">IF(AB64="","",")")</f>
        <v/>
      </c>
      <c r="AH64" s="69" t="str">
        <f t="shared" ref="AH64:AH106" si="161">IF(AI64="","","(")</f>
        <v/>
      </c>
      <c r="AI64" s="70" t="str">
        <f t="shared" si="23"/>
        <v/>
      </c>
      <c r="AJ64" s="64" t="str">
        <f t="shared" ref="AJ64:AJ106" si="162">IF(AI64="","",",")</f>
        <v/>
      </c>
      <c r="AK64" s="64" t="str">
        <f t="shared" ref="AK64:AK106" si="163">IF(K64="","",K64)</f>
        <v/>
      </c>
      <c r="AL64" s="64" t="str">
        <f t="shared" ref="AL64:AL106" si="164">IF(AI64="","",",")</f>
        <v/>
      </c>
      <c r="AM64" s="64" t="str">
        <f t="shared" ref="AM64:AM106" si="165">IF(AI64="","",450)</f>
        <v/>
      </c>
      <c r="AN64" s="64" t="str">
        <f t="shared" ref="AN64:AN106" si="166">IF(AI64="","",")")</f>
        <v/>
      </c>
    </row>
    <row r="65" spans="3:40" ht="25.5" outlineLevel="1" thickTop="1" thickBot="1" x14ac:dyDescent="0.4">
      <c r="C65" s="113"/>
      <c r="D65" s="112"/>
      <c r="E65" s="52"/>
      <c r="F65" s="53"/>
      <c r="G65" s="53"/>
      <c r="H65" s="52"/>
      <c r="I65" s="52"/>
      <c r="J65" s="54"/>
      <c r="K65" s="54"/>
      <c r="L65" s="55" t="str">
        <f t="shared" ref="L65:L76" si="167">IF(C65="","",_xlfn.CONCAT("            { line: ","""",C65,", ",M65:AN65,""", sC: ","""",B65,"""},"))</f>
        <v/>
      </c>
      <c r="M65" s="56" t="str">
        <f t="shared" ref="M65:M76" si="168">IF(N65="","","(")</f>
        <v/>
      </c>
      <c r="N65" s="57" t="str">
        <f t="shared" ref="N65:N76" si="169">IF(D65="","",D65)</f>
        <v/>
      </c>
      <c r="O65" s="58" t="str">
        <f t="shared" ref="O65:O76" si="170">IF(N65="","",",")</f>
        <v/>
      </c>
      <c r="P65" s="59" t="str">
        <f t="shared" ref="P65:P76" si="171">IF(E65="","",E65)</f>
        <v/>
      </c>
      <c r="Q65" s="60" t="str">
        <f t="shared" ref="Q65:Q76" si="172">IF(N65="","",",")</f>
        <v/>
      </c>
      <c r="R65" s="61" t="str">
        <f t="shared" si="6"/>
        <v/>
      </c>
      <c r="S65" s="56" t="str">
        <f t="shared" ref="S65:S76" si="173">IF(N65="","",")")</f>
        <v/>
      </c>
      <c r="T65" s="62" t="str">
        <f t="shared" ref="T65:T76" si="174">IF(U65="","","(")</f>
        <v/>
      </c>
      <c r="U65" s="63" t="str">
        <f t="shared" ref="U65:U76" si="175">IF(F65="","",F65)</f>
        <v/>
      </c>
      <c r="V65" s="64" t="str">
        <f t="shared" ref="V65:V76" si="176">IF(U65="","",",")</f>
        <v/>
      </c>
      <c r="W65" s="65" t="str">
        <f t="shared" ref="W65:W76" si="177">IF(G65="","",G65)</f>
        <v/>
      </c>
      <c r="X65" s="64" t="str">
        <f t="shared" ref="X65:X76" si="178">IF(U65="","",",")</f>
        <v/>
      </c>
      <c r="Y65" s="64" t="str">
        <f t="shared" ref="Y65:Y76" si="179">IF(U65="","",250)</f>
        <v/>
      </c>
      <c r="Z65" s="56" t="str">
        <f t="shared" ref="Z65:Z76" si="180">IF(U65="","",")")</f>
        <v/>
      </c>
      <c r="AA65" s="66" t="str">
        <f t="shared" ref="AA65:AA76" si="181">IF(AB65="","","(")</f>
        <v/>
      </c>
      <c r="AB65" s="57" t="str">
        <f t="shared" ref="AB65:AB76" si="182">IF(H65="","",H65)</f>
        <v/>
      </c>
      <c r="AC65" s="67" t="str">
        <f t="shared" ref="AC65:AC76" si="183">IF(AB65="","",",")</f>
        <v/>
      </c>
      <c r="AD65" s="59" t="str">
        <f t="shared" ref="AD65:AD76" si="184">IF(I65="","",I65)</f>
        <v/>
      </c>
      <c r="AE65" s="68" t="str">
        <f t="shared" ref="AE65:AE76" si="185">IF(AB65="","",",")</f>
        <v/>
      </c>
      <c r="AF65" s="61" t="str">
        <f t="shared" ref="AF65:AF76" si="186">IF(AB65="","",350)</f>
        <v/>
      </c>
      <c r="AG65" s="61" t="str">
        <f t="shared" ref="AG65:AG76" si="187">IF(AB65="","",")")</f>
        <v/>
      </c>
      <c r="AH65" s="69" t="str">
        <f t="shared" ref="AH65:AH76" si="188">IF(AI65="","","(")</f>
        <v/>
      </c>
      <c r="AI65" s="70" t="str">
        <f t="shared" ref="AI65:AI76" si="189">IF(J65="","",J65)</f>
        <v/>
      </c>
      <c r="AJ65" s="64" t="str">
        <f t="shared" ref="AJ65:AJ76" si="190">IF(AI65="","",",")</f>
        <v/>
      </c>
      <c r="AK65" s="64" t="str">
        <f t="shared" ref="AK65:AK76" si="191">IF(K65="","",K65)</f>
        <v/>
      </c>
      <c r="AL65" s="64" t="str">
        <f t="shared" ref="AL65:AL76" si="192">IF(AI65="","",",")</f>
        <v/>
      </c>
      <c r="AM65" s="64" t="str">
        <f t="shared" ref="AM65:AM76" si="193">IF(AI65="","",450)</f>
        <v/>
      </c>
      <c r="AN65" s="64" t="str">
        <f t="shared" ref="AN65:AN76" si="194">IF(AI65="","",")")</f>
        <v/>
      </c>
    </row>
    <row r="66" spans="3:40" ht="25.5" outlineLevel="1" thickTop="1" thickBot="1" x14ac:dyDescent="0.4">
      <c r="C66" s="113"/>
      <c r="D66" s="112"/>
      <c r="E66" s="52"/>
      <c r="F66" s="53"/>
      <c r="G66" s="53"/>
      <c r="H66" s="52"/>
      <c r="I66" s="52"/>
      <c r="J66" s="54"/>
      <c r="K66" s="54"/>
      <c r="L66" s="55" t="str">
        <f t="shared" si="167"/>
        <v/>
      </c>
      <c r="M66" s="56" t="str">
        <f t="shared" si="168"/>
        <v/>
      </c>
      <c r="N66" s="57" t="str">
        <f t="shared" si="169"/>
        <v/>
      </c>
      <c r="O66" s="58" t="str">
        <f t="shared" si="170"/>
        <v/>
      </c>
      <c r="P66" s="59" t="str">
        <f t="shared" si="171"/>
        <v/>
      </c>
      <c r="Q66" s="60" t="str">
        <f t="shared" si="172"/>
        <v/>
      </c>
      <c r="R66" s="61" t="str">
        <f t="shared" si="6"/>
        <v/>
      </c>
      <c r="S66" s="56" t="str">
        <f t="shared" si="173"/>
        <v/>
      </c>
      <c r="T66" s="62" t="str">
        <f t="shared" si="174"/>
        <v/>
      </c>
      <c r="U66" s="63" t="str">
        <f t="shared" si="175"/>
        <v/>
      </c>
      <c r="V66" s="64" t="str">
        <f t="shared" si="176"/>
        <v/>
      </c>
      <c r="W66" s="65" t="str">
        <f t="shared" si="177"/>
        <v/>
      </c>
      <c r="X66" s="64" t="str">
        <f t="shared" si="178"/>
        <v/>
      </c>
      <c r="Y66" s="64" t="str">
        <f t="shared" si="179"/>
        <v/>
      </c>
      <c r="Z66" s="56" t="str">
        <f t="shared" si="180"/>
        <v/>
      </c>
      <c r="AA66" s="66" t="str">
        <f t="shared" si="181"/>
        <v/>
      </c>
      <c r="AB66" s="57" t="str">
        <f t="shared" si="182"/>
        <v/>
      </c>
      <c r="AC66" s="67" t="str">
        <f t="shared" si="183"/>
        <v/>
      </c>
      <c r="AD66" s="59" t="str">
        <f t="shared" si="184"/>
        <v/>
      </c>
      <c r="AE66" s="68" t="str">
        <f t="shared" si="185"/>
        <v/>
      </c>
      <c r="AF66" s="61" t="str">
        <f t="shared" si="186"/>
        <v/>
      </c>
      <c r="AG66" s="61" t="str">
        <f t="shared" si="187"/>
        <v/>
      </c>
      <c r="AH66" s="69" t="str">
        <f t="shared" si="188"/>
        <v/>
      </c>
      <c r="AI66" s="70" t="str">
        <f t="shared" si="189"/>
        <v/>
      </c>
      <c r="AJ66" s="64" t="str">
        <f t="shared" si="190"/>
        <v/>
      </c>
      <c r="AK66" s="64" t="str">
        <f t="shared" si="191"/>
        <v/>
      </c>
      <c r="AL66" s="64" t="str">
        <f t="shared" si="192"/>
        <v/>
      </c>
      <c r="AM66" s="64" t="str">
        <f t="shared" si="193"/>
        <v/>
      </c>
      <c r="AN66" s="64" t="str">
        <f t="shared" si="194"/>
        <v/>
      </c>
    </row>
    <row r="67" spans="3:40" ht="25.5" outlineLevel="1" thickTop="1" thickBot="1" x14ac:dyDescent="0.4">
      <c r="C67" s="113"/>
      <c r="D67" s="112"/>
      <c r="E67" s="52"/>
      <c r="F67" s="53"/>
      <c r="G67" s="53"/>
      <c r="H67" s="52"/>
      <c r="I67" s="52"/>
      <c r="J67" s="54"/>
      <c r="K67" s="54"/>
      <c r="L67" s="55" t="str">
        <f t="shared" si="167"/>
        <v/>
      </c>
      <c r="M67" s="56" t="str">
        <f t="shared" si="168"/>
        <v/>
      </c>
      <c r="N67" s="57" t="str">
        <f t="shared" si="169"/>
        <v/>
      </c>
      <c r="O67" s="58" t="str">
        <f t="shared" si="170"/>
        <v/>
      </c>
      <c r="P67" s="59" t="str">
        <f t="shared" si="171"/>
        <v/>
      </c>
      <c r="Q67" s="60" t="str">
        <f t="shared" si="172"/>
        <v/>
      </c>
      <c r="R67" s="61" t="str">
        <f t="shared" si="6"/>
        <v/>
      </c>
      <c r="S67" s="56" t="str">
        <f t="shared" si="173"/>
        <v/>
      </c>
      <c r="T67" s="62" t="str">
        <f t="shared" si="174"/>
        <v/>
      </c>
      <c r="U67" s="63" t="str">
        <f t="shared" si="175"/>
        <v/>
      </c>
      <c r="V67" s="64" t="str">
        <f t="shared" si="176"/>
        <v/>
      </c>
      <c r="W67" s="65" t="str">
        <f t="shared" si="177"/>
        <v/>
      </c>
      <c r="X67" s="64" t="str">
        <f t="shared" si="178"/>
        <v/>
      </c>
      <c r="Y67" s="64" t="str">
        <f t="shared" si="179"/>
        <v/>
      </c>
      <c r="Z67" s="56" t="str">
        <f t="shared" si="180"/>
        <v/>
      </c>
      <c r="AA67" s="66" t="str">
        <f t="shared" si="181"/>
        <v/>
      </c>
      <c r="AB67" s="57" t="str">
        <f t="shared" si="182"/>
        <v/>
      </c>
      <c r="AC67" s="67" t="str">
        <f t="shared" si="183"/>
        <v/>
      </c>
      <c r="AD67" s="59" t="str">
        <f t="shared" si="184"/>
        <v/>
      </c>
      <c r="AE67" s="68" t="str">
        <f t="shared" si="185"/>
        <v/>
      </c>
      <c r="AF67" s="61" t="str">
        <f t="shared" si="186"/>
        <v/>
      </c>
      <c r="AG67" s="61" t="str">
        <f t="shared" si="187"/>
        <v/>
      </c>
      <c r="AH67" s="69" t="str">
        <f t="shared" si="188"/>
        <v/>
      </c>
      <c r="AI67" s="70" t="str">
        <f t="shared" si="189"/>
        <v/>
      </c>
      <c r="AJ67" s="64" t="str">
        <f t="shared" si="190"/>
        <v/>
      </c>
      <c r="AK67" s="64" t="str">
        <f t="shared" si="191"/>
        <v/>
      </c>
      <c r="AL67" s="64" t="str">
        <f t="shared" si="192"/>
        <v/>
      </c>
      <c r="AM67" s="64" t="str">
        <f t="shared" si="193"/>
        <v/>
      </c>
      <c r="AN67" s="64" t="str">
        <f t="shared" si="194"/>
        <v/>
      </c>
    </row>
    <row r="68" spans="3:40" ht="25.5" outlineLevel="1" thickTop="1" thickBot="1" x14ac:dyDescent="0.4">
      <c r="C68" s="113"/>
      <c r="D68" s="112"/>
      <c r="E68" s="52"/>
      <c r="F68" s="53"/>
      <c r="G68" s="53"/>
      <c r="H68" s="52"/>
      <c r="I68" s="52"/>
      <c r="J68" s="54"/>
      <c r="K68" s="54"/>
      <c r="L68" s="55" t="str">
        <f t="shared" si="167"/>
        <v/>
      </c>
      <c r="M68" s="56" t="str">
        <f t="shared" si="168"/>
        <v/>
      </c>
      <c r="N68" s="57" t="str">
        <f t="shared" si="169"/>
        <v/>
      </c>
      <c r="O68" s="58" t="str">
        <f t="shared" si="170"/>
        <v/>
      </c>
      <c r="P68" s="59" t="str">
        <f t="shared" si="171"/>
        <v/>
      </c>
      <c r="Q68" s="60" t="str">
        <f t="shared" si="172"/>
        <v/>
      </c>
      <c r="R68" s="61" t="str">
        <f t="shared" si="6"/>
        <v/>
      </c>
      <c r="S68" s="56" t="str">
        <f t="shared" si="173"/>
        <v/>
      </c>
      <c r="T68" s="62" t="str">
        <f t="shared" si="174"/>
        <v/>
      </c>
      <c r="U68" s="63" t="str">
        <f t="shared" si="175"/>
        <v/>
      </c>
      <c r="V68" s="64" t="str">
        <f t="shared" si="176"/>
        <v/>
      </c>
      <c r="W68" s="65" t="str">
        <f t="shared" si="177"/>
        <v/>
      </c>
      <c r="X68" s="64" t="str">
        <f t="shared" si="178"/>
        <v/>
      </c>
      <c r="Y68" s="64" t="str">
        <f t="shared" si="179"/>
        <v/>
      </c>
      <c r="Z68" s="56" t="str">
        <f t="shared" si="180"/>
        <v/>
      </c>
      <c r="AA68" s="66" t="str">
        <f t="shared" si="181"/>
        <v/>
      </c>
      <c r="AB68" s="57" t="str">
        <f t="shared" si="182"/>
        <v/>
      </c>
      <c r="AC68" s="67" t="str">
        <f t="shared" si="183"/>
        <v/>
      </c>
      <c r="AD68" s="59" t="str">
        <f t="shared" si="184"/>
        <v/>
      </c>
      <c r="AE68" s="68" t="str">
        <f t="shared" si="185"/>
        <v/>
      </c>
      <c r="AF68" s="61" t="str">
        <f t="shared" si="186"/>
        <v/>
      </c>
      <c r="AG68" s="61" t="str">
        <f t="shared" si="187"/>
        <v/>
      </c>
      <c r="AH68" s="69" t="str">
        <f t="shared" si="188"/>
        <v/>
      </c>
      <c r="AI68" s="70" t="str">
        <f t="shared" si="189"/>
        <v/>
      </c>
      <c r="AJ68" s="64" t="str">
        <f t="shared" si="190"/>
        <v/>
      </c>
      <c r="AK68" s="64" t="str">
        <f t="shared" si="191"/>
        <v/>
      </c>
      <c r="AL68" s="64" t="str">
        <f t="shared" si="192"/>
        <v/>
      </c>
      <c r="AM68" s="64" t="str">
        <f t="shared" si="193"/>
        <v/>
      </c>
      <c r="AN68" s="64" t="str">
        <f t="shared" si="194"/>
        <v/>
      </c>
    </row>
    <row r="69" spans="3:40" ht="25.5" outlineLevel="1" thickTop="1" thickBot="1" x14ac:dyDescent="0.4">
      <c r="C69" s="113"/>
      <c r="D69" s="112"/>
      <c r="E69" s="52"/>
      <c r="F69" s="53"/>
      <c r="G69" s="53"/>
      <c r="H69" s="52"/>
      <c r="I69" s="52"/>
      <c r="J69" s="54"/>
      <c r="K69" s="54"/>
      <c r="L69" s="55" t="str">
        <f t="shared" si="167"/>
        <v/>
      </c>
      <c r="M69" s="56" t="str">
        <f t="shared" si="168"/>
        <v/>
      </c>
      <c r="N69" s="57" t="str">
        <f t="shared" si="169"/>
        <v/>
      </c>
      <c r="O69" s="58" t="str">
        <f t="shared" si="170"/>
        <v/>
      </c>
      <c r="P69" s="59" t="str">
        <f t="shared" si="171"/>
        <v/>
      </c>
      <c r="Q69" s="60" t="str">
        <f t="shared" si="172"/>
        <v/>
      </c>
      <c r="R69" s="61" t="str">
        <f t="shared" si="6"/>
        <v/>
      </c>
      <c r="S69" s="56" t="str">
        <f t="shared" si="173"/>
        <v/>
      </c>
      <c r="T69" s="62" t="str">
        <f t="shared" si="174"/>
        <v/>
      </c>
      <c r="U69" s="63" t="str">
        <f t="shared" si="175"/>
        <v/>
      </c>
      <c r="V69" s="64" t="str">
        <f t="shared" si="176"/>
        <v/>
      </c>
      <c r="W69" s="65" t="str">
        <f t="shared" si="177"/>
        <v/>
      </c>
      <c r="X69" s="64" t="str">
        <f t="shared" si="178"/>
        <v/>
      </c>
      <c r="Y69" s="64" t="str">
        <f t="shared" si="179"/>
        <v/>
      </c>
      <c r="Z69" s="56" t="str">
        <f t="shared" si="180"/>
        <v/>
      </c>
      <c r="AA69" s="66" t="str">
        <f t="shared" si="181"/>
        <v/>
      </c>
      <c r="AB69" s="57" t="str">
        <f t="shared" si="182"/>
        <v/>
      </c>
      <c r="AC69" s="67" t="str">
        <f t="shared" si="183"/>
        <v/>
      </c>
      <c r="AD69" s="59" t="str">
        <f t="shared" si="184"/>
        <v/>
      </c>
      <c r="AE69" s="68" t="str">
        <f t="shared" si="185"/>
        <v/>
      </c>
      <c r="AF69" s="61" t="str">
        <f t="shared" si="186"/>
        <v/>
      </c>
      <c r="AG69" s="61" t="str">
        <f t="shared" si="187"/>
        <v/>
      </c>
      <c r="AH69" s="69" t="str">
        <f t="shared" si="188"/>
        <v/>
      </c>
      <c r="AI69" s="70" t="str">
        <f t="shared" si="189"/>
        <v/>
      </c>
      <c r="AJ69" s="64" t="str">
        <f t="shared" si="190"/>
        <v/>
      </c>
      <c r="AK69" s="64" t="str">
        <f t="shared" si="191"/>
        <v/>
      </c>
      <c r="AL69" s="64" t="str">
        <f t="shared" si="192"/>
        <v/>
      </c>
      <c r="AM69" s="64" t="str">
        <f t="shared" si="193"/>
        <v/>
      </c>
      <c r="AN69" s="64" t="str">
        <f t="shared" si="194"/>
        <v/>
      </c>
    </row>
    <row r="70" spans="3:40" ht="25.5" outlineLevel="1" thickTop="1" thickBot="1" x14ac:dyDescent="0.4">
      <c r="C70" s="113"/>
      <c r="D70" s="112"/>
      <c r="E70" s="52"/>
      <c r="F70" s="53"/>
      <c r="G70" s="53"/>
      <c r="H70" s="52"/>
      <c r="I70" s="52"/>
      <c r="J70" s="54"/>
      <c r="K70" s="54"/>
      <c r="L70" s="55" t="str">
        <f t="shared" si="167"/>
        <v/>
      </c>
      <c r="M70" s="56" t="str">
        <f t="shared" si="168"/>
        <v/>
      </c>
      <c r="N70" s="57" t="str">
        <f t="shared" si="169"/>
        <v/>
      </c>
      <c r="O70" s="58" t="str">
        <f t="shared" si="170"/>
        <v/>
      </c>
      <c r="P70" s="59" t="str">
        <f t="shared" si="171"/>
        <v/>
      </c>
      <c r="Q70" s="60" t="str">
        <f t="shared" si="172"/>
        <v/>
      </c>
      <c r="R70" s="61" t="str">
        <f t="shared" ref="R70:R76" si="195">IF(N70="Do",10,IF(N70="Re",22,IF(N70="Mi",20,IF(N70="Fa",20,IF(N70="Sol",14,IF(N70="La",20,IF(N70="Si",20,IF(N70="Do#",14,IF(N70="Fa#",15,IF(N70="Sol#",20,IF(N70="Si♭",17,"")))))))))))</f>
        <v/>
      </c>
      <c r="S70" s="56" t="str">
        <f t="shared" si="173"/>
        <v/>
      </c>
      <c r="T70" s="62" t="str">
        <f t="shared" si="174"/>
        <v/>
      </c>
      <c r="U70" s="63" t="str">
        <f t="shared" si="175"/>
        <v/>
      </c>
      <c r="V70" s="64" t="str">
        <f t="shared" si="176"/>
        <v/>
      </c>
      <c r="W70" s="65" t="str">
        <f t="shared" si="177"/>
        <v/>
      </c>
      <c r="X70" s="64" t="str">
        <f t="shared" si="178"/>
        <v/>
      </c>
      <c r="Y70" s="64" t="str">
        <f t="shared" si="179"/>
        <v/>
      </c>
      <c r="Z70" s="56" t="str">
        <f t="shared" si="180"/>
        <v/>
      </c>
      <c r="AA70" s="66" t="str">
        <f t="shared" si="181"/>
        <v/>
      </c>
      <c r="AB70" s="57" t="str">
        <f t="shared" si="182"/>
        <v/>
      </c>
      <c r="AC70" s="67" t="str">
        <f t="shared" si="183"/>
        <v/>
      </c>
      <c r="AD70" s="59" t="str">
        <f t="shared" si="184"/>
        <v/>
      </c>
      <c r="AE70" s="68" t="str">
        <f t="shared" si="185"/>
        <v/>
      </c>
      <c r="AF70" s="61" t="str">
        <f t="shared" si="186"/>
        <v/>
      </c>
      <c r="AG70" s="61" t="str">
        <f t="shared" si="187"/>
        <v/>
      </c>
      <c r="AH70" s="69" t="str">
        <f t="shared" si="188"/>
        <v/>
      </c>
      <c r="AI70" s="70" t="str">
        <f t="shared" si="189"/>
        <v/>
      </c>
      <c r="AJ70" s="64" t="str">
        <f t="shared" si="190"/>
        <v/>
      </c>
      <c r="AK70" s="64" t="str">
        <f t="shared" si="191"/>
        <v/>
      </c>
      <c r="AL70" s="64" t="str">
        <f t="shared" si="192"/>
        <v/>
      </c>
      <c r="AM70" s="64" t="str">
        <f t="shared" si="193"/>
        <v/>
      </c>
      <c r="AN70" s="64" t="str">
        <f t="shared" si="194"/>
        <v/>
      </c>
    </row>
    <row r="71" spans="3:40" ht="25.5" outlineLevel="1" thickTop="1" thickBot="1" x14ac:dyDescent="0.4">
      <c r="C71" s="113"/>
      <c r="D71" s="112"/>
      <c r="E71" s="52"/>
      <c r="F71" s="53"/>
      <c r="G71" s="53"/>
      <c r="H71" s="52"/>
      <c r="I71" s="52"/>
      <c r="J71" s="54"/>
      <c r="K71" s="54"/>
      <c r="L71" s="55" t="str">
        <f t="shared" si="167"/>
        <v/>
      </c>
      <c r="M71" s="56" t="str">
        <f t="shared" si="168"/>
        <v/>
      </c>
      <c r="N71" s="57" t="str">
        <f t="shared" si="169"/>
        <v/>
      </c>
      <c r="O71" s="58" t="str">
        <f t="shared" si="170"/>
        <v/>
      </c>
      <c r="P71" s="59" t="str">
        <f t="shared" si="171"/>
        <v/>
      </c>
      <c r="Q71" s="60" t="str">
        <f t="shared" si="172"/>
        <v/>
      </c>
      <c r="R71" s="61" t="str">
        <f t="shared" si="195"/>
        <v/>
      </c>
      <c r="S71" s="56" t="str">
        <f t="shared" si="173"/>
        <v/>
      </c>
      <c r="T71" s="62" t="str">
        <f t="shared" si="174"/>
        <v/>
      </c>
      <c r="U71" s="63" t="str">
        <f t="shared" si="175"/>
        <v/>
      </c>
      <c r="V71" s="64" t="str">
        <f t="shared" si="176"/>
        <v/>
      </c>
      <c r="W71" s="65" t="str">
        <f t="shared" si="177"/>
        <v/>
      </c>
      <c r="X71" s="64" t="str">
        <f t="shared" si="178"/>
        <v/>
      </c>
      <c r="Y71" s="64" t="str">
        <f t="shared" si="179"/>
        <v/>
      </c>
      <c r="Z71" s="56" t="str">
        <f t="shared" si="180"/>
        <v/>
      </c>
      <c r="AA71" s="66" t="str">
        <f t="shared" si="181"/>
        <v/>
      </c>
      <c r="AB71" s="57" t="str">
        <f t="shared" si="182"/>
        <v/>
      </c>
      <c r="AC71" s="67" t="str">
        <f t="shared" si="183"/>
        <v/>
      </c>
      <c r="AD71" s="59" t="str">
        <f t="shared" si="184"/>
        <v/>
      </c>
      <c r="AE71" s="68" t="str">
        <f t="shared" si="185"/>
        <v/>
      </c>
      <c r="AF71" s="61" t="str">
        <f t="shared" si="186"/>
        <v/>
      </c>
      <c r="AG71" s="61" t="str">
        <f t="shared" si="187"/>
        <v/>
      </c>
      <c r="AH71" s="69" t="str">
        <f t="shared" si="188"/>
        <v/>
      </c>
      <c r="AI71" s="70" t="str">
        <f t="shared" si="189"/>
        <v/>
      </c>
      <c r="AJ71" s="64" t="str">
        <f t="shared" si="190"/>
        <v/>
      </c>
      <c r="AK71" s="64" t="str">
        <f t="shared" si="191"/>
        <v/>
      </c>
      <c r="AL71" s="64" t="str">
        <f t="shared" si="192"/>
        <v/>
      </c>
      <c r="AM71" s="64" t="str">
        <f t="shared" si="193"/>
        <v/>
      </c>
      <c r="AN71" s="64" t="str">
        <f t="shared" si="194"/>
        <v/>
      </c>
    </row>
    <row r="72" spans="3:40" ht="25.5" outlineLevel="1" thickTop="1" thickBot="1" x14ac:dyDescent="0.4">
      <c r="C72" s="113"/>
      <c r="D72" s="112"/>
      <c r="E72" s="52"/>
      <c r="F72" s="53"/>
      <c r="G72" s="53"/>
      <c r="H72" s="52"/>
      <c r="I72" s="52"/>
      <c r="J72" s="54"/>
      <c r="K72" s="54"/>
      <c r="L72" s="55" t="str">
        <f t="shared" si="167"/>
        <v/>
      </c>
      <c r="M72" s="56" t="str">
        <f t="shared" si="168"/>
        <v/>
      </c>
      <c r="N72" s="57" t="str">
        <f t="shared" si="169"/>
        <v/>
      </c>
      <c r="O72" s="58" t="str">
        <f t="shared" si="170"/>
        <v/>
      </c>
      <c r="P72" s="59" t="str">
        <f t="shared" si="171"/>
        <v/>
      </c>
      <c r="Q72" s="60" t="str">
        <f t="shared" si="172"/>
        <v/>
      </c>
      <c r="R72" s="61" t="str">
        <f t="shared" si="195"/>
        <v/>
      </c>
      <c r="S72" s="56" t="str">
        <f t="shared" si="173"/>
        <v/>
      </c>
      <c r="T72" s="62" t="str">
        <f t="shared" si="174"/>
        <v/>
      </c>
      <c r="U72" s="63" t="str">
        <f t="shared" si="175"/>
        <v/>
      </c>
      <c r="V72" s="64" t="str">
        <f t="shared" si="176"/>
        <v/>
      </c>
      <c r="W72" s="65" t="str">
        <f t="shared" si="177"/>
        <v/>
      </c>
      <c r="X72" s="64" t="str">
        <f t="shared" si="178"/>
        <v/>
      </c>
      <c r="Y72" s="64" t="str">
        <f t="shared" si="179"/>
        <v/>
      </c>
      <c r="Z72" s="56" t="str">
        <f t="shared" si="180"/>
        <v/>
      </c>
      <c r="AA72" s="66" t="str">
        <f t="shared" si="181"/>
        <v/>
      </c>
      <c r="AB72" s="57" t="str">
        <f t="shared" si="182"/>
        <v/>
      </c>
      <c r="AC72" s="67" t="str">
        <f t="shared" si="183"/>
        <v/>
      </c>
      <c r="AD72" s="59" t="str">
        <f t="shared" si="184"/>
        <v/>
      </c>
      <c r="AE72" s="68" t="str">
        <f t="shared" si="185"/>
        <v/>
      </c>
      <c r="AF72" s="61" t="str">
        <f t="shared" si="186"/>
        <v/>
      </c>
      <c r="AG72" s="61" t="str">
        <f t="shared" si="187"/>
        <v/>
      </c>
      <c r="AH72" s="69" t="str">
        <f t="shared" si="188"/>
        <v/>
      </c>
      <c r="AI72" s="70" t="str">
        <f t="shared" si="189"/>
        <v/>
      </c>
      <c r="AJ72" s="64" t="str">
        <f t="shared" si="190"/>
        <v/>
      </c>
      <c r="AK72" s="64" t="str">
        <f t="shared" si="191"/>
        <v/>
      </c>
      <c r="AL72" s="64" t="str">
        <f t="shared" si="192"/>
        <v/>
      </c>
      <c r="AM72" s="64" t="str">
        <f t="shared" si="193"/>
        <v/>
      </c>
      <c r="AN72" s="64" t="str">
        <f t="shared" si="194"/>
        <v/>
      </c>
    </row>
    <row r="73" spans="3:40" ht="25.5" outlineLevel="1" thickTop="1" thickBot="1" x14ac:dyDescent="0.4">
      <c r="C73" s="113"/>
      <c r="D73" s="112"/>
      <c r="E73" s="52"/>
      <c r="F73" s="53"/>
      <c r="G73" s="53"/>
      <c r="H73" s="52"/>
      <c r="I73" s="52"/>
      <c r="J73" s="54"/>
      <c r="K73" s="54"/>
      <c r="L73" s="55" t="str">
        <f t="shared" si="167"/>
        <v/>
      </c>
      <c r="M73" s="56" t="str">
        <f t="shared" si="168"/>
        <v/>
      </c>
      <c r="N73" s="57" t="str">
        <f t="shared" si="169"/>
        <v/>
      </c>
      <c r="O73" s="58" t="str">
        <f t="shared" si="170"/>
        <v/>
      </c>
      <c r="P73" s="59" t="str">
        <f t="shared" si="171"/>
        <v/>
      </c>
      <c r="Q73" s="60" t="str">
        <f t="shared" si="172"/>
        <v/>
      </c>
      <c r="R73" s="61" t="str">
        <f t="shared" si="195"/>
        <v/>
      </c>
      <c r="S73" s="56" t="str">
        <f t="shared" si="173"/>
        <v/>
      </c>
      <c r="T73" s="62" t="str">
        <f t="shared" si="174"/>
        <v/>
      </c>
      <c r="U73" s="63" t="str">
        <f t="shared" si="175"/>
        <v/>
      </c>
      <c r="V73" s="64" t="str">
        <f t="shared" si="176"/>
        <v/>
      </c>
      <c r="W73" s="65" t="str">
        <f t="shared" si="177"/>
        <v/>
      </c>
      <c r="X73" s="64" t="str">
        <f t="shared" si="178"/>
        <v/>
      </c>
      <c r="Y73" s="64" t="str">
        <f t="shared" si="179"/>
        <v/>
      </c>
      <c r="Z73" s="56" t="str">
        <f t="shared" si="180"/>
        <v/>
      </c>
      <c r="AA73" s="66" t="str">
        <f t="shared" si="181"/>
        <v/>
      </c>
      <c r="AB73" s="57" t="str">
        <f t="shared" si="182"/>
        <v/>
      </c>
      <c r="AC73" s="67" t="str">
        <f t="shared" si="183"/>
        <v/>
      </c>
      <c r="AD73" s="59" t="str">
        <f t="shared" si="184"/>
        <v/>
      </c>
      <c r="AE73" s="68" t="str">
        <f t="shared" si="185"/>
        <v/>
      </c>
      <c r="AF73" s="61" t="str">
        <f t="shared" si="186"/>
        <v/>
      </c>
      <c r="AG73" s="61" t="str">
        <f t="shared" si="187"/>
        <v/>
      </c>
      <c r="AH73" s="69" t="str">
        <f t="shared" si="188"/>
        <v/>
      </c>
      <c r="AI73" s="70" t="str">
        <f t="shared" si="189"/>
        <v/>
      </c>
      <c r="AJ73" s="64" t="str">
        <f t="shared" si="190"/>
        <v/>
      </c>
      <c r="AK73" s="64" t="str">
        <f t="shared" si="191"/>
        <v/>
      </c>
      <c r="AL73" s="64" t="str">
        <f t="shared" si="192"/>
        <v/>
      </c>
      <c r="AM73" s="64" t="str">
        <f t="shared" si="193"/>
        <v/>
      </c>
      <c r="AN73" s="64" t="str">
        <f t="shared" si="194"/>
        <v/>
      </c>
    </row>
    <row r="74" spans="3:40" ht="25.5" outlineLevel="1" thickTop="1" thickBot="1" x14ac:dyDescent="0.4">
      <c r="C74" s="113"/>
      <c r="D74" s="112"/>
      <c r="E74" s="52"/>
      <c r="F74" s="53"/>
      <c r="G74" s="53"/>
      <c r="H74" s="52"/>
      <c r="I74" s="52"/>
      <c r="J74" s="54"/>
      <c r="K74" s="54"/>
      <c r="L74" s="55" t="str">
        <f t="shared" si="167"/>
        <v/>
      </c>
      <c r="M74" s="56" t="str">
        <f t="shared" si="168"/>
        <v/>
      </c>
      <c r="N74" s="57" t="str">
        <f t="shared" si="169"/>
        <v/>
      </c>
      <c r="O74" s="58" t="str">
        <f t="shared" si="170"/>
        <v/>
      </c>
      <c r="P74" s="59" t="str">
        <f t="shared" si="171"/>
        <v/>
      </c>
      <c r="Q74" s="60" t="str">
        <f t="shared" si="172"/>
        <v/>
      </c>
      <c r="R74" s="61" t="str">
        <f t="shared" si="195"/>
        <v/>
      </c>
      <c r="S74" s="56" t="str">
        <f t="shared" si="173"/>
        <v/>
      </c>
      <c r="T74" s="62" t="str">
        <f t="shared" si="174"/>
        <v/>
      </c>
      <c r="U74" s="63" t="str">
        <f t="shared" si="175"/>
        <v/>
      </c>
      <c r="V74" s="64" t="str">
        <f t="shared" si="176"/>
        <v/>
      </c>
      <c r="W74" s="65" t="str">
        <f t="shared" si="177"/>
        <v/>
      </c>
      <c r="X74" s="64" t="str">
        <f t="shared" si="178"/>
        <v/>
      </c>
      <c r="Y74" s="64" t="str">
        <f t="shared" si="179"/>
        <v/>
      </c>
      <c r="Z74" s="56" t="str">
        <f t="shared" si="180"/>
        <v/>
      </c>
      <c r="AA74" s="66" t="str">
        <f t="shared" si="181"/>
        <v/>
      </c>
      <c r="AB74" s="57" t="str">
        <f t="shared" si="182"/>
        <v/>
      </c>
      <c r="AC74" s="67" t="str">
        <f t="shared" si="183"/>
        <v/>
      </c>
      <c r="AD74" s="59" t="str">
        <f t="shared" si="184"/>
        <v/>
      </c>
      <c r="AE74" s="68" t="str">
        <f t="shared" si="185"/>
        <v/>
      </c>
      <c r="AF74" s="61" t="str">
        <f t="shared" si="186"/>
        <v/>
      </c>
      <c r="AG74" s="61" t="str">
        <f t="shared" si="187"/>
        <v/>
      </c>
      <c r="AH74" s="69" t="str">
        <f t="shared" si="188"/>
        <v/>
      </c>
      <c r="AI74" s="70" t="str">
        <f t="shared" si="189"/>
        <v/>
      </c>
      <c r="AJ74" s="64" t="str">
        <f t="shared" si="190"/>
        <v/>
      </c>
      <c r="AK74" s="64" t="str">
        <f t="shared" si="191"/>
        <v/>
      </c>
      <c r="AL74" s="64" t="str">
        <f t="shared" si="192"/>
        <v/>
      </c>
      <c r="AM74" s="64" t="str">
        <f t="shared" si="193"/>
        <v/>
      </c>
      <c r="AN74" s="64" t="str">
        <f t="shared" si="194"/>
        <v/>
      </c>
    </row>
    <row r="75" spans="3:40" ht="25.5" outlineLevel="1" thickTop="1" thickBot="1" x14ac:dyDescent="0.4">
      <c r="C75" s="113"/>
      <c r="D75" s="112"/>
      <c r="E75" s="52"/>
      <c r="F75" s="53"/>
      <c r="G75" s="53"/>
      <c r="H75" s="52"/>
      <c r="I75" s="52"/>
      <c r="J75" s="54"/>
      <c r="K75" s="54"/>
      <c r="L75" s="55" t="str">
        <f t="shared" si="167"/>
        <v/>
      </c>
      <c r="M75" s="56" t="str">
        <f t="shared" si="168"/>
        <v/>
      </c>
      <c r="N75" s="57" t="str">
        <f t="shared" si="169"/>
        <v/>
      </c>
      <c r="O75" s="58" t="str">
        <f t="shared" si="170"/>
        <v/>
      </c>
      <c r="P75" s="59" t="str">
        <f t="shared" si="171"/>
        <v/>
      </c>
      <c r="Q75" s="60" t="str">
        <f t="shared" si="172"/>
        <v/>
      </c>
      <c r="R75" s="61" t="str">
        <f t="shared" si="195"/>
        <v/>
      </c>
      <c r="S75" s="56" t="str">
        <f t="shared" si="173"/>
        <v/>
      </c>
      <c r="T75" s="62" t="str">
        <f t="shared" si="174"/>
        <v/>
      </c>
      <c r="U75" s="63" t="str">
        <f t="shared" si="175"/>
        <v/>
      </c>
      <c r="V75" s="64" t="str">
        <f t="shared" si="176"/>
        <v/>
      </c>
      <c r="W75" s="65" t="str">
        <f t="shared" si="177"/>
        <v/>
      </c>
      <c r="X75" s="64" t="str">
        <f t="shared" si="178"/>
        <v/>
      </c>
      <c r="Y75" s="64" t="str">
        <f t="shared" si="179"/>
        <v/>
      </c>
      <c r="Z75" s="56" t="str">
        <f t="shared" si="180"/>
        <v/>
      </c>
      <c r="AA75" s="66" t="str">
        <f t="shared" si="181"/>
        <v/>
      </c>
      <c r="AB75" s="57" t="str">
        <f t="shared" si="182"/>
        <v/>
      </c>
      <c r="AC75" s="67" t="str">
        <f t="shared" si="183"/>
        <v/>
      </c>
      <c r="AD75" s="59" t="str">
        <f t="shared" si="184"/>
        <v/>
      </c>
      <c r="AE75" s="68" t="str">
        <f t="shared" si="185"/>
        <v/>
      </c>
      <c r="AF75" s="61" t="str">
        <f t="shared" si="186"/>
        <v/>
      </c>
      <c r="AG75" s="61" t="str">
        <f t="shared" si="187"/>
        <v/>
      </c>
      <c r="AH75" s="69" t="str">
        <f t="shared" si="188"/>
        <v/>
      </c>
      <c r="AI75" s="70" t="str">
        <f t="shared" si="189"/>
        <v/>
      </c>
      <c r="AJ75" s="64" t="str">
        <f t="shared" si="190"/>
        <v/>
      </c>
      <c r="AK75" s="64" t="str">
        <f t="shared" si="191"/>
        <v/>
      </c>
      <c r="AL75" s="64" t="str">
        <f t="shared" si="192"/>
        <v/>
      </c>
      <c r="AM75" s="64" t="str">
        <f t="shared" si="193"/>
        <v/>
      </c>
      <c r="AN75" s="64" t="str">
        <f t="shared" si="194"/>
        <v/>
      </c>
    </row>
    <row r="76" spans="3:40" ht="25.5" outlineLevel="1" thickTop="1" thickBot="1" x14ac:dyDescent="0.4">
      <c r="C76" s="113"/>
      <c r="D76" s="112"/>
      <c r="E76" s="52"/>
      <c r="F76" s="53"/>
      <c r="G76" s="53"/>
      <c r="H76" s="52"/>
      <c r="I76" s="52"/>
      <c r="J76" s="54"/>
      <c r="K76" s="54"/>
      <c r="L76" s="55" t="str">
        <f t="shared" si="167"/>
        <v/>
      </c>
      <c r="M76" s="56" t="str">
        <f t="shared" si="168"/>
        <v/>
      </c>
      <c r="N76" s="57" t="str">
        <f t="shared" si="169"/>
        <v/>
      </c>
      <c r="O76" s="58" t="str">
        <f t="shared" si="170"/>
        <v/>
      </c>
      <c r="P76" s="59" t="str">
        <f t="shared" si="171"/>
        <v/>
      </c>
      <c r="Q76" s="60" t="str">
        <f t="shared" si="172"/>
        <v/>
      </c>
      <c r="R76" s="61" t="str">
        <f t="shared" si="195"/>
        <v/>
      </c>
      <c r="S76" s="56" t="str">
        <f t="shared" si="173"/>
        <v/>
      </c>
      <c r="T76" s="62" t="str">
        <f t="shared" si="174"/>
        <v/>
      </c>
      <c r="U76" s="63" t="str">
        <f t="shared" si="175"/>
        <v/>
      </c>
      <c r="V76" s="64" t="str">
        <f t="shared" si="176"/>
        <v/>
      </c>
      <c r="W76" s="65" t="str">
        <f t="shared" si="177"/>
        <v/>
      </c>
      <c r="X76" s="64" t="str">
        <f t="shared" si="178"/>
        <v/>
      </c>
      <c r="Y76" s="64" t="str">
        <f t="shared" si="179"/>
        <v/>
      </c>
      <c r="Z76" s="56" t="str">
        <f t="shared" si="180"/>
        <v/>
      </c>
      <c r="AA76" s="66" t="str">
        <f t="shared" si="181"/>
        <v/>
      </c>
      <c r="AB76" s="57" t="str">
        <f t="shared" si="182"/>
        <v/>
      </c>
      <c r="AC76" s="67" t="str">
        <f t="shared" si="183"/>
        <v/>
      </c>
      <c r="AD76" s="59" t="str">
        <f t="shared" si="184"/>
        <v/>
      </c>
      <c r="AE76" s="68" t="str">
        <f t="shared" si="185"/>
        <v/>
      </c>
      <c r="AF76" s="61" t="str">
        <f t="shared" si="186"/>
        <v/>
      </c>
      <c r="AG76" s="61" t="str">
        <f t="shared" si="187"/>
        <v/>
      </c>
      <c r="AH76" s="69" t="str">
        <f t="shared" si="188"/>
        <v/>
      </c>
      <c r="AI76" s="70" t="str">
        <f t="shared" si="189"/>
        <v/>
      </c>
      <c r="AJ76" s="64" t="str">
        <f t="shared" si="190"/>
        <v/>
      </c>
      <c r="AK76" s="64" t="str">
        <f t="shared" si="191"/>
        <v/>
      </c>
      <c r="AL76" s="64" t="str">
        <f t="shared" si="192"/>
        <v/>
      </c>
      <c r="AM76" s="64" t="str">
        <f t="shared" si="193"/>
        <v/>
      </c>
      <c r="AN76" s="64" t="str">
        <f t="shared" si="194"/>
        <v/>
      </c>
    </row>
    <row r="77" spans="3:40" ht="25.5" outlineLevel="1" thickTop="1" thickBot="1" x14ac:dyDescent="0.4">
      <c r="C77" s="113"/>
      <c r="D77" s="112"/>
      <c r="E77" s="52"/>
      <c r="F77" s="53"/>
      <c r="G77" s="53"/>
      <c r="H77" s="52"/>
      <c r="I77" s="52"/>
      <c r="J77" s="54"/>
      <c r="K77" s="54"/>
      <c r="L77" s="55" t="str">
        <f t="shared" si="145"/>
        <v/>
      </c>
      <c r="M77" s="56" t="str">
        <f t="shared" si="146"/>
        <v/>
      </c>
      <c r="N77" s="57" t="str">
        <f t="shared" si="2"/>
        <v/>
      </c>
      <c r="O77" s="58" t="str">
        <f t="shared" si="147"/>
        <v/>
      </c>
      <c r="P77" s="59" t="str">
        <f t="shared" si="4"/>
        <v/>
      </c>
      <c r="Q77" s="60" t="str">
        <f t="shared" si="148"/>
        <v/>
      </c>
      <c r="R77" s="61" t="str">
        <f t="shared" ref="R77:R94" si="196">IF(N77="Do",10,IF(N77="Re",22,IF(N77="Mi",20,IF(N77="Fa",20,IF(N77="Sol",14,IF(N77="La",20,IF(N77="Si",20,IF(N77="Do#",14,IF(N77="Fa#",15,IF(N77="Sol#",20,IF(N77="Si♭",17,"")))))))))))</f>
        <v/>
      </c>
      <c r="S77" s="56" t="str">
        <f t="shared" si="149"/>
        <v/>
      </c>
      <c r="T77" s="62" t="str">
        <f t="shared" si="150"/>
        <v/>
      </c>
      <c r="U77" s="63" t="str">
        <f t="shared" si="9"/>
        <v/>
      </c>
      <c r="V77" s="64" t="str">
        <f t="shared" si="151"/>
        <v/>
      </c>
      <c r="W77" s="65" t="str">
        <f t="shared" si="11"/>
        <v/>
      </c>
      <c r="X77" s="64" t="str">
        <f t="shared" si="152"/>
        <v/>
      </c>
      <c r="Y77" s="64" t="str">
        <f t="shared" si="153"/>
        <v/>
      </c>
      <c r="Z77" s="56" t="str">
        <f t="shared" si="154"/>
        <v/>
      </c>
      <c r="AA77" s="66" t="str">
        <f t="shared" si="155"/>
        <v/>
      </c>
      <c r="AB77" s="57" t="str">
        <f t="shared" si="16"/>
        <v/>
      </c>
      <c r="AC77" s="67" t="str">
        <f t="shared" si="156"/>
        <v/>
      </c>
      <c r="AD77" s="59" t="str">
        <f t="shared" si="157"/>
        <v/>
      </c>
      <c r="AE77" s="68" t="str">
        <f t="shared" si="158"/>
        <v/>
      </c>
      <c r="AF77" s="61" t="str">
        <f t="shared" si="159"/>
        <v/>
      </c>
      <c r="AG77" s="61" t="str">
        <f t="shared" si="160"/>
        <v/>
      </c>
      <c r="AH77" s="69" t="str">
        <f t="shared" si="161"/>
        <v/>
      </c>
      <c r="AI77" s="70" t="str">
        <f t="shared" si="23"/>
        <v/>
      </c>
      <c r="AJ77" s="64" t="str">
        <f t="shared" si="162"/>
        <v/>
      </c>
      <c r="AK77" s="64" t="str">
        <f t="shared" si="163"/>
        <v/>
      </c>
      <c r="AL77" s="64" t="str">
        <f t="shared" si="164"/>
        <v/>
      </c>
      <c r="AM77" s="64" t="str">
        <f t="shared" si="165"/>
        <v/>
      </c>
      <c r="AN77" s="64" t="str">
        <f t="shared" si="166"/>
        <v/>
      </c>
    </row>
    <row r="78" spans="3:40" ht="25.5" outlineLevel="1" thickTop="1" thickBot="1" x14ac:dyDescent="0.4">
      <c r="C78" s="113"/>
      <c r="D78" s="112"/>
      <c r="E78" s="52"/>
      <c r="F78" s="53"/>
      <c r="G78" s="53"/>
      <c r="H78" s="52"/>
      <c r="I78" s="52"/>
      <c r="J78" s="54"/>
      <c r="K78" s="54"/>
      <c r="L78" s="55" t="str">
        <f t="shared" si="145"/>
        <v/>
      </c>
      <c r="M78" s="56" t="str">
        <f t="shared" si="146"/>
        <v/>
      </c>
      <c r="N78" s="57" t="str">
        <f t="shared" si="2"/>
        <v/>
      </c>
      <c r="O78" s="58" t="str">
        <f t="shared" si="147"/>
        <v/>
      </c>
      <c r="P78" s="59" t="str">
        <f t="shared" si="4"/>
        <v/>
      </c>
      <c r="Q78" s="60" t="str">
        <f t="shared" si="148"/>
        <v/>
      </c>
      <c r="R78" s="61" t="str">
        <f t="shared" si="196"/>
        <v/>
      </c>
      <c r="S78" s="56" t="str">
        <f t="shared" si="149"/>
        <v/>
      </c>
      <c r="T78" s="62" t="str">
        <f t="shared" si="150"/>
        <v/>
      </c>
      <c r="U78" s="63" t="str">
        <f t="shared" si="9"/>
        <v/>
      </c>
      <c r="V78" s="64" t="str">
        <f t="shared" si="151"/>
        <v/>
      </c>
      <c r="W78" s="65" t="str">
        <f t="shared" si="11"/>
        <v/>
      </c>
      <c r="X78" s="64" t="str">
        <f t="shared" si="152"/>
        <v/>
      </c>
      <c r="Y78" s="64" t="str">
        <f t="shared" si="153"/>
        <v/>
      </c>
      <c r="Z78" s="56" t="str">
        <f t="shared" si="154"/>
        <v/>
      </c>
      <c r="AA78" s="66" t="str">
        <f t="shared" si="155"/>
        <v/>
      </c>
      <c r="AB78" s="57" t="str">
        <f t="shared" si="16"/>
        <v/>
      </c>
      <c r="AC78" s="67" t="str">
        <f t="shared" si="156"/>
        <v/>
      </c>
      <c r="AD78" s="59" t="str">
        <f t="shared" si="157"/>
        <v/>
      </c>
      <c r="AE78" s="68" t="str">
        <f t="shared" si="158"/>
        <v/>
      </c>
      <c r="AF78" s="61" t="str">
        <f t="shared" si="159"/>
        <v/>
      </c>
      <c r="AG78" s="61" t="str">
        <f t="shared" si="160"/>
        <v/>
      </c>
      <c r="AH78" s="69" t="str">
        <f t="shared" si="161"/>
        <v/>
      </c>
      <c r="AI78" s="70" t="str">
        <f t="shared" si="23"/>
        <v/>
      </c>
      <c r="AJ78" s="64" t="str">
        <f t="shared" si="162"/>
        <v/>
      </c>
      <c r="AK78" s="64" t="str">
        <f t="shared" si="163"/>
        <v/>
      </c>
      <c r="AL78" s="64" t="str">
        <f t="shared" si="164"/>
        <v/>
      </c>
      <c r="AM78" s="64" t="str">
        <f t="shared" si="165"/>
        <v/>
      </c>
      <c r="AN78" s="64" t="str">
        <f t="shared" si="166"/>
        <v/>
      </c>
    </row>
    <row r="79" spans="3:40" ht="25.5" outlineLevel="1" thickTop="1" thickBot="1" x14ac:dyDescent="0.4">
      <c r="C79" s="113"/>
      <c r="D79" s="112"/>
      <c r="E79" s="52"/>
      <c r="F79" s="53"/>
      <c r="G79" s="53"/>
      <c r="H79" s="52"/>
      <c r="I79" s="52"/>
      <c r="J79" s="54"/>
      <c r="K79" s="54"/>
      <c r="L79" s="55" t="str">
        <f t="shared" si="145"/>
        <v/>
      </c>
      <c r="M79" s="56" t="str">
        <f t="shared" si="146"/>
        <v/>
      </c>
      <c r="N79" s="57" t="str">
        <f t="shared" si="2"/>
        <v/>
      </c>
      <c r="O79" s="58" t="str">
        <f t="shared" si="147"/>
        <v/>
      </c>
      <c r="P79" s="59" t="str">
        <f t="shared" si="4"/>
        <v/>
      </c>
      <c r="Q79" s="60" t="str">
        <f t="shared" si="148"/>
        <v/>
      </c>
      <c r="R79" s="61" t="str">
        <f t="shared" si="196"/>
        <v/>
      </c>
      <c r="S79" s="56" t="str">
        <f t="shared" si="149"/>
        <v/>
      </c>
      <c r="T79" s="62" t="str">
        <f t="shared" si="150"/>
        <v/>
      </c>
      <c r="U79" s="63" t="str">
        <f t="shared" si="9"/>
        <v/>
      </c>
      <c r="V79" s="64" t="str">
        <f t="shared" si="151"/>
        <v/>
      </c>
      <c r="W79" s="65" t="str">
        <f t="shared" si="11"/>
        <v/>
      </c>
      <c r="X79" s="64" t="str">
        <f t="shared" si="152"/>
        <v/>
      </c>
      <c r="Y79" s="64" t="str">
        <f t="shared" si="153"/>
        <v/>
      </c>
      <c r="Z79" s="56" t="str">
        <f t="shared" si="154"/>
        <v/>
      </c>
      <c r="AA79" s="66" t="str">
        <f t="shared" si="155"/>
        <v/>
      </c>
      <c r="AB79" s="57" t="str">
        <f t="shared" si="16"/>
        <v/>
      </c>
      <c r="AC79" s="67" t="str">
        <f t="shared" si="156"/>
        <v/>
      </c>
      <c r="AD79" s="59" t="str">
        <f t="shared" si="157"/>
        <v/>
      </c>
      <c r="AE79" s="68" t="str">
        <f t="shared" si="158"/>
        <v/>
      </c>
      <c r="AF79" s="61" t="str">
        <f t="shared" si="159"/>
        <v/>
      </c>
      <c r="AG79" s="61" t="str">
        <f t="shared" si="160"/>
        <v/>
      </c>
      <c r="AH79" s="69" t="str">
        <f t="shared" si="161"/>
        <v/>
      </c>
      <c r="AI79" s="70" t="str">
        <f t="shared" si="23"/>
        <v/>
      </c>
      <c r="AJ79" s="64" t="str">
        <f t="shared" si="162"/>
        <v/>
      </c>
      <c r="AK79" s="64" t="str">
        <f t="shared" si="163"/>
        <v/>
      </c>
      <c r="AL79" s="64" t="str">
        <f t="shared" si="164"/>
        <v/>
      </c>
      <c r="AM79" s="64" t="str">
        <f t="shared" si="165"/>
        <v/>
      </c>
      <c r="AN79" s="64" t="str">
        <f t="shared" si="166"/>
        <v/>
      </c>
    </row>
    <row r="80" spans="3:40" ht="25.5" outlineLevel="1" thickTop="1" thickBot="1" x14ac:dyDescent="0.4">
      <c r="C80" s="113"/>
      <c r="D80" s="112"/>
      <c r="E80" s="52"/>
      <c r="F80" s="53"/>
      <c r="G80" s="53"/>
      <c r="H80" s="52"/>
      <c r="I80" s="52"/>
      <c r="J80" s="54"/>
      <c r="K80" s="54"/>
      <c r="L80" s="55" t="str">
        <f t="shared" si="145"/>
        <v/>
      </c>
      <c r="M80" s="56" t="str">
        <f t="shared" si="146"/>
        <v/>
      </c>
      <c r="N80" s="57" t="str">
        <f t="shared" si="2"/>
        <v/>
      </c>
      <c r="O80" s="58" t="str">
        <f t="shared" si="147"/>
        <v/>
      </c>
      <c r="P80" s="59" t="str">
        <f t="shared" si="4"/>
        <v/>
      </c>
      <c r="Q80" s="60" t="str">
        <f t="shared" si="148"/>
        <v/>
      </c>
      <c r="R80" s="61" t="str">
        <f t="shared" si="196"/>
        <v/>
      </c>
      <c r="S80" s="56" t="str">
        <f t="shared" si="149"/>
        <v/>
      </c>
      <c r="T80" s="62" t="str">
        <f t="shared" si="150"/>
        <v/>
      </c>
      <c r="U80" s="63" t="str">
        <f t="shared" si="9"/>
        <v/>
      </c>
      <c r="V80" s="64" t="str">
        <f t="shared" si="151"/>
        <v/>
      </c>
      <c r="W80" s="65" t="str">
        <f t="shared" si="11"/>
        <v/>
      </c>
      <c r="X80" s="64" t="str">
        <f t="shared" si="152"/>
        <v/>
      </c>
      <c r="Y80" s="64" t="str">
        <f t="shared" si="153"/>
        <v/>
      </c>
      <c r="Z80" s="56" t="str">
        <f t="shared" si="154"/>
        <v/>
      </c>
      <c r="AA80" s="66" t="str">
        <f t="shared" si="155"/>
        <v/>
      </c>
      <c r="AB80" s="57" t="str">
        <f t="shared" si="16"/>
        <v/>
      </c>
      <c r="AC80" s="67" t="str">
        <f t="shared" si="156"/>
        <v/>
      </c>
      <c r="AD80" s="59" t="str">
        <f t="shared" si="157"/>
        <v/>
      </c>
      <c r="AE80" s="68" t="str">
        <f t="shared" si="158"/>
        <v/>
      </c>
      <c r="AF80" s="61" t="str">
        <f t="shared" si="159"/>
        <v/>
      </c>
      <c r="AG80" s="61" t="str">
        <f t="shared" si="160"/>
        <v/>
      </c>
      <c r="AH80" s="69" t="str">
        <f t="shared" si="161"/>
        <v/>
      </c>
      <c r="AI80" s="70" t="str">
        <f t="shared" si="23"/>
        <v/>
      </c>
      <c r="AJ80" s="64" t="str">
        <f t="shared" si="162"/>
        <v/>
      </c>
      <c r="AK80" s="64" t="str">
        <f t="shared" si="163"/>
        <v/>
      </c>
      <c r="AL80" s="64" t="str">
        <f t="shared" si="164"/>
        <v/>
      </c>
      <c r="AM80" s="64" t="str">
        <f t="shared" si="165"/>
        <v/>
      </c>
      <c r="AN80" s="64" t="str">
        <f t="shared" si="166"/>
        <v/>
      </c>
    </row>
    <row r="81" spans="3:40" ht="25.5" outlineLevel="1" thickTop="1" thickBot="1" x14ac:dyDescent="0.4">
      <c r="C81" s="113"/>
      <c r="D81" s="112"/>
      <c r="E81" s="52"/>
      <c r="F81" s="53"/>
      <c r="G81" s="53"/>
      <c r="H81" s="52"/>
      <c r="I81" s="52"/>
      <c r="J81" s="54"/>
      <c r="K81" s="54"/>
      <c r="L81" s="55" t="str">
        <f t="shared" si="145"/>
        <v/>
      </c>
      <c r="M81" s="56" t="str">
        <f t="shared" si="146"/>
        <v/>
      </c>
      <c r="N81" s="57" t="str">
        <f t="shared" si="2"/>
        <v/>
      </c>
      <c r="O81" s="58" t="str">
        <f t="shared" si="147"/>
        <v/>
      </c>
      <c r="P81" s="59" t="str">
        <f t="shared" si="4"/>
        <v/>
      </c>
      <c r="Q81" s="60" t="str">
        <f t="shared" si="148"/>
        <v/>
      </c>
      <c r="R81" s="61" t="str">
        <f t="shared" si="196"/>
        <v/>
      </c>
      <c r="S81" s="56" t="str">
        <f t="shared" si="149"/>
        <v/>
      </c>
      <c r="T81" s="62" t="str">
        <f t="shared" si="150"/>
        <v/>
      </c>
      <c r="U81" s="63" t="str">
        <f t="shared" si="9"/>
        <v/>
      </c>
      <c r="V81" s="64" t="str">
        <f t="shared" si="151"/>
        <v/>
      </c>
      <c r="W81" s="65" t="str">
        <f t="shared" si="11"/>
        <v/>
      </c>
      <c r="X81" s="64" t="str">
        <f t="shared" si="152"/>
        <v/>
      </c>
      <c r="Y81" s="64" t="str">
        <f t="shared" si="153"/>
        <v/>
      </c>
      <c r="Z81" s="56" t="str">
        <f t="shared" si="154"/>
        <v/>
      </c>
      <c r="AA81" s="66" t="str">
        <f t="shared" si="155"/>
        <v/>
      </c>
      <c r="AB81" s="57" t="str">
        <f t="shared" si="16"/>
        <v/>
      </c>
      <c r="AC81" s="67" t="str">
        <f t="shared" si="156"/>
        <v/>
      </c>
      <c r="AD81" s="59" t="str">
        <f t="shared" si="157"/>
        <v/>
      </c>
      <c r="AE81" s="68" t="str">
        <f t="shared" si="158"/>
        <v/>
      </c>
      <c r="AF81" s="61" t="str">
        <f t="shared" si="159"/>
        <v/>
      </c>
      <c r="AG81" s="61" t="str">
        <f t="shared" si="160"/>
        <v/>
      </c>
      <c r="AH81" s="69" t="str">
        <f t="shared" si="161"/>
        <v/>
      </c>
      <c r="AI81" s="70" t="str">
        <f t="shared" si="23"/>
        <v/>
      </c>
      <c r="AJ81" s="64" t="str">
        <f t="shared" si="162"/>
        <v/>
      </c>
      <c r="AK81" s="64" t="str">
        <f t="shared" si="163"/>
        <v/>
      </c>
      <c r="AL81" s="64" t="str">
        <f t="shared" si="164"/>
        <v/>
      </c>
      <c r="AM81" s="64" t="str">
        <f t="shared" si="165"/>
        <v/>
      </c>
      <c r="AN81" s="64" t="str">
        <f t="shared" si="166"/>
        <v/>
      </c>
    </row>
    <row r="82" spans="3:40" ht="25.5" outlineLevel="1" thickTop="1" thickBot="1" x14ac:dyDescent="0.4">
      <c r="C82" s="113"/>
      <c r="D82" s="112"/>
      <c r="E82" s="52"/>
      <c r="F82" s="53"/>
      <c r="G82" s="53"/>
      <c r="H82" s="52"/>
      <c r="I82" s="52"/>
      <c r="J82" s="54"/>
      <c r="K82" s="54"/>
      <c r="L82" s="55" t="str">
        <f t="shared" si="145"/>
        <v/>
      </c>
      <c r="M82" s="56" t="str">
        <f t="shared" si="146"/>
        <v/>
      </c>
      <c r="N82" s="57" t="str">
        <f t="shared" si="2"/>
        <v/>
      </c>
      <c r="O82" s="58" t="str">
        <f t="shared" si="147"/>
        <v/>
      </c>
      <c r="P82" s="59" t="str">
        <f t="shared" si="4"/>
        <v/>
      </c>
      <c r="Q82" s="60" t="str">
        <f t="shared" si="148"/>
        <v/>
      </c>
      <c r="R82" s="61" t="str">
        <f t="shared" si="196"/>
        <v/>
      </c>
      <c r="S82" s="56" t="str">
        <f t="shared" si="149"/>
        <v/>
      </c>
      <c r="T82" s="62" t="str">
        <f t="shared" si="150"/>
        <v/>
      </c>
      <c r="U82" s="63" t="str">
        <f t="shared" si="9"/>
        <v/>
      </c>
      <c r="V82" s="64" t="str">
        <f t="shared" si="151"/>
        <v/>
      </c>
      <c r="W82" s="65" t="str">
        <f t="shared" si="11"/>
        <v/>
      </c>
      <c r="X82" s="64" t="str">
        <f t="shared" si="152"/>
        <v/>
      </c>
      <c r="Y82" s="64" t="str">
        <f t="shared" si="153"/>
        <v/>
      </c>
      <c r="Z82" s="56" t="str">
        <f t="shared" si="154"/>
        <v/>
      </c>
      <c r="AA82" s="66" t="str">
        <f t="shared" si="155"/>
        <v/>
      </c>
      <c r="AB82" s="57" t="str">
        <f t="shared" si="16"/>
        <v/>
      </c>
      <c r="AC82" s="67" t="str">
        <f t="shared" si="156"/>
        <v/>
      </c>
      <c r="AD82" s="59" t="str">
        <f t="shared" si="157"/>
        <v/>
      </c>
      <c r="AE82" s="68" t="str">
        <f t="shared" si="158"/>
        <v/>
      </c>
      <c r="AF82" s="61" t="str">
        <f t="shared" si="159"/>
        <v/>
      </c>
      <c r="AG82" s="61" t="str">
        <f t="shared" si="160"/>
        <v/>
      </c>
      <c r="AH82" s="69" t="str">
        <f t="shared" si="161"/>
        <v/>
      </c>
      <c r="AI82" s="70" t="str">
        <f t="shared" si="23"/>
        <v/>
      </c>
      <c r="AJ82" s="64" t="str">
        <f t="shared" si="162"/>
        <v/>
      </c>
      <c r="AK82" s="64" t="str">
        <f t="shared" si="163"/>
        <v/>
      </c>
      <c r="AL82" s="64" t="str">
        <f t="shared" si="164"/>
        <v/>
      </c>
      <c r="AM82" s="64" t="str">
        <f t="shared" si="165"/>
        <v/>
      </c>
      <c r="AN82" s="64" t="str">
        <f t="shared" si="166"/>
        <v/>
      </c>
    </row>
    <row r="83" spans="3:40" ht="25.5" outlineLevel="1" thickTop="1" thickBot="1" x14ac:dyDescent="0.4">
      <c r="C83" s="113"/>
      <c r="D83" s="112"/>
      <c r="E83" s="52"/>
      <c r="F83" s="53"/>
      <c r="G83" s="53"/>
      <c r="H83" s="52"/>
      <c r="I83" s="52"/>
      <c r="J83" s="54"/>
      <c r="K83" s="54"/>
      <c r="L83" s="55" t="str">
        <f t="shared" si="145"/>
        <v/>
      </c>
      <c r="M83" s="56" t="str">
        <f t="shared" si="146"/>
        <v/>
      </c>
      <c r="N83" s="57" t="str">
        <f t="shared" si="2"/>
        <v/>
      </c>
      <c r="O83" s="58" t="str">
        <f t="shared" si="147"/>
        <v/>
      </c>
      <c r="P83" s="59" t="str">
        <f t="shared" si="4"/>
        <v/>
      </c>
      <c r="Q83" s="60" t="str">
        <f t="shared" si="148"/>
        <v/>
      </c>
      <c r="R83" s="61" t="str">
        <f t="shared" si="196"/>
        <v/>
      </c>
      <c r="S83" s="56" t="str">
        <f t="shared" si="149"/>
        <v/>
      </c>
      <c r="T83" s="62" t="str">
        <f t="shared" si="150"/>
        <v/>
      </c>
      <c r="U83" s="63" t="str">
        <f t="shared" si="9"/>
        <v/>
      </c>
      <c r="V83" s="64" t="str">
        <f t="shared" si="151"/>
        <v/>
      </c>
      <c r="W83" s="65" t="str">
        <f t="shared" si="11"/>
        <v/>
      </c>
      <c r="X83" s="64" t="str">
        <f t="shared" si="152"/>
        <v/>
      </c>
      <c r="Y83" s="64" t="str">
        <f t="shared" si="153"/>
        <v/>
      </c>
      <c r="Z83" s="56" t="str">
        <f t="shared" si="154"/>
        <v/>
      </c>
      <c r="AA83" s="66" t="str">
        <f t="shared" si="155"/>
        <v/>
      </c>
      <c r="AB83" s="57" t="str">
        <f t="shared" si="16"/>
        <v/>
      </c>
      <c r="AC83" s="67" t="str">
        <f t="shared" si="156"/>
        <v/>
      </c>
      <c r="AD83" s="59" t="str">
        <f t="shared" si="157"/>
        <v/>
      </c>
      <c r="AE83" s="68" t="str">
        <f t="shared" si="158"/>
        <v/>
      </c>
      <c r="AF83" s="61" t="str">
        <f t="shared" si="159"/>
        <v/>
      </c>
      <c r="AG83" s="61" t="str">
        <f t="shared" si="160"/>
        <v/>
      </c>
      <c r="AH83" s="69" t="str">
        <f t="shared" si="161"/>
        <v/>
      </c>
      <c r="AI83" s="70" t="str">
        <f t="shared" si="23"/>
        <v/>
      </c>
      <c r="AJ83" s="64" t="str">
        <f t="shared" si="162"/>
        <v/>
      </c>
      <c r="AK83" s="64" t="str">
        <f t="shared" si="163"/>
        <v/>
      </c>
      <c r="AL83" s="64" t="str">
        <f t="shared" si="164"/>
        <v/>
      </c>
      <c r="AM83" s="64" t="str">
        <f t="shared" si="165"/>
        <v/>
      </c>
      <c r="AN83" s="64" t="str">
        <f t="shared" si="166"/>
        <v/>
      </c>
    </row>
    <row r="84" spans="3:40" ht="25.5" outlineLevel="1" thickTop="1" thickBot="1" x14ac:dyDescent="0.4">
      <c r="C84" s="113"/>
      <c r="D84" s="112"/>
      <c r="E84" s="52"/>
      <c r="F84" s="53"/>
      <c r="G84" s="53"/>
      <c r="H84" s="52"/>
      <c r="I84" s="52"/>
      <c r="J84" s="54"/>
      <c r="K84" s="54"/>
      <c r="L84" s="55" t="str">
        <f t="shared" si="145"/>
        <v/>
      </c>
      <c r="M84" s="56" t="str">
        <f t="shared" si="146"/>
        <v/>
      </c>
      <c r="N84" s="57" t="str">
        <f t="shared" si="2"/>
        <v/>
      </c>
      <c r="O84" s="58" t="str">
        <f t="shared" si="147"/>
        <v/>
      </c>
      <c r="P84" s="59" t="str">
        <f t="shared" si="4"/>
        <v/>
      </c>
      <c r="Q84" s="60" t="str">
        <f t="shared" si="148"/>
        <v/>
      </c>
      <c r="R84" s="61" t="str">
        <f t="shared" si="196"/>
        <v/>
      </c>
      <c r="S84" s="56" t="str">
        <f t="shared" si="149"/>
        <v/>
      </c>
      <c r="T84" s="62" t="str">
        <f t="shared" si="150"/>
        <v/>
      </c>
      <c r="U84" s="63" t="str">
        <f t="shared" si="9"/>
        <v/>
      </c>
      <c r="V84" s="64" t="str">
        <f t="shared" si="151"/>
        <v/>
      </c>
      <c r="W84" s="65" t="str">
        <f t="shared" si="11"/>
        <v/>
      </c>
      <c r="X84" s="64" t="str">
        <f t="shared" si="152"/>
        <v/>
      </c>
      <c r="Y84" s="64" t="str">
        <f t="shared" si="153"/>
        <v/>
      </c>
      <c r="Z84" s="56" t="str">
        <f t="shared" si="154"/>
        <v/>
      </c>
      <c r="AA84" s="66" t="str">
        <f t="shared" si="155"/>
        <v/>
      </c>
      <c r="AB84" s="57" t="str">
        <f t="shared" si="16"/>
        <v/>
      </c>
      <c r="AC84" s="67" t="str">
        <f t="shared" si="156"/>
        <v/>
      </c>
      <c r="AD84" s="59" t="str">
        <f t="shared" si="157"/>
        <v/>
      </c>
      <c r="AE84" s="68" t="str">
        <f t="shared" si="158"/>
        <v/>
      </c>
      <c r="AF84" s="61" t="str">
        <f t="shared" si="159"/>
        <v/>
      </c>
      <c r="AG84" s="61" t="str">
        <f t="shared" si="160"/>
        <v/>
      </c>
      <c r="AH84" s="69" t="str">
        <f t="shared" si="161"/>
        <v/>
      </c>
      <c r="AI84" s="70" t="str">
        <f t="shared" si="23"/>
        <v/>
      </c>
      <c r="AJ84" s="64" t="str">
        <f t="shared" si="162"/>
        <v/>
      </c>
      <c r="AK84" s="64" t="str">
        <f t="shared" si="163"/>
        <v/>
      </c>
      <c r="AL84" s="64" t="str">
        <f t="shared" si="164"/>
        <v/>
      </c>
      <c r="AM84" s="64" t="str">
        <f t="shared" si="165"/>
        <v/>
      </c>
      <c r="AN84" s="64" t="str">
        <f t="shared" si="166"/>
        <v/>
      </c>
    </row>
    <row r="85" spans="3:40" ht="25.5" outlineLevel="1" thickTop="1" thickBot="1" x14ac:dyDescent="0.4">
      <c r="C85" s="113"/>
      <c r="D85" s="112"/>
      <c r="E85" s="52"/>
      <c r="F85" s="53"/>
      <c r="G85" s="53"/>
      <c r="H85" s="52"/>
      <c r="I85" s="52"/>
      <c r="J85" s="54"/>
      <c r="K85" s="54"/>
      <c r="L85" s="55" t="str">
        <f t="shared" si="145"/>
        <v/>
      </c>
      <c r="M85" s="56" t="str">
        <f t="shared" si="146"/>
        <v/>
      </c>
      <c r="N85" s="57" t="str">
        <f t="shared" si="2"/>
        <v/>
      </c>
      <c r="O85" s="58" t="str">
        <f t="shared" si="147"/>
        <v/>
      </c>
      <c r="P85" s="59" t="str">
        <f t="shared" si="4"/>
        <v/>
      </c>
      <c r="Q85" s="60" t="str">
        <f t="shared" si="148"/>
        <v/>
      </c>
      <c r="R85" s="61" t="str">
        <f t="shared" si="196"/>
        <v/>
      </c>
      <c r="S85" s="56" t="str">
        <f t="shared" si="149"/>
        <v/>
      </c>
      <c r="T85" s="62" t="str">
        <f t="shared" si="150"/>
        <v/>
      </c>
      <c r="U85" s="63" t="str">
        <f t="shared" si="9"/>
        <v/>
      </c>
      <c r="V85" s="64" t="str">
        <f t="shared" si="151"/>
        <v/>
      </c>
      <c r="W85" s="65" t="str">
        <f t="shared" si="11"/>
        <v/>
      </c>
      <c r="X85" s="64" t="str">
        <f t="shared" si="152"/>
        <v/>
      </c>
      <c r="Y85" s="64" t="str">
        <f t="shared" si="153"/>
        <v/>
      </c>
      <c r="Z85" s="56" t="str">
        <f t="shared" si="154"/>
        <v/>
      </c>
      <c r="AA85" s="66" t="str">
        <f t="shared" si="155"/>
        <v/>
      </c>
      <c r="AB85" s="57" t="str">
        <f t="shared" si="16"/>
        <v/>
      </c>
      <c r="AC85" s="67" t="str">
        <f t="shared" si="156"/>
        <v/>
      </c>
      <c r="AD85" s="59" t="str">
        <f t="shared" si="157"/>
        <v/>
      </c>
      <c r="AE85" s="68" t="str">
        <f t="shared" si="158"/>
        <v/>
      </c>
      <c r="AF85" s="61" t="str">
        <f t="shared" si="159"/>
        <v/>
      </c>
      <c r="AG85" s="61" t="str">
        <f t="shared" si="160"/>
        <v/>
      </c>
      <c r="AH85" s="69" t="str">
        <f t="shared" si="161"/>
        <v/>
      </c>
      <c r="AI85" s="70" t="str">
        <f t="shared" si="23"/>
        <v/>
      </c>
      <c r="AJ85" s="64" t="str">
        <f t="shared" si="162"/>
        <v/>
      </c>
      <c r="AK85" s="64" t="str">
        <f t="shared" si="163"/>
        <v/>
      </c>
      <c r="AL85" s="64" t="str">
        <f t="shared" si="164"/>
        <v/>
      </c>
      <c r="AM85" s="64" t="str">
        <f t="shared" si="165"/>
        <v/>
      </c>
      <c r="AN85" s="64" t="str">
        <f t="shared" si="166"/>
        <v/>
      </c>
    </row>
    <row r="86" spans="3:40" ht="25.5" outlineLevel="1" thickTop="1" thickBot="1" x14ac:dyDescent="0.4">
      <c r="C86" s="113"/>
      <c r="D86" s="112"/>
      <c r="E86" s="52"/>
      <c r="F86" s="53"/>
      <c r="G86" s="53"/>
      <c r="H86" s="52"/>
      <c r="I86" s="52"/>
      <c r="J86" s="54"/>
      <c r="K86" s="54"/>
      <c r="L86" s="55" t="str">
        <f t="shared" si="145"/>
        <v/>
      </c>
      <c r="M86" s="56" t="str">
        <f t="shared" si="146"/>
        <v/>
      </c>
      <c r="N86" s="57" t="str">
        <f t="shared" si="2"/>
        <v/>
      </c>
      <c r="O86" s="58" t="str">
        <f t="shared" si="147"/>
        <v/>
      </c>
      <c r="P86" s="59" t="str">
        <f t="shared" si="4"/>
        <v/>
      </c>
      <c r="Q86" s="60" t="str">
        <f t="shared" si="148"/>
        <v/>
      </c>
      <c r="R86" s="61" t="str">
        <f t="shared" si="196"/>
        <v/>
      </c>
      <c r="S86" s="56" t="str">
        <f t="shared" si="149"/>
        <v/>
      </c>
      <c r="T86" s="62" t="str">
        <f t="shared" si="150"/>
        <v/>
      </c>
      <c r="U86" s="63" t="str">
        <f t="shared" si="9"/>
        <v/>
      </c>
      <c r="V86" s="64" t="str">
        <f t="shared" si="151"/>
        <v/>
      </c>
      <c r="W86" s="65" t="str">
        <f t="shared" si="11"/>
        <v/>
      </c>
      <c r="X86" s="64" t="str">
        <f t="shared" si="152"/>
        <v/>
      </c>
      <c r="Y86" s="64" t="str">
        <f t="shared" si="153"/>
        <v/>
      </c>
      <c r="Z86" s="56" t="str">
        <f t="shared" si="154"/>
        <v/>
      </c>
      <c r="AA86" s="66" t="str">
        <f t="shared" si="155"/>
        <v/>
      </c>
      <c r="AB86" s="57" t="str">
        <f t="shared" si="16"/>
        <v/>
      </c>
      <c r="AC86" s="67" t="str">
        <f t="shared" si="156"/>
        <v/>
      </c>
      <c r="AD86" s="59" t="str">
        <f t="shared" si="157"/>
        <v/>
      </c>
      <c r="AE86" s="68" t="str">
        <f t="shared" si="158"/>
        <v/>
      </c>
      <c r="AF86" s="61" t="str">
        <f t="shared" si="159"/>
        <v/>
      </c>
      <c r="AG86" s="61" t="str">
        <f t="shared" si="160"/>
        <v/>
      </c>
      <c r="AH86" s="69" t="str">
        <f t="shared" si="161"/>
        <v/>
      </c>
      <c r="AI86" s="70" t="str">
        <f t="shared" si="23"/>
        <v/>
      </c>
      <c r="AJ86" s="64" t="str">
        <f t="shared" si="162"/>
        <v/>
      </c>
      <c r="AK86" s="64" t="str">
        <f t="shared" si="163"/>
        <v/>
      </c>
      <c r="AL86" s="64" t="str">
        <f t="shared" si="164"/>
        <v/>
      </c>
      <c r="AM86" s="64" t="str">
        <f t="shared" si="165"/>
        <v/>
      </c>
      <c r="AN86" s="64" t="str">
        <f t="shared" si="166"/>
        <v/>
      </c>
    </row>
    <row r="87" spans="3:40" ht="25.5" outlineLevel="1" thickTop="1" thickBot="1" x14ac:dyDescent="0.4">
      <c r="C87" s="113"/>
      <c r="D87" s="112"/>
      <c r="E87" s="52"/>
      <c r="F87" s="53"/>
      <c r="G87" s="53"/>
      <c r="H87" s="52"/>
      <c r="I87" s="52"/>
      <c r="J87" s="54"/>
      <c r="K87" s="54"/>
      <c r="L87" s="55" t="str">
        <f t="shared" si="145"/>
        <v/>
      </c>
      <c r="M87" s="56" t="str">
        <f t="shared" si="146"/>
        <v/>
      </c>
      <c r="N87" s="57" t="str">
        <f t="shared" si="2"/>
        <v/>
      </c>
      <c r="O87" s="58" t="str">
        <f t="shared" si="147"/>
        <v/>
      </c>
      <c r="P87" s="59" t="str">
        <f t="shared" si="4"/>
        <v/>
      </c>
      <c r="Q87" s="60" t="str">
        <f t="shared" si="148"/>
        <v/>
      </c>
      <c r="R87" s="61" t="str">
        <f t="shared" si="196"/>
        <v/>
      </c>
      <c r="S87" s="56" t="str">
        <f t="shared" si="149"/>
        <v/>
      </c>
      <c r="T87" s="62" t="str">
        <f t="shared" si="150"/>
        <v/>
      </c>
      <c r="U87" s="63" t="str">
        <f t="shared" si="9"/>
        <v/>
      </c>
      <c r="V87" s="64" t="str">
        <f t="shared" si="151"/>
        <v/>
      </c>
      <c r="W87" s="65" t="str">
        <f t="shared" si="11"/>
        <v/>
      </c>
      <c r="X87" s="64" t="str">
        <f t="shared" si="152"/>
        <v/>
      </c>
      <c r="Y87" s="64" t="str">
        <f t="shared" si="153"/>
        <v/>
      </c>
      <c r="Z87" s="56" t="str">
        <f t="shared" si="154"/>
        <v/>
      </c>
      <c r="AA87" s="66" t="str">
        <f t="shared" si="155"/>
        <v/>
      </c>
      <c r="AB87" s="57" t="str">
        <f t="shared" si="16"/>
        <v/>
      </c>
      <c r="AC87" s="67" t="str">
        <f t="shared" si="156"/>
        <v/>
      </c>
      <c r="AD87" s="59" t="str">
        <f t="shared" si="157"/>
        <v/>
      </c>
      <c r="AE87" s="68" t="str">
        <f t="shared" si="158"/>
        <v/>
      </c>
      <c r="AF87" s="61" t="str">
        <f t="shared" si="159"/>
        <v/>
      </c>
      <c r="AG87" s="61" t="str">
        <f t="shared" si="160"/>
        <v/>
      </c>
      <c r="AH87" s="69" t="str">
        <f t="shared" si="161"/>
        <v/>
      </c>
      <c r="AI87" s="70" t="str">
        <f t="shared" si="23"/>
        <v/>
      </c>
      <c r="AJ87" s="64" t="str">
        <f t="shared" si="162"/>
        <v/>
      </c>
      <c r="AK87" s="64" t="str">
        <f t="shared" si="163"/>
        <v/>
      </c>
      <c r="AL87" s="64" t="str">
        <f t="shared" si="164"/>
        <v/>
      </c>
      <c r="AM87" s="64" t="str">
        <f t="shared" si="165"/>
        <v/>
      </c>
      <c r="AN87" s="64" t="str">
        <f t="shared" si="166"/>
        <v/>
      </c>
    </row>
    <row r="88" spans="3:40" ht="25.5" outlineLevel="1" thickTop="1" thickBot="1" x14ac:dyDescent="0.4">
      <c r="C88" s="113"/>
      <c r="D88" s="112"/>
      <c r="E88" s="52"/>
      <c r="F88" s="53"/>
      <c r="G88" s="53"/>
      <c r="H88" s="52"/>
      <c r="I88" s="52"/>
      <c r="J88" s="54"/>
      <c r="K88" s="54"/>
      <c r="L88" s="55" t="str">
        <f t="shared" si="145"/>
        <v/>
      </c>
      <c r="M88" s="56" t="str">
        <f t="shared" si="146"/>
        <v/>
      </c>
      <c r="N88" s="57" t="str">
        <f t="shared" si="2"/>
        <v/>
      </c>
      <c r="O88" s="58" t="str">
        <f t="shared" si="147"/>
        <v/>
      </c>
      <c r="P88" s="59" t="str">
        <f t="shared" si="4"/>
        <v/>
      </c>
      <c r="Q88" s="60" t="str">
        <f t="shared" si="148"/>
        <v/>
      </c>
      <c r="R88" s="61" t="str">
        <f t="shared" si="196"/>
        <v/>
      </c>
      <c r="S88" s="56" t="str">
        <f t="shared" si="149"/>
        <v/>
      </c>
      <c r="T88" s="62" t="str">
        <f t="shared" si="150"/>
        <v/>
      </c>
      <c r="U88" s="63" t="str">
        <f t="shared" si="9"/>
        <v/>
      </c>
      <c r="V88" s="64" t="str">
        <f t="shared" si="151"/>
        <v/>
      </c>
      <c r="W88" s="65" t="str">
        <f t="shared" si="11"/>
        <v/>
      </c>
      <c r="X88" s="64" t="str">
        <f t="shared" si="152"/>
        <v/>
      </c>
      <c r="Y88" s="64" t="str">
        <f t="shared" si="153"/>
        <v/>
      </c>
      <c r="Z88" s="56" t="str">
        <f t="shared" si="154"/>
        <v/>
      </c>
      <c r="AA88" s="66" t="str">
        <f t="shared" si="155"/>
        <v/>
      </c>
      <c r="AB88" s="57" t="str">
        <f t="shared" si="16"/>
        <v/>
      </c>
      <c r="AC88" s="67" t="str">
        <f t="shared" si="156"/>
        <v/>
      </c>
      <c r="AD88" s="59" t="str">
        <f t="shared" si="157"/>
        <v/>
      </c>
      <c r="AE88" s="68" t="str">
        <f t="shared" si="158"/>
        <v/>
      </c>
      <c r="AF88" s="61" t="str">
        <f t="shared" si="159"/>
        <v/>
      </c>
      <c r="AG88" s="61" t="str">
        <f t="shared" si="160"/>
        <v/>
      </c>
      <c r="AH88" s="69" t="str">
        <f t="shared" si="161"/>
        <v/>
      </c>
      <c r="AI88" s="70" t="str">
        <f t="shared" si="23"/>
        <v/>
      </c>
      <c r="AJ88" s="64" t="str">
        <f t="shared" si="162"/>
        <v/>
      </c>
      <c r="AK88" s="64" t="str">
        <f t="shared" si="163"/>
        <v/>
      </c>
      <c r="AL88" s="64" t="str">
        <f t="shared" si="164"/>
        <v/>
      </c>
      <c r="AM88" s="64" t="str">
        <f t="shared" si="165"/>
        <v/>
      </c>
      <c r="AN88" s="64" t="str">
        <f t="shared" si="166"/>
        <v/>
      </c>
    </row>
    <row r="89" spans="3:40" ht="25.5" outlineLevel="1" thickTop="1" thickBot="1" x14ac:dyDescent="0.4">
      <c r="C89" s="113"/>
      <c r="D89" s="112"/>
      <c r="E89" s="52"/>
      <c r="F89" s="53"/>
      <c r="G89" s="53"/>
      <c r="H89" s="52"/>
      <c r="I89" s="52"/>
      <c r="J89" s="54"/>
      <c r="K89" s="54"/>
      <c r="L89" s="55" t="str">
        <f t="shared" si="145"/>
        <v/>
      </c>
      <c r="M89" s="56" t="str">
        <f t="shared" si="146"/>
        <v/>
      </c>
      <c r="N89" s="57" t="str">
        <f t="shared" si="2"/>
        <v/>
      </c>
      <c r="O89" s="58" t="str">
        <f t="shared" si="147"/>
        <v/>
      </c>
      <c r="P89" s="59" t="str">
        <f t="shared" si="4"/>
        <v/>
      </c>
      <c r="Q89" s="60" t="str">
        <f t="shared" si="148"/>
        <v/>
      </c>
      <c r="R89" s="61" t="str">
        <f t="shared" si="196"/>
        <v/>
      </c>
      <c r="S89" s="56" t="str">
        <f t="shared" si="149"/>
        <v/>
      </c>
      <c r="T89" s="62" t="str">
        <f t="shared" si="150"/>
        <v/>
      </c>
      <c r="U89" s="63" t="str">
        <f t="shared" si="9"/>
        <v/>
      </c>
      <c r="V89" s="64" t="str">
        <f t="shared" si="151"/>
        <v/>
      </c>
      <c r="W89" s="65" t="str">
        <f t="shared" si="11"/>
        <v/>
      </c>
      <c r="X89" s="64" t="str">
        <f t="shared" si="152"/>
        <v/>
      </c>
      <c r="Y89" s="64" t="str">
        <f t="shared" si="153"/>
        <v/>
      </c>
      <c r="Z89" s="56" t="str">
        <f t="shared" si="154"/>
        <v/>
      </c>
      <c r="AA89" s="66" t="str">
        <f t="shared" si="155"/>
        <v/>
      </c>
      <c r="AB89" s="57" t="str">
        <f t="shared" si="16"/>
        <v/>
      </c>
      <c r="AC89" s="67" t="str">
        <f t="shared" si="156"/>
        <v/>
      </c>
      <c r="AD89" s="59" t="str">
        <f t="shared" si="157"/>
        <v/>
      </c>
      <c r="AE89" s="68" t="str">
        <f t="shared" si="158"/>
        <v/>
      </c>
      <c r="AF89" s="61" t="str">
        <f t="shared" si="159"/>
        <v/>
      </c>
      <c r="AG89" s="61" t="str">
        <f t="shared" si="160"/>
        <v/>
      </c>
      <c r="AH89" s="69" t="str">
        <f t="shared" si="161"/>
        <v/>
      </c>
      <c r="AI89" s="70" t="str">
        <f t="shared" si="23"/>
        <v/>
      </c>
      <c r="AJ89" s="64" t="str">
        <f t="shared" si="162"/>
        <v/>
      </c>
      <c r="AK89" s="64" t="str">
        <f t="shared" si="163"/>
        <v/>
      </c>
      <c r="AL89" s="64" t="str">
        <f t="shared" si="164"/>
        <v/>
      </c>
      <c r="AM89" s="64" t="str">
        <f t="shared" si="165"/>
        <v/>
      </c>
      <c r="AN89" s="64" t="str">
        <f t="shared" si="166"/>
        <v/>
      </c>
    </row>
    <row r="90" spans="3:40" ht="25.5" outlineLevel="1" thickTop="1" thickBot="1" x14ac:dyDescent="0.4">
      <c r="C90" s="113"/>
      <c r="D90" s="112"/>
      <c r="E90" s="52"/>
      <c r="F90" s="53"/>
      <c r="G90" s="53"/>
      <c r="H90" s="52"/>
      <c r="I90" s="52"/>
      <c r="J90" s="54"/>
      <c r="K90" s="54"/>
      <c r="L90" s="55" t="str">
        <f t="shared" si="145"/>
        <v/>
      </c>
      <c r="M90" s="56" t="str">
        <f t="shared" si="146"/>
        <v/>
      </c>
      <c r="N90" s="57" t="str">
        <f t="shared" si="2"/>
        <v/>
      </c>
      <c r="O90" s="58" t="str">
        <f t="shared" si="147"/>
        <v/>
      </c>
      <c r="P90" s="59" t="str">
        <f t="shared" si="4"/>
        <v/>
      </c>
      <c r="Q90" s="60" t="str">
        <f t="shared" si="148"/>
        <v/>
      </c>
      <c r="R90" s="61" t="str">
        <f t="shared" si="196"/>
        <v/>
      </c>
      <c r="S90" s="56" t="str">
        <f t="shared" si="149"/>
        <v/>
      </c>
      <c r="T90" s="62" t="str">
        <f t="shared" si="150"/>
        <v/>
      </c>
      <c r="U90" s="63" t="str">
        <f t="shared" si="9"/>
        <v/>
      </c>
      <c r="V90" s="64" t="str">
        <f t="shared" si="151"/>
        <v/>
      </c>
      <c r="W90" s="65" t="str">
        <f t="shared" si="11"/>
        <v/>
      </c>
      <c r="X90" s="64" t="str">
        <f t="shared" si="152"/>
        <v/>
      </c>
      <c r="Y90" s="64" t="str">
        <f t="shared" si="153"/>
        <v/>
      </c>
      <c r="Z90" s="56" t="str">
        <f t="shared" si="154"/>
        <v/>
      </c>
      <c r="AA90" s="66" t="str">
        <f t="shared" si="155"/>
        <v/>
      </c>
      <c r="AB90" s="57" t="str">
        <f t="shared" si="16"/>
        <v/>
      </c>
      <c r="AC90" s="67" t="str">
        <f t="shared" si="156"/>
        <v/>
      </c>
      <c r="AD90" s="59" t="str">
        <f t="shared" si="157"/>
        <v/>
      </c>
      <c r="AE90" s="68" t="str">
        <f t="shared" si="158"/>
        <v/>
      </c>
      <c r="AF90" s="61" t="str">
        <f t="shared" si="159"/>
        <v/>
      </c>
      <c r="AG90" s="61" t="str">
        <f t="shared" si="160"/>
        <v/>
      </c>
      <c r="AH90" s="69" t="str">
        <f t="shared" si="161"/>
        <v/>
      </c>
      <c r="AI90" s="70" t="str">
        <f t="shared" si="23"/>
        <v/>
      </c>
      <c r="AJ90" s="64" t="str">
        <f t="shared" si="162"/>
        <v/>
      </c>
      <c r="AK90" s="64" t="str">
        <f t="shared" si="163"/>
        <v/>
      </c>
      <c r="AL90" s="64" t="str">
        <f t="shared" si="164"/>
        <v/>
      </c>
      <c r="AM90" s="64" t="str">
        <f t="shared" si="165"/>
        <v/>
      </c>
      <c r="AN90" s="64" t="str">
        <f t="shared" si="166"/>
        <v/>
      </c>
    </row>
    <row r="91" spans="3:40" ht="25.5" outlineLevel="1" thickTop="1" thickBot="1" x14ac:dyDescent="0.4">
      <c r="C91" s="113"/>
      <c r="D91" s="112"/>
      <c r="E91" s="52"/>
      <c r="F91" s="53"/>
      <c r="G91" s="53"/>
      <c r="H91" s="52"/>
      <c r="I91" s="52"/>
      <c r="J91" s="54"/>
      <c r="K91" s="54"/>
      <c r="L91" s="55" t="str">
        <f t="shared" si="145"/>
        <v/>
      </c>
      <c r="M91" s="56" t="str">
        <f t="shared" si="146"/>
        <v/>
      </c>
      <c r="N91" s="57" t="str">
        <f t="shared" si="2"/>
        <v/>
      </c>
      <c r="O91" s="58" t="str">
        <f t="shared" si="147"/>
        <v/>
      </c>
      <c r="P91" s="59" t="str">
        <f t="shared" si="4"/>
        <v/>
      </c>
      <c r="Q91" s="60" t="str">
        <f t="shared" si="148"/>
        <v/>
      </c>
      <c r="R91" s="61" t="str">
        <f t="shared" si="196"/>
        <v/>
      </c>
      <c r="S91" s="56" t="str">
        <f t="shared" si="149"/>
        <v/>
      </c>
      <c r="T91" s="62" t="str">
        <f t="shared" si="150"/>
        <v/>
      </c>
      <c r="U91" s="63" t="str">
        <f t="shared" si="9"/>
        <v/>
      </c>
      <c r="V91" s="64" t="str">
        <f t="shared" si="151"/>
        <v/>
      </c>
      <c r="W91" s="65" t="str">
        <f t="shared" si="11"/>
        <v/>
      </c>
      <c r="X91" s="64" t="str">
        <f t="shared" si="152"/>
        <v/>
      </c>
      <c r="Y91" s="64" t="str">
        <f t="shared" si="153"/>
        <v/>
      </c>
      <c r="Z91" s="56" t="str">
        <f t="shared" si="154"/>
        <v/>
      </c>
      <c r="AA91" s="66" t="str">
        <f t="shared" si="155"/>
        <v/>
      </c>
      <c r="AB91" s="57" t="str">
        <f t="shared" si="16"/>
        <v/>
      </c>
      <c r="AC91" s="67" t="str">
        <f t="shared" si="156"/>
        <v/>
      </c>
      <c r="AD91" s="59" t="str">
        <f t="shared" si="157"/>
        <v/>
      </c>
      <c r="AE91" s="68" t="str">
        <f t="shared" si="158"/>
        <v/>
      </c>
      <c r="AF91" s="61" t="str">
        <f t="shared" si="159"/>
        <v/>
      </c>
      <c r="AG91" s="61" t="str">
        <f t="shared" si="160"/>
        <v/>
      </c>
      <c r="AH91" s="69" t="str">
        <f t="shared" si="161"/>
        <v/>
      </c>
      <c r="AI91" s="70" t="str">
        <f t="shared" si="23"/>
        <v/>
      </c>
      <c r="AJ91" s="64" t="str">
        <f t="shared" si="162"/>
        <v/>
      </c>
      <c r="AK91" s="64" t="str">
        <f t="shared" si="163"/>
        <v/>
      </c>
      <c r="AL91" s="64" t="str">
        <f t="shared" si="164"/>
        <v/>
      </c>
      <c r="AM91" s="64" t="str">
        <f t="shared" si="165"/>
        <v/>
      </c>
      <c r="AN91" s="64" t="str">
        <f t="shared" si="166"/>
        <v/>
      </c>
    </row>
    <row r="92" spans="3:40" ht="25.5" outlineLevel="1" thickTop="1" thickBot="1" x14ac:dyDescent="0.4">
      <c r="C92" s="113"/>
      <c r="D92" s="112"/>
      <c r="E92" s="52"/>
      <c r="F92" s="53"/>
      <c r="G92" s="53"/>
      <c r="H92" s="52"/>
      <c r="I92" s="52"/>
      <c r="J92" s="54"/>
      <c r="K92" s="54"/>
      <c r="L92" s="55" t="str">
        <f t="shared" ref="L92:L94" si="197">IF(C92="","",_xlfn.CONCAT("            { line: ","""",C92,", ",M92:AN92,""", sC: ","""",B92,"""},"))</f>
        <v/>
      </c>
      <c r="M92" s="56" t="str">
        <f t="shared" ref="M92:M94" si="198">IF(N92="","","(")</f>
        <v/>
      </c>
      <c r="N92" s="57" t="str">
        <f t="shared" ref="N92:N94" si="199">IF(D92="","",D92)</f>
        <v/>
      </c>
      <c r="O92" s="58" t="str">
        <f t="shared" ref="O92:O94" si="200">IF(N92="","",",")</f>
        <v/>
      </c>
      <c r="P92" s="59" t="str">
        <f t="shared" ref="P92:P94" si="201">IF(E92="","",E92)</f>
        <v/>
      </c>
      <c r="Q92" s="60" t="str">
        <f t="shared" ref="Q92:Q94" si="202">IF(N92="","",",")</f>
        <v/>
      </c>
      <c r="R92" s="61" t="str">
        <f t="shared" si="196"/>
        <v/>
      </c>
      <c r="S92" s="56" t="str">
        <f t="shared" ref="S92:S94" si="203">IF(N92="","",")")</f>
        <v/>
      </c>
      <c r="T92" s="62" t="str">
        <f t="shared" ref="T92:T94" si="204">IF(U92="","","(")</f>
        <v/>
      </c>
      <c r="U92" s="63" t="str">
        <f t="shared" ref="U92:U94" si="205">IF(F92="","",F92)</f>
        <v/>
      </c>
      <c r="V92" s="64" t="str">
        <f t="shared" ref="V92:V94" si="206">IF(U92="","",",")</f>
        <v/>
      </c>
      <c r="W92" s="65" t="str">
        <f t="shared" ref="W92:W94" si="207">IF(G92="","",G92)</f>
        <v/>
      </c>
      <c r="X92" s="64" t="str">
        <f t="shared" ref="X92:X94" si="208">IF(U92="","",",")</f>
        <v/>
      </c>
      <c r="Y92" s="64" t="str">
        <f t="shared" ref="Y92:Y94" si="209">IF(U92="","",250)</f>
        <v/>
      </c>
      <c r="Z92" s="56" t="str">
        <f t="shared" ref="Z92:Z94" si="210">IF(U92="","",")")</f>
        <v/>
      </c>
      <c r="AA92" s="66" t="str">
        <f t="shared" ref="AA92:AA94" si="211">IF(AB92="","","(")</f>
        <v/>
      </c>
      <c r="AB92" s="57" t="str">
        <f t="shared" ref="AB92:AB94" si="212">IF(H92="","",H92)</f>
        <v/>
      </c>
      <c r="AC92" s="67" t="str">
        <f t="shared" ref="AC92:AC94" si="213">IF(AB92="","",",")</f>
        <v/>
      </c>
      <c r="AD92" s="59" t="str">
        <f t="shared" ref="AD92:AD94" si="214">IF(I92="","",I92)</f>
        <v/>
      </c>
      <c r="AE92" s="68" t="str">
        <f t="shared" ref="AE92:AE94" si="215">IF(AB92="","",",")</f>
        <v/>
      </c>
      <c r="AF92" s="61" t="str">
        <f t="shared" ref="AF92:AF94" si="216">IF(AB92="","",350)</f>
        <v/>
      </c>
      <c r="AG92" s="61" t="str">
        <f t="shared" ref="AG92:AG94" si="217">IF(AB92="","",")")</f>
        <v/>
      </c>
      <c r="AH92" s="69" t="str">
        <f t="shared" ref="AH92:AH94" si="218">IF(AI92="","","(")</f>
        <v/>
      </c>
      <c r="AI92" s="70" t="str">
        <f t="shared" ref="AI92:AI94" si="219">IF(J92="","",J92)</f>
        <v/>
      </c>
      <c r="AJ92" s="64" t="str">
        <f t="shared" ref="AJ92:AJ94" si="220">IF(AI92="","",",")</f>
        <v/>
      </c>
      <c r="AK92" s="64" t="str">
        <f t="shared" ref="AK92:AK94" si="221">IF(K92="","",K92)</f>
        <v/>
      </c>
      <c r="AL92" s="64" t="str">
        <f t="shared" ref="AL92:AL94" si="222">IF(AI92="","",",")</f>
        <v/>
      </c>
      <c r="AM92" s="64" t="str">
        <f t="shared" ref="AM92:AM94" si="223">IF(AI92="","",450)</f>
        <v/>
      </c>
      <c r="AN92" s="64" t="str">
        <f t="shared" ref="AN92:AN94" si="224">IF(AI92="","",")")</f>
        <v/>
      </c>
    </row>
    <row r="93" spans="3:40" ht="25.5" outlineLevel="1" thickTop="1" thickBot="1" x14ac:dyDescent="0.4">
      <c r="C93" s="113"/>
      <c r="D93" s="112"/>
      <c r="E93" s="52"/>
      <c r="F93" s="53"/>
      <c r="G93" s="53"/>
      <c r="H93" s="52"/>
      <c r="I93" s="52"/>
      <c r="J93" s="54"/>
      <c r="K93" s="54"/>
      <c r="L93" s="55" t="str">
        <f t="shared" si="197"/>
        <v/>
      </c>
      <c r="M93" s="56" t="str">
        <f t="shared" si="198"/>
        <v/>
      </c>
      <c r="N93" s="57" t="str">
        <f t="shared" si="199"/>
        <v/>
      </c>
      <c r="O93" s="58" t="str">
        <f t="shared" si="200"/>
        <v/>
      </c>
      <c r="P93" s="59" t="str">
        <f t="shared" si="201"/>
        <v/>
      </c>
      <c r="Q93" s="60" t="str">
        <f t="shared" si="202"/>
        <v/>
      </c>
      <c r="R93" s="61" t="str">
        <f t="shared" si="196"/>
        <v/>
      </c>
      <c r="S93" s="56" t="str">
        <f t="shared" si="203"/>
        <v/>
      </c>
      <c r="T93" s="62" t="str">
        <f t="shared" si="204"/>
        <v/>
      </c>
      <c r="U93" s="63" t="str">
        <f t="shared" si="205"/>
        <v/>
      </c>
      <c r="V93" s="64" t="str">
        <f t="shared" si="206"/>
        <v/>
      </c>
      <c r="W93" s="65" t="str">
        <f t="shared" si="207"/>
        <v/>
      </c>
      <c r="X93" s="64" t="str">
        <f t="shared" si="208"/>
        <v/>
      </c>
      <c r="Y93" s="64" t="str">
        <f t="shared" si="209"/>
        <v/>
      </c>
      <c r="Z93" s="56" t="str">
        <f t="shared" si="210"/>
        <v/>
      </c>
      <c r="AA93" s="66" t="str">
        <f t="shared" si="211"/>
        <v/>
      </c>
      <c r="AB93" s="57" t="str">
        <f t="shared" si="212"/>
        <v/>
      </c>
      <c r="AC93" s="67" t="str">
        <f t="shared" si="213"/>
        <v/>
      </c>
      <c r="AD93" s="59" t="str">
        <f t="shared" si="214"/>
        <v/>
      </c>
      <c r="AE93" s="68" t="str">
        <f t="shared" si="215"/>
        <v/>
      </c>
      <c r="AF93" s="61" t="str">
        <f t="shared" si="216"/>
        <v/>
      </c>
      <c r="AG93" s="61" t="str">
        <f t="shared" si="217"/>
        <v/>
      </c>
      <c r="AH93" s="69" t="str">
        <f t="shared" si="218"/>
        <v/>
      </c>
      <c r="AI93" s="70" t="str">
        <f t="shared" si="219"/>
        <v/>
      </c>
      <c r="AJ93" s="64" t="str">
        <f t="shared" si="220"/>
        <v/>
      </c>
      <c r="AK93" s="64" t="str">
        <f t="shared" si="221"/>
        <v/>
      </c>
      <c r="AL93" s="64" t="str">
        <f t="shared" si="222"/>
        <v/>
      </c>
      <c r="AM93" s="64" t="str">
        <f t="shared" si="223"/>
        <v/>
      </c>
      <c r="AN93" s="64" t="str">
        <f t="shared" si="224"/>
        <v/>
      </c>
    </row>
    <row r="94" spans="3:40" ht="25.5" outlineLevel="1" thickTop="1" thickBot="1" x14ac:dyDescent="0.4">
      <c r="C94" s="113"/>
      <c r="D94" s="112"/>
      <c r="E94" s="52"/>
      <c r="F94" s="53"/>
      <c r="G94" s="53"/>
      <c r="H94" s="52"/>
      <c r="I94" s="52"/>
      <c r="J94" s="54"/>
      <c r="K94" s="54"/>
      <c r="L94" s="55" t="str">
        <f t="shared" si="197"/>
        <v/>
      </c>
      <c r="M94" s="56" t="str">
        <f t="shared" si="198"/>
        <v/>
      </c>
      <c r="N94" s="57" t="str">
        <f t="shared" si="199"/>
        <v/>
      </c>
      <c r="O94" s="58" t="str">
        <f t="shared" si="200"/>
        <v/>
      </c>
      <c r="P94" s="59" t="str">
        <f t="shared" si="201"/>
        <v/>
      </c>
      <c r="Q94" s="60" t="str">
        <f t="shared" si="202"/>
        <v/>
      </c>
      <c r="R94" s="61" t="str">
        <f t="shared" si="196"/>
        <v/>
      </c>
      <c r="S94" s="56" t="str">
        <f t="shared" si="203"/>
        <v/>
      </c>
      <c r="T94" s="62" t="str">
        <f t="shared" si="204"/>
        <v/>
      </c>
      <c r="U94" s="63" t="str">
        <f t="shared" si="205"/>
        <v/>
      </c>
      <c r="V94" s="64" t="str">
        <f t="shared" si="206"/>
        <v/>
      </c>
      <c r="W94" s="65" t="str">
        <f t="shared" si="207"/>
        <v/>
      </c>
      <c r="X94" s="64" t="str">
        <f t="shared" si="208"/>
        <v/>
      </c>
      <c r="Y94" s="64" t="str">
        <f t="shared" si="209"/>
        <v/>
      </c>
      <c r="Z94" s="56" t="str">
        <f t="shared" si="210"/>
        <v/>
      </c>
      <c r="AA94" s="66" t="str">
        <f t="shared" si="211"/>
        <v/>
      </c>
      <c r="AB94" s="57" t="str">
        <f t="shared" si="212"/>
        <v/>
      </c>
      <c r="AC94" s="67" t="str">
        <f t="shared" si="213"/>
        <v/>
      </c>
      <c r="AD94" s="59" t="str">
        <f t="shared" si="214"/>
        <v/>
      </c>
      <c r="AE94" s="68" t="str">
        <f t="shared" si="215"/>
        <v/>
      </c>
      <c r="AF94" s="61" t="str">
        <f t="shared" si="216"/>
        <v/>
      </c>
      <c r="AG94" s="61" t="str">
        <f t="shared" si="217"/>
        <v/>
      </c>
      <c r="AH94" s="69" t="str">
        <f t="shared" si="218"/>
        <v/>
      </c>
      <c r="AI94" s="70" t="str">
        <f t="shared" si="219"/>
        <v/>
      </c>
      <c r="AJ94" s="64" t="str">
        <f t="shared" si="220"/>
        <v/>
      </c>
      <c r="AK94" s="64" t="str">
        <f t="shared" si="221"/>
        <v/>
      </c>
      <c r="AL94" s="64" t="str">
        <f t="shared" si="222"/>
        <v/>
      </c>
      <c r="AM94" s="64" t="str">
        <f t="shared" si="223"/>
        <v/>
      </c>
      <c r="AN94" s="64" t="str">
        <f t="shared" si="224"/>
        <v/>
      </c>
    </row>
    <row r="95" spans="3:40" ht="25.5" outlineLevel="1" thickTop="1" thickBot="1" x14ac:dyDescent="0.4">
      <c r="C95" s="113"/>
      <c r="D95" s="112"/>
      <c r="E95" s="52"/>
      <c r="F95" s="53"/>
      <c r="G95" s="53"/>
      <c r="H95" s="52"/>
      <c r="I95" s="52"/>
      <c r="J95" s="54"/>
      <c r="K95" s="54"/>
      <c r="L95" s="55" t="str">
        <f t="shared" ref="L95:L100" si="225">IF(C95="","",_xlfn.CONCAT("            { line: ","""",C95,", ",M95:AN95,""", sC: ","""",B95,"""},"))</f>
        <v/>
      </c>
      <c r="M95" s="56" t="str">
        <f t="shared" ref="M95:M100" si="226">IF(N95="","","(")</f>
        <v/>
      </c>
      <c r="N95" s="57" t="str">
        <f t="shared" ref="N95:N100" si="227">IF(D95="","",D95)</f>
        <v/>
      </c>
      <c r="O95" s="58" t="str">
        <f t="shared" ref="O95:O100" si="228">IF(N95="","",",")</f>
        <v/>
      </c>
      <c r="P95" s="59" t="str">
        <f t="shared" ref="P95:P100" si="229">IF(E95="","",E95)</f>
        <v/>
      </c>
      <c r="Q95" s="60" t="str">
        <f t="shared" ref="Q95:Q100" si="230">IF(N95="","",",")</f>
        <v/>
      </c>
      <c r="R95" s="61" t="str">
        <f t="shared" si="6"/>
        <v/>
      </c>
      <c r="S95" s="56" t="str">
        <f t="shared" ref="S95:S100" si="231">IF(N95="","",")")</f>
        <v/>
      </c>
      <c r="T95" s="62" t="str">
        <f t="shared" ref="T95:T100" si="232">IF(U95="","","(")</f>
        <v/>
      </c>
      <c r="U95" s="63" t="str">
        <f t="shared" ref="U95:U100" si="233">IF(F95="","",F95)</f>
        <v/>
      </c>
      <c r="V95" s="64" t="str">
        <f t="shared" ref="V95:V100" si="234">IF(U95="","",",")</f>
        <v/>
      </c>
      <c r="W95" s="65" t="str">
        <f t="shared" ref="W95:W100" si="235">IF(G95="","",G95)</f>
        <v/>
      </c>
      <c r="X95" s="64" t="str">
        <f t="shared" ref="X95:X100" si="236">IF(U95="","",",")</f>
        <v/>
      </c>
      <c r="Y95" s="64" t="str">
        <f t="shared" ref="Y95:Y100" si="237">IF(U95="","",250)</f>
        <v/>
      </c>
      <c r="Z95" s="56" t="str">
        <f t="shared" ref="Z95:Z100" si="238">IF(U95="","",")")</f>
        <v/>
      </c>
      <c r="AA95" s="66" t="str">
        <f t="shared" ref="AA95:AA100" si="239">IF(AB95="","","(")</f>
        <v/>
      </c>
      <c r="AB95" s="57" t="str">
        <f t="shared" ref="AB95:AB100" si="240">IF(H95="","",H95)</f>
        <v/>
      </c>
      <c r="AC95" s="67" t="str">
        <f t="shared" ref="AC95:AC100" si="241">IF(AB95="","",",")</f>
        <v/>
      </c>
      <c r="AD95" s="59" t="str">
        <f t="shared" ref="AD95:AD100" si="242">IF(I95="","",I95)</f>
        <v/>
      </c>
      <c r="AE95" s="68" t="str">
        <f t="shared" ref="AE95:AE100" si="243">IF(AB95="","",",")</f>
        <v/>
      </c>
      <c r="AF95" s="61" t="str">
        <f t="shared" ref="AF95:AF100" si="244">IF(AB95="","",350)</f>
        <v/>
      </c>
      <c r="AG95" s="61" t="str">
        <f t="shared" ref="AG95:AG100" si="245">IF(AB95="","",")")</f>
        <v/>
      </c>
      <c r="AH95" s="69" t="str">
        <f t="shared" ref="AH95:AH100" si="246">IF(AI95="","","(")</f>
        <v/>
      </c>
      <c r="AI95" s="70" t="str">
        <f t="shared" ref="AI95:AI100" si="247">IF(J95="","",J95)</f>
        <v/>
      </c>
      <c r="AJ95" s="64" t="str">
        <f t="shared" ref="AJ95:AJ100" si="248">IF(AI95="","",",")</f>
        <v/>
      </c>
      <c r="AK95" s="64" t="str">
        <f t="shared" ref="AK95:AK100" si="249">IF(K95="","",K95)</f>
        <v/>
      </c>
      <c r="AL95" s="64" t="str">
        <f t="shared" ref="AL95:AL100" si="250">IF(AI95="","",",")</f>
        <v/>
      </c>
      <c r="AM95" s="64" t="str">
        <f t="shared" ref="AM95:AM100" si="251">IF(AI95="","",450)</f>
        <v/>
      </c>
      <c r="AN95" s="64" t="str">
        <f t="shared" ref="AN95:AN100" si="252">IF(AI95="","",")")</f>
        <v/>
      </c>
    </row>
    <row r="96" spans="3:40" ht="25.5" outlineLevel="1" thickTop="1" thickBot="1" x14ac:dyDescent="0.4">
      <c r="C96" s="113"/>
      <c r="D96" s="112"/>
      <c r="E96" s="52"/>
      <c r="F96" s="53"/>
      <c r="G96" s="53"/>
      <c r="H96" s="52"/>
      <c r="I96" s="52"/>
      <c r="J96" s="54"/>
      <c r="K96" s="54"/>
      <c r="L96" s="55" t="str">
        <f t="shared" si="225"/>
        <v/>
      </c>
      <c r="M96" s="56" t="str">
        <f t="shared" si="226"/>
        <v/>
      </c>
      <c r="N96" s="57" t="str">
        <f t="shared" si="227"/>
        <v/>
      </c>
      <c r="O96" s="58" t="str">
        <f t="shared" si="228"/>
        <v/>
      </c>
      <c r="P96" s="59" t="str">
        <f t="shared" si="229"/>
        <v/>
      </c>
      <c r="Q96" s="60" t="str">
        <f t="shared" si="230"/>
        <v/>
      </c>
      <c r="R96" s="61" t="str">
        <f t="shared" si="6"/>
        <v/>
      </c>
      <c r="S96" s="56" t="str">
        <f t="shared" si="231"/>
        <v/>
      </c>
      <c r="T96" s="62" t="str">
        <f t="shared" si="232"/>
        <v/>
      </c>
      <c r="U96" s="63" t="str">
        <f t="shared" si="233"/>
        <v/>
      </c>
      <c r="V96" s="64" t="str">
        <f t="shared" si="234"/>
        <v/>
      </c>
      <c r="W96" s="65" t="str">
        <f t="shared" si="235"/>
        <v/>
      </c>
      <c r="X96" s="64" t="str">
        <f t="shared" si="236"/>
        <v/>
      </c>
      <c r="Y96" s="64" t="str">
        <f t="shared" si="237"/>
        <v/>
      </c>
      <c r="Z96" s="56" t="str">
        <f t="shared" si="238"/>
        <v/>
      </c>
      <c r="AA96" s="66" t="str">
        <f t="shared" si="239"/>
        <v/>
      </c>
      <c r="AB96" s="57" t="str">
        <f t="shared" si="240"/>
        <v/>
      </c>
      <c r="AC96" s="67" t="str">
        <f t="shared" si="241"/>
        <v/>
      </c>
      <c r="AD96" s="59" t="str">
        <f t="shared" si="242"/>
        <v/>
      </c>
      <c r="AE96" s="68" t="str">
        <f t="shared" si="243"/>
        <v/>
      </c>
      <c r="AF96" s="61" t="str">
        <f t="shared" si="244"/>
        <v/>
      </c>
      <c r="AG96" s="61" t="str">
        <f t="shared" si="245"/>
        <v/>
      </c>
      <c r="AH96" s="69" t="str">
        <f t="shared" si="246"/>
        <v/>
      </c>
      <c r="AI96" s="70" t="str">
        <f t="shared" si="247"/>
        <v/>
      </c>
      <c r="AJ96" s="64" t="str">
        <f t="shared" si="248"/>
        <v/>
      </c>
      <c r="AK96" s="64" t="str">
        <f t="shared" si="249"/>
        <v/>
      </c>
      <c r="AL96" s="64" t="str">
        <f t="shared" si="250"/>
        <v/>
      </c>
      <c r="AM96" s="64" t="str">
        <f t="shared" si="251"/>
        <v/>
      </c>
      <c r="AN96" s="64" t="str">
        <f t="shared" si="252"/>
        <v/>
      </c>
    </row>
    <row r="97" spans="1:40" ht="25.5" outlineLevel="1" thickTop="1" thickBot="1" x14ac:dyDescent="0.4">
      <c r="C97" s="113"/>
      <c r="D97" s="112"/>
      <c r="E97" s="52"/>
      <c r="F97" s="53"/>
      <c r="G97" s="53"/>
      <c r="H97" s="52"/>
      <c r="I97" s="52"/>
      <c r="J97" s="54"/>
      <c r="K97" s="54"/>
      <c r="L97" s="55" t="str">
        <f t="shared" si="225"/>
        <v/>
      </c>
      <c r="M97" s="56" t="str">
        <f t="shared" si="226"/>
        <v/>
      </c>
      <c r="N97" s="57" t="str">
        <f t="shared" si="227"/>
        <v/>
      </c>
      <c r="O97" s="58" t="str">
        <f t="shared" si="228"/>
        <v/>
      </c>
      <c r="P97" s="59" t="str">
        <f t="shared" si="229"/>
        <v/>
      </c>
      <c r="Q97" s="60" t="str">
        <f t="shared" si="230"/>
        <v/>
      </c>
      <c r="R97" s="61" t="str">
        <f t="shared" si="6"/>
        <v/>
      </c>
      <c r="S97" s="56" t="str">
        <f t="shared" si="231"/>
        <v/>
      </c>
      <c r="T97" s="62" t="str">
        <f t="shared" si="232"/>
        <v/>
      </c>
      <c r="U97" s="63" t="str">
        <f t="shared" si="233"/>
        <v/>
      </c>
      <c r="V97" s="64" t="str">
        <f t="shared" si="234"/>
        <v/>
      </c>
      <c r="W97" s="65" t="str">
        <f t="shared" si="235"/>
        <v/>
      </c>
      <c r="X97" s="64" t="str">
        <f t="shared" si="236"/>
        <v/>
      </c>
      <c r="Y97" s="64" t="str">
        <f t="shared" si="237"/>
        <v/>
      </c>
      <c r="Z97" s="56" t="str">
        <f t="shared" si="238"/>
        <v/>
      </c>
      <c r="AA97" s="66" t="str">
        <f t="shared" si="239"/>
        <v/>
      </c>
      <c r="AB97" s="57" t="str">
        <f t="shared" si="240"/>
        <v/>
      </c>
      <c r="AC97" s="67" t="str">
        <f t="shared" si="241"/>
        <v/>
      </c>
      <c r="AD97" s="59" t="str">
        <f t="shared" si="242"/>
        <v/>
      </c>
      <c r="AE97" s="68" t="str">
        <f t="shared" si="243"/>
        <v/>
      </c>
      <c r="AF97" s="61" t="str">
        <f t="shared" si="244"/>
        <v/>
      </c>
      <c r="AG97" s="61" t="str">
        <f t="shared" si="245"/>
        <v/>
      </c>
      <c r="AH97" s="69" t="str">
        <f t="shared" si="246"/>
        <v/>
      </c>
      <c r="AI97" s="70" t="str">
        <f t="shared" si="247"/>
        <v/>
      </c>
      <c r="AJ97" s="64" t="str">
        <f t="shared" si="248"/>
        <v/>
      </c>
      <c r="AK97" s="64" t="str">
        <f t="shared" si="249"/>
        <v/>
      </c>
      <c r="AL97" s="64" t="str">
        <f t="shared" si="250"/>
        <v/>
      </c>
      <c r="AM97" s="64" t="str">
        <f t="shared" si="251"/>
        <v/>
      </c>
      <c r="AN97" s="64" t="str">
        <f t="shared" si="252"/>
        <v/>
      </c>
    </row>
    <row r="98" spans="1:40" ht="25.5" outlineLevel="1" thickTop="1" thickBot="1" x14ac:dyDescent="0.4">
      <c r="C98" s="113"/>
      <c r="D98" s="112"/>
      <c r="E98" s="52"/>
      <c r="F98" s="53"/>
      <c r="G98" s="53"/>
      <c r="H98" s="52"/>
      <c r="I98" s="52"/>
      <c r="J98" s="54"/>
      <c r="K98" s="54"/>
      <c r="L98" s="55" t="str">
        <f t="shared" si="225"/>
        <v/>
      </c>
      <c r="M98" s="56" t="str">
        <f t="shared" si="226"/>
        <v/>
      </c>
      <c r="N98" s="57" t="str">
        <f t="shared" si="227"/>
        <v/>
      </c>
      <c r="O98" s="58" t="str">
        <f t="shared" si="228"/>
        <v/>
      </c>
      <c r="P98" s="59" t="str">
        <f t="shared" si="229"/>
        <v/>
      </c>
      <c r="Q98" s="60" t="str">
        <f t="shared" si="230"/>
        <v/>
      </c>
      <c r="R98" s="61" t="str">
        <f t="shared" si="6"/>
        <v/>
      </c>
      <c r="S98" s="56" t="str">
        <f t="shared" si="231"/>
        <v/>
      </c>
      <c r="T98" s="62" t="str">
        <f t="shared" si="232"/>
        <v/>
      </c>
      <c r="U98" s="63" t="str">
        <f t="shared" si="233"/>
        <v/>
      </c>
      <c r="V98" s="64" t="str">
        <f t="shared" si="234"/>
        <v/>
      </c>
      <c r="W98" s="65" t="str">
        <f t="shared" si="235"/>
        <v/>
      </c>
      <c r="X98" s="64" t="str">
        <f t="shared" si="236"/>
        <v/>
      </c>
      <c r="Y98" s="64" t="str">
        <f t="shared" si="237"/>
        <v/>
      </c>
      <c r="Z98" s="56" t="str">
        <f t="shared" si="238"/>
        <v/>
      </c>
      <c r="AA98" s="66" t="str">
        <f t="shared" si="239"/>
        <v/>
      </c>
      <c r="AB98" s="57" t="str">
        <f t="shared" si="240"/>
        <v/>
      </c>
      <c r="AC98" s="67" t="str">
        <f t="shared" si="241"/>
        <v/>
      </c>
      <c r="AD98" s="59" t="str">
        <f t="shared" si="242"/>
        <v/>
      </c>
      <c r="AE98" s="68" t="str">
        <f t="shared" si="243"/>
        <v/>
      </c>
      <c r="AF98" s="61" t="str">
        <f t="shared" si="244"/>
        <v/>
      </c>
      <c r="AG98" s="61" t="str">
        <f t="shared" si="245"/>
        <v/>
      </c>
      <c r="AH98" s="69" t="str">
        <f t="shared" si="246"/>
        <v/>
      </c>
      <c r="AI98" s="70" t="str">
        <f t="shared" si="247"/>
        <v/>
      </c>
      <c r="AJ98" s="64" t="str">
        <f t="shared" si="248"/>
        <v/>
      </c>
      <c r="AK98" s="64" t="str">
        <f t="shared" si="249"/>
        <v/>
      </c>
      <c r="AL98" s="64" t="str">
        <f t="shared" si="250"/>
        <v/>
      </c>
      <c r="AM98" s="64" t="str">
        <f t="shared" si="251"/>
        <v/>
      </c>
      <c r="AN98" s="64" t="str">
        <f t="shared" si="252"/>
        <v/>
      </c>
    </row>
    <row r="99" spans="1:40" ht="25.5" outlineLevel="1" thickTop="1" thickBot="1" x14ac:dyDescent="0.4">
      <c r="C99" s="113"/>
      <c r="D99" s="112"/>
      <c r="E99" s="52"/>
      <c r="F99" s="53"/>
      <c r="G99" s="53"/>
      <c r="H99" s="52"/>
      <c r="I99" s="52"/>
      <c r="J99" s="54"/>
      <c r="K99" s="54"/>
      <c r="L99" s="55" t="str">
        <f t="shared" si="225"/>
        <v/>
      </c>
      <c r="M99" s="56" t="str">
        <f t="shared" si="226"/>
        <v/>
      </c>
      <c r="N99" s="57" t="str">
        <f t="shared" si="227"/>
        <v/>
      </c>
      <c r="O99" s="58" t="str">
        <f t="shared" si="228"/>
        <v/>
      </c>
      <c r="P99" s="59" t="str">
        <f t="shared" si="229"/>
        <v/>
      </c>
      <c r="Q99" s="60" t="str">
        <f t="shared" si="230"/>
        <v/>
      </c>
      <c r="R99" s="61" t="str">
        <f t="shared" si="6"/>
        <v/>
      </c>
      <c r="S99" s="56" t="str">
        <f t="shared" si="231"/>
        <v/>
      </c>
      <c r="T99" s="62" t="str">
        <f t="shared" si="232"/>
        <v/>
      </c>
      <c r="U99" s="63" t="str">
        <f t="shared" si="233"/>
        <v/>
      </c>
      <c r="V99" s="64" t="str">
        <f t="shared" si="234"/>
        <v/>
      </c>
      <c r="W99" s="65" t="str">
        <f t="shared" si="235"/>
        <v/>
      </c>
      <c r="X99" s="64" t="str">
        <f t="shared" si="236"/>
        <v/>
      </c>
      <c r="Y99" s="64" t="str">
        <f t="shared" si="237"/>
        <v/>
      </c>
      <c r="Z99" s="56" t="str">
        <f t="shared" si="238"/>
        <v/>
      </c>
      <c r="AA99" s="66" t="str">
        <f t="shared" si="239"/>
        <v/>
      </c>
      <c r="AB99" s="57" t="str">
        <f t="shared" si="240"/>
        <v/>
      </c>
      <c r="AC99" s="67" t="str">
        <f t="shared" si="241"/>
        <v/>
      </c>
      <c r="AD99" s="59" t="str">
        <f t="shared" si="242"/>
        <v/>
      </c>
      <c r="AE99" s="68" t="str">
        <f t="shared" si="243"/>
        <v/>
      </c>
      <c r="AF99" s="61" t="str">
        <f t="shared" si="244"/>
        <v/>
      </c>
      <c r="AG99" s="61" t="str">
        <f t="shared" si="245"/>
        <v/>
      </c>
      <c r="AH99" s="69" t="str">
        <f t="shared" si="246"/>
        <v/>
      </c>
      <c r="AI99" s="70" t="str">
        <f t="shared" si="247"/>
        <v/>
      </c>
      <c r="AJ99" s="64" t="str">
        <f t="shared" si="248"/>
        <v/>
      </c>
      <c r="AK99" s="64" t="str">
        <f t="shared" si="249"/>
        <v/>
      </c>
      <c r="AL99" s="64" t="str">
        <f t="shared" si="250"/>
        <v/>
      </c>
      <c r="AM99" s="64" t="str">
        <f t="shared" si="251"/>
        <v/>
      </c>
      <c r="AN99" s="64" t="str">
        <f t="shared" si="252"/>
        <v/>
      </c>
    </row>
    <row r="100" spans="1:40" ht="25.5" outlineLevel="1" thickTop="1" thickBot="1" x14ac:dyDescent="0.4">
      <c r="C100" s="113"/>
      <c r="D100" s="112"/>
      <c r="E100" s="52"/>
      <c r="F100" s="53"/>
      <c r="G100" s="53"/>
      <c r="H100" s="52"/>
      <c r="I100" s="52"/>
      <c r="J100" s="54"/>
      <c r="K100" s="54"/>
      <c r="L100" s="55" t="str">
        <f t="shared" si="225"/>
        <v/>
      </c>
      <c r="M100" s="56" t="str">
        <f t="shared" si="226"/>
        <v/>
      </c>
      <c r="N100" s="57" t="str">
        <f t="shared" si="227"/>
        <v/>
      </c>
      <c r="O100" s="58" t="str">
        <f t="shared" si="228"/>
        <v/>
      </c>
      <c r="P100" s="59" t="str">
        <f t="shared" si="229"/>
        <v/>
      </c>
      <c r="Q100" s="60" t="str">
        <f t="shared" si="230"/>
        <v/>
      </c>
      <c r="R100" s="61" t="str">
        <f t="shared" si="6"/>
        <v/>
      </c>
      <c r="S100" s="56" t="str">
        <f t="shared" si="231"/>
        <v/>
      </c>
      <c r="T100" s="62" t="str">
        <f t="shared" si="232"/>
        <v/>
      </c>
      <c r="U100" s="63" t="str">
        <f t="shared" si="233"/>
        <v/>
      </c>
      <c r="V100" s="64" t="str">
        <f t="shared" si="234"/>
        <v/>
      </c>
      <c r="W100" s="65" t="str">
        <f t="shared" si="235"/>
        <v/>
      </c>
      <c r="X100" s="64" t="str">
        <f t="shared" si="236"/>
        <v/>
      </c>
      <c r="Y100" s="64" t="str">
        <f t="shared" si="237"/>
        <v/>
      </c>
      <c r="Z100" s="56" t="str">
        <f t="shared" si="238"/>
        <v/>
      </c>
      <c r="AA100" s="66" t="str">
        <f t="shared" si="239"/>
        <v/>
      </c>
      <c r="AB100" s="57" t="str">
        <f t="shared" si="240"/>
        <v/>
      </c>
      <c r="AC100" s="67" t="str">
        <f t="shared" si="241"/>
        <v/>
      </c>
      <c r="AD100" s="59" t="str">
        <f t="shared" si="242"/>
        <v/>
      </c>
      <c r="AE100" s="68" t="str">
        <f t="shared" si="243"/>
        <v/>
      </c>
      <c r="AF100" s="61" t="str">
        <f t="shared" si="244"/>
        <v/>
      </c>
      <c r="AG100" s="61" t="str">
        <f t="shared" si="245"/>
        <v/>
      </c>
      <c r="AH100" s="69" t="str">
        <f t="shared" si="246"/>
        <v/>
      </c>
      <c r="AI100" s="70" t="str">
        <f t="shared" si="247"/>
        <v/>
      </c>
      <c r="AJ100" s="64" t="str">
        <f t="shared" si="248"/>
        <v/>
      </c>
      <c r="AK100" s="64" t="str">
        <f t="shared" si="249"/>
        <v/>
      </c>
      <c r="AL100" s="64" t="str">
        <f t="shared" si="250"/>
        <v/>
      </c>
      <c r="AM100" s="64" t="str">
        <f t="shared" si="251"/>
        <v/>
      </c>
      <c r="AN100" s="64" t="str">
        <f t="shared" si="252"/>
        <v/>
      </c>
    </row>
    <row r="101" spans="1:40" ht="25.5" outlineLevel="1" thickTop="1" thickBot="1" x14ac:dyDescent="0.4">
      <c r="C101" s="113"/>
      <c r="D101" s="112"/>
      <c r="E101" s="52"/>
      <c r="F101" s="53"/>
      <c r="G101" s="53"/>
      <c r="H101" s="52"/>
      <c r="I101" s="52"/>
      <c r="J101" s="54"/>
      <c r="K101" s="54"/>
      <c r="L101" s="55" t="str">
        <f t="shared" si="145"/>
        <v/>
      </c>
      <c r="M101" s="56" t="str">
        <f t="shared" si="146"/>
        <v/>
      </c>
      <c r="N101" s="57" t="str">
        <f t="shared" si="2"/>
        <v/>
      </c>
      <c r="O101" s="58" t="str">
        <f t="shared" si="147"/>
        <v/>
      </c>
      <c r="P101" s="59" t="str">
        <f t="shared" si="4"/>
        <v/>
      </c>
      <c r="Q101" s="60" t="str">
        <f t="shared" si="148"/>
        <v/>
      </c>
      <c r="R101" s="61" t="str">
        <f t="shared" si="6"/>
        <v/>
      </c>
      <c r="S101" s="56" t="str">
        <f t="shared" si="149"/>
        <v/>
      </c>
      <c r="T101" s="62" t="str">
        <f t="shared" si="150"/>
        <v/>
      </c>
      <c r="U101" s="63" t="str">
        <f t="shared" si="9"/>
        <v/>
      </c>
      <c r="V101" s="64" t="str">
        <f t="shared" si="151"/>
        <v/>
      </c>
      <c r="W101" s="65" t="str">
        <f t="shared" si="11"/>
        <v/>
      </c>
      <c r="X101" s="64" t="str">
        <f t="shared" si="152"/>
        <v/>
      </c>
      <c r="Y101" s="64" t="str">
        <f t="shared" si="153"/>
        <v/>
      </c>
      <c r="Z101" s="56" t="str">
        <f t="shared" si="154"/>
        <v/>
      </c>
      <c r="AA101" s="66" t="str">
        <f t="shared" si="155"/>
        <v/>
      </c>
      <c r="AB101" s="57" t="str">
        <f t="shared" si="16"/>
        <v/>
      </c>
      <c r="AC101" s="67" t="str">
        <f t="shared" si="156"/>
        <v/>
      </c>
      <c r="AD101" s="59" t="str">
        <f t="shared" si="157"/>
        <v/>
      </c>
      <c r="AE101" s="68" t="str">
        <f t="shared" si="158"/>
        <v/>
      </c>
      <c r="AF101" s="61" t="str">
        <f t="shared" si="159"/>
        <v/>
      </c>
      <c r="AG101" s="61" t="str">
        <f t="shared" si="160"/>
        <v/>
      </c>
      <c r="AH101" s="69" t="str">
        <f t="shared" si="161"/>
        <v/>
      </c>
      <c r="AI101" s="70" t="str">
        <f t="shared" si="23"/>
        <v/>
      </c>
      <c r="AJ101" s="64" t="str">
        <f t="shared" si="162"/>
        <v/>
      </c>
      <c r="AK101" s="64" t="str">
        <f t="shared" si="163"/>
        <v/>
      </c>
      <c r="AL101" s="64" t="str">
        <f t="shared" si="164"/>
        <v/>
      </c>
      <c r="AM101" s="64" t="str">
        <f t="shared" si="165"/>
        <v/>
      </c>
      <c r="AN101" s="64" t="str">
        <f t="shared" si="166"/>
        <v/>
      </c>
    </row>
    <row r="102" spans="1:40" ht="25.5" outlineLevel="1" thickTop="1" thickBot="1" x14ac:dyDescent="0.4">
      <c r="C102" s="113"/>
      <c r="D102" s="112"/>
      <c r="E102" s="52"/>
      <c r="F102" s="53"/>
      <c r="G102" s="53"/>
      <c r="H102" s="52"/>
      <c r="I102" s="52"/>
      <c r="J102" s="54"/>
      <c r="K102" s="54"/>
      <c r="L102" s="55" t="str">
        <f t="shared" si="145"/>
        <v/>
      </c>
      <c r="M102" s="56" t="str">
        <f t="shared" si="146"/>
        <v/>
      </c>
      <c r="N102" s="57" t="str">
        <f t="shared" si="2"/>
        <v/>
      </c>
      <c r="O102" s="58" t="str">
        <f t="shared" si="147"/>
        <v/>
      </c>
      <c r="P102" s="59" t="str">
        <f t="shared" si="4"/>
        <v/>
      </c>
      <c r="Q102" s="60" t="str">
        <f t="shared" si="148"/>
        <v/>
      </c>
      <c r="R102" s="61" t="str">
        <f t="shared" si="6"/>
        <v/>
      </c>
      <c r="S102" s="56" t="str">
        <f t="shared" si="149"/>
        <v/>
      </c>
      <c r="T102" s="62" t="str">
        <f t="shared" si="150"/>
        <v/>
      </c>
      <c r="U102" s="63" t="str">
        <f t="shared" si="9"/>
        <v/>
      </c>
      <c r="V102" s="64" t="str">
        <f t="shared" si="151"/>
        <v/>
      </c>
      <c r="W102" s="65" t="str">
        <f t="shared" si="11"/>
        <v/>
      </c>
      <c r="X102" s="64" t="str">
        <f t="shared" si="152"/>
        <v/>
      </c>
      <c r="Y102" s="64" t="str">
        <f t="shared" si="153"/>
        <v/>
      </c>
      <c r="Z102" s="56" t="str">
        <f t="shared" si="154"/>
        <v/>
      </c>
      <c r="AA102" s="66" t="str">
        <f t="shared" si="155"/>
        <v/>
      </c>
      <c r="AB102" s="57" t="str">
        <f t="shared" si="16"/>
        <v/>
      </c>
      <c r="AC102" s="67" t="str">
        <f t="shared" si="156"/>
        <v/>
      </c>
      <c r="AD102" s="59" t="str">
        <f t="shared" si="157"/>
        <v/>
      </c>
      <c r="AE102" s="68" t="str">
        <f t="shared" si="158"/>
        <v/>
      </c>
      <c r="AF102" s="61" t="str">
        <f t="shared" si="159"/>
        <v/>
      </c>
      <c r="AG102" s="61" t="str">
        <f t="shared" si="160"/>
        <v/>
      </c>
      <c r="AH102" s="69" t="str">
        <f t="shared" si="161"/>
        <v/>
      </c>
      <c r="AI102" s="70" t="str">
        <f t="shared" si="23"/>
        <v/>
      </c>
      <c r="AJ102" s="64" t="str">
        <f t="shared" si="162"/>
        <v/>
      </c>
      <c r="AK102" s="64" t="str">
        <f t="shared" si="163"/>
        <v/>
      </c>
      <c r="AL102" s="64" t="str">
        <f t="shared" si="164"/>
        <v/>
      </c>
      <c r="AM102" s="64" t="str">
        <f t="shared" si="165"/>
        <v/>
      </c>
      <c r="AN102" s="64" t="str">
        <f t="shared" si="166"/>
        <v/>
      </c>
    </row>
    <row r="103" spans="1:40" ht="25.5" outlineLevel="1" thickTop="1" thickBot="1" x14ac:dyDescent="0.4">
      <c r="C103" s="113"/>
      <c r="D103" s="112"/>
      <c r="E103" s="52"/>
      <c r="F103" s="53"/>
      <c r="G103" s="53"/>
      <c r="H103" s="52"/>
      <c r="I103" s="52"/>
      <c r="J103" s="54"/>
      <c r="K103" s="54"/>
      <c r="L103" s="55" t="str">
        <f t="shared" si="145"/>
        <v/>
      </c>
      <c r="M103" s="56" t="str">
        <f t="shared" si="146"/>
        <v/>
      </c>
      <c r="N103" s="57" t="str">
        <f t="shared" si="2"/>
        <v/>
      </c>
      <c r="O103" s="58" t="str">
        <f t="shared" si="147"/>
        <v/>
      </c>
      <c r="P103" s="59" t="str">
        <f t="shared" si="4"/>
        <v/>
      </c>
      <c r="Q103" s="60" t="str">
        <f t="shared" si="148"/>
        <v/>
      </c>
      <c r="R103" s="61" t="str">
        <f t="shared" si="6"/>
        <v/>
      </c>
      <c r="S103" s="56" t="str">
        <f t="shared" si="149"/>
        <v/>
      </c>
      <c r="T103" s="62" t="str">
        <f t="shared" si="150"/>
        <v/>
      </c>
      <c r="U103" s="63" t="str">
        <f t="shared" si="9"/>
        <v/>
      </c>
      <c r="V103" s="64" t="str">
        <f t="shared" si="151"/>
        <v/>
      </c>
      <c r="W103" s="65" t="str">
        <f t="shared" si="11"/>
        <v/>
      </c>
      <c r="X103" s="64" t="str">
        <f t="shared" si="152"/>
        <v/>
      </c>
      <c r="Y103" s="64" t="str">
        <f t="shared" si="153"/>
        <v/>
      </c>
      <c r="Z103" s="56" t="str">
        <f t="shared" si="154"/>
        <v/>
      </c>
      <c r="AA103" s="66" t="str">
        <f t="shared" si="155"/>
        <v/>
      </c>
      <c r="AB103" s="57" t="str">
        <f t="shared" si="16"/>
        <v/>
      </c>
      <c r="AC103" s="67" t="str">
        <f t="shared" si="156"/>
        <v/>
      </c>
      <c r="AD103" s="59" t="str">
        <f t="shared" si="157"/>
        <v/>
      </c>
      <c r="AE103" s="68" t="str">
        <f t="shared" si="158"/>
        <v/>
      </c>
      <c r="AF103" s="61" t="str">
        <f t="shared" si="159"/>
        <v/>
      </c>
      <c r="AG103" s="61" t="str">
        <f t="shared" si="160"/>
        <v/>
      </c>
      <c r="AH103" s="69" t="str">
        <f t="shared" si="161"/>
        <v/>
      </c>
      <c r="AI103" s="70" t="str">
        <f t="shared" si="23"/>
        <v/>
      </c>
      <c r="AJ103" s="64" t="str">
        <f t="shared" si="162"/>
        <v/>
      </c>
      <c r="AK103" s="64" t="str">
        <f t="shared" si="163"/>
        <v/>
      </c>
      <c r="AL103" s="64" t="str">
        <f t="shared" si="164"/>
        <v/>
      </c>
      <c r="AM103" s="64" t="str">
        <f t="shared" si="165"/>
        <v/>
      </c>
      <c r="AN103" s="64" t="str">
        <f t="shared" si="166"/>
        <v/>
      </c>
    </row>
    <row r="104" spans="1:40" ht="25.5" outlineLevel="1" thickTop="1" thickBot="1" x14ac:dyDescent="0.4">
      <c r="C104" s="113"/>
      <c r="D104" s="112"/>
      <c r="E104" s="52"/>
      <c r="F104" s="53"/>
      <c r="G104" s="53"/>
      <c r="H104" s="52"/>
      <c r="I104" s="52"/>
      <c r="J104" s="54"/>
      <c r="K104" s="54"/>
      <c r="L104" s="55" t="str">
        <f t="shared" si="145"/>
        <v/>
      </c>
      <c r="M104" s="56" t="str">
        <f t="shared" si="146"/>
        <v/>
      </c>
      <c r="N104" s="57" t="str">
        <f t="shared" si="2"/>
        <v/>
      </c>
      <c r="O104" s="58" t="str">
        <f t="shared" si="147"/>
        <v/>
      </c>
      <c r="P104" s="59" t="str">
        <f t="shared" si="4"/>
        <v/>
      </c>
      <c r="Q104" s="60" t="str">
        <f t="shared" si="148"/>
        <v/>
      </c>
      <c r="R104" s="61" t="str">
        <f t="shared" si="6"/>
        <v/>
      </c>
      <c r="S104" s="56" t="str">
        <f t="shared" si="149"/>
        <v/>
      </c>
      <c r="T104" s="62" t="str">
        <f t="shared" si="150"/>
        <v/>
      </c>
      <c r="U104" s="63" t="str">
        <f t="shared" si="9"/>
        <v/>
      </c>
      <c r="V104" s="64" t="str">
        <f t="shared" si="151"/>
        <v/>
      </c>
      <c r="W104" s="65" t="str">
        <f t="shared" si="11"/>
        <v/>
      </c>
      <c r="X104" s="64" t="str">
        <f t="shared" si="152"/>
        <v/>
      </c>
      <c r="Y104" s="64" t="str">
        <f t="shared" si="153"/>
        <v/>
      </c>
      <c r="Z104" s="56" t="str">
        <f t="shared" si="154"/>
        <v/>
      </c>
      <c r="AA104" s="66" t="str">
        <f t="shared" si="155"/>
        <v/>
      </c>
      <c r="AB104" s="57" t="str">
        <f t="shared" si="16"/>
        <v/>
      </c>
      <c r="AC104" s="67" t="str">
        <f t="shared" si="156"/>
        <v/>
      </c>
      <c r="AD104" s="59" t="str">
        <f t="shared" si="157"/>
        <v/>
      </c>
      <c r="AE104" s="68" t="str">
        <f t="shared" si="158"/>
        <v/>
      </c>
      <c r="AF104" s="61" t="str">
        <f t="shared" si="159"/>
        <v/>
      </c>
      <c r="AG104" s="61" t="str">
        <f t="shared" si="160"/>
        <v/>
      </c>
      <c r="AH104" s="69" t="str">
        <f t="shared" si="161"/>
        <v/>
      </c>
      <c r="AI104" s="70" t="str">
        <f t="shared" si="23"/>
        <v/>
      </c>
      <c r="AJ104" s="64" t="str">
        <f t="shared" si="162"/>
        <v/>
      </c>
      <c r="AK104" s="64" t="str">
        <f t="shared" si="163"/>
        <v/>
      </c>
      <c r="AL104" s="64" t="str">
        <f t="shared" si="164"/>
        <v/>
      </c>
      <c r="AM104" s="64" t="str">
        <f t="shared" si="165"/>
        <v/>
      </c>
      <c r="AN104" s="64" t="str">
        <f t="shared" si="166"/>
        <v/>
      </c>
    </row>
    <row r="105" spans="1:40" ht="25.5" outlineLevel="1" thickTop="1" thickBot="1" x14ac:dyDescent="0.4">
      <c r="C105" s="113"/>
      <c r="D105" s="112"/>
      <c r="E105" s="52"/>
      <c r="F105" s="53"/>
      <c r="G105" s="53"/>
      <c r="H105" s="52"/>
      <c r="I105" s="52"/>
      <c r="J105" s="54"/>
      <c r="K105" s="54"/>
      <c r="L105" s="55" t="str">
        <f t="shared" si="145"/>
        <v/>
      </c>
      <c r="M105" s="56" t="str">
        <f t="shared" si="146"/>
        <v/>
      </c>
      <c r="N105" s="57" t="str">
        <f t="shared" si="2"/>
        <v/>
      </c>
      <c r="O105" s="58" t="str">
        <f t="shared" si="147"/>
        <v/>
      </c>
      <c r="P105" s="59" t="str">
        <f t="shared" si="4"/>
        <v/>
      </c>
      <c r="Q105" s="60" t="str">
        <f t="shared" si="148"/>
        <v/>
      </c>
      <c r="R105" s="61" t="str">
        <f t="shared" si="6"/>
        <v/>
      </c>
      <c r="S105" s="56" t="str">
        <f t="shared" si="149"/>
        <v/>
      </c>
      <c r="T105" s="62" t="str">
        <f t="shared" si="150"/>
        <v/>
      </c>
      <c r="U105" s="63" t="str">
        <f t="shared" si="9"/>
        <v/>
      </c>
      <c r="V105" s="64" t="str">
        <f t="shared" si="151"/>
        <v/>
      </c>
      <c r="W105" s="65" t="str">
        <f t="shared" si="11"/>
        <v/>
      </c>
      <c r="X105" s="64" t="str">
        <f t="shared" si="152"/>
        <v/>
      </c>
      <c r="Y105" s="64" t="str">
        <f t="shared" si="153"/>
        <v/>
      </c>
      <c r="Z105" s="56" t="str">
        <f t="shared" si="154"/>
        <v/>
      </c>
      <c r="AA105" s="66" t="str">
        <f t="shared" si="155"/>
        <v/>
      </c>
      <c r="AB105" s="57" t="str">
        <f t="shared" si="16"/>
        <v/>
      </c>
      <c r="AC105" s="67" t="str">
        <f t="shared" si="156"/>
        <v/>
      </c>
      <c r="AD105" s="59" t="str">
        <f t="shared" si="157"/>
        <v/>
      </c>
      <c r="AE105" s="68" t="str">
        <f t="shared" si="158"/>
        <v/>
      </c>
      <c r="AF105" s="61" t="str">
        <f t="shared" si="159"/>
        <v/>
      </c>
      <c r="AG105" s="61" t="str">
        <f t="shared" si="160"/>
        <v/>
      </c>
      <c r="AH105" s="69" t="str">
        <f t="shared" si="161"/>
        <v/>
      </c>
      <c r="AI105" s="70" t="str">
        <f t="shared" si="23"/>
        <v/>
      </c>
      <c r="AJ105" s="64" t="str">
        <f t="shared" si="162"/>
        <v/>
      </c>
      <c r="AK105" s="64" t="str">
        <f t="shared" si="163"/>
        <v/>
      </c>
      <c r="AL105" s="64" t="str">
        <f t="shared" si="164"/>
        <v/>
      </c>
      <c r="AM105" s="64" t="str">
        <f t="shared" si="165"/>
        <v/>
      </c>
      <c r="AN105" s="64" t="str">
        <f t="shared" si="166"/>
        <v/>
      </c>
    </row>
    <row r="106" spans="1:40" ht="25.5" outlineLevel="1" thickTop="1" thickBot="1" x14ac:dyDescent="0.4">
      <c r="C106" s="113"/>
      <c r="D106" s="112"/>
      <c r="E106" s="52"/>
      <c r="F106" s="53"/>
      <c r="G106" s="53"/>
      <c r="H106" s="52"/>
      <c r="I106" s="52"/>
      <c r="J106" s="54"/>
      <c r="K106" s="54"/>
      <c r="L106" s="55" t="str">
        <f t="shared" si="145"/>
        <v/>
      </c>
      <c r="M106" s="56" t="str">
        <f t="shared" si="146"/>
        <v/>
      </c>
      <c r="N106" s="57" t="str">
        <f t="shared" si="2"/>
        <v/>
      </c>
      <c r="O106" s="58" t="str">
        <f t="shared" si="147"/>
        <v/>
      </c>
      <c r="P106" s="59" t="str">
        <f t="shared" si="4"/>
        <v/>
      </c>
      <c r="Q106" s="60" t="str">
        <f t="shared" si="148"/>
        <v/>
      </c>
      <c r="R106" s="61" t="str">
        <f t="shared" si="6"/>
        <v/>
      </c>
      <c r="S106" s="56" t="str">
        <f t="shared" si="149"/>
        <v/>
      </c>
      <c r="T106" s="62" t="str">
        <f t="shared" si="150"/>
        <v/>
      </c>
      <c r="U106" s="63" t="str">
        <f t="shared" si="9"/>
        <v/>
      </c>
      <c r="V106" s="64" t="str">
        <f t="shared" si="151"/>
        <v/>
      </c>
      <c r="W106" s="65" t="str">
        <f t="shared" si="11"/>
        <v/>
      </c>
      <c r="X106" s="64" t="str">
        <f t="shared" si="152"/>
        <v/>
      </c>
      <c r="Y106" s="64" t="str">
        <f t="shared" si="153"/>
        <v/>
      </c>
      <c r="Z106" s="56" t="str">
        <f t="shared" si="154"/>
        <v/>
      </c>
      <c r="AA106" s="66" t="str">
        <f t="shared" si="155"/>
        <v/>
      </c>
      <c r="AB106" s="57" t="str">
        <f t="shared" si="16"/>
        <v/>
      </c>
      <c r="AC106" s="67" t="str">
        <f t="shared" si="156"/>
        <v/>
      </c>
      <c r="AD106" s="59" t="str">
        <f t="shared" si="157"/>
        <v/>
      </c>
      <c r="AE106" s="68" t="str">
        <f t="shared" si="158"/>
        <v/>
      </c>
      <c r="AF106" s="61" t="str">
        <f t="shared" si="159"/>
        <v/>
      </c>
      <c r="AG106" s="61" t="str">
        <f t="shared" si="160"/>
        <v/>
      </c>
      <c r="AH106" s="69" t="str">
        <f t="shared" si="161"/>
        <v/>
      </c>
      <c r="AI106" s="70" t="str">
        <f t="shared" si="23"/>
        <v/>
      </c>
      <c r="AJ106" s="64" t="str">
        <f t="shared" si="162"/>
        <v/>
      </c>
      <c r="AK106" s="64" t="str">
        <f t="shared" si="163"/>
        <v/>
      </c>
      <c r="AL106" s="64" t="str">
        <f t="shared" si="164"/>
        <v/>
      </c>
      <c r="AM106" s="64" t="str">
        <f t="shared" si="165"/>
        <v/>
      </c>
      <c r="AN106" s="64" t="str">
        <f t="shared" si="166"/>
        <v/>
      </c>
    </row>
    <row r="107" spans="1:40" ht="24" customHeight="1" thickTop="1" x14ac:dyDescent="0.4">
      <c r="A107" s="95"/>
      <c r="B107" s="95"/>
      <c r="C107" s="95"/>
      <c r="D107" s="95"/>
      <c r="E107" s="95"/>
      <c r="F107" s="95"/>
      <c r="G107" s="95"/>
      <c r="H107" s="95"/>
      <c r="I107" s="95"/>
      <c r="J107" s="95"/>
      <c r="K107" s="95"/>
      <c r="L107" s="99" t="str">
        <f ca="1">_xlfn.CONCAT("]}, // ULTIMA LINEA DEL CANTO: ",L1)</f>
        <v>]}, // ULTIMA LINEA DEL CANTO: VAMOS YA, PASTORES</v>
      </c>
      <c r="M107" s="95"/>
    </row>
    <row r="108" spans="1:40" ht="20.25" x14ac:dyDescent="0.25">
      <c r="L108" s="100" t="s">
        <v>1008</v>
      </c>
      <c r="M108" s="101"/>
    </row>
    <row r="109" spans="1:40" ht="15.75" hidden="1" outlineLevel="1" thickBot="1" x14ac:dyDescent="0.3">
      <c r="M109" s="101"/>
    </row>
    <row r="110" spans="1:40" ht="27.75" hidden="1" outlineLevel="1" thickTop="1" thickBot="1" x14ac:dyDescent="0.4">
      <c r="A110" s="73"/>
      <c r="B110" s="73"/>
      <c r="C110" s="73"/>
      <c r="D110" s="74"/>
      <c r="E110" s="74"/>
      <c r="F110" s="74"/>
      <c r="G110" s="74"/>
      <c r="H110" s="74"/>
      <c r="I110" s="74"/>
      <c r="J110" s="74"/>
      <c r="K110" s="74"/>
      <c r="L110" s="75" t="s">
        <v>993</v>
      </c>
      <c r="M110" s="56"/>
      <c r="N110" s="57"/>
      <c r="O110" s="58"/>
      <c r="P110" s="59"/>
      <c r="Q110" s="60"/>
      <c r="R110" s="61" t="str">
        <f t="shared" ref="R110:R119" si="253">IF(N110="Do",10,IF(N110="Re",22,IF(N110="Mi",20,IF(N110="Fa",20,IF(N110="Sol",14,IF(N110="La",20,IF(N110="Si",20,IF(N110="Do#",14,IF(N110="Fa#",15,IF(N110="Sol#",20,IF(N110="Si♭",17,"")))))))))))</f>
        <v/>
      </c>
      <c r="S110" s="56"/>
      <c r="T110" s="62"/>
      <c r="U110" s="63"/>
      <c r="V110" s="64"/>
      <c r="W110" s="65"/>
      <c r="X110" s="64"/>
      <c r="Y110" s="64"/>
      <c r="Z110" s="56"/>
      <c r="AA110" s="66"/>
      <c r="AB110" s="57"/>
      <c r="AC110" s="67"/>
      <c r="AD110" s="59"/>
      <c r="AE110" s="68"/>
      <c r="AF110" s="61"/>
      <c r="AG110" s="61"/>
      <c r="AH110" s="69"/>
      <c r="AI110" s="70"/>
      <c r="AJ110" s="64"/>
      <c r="AK110" s="64"/>
      <c r="AL110" s="64"/>
      <c r="AM110" s="64"/>
      <c r="AN110" s="64"/>
    </row>
    <row r="111" spans="1:40" ht="25.5" hidden="1" outlineLevel="1" thickTop="1" thickBot="1" x14ac:dyDescent="0.4">
      <c r="C111" s="79" t="s">
        <v>995</v>
      </c>
      <c r="D111" s="80"/>
      <c r="E111" s="80"/>
      <c r="F111" s="80"/>
      <c r="G111" s="80"/>
      <c r="H111" s="80"/>
      <c r="I111" s="80"/>
      <c r="J111" s="80"/>
      <c r="K111" s="80"/>
      <c r="L111" s="118" t="s">
        <v>996</v>
      </c>
      <c r="M111" s="56" t="str">
        <f t="shared" ref="M111:M118" si="254">IF(N111="","","(")</f>
        <v/>
      </c>
      <c r="N111" s="57" t="str">
        <f t="shared" ref="N111:N118" si="255">IF(D111="","",D111)</f>
        <v/>
      </c>
      <c r="O111" s="58" t="str">
        <f t="shared" ref="O111:O118" si="256">IF(N111="","",",")</f>
        <v/>
      </c>
      <c r="P111" s="59" t="str">
        <f t="shared" ref="P111:P118" si="257">IF(E111="","",E111)</f>
        <v/>
      </c>
      <c r="Q111" s="60" t="str">
        <f t="shared" ref="Q111:Q118" si="258">IF(N111="","",",")</f>
        <v/>
      </c>
      <c r="R111" s="61" t="str">
        <f t="shared" si="253"/>
        <v/>
      </c>
      <c r="S111" s="56" t="str">
        <f t="shared" ref="S111:S118" si="259">IF(N111="","",")")</f>
        <v/>
      </c>
      <c r="T111" s="62" t="str">
        <f t="shared" ref="T111:T118" si="260">IF(U111="","","(")</f>
        <v/>
      </c>
      <c r="U111" s="63" t="str">
        <f t="shared" ref="U111:U118" si="261">IF(F111="","",F111)</f>
        <v/>
      </c>
      <c r="V111" s="64" t="str">
        <f t="shared" ref="V111:V118" si="262">IF(U111="","",",")</f>
        <v/>
      </c>
      <c r="W111" s="65" t="str">
        <f t="shared" ref="W111:W118" si="263">IF(G111="","",G111)</f>
        <v/>
      </c>
      <c r="X111" s="64" t="str">
        <f t="shared" ref="X111:X118" si="264">IF(U111="","",",")</f>
        <v/>
      </c>
      <c r="Y111" s="64" t="str">
        <f t="shared" ref="Y111:Y118" si="265">IF(U111="","",250)</f>
        <v/>
      </c>
      <c r="Z111" s="56" t="str">
        <f t="shared" ref="Z111:Z118" si="266">IF(U111="","",")")</f>
        <v/>
      </c>
      <c r="AA111" s="66" t="str">
        <f t="shared" ref="AA111:AA118" si="267">IF(AB111="","","(")</f>
        <v/>
      </c>
      <c r="AB111" s="57" t="str">
        <f t="shared" ref="AB111:AB118" si="268">IF(H111="","",H111)</f>
        <v/>
      </c>
      <c r="AC111" s="67" t="str">
        <f t="shared" ref="AC111:AC118" si="269">IF(AB111="","",",")</f>
        <v/>
      </c>
      <c r="AD111" s="59" t="str">
        <f t="shared" ref="AD111:AD118" si="270">IF(I111="","",I111)</f>
        <v/>
      </c>
      <c r="AE111" s="68" t="str">
        <f t="shared" ref="AE111:AE118" si="271">IF(AB111="","",",")</f>
        <v/>
      </c>
      <c r="AF111" s="61" t="str">
        <f t="shared" ref="AF111:AF118" si="272">IF(AB111="","",350)</f>
        <v/>
      </c>
      <c r="AG111" s="61" t="str">
        <f t="shared" ref="AG111:AG118" si="273">IF(AB111="","",")")</f>
        <v/>
      </c>
      <c r="AH111" s="69" t="str">
        <f t="shared" ref="AH111:AH118" si="274">IF(AI111="","","(")</f>
        <v/>
      </c>
      <c r="AI111" s="70" t="str">
        <f t="shared" ref="AI111:AI118" si="275">IF(J111="","",J111)</f>
        <v/>
      </c>
      <c r="AJ111" s="64" t="str">
        <f t="shared" ref="AJ111:AJ118" si="276">IF(AI111="","",",")</f>
        <v/>
      </c>
      <c r="AK111" s="64" t="str">
        <f t="shared" ref="AK111:AK118" si="277">IF(K111="","",K111)</f>
        <v/>
      </c>
      <c r="AL111" s="64" t="str">
        <f t="shared" ref="AL111:AL118" si="278">IF(AI111="","",",")</f>
        <v/>
      </c>
      <c r="AM111" s="64" t="str">
        <f t="shared" ref="AM111:AM118" si="279">IF(AI111="","",450)</f>
        <v/>
      </c>
      <c r="AN111" s="64" t="str">
        <f t="shared" ref="AN111:AN118" si="280">IF(AI111="","",")")</f>
        <v/>
      </c>
    </row>
    <row r="112" spans="1:40" ht="25.5" hidden="1" outlineLevel="1" thickTop="1" thickBot="1" x14ac:dyDescent="0.4">
      <c r="B112" t="s">
        <v>997</v>
      </c>
      <c r="C112" s="82" t="s">
        <v>998</v>
      </c>
      <c r="D112" s="83"/>
      <c r="E112" s="83"/>
      <c r="F112" s="83"/>
      <c r="G112" s="83"/>
      <c r="H112" s="83"/>
      <c r="I112" s="83"/>
      <c r="J112" s="83"/>
      <c r="K112" s="83"/>
      <c r="L112" s="119" t="str">
        <f>IF(C112="","",_xlfn.CONCAT("       triggerLine: ","""",C112,", ",M112:AN112,""", sC: ","""",B112,""", lines: ["))</f>
        <v xml:space="preserve">       triggerLine: "ASAMBLEA UNO, ", sC: "ta as", lines: [</v>
      </c>
      <c r="M112" s="56" t="str">
        <f t="shared" si="254"/>
        <v/>
      </c>
      <c r="N112" s="57" t="str">
        <f t="shared" si="255"/>
        <v/>
      </c>
      <c r="O112" s="58" t="str">
        <f t="shared" si="256"/>
        <v/>
      </c>
      <c r="P112" s="59" t="str">
        <f t="shared" si="257"/>
        <v/>
      </c>
      <c r="Q112" s="60" t="str">
        <f t="shared" si="258"/>
        <v/>
      </c>
      <c r="R112" s="61" t="str">
        <f t="shared" si="253"/>
        <v/>
      </c>
      <c r="S112" s="56" t="str">
        <f t="shared" si="259"/>
        <v/>
      </c>
      <c r="T112" s="62" t="str">
        <f t="shared" si="260"/>
        <v/>
      </c>
      <c r="U112" s="63" t="str">
        <f t="shared" si="261"/>
        <v/>
      </c>
      <c r="V112" s="64" t="str">
        <f t="shared" si="262"/>
        <v/>
      </c>
      <c r="W112" s="65" t="str">
        <f t="shared" si="263"/>
        <v/>
      </c>
      <c r="X112" s="64" t="str">
        <f t="shared" si="264"/>
        <v/>
      </c>
      <c r="Y112" s="64" t="str">
        <f t="shared" si="265"/>
        <v/>
      </c>
      <c r="Z112" s="56" t="str">
        <f t="shared" si="266"/>
        <v/>
      </c>
      <c r="AA112" s="66" t="str">
        <f t="shared" si="267"/>
        <v/>
      </c>
      <c r="AB112" s="57" t="str">
        <f t="shared" si="268"/>
        <v/>
      </c>
      <c r="AC112" s="67" t="str">
        <f t="shared" si="269"/>
        <v/>
      </c>
      <c r="AD112" s="59" t="str">
        <f t="shared" si="270"/>
        <v/>
      </c>
      <c r="AE112" s="68" t="str">
        <f t="shared" si="271"/>
        <v/>
      </c>
      <c r="AF112" s="61" t="str">
        <f t="shared" si="272"/>
        <v/>
      </c>
      <c r="AG112" s="61" t="str">
        <f t="shared" si="273"/>
        <v/>
      </c>
      <c r="AH112" s="69" t="str">
        <f t="shared" si="274"/>
        <v/>
      </c>
      <c r="AI112" s="70" t="str">
        <f t="shared" si="275"/>
        <v/>
      </c>
      <c r="AJ112" s="64" t="str">
        <f t="shared" si="276"/>
        <v/>
      </c>
      <c r="AK112" s="64" t="str">
        <f t="shared" si="277"/>
        <v/>
      </c>
      <c r="AL112" s="64" t="str">
        <f t="shared" si="278"/>
        <v/>
      </c>
      <c r="AM112" s="64" t="str">
        <f t="shared" si="279"/>
        <v/>
      </c>
      <c r="AN112" s="64" t="str">
        <f t="shared" si="280"/>
        <v/>
      </c>
    </row>
    <row r="113" spans="1:40" ht="25.5" hidden="1" outlineLevel="1" thickTop="1" thickBot="1" x14ac:dyDescent="0.4">
      <c r="B113" t="s">
        <v>999</v>
      </c>
      <c r="C113" s="85" t="s">
        <v>1000</v>
      </c>
      <c r="D113" s="86"/>
      <c r="E113" s="86"/>
      <c r="F113" s="86"/>
      <c r="G113" s="86"/>
      <c r="H113" s="87"/>
      <c r="I113" s="87"/>
      <c r="J113" s="87"/>
      <c r="K113" s="87"/>
      <c r="L113" s="120" t="str">
        <f>IF(C113="","",_xlfn.CONCAT("            { line: ","""",C113,", ",M113:AN113,""", sC: ","""",B113,"""},"))</f>
        <v xml:space="preserve">            { line: "ASAMBLEA DOS, ", sC: "as"},</v>
      </c>
      <c r="M113" s="56" t="str">
        <f t="shared" si="254"/>
        <v/>
      </c>
      <c r="N113" s="57" t="str">
        <f t="shared" si="255"/>
        <v/>
      </c>
      <c r="O113" s="58" t="str">
        <f t="shared" si="256"/>
        <v/>
      </c>
      <c r="P113" s="59" t="str">
        <f t="shared" si="257"/>
        <v/>
      </c>
      <c r="Q113" s="60" t="str">
        <f t="shared" si="258"/>
        <v/>
      </c>
      <c r="R113" s="61" t="str">
        <f t="shared" si="253"/>
        <v/>
      </c>
      <c r="S113" s="56" t="str">
        <f t="shared" si="259"/>
        <v/>
      </c>
      <c r="T113" s="62" t="str">
        <f t="shared" si="260"/>
        <v/>
      </c>
      <c r="U113" s="63" t="str">
        <f t="shared" si="261"/>
        <v/>
      </c>
      <c r="V113" s="64" t="str">
        <f t="shared" si="262"/>
        <v/>
      </c>
      <c r="W113" s="65" t="str">
        <f t="shared" si="263"/>
        <v/>
      </c>
      <c r="X113" s="64" t="str">
        <f t="shared" si="264"/>
        <v/>
      </c>
      <c r="Y113" s="64" t="str">
        <f t="shared" si="265"/>
        <v/>
      </c>
      <c r="Z113" s="56" t="str">
        <f t="shared" si="266"/>
        <v/>
      </c>
      <c r="AA113" s="66" t="str">
        <f t="shared" si="267"/>
        <v/>
      </c>
      <c r="AB113" s="57" t="str">
        <f t="shared" si="268"/>
        <v/>
      </c>
      <c r="AC113" s="67" t="str">
        <f t="shared" si="269"/>
        <v/>
      </c>
      <c r="AD113" s="59" t="str">
        <f t="shared" si="270"/>
        <v/>
      </c>
      <c r="AE113" s="68" t="str">
        <f t="shared" si="271"/>
        <v/>
      </c>
      <c r="AF113" s="61" t="str">
        <f t="shared" si="272"/>
        <v/>
      </c>
      <c r="AG113" s="61" t="str">
        <f t="shared" si="273"/>
        <v/>
      </c>
      <c r="AH113" s="69" t="str">
        <f t="shared" si="274"/>
        <v/>
      </c>
      <c r="AI113" s="70" t="str">
        <f t="shared" si="275"/>
        <v/>
      </c>
      <c r="AJ113" s="64" t="str">
        <f t="shared" si="276"/>
        <v/>
      </c>
      <c r="AK113" s="64" t="str">
        <f t="shared" si="277"/>
        <v/>
      </c>
      <c r="AL113" s="64" t="str">
        <f t="shared" si="278"/>
        <v/>
      </c>
      <c r="AM113" s="64" t="str">
        <f t="shared" si="279"/>
        <v/>
      </c>
      <c r="AN113" s="64" t="str">
        <f t="shared" si="280"/>
        <v/>
      </c>
    </row>
    <row r="114" spans="1:40" ht="25.5" hidden="1" outlineLevel="1" thickTop="1" thickBot="1" x14ac:dyDescent="0.4">
      <c r="B114" t="s">
        <v>999</v>
      </c>
      <c r="C114" s="85" t="s">
        <v>1001</v>
      </c>
      <c r="D114" s="89"/>
      <c r="E114" s="89"/>
      <c r="F114" s="89"/>
      <c r="G114" s="89"/>
      <c r="H114" s="90"/>
      <c r="I114" s="90"/>
      <c r="J114" s="90"/>
      <c r="K114" s="90"/>
      <c r="L114" s="120" t="str">
        <f>IF(C114="","",_xlfn.CONCAT("            { line: ","""",C114,", ",M114:AN114,""", sC: ","""",B114,"""},"))</f>
        <v xml:space="preserve">            { line: "ASAMBLEA TRES, ", sC: "as"},</v>
      </c>
      <c r="M114" s="56" t="str">
        <f t="shared" si="254"/>
        <v/>
      </c>
      <c r="N114" s="57" t="str">
        <f t="shared" si="255"/>
        <v/>
      </c>
      <c r="O114" s="58" t="str">
        <f t="shared" si="256"/>
        <v/>
      </c>
      <c r="P114" s="59" t="str">
        <f t="shared" si="257"/>
        <v/>
      </c>
      <c r="Q114" s="60" t="str">
        <f t="shared" si="258"/>
        <v/>
      </c>
      <c r="R114" s="61" t="str">
        <f t="shared" si="253"/>
        <v/>
      </c>
      <c r="S114" s="56" t="str">
        <f t="shared" si="259"/>
        <v/>
      </c>
      <c r="T114" s="62" t="str">
        <f t="shared" si="260"/>
        <v/>
      </c>
      <c r="U114" s="63" t="str">
        <f t="shared" si="261"/>
        <v/>
      </c>
      <c r="V114" s="64" t="str">
        <f t="shared" si="262"/>
        <v/>
      </c>
      <c r="W114" s="65" t="str">
        <f t="shared" si="263"/>
        <v/>
      </c>
      <c r="X114" s="64" t="str">
        <f t="shared" si="264"/>
        <v/>
      </c>
      <c r="Y114" s="64" t="str">
        <f t="shared" si="265"/>
        <v/>
      </c>
      <c r="Z114" s="56" t="str">
        <f t="shared" si="266"/>
        <v/>
      </c>
      <c r="AA114" s="66" t="str">
        <f t="shared" si="267"/>
        <v/>
      </c>
      <c r="AB114" s="57" t="str">
        <f t="shared" si="268"/>
        <v/>
      </c>
      <c r="AC114" s="67" t="str">
        <f t="shared" si="269"/>
        <v/>
      </c>
      <c r="AD114" s="59" t="str">
        <f t="shared" si="270"/>
        <v/>
      </c>
      <c r="AE114" s="68" t="str">
        <f t="shared" si="271"/>
        <v/>
      </c>
      <c r="AF114" s="61" t="str">
        <f t="shared" si="272"/>
        <v/>
      </c>
      <c r="AG114" s="61" t="str">
        <f t="shared" si="273"/>
        <v/>
      </c>
      <c r="AH114" s="69" t="str">
        <f t="shared" si="274"/>
        <v/>
      </c>
      <c r="AI114" s="70" t="str">
        <f t="shared" si="275"/>
        <v/>
      </c>
      <c r="AJ114" s="64" t="str">
        <f t="shared" si="276"/>
        <v/>
      </c>
      <c r="AK114" s="64" t="str">
        <f t="shared" si="277"/>
        <v/>
      </c>
      <c r="AL114" s="64" t="str">
        <f t="shared" si="278"/>
        <v/>
      </c>
      <c r="AM114" s="64" t="str">
        <f t="shared" si="279"/>
        <v/>
      </c>
      <c r="AN114" s="64" t="str">
        <f t="shared" si="280"/>
        <v/>
      </c>
    </row>
    <row r="115" spans="1:40" ht="25.5" hidden="1" outlineLevel="1" thickTop="1" thickBot="1" x14ac:dyDescent="0.4">
      <c r="B115" t="s">
        <v>999</v>
      </c>
      <c r="C115" s="85" t="s">
        <v>1002</v>
      </c>
      <c r="D115" s="86"/>
      <c r="E115" s="86"/>
      <c r="F115" s="86"/>
      <c r="G115" s="86"/>
      <c r="H115" s="87"/>
      <c r="I115" s="87"/>
      <c r="J115" s="87"/>
      <c r="K115" s="87"/>
      <c r="L115" s="120" t="str">
        <f>IF(C115="","",_xlfn.CONCAT("            { line: ","""",C115,", ",M115:AN115,""", sC: ","""",B115,"""},"))</f>
        <v xml:space="preserve">            { line: "ASAMBLEA CUATRO, ", sC: "as"},</v>
      </c>
      <c r="M115" s="56" t="str">
        <f t="shared" si="254"/>
        <v/>
      </c>
      <c r="N115" s="57" t="str">
        <f t="shared" si="255"/>
        <v/>
      </c>
      <c r="O115" s="58" t="str">
        <f t="shared" si="256"/>
        <v/>
      </c>
      <c r="P115" s="59" t="str">
        <f t="shared" si="257"/>
        <v/>
      </c>
      <c r="Q115" s="60" t="str">
        <f t="shared" si="258"/>
        <v/>
      </c>
      <c r="R115" s="61" t="str">
        <f t="shared" si="253"/>
        <v/>
      </c>
      <c r="S115" s="56" t="str">
        <f t="shared" si="259"/>
        <v/>
      </c>
      <c r="T115" s="62" t="str">
        <f t="shared" si="260"/>
        <v/>
      </c>
      <c r="U115" s="63" t="str">
        <f t="shared" si="261"/>
        <v/>
      </c>
      <c r="V115" s="64" t="str">
        <f t="shared" si="262"/>
        <v/>
      </c>
      <c r="W115" s="65" t="str">
        <f t="shared" si="263"/>
        <v/>
      </c>
      <c r="X115" s="64" t="str">
        <f t="shared" si="264"/>
        <v/>
      </c>
      <c r="Y115" s="64" t="str">
        <f t="shared" si="265"/>
        <v/>
      </c>
      <c r="Z115" s="56" t="str">
        <f t="shared" si="266"/>
        <v/>
      </c>
      <c r="AA115" s="66" t="str">
        <f t="shared" si="267"/>
        <v/>
      </c>
      <c r="AB115" s="57" t="str">
        <f t="shared" si="268"/>
        <v/>
      </c>
      <c r="AC115" s="67" t="str">
        <f t="shared" si="269"/>
        <v/>
      </c>
      <c r="AD115" s="59" t="str">
        <f t="shared" si="270"/>
        <v/>
      </c>
      <c r="AE115" s="68" t="str">
        <f t="shared" si="271"/>
        <v/>
      </c>
      <c r="AF115" s="61" t="str">
        <f t="shared" si="272"/>
        <v/>
      </c>
      <c r="AG115" s="61" t="str">
        <f t="shared" si="273"/>
        <v/>
      </c>
      <c r="AH115" s="69" t="str">
        <f t="shared" si="274"/>
        <v/>
      </c>
      <c r="AI115" s="70" t="str">
        <f t="shared" si="275"/>
        <v/>
      </c>
      <c r="AJ115" s="64" t="str">
        <f t="shared" si="276"/>
        <v/>
      </c>
      <c r="AK115" s="64" t="str">
        <f t="shared" si="277"/>
        <v/>
      </c>
      <c r="AL115" s="64" t="str">
        <f t="shared" si="278"/>
        <v/>
      </c>
      <c r="AM115" s="64" t="str">
        <f t="shared" si="279"/>
        <v/>
      </c>
      <c r="AN115" s="64" t="str">
        <f t="shared" si="280"/>
        <v/>
      </c>
    </row>
    <row r="116" spans="1:40" ht="25.5" hidden="1" outlineLevel="1" thickTop="1" thickBot="1" x14ac:dyDescent="0.4">
      <c r="B116" t="s">
        <v>999</v>
      </c>
      <c r="C116" s="85" t="s">
        <v>1003</v>
      </c>
      <c r="D116" s="89"/>
      <c r="E116" s="89"/>
      <c r="F116" s="89"/>
      <c r="G116" s="89"/>
      <c r="H116" s="90"/>
      <c r="I116" s="90"/>
      <c r="J116" s="90"/>
      <c r="K116" s="90"/>
      <c r="L116" s="120" t="str">
        <f>IF(C116="","",_xlfn.CONCAT("            { line: ","""",C116,", ",M116:AN116,""", sC: ","""",B116,"""},"))</f>
        <v xml:space="preserve">            { line: "ASAMBLEA CISCO, ", sC: "as"},</v>
      </c>
      <c r="M116" s="56" t="str">
        <f t="shared" si="254"/>
        <v/>
      </c>
      <c r="N116" s="57" t="str">
        <f t="shared" si="255"/>
        <v/>
      </c>
      <c r="O116" s="58" t="str">
        <f t="shared" si="256"/>
        <v/>
      </c>
      <c r="P116" s="59" t="str">
        <f t="shared" si="257"/>
        <v/>
      </c>
      <c r="Q116" s="60" t="str">
        <f t="shared" si="258"/>
        <v/>
      </c>
      <c r="R116" s="61" t="str">
        <f t="shared" si="253"/>
        <v/>
      </c>
      <c r="S116" s="56" t="str">
        <f t="shared" si="259"/>
        <v/>
      </c>
      <c r="T116" s="62" t="str">
        <f t="shared" si="260"/>
        <v/>
      </c>
      <c r="U116" s="63" t="str">
        <f t="shared" si="261"/>
        <v/>
      </c>
      <c r="V116" s="64" t="str">
        <f t="shared" si="262"/>
        <v/>
      </c>
      <c r="W116" s="65" t="str">
        <f t="shared" si="263"/>
        <v/>
      </c>
      <c r="X116" s="64" t="str">
        <f t="shared" si="264"/>
        <v/>
      </c>
      <c r="Y116" s="64" t="str">
        <f t="shared" si="265"/>
        <v/>
      </c>
      <c r="Z116" s="56" t="str">
        <f t="shared" si="266"/>
        <v/>
      </c>
      <c r="AA116" s="66" t="str">
        <f t="shared" si="267"/>
        <v/>
      </c>
      <c r="AB116" s="57" t="str">
        <f t="shared" si="268"/>
        <v/>
      </c>
      <c r="AC116" s="67" t="str">
        <f t="shared" si="269"/>
        <v/>
      </c>
      <c r="AD116" s="59" t="str">
        <f t="shared" si="270"/>
        <v/>
      </c>
      <c r="AE116" s="68" t="str">
        <f t="shared" si="271"/>
        <v/>
      </c>
      <c r="AF116" s="61" t="str">
        <f t="shared" si="272"/>
        <v/>
      </c>
      <c r="AG116" s="61" t="str">
        <f t="shared" si="273"/>
        <v/>
      </c>
      <c r="AH116" s="69" t="str">
        <f t="shared" si="274"/>
        <v/>
      </c>
      <c r="AI116" s="70" t="str">
        <f t="shared" si="275"/>
        <v/>
      </c>
      <c r="AJ116" s="64" t="str">
        <f t="shared" si="276"/>
        <v/>
      </c>
      <c r="AK116" s="64" t="str">
        <f t="shared" si="277"/>
        <v/>
      </c>
      <c r="AL116" s="64" t="str">
        <f t="shared" si="278"/>
        <v/>
      </c>
      <c r="AM116" s="64" t="str">
        <f t="shared" si="279"/>
        <v/>
      </c>
      <c r="AN116" s="64" t="str">
        <f t="shared" si="280"/>
        <v/>
      </c>
    </row>
    <row r="117" spans="1:40" ht="25.5" hidden="1" outlineLevel="1" thickTop="1" thickBot="1" x14ac:dyDescent="0.4">
      <c r="B117" t="s">
        <v>999</v>
      </c>
      <c r="C117" s="85" t="s">
        <v>1004</v>
      </c>
      <c r="D117" s="91"/>
      <c r="E117" s="91"/>
      <c r="F117" s="91"/>
      <c r="G117" s="91"/>
      <c r="H117" s="92"/>
      <c r="I117" s="92"/>
      <c r="J117" s="92"/>
      <c r="K117" s="92"/>
      <c r="L117" s="120" t="str">
        <f>IF(C117="","",_xlfn.CONCAT("            { line: ","""",C117,", ",M117:AN117,""", sC: ","""",B117,"""},"))</f>
        <v xml:space="preserve">            { line: "ASAMBLEA SEIS, ", sC: "as"},</v>
      </c>
      <c r="M117" s="56" t="str">
        <f t="shared" si="254"/>
        <v/>
      </c>
      <c r="N117" s="57" t="str">
        <f t="shared" si="255"/>
        <v/>
      </c>
      <c r="O117" s="58" t="str">
        <f t="shared" si="256"/>
        <v/>
      </c>
      <c r="P117" s="59" t="str">
        <f t="shared" si="257"/>
        <v/>
      </c>
      <c r="Q117" s="60" t="str">
        <f t="shared" si="258"/>
        <v/>
      </c>
      <c r="R117" s="61" t="str">
        <f t="shared" si="253"/>
        <v/>
      </c>
      <c r="S117" s="56" t="str">
        <f t="shared" si="259"/>
        <v/>
      </c>
      <c r="T117" s="62" t="str">
        <f t="shared" si="260"/>
        <v/>
      </c>
      <c r="U117" s="63" t="str">
        <f t="shared" si="261"/>
        <v/>
      </c>
      <c r="V117" s="64" t="str">
        <f t="shared" si="262"/>
        <v/>
      </c>
      <c r="W117" s="65" t="str">
        <f t="shared" si="263"/>
        <v/>
      </c>
      <c r="X117" s="64" t="str">
        <f t="shared" si="264"/>
        <v/>
      </c>
      <c r="Y117" s="64" t="str">
        <f t="shared" si="265"/>
        <v/>
      </c>
      <c r="Z117" s="56" t="str">
        <f t="shared" si="266"/>
        <v/>
      </c>
      <c r="AA117" s="66" t="str">
        <f t="shared" si="267"/>
        <v/>
      </c>
      <c r="AB117" s="57" t="str">
        <f t="shared" si="268"/>
        <v/>
      </c>
      <c r="AC117" s="67" t="str">
        <f t="shared" si="269"/>
        <v/>
      </c>
      <c r="AD117" s="59" t="str">
        <f t="shared" si="270"/>
        <v/>
      </c>
      <c r="AE117" s="68" t="str">
        <f t="shared" si="271"/>
        <v/>
      </c>
      <c r="AF117" s="61" t="str">
        <f t="shared" si="272"/>
        <v/>
      </c>
      <c r="AG117" s="61" t="str">
        <f t="shared" si="273"/>
        <v/>
      </c>
      <c r="AH117" s="69" t="str">
        <f t="shared" si="274"/>
        <v/>
      </c>
      <c r="AI117" s="70" t="str">
        <f t="shared" si="275"/>
        <v/>
      </c>
      <c r="AJ117" s="64" t="str">
        <f t="shared" si="276"/>
        <v/>
      </c>
      <c r="AK117" s="64" t="str">
        <f t="shared" si="277"/>
        <v/>
      </c>
      <c r="AL117" s="64" t="str">
        <f t="shared" si="278"/>
        <v/>
      </c>
      <c r="AM117" s="64" t="str">
        <f t="shared" si="279"/>
        <v/>
      </c>
      <c r="AN117" s="64" t="str">
        <f t="shared" si="280"/>
        <v/>
      </c>
    </row>
    <row r="118" spans="1:40" ht="25.5" hidden="1" outlineLevel="1" thickTop="1" thickBot="1" x14ac:dyDescent="0.4">
      <c r="B118" t="s">
        <v>999</v>
      </c>
      <c r="C118" s="93" t="s">
        <v>1005</v>
      </c>
      <c r="D118" s="83"/>
      <c r="E118" s="83"/>
      <c r="F118" s="83"/>
      <c r="G118" s="83"/>
      <c r="H118" s="83"/>
      <c r="I118" s="83"/>
      <c r="J118" s="83"/>
      <c r="K118" s="83"/>
      <c r="L118" s="121" t="str">
        <f>IF(C118="","",_xlfn.CONCAT("            { line: ","""",C118,", ",M118:AN118,""", sC: ","""",B118,"""},  ]},"))</f>
        <v xml:space="preserve">            { line: "ASAMBLEA CIERRE, ", sC: "as"},  ]},</v>
      </c>
      <c r="M118" s="56" t="str">
        <f t="shared" si="254"/>
        <v/>
      </c>
      <c r="N118" s="57" t="str">
        <f t="shared" si="255"/>
        <v/>
      </c>
      <c r="O118" s="58" t="str">
        <f t="shared" si="256"/>
        <v/>
      </c>
      <c r="P118" s="59" t="str">
        <f t="shared" si="257"/>
        <v/>
      </c>
      <c r="Q118" s="60" t="str">
        <f t="shared" si="258"/>
        <v/>
      </c>
      <c r="R118" s="61" t="str">
        <f t="shared" si="253"/>
        <v/>
      </c>
      <c r="S118" s="56" t="str">
        <f t="shared" si="259"/>
        <v/>
      </c>
      <c r="T118" s="62" t="str">
        <f t="shared" si="260"/>
        <v/>
      </c>
      <c r="U118" s="63" t="str">
        <f t="shared" si="261"/>
        <v/>
      </c>
      <c r="V118" s="64" t="str">
        <f t="shared" si="262"/>
        <v/>
      </c>
      <c r="W118" s="65" t="str">
        <f t="shared" si="263"/>
        <v/>
      </c>
      <c r="X118" s="64" t="str">
        <f t="shared" si="264"/>
        <v/>
      </c>
      <c r="Y118" s="64" t="str">
        <f t="shared" si="265"/>
        <v/>
      </c>
      <c r="Z118" s="56" t="str">
        <f t="shared" si="266"/>
        <v/>
      </c>
      <c r="AA118" s="66" t="str">
        <f t="shared" si="267"/>
        <v/>
      </c>
      <c r="AB118" s="57" t="str">
        <f t="shared" si="268"/>
        <v/>
      </c>
      <c r="AC118" s="67" t="str">
        <f t="shared" si="269"/>
        <v/>
      </c>
      <c r="AD118" s="59" t="str">
        <f t="shared" si="270"/>
        <v/>
      </c>
      <c r="AE118" s="68" t="str">
        <f t="shared" si="271"/>
        <v/>
      </c>
      <c r="AF118" s="61" t="str">
        <f t="shared" si="272"/>
        <v/>
      </c>
      <c r="AG118" s="61" t="str">
        <f t="shared" si="273"/>
        <v/>
      </c>
      <c r="AH118" s="69" t="str">
        <f t="shared" si="274"/>
        <v/>
      </c>
      <c r="AI118" s="70" t="str">
        <f t="shared" si="275"/>
        <v/>
      </c>
      <c r="AJ118" s="64" t="str">
        <f t="shared" si="276"/>
        <v/>
      </c>
      <c r="AK118" s="64" t="str">
        <f t="shared" si="277"/>
        <v/>
      </c>
      <c r="AL118" s="64" t="str">
        <f t="shared" si="278"/>
        <v/>
      </c>
      <c r="AM118" s="64" t="str">
        <f t="shared" si="279"/>
        <v/>
      </c>
      <c r="AN118" s="64" t="str">
        <f t="shared" si="280"/>
        <v/>
      </c>
    </row>
    <row r="119" spans="1:40" ht="27.75" hidden="1" outlineLevel="1" thickTop="1" thickBot="1" x14ac:dyDescent="0.4">
      <c r="A119" s="73"/>
      <c r="B119" s="73"/>
      <c r="C119" s="73"/>
      <c r="D119" s="74"/>
      <c r="E119" s="74"/>
      <c r="F119" s="74"/>
      <c r="G119" s="74"/>
      <c r="H119" s="74"/>
      <c r="I119" s="74"/>
      <c r="J119" s="74"/>
      <c r="K119" s="74"/>
      <c r="L119" s="75" t="s">
        <v>993</v>
      </c>
      <c r="M119" s="56"/>
      <c r="N119" s="57"/>
      <c r="O119" s="58"/>
      <c r="P119" s="59"/>
      <c r="Q119" s="60"/>
      <c r="R119" s="61" t="str">
        <f t="shared" si="253"/>
        <v/>
      </c>
      <c r="S119" s="56"/>
      <c r="T119" s="62"/>
      <c r="U119" s="63"/>
      <c r="V119" s="64"/>
      <c r="W119" s="65"/>
      <c r="X119" s="64"/>
      <c r="Y119" s="64"/>
      <c r="Z119" s="56"/>
      <c r="AA119" s="66"/>
      <c r="AB119" s="57"/>
      <c r="AC119" s="67"/>
      <c r="AD119" s="59"/>
      <c r="AE119" s="68"/>
      <c r="AF119" s="61"/>
      <c r="AG119" s="61"/>
      <c r="AH119" s="69"/>
      <c r="AI119" s="70"/>
      <c r="AJ119" s="64"/>
      <c r="AK119" s="64"/>
      <c r="AL119" s="64"/>
      <c r="AM119" s="64"/>
      <c r="AN119" s="64"/>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166</v>
      </c>
      <c r="E1" s="40"/>
      <c r="F1" s="40"/>
      <c r="G1" s="40"/>
      <c r="H1" s="40"/>
      <c r="I1" s="40"/>
      <c r="J1" s="40"/>
      <c r="K1" s="40"/>
      <c r="L1" s="41" t="str">
        <f ca="1">UPPER(VLOOKUP(C1,Table223[],3,FALSE))</f>
        <v>VEN DEL LÍBANO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 DEL LÍBANO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vendellibano</v>
      </c>
      <c r="L7" s="48" t="str">
        <f ca="1">_xlfn.CONCAT("        id: ","""",C7,"""",",")</f>
        <v xml:space="preserve">        id: "vendellibano",</v>
      </c>
    </row>
    <row r="8" spans="2:32" ht="23.25" x14ac:dyDescent="0.25">
      <c r="C8" t="str">
        <f ca="1">PROPER(L1)</f>
        <v>Ven Del Líbano</v>
      </c>
      <c r="L8" s="48" t="str">
        <f ca="1">_xlfn.CONCAT("        tt: ","""",C8,"""",",")</f>
        <v xml:space="preserve">        tt: "Ven Del Líbano",</v>
      </c>
    </row>
    <row r="9" spans="2:32" ht="23.25" x14ac:dyDescent="0.25">
      <c r="C9" t="str">
        <f ca="1">PROPER(L1)</f>
        <v>Ven Del Líbano</v>
      </c>
      <c r="L9" s="48" t="str">
        <f ca="1">_xlfn.CONCAT("        title: ","""",C9,"""",",")</f>
        <v xml:space="preserve">        title: "Ven Del Líbano",</v>
      </c>
    </row>
    <row r="10" spans="2:32" ht="23.25" x14ac:dyDescent="0.25">
      <c r="C10" t="str">
        <f ca="1">VLOOKUP(C1,Table223[],4,FALSE)</f>
        <v>Cantar de los cantares 4,8ss</v>
      </c>
      <c r="L10" s="48" t="str">
        <f ca="1">_xlfn.CONCAT("        ","subtitle: ","""",C10,"""",",")</f>
        <v xml:space="preserve">        subtitle: "Cantar de los cantares 4,8ss",</v>
      </c>
    </row>
    <row r="11" spans="2:32" ht="23.25" x14ac:dyDescent="0.25">
      <c r="C11" t="str">
        <f ca="1">_xlfn.CONCAT("category: [",VLOOKUP(C1,Table223[],16,FALSE),"],")</f>
        <v>category: ["Precatecumenado","Pascua","Pentecostés","Entrada","Comunión","Antiguo Testamento"],</v>
      </c>
      <c r="L11" s="48" t="str">
        <f ca="1">_xlfn.CONCAT("        ",C11)</f>
        <v xml:space="preserve">        category: ["Precatecumenado","Pascua","Pentecostés","Entrada","Comunión","Antiguo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166</v>
      </c>
      <c r="L16" s="48" t="str">
        <f ca="1">_xlfn.CONCAT("        dbno: ","""",C16,"""",",")</f>
        <v xml:space="preserve">        dbno: "166",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vendellibano</v>
      </c>
      <c r="L19" s="48" t="str">
        <f ca="1">_xlfn.CONCAT("        audioSrc: ","""/audio/",C19,".mp3""",",")</f>
        <v xml:space="preserve">        audioSrc: "/audio/vendellibano.mp3",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165</v>
      </c>
      <c r="C26" t="str">
        <f ca="1">VLOOKUP(B26,Table4[],13,FALSE)</f>
        <v>"/src/index.html?canto=vamosyapastores"</v>
      </c>
      <c r="L26" s="48" t="str">
        <f ca="1">_xlfn.CONCAT("        ant: ",C26,",")</f>
        <v xml:space="preserve">        ant: "/src/index.html?canto=vamosyapastores",</v>
      </c>
    </row>
    <row r="27" spans="1:40" ht="23.25" x14ac:dyDescent="0.25">
      <c r="B27">
        <f ca="1">+C1+1</f>
        <v>167</v>
      </c>
      <c r="C27" t="str">
        <f ca="1">VLOOKUP(B27,Table4[],13,FALSE)</f>
        <v>"/src/index.html?canto=venespiritusanto"</v>
      </c>
      <c r="L27" s="48" t="str">
        <f ca="1">_xlfn.CONCAT("        sig: ",C27,",")</f>
        <v xml:space="preserve">        sig: "/src/index.html?canto=venespiritusanto",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VEN DEL LÍBANO</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code</vt:lpstr>
      <vt:lpstr>Indice</vt:lpstr>
      <vt:lpstr>Index</vt:lpstr>
      <vt:lpstr>Index Web</vt:lpstr>
      <vt:lpstr>cantosJS</vt:lpstr>
      <vt:lpstr>QUÉ AMABLES SON TUS MORADAS (2)</vt:lpstr>
      <vt:lpstr>Find</vt:lpstr>
      <vt:lpstr>html</vt:lpstr>
      <vt:lpstr>UN RETOÑO BROTA DEL TRONCO DE J</vt:lpstr>
      <vt:lpstr>UNA GRAN SEÑAL</vt:lpstr>
      <vt:lpstr>URÍ, URÍ, URÁ</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2025-09-30T15:40:19Z</dcterms:modified>
</cp:coreProperties>
</file>