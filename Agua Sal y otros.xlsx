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13_ncr:1_{D6F2E73E-7DA4-47BE-AE07-CAABA2221364}" xr6:coauthVersionLast="47" xr6:coauthVersionMax="47" xr10:uidLastSave="{00000000-0000-0000-0000-000000000000}"/>
  <bookViews>
    <workbookView xWindow="-120" yWindow="-120" windowWidth="51840" windowHeight="21120" xr2:uid="{9F968361-B722-4CC5-BABF-39CDA68BF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Q10" i="1"/>
  <c r="Q9" i="1"/>
  <c r="Q8" i="1"/>
  <c r="Q7" i="1"/>
  <c r="Q6" i="1"/>
  <c r="P8" i="1"/>
  <c r="P9" i="1"/>
  <c r="P6" i="1"/>
  <c r="N18" i="1"/>
  <c r="I6" i="1"/>
  <c r="I7" i="1"/>
  <c r="P7" i="1" s="1"/>
  <c r="I8" i="1"/>
  <c r="I9" i="1"/>
  <c r="I10" i="1"/>
  <c r="P10" i="1" s="1"/>
  <c r="I11" i="1"/>
  <c r="P11" i="1" s="1"/>
  <c r="L19" i="1"/>
  <c r="L18" i="1"/>
  <c r="J18" i="1"/>
  <c r="J17" i="1"/>
  <c r="L11" i="1"/>
  <c r="N11" i="1" s="1"/>
  <c r="L10" i="1"/>
  <c r="M10" i="1" s="1"/>
  <c r="L9" i="1"/>
  <c r="N9" i="1" s="1"/>
  <c r="L8" i="1"/>
  <c r="O8" i="1" s="1"/>
  <c r="L7" i="1"/>
  <c r="M7" i="1" s="1"/>
  <c r="C8" i="1"/>
  <c r="E8" i="1"/>
  <c r="G8" i="1" s="1"/>
  <c r="C9" i="1"/>
  <c r="E9" i="1"/>
  <c r="F9" i="1" s="1"/>
  <c r="C10" i="1"/>
  <c r="E10" i="1"/>
  <c r="H10" i="1" s="1"/>
  <c r="G10" i="1"/>
  <c r="C11" i="1"/>
  <c r="E11" i="1"/>
  <c r="F11" i="1" s="1"/>
  <c r="C6" i="1"/>
  <c r="C7" i="1"/>
  <c r="E7" i="1"/>
  <c r="H7" i="1" s="1"/>
  <c r="J6" i="1"/>
  <c r="F10" i="1" l="1"/>
  <c r="M9" i="1"/>
  <c r="M8" i="1"/>
  <c r="N8" i="1"/>
  <c r="O7" i="1"/>
  <c r="O9" i="1"/>
  <c r="O10" i="1"/>
  <c r="O11" i="1"/>
  <c r="N7" i="1"/>
  <c r="H11" i="1"/>
  <c r="M11" i="1"/>
  <c r="N10" i="1"/>
  <c r="F8" i="1"/>
  <c r="J10" i="1"/>
  <c r="H9" i="1"/>
  <c r="G9" i="1"/>
  <c r="G11" i="1"/>
  <c r="H8" i="1"/>
  <c r="G7" i="1"/>
  <c r="F7" i="1"/>
  <c r="J8" i="1" l="1"/>
  <c r="J11" i="1"/>
  <c r="J9" i="1"/>
  <c r="J7" i="1"/>
</calcChain>
</file>

<file path=xl/sharedStrings.xml><?xml version="1.0" encoding="utf-8"?>
<sst xmlns="http://schemas.openxmlformats.org/spreadsheetml/2006/main" count="22" uniqueCount="22">
  <si>
    <t>Porcentaje</t>
  </si>
  <si>
    <t>Total Liquido x0.6</t>
  </si>
  <si>
    <t>Peso KG</t>
  </si>
  <si>
    <t>David</t>
  </si>
  <si>
    <t>Nombre</t>
  </si>
  <si>
    <t>Rosa</t>
  </si>
  <si>
    <t>Jesus</t>
  </si>
  <si>
    <t>Julian</t>
  </si>
  <si>
    <t>Peso Lb</t>
  </si>
  <si>
    <t>Ejemplo</t>
  </si>
  <si>
    <t>66% gr 
Sal Dentro Celula</t>
  </si>
  <si>
    <t>25% gr
Sal Fuera Celula</t>
  </si>
  <si>
    <t>9% gr 
Sal Sangre</t>
  </si>
  <si>
    <t>4% gr de Sal del Peso Total</t>
  </si>
  <si>
    <t>Sangre 9% del liquido total</t>
  </si>
  <si>
    <t>Dentro 66%
liquido total</t>
  </si>
  <si>
    <t>Fuera 25% 
liquido total</t>
  </si>
  <si>
    <t>24 gr de Sal tiene nuestra sangre por litros</t>
  </si>
  <si>
    <t>Sal en Sangre x litro</t>
  </si>
  <si>
    <t>Litros de Sangre</t>
  </si>
  <si>
    <t>Gr de Sal</t>
  </si>
  <si>
    <t>Gr de Sal por litro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</si>
</sst>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8" borderId="0" applyNumberFormat="0" applyBorder="0" applyAlignment="0" applyProtection="0"/>
  </cellStyleXfs>
  <cellXfs count="27">
    <xf numFmtId="0" fontId="0" fillId="0" borderId="0" xfId="0"/>
    <xf numFmtId="168" fontId="0" fillId="0" borderId="0" xfId="0" applyNumberFormat="1"/>
    <xf numFmtId="0" fontId="0" fillId="0" borderId="0" xfId="0" applyAlignment="1">
      <alignment wrapText="1"/>
    </xf>
    <xf numFmtId="0" fontId="3" fillId="3" borderId="0" xfId="3"/>
    <xf numFmtId="1" fontId="3" fillId="3" borderId="0" xfId="3" applyNumberFormat="1"/>
    <xf numFmtId="2" fontId="3" fillId="3" borderId="0" xfId="3" applyNumberFormat="1"/>
    <xf numFmtId="0" fontId="1" fillId="8" borderId="0" xfId="8"/>
    <xf numFmtId="1" fontId="1" fillId="8" borderId="0" xfId="8" applyNumberFormat="1"/>
    <xf numFmtId="2" fontId="1" fillId="8" borderId="0" xfId="8" applyNumberFormat="1"/>
    <xf numFmtId="0" fontId="1" fillId="4" borderId="0" xfId="4"/>
    <xf numFmtId="1" fontId="1" fillId="4" borderId="0" xfId="4" applyNumberFormat="1"/>
    <xf numFmtId="2" fontId="3" fillId="7" borderId="0" xfId="7" applyNumberFormat="1"/>
    <xf numFmtId="2" fontId="1" fillId="2" borderId="0" xfId="2" applyNumberFormat="1"/>
    <xf numFmtId="0" fontId="3" fillId="5" borderId="0" xfId="5"/>
    <xf numFmtId="1" fontId="3" fillId="5" borderId="0" xfId="5" applyNumberFormat="1"/>
    <xf numFmtId="2" fontId="3" fillId="5" borderId="0" xfId="5" applyNumberFormat="1"/>
    <xf numFmtId="0" fontId="1" fillId="6" borderId="0" xfId="6"/>
    <xf numFmtId="1" fontId="1" fillId="6" borderId="0" xfId="6" applyNumberFormat="1"/>
    <xf numFmtId="2" fontId="1" fillId="6" borderId="0" xfId="6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2" fillId="9" borderId="1" xfId="0" applyFont="1" applyFill="1" applyBorder="1" applyAlignment="1">
      <alignment horizontal="center"/>
    </xf>
    <xf numFmtId="1" fontId="2" fillId="9" borderId="1" xfId="0" applyNumberFormat="1" applyFont="1" applyFill="1" applyBorder="1" applyAlignment="1">
      <alignment horizontal="center"/>
    </xf>
    <xf numFmtId="9" fontId="2" fillId="9" borderId="1" xfId="1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9" fontId="2" fillId="9" borderId="1" xfId="3" applyNumberFormat="1" applyFont="1" applyFill="1" applyBorder="1" applyAlignment="1">
      <alignment horizontal="center"/>
    </xf>
    <xf numFmtId="2" fontId="1" fillId="4" borderId="0" xfId="4" applyNumberFormat="1"/>
  </cellXfs>
  <cellStyles count="9">
    <cellStyle name="40% - Accent1" xfId="2" builtinId="31"/>
    <cellStyle name="40% - Accent3" xfId="6" builtinId="39"/>
    <cellStyle name="60% - Accent2" xfId="4" builtinId="36"/>
    <cellStyle name="60% - Accent4" xfId="8" builtinId="44"/>
    <cellStyle name="Accent2" xfId="3" builtinId="33"/>
    <cellStyle name="Accent3" xfId="5" builtinId="37"/>
    <cellStyle name="Accent4" xfId="7" builtinId="41"/>
    <cellStyle name="Normal" xfId="0" builtinId="0"/>
    <cellStyle name="Percent" xfId="1" builtinId="5"/>
  </cellStyles>
  <dxfs count="10"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783D5-7BA2-4A95-AD16-7B3AD3426628}" name="Table1" displayName="Table1" ref="B5:Q11" totalsRowShown="0" headerRowDxfId="9">
  <autoFilter ref="B5:Q11" xr:uid="{4D1783D5-7BA2-4A95-AD16-7B3AD3426628}"/>
  <tableColumns count="16">
    <tableColumn id="13" xr3:uid="{0FD6A289-E202-4313-94C4-E54E7F1C82E4}" name="Nombre"/>
    <tableColumn id="15" xr3:uid="{5C82C13C-0A78-4517-A5E9-9D95C1461A40}" name="Peso Lb" dataDxfId="8">
      <calculatedColumnFormula>+Table1[[#This Row],[Peso KG]]*2.20462</calculatedColumnFormula>
    </tableColumn>
    <tableColumn id="1" xr3:uid="{F8F30168-52EC-4C95-AB0C-C5C174247C4D}" name="Peso KG"/>
    <tableColumn id="2" xr3:uid="{26A036F3-739C-4197-9072-B85C013ADF7E}" name="Total Liquido x0.6"/>
    <tableColumn id="3" xr3:uid="{47DE0B1C-45BA-404B-809D-5B2B4F76B583}" name="Dentro 66%_x000a_liquido total"/>
    <tableColumn id="4" xr3:uid="{CAE41F47-5D0D-4075-87EC-92FDB454E99E}" name="Fuera 25% _x000a_liquido total"/>
    <tableColumn id="5" xr3:uid="{C3B83AFC-2A4A-4550-9C38-549DFC43C4C4}" name="Sangre 9% del liquido total"/>
    <tableColumn id="21" xr3:uid="{DBC7FDD5-8304-422F-AE3E-92CF1FD0C251}" name="Litros de Sangre" dataDxfId="2" dataCellStyle="Accent4">
      <calculatedColumnFormula>+Table1[[#This Row],[Peso KG]]*0.05</calculatedColumnFormula>
    </tableColumn>
    <tableColumn id="6" xr3:uid="{3DD5A667-3E20-4A1E-9508-D627F576855D}" name="Porcentaje"/>
    <tableColumn id="20" xr3:uid="{344FE101-BE9A-4FF3-88E9-9416B8401ECE}" name="Sal en Sangre x litro" dataDxfId="3" dataCellStyle="Accent4"/>
    <tableColumn id="16" xr3:uid="{12722533-E00C-43F8-B9C1-AE283D8C65DE}" name="4% gr de Sal del Peso Total" dataDxfId="7" dataCellStyle="Accent2">
      <calculatedColumnFormula>70*400%</calculatedColumnFormula>
    </tableColumn>
    <tableColumn id="17" xr3:uid="{E94A1474-B81D-4EF8-BFBE-227B12A480B5}" name="66% gr _x000a_Sal Dentro Celula" dataDxfId="6" dataCellStyle="Accent2">
      <calculatedColumnFormula>+Table1[[#This Row],[4% gr de Sal del Peso Total]]*0.66</calculatedColumnFormula>
    </tableColumn>
    <tableColumn id="18" xr3:uid="{4CA9D9BF-219C-4BF8-8263-CE7B0D07F86B}" name="25% gr_x000a_Sal Fuera Celula" dataDxfId="5" dataCellStyle="Accent2">
      <calculatedColumnFormula>+Table1[[#This Row],[4% gr de Sal del Peso Total]]*0.25</calculatedColumnFormula>
    </tableColumn>
    <tableColumn id="19" xr3:uid="{341DA626-51F3-4B85-B764-83680B8F1736}" name="9% gr _x000a_Sal Sangre" dataDxfId="4" dataCellStyle="Accent2"/>
    <tableColumn id="22" xr3:uid="{5F4F7B69-583D-490A-8200-DB4541244F99}" name="Gr de Sal" dataDxfId="1" dataCellStyle="Accent2">
      <calculatedColumnFormula>+Table1[[#This Row],[4% gr de Sal del Peso Total]]*0.09</calculatedColumnFormula>
    </tableColumn>
    <tableColumn id="23" xr3:uid="{934E7283-598A-43F5-97FB-C9995040BF27}" name="Gr de Sal por litro de Agua" dataDxfId="0" dataCellStyle="Accent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2AC8-D122-4E34-9713-46AFB893DBDD}">
  <dimension ref="B5:Q19"/>
  <sheetViews>
    <sheetView tabSelected="1" zoomScale="145" zoomScaleNormal="145" workbookViewId="0">
      <selection activeCell="Q8" sqref="Q8"/>
    </sheetView>
  </sheetViews>
  <sheetFormatPr defaultRowHeight="15" x14ac:dyDescent="0.25"/>
  <cols>
    <col min="2" max="2" width="10.140625" bestFit="1" customWidth="1"/>
    <col min="3" max="5" width="12.7109375" customWidth="1"/>
    <col min="6" max="15" width="17" customWidth="1"/>
    <col min="16" max="16" width="11.28515625" bestFit="1" customWidth="1"/>
    <col min="17" max="17" width="14.7109375" customWidth="1"/>
  </cols>
  <sheetData>
    <row r="5" spans="2:17" ht="30" x14ac:dyDescent="0.25">
      <c r="B5" s="19" t="s">
        <v>4</v>
      </c>
      <c r="C5" s="20" t="s">
        <v>8</v>
      </c>
      <c r="D5" s="20" t="s">
        <v>2</v>
      </c>
      <c r="E5" s="19" t="s">
        <v>1</v>
      </c>
      <c r="F5" s="19" t="s">
        <v>15</v>
      </c>
      <c r="G5" s="19" t="s">
        <v>16</v>
      </c>
      <c r="H5" s="19" t="s">
        <v>14</v>
      </c>
      <c r="I5" s="19" t="s">
        <v>19</v>
      </c>
      <c r="J5" s="20" t="s">
        <v>0</v>
      </c>
      <c r="K5" s="20" t="s">
        <v>18</v>
      </c>
      <c r="L5" s="19" t="s">
        <v>13</v>
      </c>
      <c r="M5" s="19" t="s">
        <v>10</v>
      </c>
      <c r="N5" s="19" t="s">
        <v>11</v>
      </c>
      <c r="O5" s="19" t="s">
        <v>12</v>
      </c>
      <c r="P5" s="2" t="s">
        <v>20</v>
      </c>
      <c r="Q5" s="2" t="s">
        <v>21</v>
      </c>
    </row>
    <row r="6" spans="2:17" x14ac:dyDescent="0.25">
      <c r="B6" s="21"/>
      <c r="C6" s="22">
        <f>+Table1[[#This Row],[Peso KG]]*2.20462</f>
        <v>0</v>
      </c>
      <c r="D6" s="21"/>
      <c r="E6" s="23">
        <v>0.6</v>
      </c>
      <c r="F6" s="24">
        <v>0.66</v>
      </c>
      <c r="G6" s="24">
        <v>0.25</v>
      </c>
      <c r="H6" s="24">
        <v>0.09</v>
      </c>
      <c r="I6" s="24">
        <f>+Table1[[#This Row],[Peso KG]]*0.05</f>
        <v>0</v>
      </c>
      <c r="J6" s="24">
        <f>+F6+G6+H6</f>
        <v>1</v>
      </c>
      <c r="K6" s="24"/>
      <c r="L6" s="25">
        <v>0.04</v>
      </c>
      <c r="M6" s="25">
        <v>0.66</v>
      </c>
      <c r="N6" s="25">
        <v>0.25</v>
      </c>
      <c r="O6" s="25">
        <v>0.09</v>
      </c>
      <c r="P6" s="25">
        <f>+Table1[[#This Row],[4% gr de Sal del Peso Total]]*0.09</f>
        <v>3.5999999999999999E-3</v>
      </c>
      <c r="Q6" s="25">
        <f>+Table1[[#This Row],[4% gr de Sal del Peso Total]]*0.09</f>
        <v>3.5999999999999999E-3</v>
      </c>
    </row>
    <row r="7" spans="2:17" x14ac:dyDescent="0.25">
      <c r="B7" s="6" t="s">
        <v>9</v>
      </c>
      <c r="C7" s="7">
        <f>+Table1[[#This Row],[Peso KG]]*2.20462</f>
        <v>154.32339999999999</v>
      </c>
      <c r="D7" s="6">
        <v>70</v>
      </c>
      <c r="E7" s="8">
        <f>+Table1[[#This Row],[Peso KG]]*60%</f>
        <v>42</v>
      </c>
      <c r="F7" s="8">
        <f>+E7*66%</f>
        <v>27.720000000000002</v>
      </c>
      <c r="G7" s="8">
        <f>+E7*25%</f>
        <v>10.5</v>
      </c>
      <c r="H7" s="8">
        <f>+E7*9%</f>
        <v>3.78</v>
      </c>
      <c r="I7" s="8">
        <f>+Table1[[#This Row],[Peso KG]]*0.05</f>
        <v>3.5</v>
      </c>
      <c r="J7" s="8">
        <f>+H7+G7+F7</f>
        <v>42</v>
      </c>
      <c r="K7" s="8"/>
      <c r="L7" s="9">
        <f>Table1[[#This Row],[Peso KG]]*400%</f>
        <v>280</v>
      </c>
      <c r="M7" s="9">
        <f>+Table1[[#This Row],[4% gr de Sal del Peso Total]]*0.66</f>
        <v>184.8</v>
      </c>
      <c r="N7" s="9">
        <f>+Table1[[#This Row],[4% gr de Sal del Peso Total]]*0.25</f>
        <v>70</v>
      </c>
      <c r="O7" s="9">
        <f>+Table1[[#This Row],[4% gr de Sal del Peso Total]]*0.09</f>
        <v>25.2</v>
      </c>
      <c r="P7" s="10">
        <f>Table1[[#This Row],[Litros de Sangre]]/0.14583333</f>
        <v>24.000000548571439</v>
      </c>
      <c r="Q7" s="26">
        <f>+Table1[[#This Row],[Gr de Sal]]/3.5</f>
        <v>6.857143013877554</v>
      </c>
    </row>
    <row r="8" spans="2:17" x14ac:dyDescent="0.25">
      <c r="B8" s="13" t="s">
        <v>3</v>
      </c>
      <c r="C8" s="14">
        <f>+Table1[[#This Row],[Peso KG]]*2.20462</f>
        <v>219.99902979999999</v>
      </c>
      <c r="D8" s="13">
        <v>99.79</v>
      </c>
      <c r="E8" s="15">
        <f>+Table1[[#This Row],[Peso KG]]*60%</f>
        <v>59.874000000000002</v>
      </c>
      <c r="F8" s="11">
        <f>+E8*66%</f>
        <v>39.516840000000002</v>
      </c>
      <c r="G8" s="11">
        <f>+E8*25%</f>
        <v>14.968500000000001</v>
      </c>
      <c r="H8" s="11">
        <f>+E8*9%</f>
        <v>5.3886599999999998</v>
      </c>
      <c r="I8" s="11">
        <f>+Table1[[#This Row],[Peso KG]]*0.05</f>
        <v>4.9895000000000005</v>
      </c>
      <c r="J8" s="11">
        <f>+H8+G8+F8</f>
        <v>59.874000000000002</v>
      </c>
      <c r="K8" s="11"/>
      <c r="L8" s="4">
        <f>Table1[[#This Row],[Peso KG]]*400%</f>
        <v>399.16</v>
      </c>
      <c r="M8" s="4">
        <f>+Table1[[#This Row],[4% gr de Sal del Peso Total]]*0.66</f>
        <v>263.44560000000001</v>
      </c>
      <c r="N8" s="4">
        <f>+Table1[[#This Row],[4% gr de Sal del Peso Total]]*0.25</f>
        <v>99.79</v>
      </c>
      <c r="O8" s="4">
        <f>+Table1[[#This Row],[4% gr de Sal del Peso Total]]*0.09</f>
        <v>35.924399999999999</v>
      </c>
      <c r="P8" s="4">
        <f>Table1[[#This Row],[Litros de Sangre]]/0.14583333</f>
        <v>34.213715067742058</v>
      </c>
      <c r="Q8" s="5">
        <f>+Table1[[#This Row],[Gr de Sal]]/3.5</f>
        <v>9.7753471622120163</v>
      </c>
    </row>
    <row r="9" spans="2:17" x14ac:dyDescent="0.25">
      <c r="B9" s="16" t="s">
        <v>5</v>
      </c>
      <c r="C9" s="17">
        <f>+Table1[[#This Row],[Peso KG]]*2.20462</f>
        <v>159.83494999999999</v>
      </c>
      <c r="D9" s="17">
        <v>72.5</v>
      </c>
      <c r="E9" s="18">
        <f>+Table1[[#This Row],[Peso KG]]*60%</f>
        <v>43.5</v>
      </c>
      <c r="F9" s="12">
        <f t="shared" ref="F8:F11" si="0">+E9*66%</f>
        <v>28.71</v>
      </c>
      <c r="G9" s="12">
        <f t="shared" ref="G9:G11" si="1">+E9*25%</f>
        <v>10.875</v>
      </c>
      <c r="H9" s="12">
        <f t="shared" ref="H9:H11" si="2">+E9*9%</f>
        <v>3.915</v>
      </c>
      <c r="I9" s="12">
        <f>+Table1[[#This Row],[Peso KG]]*0.05</f>
        <v>3.625</v>
      </c>
      <c r="J9" s="12">
        <f>+H9+G9+F9</f>
        <v>43.5</v>
      </c>
      <c r="K9" s="12"/>
      <c r="L9" s="9">
        <f>Table1[[#This Row],[Peso KG]]*400%</f>
        <v>290</v>
      </c>
      <c r="M9" s="10">
        <f>+Table1[[#This Row],[4% gr de Sal del Peso Total]]*0.66</f>
        <v>191.4</v>
      </c>
      <c r="N9" s="10">
        <f>+Table1[[#This Row],[4% gr de Sal del Peso Total]]*0.25</f>
        <v>72.5</v>
      </c>
      <c r="O9" s="10">
        <f>+Table1[[#This Row],[4% gr de Sal del Peso Total]]*0.09</f>
        <v>26.099999999999998</v>
      </c>
      <c r="P9" s="10">
        <f>Table1[[#This Row],[Litros de Sangre]]/0.14583333</f>
        <v>24.857143425306134</v>
      </c>
      <c r="Q9" s="26">
        <f>+Table1[[#This Row],[Gr de Sal]]/3.5</f>
        <v>7.1020409786588958</v>
      </c>
    </row>
    <row r="10" spans="2:17" x14ac:dyDescent="0.25">
      <c r="B10" s="15" t="s">
        <v>6</v>
      </c>
      <c r="C10" s="14">
        <f>+Table1[[#This Row],[Peso KG]]*2.20462</f>
        <v>154.32339999999999</v>
      </c>
      <c r="D10" s="14">
        <v>70</v>
      </c>
      <c r="E10" s="15">
        <f>+Table1[[#This Row],[Peso KG]]*60%</f>
        <v>42</v>
      </c>
      <c r="F10" s="11">
        <f t="shared" si="0"/>
        <v>27.720000000000002</v>
      </c>
      <c r="G10" s="11">
        <f t="shared" si="1"/>
        <v>10.5</v>
      </c>
      <c r="H10" s="11">
        <f t="shared" si="2"/>
        <v>3.78</v>
      </c>
      <c r="I10" s="11">
        <f>+Table1[[#This Row],[Peso KG]]*0.05</f>
        <v>3.5</v>
      </c>
      <c r="J10" s="11">
        <f>+H10+G10+F10</f>
        <v>42</v>
      </c>
      <c r="K10" s="11"/>
      <c r="L10" s="3">
        <f>Table1[[#This Row],[Peso KG]]*400%</f>
        <v>280</v>
      </c>
      <c r="M10" s="4">
        <f>+Table1[[#This Row],[4% gr de Sal del Peso Total]]*0.66</f>
        <v>184.8</v>
      </c>
      <c r="N10" s="4">
        <f>+Table1[[#This Row],[4% gr de Sal del Peso Total]]*0.25</f>
        <v>70</v>
      </c>
      <c r="O10" s="4">
        <f>+Table1[[#This Row],[4% gr de Sal del Peso Total]]*0.09</f>
        <v>25.2</v>
      </c>
      <c r="P10" s="4">
        <f>Table1[[#This Row],[Litros de Sangre]]/0.14583333</f>
        <v>24.000000548571439</v>
      </c>
      <c r="Q10" s="5">
        <f>+Table1[[#This Row],[Gr de Sal]]/3.5</f>
        <v>6.857143013877554</v>
      </c>
    </row>
    <row r="11" spans="2:17" x14ac:dyDescent="0.25">
      <c r="B11" s="18" t="s">
        <v>7</v>
      </c>
      <c r="C11" s="17">
        <f>+Table1[[#This Row],[Peso KG]]*2.20462</f>
        <v>121.25409999999999</v>
      </c>
      <c r="D11" s="17">
        <v>55</v>
      </c>
      <c r="E11" s="18">
        <f>+Table1[[#This Row],[Peso KG]]*60%</f>
        <v>33</v>
      </c>
      <c r="F11" s="12">
        <f t="shared" si="0"/>
        <v>21.78</v>
      </c>
      <c r="G11" s="12">
        <f t="shared" si="1"/>
        <v>8.25</v>
      </c>
      <c r="H11" s="12">
        <f t="shared" si="2"/>
        <v>2.9699999999999998</v>
      </c>
      <c r="I11" s="12">
        <f>+Table1[[#This Row],[Peso KG]]*0.05</f>
        <v>2.75</v>
      </c>
      <c r="J11" s="12">
        <f>+H11+G11+F11</f>
        <v>33</v>
      </c>
      <c r="K11" s="12"/>
      <c r="L11" s="9">
        <f>Table1[[#This Row],[Peso KG]]*400%</f>
        <v>220</v>
      </c>
      <c r="M11" s="10">
        <f>+Table1[[#This Row],[4% gr de Sal del Peso Total]]*0.66</f>
        <v>145.20000000000002</v>
      </c>
      <c r="N11" s="10">
        <f>+Table1[[#This Row],[4% gr de Sal del Peso Total]]*0.25</f>
        <v>55</v>
      </c>
      <c r="O11" s="10">
        <f>+Table1[[#This Row],[4% gr de Sal del Peso Total]]*0.09</f>
        <v>19.8</v>
      </c>
      <c r="P11" s="10">
        <f>Table1[[#This Row],[Litros de Sangre]]/0.14583333</f>
        <v>18.857143288163275</v>
      </c>
      <c r="Q11" s="26">
        <f>+Table1[[#This Row],[Gr de Sal]]/3.5</f>
        <v>5.3877552251895073</v>
      </c>
    </row>
    <row r="16" spans="2:17" x14ac:dyDescent="0.25">
      <c r="Q16" t="s">
        <v>17</v>
      </c>
    </row>
    <row r="17" spans="10:14" x14ac:dyDescent="0.25">
      <c r="J17">
        <f>70/3.5</f>
        <v>20</v>
      </c>
    </row>
    <row r="18" spans="10:14" x14ac:dyDescent="0.25">
      <c r="J18">
        <f>3.5/70</f>
        <v>0.05</v>
      </c>
      <c r="K18">
        <v>70</v>
      </c>
      <c r="L18">
        <f>+K18*0.05</f>
        <v>3.5</v>
      </c>
      <c r="N18">
        <f>3.5/24</f>
        <v>0.14583333333333334</v>
      </c>
    </row>
    <row r="19" spans="10:14" x14ac:dyDescent="0.25">
      <c r="K19">
        <v>99.79</v>
      </c>
      <c r="L19" s="1">
        <f>+K19*0.05</f>
        <v>4.9895000000000005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2026-01-07T19:04:30Z</dcterms:created>
  <dcterms:modified xsi:type="dcterms:W3CDTF">2026-01-14T13:54:20Z</dcterms:modified>
</cp:coreProperties>
</file>