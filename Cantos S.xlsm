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5F0E0C23-9773-4432-B666-1C63BEE62098}" xr6:coauthVersionLast="47" xr6:coauthVersionMax="47" xr10:uidLastSave="{00000000-0000-0000-0000-000000000000}"/>
  <bookViews>
    <workbookView xWindow="-120" yWindow="-120" windowWidth="51840" windowHeight="21120" tabRatio="693" firstSheet="5" activeTab="8"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MARIA, MADRE MÍA" sheetId="7" r:id="rId9"/>
    <sheet name="boceto" sheetId="36" state="hidden" r:id="rId10"/>
  </sheets>
  <functionGroups builtInGroupCount="19"/>
  <externalReferences>
    <externalReference r:id="rId11"/>
    <externalReference r:id="rId12"/>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06" l="1" a="1"/>
  <c r="C1" i="106" l="1"/>
  <c r="L1" i="106" s="1"/>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L79" i="106" l="1"/>
  <c r="C16" i="106"/>
  <c r="L16" i="106" s="1"/>
  <c r="B26" i="106"/>
  <c r="C26" i="106" s="1"/>
  <c r="L26" i="106" s="1"/>
  <c r="C12" i="106"/>
  <c r="L12" i="106" s="1"/>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C27" i="106" s="1"/>
  <c r="L27" i="106" s="1"/>
  <c r="C11" i="106"/>
  <c r="L11" i="106" s="1"/>
  <c r="C10" i="106"/>
  <c r="L10" i="106" s="1"/>
  <c r="L37" i="106" l="1"/>
  <c r="L38" i="106"/>
  <c r="L32" i="106"/>
  <c r="L74" i="106"/>
  <c r="L36" i="106"/>
  <c r="L90" i="106"/>
  <c r="L60" i="106"/>
  <c r="L65" i="106"/>
  <c r="L45" i="106"/>
  <c r="L33" i="106"/>
  <c r="L31" i="106"/>
  <c r="L41" i="106"/>
  <c r="L46" i="106"/>
  <c r="C19" i="106"/>
  <c r="L19" i="106" s="1"/>
  <c r="L7" i="106"/>
  <c r="L61" i="106"/>
  <c r="L75" i="106"/>
  <c r="L35" i="106"/>
  <c r="L72" i="106"/>
  <c r="L50" i="106"/>
  <c r="L42" i="106"/>
  <c r="R66" i="7" l="1"/>
  <c r="R65" i="7"/>
  <c r="R64" i="7"/>
  <c r="R63" i="7"/>
  <c r="R62" i="7"/>
  <c r="R61" i="7"/>
  <c r="R60" i="7"/>
  <c r="R59" i="7"/>
  <c r="R58" i="7"/>
  <c r="R57" i="7"/>
  <c r="R56" i="7"/>
  <c r="R55" i="7"/>
  <c r="R54" i="7"/>
  <c r="R53" i="7"/>
  <c r="R52" i="7"/>
  <c r="R51" i="7"/>
  <c r="AK87" i="7"/>
  <c r="AI87" i="7"/>
  <c r="AD87" i="7"/>
  <c r="AB87" i="7"/>
  <c r="AA87" i="7"/>
  <c r="W87" i="7"/>
  <c r="U87" i="7"/>
  <c r="P87" i="7"/>
  <c r="N87" i="7"/>
  <c r="M87" i="7"/>
  <c r="L87" i="7"/>
  <c r="AK86" i="7"/>
  <c r="AI86" i="7"/>
  <c r="AD86" i="7"/>
  <c r="AB86" i="7"/>
  <c r="W86" i="7"/>
  <c r="U86" i="7"/>
  <c r="T86" i="7"/>
  <c r="P86" i="7"/>
  <c r="N86" i="7"/>
  <c r="L86" i="7"/>
  <c r="AK85" i="7"/>
  <c r="AI85" i="7"/>
  <c r="AD85" i="7"/>
  <c r="AB85" i="7"/>
  <c r="AG85" i="7" s="1"/>
  <c r="W85" i="7"/>
  <c r="U85" i="7"/>
  <c r="P85" i="7"/>
  <c r="N85" i="7"/>
  <c r="L85" i="7"/>
  <c r="AK84" i="7"/>
  <c r="AI84" i="7"/>
  <c r="AD84" i="7"/>
  <c r="AB84" i="7"/>
  <c r="W84" i="7"/>
  <c r="U84" i="7"/>
  <c r="P84" i="7"/>
  <c r="N84" i="7"/>
  <c r="L84" i="7"/>
  <c r="AK83" i="7"/>
  <c r="AI83" i="7"/>
  <c r="AD83" i="7"/>
  <c r="AB83" i="7"/>
  <c r="W83" i="7"/>
  <c r="U83" i="7"/>
  <c r="P83" i="7"/>
  <c r="N83" i="7"/>
  <c r="L83" i="7"/>
  <c r="AK82" i="7"/>
  <c r="AI82" i="7"/>
  <c r="AN82" i="7" s="1"/>
  <c r="AD82" i="7"/>
  <c r="AB82" i="7"/>
  <c r="W82" i="7"/>
  <c r="U82" i="7"/>
  <c r="P82" i="7"/>
  <c r="N82" i="7"/>
  <c r="L82" i="7"/>
  <c r="AK81" i="7"/>
  <c r="AI81" i="7"/>
  <c r="AD81" i="7"/>
  <c r="AB81" i="7"/>
  <c r="W81" i="7"/>
  <c r="U81" i="7"/>
  <c r="P81" i="7"/>
  <c r="N81" i="7"/>
  <c r="M81" i="7"/>
  <c r="L81" i="7"/>
  <c r="AK80" i="7"/>
  <c r="AI80" i="7"/>
  <c r="AH80" i="7"/>
  <c r="AD80" i="7"/>
  <c r="AB80" i="7"/>
  <c r="W80" i="7"/>
  <c r="U80" i="7"/>
  <c r="Z80" i="7" s="1"/>
  <c r="P80" i="7"/>
  <c r="N80" i="7"/>
  <c r="M80" i="7"/>
  <c r="L80" i="7"/>
  <c r="AK79" i="7"/>
  <c r="AI79" i="7"/>
  <c r="AN79" i="7" s="1"/>
  <c r="AH79" i="7"/>
  <c r="AD79" i="7"/>
  <c r="AB79" i="7"/>
  <c r="AA79" i="7"/>
  <c r="W79" i="7"/>
  <c r="U79" i="7"/>
  <c r="P79" i="7"/>
  <c r="N79" i="7"/>
  <c r="L79" i="7"/>
  <c r="R115" i="7"/>
  <c r="R106"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L74" i="7"/>
  <c r="AK73" i="7"/>
  <c r="AI73" i="7"/>
  <c r="AJ73" i="7" s="1"/>
  <c r="AH73" i="7"/>
  <c r="AD73" i="7"/>
  <c r="AB73" i="7"/>
  <c r="AC73" i="7" s="1"/>
  <c r="W73" i="7"/>
  <c r="U73" i="7"/>
  <c r="X73" i="7" s="1"/>
  <c r="P73" i="7"/>
  <c r="N73" i="7"/>
  <c r="L73" i="7"/>
  <c r="AK72" i="7"/>
  <c r="AI72" i="7"/>
  <c r="AH72" i="7" s="1"/>
  <c r="AD72" i="7"/>
  <c r="AB72" i="7"/>
  <c r="AG72" i="7" s="1"/>
  <c r="AA72" i="7"/>
  <c r="W72" i="7"/>
  <c r="U72" i="7"/>
  <c r="Z72" i="7" s="1"/>
  <c r="P72" i="7"/>
  <c r="N72" i="7"/>
  <c r="R72" i="7" s="1"/>
  <c r="L72" i="7"/>
  <c r="AK71" i="7"/>
  <c r="AI71" i="7"/>
  <c r="AM71" i="7" s="1"/>
  <c r="AD71" i="7"/>
  <c r="AB71" i="7"/>
  <c r="AE71" i="7" s="1"/>
  <c r="W71" i="7"/>
  <c r="U71" i="7"/>
  <c r="V71" i="7" s="1"/>
  <c r="P71" i="7"/>
  <c r="N71" i="7"/>
  <c r="L71" i="7"/>
  <c r="AK70" i="7"/>
  <c r="AI70" i="7"/>
  <c r="AJ70" i="7" s="1"/>
  <c r="AD70" i="7"/>
  <c r="AB70" i="7"/>
  <c r="AA70" i="7" s="1"/>
  <c r="W70" i="7"/>
  <c r="U70" i="7"/>
  <c r="T70" i="7" s="1"/>
  <c r="P70" i="7"/>
  <c r="N70" i="7"/>
  <c r="L70" i="7"/>
  <c r="AK69" i="7"/>
  <c r="AI69" i="7"/>
  <c r="AN69" i="7" s="1"/>
  <c r="AD69" i="7"/>
  <c r="AB69" i="7"/>
  <c r="AG69" i="7" s="1"/>
  <c r="W69" i="7"/>
  <c r="U69" i="7"/>
  <c r="Y69" i="7" s="1"/>
  <c r="P69" i="7"/>
  <c r="N69" i="7"/>
  <c r="L69" i="7"/>
  <c r="AK68" i="7"/>
  <c r="AI68" i="7"/>
  <c r="AL68" i="7" s="1"/>
  <c r="AD68" i="7"/>
  <c r="AB68" i="7"/>
  <c r="AA68" i="7" s="1"/>
  <c r="W68" i="7"/>
  <c r="U68" i="7"/>
  <c r="V68" i="7" s="1"/>
  <c r="P68" i="7"/>
  <c r="N68" i="7"/>
  <c r="R68" i="7" s="1"/>
  <c r="L68" i="7"/>
  <c r="AK41" i="7"/>
  <c r="AI41" i="7"/>
  <c r="AN41" i="7" s="1"/>
  <c r="AD41" i="7"/>
  <c r="AB41" i="7"/>
  <c r="AF41" i="7" s="1"/>
  <c r="W41" i="7"/>
  <c r="U41" i="7"/>
  <c r="X41" i="7" s="1"/>
  <c r="P41" i="7"/>
  <c r="N41" i="7"/>
  <c r="O41" i="7" s="1"/>
  <c r="AK40" i="7"/>
  <c r="AI40" i="7"/>
  <c r="AJ40" i="7" s="1"/>
  <c r="AD40" i="7"/>
  <c r="AB40" i="7"/>
  <c r="AC40" i="7" s="1"/>
  <c r="W40" i="7"/>
  <c r="U40" i="7"/>
  <c r="Y40" i="7" s="1"/>
  <c r="P40" i="7"/>
  <c r="N40" i="7"/>
  <c r="M40" i="7" s="1"/>
  <c r="AK39" i="7"/>
  <c r="AI39" i="7"/>
  <c r="AH39" i="7" s="1"/>
  <c r="AD39" i="7"/>
  <c r="AB39" i="7"/>
  <c r="AG39" i="7" s="1"/>
  <c r="W39" i="7"/>
  <c r="U39" i="7"/>
  <c r="Z39" i="7" s="1"/>
  <c r="P39" i="7"/>
  <c r="N39" i="7"/>
  <c r="R39" i="7" s="1"/>
  <c r="AK38" i="7"/>
  <c r="AI38" i="7"/>
  <c r="AM38" i="7" s="1"/>
  <c r="AD38" i="7"/>
  <c r="AB38" i="7"/>
  <c r="AE38" i="7" s="1"/>
  <c r="W38" i="7"/>
  <c r="U38" i="7"/>
  <c r="T38" i="7" s="1"/>
  <c r="P38" i="7"/>
  <c r="N38" i="7"/>
  <c r="O38" i="7" s="1"/>
  <c r="AK37" i="7"/>
  <c r="AI37" i="7"/>
  <c r="AJ37" i="7" s="1"/>
  <c r="AD37" i="7"/>
  <c r="AB37" i="7"/>
  <c r="AG37" i="7" s="1"/>
  <c r="W37" i="7"/>
  <c r="U37" i="7"/>
  <c r="T37" i="7" s="1"/>
  <c r="P37" i="7"/>
  <c r="N37" i="7"/>
  <c r="S37" i="7" s="1"/>
  <c r="R37" i="7" l="1"/>
  <c r="R38" i="7"/>
  <c r="R40" i="7"/>
  <c r="R41" i="7"/>
  <c r="AN87" i="7"/>
  <c r="AH87" i="7"/>
  <c r="AF87" i="7"/>
  <c r="AC87" i="7"/>
  <c r="X87" i="7"/>
  <c r="Z87" i="7"/>
  <c r="Q87" i="7"/>
  <c r="S87" i="7"/>
  <c r="O87" i="7"/>
  <c r="R87" i="7"/>
  <c r="AH86" i="7"/>
  <c r="AM86" i="7"/>
  <c r="AN86" i="7"/>
  <c r="AJ86" i="7"/>
  <c r="AC86" i="7"/>
  <c r="AE86" i="7"/>
  <c r="AF86" i="7"/>
  <c r="Z86" i="7"/>
  <c r="X86" i="7"/>
  <c r="M86" i="7"/>
  <c r="S86" i="7"/>
  <c r="Q86" i="7"/>
  <c r="O86" i="7"/>
  <c r="R86" i="7"/>
  <c r="AL85" i="7"/>
  <c r="AM85" i="7"/>
  <c r="AN85" i="7"/>
  <c r="AJ85" i="7"/>
  <c r="AH85" i="7"/>
  <c r="Z85" i="7"/>
  <c r="T85" i="7"/>
  <c r="S85" i="7"/>
  <c r="M85" i="7"/>
  <c r="R85" i="7"/>
  <c r="Q85" i="7"/>
  <c r="O85" i="7"/>
  <c r="AN84" i="7"/>
  <c r="AL84" i="7"/>
  <c r="AM84" i="7"/>
  <c r="AH84" i="7"/>
  <c r="AJ84" i="7"/>
  <c r="AC84" i="7"/>
  <c r="AG84" i="7"/>
  <c r="AE84" i="7"/>
  <c r="X84" i="7"/>
  <c r="T84" i="7"/>
  <c r="V84" i="7"/>
  <c r="Y84" i="7"/>
  <c r="Z84" i="7"/>
  <c r="O84" i="7"/>
  <c r="R84" i="7"/>
  <c r="Q84" i="7"/>
  <c r="AJ83" i="7"/>
  <c r="AM83" i="7"/>
  <c r="AL83" i="7"/>
  <c r="AG83" i="7"/>
  <c r="AA83" i="7"/>
  <c r="AE83" i="7"/>
  <c r="Y83" i="7"/>
  <c r="Z83" i="7"/>
  <c r="X83" i="7"/>
  <c r="V83" i="7"/>
  <c r="T83" i="7"/>
  <c r="S83" i="7"/>
  <c r="R83" i="7"/>
  <c r="AG82" i="7"/>
  <c r="AA82" i="7"/>
  <c r="Z82" i="7"/>
  <c r="Y82" i="7"/>
  <c r="V82" i="7"/>
  <c r="T82" i="7"/>
  <c r="X82" i="7"/>
  <c r="O82" i="7"/>
  <c r="S82" i="7"/>
  <c r="Q82" i="7"/>
  <c r="R82" i="7"/>
  <c r="AJ81" i="7"/>
  <c r="AN81" i="7"/>
  <c r="AL81" i="7"/>
  <c r="AE81" i="7"/>
  <c r="AA81" i="7"/>
  <c r="AC81" i="7"/>
  <c r="AG81" i="7"/>
  <c r="AF81" i="7"/>
  <c r="V81" i="7"/>
  <c r="X81" i="7"/>
  <c r="Y81" i="7"/>
  <c r="S81" i="7"/>
  <c r="R81" i="7"/>
  <c r="Q81" i="7"/>
  <c r="AN80" i="7"/>
  <c r="AL80" i="7"/>
  <c r="AE80" i="7"/>
  <c r="AG80" i="7"/>
  <c r="AC80" i="7"/>
  <c r="AF80" i="7"/>
  <c r="AA80" i="7"/>
  <c r="S80" i="7"/>
  <c r="R80" i="7"/>
  <c r="AG79" i="7"/>
  <c r="AF79" i="7"/>
  <c r="AE79" i="7"/>
  <c r="AC79" i="7"/>
  <c r="V79" i="7"/>
  <c r="X79" i="7"/>
  <c r="Z79" i="7"/>
  <c r="Q79" i="7"/>
  <c r="S79" i="7"/>
  <c r="R79" i="7"/>
  <c r="O79" i="7"/>
  <c r="M79" i="7"/>
  <c r="O74" i="7"/>
  <c r="R74" i="7"/>
  <c r="M73" i="7"/>
  <c r="R73" i="7"/>
  <c r="O71" i="7"/>
  <c r="R71" i="7"/>
  <c r="S70" i="7"/>
  <c r="R70" i="7"/>
  <c r="Q69" i="7"/>
  <c r="R69" i="7"/>
  <c r="Y79" i="7"/>
  <c r="T80" i="7"/>
  <c r="AJ80" i="7"/>
  <c r="O81" i="7"/>
  <c r="AM81" i="7"/>
  <c r="AH82" i="7"/>
  <c r="M83" i="7"/>
  <c r="AC83" i="7"/>
  <c r="AF84" i="7"/>
  <c r="AA85" i="7"/>
  <c r="V86" i="7"/>
  <c r="AL86" i="7"/>
  <c r="Y87" i="7"/>
  <c r="AG87" i="7"/>
  <c r="O83" i="7"/>
  <c r="T79" i="7"/>
  <c r="AJ79" i="7"/>
  <c r="O80" i="7"/>
  <c r="AM80" i="7"/>
  <c r="Z81" i="7"/>
  <c r="AH81" i="7"/>
  <c r="M82" i="7"/>
  <c r="AC82" i="7"/>
  <c r="AF83" i="7"/>
  <c r="AN83" i="7"/>
  <c r="S84" i="7"/>
  <c r="AA84" i="7"/>
  <c r="V85" i="7"/>
  <c r="Y86" i="7"/>
  <c r="AG86" i="7"/>
  <c r="T87" i="7"/>
  <c r="AJ87" i="7"/>
  <c r="AJ82" i="7"/>
  <c r="X80" i="7"/>
  <c r="AL82" i="7"/>
  <c r="Q83" i="7"/>
  <c r="AE85" i="7"/>
  <c r="AC85" i="7"/>
  <c r="AH38" i="7"/>
  <c r="S41" i="7"/>
  <c r="AL79" i="7"/>
  <c r="Q80" i="7"/>
  <c r="Y80" i="7"/>
  <c r="T81" i="7"/>
  <c r="AE82" i="7"/>
  <c r="AM82" i="7"/>
  <c r="AH83" i="7"/>
  <c r="M84" i="7"/>
  <c r="X85" i="7"/>
  <c r="AF85" i="7"/>
  <c r="AA86" i="7"/>
  <c r="V87" i="7"/>
  <c r="AL87" i="7"/>
  <c r="V80" i="7"/>
  <c r="AM79" i="7"/>
  <c r="AF82" i="7"/>
  <c r="Y85" i="7"/>
  <c r="AE87" i="7"/>
  <c r="AM87" i="7"/>
  <c r="AM68" i="7"/>
  <c r="X68" i="7"/>
  <c r="AF68" i="7"/>
  <c r="T72" i="7"/>
  <c r="AC68" i="7"/>
  <c r="AH74" i="7"/>
  <c r="T73" i="7"/>
  <c r="AG68" i="7"/>
  <c r="T71" i="7"/>
  <c r="AC74" i="7"/>
  <c r="AL40" i="7"/>
  <c r="S68" i="7"/>
  <c r="AJ38" i="7"/>
  <c r="V40" i="7"/>
  <c r="AM73" i="7"/>
  <c r="S74" i="7"/>
  <c r="AL73" i="7"/>
  <c r="AA37" i="7"/>
  <c r="M41" i="7"/>
  <c r="V69" i="7"/>
  <c r="AL70" i="7"/>
  <c r="AN73" i="7"/>
  <c r="AF71" i="7"/>
  <c r="Q74" i="7"/>
  <c r="AM40" i="7"/>
  <c r="AM70" i="7"/>
  <c r="AL37"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AF37" i="7"/>
  <c r="Q38" i="7"/>
  <c r="AL38" i="7"/>
  <c r="S39" i="7"/>
  <c r="X40" i="7"/>
  <c r="AA41" i="7"/>
  <c r="T68" i="7"/>
  <c r="AJ68" i="7"/>
  <c r="O69" i="7"/>
  <c r="AE69" i="7"/>
  <c r="AM69" i="7"/>
  <c r="Z70" i="7"/>
  <c r="AH70" i="7"/>
  <c r="M71" i="7"/>
  <c r="AC71" i="7"/>
  <c r="X72" i="7"/>
  <c r="AF72" i="7"/>
  <c r="AN72" i="7"/>
  <c r="S73" i="7"/>
  <c r="V74" i="7"/>
  <c r="AL74" i="7"/>
  <c r="AN38" i="7"/>
  <c r="T39" i="7"/>
  <c r="Q41" i="7"/>
  <c r="X69" i="7"/>
  <c r="AF69" i="7"/>
  <c r="AL71" i="7"/>
  <c r="Q72" i="7"/>
  <c r="Y72" i="7"/>
  <c r="AE74" i="7"/>
  <c r="AM74" i="7"/>
  <c r="O73" i="7"/>
  <c r="O40" i="7"/>
  <c r="L40" i="7" s="1"/>
  <c r="O37" i="7"/>
  <c r="AM37" i="7"/>
  <c r="AC39" i="7"/>
  <c r="V37" i="7"/>
  <c r="X37" i="7"/>
  <c r="AN37" i="7"/>
  <c r="S38" i="7"/>
  <c r="AA38" i="7"/>
  <c r="V39" i="7"/>
  <c r="AL39" i="7"/>
  <c r="Q40" i="7"/>
  <c r="AG40" i="7"/>
  <c r="T41" i="7"/>
  <c r="AJ41" i="7"/>
  <c r="AJ39" i="7"/>
  <c r="Q37" i="7"/>
  <c r="Y37" i="7"/>
  <c r="AE39" i="7"/>
  <c r="AM39" i="7"/>
  <c r="Z37" i="7"/>
  <c r="AH37" i="7"/>
  <c r="M38" i="7"/>
  <c r="AC38" i="7"/>
  <c r="X39" i="7"/>
  <c r="AF39" i="7"/>
  <c r="AN39" i="7"/>
  <c r="S40" i="7"/>
  <c r="AA40" i="7"/>
  <c r="V41" i="7"/>
  <c r="AL41" i="7"/>
  <c r="Y39" i="7"/>
  <c r="AE41" i="7"/>
  <c r="AM4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37" i="7" l="1"/>
  <c r="L39" i="7"/>
  <c r="L41" i="7"/>
  <c r="L38"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4" i="7"/>
  <c r="AI114" i="7"/>
  <c r="AN114" i="7" s="1"/>
  <c r="AD114" i="7"/>
  <c r="AB114" i="7"/>
  <c r="AG114" i="7" s="1"/>
  <c r="W114" i="7"/>
  <c r="U114" i="7"/>
  <c r="Y114" i="7" s="1"/>
  <c r="P114" i="7"/>
  <c r="N114" i="7"/>
  <c r="AK113" i="7"/>
  <c r="AI113" i="7"/>
  <c r="AL113" i="7" s="1"/>
  <c r="AD113" i="7"/>
  <c r="AB113" i="7"/>
  <c r="AF113" i="7" s="1"/>
  <c r="W113" i="7"/>
  <c r="U113" i="7"/>
  <c r="V113" i="7" s="1"/>
  <c r="P113" i="7"/>
  <c r="N113" i="7"/>
  <c r="AK112" i="7"/>
  <c r="AI112" i="7"/>
  <c r="AJ112" i="7" s="1"/>
  <c r="AD112" i="7"/>
  <c r="AB112" i="7"/>
  <c r="W112" i="7"/>
  <c r="U112" i="7"/>
  <c r="V112" i="7" s="1"/>
  <c r="P112" i="7"/>
  <c r="N112" i="7"/>
  <c r="AK111" i="7"/>
  <c r="AI111" i="7"/>
  <c r="AN111" i="7" s="1"/>
  <c r="AD111" i="7"/>
  <c r="AB111" i="7"/>
  <c r="AF111" i="7" s="1"/>
  <c r="W111" i="7"/>
  <c r="U111" i="7"/>
  <c r="X111" i="7" s="1"/>
  <c r="P111" i="7"/>
  <c r="N111" i="7"/>
  <c r="AK110" i="7"/>
  <c r="AI110" i="7"/>
  <c r="AM110" i="7" s="1"/>
  <c r="AD110" i="7"/>
  <c r="AB110" i="7"/>
  <c r="AC110" i="7" s="1"/>
  <c r="W110" i="7"/>
  <c r="U110" i="7"/>
  <c r="T110" i="7" s="1"/>
  <c r="P110" i="7"/>
  <c r="N110" i="7"/>
  <c r="AK109" i="7"/>
  <c r="AI109" i="7"/>
  <c r="AD109" i="7"/>
  <c r="AB109" i="7"/>
  <c r="AC109" i="7" s="1"/>
  <c r="W109" i="7"/>
  <c r="U109" i="7"/>
  <c r="Z109" i="7" s="1"/>
  <c r="P109" i="7"/>
  <c r="N109" i="7"/>
  <c r="AK108" i="7"/>
  <c r="AI108" i="7"/>
  <c r="AM108" i="7" s="1"/>
  <c r="AD108" i="7"/>
  <c r="AB108" i="7"/>
  <c r="AE108" i="7" s="1"/>
  <c r="W108" i="7"/>
  <c r="U108" i="7"/>
  <c r="Y108" i="7" s="1"/>
  <c r="P108" i="7"/>
  <c r="N108" i="7"/>
  <c r="AK107" i="7"/>
  <c r="AI107" i="7"/>
  <c r="AJ107" i="7" s="1"/>
  <c r="AD107" i="7"/>
  <c r="AB107" i="7"/>
  <c r="AG107" i="7" s="1"/>
  <c r="W107" i="7"/>
  <c r="U107" i="7"/>
  <c r="P107" i="7"/>
  <c r="N107" i="7"/>
  <c r="R107" i="7" s="1"/>
  <c r="AK102" i="7"/>
  <c r="AI102" i="7"/>
  <c r="AN102" i="7" s="1"/>
  <c r="AD102" i="7"/>
  <c r="AB102" i="7"/>
  <c r="AF102" i="7" s="1"/>
  <c r="W102" i="7"/>
  <c r="U102" i="7"/>
  <c r="X102" i="7" s="1"/>
  <c r="P102" i="7"/>
  <c r="N102" i="7"/>
  <c r="R102" i="7" s="1"/>
  <c r="L102" i="7"/>
  <c r="AK101" i="7"/>
  <c r="AI101" i="7"/>
  <c r="AM101" i="7" s="1"/>
  <c r="AD101" i="7"/>
  <c r="AB101" i="7"/>
  <c r="AF101" i="7" s="1"/>
  <c r="W101" i="7"/>
  <c r="U101" i="7"/>
  <c r="T101" i="7" s="1"/>
  <c r="P101" i="7"/>
  <c r="N101" i="7"/>
  <c r="R101" i="7" s="1"/>
  <c r="L101" i="7"/>
  <c r="AK100" i="7"/>
  <c r="AI100" i="7"/>
  <c r="AD100" i="7"/>
  <c r="AB100" i="7"/>
  <c r="AF100" i="7" s="1"/>
  <c r="W100" i="7"/>
  <c r="U100" i="7"/>
  <c r="P100" i="7"/>
  <c r="N100" i="7"/>
  <c r="R100" i="7" s="1"/>
  <c r="L100" i="7"/>
  <c r="AK99" i="7"/>
  <c r="AI99" i="7"/>
  <c r="AH99" i="7" s="1"/>
  <c r="AD99" i="7"/>
  <c r="AB99" i="7"/>
  <c r="AE99" i="7" s="1"/>
  <c r="W99" i="7"/>
  <c r="U99" i="7"/>
  <c r="Y99" i="7" s="1"/>
  <c r="P99" i="7"/>
  <c r="N99" i="7"/>
  <c r="R99" i="7" s="1"/>
  <c r="L99" i="7"/>
  <c r="AK98" i="7"/>
  <c r="AI98" i="7"/>
  <c r="AD98" i="7"/>
  <c r="AB98" i="7"/>
  <c r="AC98" i="7" s="1"/>
  <c r="W98" i="7"/>
  <c r="U98" i="7"/>
  <c r="P98" i="7"/>
  <c r="N98" i="7"/>
  <c r="R98" i="7" s="1"/>
  <c r="L98" i="7"/>
  <c r="AK97" i="7"/>
  <c r="AI97" i="7"/>
  <c r="AM97" i="7" s="1"/>
  <c r="AD97" i="7"/>
  <c r="AB97" i="7"/>
  <c r="AF97" i="7" s="1"/>
  <c r="W97" i="7"/>
  <c r="U97" i="7"/>
  <c r="Y97" i="7" s="1"/>
  <c r="P97" i="7"/>
  <c r="N97" i="7"/>
  <c r="R97" i="7" s="1"/>
  <c r="L97" i="7"/>
  <c r="AK96" i="7"/>
  <c r="AI96" i="7"/>
  <c r="AH96" i="7" s="1"/>
  <c r="AD96" i="7"/>
  <c r="AB96" i="7"/>
  <c r="AF96" i="7" s="1"/>
  <c r="W96" i="7"/>
  <c r="U96" i="7"/>
  <c r="Z96" i="7" s="1"/>
  <c r="P96" i="7"/>
  <c r="N96" i="7"/>
  <c r="R96" i="7" s="1"/>
  <c r="L96" i="7"/>
  <c r="AK95" i="7"/>
  <c r="AI95" i="7"/>
  <c r="AH95" i="7" s="1"/>
  <c r="AD95" i="7"/>
  <c r="AB95" i="7"/>
  <c r="AF95" i="7" s="1"/>
  <c r="W95" i="7"/>
  <c r="U95" i="7"/>
  <c r="Y95" i="7" s="1"/>
  <c r="P95" i="7"/>
  <c r="N95" i="7"/>
  <c r="R95" i="7" s="1"/>
  <c r="L95" i="7"/>
  <c r="AK94" i="7"/>
  <c r="AI94" i="7"/>
  <c r="AD94" i="7"/>
  <c r="AB94" i="7"/>
  <c r="AF94" i="7" s="1"/>
  <c r="W94" i="7"/>
  <c r="U94" i="7"/>
  <c r="T94" i="7" s="1"/>
  <c r="P94" i="7"/>
  <c r="N94" i="7"/>
  <c r="R94" i="7" s="1"/>
  <c r="L94" i="7"/>
  <c r="AK93" i="7"/>
  <c r="AI93" i="7"/>
  <c r="AM93" i="7" s="1"/>
  <c r="AD93" i="7"/>
  <c r="AB93" i="7"/>
  <c r="AF93" i="7" s="1"/>
  <c r="W93" i="7"/>
  <c r="U93" i="7"/>
  <c r="T93" i="7" s="1"/>
  <c r="P93" i="7"/>
  <c r="N93" i="7"/>
  <c r="R93" i="7" s="1"/>
  <c r="L93" i="7"/>
  <c r="AK92" i="7"/>
  <c r="AI92" i="7"/>
  <c r="AM92" i="7" s="1"/>
  <c r="AD92" i="7"/>
  <c r="AB92" i="7"/>
  <c r="AA92" i="7" s="1"/>
  <c r="W92" i="7"/>
  <c r="U92" i="7"/>
  <c r="Y92" i="7" s="1"/>
  <c r="P92" i="7"/>
  <c r="N92" i="7"/>
  <c r="R92" i="7" s="1"/>
  <c r="L92" i="7"/>
  <c r="AK91" i="7"/>
  <c r="AI91" i="7"/>
  <c r="AM91" i="7" s="1"/>
  <c r="AD91" i="7"/>
  <c r="AB91" i="7"/>
  <c r="AA91" i="7" s="1"/>
  <c r="W91" i="7"/>
  <c r="U91" i="7"/>
  <c r="Y91" i="7" s="1"/>
  <c r="P91" i="7"/>
  <c r="N91" i="7"/>
  <c r="R91" i="7" s="1"/>
  <c r="L91" i="7"/>
  <c r="AK90" i="7"/>
  <c r="AI90" i="7"/>
  <c r="AN90" i="7" s="1"/>
  <c r="AD90" i="7"/>
  <c r="AB90" i="7"/>
  <c r="AA90" i="7" s="1"/>
  <c r="W90" i="7"/>
  <c r="U90" i="7"/>
  <c r="Y90" i="7" s="1"/>
  <c r="P90" i="7"/>
  <c r="N90" i="7"/>
  <c r="R90" i="7" s="1"/>
  <c r="L90" i="7"/>
  <c r="AK89" i="7"/>
  <c r="AI89" i="7"/>
  <c r="AN89" i="7" s="1"/>
  <c r="AD89" i="7"/>
  <c r="AB89" i="7"/>
  <c r="AF89" i="7" s="1"/>
  <c r="W89" i="7"/>
  <c r="U89" i="7"/>
  <c r="Y89" i="7" s="1"/>
  <c r="P89" i="7"/>
  <c r="N89" i="7"/>
  <c r="R89" i="7" s="1"/>
  <c r="L89" i="7"/>
  <c r="AK88" i="7"/>
  <c r="AI88" i="7"/>
  <c r="AH88" i="7" s="1"/>
  <c r="AD88" i="7"/>
  <c r="AB88" i="7"/>
  <c r="AF88" i="7" s="1"/>
  <c r="W88" i="7"/>
  <c r="U88" i="7"/>
  <c r="X88" i="7" s="1"/>
  <c r="P88" i="7"/>
  <c r="N88" i="7"/>
  <c r="R88" i="7" s="1"/>
  <c r="L88" i="7"/>
  <c r="AK78" i="7"/>
  <c r="AI78" i="7"/>
  <c r="AL78" i="7" s="1"/>
  <c r="AD78" i="7"/>
  <c r="AB78" i="7"/>
  <c r="AA78" i="7" s="1"/>
  <c r="W78" i="7"/>
  <c r="U78" i="7"/>
  <c r="V78" i="7" s="1"/>
  <c r="P78" i="7"/>
  <c r="N78" i="7"/>
  <c r="R78" i="7" s="1"/>
  <c r="L78" i="7"/>
  <c r="AK77" i="7"/>
  <c r="AI77" i="7"/>
  <c r="AH77" i="7" s="1"/>
  <c r="AD77" i="7"/>
  <c r="AB77" i="7"/>
  <c r="W77" i="7"/>
  <c r="U77" i="7"/>
  <c r="Y77" i="7" s="1"/>
  <c r="P77" i="7"/>
  <c r="N77" i="7"/>
  <c r="R77" i="7" s="1"/>
  <c r="L77" i="7"/>
  <c r="AK76" i="7"/>
  <c r="AI76" i="7"/>
  <c r="AN76" i="7" s="1"/>
  <c r="AD76" i="7"/>
  <c r="AB76" i="7"/>
  <c r="AF76" i="7" s="1"/>
  <c r="W76" i="7"/>
  <c r="U76" i="7"/>
  <c r="X76" i="7" s="1"/>
  <c r="P76" i="7"/>
  <c r="N76" i="7"/>
  <c r="R76" i="7" s="1"/>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L65" i="7"/>
  <c r="AK64" i="7"/>
  <c r="AI64" i="7"/>
  <c r="AD64" i="7"/>
  <c r="AB64" i="7"/>
  <c r="AF64" i="7" s="1"/>
  <c r="W64" i="7"/>
  <c r="U64" i="7"/>
  <c r="Y64" i="7" s="1"/>
  <c r="P64" i="7"/>
  <c r="N64" i="7"/>
  <c r="L64" i="7"/>
  <c r="AK63" i="7"/>
  <c r="AI63" i="7"/>
  <c r="AH63" i="7" s="1"/>
  <c r="AD63" i="7"/>
  <c r="AB63" i="7"/>
  <c r="W63" i="7"/>
  <c r="U63" i="7"/>
  <c r="T63" i="7" s="1"/>
  <c r="P63" i="7"/>
  <c r="N63" i="7"/>
  <c r="L63" i="7"/>
  <c r="AK62" i="7"/>
  <c r="AI62" i="7"/>
  <c r="AM62" i="7" s="1"/>
  <c r="AD62" i="7"/>
  <c r="AB62" i="7"/>
  <c r="AF62" i="7" s="1"/>
  <c r="W62" i="7"/>
  <c r="U62" i="7"/>
  <c r="Y62" i="7" s="1"/>
  <c r="P62" i="7"/>
  <c r="N62" i="7"/>
  <c r="L62" i="7"/>
  <c r="AK61" i="7"/>
  <c r="AI61" i="7"/>
  <c r="AM61" i="7" s="1"/>
  <c r="AD61" i="7"/>
  <c r="AB61" i="7"/>
  <c r="AA61" i="7" s="1"/>
  <c r="W61" i="7"/>
  <c r="U61" i="7"/>
  <c r="Z61" i="7" s="1"/>
  <c r="P61" i="7"/>
  <c r="N61" i="7"/>
  <c r="L61" i="7"/>
  <c r="AK60" i="7"/>
  <c r="AI60" i="7"/>
  <c r="AN60" i="7" s="1"/>
  <c r="AD60" i="7"/>
  <c r="AB60" i="7"/>
  <c r="AA60" i="7" s="1"/>
  <c r="W60" i="7"/>
  <c r="U60" i="7"/>
  <c r="Y60" i="7" s="1"/>
  <c r="P60" i="7"/>
  <c r="N60" i="7"/>
  <c r="L60" i="7"/>
  <c r="AK59" i="7"/>
  <c r="AI59" i="7"/>
  <c r="AM59" i="7" s="1"/>
  <c r="AD59" i="7"/>
  <c r="AB59" i="7"/>
  <c r="AF59" i="7" s="1"/>
  <c r="W59" i="7"/>
  <c r="U59" i="7"/>
  <c r="Y59" i="7" s="1"/>
  <c r="P59" i="7"/>
  <c r="N59" i="7"/>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L56" i="7"/>
  <c r="AK55" i="7"/>
  <c r="AI55" i="7"/>
  <c r="AM55" i="7" s="1"/>
  <c r="AD55" i="7"/>
  <c r="AB55" i="7"/>
  <c r="AF55" i="7" s="1"/>
  <c r="W55" i="7"/>
  <c r="U55" i="7"/>
  <c r="Z55" i="7" s="1"/>
  <c r="P55" i="7"/>
  <c r="N55" i="7"/>
  <c r="L55" i="7"/>
  <c r="AK54" i="7"/>
  <c r="AI54" i="7"/>
  <c r="AM54" i="7" s="1"/>
  <c r="AD54" i="7"/>
  <c r="AB54" i="7"/>
  <c r="AF54" i="7" s="1"/>
  <c r="W54" i="7"/>
  <c r="U54" i="7"/>
  <c r="Y54" i="7" s="1"/>
  <c r="P54" i="7"/>
  <c r="N54" i="7"/>
  <c r="L54" i="7"/>
  <c r="AK53" i="7"/>
  <c r="AI53" i="7"/>
  <c r="AM53" i="7" s="1"/>
  <c r="AD53" i="7"/>
  <c r="AB53" i="7"/>
  <c r="AF53" i="7" s="1"/>
  <c r="W53" i="7"/>
  <c r="U53" i="7"/>
  <c r="Y53" i="7" s="1"/>
  <c r="P53" i="7"/>
  <c r="N53" i="7"/>
  <c r="L53" i="7"/>
  <c r="AK52" i="7"/>
  <c r="AI52" i="7"/>
  <c r="AN52" i="7" s="1"/>
  <c r="AD52" i="7"/>
  <c r="AB52" i="7"/>
  <c r="AA52" i="7" s="1"/>
  <c r="W52" i="7"/>
  <c r="U52" i="7"/>
  <c r="Y52" i="7" s="1"/>
  <c r="P52" i="7"/>
  <c r="N52" i="7"/>
  <c r="L52" i="7"/>
  <c r="AK51" i="7"/>
  <c r="AI51" i="7"/>
  <c r="AM51" i="7" s="1"/>
  <c r="AD51" i="7"/>
  <c r="AB51" i="7"/>
  <c r="AF51" i="7" s="1"/>
  <c r="W51" i="7"/>
  <c r="U51" i="7"/>
  <c r="V51" i="7" s="1"/>
  <c r="P51" i="7"/>
  <c r="N51" i="7"/>
  <c r="L51" i="7"/>
  <c r="AK50" i="7"/>
  <c r="AI50" i="7"/>
  <c r="AL50" i="7" s="1"/>
  <c r="AD50" i="7"/>
  <c r="AB50" i="7"/>
  <c r="AF50" i="7" s="1"/>
  <c r="W50" i="7"/>
  <c r="U50" i="7"/>
  <c r="Z50" i="7" s="1"/>
  <c r="P50" i="7"/>
  <c r="N50" i="7"/>
  <c r="R50" i="7" s="1"/>
  <c r="L50" i="7"/>
  <c r="AK49" i="7"/>
  <c r="AI49" i="7"/>
  <c r="AH49" i="7" s="1"/>
  <c r="AD49" i="7"/>
  <c r="AB49" i="7"/>
  <c r="AA49" i="7" s="1"/>
  <c r="W49" i="7"/>
  <c r="U49" i="7"/>
  <c r="Y49" i="7" s="1"/>
  <c r="P49" i="7"/>
  <c r="N49" i="7"/>
  <c r="R49" i="7" s="1"/>
  <c r="AK48" i="7"/>
  <c r="AI48" i="7"/>
  <c r="AN48" i="7" s="1"/>
  <c r="AD48" i="7"/>
  <c r="AB48" i="7"/>
  <c r="AA48" i="7" s="1"/>
  <c r="W48" i="7"/>
  <c r="U48" i="7"/>
  <c r="T48" i="7" s="1"/>
  <c r="P48" i="7"/>
  <c r="N48" i="7"/>
  <c r="R48" i="7" s="1"/>
  <c r="AK47" i="7"/>
  <c r="AI47" i="7"/>
  <c r="AM47" i="7" s="1"/>
  <c r="AD47" i="7"/>
  <c r="AB47" i="7"/>
  <c r="AG47" i="7" s="1"/>
  <c r="W47" i="7"/>
  <c r="U47" i="7"/>
  <c r="T47" i="7" s="1"/>
  <c r="P47" i="7"/>
  <c r="N47" i="7"/>
  <c r="R47" i="7" s="1"/>
  <c r="AK46" i="7"/>
  <c r="AI46" i="7"/>
  <c r="AM46" i="7" s="1"/>
  <c r="AD46" i="7"/>
  <c r="AB46" i="7"/>
  <c r="AF46" i="7" s="1"/>
  <c r="W46" i="7"/>
  <c r="U46" i="7"/>
  <c r="Z46" i="7" s="1"/>
  <c r="P46" i="7"/>
  <c r="N46" i="7"/>
  <c r="R46" i="7" s="1"/>
  <c r="AK45" i="7"/>
  <c r="AI45" i="7"/>
  <c r="AH45" i="7" s="1"/>
  <c r="AD45" i="7"/>
  <c r="AB45" i="7"/>
  <c r="AA45" i="7" s="1"/>
  <c r="W45" i="7"/>
  <c r="U45" i="7"/>
  <c r="Y45" i="7" s="1"/>
  <c r="P45" i="7"/>
  <c r="N45" i="7"/>
  <c r="R45" i="7" s="1"/>
  <c r="AK44" i="7"/>
  <c r="AI44" i="7"/>
  <c r="AN44" i="7" s="1"/>
  <c r="AD44" i="7"/>
  <c r="AB44" i="7"/>
  <c r="AA44" i="7" s="1"/>
  <c r="W44" i="7"/>
  <c r="U44" i="7"/>
  <c r="Z44" i="7" s="1"/>
  <c r="P44" i="7"/>
  <c r="N44" i="7"/>
  <c r="R44" i="7" s="1"/>
  <c r="AK43" i="7"/>
  <c r="AI43" i="7"/>
  <c r="AJ43" i="7" s="1"/>
  <c r="AD43" i="7"/>
  <c r="AB43" i="7"/>
  <c r="AF43" i="7" s="1"/>
  <c r="W43" i="7"/>
  <c r="U43" i="7"/>
  <c r="T43" i="7" s="1"/>
  <c r="P43" i="7"/>
  <c r="N43" i="7"/>
  <c r="R43" i="7" s="1"/>
  <c r="AK42" i="7"/>
  <c r="AI42" i="7"/>
  <c r="AJ42" i="7" s="1"/>
  <c r="AD42" i="7"/>
  <c r="AB42" i="7"/>
  <c r="AC42" i="7" s="1"/>
  <c r="W42" i="7"/>
  <c r="U42" i="7"/>
  <c r="T42" i="7" s="1"/>
  <c r="P42" i="7"/>
  <c r="N42" i="7"/>
  <c r="R42" i="7" s="1"/>
  <c r="AK36" i="7"/>
  <c r="AI36" i="7"/>
  <c r="AL36" i="7" s="1"/>
  <c r="AD36" i="7"/>
  <c r="AB36" i="7"/>
  <c r="AC36" i="7" s="1"/>
  <c r="W36" i="7"/>
  <c r="U36" i="7"/>
  <c r="V36" i="7" s="1"/>
  <c r="P36" i="7"/>
  <c r="N36" i="7"/>
  <c r="R36" i="7" s="1"/>
  <c r="AK35" i="7"/>
  <c r="AI35" i="7"/>
  <c r="AM35" i="7" s="1"/>
  <c r="AD35" i="7"/>
  <c r="AB35" i="7"/>
  <c r="AA35" i="7" s="1"/>
  <c r="W35" i="7"/>
  <c r="U35" i="7"/>
  <c r="V35" i="7" s="1"/>
  <c r="P35" i="7"/>
  <c r="N35" i="7"/>
  <c r="R35" i="7" s="1"/>
  <c r="AK34" i="7"/>
  <c r="AI34" i="7"/>
  <c r="AH34" i="7" s="1"/>
  <c r="AD34" i="7"/>
  <c r="AB34" i="7"/>
  <c r="AA34" i="7" s="1"/>
  <c r="W34" i="7"/>
  <c r="U34" i="7"/>
  <c r="X34" i="7" s="1"/>
  <c r="P34" i="7"/>
  <c r="N34" i="7"/>
  <c r="R34" i="7" s="1"/>
  <c r="AK33" i="7"/>
  <c r="AI33" i="7"/>
  <c r="AJ33" i="7" s="1"/>
  <c r="AD33" i="7"/>
  <c r="AB33" i="7"/>
  <c r="AC33" i="7" s="1"/>
  <c r="W33" i="7"/>
  <c r="U33" i="7"/>
  <c r="Y33" i="7" s="1"/>
  <c r="P33" i="7"/>
  <c r="N33" i="7"/>
  <c r="R33" i="7" s="1"/>
  <c r="AK32" i="7"/>
  <c r="AI32" i="7"/>
  <c r="AH32" i="7" s="1"/>
  <c r="AD32" i="7"/>
  <c r="AB32" i="7"/>
  <c r="AC32" i="7" s="1"/>
  <c r="W32" i="7"/>
  <c r="U32" i="7"/>
  <c r="T32" i="7" s="1"/>
  <c r="P32" i="7"/>
  <c r="N32" i="7"/>
  <c r="R32" i="7" s="1"/>
  <c r="AK31" i="7"/>
  <c r="AI31" i="7"/>
  <c r="AH31" i="7" s="1"/>
  <c r="AD31" i="7"/>
  <c r="AB31" i="7"/>
  <c r="AE31" i="7" s="1"/>
  <c r="W31" i="7"/>
  <c r="U31" i="7"/>
  <c r="V31" i="7" s="1"/>
  <c r="P31" i="7"/>
  <c r="N31" i="7"/>
  <c r="R31" i="7" s="1"/>
  <c r="L18" i="7"/>
  <c r="L17" i="7"/>
  <c r="L15" i="7"/>
  <c r="L14" i="7"/>
  <c r="L13" i="7"/>
  <c r="R108" i="7" l="1"/>
  <c r="R109" i="7"/>
  <c r="R110" i="7"/>
  <c r="R111" i="7"/>
  <c r="R112" i="7"/>
  <c r="R113" i="7"/>
  <c r="R114" i="7"/>
  <c r="AH112" i="7"/>
  <c r="M113" i="7"/>
  <c r="M90" i="7"/>
  <c r="AA100" i="7"/>
  <c r="T61" i="7"/>
  <c r="AH89" i="7"/>
  <c r="T91" i="7"/>
  <c r="T111" i="7"/>
  <c r="AH35" i="7"/>
  <c r="AH46" i="7"/>
  <c r="AA113" i="7"/>
  <c r="T53" i="7"/>
  <c r="AA58" i="7"/>
  <c r="T112" i="7"/>
  <c r="M96" i="7"/>
  <c r="O31" i="7"/>
  <c r="Q42" i="7"/>
  <c r="S90" i="7"/>
  <c r="M97" i="7"/>
  <c r="O108" i="7"/>
  <c r="M109" i="7"/>
  <c r="T114" i="7"/>
  <c r="M76" i="7"/>
  <c r="M33" i="7"/>
  <c r="L33" i="7" s="1"/>
  <c r="M50" i="7"/>
  <c r="O57" i="7"/>
  <c r="S77" i="7"/>
  <c r="M98" i="7"/>
  <c r="S112" i="7"/>
  <c r="O43" i="7"/>
  <c r="S91" i="7"/>
  <c r="O44" i="7"/>
  <c r="S58" i="7"/>
  <c r="M64" i="7"/>
  <c r="M78" i="7"/>
  <c r="M32" i="7"/>
  <c r="T33" i="7"/>
  <c r="O34" i="7"/>
  <c r="S45" i="7"/>
  <c r="Q88" i="7"/>
  <c r="S61" i="7"/>
  <c r="M35" i="7"/>
  <c r="AA43" i="7"/>
  <c r="M46" i="7"/>
  <c r="S53" i="7"/>
  <c r="M89" i="7"/>
  <c r="M100" i="7"/>
  <c r="O113" i="7"/>
  <c r="S49" i="7"/>
  <c r="T65" i="7"/>
  <c r="M67" i="7"/>
  <c r="O95" i="7"/>
  <c r="AH97" i="7"/>
  <c r="Q114" i="7"/>
  <c r="AF91" i="7"/>
  <c r="T55" i="7"/>
  <c r="AN108" i="7"/>
  <c r="AL108" i="7"/>
  <c r="V63" i="7"/>
  <c r="AG50" i="7"/>
  <c r="AG64" i="7"/>
  <c r="AG51" i="7"/>
  <c r="Q111" i="7"/>
  <c r="AM78" i="7"/>
  <c r="V108" i="7"/>
  <c r="O52" i="7"/>
  <c r="X108" i="7"/>
  <c r="V95" i="7"/>
  <c r="AM31" i="7"/>
  <c r="V77" i="7"/>
  <c r="O36" i="7"/>
  <c r="AL47" i="7"/>
  <c r="AC51" i="7"/>
  <c r="AA88" i="7"/>
  <c r="AL31" i="7"/>
  <c r="X95" i="7"/>
  <c r="AE50" i="7"/>
  <c r="AL95" i="7"/>
  <c r="AM95" i="7"/>
  <c r="S113" i="7"/>
  <c r="AE90" i="7"/>
  <c r="O111" i="7"/>
  <c r="Y75" i="7"/>
  <c r="AF90" i="7"/>
  <c r="S111" i="7"/>
  <c r="Z108" i="7"/>
  <c r="AE67" i="7"/>
  <c r="AL77" i="7"/>
  <c r="AM42" i="7"/>
  <c r="AC48" i="7"/>
  <c r="AM77" i="7"/>
  <c r="Q92" i="7"/>
  <c r="X35" i="7"/>
  <c r="AN42" i="7"/>
  <c r="Q60" i="7"/>
  <c r="Y35" i="7"/>
  <c r="AE48" i="7"/>
  <c r="S60" i="7"/>
  <c r="V75" i="7"/>
  <c r="AE32" i="7"/>
  <c r="M43" i="7"/>
  <c r="AF48" i="7"/>
  <c r="Q113" i="7"/>
  <c r="AG42" i="7"/>
  <c r="AC60" i="7"/>
  <c r="AE54" i="7"/>
  <c r="AN35" i="7"/>
  <c r="AC90" i="7"/>
  <c r="AJ95" i="7"/>
  <c r="AE113" i="7"/>
  <c r="AJ59" i="7"/>
  <c r="AJ77" i="7"/>
  <c r="AL112" i="7"/>
  <c r="Q32" i="7"/>
  <c r="O92" i="7"/>
  <c r="V101" i="7"/>
  <c r="AJ35" i="7"/>
  <c r="AL92" i="7"/>
  <c r="X101" i="7"/>
  <c r="AC78" i="7"/>
  <c r="AJ63" i="7"/>
  <c r="AG43" i="7"/>
  <c r="X49" i="7"/>
  <c r="O76" i="7"/>
  <c r="AH101" i="7"/>
  <c r="AG113" i="7"/>
  <c r="AL34" i="7"/>
  <c r="AM50" i="7"/>
  <c r="O48" i="7"/>
  <c r="AE42" i="7"/>
  <c r="S48" i="7"/>
  <c r="AN112" i="7"/>
  <c r="AM112" i="7"/>
  <c r="Y76" i="7"/>
  <c r="AM111" i="7"/>
  <c r="AC52" i="7"/>
  <c r="Y61" i="7"/>
  <c r="Z93" i="7"/>
  <c r="S109" i="7"/>
  <c r="Y88" i="7"/>
  <c r="X31" i="7"/>
  <c r="V34" i="7"/>
  <c r="X44" i="7"/>
  <c r="AF52" i="7"/>
  <c r="AF61" i="7"/>
  <c r="AG93" i="7"/>
  <c r="AF99" i="7"/>
  <c r="AA109" i="7"/>
  <c r="AF42" i="7"/>
  <c r="V110" i="7"/>
  <c r="V45" i="7"/>
  <c r="AC89" i="7"/>
  <c r="X110" i="7"/>
  <c r="AJ56" i="7"/>
  <c r="O64" i="7"/>
  <c r="V93" i="7"/>
  <c r="X93" i="7"/>
  <c r="V44" i="7"/>
  <c r="AE52" i="7"/>
  <c r="AA50" i="7"/>
  <c r="AL55" i="7"/>
  <c r="AC64" i="7"/>
  <c r="X112" i="7"/>
  <c r="S64" i="7"/>
  <c r="Q64" i="7"/>
  <c r="Y93" i="7"/>
  <c r="Y34" i="7"/>
  <c r="AN55" i="7"/>
  <c r="Y112" i="7"/>
  <c r="AC50" i="7"/>
  <c r="AE64" i="7"/>
  <c r="AM102" i="7"/>
  <c r="Z112" i="7"/>
  <c r="X61" i="7"/>
  <c r="M48" i="7"/>
  <c r="AA67" i="7"/>
  <c r="AM96" i="7"/>
  <c r="M107" i="7"/>
  <c r="V59" i="7"/>
  <c r="AF32" i="7"/>
  <c r="O35" i="7"/>
  <c r="Z35" i="7"/>
  <c r="V42" i="7"/>
  <c r="AM44" i="7"/>
  <c r="X45" i="7"/>
  <c r="X47" i="7"/>
  <c r="X48" i="7"/>
  <c r="AM48" i="7"/>
  <c r="Z49" i="7"/>
  <c r="X51" i="7"/>
  <c r="Q52" i="7"/>
  <c r="AG54" i="7"/>
  <c r="AL59" i="7"/>
  <c r="X63" i="7"/>
  <c r="AL63" i="7"/>
  <c r="Q76" i="7"/>
  <c r="X77" i="7"/>
  <c r="O89" i="7"/>
  <c r="AE89" i="7"/>
  <c r="AC92" i="7"/>
  <c r="AE98" i="7"/>
  <c r="S99" i="7"/>
  <c r="Y102" i="7"/>
  <c r="AF114" i="7"/>
  <c r="X32" i="7"/>
  <c r="AG32" i="7"/>
  <c r="V33" i="7"/>
  <c r="AH42" i="7"/>
  <c r="AL46" i="7"/>
  <c r="AL51" i="7"/>
  <c r="S52" i="7"/>
  <c r="AG52" i="7"/>
  <c r="Q54" i="7"/>
  <c r="O56" i="7"/>
  <c r="M58" i="7"/>
  <c r="Z59" i="7"/>
  <c r="AN59" i="7"/>
  <c r="Q62" i="7"/>
  <c r="Y63" i="7"/>
  <c r="AM63" i="7"/>
  <c r="AJ75" i="7"/>
  <c r="AM76" i="7"/>
  <c r="Z77" i="7"/>
  <c r="AG90" i="7"/>
  <c r="O94" i="7"/>
  <c r="Z95" i="7"/>
  <c r="Y96" i="7"/>
  <c r="AJ97" i="7"/>
  <c r="Q98" i="7"/>
  <c r="AF98" i="7"/>
  <c r="T99" i="7"/>
  <c r="AA102" i="7"/>
  <c r="AA108" i="7"/>
  <c r="Y111" i="7"/>
  <c r="AH114" i="7"/>
  <c r="AN51" i="7"/>
  <c r="S54" i="7"/>
  <c r="Z63" i="7"/>
  <c r="AN63" i="7"/>
  <c r="AE92" i="7"/>
  <c r="S98" i="7"/>
  <c r="AG98" i="7"/>
  <c r="AE100" i="7"/>
  <c r="AE109" i="7"/>
  <c r="V32" i="7"/>
  <c r="AJ51" i="7"/>
  <c r="X42" i="7"/>
  <c r="AJ31" i="7"/>
  <c r="Z32" i="7"/>
  <c r="Z33" i="7"/>
  <c r="AJ34" i="7"/>
  <c r="T35" i="7"/>
  <c r="AM36" i="7"/>
  <c r="Y42" i="7"/>
  <c r="Q43" i="7"/>
  <c r="AE45" i="7"/>
  <c r="Q56" i="7"/>
  <c r="Q67" i="7"/>
  <c r="AG67" i="7"/>
  <c r="AL75" i="7"/>
  <c r="O78" i="7"/>
  <c r="AJ88" i="7"/>
  <c r="AF92" i="7"/>
  <c r="Q94" i="7"/>
  <c r="O96" i="7"/>
  <c r="AL97" i="7"/>
  <c r="AG100" i="7"/>
  <c r="T108" i="7"/>
  <c r="Q109" i="7"/>
  <c r="AF109" i="7"/>
  <c r="Y32" i="7"/>
  <c r="Q35" i="7"/>
  <c r="S32" i="7"/>
  <c r="AA32" i="7"/>
  <c r="AA33" i="7"/>
  <c r="S36" i="7"/>
  <c r="AL42" i="7"/>
  <c r="S43" i="7"/>
  <c r="AF45" i="7"/>
  <c r="AJ47" i="7"/>
  <c r="Q48" i="7"/>
  <c r="M52" i="7"/>
  <c r="S56" i="7"/>
  <c r="AH59" i="7"/>
  <c r="AE60" i="7"/>
  <c r="V61" i="7"/>
  <c r="AH65" i="7"/>
  <c r="S67" i="7"/>
  <c r="X75" i="7"/>
  <c r="AA76" i="7"/>
  <c r="AE78" i="7"/>
  <c r="V88" i="7"/>
  <c r="Z97" i="7"/>
  <c r="AN97" i="7"/>
  <c r="Q100" i="7"/>
  <c r="AA107" i="7"/>
  <c r="AG109" i="7"/>
  <c r="O62" i="7"/>
  <c r="AH57" i="7"/>
  <c r="Q78" i="7"/>
  <c r="AM88" i="7"/>
  <c r="Q96" i="7"/>
  <c r="AA98" i="7"/>
  <c r="AH113" i="7"/>
  <c r="AC44" i="7"/>
  <c r="AC46" i="7"/>
  <c r="AC97" i="7"/>
  <c r="V53" i="7"/>
  <c r="O58" i="7"/>
  <c r="AJ101" i="7"/>
  <c r="Y109" i="7"/>
  <c r="AE111"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88" i="7"/>
  <c r="Z89" i="7"/>
  <c r="AJ89" i="7"/>
  <c r="O90" i="7"/>
  <c r="V91" i="7"/>
  <c r="AG92" i="7"/>
  <c r="Q93" i="7"/>
  <c r="AL93" i="7"/>
  <c r="S94" i="7"/>
  <c r="AE94" i="7"/>
  <c r="AN95" i="7"/>
  <c r="S96" i="7"/>
  <c r="AE96" i="7"/>
  <c r="Y101" i="7"/>
  <c r="Q102" i="7"/>
  <c r="O107" i="7"/>
  <c r="AC107" i="7"/>
  <c r="Y110" i="7"/>
  <c r="AL110" i="7"/>
  <c r="AG111" i="7"/>
  <c r="AJ114" i="7"/>
  <c r="AC34" i="7"/>
  <c r="AC96" i="7"/>
  <c r="AJ110"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88" i="7"/>
  <c r="AM90" i="7"/>
  <c r="AN91" i="7"/>
  <c r="AN93" i="7"/>
  <c r="AG94" i="7"/>
  <c r="T95" i="7"/>
  <c r="AG96" i="7"/>
  <c r="X99" i="7"/>
  <c r="AL99" i="7"/>
  <c r="Z101" i="7"/>
  <c r="AL101" i="7"/>
  <c r="S102" i="7"/>
  <c r="AE102" i="7"/>
  <c r="Z110" i="7"/>
  <c r="AN110" i="7"/>
  <c r="AM113" i="7"/>
  <c r="X114" i="7"/>
  <c r="AJ53" i="7"/>
  <c r="V57" i="7"/>
  <c r="AC62" i="7"/>
  <c r="AC94" i="7"/>
  <c r="AG34" i="7"/>
  <c r="AG44" i="7"/>
  <c r="AF49" i="7"/>
  <c r="AA64" i="7"/>
  <c r="X65" i="7"/>
  <c r="AL65" i="7"/>
  <c r="AG76" i="7"/>
  <c r="T77" i="7"/>
  <c r="AE88" i="7"/>
  <c r="AL89" i="7"/>
  <c r="Q90" i="7"/>
  <c r="X91" i="7"/>
  <c r="O98" i="7"/>
  <c r="Z99" i="7"/>
  <c r="AC100" i="7"/>
  <c r="AN101" i="7"/>
  <c r="T102" i="7"/>
  <c r="AG102" i="7"/>
  <c r="Q107" i="7"/>
  <c r="AE107" i="7"/>
  <c r="AF108" i="7"/>
  <c r="M111" i="7"/>
  <c r="AC113" i="7"/>
  <c r="M114" i="7"/>
  <c r="Z114" i="7"/>
  <c r="AL114" i="7"/>
  <c r="AJ61" i="7"/>
  <c r="O102" i="7"/>
  <c r="AJ57" i="7"/>
  <c r="AM58" i="7"/>
  <c r="X55" i="7"/>
  <c r="AM57" i="7"/>
  <c r="AE58" i="7"/>
  <c r="O32" i="7"/>
  <c r="AJ36" i="7"/>
  <c r="T45" i="7"/>
  <c r="V47" i="7"/>
  <c r="AH47" i="7"/>
  <c r="V49" i="7"/>
  <c r="O54" i="7"/>
  <c r="AC54" i="7"/>
  <c r="Y55" i="7"/>
  <c r="AJ55" i="7"/>
  <c r="AF58" i="7"/>
  <c r="O60" i="7"/>
  <c r="M62" i="7"/>
  <c r="Z65" i="7"/>
  <c r="AM65" i="7"/>
  <c r="AM89" i="7"/>
  <c r="Z91" i="7"/>
  <c r="M92" i="7"/>
  <c r="M94" i="7"/>
  <c r="AA99" i="7"/>
  <c r="S107" i="7"/>
  <c r="AF107" i="7"/>
  <c r="AH108" i="7"/>
  <c r="AM114" i="7"/>
  <c r="AJ93" i="7"/>
  <c r="AC76" i="7"/>
  <c r="V99" i="7"/>
  <c r="AF31" i="7"/>
  <c r="Z53" i="7"/>
  <c r="AL33" i="7"/>
  <c r="AA46" i="7"/>
  <c r="T57" i="7"/>
  <c r="AH61" i="7"/>
  <c r="AA62" i="7"/>
  <c r="AH93" i="7"/>
  <c r="AA94" i="7"/>
  <c r="AA96" i="7"/>
  <c r="M102" i="7"/>
  <c r="AH110" i="7"/>
  <c r="AA111"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107" i="7"/>
  <c r="Z107" i="7"/>
  <c r="Y107" i="7"/>
  <c r="X107" i="7"/>
  <c r="V107"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98" i="7"/>
  <c r="Z98" i="7"/>
  <c r="Y98" i="7"/>
  <c r="V98" i="7"/>
  <c r="X98" i="7"/>
  <c r="Z100" i="7"/>
  <c r="X100" i="7"/>
  <c r="T100" i="7"/>
  <c r="Y100" i="7"/>
  <c r="V100"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88" i="7"/>
  <c r="T89" i="7"/>
  <c r="AH91" i="7"/>
  <c r="AH92" i="7"/>
  <c r="AN92" i="7"/>
  <c r="AJ92" i="7"/>
  <c r="AC93" i="7"/>
  <c r="AA93" i="7"/>
  <c r="AE93" i="7"/>
  <c r="S95" i="7"/>
  <c r="Q95" i="7"/>
  <c r="M95" i="7"/>
  <c r="AL96" i="7"/>
  <c r="AJ96" i="7"/>
  <c r="AN96" i="7"/>
  <c r="T97" i="7"/>
  <c r="AN99" i="7"/>
  <c r="Y78" i="7"/>
  <c r="AJ98" i="7"/>
  <c r="AH98" i="7"/>
  <c r="AL98" i="7"/>
  <c r="AH100" i="7"/>
  <c r="AN100" i="7"/>
  <c r="AM100" i="7"/>
  <c r="AL100" i="7"/>
  <c r="AJ100" i="7"/>
  <c r="T76" i="7"/>
  <c r="AJ76" i="7"/>
  <c r="O77" i="7"/>
  <c r="Z78" i="7"/>
  <c r="AH78" i="7"/>
  <c r="M88" i="7"/>
  <c r="V89" i="7"/>
  <c r="T90" i="7"/>
  <c r="Z90" i="7"/>
  <c r="V90" i="7"/>
  <c r="O91" i="7"/>
  <c r="M91" i="7"/>
  <c r="Q91" i="7"/>
  <c r="AJ91" i="7"/>
  <c r="X94" i="7"/>
  <c r="V94" i="7"/>
  <c r="Z94" i="7"/>
  <c r="AA95" i="7"/>
  <c r="AG95" i="7"/>
  <c r="AC95" i="7"/>
  <c r="V97" i="7"/>
  <c r="AH109" i="7"/>
  <c r="AN109" i="7"/>
  <c r="AM109" i="7"/>
  <c r="AL109" i="7"/>
  <c r="AJ109" i="7"/>
  <c r="AA112" i="7"/>
  <c r="AG112" i="7"/>
  <c r="AF112" i="7"/>
  <c r="AE112" i="7"/>
  <c r="AC112" i="7"/>
  <c r="AN94" i="7"/>
  <c r="AL94" i="7"/>
  <c r="AH94" i="7"/>
  <c r="AM98" i="7"/>
  <c r="O100" i="7"/>
  <c r="V76" i="7"/>
  <c r="AL76" i="7"/>
  <c r="Q77" i="7"/>
  <c r="T78" i="7"/>
  <c r="AJ78" i="7"/>
  <c r="O88" i="7"/>
  <c r="AG88" i="7"/>
  <c r="Q89" i="7"/>
  <c r="S89" i="7"/>
  <c r="X89" i="7"/>
  <c r="X90" i="7"/>
  <c r="AL91" i="7"/>
  <c r="S92" i="7"/>
  <c r="Y94" i="7"/>
  <c r="AJ94" i="7"/>
  <c r="AE95" i="7"/>
  <c r="X97" i="7"/>
  <c r="AN98" i="7"/>
  <c r="M101" i="7"/>
  <c r="S101" i="7"/>
  <c r="Q101" i="7"/>
  <c r="O101" i="7"/>
  <c r="M110" i="7"/>
  <c r="S110" i="7"/>
  <c r="Q110" i="7"/>
  <c r="O110" i="7"/>
  <c r="AJ90" i="7"/>
  <c r="AH90" i="7"/>
  <c r="AL90" i="7"/>
  <c r="AE91" i="7"/>
  <c r="AC91" i="7"/>
  <c r="AG91" i="7"/>
  <c r="Z92" i="7"/>
  <c r="X92" i="7"/>
  <c r="T92" i="7"/>
  <c r="M93" i="7"/>
  <c r="S93" i="7"/>
  <c r="O93" i="7"/>
  <c r="V96" i="7"/>
  <c r="T96" i="7"/>
  <c r="X96" i="7"/>
  <c r="Q97" i="7"/>
  <c r="O97" i="7"/>
  <c r="S97" i="7"/>
  <c r="AM99" i="7"/>
  <c r="AJ99" i="7"/>
  <c r="AC101" i="7"/>
  <c r="AA101" i="7"/>
  <c r="AG101" i="7"/>
  <c r="AE101" i="7"/>
  <c r="Z88" i="7"/>
  <c r="AL88" i="7"/>
  <c r="AN88" i="7"/>
  <c r="AG89" i="7"/>
  <c r="AA89" i="7"/>
  <c r="V92" i="7"/>
  <c r="AM94" i="7"/>
  <c r="AG97" i="7"/>
  <c r="AE97" i="7"/>
  <c r="AA97" i="7"/>
  <c r="O99" i="7"/>
  <c r="M99" i="7"/>
  <c r="Q99" i="7"/>
  <c r="S100" i="7"/>
  <c r="AG99" i="7"/>
  <c r="Z102" i="7"/>
  <c r="AH102" i="7"/>
  <c r="AL107" i="7"/>
  <c r="Q108" i="7"/>
  <c r="AG108" i="7"/>
  <c r="T109" i="7"/>
  <c r="AE110" i="7"/>
  <c r="Z111" i="7"/>
  <c r="AH111" i="7"/>
  <c r="M112" i="7"/>
  <c r="X113" i="7"/>
  <c r="AN113" i="7"/>
  <c r="S114" i="7"/>
  <c r="AA114" i="7"/>
  <c r="AM107" i="7"/>
  <c r="AF110" i="7"/>
  <c r="Y113" i="7"/>
  <c r="AJ102" i="7"/>
  <c r="AN107" i="7"/>
  <c r="S108" i="7"/>
  <c r="V109" i="7"/>
  <c r="AG110" i="7"/>
  <c r="AJ111" i="7"/>
  <c r="O112" i="7"/>
  <c r="Z113" i="7"/>
  <c r="AC114" i="7"/>
  <c r="AC102" i="7"/>
  <c r="AJ108" i="7"/>
  <c r="O109" i="7"/>
  <c r="AC111" i="7"/>
  <c r="V114" i="7"/>
  <c r="AC99" i="7"/>
  <c r="V102" i="7"/>
  <c r="AL102" i="7"/>
  <c r="AH107" i="7"/>
  <c r="M108" i="7"/>
  <c r="AC108" i="7"/>
  <c r="X109" i="7"/>
  <c r="AA110" i="7"/>
  <c r="V111" i="7"/>
  <c r="AL111" i="7"/>
  <c r="Q112" i="7"/>
  <c r="T113" i="7"/>
  <c r="AJ113" i="7"/>
  <c r="O114" i="7"/>
  <c r="AE114" i="7"/>
  <c r="L44" i="7" l="1"/>
  <c r="L45" i="7"/>
  <c r="L48" i="7"/>
  <c r="L36" i="7"/>
  <c r="L34" i="7"/>
  <c r="L43" i="7"/>
  <c r="L31" i="7"/>
  <c r="L46" i="7"/>
  <c r="L32" i="7"/>
  <c r="L49" i="7"/>
  <c r="L47" i="7"/>
  <c r="L42" i="7"/>
  <c r="L35" i="7"/>
  <c r="L111" i="7"/>
  <c r="L109" i="7"/>
  <c r="L112" i="7"/>
  <c r="L108" i="7"/>
  <c r="L113" i="7"/>
  <c r="L98" i="8"/>
  <c r="L94" i="8"/>
  <c r="L102" i="8"/>
  <c r="C9" i="8"/>
  <c r="L9" i="8" s="1"/>
  <c r="C8" i="8"/>
  <c r="L8" i="8" s="1"/>
  <c r="L4" i="8"/>
  <c r="C7" i="8" a="1"/>
  <c r="C7" i="8" s="1"/>
  <c r="L110" i="7"/>
  <c r="L114"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0" i="7" s="1"/>
  <c r="L10" i="7" s="1"/>
  <c r="C1" i="36" a="1"/>
  <c r="C11" i="7" l="1"/>
  <c r="L11" i="7" s="1"/>
  <c r="C16" i="7"/>
  <c r="L16" i="7" s="1"/>
  <c r="C12" i="7"/>
  <c r="L12" i="7" s="1"/>
  <c r="B26" i="7"/>
  <c r="C26" i="7" s="1"/>
  <c r="L26" i="7" s="1"/>
  <c r="C1" i="36"/>
  <c r="C16" i="36" s="1"/>
  <c r="L16" i="36" s="1"/>
  <c r="L1" i="7"/>
  <c r="B27" i="7"/>
  <c r="C27" i="7" s="1"/>
  <c r="L27" i="7" s="1"/>
  <c r="B27" i="36"/>
  <c r="C27" i="36" s="1"/>
  <c r="L27" i="36" s="1"/>
  <c r="L1" i="36" l="1"/>
  <c r="L102" i="36" s="1"/>
  <c r="C12" i="36"/>
  <c r="L12" i="36" s="1"/>
  <c r="B26" i="36"/>
  <c r="C26" i="36" s="1"/>
  <c r="L26" i="36" s="1"/>
  <c r="C10" i="36"/>
  <c r="L10" i="36" s="1"/>
  <c r="C11" i="36"/>
  <c r="L11" i="36" s="1"/>
  <c r="C7" i="36" a="1"/>
  <c r="C7" i="36" s="1"/>
  <c r="L7" i="36" s="1"/>
  <c r="C8" i="7"/>
  <c r="L8" i="7" s="1"/>
  <c r="L4" i="7"/>
  <c r="C9" i="7"/>
  <c r="L9" i="7" s="1"/>
  <c r="L103" i="7"/>
  <c r="C7" i="7" a="1"/>
  <c r="C7" i="7" s="1"/>
  <c r="C8" i="36" l="1"/>
  <c r="L8" i="36" s="1"/>
  <c r="C9" i="36"/>
  <c r="L9" i="36" s="1"/>
  <c r="L4" i="36"/>
  <c r="C19" i="36"/>
  <c r="L19" i="36" s="1"/>
  <c r="C19" i="7"/>
  <c r="L19" i="7" s="1"/>
  <c r="L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<sst xmlns="http://schemas.openxmlformats.org/spreadsheetml/2006/main" count="4793" uniqueCount="1079">
  <si>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</si>
  <si>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</si>
  <si>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</si>
  <si>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</si>
  <si>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</si>
  <si>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</si>
  <si>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</si>
  <si>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</si>
  <si>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</si>
  <si>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</si>
  <si>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</si>
  <si>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</si>
  <si>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</si>
  <si>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</si>
  <si>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</si>
  <si>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</si>
  <si>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</si>
  <si>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</si>
  <si>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</si>
  <si>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</si>
  <si>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</si>
  <si>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</si>
  <si>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</si>
  <si>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</si>
  <si>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</si>
  <si>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</si>
  <si>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</si>
  <si>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</si>
  <si>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</si>
  <si>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</si>
  <si>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</si>
  <si>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</si>
  <si>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</si>
  <si>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</si>
  <si>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</si>
  <si>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</si>
  <si>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</si>
  <si>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</si>
  <si>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</si>
  <si>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</si>
  <si>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</si>
  <si>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</si>
  <si>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</si>
  <si>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</si>
  <si>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</si>
  <si>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</si>
  <si>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</si>
  <si>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</si>
  <si>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</si>
  <si>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</si>
  <si>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</si>
  <si>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</si>
  <si>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</si>
  <si>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</si>
  <si>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</si>
  <si>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</si>
  <si>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</si>
  <si>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</si>
  <si>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</si>
  <si>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</si>
  <si>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</si>
  <si>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</si>
  <si>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</si>
  <si>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</si>
  <si>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</si>
  <si>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</si>
  <si>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</si>
  <si>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</si>
  <si>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</si>
  <si>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</si>
  <si>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</si>
  <si>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</si>
  <si>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</si>
  <si>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</si>
  <si>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</si>
  <si>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</si>
  <si>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</si>
  <si>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</si>
  <si>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</si>
  <si>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</si>
  <si>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</si>
  <si>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</si>
  <si>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</si>
  <si>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</si>
  <si>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</si>
  <si>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</si>
  <si>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</si>
  <si>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</si>
  <si>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</si>
  <si>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</si>
  <si>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</si>
  <si>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</si>
  <si>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</si>
  <si>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</si>
  <si>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</si>
  <si>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</si>
  <si>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</si>
  <si>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</si>
  <si>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</si>
  <si>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</si>
  <si>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</si>
  <si>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</si>
  <si>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</si>
  <si>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</si>
  <si>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</si>
  <si>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</si>
  <si>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</si>
  <si>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</si>
  <si>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</si>
  <si>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</si>
  <si>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</si>
  <si>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</si>
  <si>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</si>
  <si>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</si>
  <si>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</si>
  <si>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</si>
  <si>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</si>
  <si>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</si>
  <si>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</si>
  <si>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</si>
  <si>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</si>
  <si>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</si>
  <si>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</si>
  <si>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</si>
  <si>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</si>
  <si>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</si>
  <si>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</si>
  <si>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</si>
  <si>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</si>
  <si>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</si>
  <si>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</si>
  <si>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</si>
  <si>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</si>
  <si>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</si>
  <si>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</si>
  <si>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</si>
  <si>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</si>
  <si>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</si>
  <si>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</si>
  <si>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</si>
  <si>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</si>
  <si>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</si>
  <si>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</si>
  <si>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</si>
  <si>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</si>
  <si>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</si>
  <si>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</si>
  <si>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</si>
  <si>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</si>
  <si>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</si>
  <si>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</si>
  <si>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</si>
  <si>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</si>
  <si>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</si>
  <si>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</si>
  <si>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</si>
  <si>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</si>
  <si>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</si>
  <si>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</si>
  <si>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</si>
  <si>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</si>
  <si>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</si>
  <si>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</si>
  <si>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</si>
  <si>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</si>
  <si>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</si>
  <si>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</si>
  <si>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</si>
  <si>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</si>
  <si>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</si>
  <si>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</si>
  <si>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</si>
  <si>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</si>
  <si>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</si>
  <si>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</si>
  <si>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</si>
  <si>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</si>
  <si>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</si>
  <si>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</si>
  <si>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</si>
  <si>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</si>
  <si>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</si>
  <si>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</si>
  <si>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</si>
  <si>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</si>
  <si>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</si>
  <si>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</si>
  <si>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</si>
  <si>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</si>
  <si>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</si>
  <si>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</si>
  <si>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</si>
  <si>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</si>
  <si>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</si>
  <si>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</si>
  <si>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</si>
  <si>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</si>
  <si>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</si>
  <si>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</si>
  <si>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</si>
  <si>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</si>
  <si>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</si>
  <si>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</si>
  <si>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</si>
  <si>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</si>
  <si>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</si>
  <si>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</si>
  <si>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</si>
  <si>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</si>
  <si>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</si>
  <si>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</si>
  <si>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</si>
  <si>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</si>
  <si>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</si>
  <si>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</si>
  <si>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</si>
  <si>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</si>
  <si>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</si>
  <si>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</si>
  <si>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</si>
  <si>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</si>
  <si>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</si>
  <si>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</si>
  <si>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</si>
  <si>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</si>
  <si>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</si>
  <si>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</si>
  <si>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</si>
  <si>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</si>
  <si>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</si>
  <si>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</si>
  <si>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</si>
  <si>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</si>
  <si>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</si>
  <si>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</si>
  <si>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</si>
  <si>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</si>
  <si>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</si>
  <si>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</si>
  <si>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</si>
  <si>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</si>
  <si>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</si>
  <si>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</si>
  <si>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</si>
  <si>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</si>
  <si>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</si>
  <si>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</si>
  <si>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</si>
  <si>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</si>
  <si>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</si>
  <si>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</si>
  <si>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</si>
  <si>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</si>
  <si>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</si>
  <si>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</si>
  <si>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</si>
  <si>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</si>
  <si>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</si>
  <si>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</si>
  <si>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</si>
  <si>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</si>
  <si>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</si>
  <si>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</si>
  <si>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</si>
  <si>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</si>
  <si>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</si>
  <si>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</si>
  <si>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</si>
  <si>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</si>
  <si>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</si>
  <si>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</si>
  <si>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</si>
  <si>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</si>
  <si>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</si>
  <si>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</si>
  <si>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</si>
  <si>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</si>
  <si>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</si>
  <si>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</si>
  <si>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</si>
  <si>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</si>
  <si>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</si>
  <si>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</si>
  <si>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</si>
  <si>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</si>
  <si>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</si>
  <si>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</si>
  <si>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</si>
  <si>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</si>
  <si>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</si>
  <si>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</si>
  <si>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</si>
  <si>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</si>
  <si>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</si>
  <si>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</si>
  <si>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</si>
  <si>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</si>
  <si>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</si>
  <si>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</si>
  <si>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</si>
  <si>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</si>
  <si>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</si>
  <si>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</si>
  <si>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</si>
  <si>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</si>
  <si>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</si>
  <si>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</si>
  <si>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</si>
  <si>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</si>
  <si>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</si>
  <si>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</si>
  <si>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</si>
  <si>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</si>
  <si>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</si>
  <si>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</si>
  <si>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</si>
  <si>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</si>
  <si>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</si>
  <si>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</si>
  <si>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</si>
  <si>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</si>
  <si>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</si>
  <si>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</si>
  <si>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</si>
  <si>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</si>
  <si>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</si>
  <si>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</si>
  <si>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</si>
  <si>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</si>
  <si>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</si>
  <si>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</si>
  <si>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</si>
  <si>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</si>
  <si>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</si>
  <si>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</si>
  <si>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</si>
  <si>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</si>
  <si>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</si>
  <si>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</si>
  <si>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</si>
  <si>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</si>
  <si>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</si>
  <si>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</si>
  <si>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</si>
  <si>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</si>
  <si>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</si>
  <si>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</si>
  <si>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</si>
  <si>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</si>
  <si>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</si>
  <si>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</si>
  <si>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</si>
  <si>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</si>
  <si>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</si>
  <si>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</si>
  <si>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</si>
  <si>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</si>
  <si>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</si>
  <si>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</si>
  <si>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</si>
  <si>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</si>
  <si>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</si>
  <si>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</si>
  <si>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</si>
  <si>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</si>
  <si>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</si>
  <si>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</si>
  <si>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</si>
  <si>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</si>
  <si>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</si>
  <si>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</si>
  <si>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</si>
  <si>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</si>
  <si>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</si>
  <si>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</si>
  <si>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</si>
  <si>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</si>
  <si>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</si>
  <si>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</si>
  <si>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</si>
  <si>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</si>
  <si>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</si>
  <si>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</si>
  <si>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</si>
  <si>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</si>
  <si>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</si>
  <si>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</si>
  <si>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</si>
  <si>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</si>
  <si>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</si>
  <si>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</si>
  <si>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</si>
  <si>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</si>
  <si>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</si>
  <si>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</si>
  <si>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</si>
  <si>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</si>
  <si>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</si>
  <si>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</si>
  <si>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</si>
  <si>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</si>
  <si>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</si>
  <si>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</si>
  <si>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</si>
  <si>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</si>
  <si>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</si>
  <si>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</si>
  <si>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</si>
  <si>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</si>
  <si>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</si>
  <si>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</si>
  <si>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</si>
  <si>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</si>
  <si>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</si>
  <si>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</si>
  <si>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</si>
  <si>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</si>
  <si>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</si>
  <si>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</si>
  <si>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</si>
  <si>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</si>
  <si>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</si>
  <si>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</si>
  <si>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</si>
  <si>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</si>
  <si>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</si>
  <si>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</si>
  <si>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</si>
  <si>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</si>
  <si>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</si>
  <si>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</si>
  <si>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</si>
  <si>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</si>
  <si>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</si>
  <si>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</si>
  <si>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</si>
  <si>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</si>
  <si>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</si>
  <si>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</si>
  <si>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</si>
  <si>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</si>
  <si>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</si>
  <si>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</si>
  <si>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</si>
  <si>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</si>
  <si>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</si>
  <si>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</si>
  <si>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</si>
  <si>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</si>
  <si>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</si>
  <si>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</si>
  <si>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</si>
  <si>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</si>
  <si>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</si>
  <si>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</si>
  <si>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</si>
  <si>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</si>
  <si>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</si>
  <si>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</si>
  <si>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</si>
  <si>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</si>
  <si>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</si>
  <si>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</si>
  <si>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</si>
  <si>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</si>
  <si>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</si>
  <si>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</si>
  <si>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</si>
  <si>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</si>
  <si>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</si>
  <si>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</si>
  <si>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</si>
  <si>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</si>
  <si>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</si>
  <si>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</si>
  <si>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</si>
  <si>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</si>
  <si>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</si>
  <si>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</si>
  <si>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</si>
  <si>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</si>
  <si>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</si>
  <si>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</si>
  <si>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</si>
  <si>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</si>
  <si>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</si>
  <si>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</si>
  <si>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</si>
  <si>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</si>
  <si>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</si>
  <si>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</si>
  <si>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</si>
  <si>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</si>
  <si>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</si>
  <si>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</si>
  <si>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</si>
  <si>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</si>
  <si>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</si>
  <si>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</si>
  <si>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</si>
  <si>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</si>
  <si>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</si>
  <si>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</si>
  <si>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</si>
  <si>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</si>
  <si>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</si>
  <si>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</si>
  <si>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</si>
  <si>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</si>
  <si>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</si>
  <si>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</si>
  <si>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</si>
  <si>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</si>
  <si>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</si>
  <si>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</si>
  <si>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</si>
  <si>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</si>
  <si>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</si>
  <si>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</si>
  <si>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</si>
  <si>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</si>
  <si>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</si>
  <si>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</si>
  <si>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</si>
  <si>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</si>
  <si>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</si>
  <si>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</si>
  <si>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</si>
  <si>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</si>
  <si>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</si>
  <si>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</si>
  <si>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</si>
  <si>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</si>
  <si>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</si>
  <si>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</si>
  <si>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</si>
  <si>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</si>
  <si>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</si>
  <si>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</si>
  <si>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</si>
  <si>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</si>
  <si>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</si>
  <si>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</si>
  <si>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</si>
  <si>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</si>
  <si>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</si>
  <si>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</si>
  <si>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</si>
  <si>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</si>
  <si>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</si>
  <si>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</si>
  <si>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</si>
  <si>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</si>
  <si>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</si>
  <si>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</si>
  <si>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</si>
  <si>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</si>
  <si>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</si>
  <si>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</si>
  <si>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</si>
  <si>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</si>
  <si>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</si>
  <si>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</si>
  <si>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</si>
  <si>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</si>
  <si>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</si>
  <si>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</si>
  <si>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</si>
  <si>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</si>
  <si>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</si>
  <si>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</si>
  <si>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</si>
  <si>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</si>
  <si>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</si>
  <si>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</si>
  <si>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</si>
  <si>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</si>
  <si>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</si>
  <si>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</si>
  <si>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</si>
  <si>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</si>
  <si>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</si>
  <si>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</si>
  <si>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</si>
  <si>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</si>
  <si>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</si>
  <si>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</si>
  <si>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</si>
  <si>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</si>
  <si>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</si>
  <si>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</si>
  <si>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</si>
  <si>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</si>
  <si>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</si>
  <si>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</si>
  <si>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</si>
  <si>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</si>
  <si>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</si>
  <si>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</si>
  <si>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</si>
  <si>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</si>
  <si>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</si>
  <si>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</si>
  <si>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</si>
  <si>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</si>
  <si>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</si>
  <si>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</si>
  <si>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</si>
  <si>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</si>
  <si>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</si>
  <si>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</si>
  <si>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</si>
  <si>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</si>
  <si>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</si>
  <si>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</si>
  <si>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</si>
  <si>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</si>
  <si>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</si>
  <si>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</si>
  <si>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</si>
  <si>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</si>
  <si>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</si>
  <si>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</si>
  <si>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</si>
  <si>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</si>
  <si>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</si>
  <si>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</si>
  <si>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</si>
  <si>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</si>
  <si>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</si>
  <si>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</si>
  <si>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</si>
  <si>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</si>
  <si>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</si>
  <si>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</si>
  <si>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</si>
  <si>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</si>
  <si>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</si>
  <si>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</si>
  <si>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</si>
  <si>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</si>
  <si>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</si>
  <si>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</si>
  <si>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</si>
  <si>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</si>
  <si>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</si>
  <si>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</si>
  <si>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</si>
  <si>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</si>
  <si>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</si>
  <si>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</si>
  <si>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</si>
  <si>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</si>
  <si>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</si>
  <si>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</si>
  <si>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</si>
  <si>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</si>
  <si>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</si>
  <si>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</si>
  <si>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</si>
  <si>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</si>
  <si>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</si>
  <si>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</si>
  <si>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</si>
  <si>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</si>
  <si>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</si>
  <si>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</si>
  <si>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</si>
  <si>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</si>
  <si>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</si>
  <si>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</si>
  <si>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</si>
  <si>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</si>
  <si>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</si>
  <si>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</si>
  <si>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</si>
  <si>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</si>
  <si>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</si>
  <si>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</si>
  <si>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</si>
  <si>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</si>
  <si>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</si>
  <si>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</si>
  <si>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</si>
  <si>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</si>
  <si>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</si>
  <si>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</si>
  <si>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</si>
  <si>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</si>
  <si>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</si>
  <si>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</si>
  <si>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</si>
  <si>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</si>
  <si>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</si>
  <si>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</si>
  <si>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</si>
  <si>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</si>
  <si>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</si>
  <si>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</si>
  <si>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</si>
  <si>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</si>
  <si>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</si>
  <si>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</si>
  <si>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</si>
  <si>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</si>
  <si>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</si>
  <si>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</si>
  <si>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</si>
  <si>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</si>
  <si>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</si>
  <si>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</si>
  <si>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</si>
  <si>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</si>
  <si>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</si>
  <si>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</si>
  <si>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</si>
  <si>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</si>
  <si>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</si>
  <si>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</si>
  <si>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</si>
  <si>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</si>
  <si>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</si>
  <si>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</si>
  <si>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</si>
  <si>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</si>
  <si>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</si>
  <si>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</si>
  <si>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</si>
  <si>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</si>
  <si>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</si>
  <si>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</si>
  <si>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</si>
  <si>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</si>
  <si>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</si>
  <si>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</si>
  <si>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</si>
  <si>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</si>
  <si>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</si>
  <si>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</si>
  <si>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</si>
  <si>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</si>
  <si>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</si>
  <si>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</si>
  <si>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</si>
  <si>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</si>
  <si>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</si>
  <si>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</si>
  <si>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</si>
  <si>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</si>
  <si>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</si>
  <si>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</si>
  <si>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</si>
  <si>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</si>
  <si>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</si>
  <si>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</si>
  <si>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</si>
  <si>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</si>
  <si>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</si>
  <si>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</si>
  <si>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</si>
  <si>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</si>
  <si>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</si>
  <si>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</si>
  <si>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</si>
  <si>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</si>
  <si>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</si>
  <si>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</si>
  <si>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</si>
  <si>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</si>
  <si>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</si>
  <si>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</si>
  <si>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</si>
  <si>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</si>
  <si>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</si>
  <si>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</si>
  <si>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</si>
  <si>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</si>
  <si>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</si>
  <si>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</si>
  <si>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</si>
  <si>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</si>
  <si>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</si>
  <si>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</si>
  <si>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</si>
  <si>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</si>
  <si>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</si>
  <si>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</si>
  <si>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</si>
  <si>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</si>
  <si>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</si>
  <si>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</si>
  <si>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</si>
  <si>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</si>
  <si>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</si>
  <si>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</si>
  <si>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</si>
  <si>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</si>
  <si>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</si>
  <si>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</si>
  <si>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</si>
  <si>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</si>
  <si>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</si>
  <si>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</si>
  <si>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</si>
  <si>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</si>
  <si>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</si>
  <si>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</si>
  <si>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</si>
  <si>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</si>
  <si>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</si>
  <si>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</si>
  <si>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</si>
  <si>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</si>
  <si>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</si>
  <si>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</si>
  <si>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</si>
  <si>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</si>
  <si>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</si>
  <si>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</si>
  <si>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</si>
  <si>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</si>
  <si>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</si>
  <si>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</si>
  <si>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</si>
  <si>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</si>
  <si>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</si>
  <si>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</si>
  <si>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</si>
  <si>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</si>
  <si>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</si>
  <si>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</si>
  <si>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</si>
  <si>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</si>
  <si>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</si>
  <si>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</si>
  <si>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</si>
  <si>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</si>
  <si>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</si>
  <si>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</si>
  <si>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</si>
  <si>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</si>
  <si>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</si>
  <si>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</si>
  <si>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</si>
  <si>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</si>
  <si>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</si>
  <si>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</si>
  <si>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</si>
  <si>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</si>
  <si>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</si>
  <si>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</si>
  <si>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</si>
  <si>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</si>
  <si>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</si>
  <si>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</si>
  <si>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</si>
  <si>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</si>
  <si>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</si>
  <si>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</si>
  <si>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</si>
  <si>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</si>
  <si>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</si>
  <si>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</si>
  <si>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</si>
  <si>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</si>
  <si>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</si>
  <si>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</si>
  <si>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</si>
  <si>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</si>
  <si>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</si>
  <si>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</si>
  <si>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</si>
  <si>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</si>
  <si>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</si>
  <si>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</si>
  <si>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</si>
  <si>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</si>
  <si>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</si>
  <si>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</si>
  <si>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</si>
  <si>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</si>
  <si>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</si>
  <si>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</si>
  <si>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</si>
  <si>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</si>
  <si>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</si>
  <si>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</si>
  <si>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</si>
  <si>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</si>
  <si>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</si>
  <si>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</si>
  <si>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</si>
  <si>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</si>
  <si>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</si>
  <si>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</si>
  <si>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</si>
  <si>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</si>
  <si>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</si>
  <si>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</si>
  <si>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</si>
  <si>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</si>
  <si>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</si>
  <si>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</si>
  <si>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</si>
  <si>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</si>
  <si>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</si>
  <si>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</si>
  <si>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</si>
  <si>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</si>
  <si>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</si>
  <si>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</si>
  <si>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</si>
  <si>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</si>
  <si>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</si>
  <si>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</si>
  <si>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</si>
  <si>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</si>
  <si>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</si>
  <si>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</si>
  <si>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</si>
  <si>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</si>
  <si>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</si>
  <si>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</si>
  <si>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</si>
  <si>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</si>
  <si>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</si>
  <si>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</si>
  <si>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</si>
  <si>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</si>
  <si>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</si>
  <si>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</si>
  <si>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</si>
  <si>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</si>
  <si>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</si>
  <si>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</si>
  <si>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</si>
  <si>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</si>
  <si>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</si>
  <si>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</si>
  <si>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</si>
  <si>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</si>
  <si>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</si>
  <si>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</si>
  <si>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</si>
  <si>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</si>
  <si>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</si>
  <si>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</si>
  <si>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</si>
  <si>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</si>
  <si>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</si>
  <si>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</si>
  <si>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</si>
  <si>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</si>
  <si>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</si>
  <si>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</si>
  <si>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</si>
  <si>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</si>
  <si>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</si>
  <si>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</si>
  <si>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</si>
  <si>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</si>
  <si>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</si>
  <si>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</si>
  <si>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</si>
  <si>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</si>
  <si>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</si>
  <si>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</si>
  <si>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</si>
  <si>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</si>
  <si>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</si>
  <si>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</si>
  <si>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</si>
  <si>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</si>
  <si>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</si>
  <si>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</si>
  <si>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</si>
  <si>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</si>
  <si>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</si>
  <si>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</si>
  <si>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</si>
  <si>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</si>
  <si>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</si>
  <si>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</si>
  <si>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</si>
  <si>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</si>
  <si>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</si>
  <si>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</si>
  <si>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</si>
  <si>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</si>
  <si>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</si>
  <si>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</si>
  <si>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</si>
  <si>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</si>
  <si>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</si>
  <si>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</si>
  <si>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</si>
  <si>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</si>
  <si>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</si>
  <si>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</si>
  <si>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</si>
  <si>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</si>
  <si>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</si>
  <si>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</si>
  <si>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</si>
  <si>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</si>
  <si>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</si>
  <si>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</si>
  <si>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</si>
  <si>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</si>
  <si>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</si>
  <si>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</si>
  <si>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</si>
  <si>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</si>
  <si>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</si>
  <si>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</si>
  <si>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</si>
  <si>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</si>
  <si>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</si>
  <si>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</si>
  <si>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</si>
  <si>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</si>
  <si>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</si>
  <si>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</si>
  <si>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</si>
  <si>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</si>
  <si>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</si>
  <si>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</si>
  <si>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</si>
  <si>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</si>
  <si>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</si>
  <si>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</si>
  <si>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</si>
  <si>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</si>
  <si>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</si>
  <si>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</si>
  <si>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</si>
  <si>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</si>
  <si>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</si>
  <si>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</si>
  <si>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</si>
  <si>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</si>
  <si>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</si>
  <si>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</si>
  <si>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</si>
  <si>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</si>
  <si>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</si>
  <si>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</si>
  <si>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</si>
  <si>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</si>
  <si>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</si>
  <si>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</si>
  <si>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</si>
  <si>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</si>
  <si>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</si>
  <si>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</si>
  <si>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</si>
  <si>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</si>
  <si>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</si>
  <si>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</si>
  <si>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</si>
  <si>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</si>
  <si>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</si>
  <si>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</si>
  <si>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QUÉ AMABLES SON TUS MORADAS</t>
  </si>
  <si>
    <t xml:space="preserve">QUÉ ESTUPENDO, QUÉ ALEGRÍA </t>
  </si>
  <si>
    <t>QUIÉN ES ESTA QUE SUBE DEL DESI</t>
  </si>
  <si>
    <t>QUIERO ANDAR, MADRE, A JERUSALÉ</t>
  </si>
  <si>
    <t>Mi7</t>
  </si>
  <si>
    <t>Salve, Reina de los Cielos,</t>
  </si>
  <si>
    <t>Señora, Señora de los Ángeles.</t>
  </si>
  <si>
    <t>Salve raíz, Salve puerta,</t>
  </si>
  <si>
    <t>tú, tú, tú abriste el camino a nuestra luz.</t>
  </si>
  <si>
    <t>ALÉGRATE, VIRGEN MARÍA,</t>
  </si>
  <si>
    <t>Lam</t>
  </si>
  <si>
    <t>ENTRE TODAS LA MÁS BELLA.</t>
  </si>
  <si>
    <t>SALVE, ETERNA DONCELLA,</t>
  </si>
  <si>
    <t>RUEGA A CRISTO POR NOSOTROS.</t>
  </si>
  <si>
    <t>I... I... I...</t>
  </si>
  <si>
    <t>ALÉGRATE, VIRGEN MARÍA,...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</si>
</sst>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0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1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20N.xlsm" TargetMode="External"/><Relationship Id="rId1" Type="http://schemas.openxmlformats.org/officeDocument/2006/relationships/externalLinkPath" Target="Cantos%20N.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de"/>
      <sheetName val="Indice"/>
      <sheetName val="Index"/>
      <sheetName val="Index Web"/>
      <sheetName val="cantosJS"/>
      <sheetName val="Find"/>
      <sheetName val="QUÉ ESTUPENDO, QUÉ ALEGRÍA "/>
      <sheetName val="html"/>
      <sheetName val="NO ESTÁ AQUÍ, RESUCITÓ"/>
      <sheetName val="NO HAY EN ÉL PARECER"/>
      <sheetName val="NOLI ME TANGERE"/>
      <sheetName val="OH CIELOS, LLOVED DE LO ALTO"/>
      <sheetName val="OH DIOS, POR TU NOMBRE "/>
      <sheetName val="OH DIOS, TÚ ERES MI DIOS "/>
      <sheetName val="OH JESÚS, AMOR MÍO"/>
      <sheetName val="OH MUERTE ¿DÓNDE ESTÁ TU VICTOR"/>
      <sheetName val="OH SEÑOR, NUESTRO DIOS"/>
      <sheetName val="OS TOMARÉ DE ENTRE LAS NACIONES"/>
      <sheetName val="PALOMA INCORRUPTA"/>
      <sheetName val="PENTECOSTÉS"/>
      <sheetName val="POR EL AMOR DE MIS AMIGOS"/>
      <sheetName val="POR QUÉ ESTA NOCHE ES DIFERENTE"/>
      <sheetName val="POR QUÉ LAS GENTES CONJURAN"/>
      <sheetName val="PORQUE MI YUGO ES SUAVE"/>
      <sheetName val="MARIA, MADRE MÍA"/>
      <sheetName val="boceto"/>
      <sheetName val="Cantos N"/>
    </sheetNames>
    <sheetDataSet>
      <sheetData sheetId="0" refreshError="1"/>
      <sheetData sheetId="1" refreshError="1"/>
      <sheetData sheetId="2" refreshError="1"/>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1062</v>
      </c>
      <c r="B5" s="37"/>
      <c r="C5" s="37"/>
      <c r="D5" s="37"/>
      <c r="E5" s="37"/>
      <c r="F5" s="38"/>
      <c r="G5" s="38"/>
      <c r="H5" s="38"/>
    </row>
    <row r="6" spans="1:8" ht="26.1" customHeight="1" x14ac:dyDescent="0.45">
      <c r="A6" s="37" t="s">
        <v>977</v>
      </c>
      <c r="B6" s="37"/>
      <c r="C6" s="37"/>
      <c r="D6" s="37"/>
      <c r="E6" s="37"/>
      <c r="F6" s="38"/>
      <c r="G6" s="38"/>
      <c r="H6" s="38"/>
    </row>
    <row r="7" spans="1:8" ht="26.1" customHeight="1" x14ac:dyDescent="0.45">
      <c r="A7" s="37" t="s">
        <v>978</v>
      </c>
      <c r="B7" s="37"/>
      <c r="C7" s="37"/>
      <c r="D7" s="37"/>
      <c r="E7" s="37"/>
      <c r="F7" s="38"/>
      <c r="G7" s="38"/>
      <c r="H7" s="38"/>
    </row>
    <row r="8" spans="1:8" ht="26.1" customHeight="1" x14ac:dyDescent="0.45">
      <c r="A8" s="37" t="s">
        <v>1016</v>
      </c>
      <c r="B8" s="37"/>
      <c r="C8" s="37"/>
      <c r="D8" s="37"/>
      <c r="E8" s="37"/>
      <c r="F8" s="38"/>
      <c r="G8" s="38"/>
      <c r="H8" s="38"/>
    </row>
    <row r="9" spans="1:8" ht="26.1" customHeight="1" x14ac:dyDescent="0.45">
      <c r="A9" s="37" t="s">
        <v>1063</v>
      </c>
      <c r="B9" s="37"/>
      <c r="C9" s="37"/>
      <c r="D9" s="37"/>
      <c r="E9" s="37"/>
      <c r="F9" s="38"/>
      <c r="G9" s="38"/>
      <c r="H9" s="38"/>
    </row>
    <row r="10" spans="1:8" ht="26.1" customHeight="1" x14ac:dyDescent="0.45">
      <c r="A10" s="37" t="s">
        <v>1064</v>
      </c>
      <c r="B10" s="37"/>
      <c r="C10" s="37"/>
      <c r="D10" s="37"/>
      <c r="E10" s="38"/>
      <c r="F10" s="38"/>
      <c r="G10" s="38"/>
      <c r="H10" s="38"/>
    </row>
    <row r="11" spans="1:8" ht="26.1" customHeight="1" x14ac:dyDescent="0.45">
      <c r="A11" s="37" t="s">
        <v>1065</v>
      </c>
      <c r="B11" s="37"/>
      <c r="C11" s="37"/>
      <c r="D11" s="37"/>
      <c r="E11" s="38"/>
      <c r="F11" s="38"/>
      <c r="G11" s="38"/>
      <c r="H11" s="38"/>
    </row>
    <row r="12" spans="1:8" ht="26.1" customHeight="1" x14ac:dyDescent="0.45">
      <c r="A12" s="37" t="s">
        <v>1066</v>
      </c>
      <c r="B12" s="37"/>
      <c r="C12" s="37"/>
      <c r="D12" s="37"/>
      <c r="E12" s="38"/>
      <c r="F12" s="38"/>
      <c r="G12" s="38"/>
      <c r="H12" s="38"/>
    </row>
    <row r="13" spans="1:8" ht="26.1" customHeight="1" x14ac:dyDescent="0.45">
      <c r="A13" s="37" t="s">
        <v>1017</v>
      </c>
      <c r="B13" s="37"/>
      <c r="C13" s="37"/>
      <c r="D13" s="37"/>
      <c r="E13" s="38"/>
      <c r="F13" s="38"/>
      <c r="G13" s="38"/>
      <c r="H13" s="38"/>
    </row>
    <row r="14" spans="1:8" ht="26.1" customHeight="1" x14ac:dyDescent="0.45">
      <c r="A14" s="37" t="s">
        <v>1026</v>
      </c>
      <c r="B14" s="37"/>
      <c r="C14" s="37"/>
      <c r="D14" s="37"/>
      <c r="E14" s="38"/>
      <c r="F14" s="38"/>
      <c r="G14" s="38"/>
      <c r="H14" s="38"/>
    </row>
    <row r="15" spans="1:8" ht="26.1" customHeight="1" x14ac:dyDescent="0.45">
      <c r="A15" s="37"/>
      <c r="B15" s="37"/>
      <c r="C15" s="37"/>
      <c r="D15" s="37"/>
      <c r="E15" s="38"/>
      <c r="F15" s="38"/>
      <c r="G15" s="38"/>
      <c r="H15" s="38"/>
    </row>
    <row r="16" spans="1:8" ht="26.1" customHeight="1" x14ac:dyDescent="0.45">
      <c r="A16" s="37"/>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70160B10-938A-4181-A8ED-4CE1F4E2B0F2}"/>
    <hyperlink ref="A3" location="'Index'!A3" display="'Index'!A3" xr:uid="{BB446D99-ED51-4747-9707-9EF241ACEC6A}"/>
    <hyperlink ref="A4" location="'Index Web'!A3" display="'Index Web'!A3" xr:uid="{50CB5058-50B4-42B3-A65C-AFD1A66F1754}"/>
    <hyperlink ref="A5" location="'QUÉ AMABLES SON TUS MORADAS (2)'!A3" display="'QUÉ AMABLES SON TUS MORADAS (2)'!A3" xr:uid="{ACE1A3C3-0D6D-4255-AB53-15B8E66149A8}"/>
    <hyperlink ref="A6" location="'cantosJS'!A3" display="'cantosJS'!A3" xr:uid="{78459128-37FB-42E3-8ED8-2E2703A00308}"/>
    <hyperlink ref="A7" location="'Find'!A3" display="'Find'!A3" xr:uid="{185BAEBE-EAD8-4BB4-9E9A-E63683038242}"/>
    <hyperlink ref="A8" location="'html'!A3" display="'html'!A3" xr:uid="{AD485082-6979-4EE3-B15F-03A74F74FB5A}"/>
    <hyperlink ref="A9" location="'QUÉ AMABLES SON TUS MORADAS'!A3" display="'QUÉ AMABLES SON TUS MORADAS'!A3" xr:uid="{2148B946-7867-4391-BA81-CF3D118E6479}"/>
    <hyperlink ref="A10" location="'QUÉ ESTUPENDO, QUÉ ALEGRÍA '!A3" display="'QUÉ ESTUPENDO, QUÉ ALEGRÍA '!A3" xr:uid="{CC7003E2-3A42-4276-908C-5891D5BF71E9}"/>
    <hyperlink ref="A11" location="'QUIÉN ES ESTA QUE SUBE DEL DESI'!A3" display="'QUIÉN ES ESTA QUE SUBE DEL DESI'!A3" xr:uid="{BBF80CBD-528A-4295-86BD-FFB0244CD847}"/>
    <hyperlink ref="A12" location="'QUIERO ANDAR, MADRE, A JERUSALÉ'!A3" display="'QUIERO ANDAR, MADRE, A JERUSALÉ'!A3" xr:uid="{4316939E-0353-4780-AADA-39730209A47A}"/>
    <hyperlink ref="A13" location="'MARIA, MADRE MÍA'!A3" display="'MARIA, MADRE MÍA'!A3" xr:uid="{0C82A458-CD4E-453B-961E-19702DA19092}"/>
    <hyperlink ref="A14" location="'boceto'!A3" display="'boceto'!A3" xr:uid="{94D6D8DF-0BAE-4047-B0FC-197D3CC7DEAE}"/>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t="e" cm="1">
        <f t="array" aca="1" ref="C1" ca="1">SumarE1HojaAnterior()+1</f>
        <v>#VALUE!</v>
      </c>
      <c r="E1" s="40"/>
      <c r="F1" s="40"/>
      <c r="G1" s="40"/>
      <c r="H1" s="40"/>
      <c r="I1" s="40"/>
      <c r="J1" s="40"/>
      <c r="K1" s="40"/>
      <c r="L1" s="41" t="e">
        <f ca="1">UPPER(VLOOKUP(C1,[1]!Table223[#Data],3,FALSE))</f>
        <v>#VALUE!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 ca="1">_xlfn.CONCAT("║           ",L1,"               ║")</f>
        <v>#VALUE!</v>
      </c>
    </row>
    <row r="5" spans="2:32" ht="23.25" x14ac:dyDescent="0.25">
      <c r="L5" s="46" t="s">
        <v>982</v>
      </c>
    </row>
    <row r="6" spans="2:32" ht="23.25" x14ac:dyDescent="0.25">
      <c r="L6" s="47" t="s">
        <v>983</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 ca="1">_xlfn.CONCAT("        id: ","""",C7,"""",",")</f>
        <v>#VALUE!</v>
      </c>
    </row>
    <row r="8" spans="2:32" ht="23.25" x14ac:dyDescent="0.25">
      <c r="C8" t="e">
        <f ca="1">PROPER(L1)</f>
        <v>#VALUE!</v>
      </c>
      <c r="L8" s="48" t="e">
        <f ca="1">_xlfn.CONCAT("        tt: ","""",C8,"""",",")</f>
        <v>#VALUE!</v>
      </c>
    </row>
    <row r="9" spans="2:32" ht="23.25" x14ac:dyDescent="0.25">
      <c r="C9" t="e">
        <f ca="1">PROPER(L1)</f>
        <v>#VALUE!</v>
      </c>
      <c r="L9" s="48" t="e">
        <f ca="1">_xlfn.CONCAT("        title: ","""",C9,"""",",")</f>
        <v>#VALUE!</v>
      </c>
    </row>
    <row r="10" spans="2:32" ht="23.25" x14ac:dyDescent="0.25">
      <c r="C10" t="e">
        <f ca="1">VLOOKUP(C1,[1]!Table223[#Data],4,FALSE)</f>
        <v>#VALUE!</v>
      </c>
      <c r="L10" s="48" t="e">
        <f ca="1">_xlfn.CONCAT("        ","subtitle: ","""",C10,"""",",")</f>
        <v>#VALUE!</v>
      </c>
    </row>
    <row r="11" spans="2:32" ht="23.25" x14ac:dyDescent="0.25">
      <c r="C11" t="e">
        <f ca="1">_xlfn.CONCAT("category: [",VLOOKUP(C1,[1]!Table223[#Data],16,FALSE),"],")</f>
        <v>#VALUE!</v>
      </c>
      <c r="L11" s="48" t="e">
        <f ca="1">_xlfn.CONCAT("        ",C11)</f>
        <v>#VALUE!</v>
      </c>
    </row>
    <row r="12" spans="2:32" ht="23.25" x14ac:dyDescent="0.25">
      <c r="C12" t="e">
        <f ca="1">VLOOKUP(C1,[1]!Table223[#Data],5,FALSE)</f>
        <v>#VALUE!</v>
      </c>
      <c r="L12" s="48" t="e">
        <f ca="1">_xlfn.CONCAT("        catCanto: ","""",C12,"""",",   // Precatecumenado | Catecumenado | Liturgia | Eleccion")</f>
        <v>#VALUE!</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f ca="1">VLOOKUP(C1,[1]!Table223[#Data],1,FALSE)</f>
        <v>#VALUE!</v>
      </c>
      <c r="L16" s="48" t="e">
        <f ca="1">_xlfn.CONCAT("        dbno: ","""",C16,"""",",")</f>
        <v>#VALUE!</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 ca="1">C7</f>
        <v>#VALUE!</v>
      </c>
      <c r="L19" s="48" t="e">
        <f ca="1">_xlfn.CONCAT("        audioSrc: ","""https://audio.resucito.do/",C19,".mp3""",",")</f>
        <v>#VALUE!</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t="e">
        <f ca="1">+C1-1</f>
        <v>#VALUE!</v>
      </c>
      <c r="C26" t="e">
        <f ca="1">VLOOKUP(B26,[1]!Table4[#Data],13,FALSE)</f>
        <v>#VALUE!</v>
      </c>
      <c r="L26" s="48" t="e">
        <f ca="1">_xlfn.CONCAT("        ant: ",C26,",")</f>
        <v>#VALUE!</v>
      </c>
    </row>
    <row r="27" spans="1:40" ht="23.25" x14ac:dyDescent="0.25">
      <c r="B27" t="e">
        <f ca="1">+C1+1</f>
        <v>#VALUE!</v>
      </c>
      <c r="C27" t="e">
        <f ca="1">VLOOKUP(B27,[1]!Table4[#Data],13,FALSE)</f>
        <v>#VALUE!</v>
      </c>
      <c r="L27" s="48" t="e">
        <f ca="1">_xlfn.CONCAT("        sig: ",C27,",")</f>
        <v>#VALUE!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5.5" thickTop="1" thickBot="1" x14ac:dyDescent="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5.5" thickTop="1" thickBot="1" x14ac:dyDescent="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5.5" thickTop="1" thickBot="1" x14ac:dyDescent="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75" thickTop="1" thickBot="1" x14ac:dyDescent="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5.5" outlineLevel="1" thickTop="1" thickBot="1" x14ac:dyDescent="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outlineLevel="1" thickTop="1" thickBot="1" x14ac:dyDescent="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outlineLevel="1" thickTop="1" thickBot="1" x14ac:dyDescent="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outlineLevel="1" thickTop="1" thickBot="1" x14ac:dyDescent="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5.5" outlineLevel="1" thickTop="1" thickBot="1" x14ac:dyDescent="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outlineLevel="1" thickTop="1" thickBot="1" x14ac:dyDescent="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outlineLevel="1" thickTop="1" thickBot="1" x14ac:dyDescent="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5.5" outlineLevel="1" thickTop="1" thickBot="1" x14ac:dyDescent="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outlineLevel="1" thickTop="1" thickBot="1" x14ac:dyDescent="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5.5" outlineLevel="1" thickTop="1" thickBot="1" x14ac:dyDescent="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5.5" outlineLevel="1" thickTop="1" thickBot="1" x14ac:dyDescent="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5.5" outlineLevel="1" thickTop="1" thickBot="1" x14ac:dyDescent="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5.5" outlineLevel="1" thickTop="1" thickBot="1" x14ac:dyDescent="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5.5" outlineLevel="1" thickTop="1" thickBot="1" x14ac:dyDescent="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5.5" outlineLevel="1" thickTop="1" thickBot="1" x14ac:dyDescent="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5.5" outlineLevel="1" thickTop="1" thickBot="1" x14ac:dyDescent="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5.5" outlineLevel="1" thickTop="1" thickBot="1" x14ac:dyDescent="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5.5" outlineLevel="1" thickTop="1" thickBot="1" x14ac:dyDescent="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5.5" outlineLevel="1" thickTop="1" thickBot="1" x14ac:dyDescent="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5.5" outlineLevel="1" thickTop="1" thickBot="1" x14ac:dyDescent="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5.5" outlineLevel="1" thickTop="1" thickBot="1" x14ac:dyDescent="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5.5" outlineLevel="1" thickTop="1" thickBot="1" x14ac:dyDescent="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4">
      <c r="A79" s="95"/>
      <c r="B79" s="95"/>
      <c r="C79" s="95"/>
      <c r="D79" s="95"/>
      <c r="E79" s="95"/>
      <c r="F79" s="95"/>
      <c r="G79" s="95"/>
      <c r="H79" s="95"/>
      <c r="I79" s="95"/>
      <c r="J79" s="95"/>
      <c r="K79" s="95"/>
      <c r="L79" s="99" t="e">
        <f ca="1">_xlfn.CONCAT("]}, // ULTIMA LINEA DEL CANTO: ",L1)</f>
        <v>#VALUE!</v>
      </c>
      <c r="M79" s="95"/>
    </row>
    <row r="80" spans="1:40" ht="20.25" x14ac:dyDescent="0.25">
      <c r="L80" s="100" t="s">
        <v>1008</v>
      </c>
      <c r="M80" s="101"/>
    </row>
    <row r="81" spans="1:40" hidden="1" outlineLevel="1" x14ac:dyDescent="0.25">
      <c r="M81" s="101"/>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hidden="1" outlineLevel="1" thickTop="1" thickBot="1" x14ac:dyDescent="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5.5" hidden="1" outlineLevel="1"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5.5" hidden="1" outlineLevel="1"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5.5" hidden="1" outlineLevel="1"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5.5" hidden="1" outlineLevel="1"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5.5" hidden="1" outlineLevel="1"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5.5" hidden="1" outlineLevel="1"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5.5" hidden="1" outlineLevel="1"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143</v>
      </c>
      <c r="E1" s="40"/>
      <c r="F1" s="40"/>
      <c r="G1" s="40"/>
      <c r="H1" s="40"/>
      <c r="I1" s="40"/>
      <c r="J1" s="40"/>
      <c r="K1" s="40"/>
      <c r="L1" s="41" t="str">
        <f>VLOOKUP(C1,'[2]Codigo Canto'!A3:AQ236,38,FALSE)</f>
        <v>RESURREXIT</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RESURREXIT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resurrexit</v>
      </c>
      <c r="L7" s="48" t="str">
        <f>_xlfn.CONCAT("        id: ","""",C7,"""",",")</f>
        <v xml:space="preserve">        id: "resurrexit",</v>
      </c>
    </row>
    <row r="8" spans="2:32" ht="23.25" x14ac:dyDescent="0.25">
      <c r="C8" t="str">
        <f>PROPER(L1)</f>
        <v>Resurrexit</v>
      </c>
      <c r="L8" s="48" t="str">
        <f>_xlfn.CONCAT("        tt: ","""",C8,"""",",")</f>
        <v xml:space="preserve">        tt: "Resurrexit",</v>
      </c>
    </row>
    <row r="9" spans="2:32" ht="23.25" x14ac:dyDescent="0.25">
      <c r="C9" t="str">
        <f>PROPER(L1)</f>
        <v>Resurrexit</v>
      </c>
      <c r="L9" s="48" t="str">
        <f>_xlfn.CONCAT("        title: ","""",C9,"""",",")</f>
        <v xml:space="preserve">        title: "Resurrexit",</v>
      </c>
    </row>
    <row r="10" spans="2:32" ht="23.25" x14ac:dyDescent="0.25">
      <c r="C10" t="str">
        <f>VLOOKUP(C1,'[2]Codigo Canto'!A3:AQ236,12,FALSE)</f>
        <v>Juan 11,25s</v>
      </c>
      <c r="L10" s="48" t="str">
        <f>_xlfn.CONCAT("        ","subtitle: ","""",C10,"""",",")</f>
        <v xml:space="preserve">        subtitle: "Juan 11,25s",</v>
      </c>
    </row>
    <row r="11" spans="2:32" ht="23.25" x14ac:dyDescent="0.25">
      <c r="C11" t="str">
        <f>_xlfn.CONCAT("category: [",VLOOKUP(C1,Table223[],16,FALSE),"],")</f>
        <v>category: ["Precatecumenado","Pascua","Pentecostés","Nuevo Testamento"],</v>
      </c>
      <c r="L11" s="48" t="str">
        <f>_xlfn.CONCAT("        ",C11)</f>
        <v xml:space="preserve">        category: ["Precatecumenado","Pascua","Pentecostés","Nuevo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VLOOKUP(C1,'[2]Codigo Canto'!A3:AP240,1,FALSE)</f>
        <v>143</v>
      </c>
      <c r="L16" s="48" t="str">
        <f>_xlfn.CONCAT("        dbno: ","""",C16,"""",",")</f>
        <v xml:space="preserve">        dbno: "143",</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resurrexit</v>
      </c>
      <c r="L19" s="48" t="str">
        <f>_xlfn.CONCAT("        audioSrc: ","""/audio/",C19,".mp3""",",")</f>
        <v xml:space="preserve">        audioSrc: "/audio/resurrexit.mp3",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142</v>
      </c>
      <c r="C26" t="str">
        <f>VLOOKUP(B26,[2]Buscador!A3:AP240,31,FALSE)</f>
        <v>/resucito/src/index.html?canto=resucito</v>
      </c>
      <c r="L26" s="48" t="str">
        <f>_xlfn.CONCAT("        ant: ","""",C26,"""",",")</f>
        <v xml:space="preserve">        ant: "/resucito/src/index.html?canto=resucito",</v>
      </c>
    </row>
    <row r="27" spans="2:40" ht="23.25" x14ac:dyDescent="0.25">
      <c r="B27">
        <f>+C1+1</f>
        <v>144</v>
      </c>
      <c r="C27" t="str">
        <f>VLOOKUP(B27,[2]Buscador!A3:AP240,31,FALSE)</f>
        <v>/resucito/src/index.html?canto=salvereinadeloscielos</v>
      </c>
      <c r="L27" s="48" t="str">
        <f>_xlfn.CONCAT("        sig: ","""",C27,"""",",")</f>
        <v xml:space="preserve">        sig: "/resucito/src/index.html?canto=salvereinadeloscielos",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RESURREXIT</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2]!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16"/>
  <sheetViews>
    <sheetView tabSelected="1" zoomScale="85" zoomScaleNormal="85" workbookViewId="0">
      <pane xSplit="2" ySplit="1" topLeftCell="C21" activePane="bottomRight" state="frozen"/>
      <selection pane="topRight" activeCell="C1" sqref="C1"/>
      <selection pane="bottomLeft" activeCell="A2" sqref="A2"/>
      <selection pane="bottomRight" activeCell="C31" sqref="C31:I4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144</v>
      </c>
      <c r="E1" s="40"/>
      <c r="F1" s="40"/>
      <c r="G1" s="40"/>
      <c r="H1" s="40"/>
      <c r="I1" s="40"/>
      <c r="J1" s="40"/>
      <c r="K1" s="40"/>
      <c r="L1" s="41" t="str">
        <f ca="1">UPPER(VLOOKUP(C1,Table223[],3,FALSE))</f>
        <v>SALVE, REINA DE LOS CIELOS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SALVE, REINA DE LOS CIELOS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salvereinadeloscielos</v>
      </c>
      <c r="L7" s="48" t="str">
        <f ca="1">_xlfn.CONCAT("        id: ","""",C7,"""",",")</f>
        <v xml:space="preserve">        id: "salvereinadeloscielos",</v>
      </c>
    </row>
    <row r="8" spans="2:32" ht="23.25" x14ac:dyDescent="0.25">
      <c r="C8" t="str">
        <f ca="1">PROPER(L1)</f>
        <v>Salve, Reina De Los Cielos</v>
      </c>
      <c r="L8" s="48" t="str">
        <f ca="1">_xlfn.CONCAT("        tt: ","""",C8,"""",",")</f>
        <v xml:space="preserve">        tt: "Salve, Reina De Los Cielos",</v>
      </c>
    </row>
    <row r="9" spans="2:32" ht="23.25" x14ac:dyDescent="0.25">
      <c r="C9" t="str">
        <f ca="1">PROPER(L1)</f>
        <v>Salve, Reina De Los Cielos</v>
      </c>
      <c r="L9" s="48" t="str">
        <f ca="1">_xlfn.CONCAT("        title: ","""",C9,"""",",")</f>
        <v xml:space="preserve">        title: "Salve, Reina De Los Cielos",</v>
      </c>
    </row>
    <row r="10" spans="2:32" ht="23.25" x14ac:dyDescent="0.25">
      <c r="C10" t="str">
        <f ca="1">VLOOKUP(C1,Table223[],4,FALSE)</f>
        <v>Himno lat. «Ave, Regina Caelorum»</v>
      </c>
      <c r="L10" s="48" t="str">
        <f ca="1">_xlfn.CONCAT("        ","subtitle: ","""",C10,"""",",")</f>
        <v xml:space="preserve">        subtitle: "Himno lat. «Ave, Regina Caelorum»",</v>
      </c>
    </row>
    <row r="11" spans="2:32" ht="23.25" x14ac:dyDescent="0.25">
      <c r="C11" t="str">
        <f ca="1">_xlfn.CONCAT("category: [",VLOOKUP(C1,Table223[],16,FALSE),"],")</f>
        <v>category: ["Precatecumenado","Vírgen María"],</v>
      </c>
      <c r="L11" s="48" t="str">
        <f ca="1">_xlfn.CONCAT("        ",C11)</f>
        <v xml:space="preserve">        category: ["Precatecumenado","Vírgen María"],</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144</v>
      </c>
      <c r="L16" s="48" t="str">
        <f ca="1">_xlfn.CONCAT("        dbno: ","""",C16,"""",",")</f>
        <v xml:space="preserve">        dbno: "144",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salvereinadeloscielos</v>
      </c>
      <c r="L19" s="48" t="str">
        <f ca="1">_xlfn.CONCAT("        audioSrc: ","""https://audio.resucito.do/",C19,".mp3""",",")</f>
        <v xml:space="preserve">        audioSrc: "https://audio.resucito.do/salvereinadeloscielos.mp3",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143</v>
      </c>
      <c r="C26" t="str">
        <f ca="1">VLOOKUP(B26,Table4[],13,FALSE)</f>
        <v>"/src/index.html?canto=resurrexit"</v>
      </c>
      <c r="L26" s="48" t="str">
        <f ca="1">_xlfn.CONCAT("        ant: ",C26,",")</f>
        <v xml:space="preserve">        ant: "/src/index.html?canto=resurrexit",</v>
      </c>
    </row>
    <row r="27" spans="1:40" ht="23.25" x14ac:dyDescent="0.25">
      <c r="B27">
        <f ca="1">+C1+1</f>
        <v>145</v>
      </c>
      <c r="C27" t="str">
        <f ca="1">VLOOKUP(B27,Table4[],13,FALSE)</f>
        <v>"/src/index.html?canto=seencontrarondosangeles"</v>
      </c>
      <c r="L27" s="48" t="str">
        <f ca="1">_xlfn.CONCAT("        sig: ",C27,",")</f>
        <v xml:space="preserve">        sig: "/src/index.html?canto=seencontrarondosangeles",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 t="shared" ref="R30:R93"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t="s">
        <v>1068</v>
      </c>
      <c r="D31" s="112" t="s">
        <v>1013</v>
      </c>
      <c r="E31" s="52" t="s">
        <v>1012</v>
      </c>
      <c r="F31" s="53"/>
      <c r="G31" s="53"/>
      <c r="H31" s="52"/>
      <c r="I31" s="52"/>
      <c r="J31" s="54"/>
      <c r="K31" s="54"/>
      <c r="L31" s="55" t="str">
        <f t="shared" ref="L31:L51" si="1">IF(C31="","",_xlfn.CONCAT("            { line: ","""",C31,", ",M31:AN31,""", sC: ","""",B31,"""},"))</f>
        <v xml:space="preserve">            { line: "Salve, Reina de los Cielos,, (La,m,20)", sC: ""},</v>
      </c>
      <c r="M31" s="56" t="str">
        <f t="shared" ref="M31:M64" si="2">IF(N31="","","(")</f>
        <v>(</v>
      </c>
      <c r="N31" s="57" t="str">
        <f t="shared" ref="N31:N101" si="3">IF(D31="","",D31)</f>
        <v>La</v>
      </c>
      <c r="O31" s="58" t="str">
        <f t="shared" ref="O31:O64" si="4">IF(N31="","",",")</f>
        <v>,</v>
      </c>
      <c r="P31" s="59" t="str">
        <f t="shared" ref="P31:P101" si="5">IF(E31="","",E31)</f>
        <v>m</v>
      </c>
      <c r="Q31" s="60" t="str">
        <f t="shared" ref="Q31:Q64" si="6">IF(N31="","",",")</f>
        <v>,</v>
      </c>
      <c r="R31" s="61">
        <f t="shared" si="0"/>
        <v>20</v>
      </c>
      <c r="S31" s="56" t="str">
        <f t="shared" ref="S31:S64" si="7">IF(N31="","",")")</f>
        <v>)</v>
      </c>
      <c r="T31" s="62" t="str">
        <f t="shared" ref="T31:T64" si="8">IF(U31="","","(")</f>
        <v/>
      </c>
      <c r="U31" s="63" t="str">
        <f t="shared" ref="U31:U101" si="9">IF(F31="","",F31)</f>
        <v/>
      </c>
      <c r="V31" s="64" t="str">
        <f t="shared" ref="V31:V64" si="10">IF(U31="","",",")</f>
        <v/>
      </c>
      <c r="W31" s="65" t="str">
        <f t="shared" ref="W31:W101" si="11">IF(G31="","",G31)</f>
        <v/>
      </c>
      <c r="X31" s="64" t="str">
        <f t="shared" ref="X31:X64" si="12">IF(U31="","",",")</f>
        <v/>
      </c>
      <c r="Y31" s="64" t="str">
        <f t="shared" ref="Y31:Y64" si="13">IF(U31="","",250)</f>
        <v/>
      </c>
      <c r="Z31" s="56" t="str">
        <f t="shared" ref="Z31:Z64" si="14">IF(U31="","",")")</f>
        <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5.5" thickTop="1" thickBot="1" x14ac:dyDescent="0.4">
      <c r="C32" s="113" t="s">
        <v>1069</v>
      </c>
      <c r="D32" s="112" t="s">
        <v>1015</v>
      </c>
      <c r="E32" s="52"/>
      <c r="F32" s="53" t="s">
        <v>1013</v>
      </c>
      <c r="G32" s="53" t="s">
        <v>1012</v>
      </c>
      <c r="H32" s="52"/>
      <c r="I32" s="52"/>
      <c r="J32" s="54"/>
      <c r="K32" s="54"/>
      <c r="L32" s="55" t="str">
        <f t="shared" si="1"/>
        <v xml:space="preserve">            { line: "Señora, Señora de los Ángeles., (Sol,,14)(La,m,250)", sC: ""},</v>
      </c>
      <c r="M32" s="56" t="str">
        <f t="shared" si="2"/>
        <v>(</v>
      </c>
      <c r="N32" s="57" t="str">
        <f t="shared" si="3"/>
        <v>Sol</v>
      </c>
      <c r="O32" s="58" t="str">
        <f t="shared" si="4"/>
        <v>,</v>
      </c>
      <c r="P32" s="59" t="str">
        <f t="shared" si="5"/>
        <v/>
      </c>
      <c r="Q32" s="60" t="str">
        <f t="shared" si="6"/>
        <v>,</v>
      </c>
      <c r="R32" s="61">
        <f t="shared" si="0"/>
        <v>14</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t="s">
        <v>1070</v>
      </c>
      <c r="D33" s="112" t="s">
        <v>1032</v>
      </c>
      <c r="E33" s="52"/>
      <c r="F33" s="53" t="s">
        <v>1011</v>
      </c>
      <c r="G33" s="53"/>
      <c r="H33" s="52"/>
      <c r="I33" s="52"/>
      <c r="J33" s="54"/>
      <c r="K33" s="54"/>
      <c r="L33" s="55" t="str">
        <f>IF(C33="","",_xlfn.CONCAT("            { line: ","""",C33,", ",M33:AN33,""", sC: ","""",B33,"""},"))</f>
        <v xml:space="preserve">            { line: "Salve raíz, Salve puerta,, (Fa,,20)(Mi,,250)", sC: ""},</v>
      </c>
      <c r="M33" s="56" t="str">
        <f t="shared" si="2"/>
        <v>(</v>
      </c>
      <c r="N33" s="57" t="str">
        <f t="shared" si="3"/>
        <v>Fa</v>
      </c>
      <c r="O33" s="58" t="str">
        <f t="shared" si="4"/>
        <v>,</v>
      </c>
      <c r="P33" s="59" t="str">
        <f t="shared" si="5"/>
        <v/>
      </c>
      <c r="Q33" s="60" t="str">
        <f t="shared" si="6"/>
        <v>,</v>
      </c>
      <c r="R33" s="61">
        <f t="shared" si="0"/>
        <v>20</v>
      </c>
      <c r="S33" s="56" t="str">
        <f t="shared" si="7"/>
        <v>)</v>
      </c>
      <c r="T33" s="62" t="str">
        <f t="shared" si="8"/>
        <v>(</v>
      </c>
      <c r="U33" s="63" t="str">
        <f t="shared" si="9"/>
        <v>Mi</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t="s">
        <v>1071</v>
      </c>
      <c r="D34" s="112" t="s">
        <v>1067</v>
      </c>
      <c r="E34" s="52"/>
      <c r="F34" s="53" t="s">
        <v>1013</v>
      </c>
      <c r="G34" s="53" t="s">
        <v>1012</v>
      </c>
      <c r="H34" s="52"/>
      <c r="I34" s="52"/>
      <c r="J34" s="54"/>
      <c r="K34" s="54"/>
      <c r="L34" s="55" t="str">
        <f>IF(C34="","",_xlfn.CONCAT("            { line: ","""",C34,", ",M34:AN34,""", sC: ","""",B34,"""},"))</f>
        <v xml:space="preserve">            { line: "tú, tú, tú abriste el camino a nuestra luz., (Mi7,,)(La,m,250)", sC: ""},</v>
      </c>
      <c r="M34" s="56" t="str">
        <f t="shared" si="2"/>
        <v>(</v>
      </c>
      <c r="N34" s="57" t="str">
        <f t="shared" si="3"/>
        <v>Mi7</v>
      </c>
      <c r="O34" s="58" t="str">
        <f t="shared" si="4"/>
        <v>,</v>
      </c>
      <c r="P34" s="59" t="str">
        <f t="shared" si="5"/>
        <v/>
      </c>
      <c r="Q34" s="60" t="str">
        <f t="shared" si="6"/>
        <v>,</v>
      </c>
      <c r="R34" s="61" t="str">
        <f t="shared" si="0"/>
        <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t="s">
        <v>1072</v>
      </c>
      <c r="D35" s="112" t="s">
        <v>1073</v>
      </c>
      <c r="E35" s="52"/>
      <c r="F35" s="53" t="s">
        <v>1067</v>
      </c>
      <c r="G35" s="53"/>
      <c r="H35" s="52"/>
      <c r="I35" s="52"/>
      <c r="J35" s="54"/>
      <c r="K35" s="54"/>
      <c r="L35" s="55" t="str">
        <f t="shared" ref="L35:L50" si="29">IF(C35="","",_xlfn.CONCAT("            { line: ","""",C35,", ",M35:AN35,""", sC: ","""",B35,"""},"))</f>
        <v xml:space="preserve">            { line: "ALÉGRATE, VIRGEN MARÍA,, (Lam,,)(Mi7,,250)", sC: ""},</v>
      </c>
      <c r="M35" s="56" t="str">
        <f t="shared" si="2"/>
        <v>(</v>
      </c>
      <c r="N35" s="57" t="str">
        <f t="shared" si="3"/>
        <v>Lam</v>
      </c>
      <c r="O35" s="58" t="str">
        <f t="shared" si="4"/>
        <v>,</v>
      </c>
      <c r="P35" s="59" t="str">
        <f t="shared" si="5"/>
        <v/>
      </c>
      <c r="Q35" s="60" t="str">
        <f t="shared" si="6"/>
        <v>,</v>
      </c>
      <c r="R35" s="61" t="str">
        <f t="shared" si="0"/>
        <v/>
      </c>
      <c r="S35" s="56" t="str">
        <f t="shared" si="7"/>
        <v>)</v>
      </c>
      <c r="T35" s="62" t="str">
        <f t="shared" si="8"/>
        <v>(</v>
      </c>
      <c r="U35" s="63" t="str">
        <f t="shared" si="9"/>
        <v>Mi7</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t="s">
        <v>1074</v>
      </c>
      <c r="D36" s="112" t="s">
        <v>1013</v>
      </c>
      <c r="E36" s="52" t="s">
        <v>1012</v>
      </c>
      <c r="F36" s="53"/>
      <c r="G36" s="53"/>
      <c r="H36" s="52"/>
      <c r="I36" s="52"/>
      <c r="J36" s="54"/>
      <c r="K36" s="54"/>
      <c r="L36" s="55" t="str">
        <f t="shared" si="29"/>
        <v xml:space="preserve">            { line: "ENTRE TODAS LA MÁS BELLA., (La,m,20)", sC: ""},</v>
      </c>
      <c r="M36" s="56" t="str">
        <f>IF(N36="","","(")</f>
        <v>(</v>
      </c>
      <c r="N36" s="57" t="str">
        <f>IF(D36="","",D36)</f>
        <v>La</v>
      </c>
      <c r="O36" s="58" t="str">
        <f>IF(N36="","",",")</f>
        <v>,</v>
      </c>
      <c r="P36" s="59" t="str">
        <f>IF(E36="","",E36)</f>
        <v>m</v>
      </c>
      <c r="Q36" s="60" t="str">
        <f>IF(N36="","",",")</f>
        <v>,</v>
      </c>
      <c r="R36" s="61">
        <f t="shared" si="0"/>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t="s">
        <v>1075</v>
      </c>
      <c r="D37" s="112" t="s">
        <v>1029</v>
      </c>
      <c r="E37" s="52" t="s">
        <v>1012</v>
      </c>
      <c r="F37" s="53" t="s">
        <v>1013</v>
      </c>
      <c r="G37" s="53" t="s">
        <v>1012</v>
      </c>
      <c r="H37" s="52"/>
      <c r="I37" s="52"/>
      <c r="J37" s="54"/>
      <c r="K37" s="54"/>
      <c r="L37" s="55" t="str">
        <f t="shared" ref="L37:L41" si="30">IF(C37="","",_xlfn.CONCAT("            { line: ","""",C37,", ",M37:AN37,""", sC: ","""",B37,"""},"))</f>
        <v xml:space="preserve">            { line: "SALVE, ETERNA DONCELLA,, (Re,m,22)(La,m,250)", sC: ""},</v>
      </c>
      <c r="M37" s="56" t="str">
        <f>IF(N37="","","(")</f>
        <v>(</v>
      </c>
      <c r="N37" s="57" t="str">
        <f>IF(D37="","",D37)</f>
        <v>Re</v>
      </c>
      <c r="O37" s="58" t="str">
        <f>IF(N37="","",",")</f>
        <v>,</v>
      </c>
      <c r="P37" s="59" t="str">
        <f>IF(E37="","",E37)</f>
        <v>m</v>
      </c>
      <c r="Q37" s="60" t="str">
        <f>IF(N37="","",",")</f>
        <v>,</v>
      </c>
      <c r="R37" s="61">
        <f t="shared" si="0"/>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t="s">
        <v>1076</v>
      </c>
      <c r="D38" s="112" t="s">
        <v>1011</v>
      </c>
      <c r="E38" s="52">
        <v>7</v>
      </c>
      <c r="F38" s="53" t="s">
        <v>1013</v>
      </c>
      <c r="G38" s="53" t="s">
        <v>1012</v>
      </c>
      <c r="H38" s="52"/>
      <c r="I38" s="52"/>
      <c r="J38" s="54"/>
      <c r="K38" s="54"/>
      <c r="L38" s="55" t="str">
        <f t="shared" si="30"/>
        <v xml:space="preserve">            { line: "RUEGA A CRISTO POR NOSOTROS., (Mi,7,20)(La,m,250)", sC: ""},</v>
      </c>
      <c r="M38" s="56" t="str">
        <f>IF(N38="","","(")</f>
        <v>(</v>
      </c>
      <c r="N38" s="57" t="str">
        <f>IF(D38="","",D38)</f>
        <v>Mi</v>
      </c>
      <c r="O38" s="58" t="str">
        <f>IF(N38="","",",")</f>
        <v>,</v>
      </c>
      <c r="P38" s="59">
        <f>IF(E38="","",E38)</f>
        <v>7</v>
      </c>
      <c r="Q38" s="60" t="str">
        <f>IF(N38="","",",")</f>
        <v>,</v>
      </c>
      <c r="R38" s="61">
        <f t="shared" si="0"/>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t="s">
        <v>1075</v>
      </c>
      <c r="D39" s="112" t="s">
        <v>1029</v>
      </c>
      <c r="E39" s="52" t="s">
        <v>1012</v>
      </c>
      <c r="F39" s="53" t="s">
        <v>1013</v>
      </c>
      <c r="G39" s="53" t="s">
        <v>1012</v>
      </c>
      <c r="H39" s="52"/>
      <c r="I39" s="52"/>
      <c r="J39" s="54"/>
      <c r="K39" s="54"/>
      <c r="L39" s="55" t="str">
        <f t="shared" si="30"/>
        <v xml:space="preserve">            { line: "SALVE, ETERNA DONCELLA,, (Re,m,22)(La,m,250)", sC: ""},</v>
      </c>
      <c r="M39" s="56" t="str">
        <f t="shared" ref="M39:M41" si="31">IF(N39="","","(")</f>
        <v>(</v>
      </c>
      <c r="N39" s="57" t="str">
        <f t="shared" ref="N39:N41" si="32">IF(D39="","",D39)</f>
        <v>Re</v>
      </c>
      <c r="O39" s="58" t="str">
        <f t="shared" ref="O39:O41" si="33">IF(N39="","",",")</f>
        <v>,</v>
      </c>
      <c r="P39" s="59" t="str">
        <f t="shared" ref="P39:P41" si="34">IF(E39="","",E39)</f>
        <v>m</v>
      </c>
      <c r="Q39" s="60" t="str">
        <f t="shared" ref="Q39:Q41" si="35">IF(N39="","",",")</f>
        <v>,</v>
      </c>
      <c r="R39" s="61">
        <f t="shared" si="0"/>
        <v>22</v>
      </c>
      <c r="S39" s="56" t="str">
        <f t="shared" ref="S39:S41" si="36">IF(N39="","",")")</f>
        <v>)</v>
      </c>
      <c r="T39" s="62" t="str">
        <f t="shared" ref="T39:T41" si="37">IF(U39="","","(")</f>
        <v>(</v>
      </c>
      <c r="U39" s="63" t="str">
        <f t="shared" ref="U39:U41" si="38">IF(F39="","",F39)</f>
        <v>La</v>
      </c>
      <c r="V39" s="64" t="str">
        <f t="shared" ref="V39:V41" si="39">IF(U39="","",",")</f>
        <v>,</v>
      </c>
      <c r="W39" s="65" t="str">
        <f t="shared" ref="W39:W41" si="40">IF(G39="","",G39)</f>
        <v>m</v>
      </c>
      <c r="X39" s="64" t="str">
        <f t="shared" ref="X39:X41" si="41">IF(U39="","",",")</f>
        <v>,</v>
      </c>
      <c r="Y39" s="64">
        <f t="shared" ref="Y39:Y41" si="42">IF(U39="","",250)</f>
        <v>250</v>
      </c>
      <c r="Z39" s="56" t="str">
        <f t="shared" ref="Z39:Z41" si="43">IF(U39="","",")")</f>
        <v>)</v>
      </c>
      <c r="AA39" s="66" t="str">
        <f t="shared" ref="AA39:AA41" si="44">IF(AB39="","","(")</f>
        <v/>
      </c>
      <c r="AB39" s="57" t="str">
        <f t="shared" ref="AB39:AB41" si="45">IF(H39="","",H39)</f>
        <v/>
      </c>
      <c r="AC39" s="67" t="str">
        <f t="shared" ref="AC39:AC41" si="46">IF(AB39="","",",")</f>
        <v/>
      </c>
      <c r="AD39" s="59" t="str">
        <f t="shared" ref="AD39:AD41" si="47">IF(I39="","",I39)</f>
        <v/>
      </c>
      <c r="AE39" s="68" t="str">
        <f t="shared" ref="AE39:AE41" si="48">IF(AB39="","",",")</f>
        <v/>
      </c>
      <c r="AF39" s="61" t="str">
        <f t="shared" ref="AF39:AF41" si="49">IF(AB39="","",350)</f>
        <v/>
      </c>
      <c r="AG39" s="61" t="str">
        <f t="shared" ref="AG39:AG41" si="50">IF(AB39="","",")")</f>
        <v/>
      </c>
      <c r="AH39" s="69" t="str">
        <f t="shared" ref="AH39:AH41" si="51">IF(AI39="","","(")</f>
        <v/>
      </c>
      <c r="AI39" s="70" t="str">
        <f t="shared" ref="AI39:AI41" si="52">IF(J39="","",J39)</f>
        <v/>
      </c>
      <c r="AJ39" s="64" t="str">
        <f t="shared" ref="AJ39:AJ41" si="53">IF(AI39="","",",")</f>
        <v/>
      </c>
      <c r="AK39" s="64" t="str">
        <f t="shared" ref="AK39:AK41" si="54">IF(K39="","",K39)</f>
        <v/>
      </c>
      <c r="AL39" s="64" t="str">
        <f t="shared" ref="AL39:AL41" si="55">IF(AI39="","",",")</f>
        <v/>
      </c>
      <c r="AM39" s="64" t="str">
        <f t="shared" ref="AM39:AM41" si="56">IF(AI39="","",450)</f>
        <v/>
      </c>
      <c r="AN39" s="64" t="str">
        <f t="shared" ref="AN39:AN41" si="57">IF(AI39="","",")")</f>
        <v/>
      </c>
    </row>
    <row r="40" spans="3:40" ht="25.5" thickTop="1" thickBot="1" x14ac:dyDescent="0.4">
      <c r="C40" s="113" t="s">
        <v>1076</v>
      </c>
      <c r="D40" s="112" t="s">
        <v>1011</v>
      </c>
      <c r="E40" s="52">
        <v>7</v>
      </c>
      <c r="F40" s="53" t="s">
        <v>1013</v>
      </c>
      <c r="G40" s="53" t="s">
        <v>1012</v>
      </c>
      <c r="H40" s="52"/>
      <c r="I40" s="52"/>
      <c r="J40" s="54"/>
      <c r="K40" s="54"/>
      <c r="L40" s="55" t="str">
        <f t="shared" si="30"/>
        <v xml:space="preserve">            { line: "RUEGA A CRISTO POR NOSOTROS., (Mi,7,20)(La,m,250)", sC: ""},</v>
      </c>
      <c r="M40" s="56" t="str">
        <f t="shared" si="31"/>
        <v>(</v>
      </c>
      <c r="N40" s="57" t="str">
        <f t="shared" si="32"/>
        <v>Mi</v>
      </c>
      <c r="O40" s="58" t="str">
        <f t="shared" si="33"/>
        <v>,</v>
      </c>
      <c r="P40" s="59">
        <f t="shared" si="34"/>
        <v>7</v>
      </c>
      <c r="Q40" s="60" t="str">
        <f t="shared" si="35"/>
        <v>,</v>
      </c>
      <c r="R40" s="61">
        <f t="shared" si="0"/>
        <v>20</v>
      </c>
      <c r="S40" s="56" t="str">
        <f t="shared" si="36"/>
        <v>)</v>
      </c>
      <c r="T40" s="62" t="str">
        <f t="shared" si="37"/>
        <v>(</v>
      </c>
      <c r="U40" s="63" t="str">
        <f t="shared" si="38"/>
        <v>La</v>
      </c>
      <c r="V40" s="64" t="str">
        <f t="shared" si="39"/>
        <v>,</v>
      </c>
      <c r="W40" s="65" t="str">
        <f t="shared" si="40"/>
        <v>m</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5.5" thickTop="1" thickBot="1" x14ac:dyDescent="0.4">
      <c r="C41" s="113" t="s">
        <v>1077</v>
      </c>
      <c r="D41" s="112" t="s">
        <v>1013</v>
      </c>
      <c r="E41" s="52" t="s">
        <v>1012</v>
      </c>
      <c r="F41" s="53" t="s">
        <v>1015</v>
      </c>
      <c r="G41" s="53"/>
      <c r="H41" s="52" t="s">
        <v>1013</v>
      </c>
      <c r="I41" s="52" t="s">
        <v>1012</v>
      </c>
      <c r="J41" s="54"/>
      <c r="K41" s="54"/>
      <c r="L41" s="55" t="str">
        <f t="shared" si="30"/>
        <v xml:space="preserve">            { line: "I... I... I..., (La,m,20)(Sol,,250)(La,m,350)", sC: ""},</v>
      </c>
      <c r="M41" s="56" t="str">
        <f t="shared" si="31"/>
        <v>(</v>
      </c>
      <c r="N41" s="57" t="str">
        <f t="shared" si="32"/>
        <v>La</v>
      </c>
      <c r="O41" s="58" t="str">
        <f t="shared" si="33"/>
        <v>,</v>
      </c>
      <c r="P41" s="59" t="str">
        <f t="shared" si="34"/>
        <v>m</v>
      </c>
      <c r="Q41" s="60" t="str">
        <f t="shared" si="35"/>
        <v>,</v>
      </c>
      <c r="R41" s="61">
        <f t="shared" si="0"/>
        <v>20</v>
      </c>
      <c r="S41" s="56" t="str">
        <f t="shared" si="36"/>
        <v>)</v>
      </c>
      <c r="T41" s="62" t="str">
        <f t="shared" si="37"/>
        <v>(</v>
      </c>
      <c r="U41" s="63" t="str">
        <f t="shared" si="38"/>
        <v>Sol</v>
      </c>
      <c r="V41" s="64" t="str">
        <f t="shared" si="39"/>
        <v>,</v>
      </c>
      <c r="W41" s="65" t="str">
        <f t="shared" si="40"/>
        <v/>
      </c>
      <c r="X41" s="64" t="str">
        <f t="shared" si="41"/>
        <v>,</v>
      </c>
      <c r="Y41" s="64">
        <f t="shared" si="42"/>
        <v>250</v>
      </c>
      <c r="Z41" s="56" t="str">
        <f t="shared" si="43"/>
        <v>)</v>
      </c>
      <c r="AA41" s="66" t="str">
        <f t="shared" si="44"/>
        <v>(</v>
      </c>
      <c r="AB41" s="57" t="str">
        <f t="shared" si="45"/>
        <v>La</v>
      </c>
      <c r="AC41" s="67" t="str">
        <f t="shared" si="46"/>
        <v>,</v>
      </c>
      <c r="AD41" s="59" t="str">
        <f t="shared" si="47"/>
        <v>m</v>
      </c>
      <c r="AE41" s="68" t="str">
        <f t="shared" si="48"/>
        <v>,</v>
      </c>
      <c r="AF41" s="61">
        <f t="shared" si="49"/>
        <v>350</v>
      </c>
      <c r="AG41" s="61" t="str">
        <f t="shared" si="50"/>
        <v>)</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113" t="s">
        <v>1070</v>
      </c>
      <c r="D42" s="112" t="s">
        <v>1032</v>
      </c>
      <c r="E42" s="52"/>
      <c r="F42" s="53" t="s">
        <v>1011</v>
      </c>
      <c r="G42" s="53"/>
      <c r="H42" s="52"/>
      <c r="I42" s="52"/>
      <c r="J42" s="54"/>
      <c r="K42" s="54"/>
      <c r="L42" s="55" t="str">
        <f t="shared" si="29"/>
        <v xml:space="preserve">            { line: "Salve raíz, Salve puerta,, (Fa,,20)(Mi,,250)", sC: ""},</v>
      </c>
      <c r="M42" s="56" t="str">
        <f>IF(N42="","","(")</f>
        <v>(</v>
      </c>
      <c r="N42" s="57" t="str">
        <f>IF(D42="","",D42)</f>
        <v>Fa</v>
      </c>
      <c r="O42" s="58" t="str">
        <f>IF(N42="","",",")</f>
        <v>,</v>
      </c>
      <c r="P42" s="59" t="str">
        <f>IF(E42="","",E42)</f>
        <v/>
      </c>
      <c r="Q42" s="60" t="str">
        <f>IF(N42="","",",")</f>
        <v>,</v>
      </c>
      <c r="R42" s="61">
        <f t="shared" si="0"/>
        <v>20</v>
      </c>
      <c r="S42" s="56" t="str">
        <f>IF(N42="","",")")</f>
        <v>)</v>
      </c>
      <c r="T42" s="62" t="str">
        <f>IF(U42="","","(")</f>
        <v>(</v>
      </c>
      <c r="U42" s="63" t="str">
        <f>IF(F42="","",F42)</f>
        <v>Mi</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t="s">
        <v>1071</v>
      </c>
      <c r="D43" s="112" t="s">
        <v>1067</v>
      </c>
      <c r="E43" s="52"/>
      <c r="F43" s="53" t="s">
        <v>1013</v>
      </c>
      <c r="G43" s="53" t="s">
        <v>1012</v>
      </c>
      <c r="H43" s="52"/>
      <c r="I43" s="52"/>
      <c r="J43" s="54"/>
      <c r="K43" s="54"/>
      <c r="L43" s="55" t="str">
        <f t="shared" si="29"/>
        <v xml:space="preserve">            { line: "tú, tú, tú abriste el camino a nuestra luz., (Mi7,,)(La,m,250)", sC: ""},</v>
      </c>
      <c r="M43" s="56" t="str">
        <f>IF(N43="","","(")</f>
        <v>(</v>
      </c>
      <c r="N43" s="57" t="str">
        <f>IF(D43="","",D43)</f>
        <v>Mi7</v>
      </c>
      <c r="O43" s="58" t="str">
        <f>IF(N43="","",",")</f>
        <v>,</v>
      </c>
      <c r="P43" s="59" t="str">
        <f>IF(E43="","",E43)</f>
        <v/>
      </c>
      <c r="Q43" s="60" t="str">
        <f>IF(N43="","",",")</f>
        <v>,</v>
      </c>
      <c r="R43" s="61" t="str">
        <f t="shared" si="0"/>
        <v/>
      </c>
      <c r="S43" s="56" t="str">
        <f>IF(N43="","",")")</f>
        <v>)</v>
      </c>
      <c r="T43" s="62" t="str">
        <f>IF(U43="","","(")</f>
        <v>(</v>
      </c>
      <c r="U43" s="63" t="str">
        <f>IF(F43="","",F43)</f>
        <v>La</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t="s">
        <v>1078</v>
      </c>
      <c r="D44" s="112" t="s">
        <v>1073</v>
      </c>
      <c r="E44" s="52"/>
      <c r="F44" s="53" t="s">
        <v>1067</v>
      </c>
      <c r="G44" s="53"/>
      <c r="H44" s="52"/>
      <c r="I44" s="52"/>
      <c r="J44" s="54"/>
      <c r="K44" s="54"/>
      <c r="L44" s="55" t="str">
        <f t="shared" si="29"/>
        <v xml:space="preserve">            { line: "ALÉGRATE, VIRGEN MARÍA,..., (Lam,,)(Mi7,,250)", sC: ""},</v>
      </c>
      <c r="M44" s="56" t="str">
        <f>IF(N44="","","(")</f>
        <v>(</v>
      </c>
      <c r="N44" s="57" t="str">
        <f>IF(D44="","",D44)</f>
        <v>Lam</v>
      </c>
      <c r="O44" s="58" t="str">
        <f>IF(N44="","",",")</f>
        <v>,</v>
      </c>
      <c r="P44" s="59" t="str">
        <f>IF(E44="","",E44)</f>
        <v/>
      </c>
      <c r="Q44" s="60" t="str">
        <f>IF(N44="","",",")</f>
        <v>,</v>
      </c>
      <c r="R44" s="61" t="str">
        <f t="shared" si="0"/>
        <v/>
      </c>
      <c r="S44" s="56" t="str">
        <f>IF(N44="","",")")</f>
        <v>)</v>
      </c>
      <c r="T44" s="62" t="str">
        <f>IF(U44="","","(")</f>
        <v>(</v>
      </c>
      <c r="U44" s="63" t="str">
        <f>IF(F44="","",F44)</f>
        <v>Mi7</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t="s">
        <v>1074</v>
      </c>
      <c r="D45" s="112" t="s">
        <v>1013</v>
      </c>
      <c r="E45" s="52" t="s">
        <v>1012</v>
      </c>
      <c r="F45" s="53"/>
      <c r="G45" s="53"/>
      <c r="H45" s="52"/>
      <c r="I45" s="52"/>
      <c r="J45" s="54"/>
      <c r="K45" s="54"/>
      <c r="L45" s="55" t="str">
        <f t="shared" si="29"/>
        <v xml:space="preserve">            { line: "ENTRE TODAS LA MÁS BELLA., (La,m,20)", sC: ""},</v>
      </c>
      <c r="M45" s="56" t="str">
        <f>IF(N45="","","(")</f>
        <v>(</v>
      </c>
      <c r="N45" s="57" t="str">
        <f>IF(D45="","",D45)</f>
        <v>La</v>
      </c>
      <c r="O45" s="58" t="str">
        <f>IF(N45="","",",")</f>
        <v>,</v>
      </c>
      <c r="P45" s="59" t="str">
        <f>IF(E45="","",E45)</f>
        <v>m</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t="s">
        <v>1075</v>
      </c>
      <c r="D46" s="112" t="s">
        <v>1029</v>
      </c>
      <c r="E46" s="52" t="s">
        <v>1012</v>
      </c>
      <c r="F46" s="53" t="s">
        <v>1013</v>
      </c>
      <c r="G46" s="53" t="s">
        <v>1012</v>
      </c>
      <c r="H46" s="52"/>
      <c r="I46" s="52"/>
      <c r="J46" s="54"/>
      <c r="K46" s="54"/>
      <c r="L46" s="55" t="str">
        <f t="shared" si="29"/>
        <v xml:space="preserve">            { line: "SALVE, ETERNA DONCELLA,, (Re,m,22)(La,m,250)", sC: ""},</v>
      </c>
      <c r="M46" s="56" t="str">
        <f t="shared" ref="M46:M50" si="58">IF(N46="","","(")</f>
        <v>(</v>
      </c>
      <c r="N46" s="57" t="str">
        <f t="shared" ref="N46:N50" si="59">IF(D46="","",D46)</f>
        <v>Re</v>
      </c>
      <c r="O46" s="58" t="str">
        <f t="shared" ref="O46:O50" si="60">IF(N46="","",",")</f>
        <v>,</v>
      </c>
      <c r="P46" s="59" t="str">
        <f t="shared" ref="P46:P50" si="61">IF(E46="","",E46)</f>
        <v>m</v>
      </c>
      <c r="Q46" s="60" t="str">
        <f t="shared" ref="Q46:Q50" si="62">IF(N46="","",",")</f>
        <v>,</v>
      </c>
      <c r="R46" s="61">
        <f t="shared" si="0"/>
        <v>22</v>
      </c>
      <c r="S46" s="56" t="str">
        <f t="shared" ref="S46:S50" si="63">IF(N46="","",")")</f>
        <v>)</v>
      </c>
      <c r="T46" s="62" t="str">
        <f t="shared" ref="T46:T50" si="64">IF(U46="","","(")</f>
        <v>(</v>
      </c>
      <c r="U46" s="63" t="str">
        <f t="shared" ref="U46:U50" si="65">IF(F46="","",F46)</f>
        <v>La</v>
      </c>
      <c r="V46" s="64" t="str">
        <f t="shared" ref="V46:V50" si="66">IF(U46="","",",")</f>
        <v>,</v>
      </c>
      <c r="W46" s="65" t="str">
        <f t="shared" ref="W46:W50" si="67">IF(G46="","",G46)</f>
        <v>m</v>
      </c>
      <c r="X46" s="64" t="str">
        <f t="shared" ref="X46:X50" si="68">IF(U46="","",",")</f>
        <v>,</v>
      </c>
      <c r="Y46" s="64">
        <f t="shared" ref="Y46:Y50" si="69">IF(U46="","",250)</f>
        <v>250</v>
      </c>
      <c r="Z46" s="56" t="str">
        <f t="shared" ref="Z46:Z50" si="70">IF(U46="","",")")</f>
        <v>)</v>
      </c>
      <c r="AA46" s="66" t="str">
        <f t="shared" ref="AA46:AA50" si="71">IF(AB46="","","(")</f>
        <v/>
      </c>
      <c r="AB46" s="57" t="str">
        <f t="shared" ref="AB46:AB50" si="72">IF(H46="","",H46)</f>
        <v/>
      </c>
      <c r="AC46" s="67" t="str">
        <f t="shared" ref="AC46:AC50" si="73">IF(AB46="","",",")</f>
        <v/>
      </c>
      <c r="AD46" s="59" t="str">
        <f t="shared" ref="AD46:AD50" si="74">IF(I46="","",I46)</f>
        <v/>
      </c>
      <c r="AE46" s="68" t="str">
        <f t="shared" ref="AE46:AE50" si="75">IF(AB46="","",",")</f>
        <v/>
      </c>
      <c r="AF46" s="61" t="str">
        <f t="shared" ref="AF46:AF50" si="76">IF(AB46="","",350)</f>
        <v/>
      </c>
      <c r="AG46" s="61" t="str">
        <f t="shared" ref="AG46:AG50" si="77">IF(AB46="","",")")</f>
        <v/>
      </c>
      <c r="AH46" s="69" t="str">
        <f t="shared" ref="AH46:AH50" si="78">IF(AI46="","","(")</f>
        <v/>
      </c>
      <c r="AI46" s="70" t="str">
        <f t="shared" ref="AI46:AI50" si="79">IF(J46="","",J46)</f>
        <v/>
      </c>
      <c r="AJ46" s="64" t="str">
        <f t="shared" ref="AJ46:AJ50" si="80">IF(AI46="","",",")</f>
        <v/>
      </c>
      <c r="AK46" s="64" t="str">
        <f t="shared" ref="AK46:AK50" si="81">IF(K46="","",K46)</f>
        <v/>
      </c>
      <c r="AL46" s="64" t="str">
        <f t="shared" ref="AL46:AL50" si="82">IF(AI46="","",",")</f>
        <v/>
      </c>
      <c r="AM46" s="64" t="str">
        <f t="shared" ref="AM46:AM50" si="83">IF(AI46="","",450)</f>
        <v/>
      </c>
      <c r="AN46" s="64" t="str">
        <f t="shared" ref="AN46:AN50" si="84">IF(AI46="","",")")</f>
        <v/>
      </c>
    </row>
    <row r="47" spans="3:40" ht="25.5" thickTop="1" thickBot="1" x14ac:dyDescent="0.4">
      <c r="C47" s="113" t="s">
        <v>1076</v>
      </c>
      <c r="D47" s="112" t="s">
        <v>1011</v>
      </c>
      <c r="E47" s="52">
        <v>7</v>
      </c>
      <c r="F47" s="53" t="s">
        <v>1013</v>
      </c>
      <c r="G47" s="53" t="s">
        <v>1012</v>
      </c>
      <c r="H47" s="52"/>
      <c r="I47" s="52"/>
      <c r="J47" s="54"/>
      <c r="K47" s="54"/>
      <c r="L47" s="55" t="str">
        <f t="shared" si="29"/>
        <v xml:space="preserve">            { line: "RUEGA A CRISTO POR NOSOTROS., (Mi,7,20)(La,m,250)", sC: ""},</v>
      </c>
      <c r="M47" s="56" t="str">
        <f t="shared" si="58"/>
        <v>(</v>
      </c>
      <c r="N47" s="57" t="str">
        <f t="shared" si="59"/>
        <v>Mi</v>
      </c>
      <c r="O47" s="58" t="str">
        <f t="shared" si="60"/>
        <v>,</v>
      </c>
      <c r="P47" s="59">
        <f t="shared" si="61"/>
        <v>7</v>
      </c>
      <c r="Q47" s="60" t="str">
        <f t="shared" si="62"/>
        <v>,</v>
      </c>
      <c r="R47" s="61">
        <f t="shared" si="0"/>
        <v>20</v>
      </c>
      <c r="S47" s="56" t="str">
        <f t="shared" si="63"/>
        <v>)</v>
      </c>
      <c r="T47" s="62" t="str">
        <f t="shared" si="64"/>
        <v>(</v>
      </c>
      <c r="U47" s="63" t="str">
        <f t="shared" si="65"/>
        <v>La</v>
      </c>
      <c r="V47" s="64" t="str">
        <f t="shared" si="66"/>
        <v>,</v>
      </c>
      <c r="W47" s="65" t="str">
        <f t="shared" si="67"/>
        <v>m</v>
      </c>
      <c r="X47" s="64" t="str">
        <f t="shared" si="68"/>
        <v>,</v>
      </c>
      <c r="Y47" s="64">
        <f t="shared" si="69"/>
        <v>250</v>
      </c>
      <c r="Z47" s="56" t="str">
        <f t="shared" si="70"/>
        <v>)</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3:40" ht="25.5" thickTop="1" thickBot="1" x14ac:dyDescent="0.4">
      <c r="C48" s="113" t="s">
        <v>1075</v>
      </c>
      <c r="D48" s="112" t="s">
        <v>1029</v>
      </c>
      <c r="E48" s="52" t="s">
        <v>1012</v>
      </c>
      <c r="F48" s="53" t="s">
        <v>1013</v>
      </c>
      <c r="G48" s="53" t="s">
        <v>1012</v>
      </c>
      <c r="H48" s="52"/>
      <c r="I48" s="52"/>
      <c r="J48" s="54"/>
      <c r="K48" s="54"/>
      <c r="L48" s="55" t="str">
        <f t="shared" si="29"/>
        <v xml:space="preserve">            { line: "SALVE, ETERNA DONCELLA,, (Re,m,22)(La,m,250)", sC: ""},</v>
      </c>
      <c r="M48" s="56" t="str">
        <f t="shared" si="58"/>
        <v>(</v>
      </c>
      <c r="N48" s="57" t="str">
        <f t="shared" si="59"/>
        <v>Re</v>
      </c>
      <c r="O48" s="58" t="str">
        <f t="shared" si="60"/>
        <v>,</v>
      </c>
      <c r="P48" s="59" t="str">
        <f t="shared" si="61"/>
        <v>m</v>
      </c>
      <c r="Q48" s="60" t="str">
        <f t="shared" si="62"/>
        <v>,</v>
      </c>
      <c r="R48" s="61">
        <f t="shared" si="0"/>
        <v>22</v>
      </c>
      <c r="S48" s="56" t="str">
        <f t="shared" si="63"/>
        <v>)</v>
      </c>
      <c r="T48" s="62" t="str">
        <f t="shared" si="64"/>
        <v>(</v>
      </c>
      <c r="U48" s="63" t="str">
        <f t="shared" si="65"/>
        <v>La</v>
      </c>
      <c r="V48" s="64" t="str">
        <f t="shared" si="66"/>
        <v>,</v>
      </c>
      <c r="W48" s="65" t="str">
        <f t="shared" si="67"/>
        <v>m</v>
      </c>
      <c r="X48" s="64" t="str">
        <f t="shared" si="68"/>
        <v>,</v>
      </c>
      <c r="Y48" s="64">
        <f t="shared" si="69"/>
        <v>250</v>
      </c>
      <c r="Z48" s="56" t="str">
        <f t="shared" si="70"/>
        <v>)</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3:40" ht="25.5" thickTop="1" thickBot="1" x14ac:dyDescent="0.4">
      <c r="C49" s="113" t="s">
        <v>1076</v>
      </c>
      <c r="D49" s="112" t="s">
        <v>1011</v>
      </c>
      <c r="E49" s="52">
        <v>7</v>
      </c>
      <c r="F49" s="53" t="s">
        <v>1013</v>
      </c>
      <c r="G49" s="53" t="s">
        <v>1012</v>
      </c>
      <c r="H49" s="52"/>
      <c r="I49" s="52"/>
      <c r="J49" s="54"/>
      <c r="K49" s="54"/>
      <c r="L49" s="55" t="str">
        <f t="shared" si="29"/>
        <v xml:space="preserve">            { line: "RUEGA A CRISTO POR NOSOTROS., (Mi,7,20)(La,m,250)", sC: ""},</v>
      </c>
      <c r="M49" s="56" t="str">
        <f t="shared" si="58"/>
        <v>(</v>
      </c>
      <c r="N49" s="57" t="str">
        <f t="shared" si="59"/>
        <v>Mi</v>
      </c>
      <c r="O49" s="58" t="str">
        <f t="shared" si="60"/>
        <v>,</v>
      </c>
      <c r="P49" s="59">
        <f t="shared" si="61"/>
        <v>7</v>
      </c>
      <c r="Q49" s="60" t="str">
        <f t="shared" si="62"/>
        <v>,</v>
      </c>
      <c r="R49" s="61">
        <f t="shared" si="0"/>
        <v>20</v>
      </c>
      <c r="S49" s="56" t="str">
        <f t="shared" si="63"/>
        <v>)</v>
      </c>
      <c r="T49" s="62" t="str">
        <f t="shared" si="64"/>
        <v>(</v>
      </c>
      <c r="U49" s="63" t="str">
        <f t="shared" si="65"/>
        <v>La</v>
      </c>
      <c r="V49" s="64" t="str">
        <f t="shared" si="66"/>
        <v>,</v>
      </c>
      <c r="W49" s="65" t="str">
        <f t="shared" si="67"/>
        <v>m</v>
      </c>
      <c r="X49" s="64" t="str">
        <f t="shared" si="68"/>
        <v>,</v>
      </c>
      <c r="Y49" s="64">
        <f t="shared" si="69"/>
        <v>250</v>
      </c>
      <c r="Z49" s="56" t="str">
        <f t="shared" si="70"/>
        <v>)</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3:40" ht="25.5" thickTop="1" thickBot="1" x14ac:dyDescent="0.4">
      <c r="C50" s="113"/>
      <c r="D50" s="112"/>
      <c r="E50" s="52"/>
      <c r="F50" s="53"/>
      <c r="G50" s="53"/>
      <c r="H50" s="52"/>
      <c r="I50" s="52"/>
      <c r="J50" s="54"/>
      <c r="K50" s="54"/>
      <c r="L50" s="55" t="str">
        <f t="shared" si="29"/>
        <v/>
      </c>
      <c r="M50" s="56" t="str">
        <f t="shared" si="58"/>
        <v/>
      </c>
      <c r="N50" s="57" t="str">
        <f t="shared" si="59"/>
        <v/>
      </c>
      <c r="O50" s="58" t="str">
        <f t="shared" si="60"/>
        <v/>
      </c>
      <c r="P50" s="59" t="str">
        <f t="shared" si="61"/>
        <v/>
      </c>
      <c r="Q50" s="60" t="str">
        <f t="shared" si="62"/>
        <v/>
      </c>
      <c r="R50" s="61" t="str">
        <f t="shared" si="0"/>
        <v/>
      </c>
      <c r="S50" s="56" t="str">
        <f t="shared" si="63"/>
        <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3:40" ht="25.5" thickTop="1" thickBot="1" x14ac:dyDescent="0.4">
      <c r="C51" s="113"/>
      <c r="D51" s="112"/>
      <c r="E51" s="52"/>
      <c r="F51" s="53"/>
      <c r="G51" s="53"/>
      <c r="H51" s="52"/>
      <c r="I51" s="52"/>
      <c r="J51" s="54"/>
      <c r="K51" s="54"/>
      <c r="L51" s="55" t="str">
        <f t="shared" si="1"/>
        <v/>
      </c>
      <c r="M51" s="56" t="str">
        <f t="shared" si="2"/>
        <v/>
      </c>
      <c r="N51" s="57" t="str">
        <f t="shared" si="3"/>
        <v/>
      </c>
      <c r="O51" s="58" t="str">
        <f t="shared" si="4"/>
        <v/>
      </c>
      <c r="P51" s="59" t="str">
        <f t="shared" si="5"/>
        <v/>
      </c>
      <c r="Q51" s="60" t="str">
        <f t="shared" si="6"/>
        <v/>
      </c>
      <c r="R51" s="61" t="str">
        <f t="shared" si="0"/>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5.5" thickTop="1" thickBot="1" x14ac:dyDescent="0.4">
      <c r="C52" s="113"/>
      <c r="D52" s="112"/>
      <c r="E52" s="52"/>
      <c r="F52" s="53"/>
      <c r="G52" s="53"/>
      <c r="H52" s="52"/>
      <c r="I52" s="52"/>
      <c r="J52" s="54"/>
      <c r="K52" s="54"/>
      <c r="L52" s="55" t="str">
        <f>IF(C52="","",_xlfn.CONCAT("            { line: ","""",C52,", ",M52:AN52,""", sC: ","""",B52,"""},"))</f>
        <v/>
      </c>
      <c r="M52" s="56" t="str">
        <f t="shared" si="2"/>
        <v/>
      </c>
      <c r="N52" s="57" t="str">
        <f t="shared" si="3"/>
        <v/>
      </c>
      <c r="O52" s="58" t="str">
        <f t="shared" si="4"/>
        <v/>
      </c>
      <c r="P52" s="59" t="str">
        <f t="shared" si="5"/>
        <v/>
      </c>
      <c r="Q52" s="60" t="str">
        <f t="shared" si="6"/>
        <v/>
      </c>
      <c r="R52" s="61" t="str">
        <f t="shared" si="0"/>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5.5" thickTop="1" thickBot="1" x14ac:dyDescent="0.4">
      <c r="C53" s="113"/>
      <c r="D53" s="112"/>
      <c r="E53" s="52"/>
      <c r="F53" s="53"/>
      <c r="G53" s="53"/>
      <c r="H53" s="52"/>
      <c r="I53" s="52"/>
      <c r="J53" s="54"/>
      <c r="K53" s="54"/>
      <c r="L53" s="55" t="str">
        <f>IF(C53="","",_xlfn.CONCAT("            { line: ","""",C53,", ",M53:AN53,""", sC: ","""",B53,"""},"))</f>
        <v/>
      </c>
      <c r="M53" s="56" t="str">
        <f t="shared" si="2"/>
        <v/>
      </c>
      <c r="N53" s="57" t="str">
        <f t="shared" si="3"/>
        <v/>
      </c>
      <c r="O53" s="58" t="str">
        <f t="shared" si="4"/>
        <v/>
      </c>
      <c r="P53" s="59" t="str">
        <f t="shared" si="5"/>
        <v/>
      </c>
      <c r="Q53" s="60" t="str">
        <f t="shared" si="6"/>
        <v/>
      </c>
      <c r="R53" s="61" t="str">
        <f t="shared" si="0"/>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5.5" thickTop="1" thickBot="1" x14ac:dyDescent="0.4">
      <c r="C54" s="113"/>
      <c r="D54" s="112"/>
      <c r="E54" s="52"/>
      <c r="F54" s="53"/>
      <c r="G54" s="53"/>
      <c r="H54" s="52"/>
      <c r="I54" s="52"/>
      <c r="J54" s="54"/>
      <c r="K54" s="54"/>
      <c r="L54" s="55" t="str">
        <f t="shared" ref="L54:L65" si="85">IF(C54="","",_xlfn.CONCAT("            { line: ","""",C54,", ",M54:AN54,""", sC: ","""",B54,"""},"))</f>
        <v/>
      </c>
      <c r="M54" s="56" t="str">
        <f t="shared" si="2"/>
        <v/>
      </c>
      <c r="N54" s="57" t="str">
        <f t="shared" si="3"/>
        <v/>
      </c>
      <c r="O54" s="58" t="str">
        <f t="shared" si="4"/>
        <v/>
      </c>
      <c r="P54" s="59" t="str">
        <f t="shared" si="5"/>
        <v/>
      </c>
      <c r="Q54" s="60" t="str">
        <f t="shared" si="6"/>
        <v/>
      </c>
      <c r="R54" s="61" t="str">
        <f t="shared" si="0"/>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5.5" thickTop="1" thickBot="1" x14ac:dyDescent="0.4">
      <c r="C55" s="113"/>
      <c r="D55" s="112"/>
      <c r="E55" s="52"/>
      <c r="F55" s="53"/>
      <c r="G55" s="53"/>
      <c r="H55" s="52"/>
      <c r="I55" s="52"/>
      <c r="J55" s="54"/>
      <c r="K55" s="54"/>
      <c r="L55" s="55" t="str">
        <f t="shared" si="85"/>
        <v/>
      </c>
      <c r="M55" s="56" t="str">
        <f>IF(N55="","","(")</f>
        <v/>
      </c>
      <c r="N55" s="57" t="str">
        <f>IF(D55="","",D55)</f>
        <v/>
      </c>
      <c r="O55" s="58" t="str">
        <f>IF(N55="","",",")</f>
        <v/>
      </c>
      <c r="P55" s="59" t="str">
        <f>IF(E55="","",E55)</f>
        <v/>
      </c>
      <c r="Q55" s="60" t="str">
        <f>IF(N55="","",",")</f>
        <v/>
      </c>
      <c r="R55" s="61" t="str">
        <f t="shared" si="0"/>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5"/>
        <v/>
      </c>
      <c r="M56" s="56" t="str">
        <f>IF(N56="","","(")</f>
        <v/>
      </c>
      <c r="N56" s="57" t="str">
        <f>IF(D56="","",D56)</f>
        <v/>
      </c>
      <c r="O56" s="58" t="str">
        <f>IF(N56="","",",")</f>
        <v/>
      </c>
      <c r="P56" s="59" t="str">
        <f>IF(E56="","",E56)</f>
        <v/>
      </c>
      <c r="Q56" s="60" t="str">
        <f>IF(N56="","",",")</f>
        <v/>
      </c>
      <c r="R56" s="61" t="str">
        <f t="shared" si="0"/>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5"/>
        <v/>
      </c>
      <c r="M57" s="56" t="str">
        <f>IF(N57="","","(")</f>
        <v/>
      </c>
      <c r="N57" s="57" t="str">
        <f>IF(D57="","",D57)</f>
        <v/>
      </c>
      <c r="O57" s="58" t="str">
        <f>IF(N57="","",",")</f>
        <v/>
      </c>
      <c r="P57" s="59" t="str">
        <f>IF(E57="","",E57)</f>
        <v/>
      </c>
      <c r="Q57" s="60" t="str">
        <f>IF(N57="","",",")</f>
        <v/>
      </c>
      <c r="R57" s="61" t="str">
        <f t="shared" si="0"/>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5"/>
        <v/>
      </c>
      <c r="M58" s="56" t="str">
        <f>IF(N58="","","(")</f>
        <v/>
      </c>
      <c r="N58" s="57" t="str">
        <f>IF(D58="","",D58)</f>
        <v/>
      </c>
      <c r="O58" s="58" t="str">
        <f>IF(N58="","",",")</f>
        <v/>
      </c>
      <c r="P58" s="59" t="str">
        <f>IF(E58="","",E58)</f>
        <v/>
      </c>
      <c r="Q58" s="60" t="str">
        <f>IF(N58="","",",")</f>
        <v/>
      </c>
      <c r="R58" s="61" t="str">
        <f t="shared" si="0"/>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5"/>
        <v/>
      </c>
      <c r="M59" s="56" t="str">
        <f>IF(N59="","","(")</f>
        <v/>
      </c>
      <c r="N59" s="57" t="str">
        <f>IF(D59="","",D59)</f>
        <v/>
      </c>
      <c r="O59" s="58" t="str">
        <f>IF(N59="","",",")</f>
        <v/>
      </c>
      <c r="P59" s="59" t="str">
        <f>IF(E59="","",E59)</f>
        <v/>
      </c>
      <c r="Q59" s="60" t="str">
        <f>IF(N59="","",",")</f>
        <v/>
      </c>
      <c r="R59" s="61" t="str">
        <f t="shared" si="0"/>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5"/>
        <v/>
      </c>
      <c r="M60" s="56" t="str">
        <f t="shared" si="2"/>
        <v/>
      </c>
      <c r="N60" s="57" t="str">
        <f t="shared" si="3"/>
        <v/>
      </c>
      <c r="O60" s="58" t="str">
        <f t="shared" si="4"/>
        <v/>
      </c>
      <c r="P60" s="59" t="str">
        <f t="shared" si="5"/>
        <v/>
      </c>
      <c r="Q60" s="60" t="str">
        <f t="shared" si="6"/>
        <v/>
      </c>
      <c r="R60" s="61" t="str">
        <f t="shared" si="0"/>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5.5" thickTop="1" thickBot="1" x14ac:dyDescent="0.4">
      <c r="C61" s="113"/>
      <c r="D61" s="112"/>
      <c r="E61" s="52"/>
      <c r="F61" s="53"/>
      <c r="G61" s="53"/>
      <c r="H61" s="52"/>
      <c r="I61" s="52"/>
      <c r="J61" s="54"/>
      <c r="K61" s="54"/>
      <c r="L61" s="55" t="str">
        <f t="shared" si="85"/>
        <v/>
      </c>
      <c r="M61" s="56" t="str">
        <f t="shared" si="2"/>
        <v/>
      </c>
      <c r="N61" s="57" t="str">
        <f t="shared" si="3"/>
        <v/>
      </c>
      <c r="O61" s="58" t="str">
        <f t="shared" si="4"/>
        <v/>
      </c>
      <c r="P61" s="59" t="str">
        <f t="shared" si="5"/>
        <v/>
      </c>
      <c r="Q61" s="60" t="str">
        <f t="shared" si="6"/>
        <v/>
      </c>
      <c r="R61" s="61" t="str">
        <f t="shared" si="0"/>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5.5" thickTop="1" thickBot="1" x14ac:dyDescent="0.4">
      <c r="C62" s="113"/>
      <c r="D62" s="112"/>
      <c r="E62" s="52"/>
      <c r="F62" s="53"/>
      <c r="G62" s="53"/>
      <c r="H62" s="52"/>
      <c r="I62" s="52"/>
      <c r="J62" s="54"/>
      <c r="K62" s="54"/>
      <c r="L62" s="55" t="str">
        <f t="shared" si="85"/>
        <v/>
      </c>
      <c r="M62" s="56" t="str">
        <f t="shared" si="2"/>
        <v/>
      </c>
      <c r="N62" s="57" t="str">
        <f t="shared" si="3"/>
        <v/>
      </c>
      <c r="O62" s="58" t="str">
        <f t="shared" si="4"/>
        <v/>
      </c>
      <c r="P62" s="59" t="str">
        <f t="shared" si="5"/>
        <v/>
      </c>
      <c r="Q62" s="60" t="str">
        <f t="shared" si="6"/>
        <v/>
      </c>
      <c r="R62" s="61" t="str">
        <f t="shared" si="0"/>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5.5" thickTop="1" thickBot="1" x14ac:dyDescent="0.4">
      <c r="C63" s="113"/>
      <c r="D63" s="112"/>
      <c r="E63" s="52"/>
      <c r="F63" s="53"/>
      <c r="G63" s="53"/>
      <c r="H63" s="52"/>
      <c r="I63" s="52"/>
      <c r="J63" s="54"/>
      <c r="K63" s="54"/>
      <c r="L63" s="55" t="str">
        <f t="shared" si="85"/>
        <v/>
      </c>
      <c r="M63" s="56" t="str">
        <f t="shared" si="2"/>
        <v/>
      </c>
      <c r="N63" s="57" t="str">
        <f t="shared" si="3"/>
        <v/>
      </c>
      <c r="O63" s="58" t="str">
        <f t="shared" si="4"/>
        <v/>
      </c>
      <c r="P63" s="59" t="str">
        <f t="shared" si="5"/>
        <v/>
      </c>
      <c r="Q63" s="60" t="str">
        <f t="shared" si="6"/>
        <v/>
      </c>
      <c r="R63" s="61" t="str">
        <f t="shared" si="0"/>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5.5" thickTop="1" thickBot="1" x14ac:dyDescent="0.4">
      <c r="C64" s="113"/>
      <c r="D64" s="112"/>
      <c r="E64" s="52"/>
      <c r="F64" s="53"/>
      <c r="G64" s="53"/>
      <c r="H64" s="52"/>
      <c r="I64" s="52"/>
      <c r="J64" s="54"/>
      <c r="K64" s="54"/>
      <c r="L64" s="55" t="str">
        <f t="shared" si="85"/>
        <v/>
      </c>
      <c r="M64" s="56" t="str">
        <f t="shared" si="2"/>
        <v/>
      </c>
      <c r="N64" s="57" t="str">
        <f t="shared" si="3"/>
        <v/>
      </c>
      <c r="O64" s="58" t="str">
        <f t="shared" si="4"/>
        <v/>
      </c>
      <c r="P64" s="59" t="str">
        <f t="shared" si="5"/>
        <v/>
      </c>
      <c r="Q64" s="60" t="str">
        <f t="shared" si="6"/>
        <v/>
      </c>
      <c r="R64" s="61" t="str">
        <f t="shared" si="0"/>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5.5" thickTop="1" thickBot="1" x14ac:dyDescent="0.4">
      <c r="C65" s="113"/>
      <c r="D65" s="112"/>
      <c r="E65" s="52"/>
      <c r="F65" s="71"/>
      <c r="G65" s="53"/>
      <c r="H65" s="52"/>
      <c r="I65" s="52"/>
      <c r="J65" s="72"/>
      <c r="K65" s="54"/>
      <c r="L65" s="55" t="str">
        <f t="shared" si="85"/>
        <v/>
      </c>
      <c r="M65" s="56" t="str">
        <f>IF(N65="","","(")</f>
        <v/>
      </c>
      <c r="N65" s="57" t="str">
        <f t="shared" si="3"/>
        <v/>
      </c>
      <c r="O65" s="58" t="str">
        <f>IF(N65="","",",")</f>
        <v/>
      </c>
      <c r="P65" s="59" t="str">
        <f t="shared" si="5"/>
        <v/>
      </c>
      <c r="Q65" s="60" t="str">
        <f>IF(N65="","",",")</f>
        <v/>
      </c>
      <c r="R65" s="61" t="str">
        <f t="shared" si="0"/>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0"/>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hidden="1" outlineLevel="1" thickTop="1" thickBot="1" x14ac:dyDescent="0.4">
      <c r="C67" s="113"/>
      <c r="D67" s="112"/>
      <c r="E67" s="52"/>
      <c r="F67" s="53"/>
      <c r="G67" s="53"/>
      <c r="H67" s="52"/>
      <c r="I67" s="52"/>
      <c r="J67" s="54"/>
      <c r="K67" s="54"/>
      <c r="L67" s="55" t="str">
        <f t="shared" ref="L67:L100" si="86">IF(C67="","",_xlfn.CONCAT("            { line: ","""",C67,", ",M67:AN67,""", sC: ","""",B67,"""},"))</f>
        <v/>
      </c>
      <c r="M67" s="56" t="str">
        <f t="shared" ref="M67:M101" si="87">IF(N67="","","(")</f>
        <v/>
      </c>
      <c r="N67" s="57" t="str">
        <f t="shared" si="3"/>
        <v/>
      </c>
      <c r="O67" s="58" t="str">
        <f t="shared" ref="O67:O101" si="88">IF(N67="","",",")</f>
        <v/>
      </c>
      <c r="P67" s="59" t="str">
        <f t="shared" si="5"/>
        <v/>
      </c>
      <c r="Q67" s="60" t="str">
        <f t="shared" ref="Q67:Q101" si="89">IF(N67="","",",")</f>
        <v/>
      </c>
      <c r="R67" s="61" t="str">
        <f t="shared" si="0"/>
        <v/>
      </c>
      <c r="S67" s="56" t="str">
        <f t="shared" ref="S67:S101" si="90">IF(N67="","",")")</f>
        <v/>
      </c>
      <c r="T67" s="62" t="str">
        <f t="shared" ref="T67:T101" si="91">IF(U67="","","(")</f>
        <v/>
      </c>
      <c r="U67" s="63" t="str">
        <f t="shared" si="9"/>
        <v/>
      </c>
      <c r="V67" s="64" t="str">
        <f t="shared" ref="V67:V101" si="92">IF(U67="","",",")</f>
        <v/>
      </c>
      <c r="W67" s="65" t="str">
        <f t="shared" si="11"/>
        <v/>
      </c>
      <c r="X67" s="64" t="str">
        <f t="shared" ref="X67:X101" si="93">IF(U67="","",",")</f>
        <v/>
      </c>
      <c r="Y67" s="64" t="str">
        <f t="shared" ref="Y67:Y101" si="94">IF(U67="","",250)</f>
        <v/>
      </c>
      <c r="Z67" s="56" t="str">
        <f t="shared" ref="Z67:Z101" si="95">IF(U67="","",")")</f>
        <v/>
      </c>
      <c r="AA67" s="66" t="str">
        <f t="shared" ref="AA67:AA101" si="96">IF(AB67="","","(")</f>
        <v/>
      </c>
      <c r="AB67" s="57" t="str">
        <f t="shared" si="16"/>
        <v/>
      </c>
      <c r="AC67" s="67" t="str">
        <f t="shared" ref="AC67:AC101" si="97">IF(AB67="","",",")</f>
        <v/>
      </c>
      <c r="AD67" s="59" t="str">
        <f t="shared" ref="AD67:AD102" si="98">IF(I67="","",I67)</f>
        <v/>
      </c>
      <c r="AE67" s="68" t="str">
        <f t="shared" ref="AE67:AE101" si="99">IF(AB67="","",",")</f>
        <v/>
      </c>
      <c r="AF67" s="61" t="str">
        <f t="shared" ref="AF67:AF101" si="100">IF(AB67="","",350)</f>
        <v/>
      </c>
      <c r="AG67" s="61" t="str">
        <f t="shared" ref="AG67:AG101" si="101">IF(AB67="","",")")</f>
        <v/>
      </c>
      <c r="AH67" s="69" t="str">
        <f t="shared" ref="AH67:AH101" si="102">IF(AI67="","","(")</f>
        <v/>
      </c>
      <c r="AI67" s="70" t="str">
        <f t="shared" si="23"/>
        <v/>
      </c>
      <c r="AJ67" s="64" t="str">
        <f t="shared" ref="AJ67:AJ101" si="103">IF(AI67="","",",")</f>
        <v/>
      </c>
      <c r="AK67" s="64" t="str">
        <f t="shared" ref="AK67:AK102" si="104">IF(K67="","",K67)</f>
        <v/>
      </c>
      <c r="AL67" s="64" t="str">
        <f t="shared" ref="AL67:AL101" si="105">IF(AI67="","",",")</f>
        <v/>
      </c>
      <c r="AM67" s="64" t="str">
        <f t="shared" ref="AM67:AM101" si="106">IF(AI67="","",450)</f>
        <v/>
      </c>
      <c r="AN67" s="64" t="str">
        <f t="shared" ref="AN67:AN101" si="107">IF(AI67="","",")")</f>
        <v/>
      </c>
    </row>
    <row r="68" spans="1:40" ht="25.5" hidden="1" outlineLevel="1" thickTop="1" thickBot="1" x14ac:dyDescent="0.4">
      <c r="C68" s="113"/>
      <c r="D68" s="112"/>
      <c r="E68" s="52"/>
      <c r="F68" s="53"/>
      <c r="G68" s="53"/>
      <c r="H68" s="52"/>
      <c r="I68" s="52"/>
      <c r="J68" s="54"/>
      <c r="K68" s="54"/>
      <c r="L68" s="55" t="str">
        <f t="shared" ref="L68:L74" si="108">IF(C68="","",_xlfn.CONCAT("            { line: ","""",C68,", ",M68:AN68,""", sC: ","""",B68,"""},"))</f>
        <v/>
      </c>
      <c r="M68" s="56" t="str">
        <f t="shared" ref="M68:M74" si="109">IF(N68="","","(")</f>
        <v/>
      </c>
      <c r="N68" s="57" t="str">
        <f t="shared" ref="N68:N74" si="110">IF(D68="","",D68)</f>
        <v/>
      </c>
      <c r="O68" s="58" t="str">
        <f t="shared" ref="O68:O74" si="111">IF(N68="","",",")</f>
        <v/>
      </c>
      <c r="P68" s="59" t="str">
        <f t="shared" ref="P68:P74" si="112">IF(E68="","",E68)</f>
        <v/>
      </c>
      <c r="Q68" s="60" t="str">
        <f t="shared" ref="Q68:Q74" si="113">IF(N68="","",",")</f>
        <v/>
      </c>
      <c r="R68" s="61" t="str">
        <f t="shared" si="0"/>
        <v/>
      </c>
      <c r="S68" s="56" t="str">
        <f t="shared" ref="S68:S74" si="114">IF(N68="","",")")</f>
        <v/>
      </c>
      <c r="T68" s="62" t="str">
        <f t="shared" ref="T68:T74" si="115">IF(U68="","","(")</f>
        <v/>
      </c>
      <c r="U68" s="63" t="str">
        <f t="shared" ref="U68:U74" si="116">IF(F68="","",F68)</f>
        <v/>
      </c>
      <c r="V68" s="64" t="str">
        <f t="shared" ref="V68:V74" si="117">IF(U68="","",",")</f>
        <v/>
      </c>
      <c r="W68" s="65" t="str">
        <f t="shared" ref="W68:W74" si="118">IF(G68="","",G68)</f>
        <v/>
      </c>
      <c r="X68" s="64" t="str">
        <f t="shared" ref="X68:X74" si="119">IF(U68="","",",")</f>
        <v/>
      </c>
      <c r="Y68" s="64" t="str">
        <f t="shared" ref="Y68:Y74" si="120">IF(U68="","",250)</f>
        <v/>
      </c>
      <c r="Z68" s="56" t="str">
        <f t="shared" ref="Z68:Z74" si="121">IF(U68="","",")")</f>
        <v/>
      </c>
      <c r="AA68" s="66" t="str">
        <f t="shared" ref="AA68:AA74" si="122">IF(AB68="","","(")</f>
        <v/>
      </c>
      <c r="AB68" s="57" t="str">
        <f t="shared" ref="AB68:AB74" si="123">IF(H68="","",H68)</f>
        <v/>
      </c>
      <c r="AC68" s="67" t="str">
        <f t="shared" ref="AC68:AC74" si="124">IF(AB68="","",",")</f>
        <v/>
      </c>
      <c r="AD68" s="59" t="str">
        <f t="shared" ref="AD68:AD74" si="125">IF(I68="","",I68)</f>
        <v/>
      </c>
      <c r="AE68" s="68" t="str">
        <f t="shared" ref="AE68:AE74" si="126">IF(AB68="","",",")</f>
        <v/>
      </c>
      <c r="AF68" s="61" t="str">
        <f t="shared" ref="AF68:AF74" si="127">IF(AB68="","",350)</f>
        <v/>
      </c>
      <c r="AG68" s="61" t="str">
        <f t="shared" ref="AG68:AG74" si="128">IF(AB68="","",")")</f>
        <v/>
      </c>
      <c r="AH68" s="69" t="str">
        <f t="shared" ref="AH68:AH74" si="129">IF(AI68="","","(")</f>
        <v/>
      </c>
      <c r="AI68" s="70" t="str">
        <f t="shared" ref="AI68:AI74" si="130">IF(J68="","",J68)</f>
        <v/>
      </c>
      <c r="AJ68" s="64" t="str">
        <f t="shared" ref="AJ68:AJ74" si="131">IF(AI68="","",",")</f>
        <v/>
      </c>
      <c r="AK68" s="64" t="str">
        <f t="shared" ref="AK68:AK74" si="132">IF(K68="","",K68)</f>
        <v/>
      </c>
      <c r="AL68" s="64" t="str">
        <f t="shared" ref="AL68:AL74" si="133">IF(AI68="","",",")</f>
        <v/>
      </c>
      <c r="AM68" s="64" t="str">
        <f t="shared" ref="AM68:AM74" si="134">IF(AI68="","",450)</f>
        <v/>
      </c>
      <c r="AN68" s="64" t="str">
        <f t="shared" ref="AN68:AN74" si="135">IF(AI68="","",")")</f>
        <v/>
      </c>
    </row>
    <row r="69" spans="1:40" ht="25.5" hidden="1" outlineLevel="1" thickTop="1" thickBot="1" x14ac:dyDescent="0.4">
      <c r="C69" s="113"/>
      <c r="D69" s="112"/>
      <c r="E69" s="52"/>
      <c r="F69" s="53"/>
      <c r="G69" s="53"/>
      <c r="H69" s="52"/>
      <c r="I69" s="52"/>
      <c r="J69" s="54"/>
      <c r="K69" s="54"/>
      <c r="L69" s="55" t="str">
        <f t="shared" si="108"/>
        <v/>
      </c>
      <c r="M69" s="56" t="str">
        <f t="shared" si="109"/>
        <v/>
      </c>
      <c r="N69" s="57" t="str">
        <f t="shared" si="110"/>
        <v/>
      </c>
      <c r="O69" s="58" t="str">
        <f t="shared" si="111"/>
        <v/>
      </c>
      <c r="P69" s="59" t="str">
        <f t="shared" si="112"/>
        <v/>
      </c>
      <c r="Q69" s="60" t="str">
        <f t="shared" si="113"/>
        <v/>
      </c>
      <c r="R69" s="61" t="str">
        <f t="shared" si="0"/>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hidden="1" outlineLevel="1" thickTop="1" thickBot="1" x14ac:dyDescent="0.4">
      <c r="C70" s="113"/>
      <c r="D70" s="112"/>
      <c r="E70" s="52"/>
      <c r="F70" s="53"/>
      <c r="G70" s="53"/>
      <c r="H70" s="52"/>
      <c r="I70" s="52"/>
      <c r="J70" s="54"/>
      <c r="K70" s="54"/>
      <c r="L70" s="55" t="str">
        <f t="shared" si="108"/>
        <v/>
      </c>
      <c r="M70" s="56" t="str">
        <f t="shared" si="109"/>
        <v/>
      </c>
      <c r="N70" s="57" t="str">
        <f t="shared" si="110"/>
        <v/>
      </c>
      <c r="O70" s="58" t="str">
        <f t="shared" si="111"/>
        <v/>
      </c>
      <c r="P70" s="59" t="str">
        <f t="shared" si="112"/>
        <v/>
      </c>
      <c r="Q70" s="60" t="str">
        <f t="shared" si="113"/>
        <v/>
      </c>
      <c r="R70" s="61" t="str">
        <f t="shared" si="0"/>
        <v/>
      </c>
      <c r="S70" s="56" t="str">
        <f t="shared" si="114"/>
        <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5.5" hidden="1" outlineLevel="1" thickTop="1" thickBot="1" x14ac:dyDescent="0.4">
      <c r="C71" s="113"/>
      <c r="D71" s="112"/>
      <c r="E71" s="52"/>
      <c r="F71" s="53"/>
      <c r="G71" s="53"/>
      <c r="H71" s="52"/>
      <c r="I71" s="52"/>
      <c r="J71" s="54"/>
      <c r="K71" s="54"/>
      <c r="L71" s="78" t="str">
        <f t="shared" si="108"/>
        <v/>
      </c>
      <c r="M71" s="56" t="str">
        <f t="shared" si="109"/>
        <v/>
      </c>
      <c r="N71" s="57" t="str">
        <f t="shared" si="110"/>
        <v/>
      </c>
      <c r="O71" s="58" t="str">
        <f t="shared" si="111"/>
        <v/>
      </c>
      <c r="P71" s="59" t="str">
        <f t="shared" si="112"/>
        <v/>
      </c>
      <c r="Q71" s="60" t="str">
        <f t="shared" si="113"/>
        <v/>
      </c>
      <c r="R71" s="61" t="str">
        <f t="shared" si="0"/>
        <v/>
      </c>
      <c r="S71" s="56" t="str">
        <f t="shared" si="114"/>
        <v/>
      </c>
      <c r="T71" s="62" t="str">
        <f t="shared" si="115"/>
        <v/>
      </c>
      <c r="U71" s="63" t="str">
        <f t="shared" si="116"/>
        <v/>
      </c>
      <c r="V71" s="64" t="str">
        <f t="shared" si="117"/>
        <v/>
      </c>
      <c r="W71" s="65" t="str">
        <f t="shared" si="118"/>
        <v/>
      </c>
      <c r="X71" s="64" t="str">
        <f t="shared" si="119"/>
        <v/>
      </c>
      <c r="Y71" s="64" t="str">
        <f t="shared" si="120"/>
        <v/>
      </c>
      <c r="Z71" s="56" t="str">
        <f t="shared" si="121"/>
        <v/>
      </c>
      <c r="AA71" s="66" t="str">
        <f t="shared" si="122"/>
        <v/>
      </c>
      <c r="AB71" s="57" t="str">
        <f t="shared" si="123"/>
        <v/>
      </c>
      <c r="AC71" s="67" t="str">
        <f t="shared" si="124"/>
        <v/>
      </c>
      <c r="AD71" s="59" t="str">
        <f t="shared" si="125"/>
        <v/>
      </c>
      <c r="AE71" s="68" t="str">
        <f t="shared" si="126"/>
        <v/>
      </c>
      <c r="AF71" s="61" t="str">
        <f t="shared" si="127"/>
        <v/>
      </c>
      <c r="AG71" s="61" t="str">
        <f t="shared" si="128"/>
        <v/>
      </c>
      <c r="AH71" s="69" t="str">
        <f t="shared" si="129"/>
        <v/>
      </c>
      <c r="AI71" s="70" t="str">
        <f t="shared" si="130"/>
        <v/>
      </c>
      <c r="AJ71" s="64" t="str">
        <f t="shared" si="131"/>
        <v/>
      </c>
      <c r="AK71" s="64" t="str">
        <f t="shared" si="132"/>
        <v/>
      </c>
      <c r="AL71" s="64" t="str">
        <f t="shared" si="133"/>
        <v/>
      </c>
      <c r="AM71" s="64" t="str">
        <f t="shared" si="134"/>
        <v/>
      </c>
      <c r="AN71" s="64" t="str">
        <f t="shared" si="135"/>
        <v/>
      </c>
    </row>
    <row r="72" spans="1:40" ht="25.5" hidden="1" outlineLevel="1" thickTop="1" thickBot="1" x14ac:dyDescent="0.4">
      <c r="C72" s="113"/>
      <c r="D72" s="112"/>
      <c r="E72" s="52"/>
      <c r="F72" s="53"/>
      <c r="G72" s="53"/>
      <c r="H72" s="52"/>
      <c r="I72" s="52"/>
      <c r="J72" s="54"/>
      <c r="K72" s="54"/>
      <c r="L72" s="78" t="str">
        <f t="shared" si="108"/>
        <v/>
      </c>
      <c r="M72" s="56" t="str">
        <f t="shared" si="109"/>
        <v/>
      </c>
      <c r="N72" s="57" t="str">
        <f t="shared" si="110"/>
        <v/>
      </c>
      <c r="O72" s="58" t="str">
        <f t="shared" si="111"/>
        <v/>
      </c>
      <c r="P72" s="59" t="str">
        <f t="shared" si="112"/>
        <v/>
      </c>
      <c r="Q72" s="60" t="str">
        <f t="shared" si="113"/>
        <v/>
      </c>
      <c r="R72" s="61" t="str">
        <f t="shared" si="0"/>
        <v/>
      </c>
      <c r="S72" s="56" t="str">
        <f t="shared" si="114"/>
        <v/>
      </c>
      <c r="T72" s="62" t="str">
        <f t="shared" si="115"/>
        <v/>
      </c>
      <c r="U72" s="63" t="str">
        <f t="shared" si="116"/>
        <v/>
      </c>
      <c r="V72" s="64" t="str">
        <f t="shared" si="117"/>
        <v/>
      </c>
      <c r="W72" s="65" t="str">
        <f t="shared" si="118"/>
        <v/>
      </c>
      <c r="X72" s="64" t="str">
        <f t="shared" si="119"/>
        <v/>
      </c>
      <c r="Y72" s="64" t="str">
        <f t="shared" si="120"/>
        <v/>
      </c>
      <c r="Z72" s="56" t="str">
        <f t="shared" si="121"/>
        <v/>
      </c>
      <c r="AA72" s="66" t="str">
        <f t="shared" si="122"/>
        <v/>
      </c>
      <c r="AB72" s="57" t="str">
        <f t="shared" si="123"/>
        <v/>
      </c>
      <c r="AC72" s="67" t="str">
        <f t="shared" si="124"/>
        <v/>
      </c>
      <c r="AD72" s="59" t="str">
        <f t="shared" si="125"/>
        <v/>
      </c>
      <c r="AE72" s="68" t="str">
        <f t="shared" si="126"/>
        <v/>
      </c>
      <c r="AF72" s="61" t="str">
        <f t="shared" si="127"/>
        <v/>
      </c>
      <c r="AG72" s="61" t="str">
        <f t="shared" si="128"/>
        <v/>
      </c>
      <c r="AH72" s="69" t="str">
        <f t="shared" si="129"/>
        <v/>
      </c>
      <c r="AI72" s="70" t="str">
        <f t="shared" si="130"/>
        <v/>
      </c>
      <c r="AJ72" s="64" t="str">
        <f t="shared" si="131"/>
        <v/>
      </c>
      <c r="AK72" s="64" t="str">
        <f t="shared" si="132"/>
        <v/>
      </c>
      <c r="AL72" s="64" t="str">
        <f t="shared" si="133"/>
        <v/>
      </c>
      <c r="AM72" s="64" t="str">
        <f t="shared" si="134"/>
        <v/>
      </c>
      <c r="AN72" s="64" t="str">
        <f t="shared" si="135"/>
        <v/>
      </c>
    </row>
    <row r="73" spans="1:40" ht="25.5" hidden="1" outlineLevel="1" thickTop="1" thickBot="1" x14ac:dyDescent="0.4">
      <c r="C73" s="113"/>
      <c r="D73" s="112"/>
      <c r="E73" s="52"/>
      <c r="F73" s="53"/>
      <c r="G73" s="53"/>
      <c r="H73" s="52"/>
      <c r="I73" s="52"/>
      <c r="J73" s="54"/>
      <c r="K73" s="54"/>
      <c r="L73" s="78" t="str">
        <f t="shared" si="108"/>
        <v/>
      </c>
      <c r="M73" s="56" t="str">
        <f t="shared" si="109"/>
        <v/>
      </c>
      <c r="N73" s="57" t="str">
        <f t="shared" si="110"/>
        <v/>
      </c>
      <c r="O73" s="58" t="str">
        <f t="shared" si="111"/>
        <v/>
      </c>
      <c r="P73" s="59" t="str">
        <f t="shared" si="112"/>
        <v/>
      </c>
      <c r="Q73" s="60" t="str">
        <f t="shared" si="113"/>
        <v/>
      </c>
      <c r="R73" s="61" t="str">
        <f t="shared" si="0"/>
        <v/>
      </c>
      <c r="S73" s="56" t="str">
        <f t="shared" si="114"/>
        <v/>
      </c>
      <c r="T73" s="62" t="str">
        <f t="shared" si="115"/>
        <v/>
      </c>
      <c r="U73" s="63" t="str">
        <f t="shared" si="116"/>
        <v/>
      </c>
      <c r="V73" s="64" t="str">
        <f t="shared" si="117"/>
        <v/>
      </c>
      <c r="W73" s="65" t="str">
        <f t="shared" si="118"/>
        <v/>
      </c>
      <c r="X73" s="64" t="str">
        <f t="shared" si="119"/>
        <v/>
      </c>
      <c r="Y73" s="64" t="str">
        <f t="shared" si="120"/>
        <v/>
      </c>
      <c r="Z73" s="56" t="str">
        <f t="shared" si="121"/>
        <v/>
      </c>
      <c r="AA73" s="66" t="str">
        <f t="shared" si="122"/>
        <v/>
      </c>
      <c r="AB73" s="57" t="str">
        <f t="shared" si="123"/>
        <v/>
      </c>
      <c r="AC73" s="67" t="str">
        <f t="shared" si="124"/>
        <v/>
      </c>
      <c r="AD73" s="59" t="str">
        <f t="shared" si="125"/>
        <v/>
      </c>
      <c r="AE73" s="68" t="str">
        <f t="shared" si="126"/>
        <v/>
      </c>
      <c r="AF73" s="61" t="str">
        <f t="shared" si="127"/>
        <v/>
      </c>
      <c r="AG73" s="61" t="str">
        <f t="shared" si="128"/>
        <v/>
      </c>
      <c r="AH73" s="69" t="str">
        <f t="shared" si="129"/>
        <v/>
      </c>
      <c r="AI73" s="70" t="str">
        <f t="shared" si="130"/>
        <v/>
      </c>
      <c r="AJ73" s="64" t="str">
        <f t="shared" si="131"/>
        <v/>
      </c>
      <c r="AK73" s="64" t="str">
        <f t="shared" si="132"/>
        <v/>
      </c>
      <c r="AL73" s="64" t="str">
        <f t="shared" si="133"/>
        <v/>
      </c>
      <c r="AM73" s="64" t="str">
        <f t="shared" si="134"/>
        <v/>
      </c>
      <c r="AN73" s="64" t="str">
        <f t="shared" si="135"/>
        <v/>
      </c>
    </row>
    <row r="74" spans="1:40" ht="25.5" hidden="1" outlineLevel="1" thickTop="1" thickBot="1" x14ac:dyDescent="0.4">
      <c r="C74" s="113"/>
      <c r="D74" s="112"/>
      <c r="E74" s="52"/>
      <c r="F74" s="53"/>
      <c r="G74" s="53"/>
      <c r="H74" s="52"/>
      <c r="I74" s="52"/>
      <c r="J74" s="54"/>
      <c r="K74" s="54"/>
      <c r="L74" s="55" t="str">
        <f t="shared" si="108"/>
        <v/>
      </c>
      <c r="M74" s="56" t="str">
        <f t="shared" si="109"/>
        <v/>
      </c>
      <c r="N74" s="57" t="str">
        <f t="shared" si="110"/>
        <v/>
      </c>
      <c r="O74" s="58" t="str">
        <f t="shared" si="111"/>
        <v/>
      </c>
      <c r="P74" s="59" t="str">
        <f t="shared" si="112"/>
        <v/>
      </c>
      <c r="Q74" s="60" t="str">
        <f t="shared" si="113"/>
        <v/>
      </c>
      <c r="R74" s="61" t="str">
        <f t="shared" si="0"/>
        <v/>
      </c>
      <c r="S74" s="56" t="str">
        <f t="shared" si="114"/>
        <v/>
      </c>
      <c r="T74" s="62" t="str">
        <f t="shared" si="115"/>
        <v/>
      </c>
      <c r="U74" s="63" t="str">
        <f t="shared" si="116"/>
        <v/>
      </c>
      <c r="V74" s="64" t="str">
        <f t="shared" si="117"/>
        <v/>
      </c>
      <c r="W74" s="65" t="str">
        <f t="shared" si="118"/>
        <v/>
      </c>
      <c r="X74" s="64" t="str">
        <f t="shared" si="119"/>
        <v/>
      </c>
      <c r="Y74" s="64" t="str">
        <f t="shared" si="120"/>
        <v/>
      </c>
      <c r="Z74" s="56" t="str">
        <f t="shared" si="121"/>
        <v/>
      </c>
      <c r="AA74" s="66" t="str">
        <f t="shared" si="122"/>
        <v/>
      </c>
      <c r="AB74" s="57" t="str">
        <f t="shared" si="123"/>
        <v/>
      </c>
      <c r="AC74" s="67" t="str">
        <f t="shared" si="124"/>
        <v/>
      </c>
      <c r="AD74" s="59" t="str">
        <f t="shared" si="125"/>
        <v/>
      </c>
      <c r="AE74" s="68" t="str">
        <f t="shared" si="126"/>
        <v/>
      </c>
      <c r="AF74" s="61" t="str">
        <f t="shared" si="127"/>
        <v/>
      </c>
      <c r="AG74" s="61" t="str">
        <f t="shared" si="128"/>
        <v/>
      </c>
      <c r="AH74" s="69" t="str">
        <f t="shared" si="129"/>
        <v/>
      </c>
      <c r="AI74" s="70" t="str">
        <f t="shared" si="130"/>
        <v/>
      </c>
      <c r="AJ74" s="64" t="str">
        <f t="shared" si="131"/>
        <v/>
      </c>
      <c r="AK74" s="64" t="str">
        <f t="shared" si="132"/>
        <v/>
      </c>
      <c r="AL74" s="64" t="str">
        <f t="shared" si="133"/>
        <v/>
      </c>
      <c r="AM74" s="64" t="str">
        <f t="shared" si="134"/>
        <v/>
      </c>
      <c r="AN74" s="64" t="str">
        <f t="shared" si="135"/>
        <v/>
      </c>
    </row>
    <row r="75" spans="1:40" ht="25.5" hidden="1" outlineLevel="1" thickTop="1" thickBot="1" x14ac:dyDescent="0.4">
      <c r="C75" s="113"/>
      <c r="D75" s="112"/>
      <c r="E75" s="52"/>
      <c r="F75" s="53"/>
      <c r="G75" s="53"/>
      <c r="H75" s="52"/>
      <c r="I75" s="52"/>
      <c r="J75" s="54"/>
      <c r="K75" s="54"/>
      <c r="L75" s="55" t="str">
        <f t="shared" si="86"/>
        <v/>
      </c>
      <c r="M75" s="56" t="str">
        <f t="shared" si="87"/>
        <v/>
      </c>
      <c r="N75" s="57" t="str">
        <f t="shared" si="3"/>
        <v/>
      </c>
      <c r="O75" s="58" t="str">
        <f t="shared" si="88"/>
        <v/>
      </c>
      <c r="P75" s="59" t="str">
        <f t="shared" si="5"/>
        <v/>
      </c>
      <c r="Q75" s="60" t="str">
        <f t="shared" si="89"/>
        <v/>
      </c>
      <c r="R75" s="61" t="str">
        <f t="shared" si="0"/>
        <v/>
      </c>
      <c r="S75" s="56" t="str">
        <f t="shared" si="90"/>
        <v/>
      </c>
      <c r="T75" s="62" t="str">
        <f t="shared" si="91"/>
        <v/>
      </c>
      <c r="U75" s="63" t="str">
        <f t="shared" si="9"/>
        <v/>
      </c>
      <c r="V75" s="64" t="str">
        <f t="shared" si="92"/>
        <v/>
      </c>
      <c r="W75" s="65" t="str">
        <f t="shared" si="11"/>
        <v/>
      </c>
      <c r="X75" s="64" t="str">
        <f t="shared" si="93"/>
        <v/>
      </c>
      <c r="Y75" s="64" t="str">
        <f t="shared" si="94"/>
        <v/>
      </c>
      <c r="Z75" s="56" t="str">
        <f t="shared" si="95"/>
        <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5.5" hidden="1" outlineLevel="1" thickTop="1" thickBot="1" x14ac:dyDescent="0.4">
      <c r="C76" s="113"/>
      <c r="D76" s="112"/>
      <c r="E76" s="52"/>
      <c r="F76" s="53"/>
      <c r="G76" s="53"/>
      <c r="H76" s="52"/>
      <c r="I76" s="52"/>
      <c r="J76" s="54"/>
      <c r="K76" s="54"/>
      <c r="L76" s="55" t="str">
        <f t="shared" si="86"/>
        <v/>
      </c>
      <c r="M76" s="56" t="str">
        <f t="shared" si="87"/>
        <v/>
      </c>
      <c r="N76" s="57" t="str">
        <f t="shared" si="3"/>
        <v/>
      </c>
      <c r="O76" s="58" t="str">
        <f t="shared" si="88"/>
        <v/>
      </c>
      <c r="P76" s="59" t="str">
        <f t="shared" si="5"/>
        <v/>
      </c>
      <c r="Q76" s="60" t="str">
        <f t="shared" si="89"/>
        <v/>
      </c>
      <c r="R76" s="61" t="str">
        <f t="shared" si="0"/>
        <v/>
      </c>
      <c r="S76" s="56" t="str">
        <f t="shared" si="90"/>
        <v/>
      </c>
      <c r="T76" s="62" t="str">
        <f t="shared" si="91"/>
        <v/>
      </c>
      <c r="U76" s="63" t="str">
        <f t="shared" si="9"/>
        <v/>
      </c>
      <c r="V76" s="64" t="str">
        <f t="shared" si="92"/>
        <v/>
      </c>
      <c r="W76" s="65" t="str">
        <f t="shared" si="11"/>
        <v/>
      </c>
      <c r="X76" s="64" t="str">
        <f t="shared" si="93"/>
        <v/>
      </c>
      <c r="Y76" s="64" t="str">
        <f t="shared" si="94"/>
        <v/>
      </c>
      <c r="Z76" s="56" t="str">
        <f t="shared" si="95"/>
        <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5.5" hidden="1" outlineLevel="1" thickTop="1" thickBot="1" x14ac:dyDescent="0.4">
      <c r="C77" s="113"/>
      <c r="D77" s="112"/>
      <c r="E77" s="52"/>
      <c r="F77" s="53"/>
      <c r="G77" s="53"/>
      <c r="H77" s="52"/>
      <c r="I77" s="52"/>
      <c r="J77" s="54"/>
      <c r="K77" s="54"/>
      <c r="L77" s="55" t="str">
        <f t="shared" si="86"/>
        <v/>
      </c>
      <c r="M77" s="56" t="str">
        <f t="shared" si="87"/>
        <v/>
      </c>
      <c r="N77" s="57" t="str">
        <f t="shared" si="3"/>
        <v/>
      </c>
      <c r="O77" s="58" t="str">
        <f t="shared" si="88"/>
        <v/>
      </c>
      <c r="P77" s="59" t="str">
        <f t="shared" si="5"/>
        <v/>
      </c>
      <c r="Q77" s="60" t="str">
        <f t="shared" si="89"/>
        <v/>
      </c>
      <c r="R77" s="61" t="str">
        <f t="shared" si="0"/>
        <v/>
      </c>
      <c r="S77" s="56" t="str">
        <f t="shared" si="90"/>
        <v/>
      </c>
      <c r="T77" s="62" t="str">
        <f t="shared" si="91"/>
        <v/>
      </c>
      <c r="U77" s="63" t="str">
        <f t="shared" si="9"/>
        <v/>
      </c>
      <c r="V77" s="64" t="str">
        <f t="shared" si="92"/>
        <v/>
      </c>
      <c r="W77" s="65" t="str">
        <f t="shared" si="11"/>
        <v/>
      </c>
      <c r="X77" s="64" t="str">
        <f t="shared" si="93"/>
        <v/>
      </c>
      <c r="Y77" s="64" t="str">
        <f t="shared" si="94"/>
        <v/>
      </c>
      <c r="Z77" s="56" t="str">
        <f t="shared" si="95"/>
        <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5.5" hidden="1" outlineLevel="1" thickTop="1" thickBot="1" x14ac:dyDescent="0.4">
      <c r="C78" s="113"/>
      <c r="D78" s="112"/>
      <c r="E78" s="52"/>
      <c r="F78" s="53"/>
      <c r="G78" s="53"/>
      <c r="H78" s="52"/>
      <c r="I78" s="52"/>
      <c r="J78" s="54"/>
      <c r="K78" s="54"/>
      <c r="L78" s="55" t="str">
        <f t="shared" si="86"/>
        <v/>
      </c>
      <c r="M78" s="56" t="str">
        <f t="shared" si="87"/>
        <v/>
      </c>
      <c r="N78" s="57" t="str">
        <f t="shared" si="3"/>
        <v/>
      </c>
      <c r="O78" s="58" t="str">
        <f t="shared" si="88"/>
        <v/>
      </c>
      <c r="P78" s="59" t="str">
        <f t="shared" si="5"/>
        <v/>
      </c>
      <c r="Q78" s="60" t="str">
        <f t="shared" si="89"/>
        <v/>
      </c>
      <c r="R78" s="61" t="str">
        <f t="shared" si="0"/>
        <v/>
      </c>
      <c r="S78" s="56" t="str">
        <f t="shared" si="90"/>
        <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5.5" hidden="1" outlineLevel="1" thickTop="1" thickBot="1" x14ac:dyDescent="0.4">
      <c r="C79" s="113"/>
      <c r="D79" s="112"/>
      <c r="E79" s="52"/>
      <c r="F79" s="53"/>
      <c r="G79" s="53"/>
      <c r="H79" s="52"/>
      <c r="I79" s="52"/>
      <c r="J79" s="54"/>
      <c r="K79" s="54"/>
      <c r="L79" s="55" t="str">
        <f t="shared" si="86"/>
        <v/>
      </c>
      <c r="M79" s="56" t="str">
        <f t="shared" si="87"/>
        <v/>
      </c>
      <c r="N79" s="57" t="str">
        <f t="shared" si="3"/>
        <v/>
      </c>
      <c r="O79" s="58" t="str">
        <f t="shared" si="88"/>
        <v/>
      </c>
      <c r="P79" s="59" t="str">
        <f t="shared" si="5"/>
        <v/>
      </c>
      <c r="Q79" s="60" t="str">
        <f t="shared" si="89"/>
        <v/>
      </c>
      <c r="R79" s="61" t="str">
        <f t="shared" si="0"/>
        <v/>
      </c>
      <c r="S79" s="56" t="str">
        <f t="shared" si="90"/>
        <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1:40" ht="25.5" hidden="1" outlineLevel="1" thickTop="1" thickBot="1" x14ac:dyDescent="0.4">
      <c r="C80" s="113"/>
      <c r="D80" s="112"/>
      <c r="E80" s="52"/>
      <c r="F80" s="53"/>
      <c r="G80" s="53"/>
      <c r="H80" s="52"/>
      <c r="I80" s="52"/>
      <c r="J80" s="54"/>
      <c r="K80" s="54"/>
      <c r="L80" s="78" t="str">
        <f t="shared" si="86"/>
        <v/>
      </c>
      <c r="M80" s="56" t="str">
        <f t="shared" si="87"/>
        <v/>
      </c>
      <c r="N80" s="57" t="str">
        <f t="shared" si="3"/>
        <v/>
      </c>
      <c r="O80" s="58" t="str">
        <f t="shared" si="88"/>
        <v/>
      </c>
      <c r="P80" s="59" t="str">
        <f t="shared" si="5"/>
        <v/>
      </c>
      <c r="Q80" s="60" t="str">
        <f t="shared" si="89"/>
        <v/>
      </c>
      <c r="R80" s="61" t="str">
        <f t="shared" si="0"/>
        <v/>
      </c>
      <c r="S80" s="56" t="str">
        <f t="shared" si="90"/>
        <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3:40" ht="25.5" hidden="1" outlineLevel="1" thickTop="1" thickBot="1" x14ac:dyDescent="0.4">
      <c r="C81" s="113"/>
      <c r="D81" s="112"/>
      <c r="E81" s="52"/>
      <c r="F81" s="53"/>
      <c r="G81" s="53"/>
      <c r="H81" s="52"/>
      <c r="I81" s="52"/>
      <c r="J81" s="54"/>
      <c r="K81" s="54"/>
      <c r="L81" s="78" t="str">
        <f t="shared" si="86"/>
        <v/>
      </c>
      <c r="M81" s="56" t="str">
        <f t="shared" si="87"/>
        <v/>
      </c>
      <c r="N81" s="57" t="str">
        <f t="shared" si="3"/>
        <v/>
      </c>
      <c r="O81" s="58" t="str">
        <f t="shared" si="88"/>
        <v/>
      </c>
      <c r="P81" s="59" t="str">
        <f t="shared" si="5"/>
        <v/>
      </c>
      <c r="Q81" s="60" t="str">
        <f t="shared" si="89"/>
        <v/>
      </c>
      <c r="R81" s="61" t="str">
        <f t="shared" si="0"/>
        <v/>
      </c>
      <c r="S81" s="56" t="str">
        <f t="shared" si="90"/>
        <v/>
      </c>
      <c r="T81" s="62" t="str">
        <f t="shared" si="91"/>
        <v/>
      </c>
      <c r="U81" s="63" t="str">
        <f t="shared" si="9"/>
        <v/>
      </c>
      <c r="V81" s="64" t="str">
        <f t="shared" si="92"/>
        <v/>
      </c>
      <c r="W81" s="65" t="str">
        <f t="shared" si="11"/>
        <v/>
      </c>
      <c r="X81" s="64" t="str">
        <f t="shared" si="93"/>
        <v/>
      </c>
      <c r="Y81" s="64" t="str">
        <f t="shared" si="94"/>
        <v/>
      </c>
      <c r="Z81" s="56" t="str">
        <f t="shared" si="95"/>
        <v/>
      </c>
      <c r="AA81" s="66" t="str">
        <f t="shared" si="96"/>
        <v/>
      </c>
      <c r="AB81" s="57" t="str">
        <f t="shared" si="16"/>
        <v/>
      </c>
      <c r="AC81" s="67" t="str">
        <f t="shared" si="97"/>
        <v/>
      </c>
      <c r="AD81" s="59" t="str">
        <f t="shared" si="98"/>
        <v/>
      </c>
      <c r="AE81" s="68" t="str">
        <f t="shared" si="99"/>
        <v/>
      </c>
      <c r="AF81" s="61" t="str">
        <f t="shared" si="100"/>
        <v/>
      </c>
      <c r="AG81" s="61" t="str">
        <f t="shared" si="101"/>
        <v/>
      </c>
      <c r="AH81" s="69" t="str">
        <f t="shared" si="102"/>
        <v/>
      </c>
      <c r="AI81" s="70" t="str">
        <f t="shared" si="23"/>
        <v/>
      </c>
      <c r="AJ81" s="64" t="str">
        <f t="shared" si="103"/>
        <v/>
      </c>
      <c r="AK81" s="64" t="str">
        <f t="shared" si="104"/>
        <v/>
      </c>
      <c r="AL81" s="64" t="str">
        <f t="shared" si="105"/>
        <v/>
      </c>
      <c r="AM81" s="64" t="str">
        <f t="shared" si="106"/>
        <v/>
      </c>
      <c r="AN81" s="64" t="str">
        <f t="shared" si="107"/>
        <v/>
      </c>
    </row>
    <row r="82" spans="3:40" ht="25.5" hidden="1" outlineLevel="1" thickTop="1" thickBot="1" x14ac:dyDescent="0.4">
      <c r="C82" s="113"/>
      <c r="D82" s="112"/>
      <c r="E82" s="52"/>
      <c r="F82" s="53"/>
      <c r="G82" s="53"/>
      <c r="H82" s="52"/>
      <c r="I82" s="52"/>
      <c r="J82" s="54"/>
      <c r="K82" s="54"/>
      <c r="L82" s="78" t="str">
        <f t="shared" si="86"/>
        <v/>
      </c>
      <c r="M82" s="56" t="str">
        <f t="shared" si="87"/>
        <v/>
      </c>
      <c r="N82" s="57" t="str">
        <f t="shared" si="3"/>
        <v/>
      </c>
      <c r="O82" s="58" t="str">
        <f t="shared" si="88"/>
        <v/>
      </c>
      <c r="P82" s="59" t="str">
        <f t="shared" si="5"/>
        <v/>
      </c>
      <c r="Q82" s="60" t="str">
        <f t="shared" si="89"/>
        <v/>
      </c>
      <c r="R82" s="61" t="str">
        <f t="shared" si="0"/>
        <v/>
      </c>
      <c r="S82" s="56" t="str">
        <f t="shared" si="90"/>
        <v/>
      </c>
      <c r="T82" s="62" t="str">
        <f t="shared" si="91"/>
        <v/>
      </c>
      <c r="U82" s="63" t="str">
        <f t="shared" si="9"/>
        <v/>
      </c>
      <c r="V82" s="64" t="str">
        <f t="shared" si="92"/>
        <v/>
      </c>
      <c r="W82" s="65" t="str">
        <f t="shared" si="11"/>
        <v/>
      </c>
      <c r="X82" s="64" t="str">
        <f t="shared" si="93"/>
        <v/>
      </c>
      <c r="Y82" s="64" t="str">
        <f t="shared" si="94"/>
        <v/>
      </c>
      <c r="Z82" s="56" t="str">
        <f t="shared" si="95"/>
        <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3:40" ht="25.5" hidden="1" outlineLevel="1" thickTop="1" thickBot="1" x14ac:dyDescent="0.4">
      <c r="C83" s="113"/>
      <c r="D83" s="112"/>
      <c r="E83" s="52"/>
      <c r="F83" s="53"/>
      <c r="G83" s="53"/>
      <c r="H83" s="52"/>
      <c r="I83" s="52"/>
      <c r="J83" s="54"/>
      <c r="K83" s="54"/>
      <c r="L83" s="55" t="str">
        <f t="shared" si="86"/>
        <v/>
      </c>
      <c r="M83" s="56" t="str">
        <f t="shared" si="87"/>
        <v/>
      </c>
      <c r="N83" s="57" t="str">
        <f t="shared" si="3"/>
        <v/>
      </c>
      <c r="O83" s="58" t="str">
        <f t="shared" si="88"/>
        <v/>
      </c>
      <c r="P83" s="59" t="str">
        <f t="shared" si="5"/>
        <v/>
      </c>
      <c r="Q83" s="60" t="str">
        <f t="shared" si="89"/>
        <v/>
      </c>
      <c r="R83" s="61" t="str">
        <f t="shared" si="0"/>
        <v/>
      </c>
      <c r="S83" s="56" t="str">
        <f t="shared" si="90"/>
        <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3:40" ht="25.5" hidden="1" outlineLevel="1" thickTop="1" thickBot="1" x14ac:dyDescent="0.4">
      <c r="C84" s="113"/>
      <c r="D84" s="112"/>
      <c r="E84" s="52"/>
      <c r="F84" s="53"/>
      <c r="G84" s="53"/>
      <c r="H84" s="52"/>
      <c r="I84" s="52"/>
      <c r="J84" s="54"/>
      <c r="K84" s="54"/>
      <c r="L84" s="55" t="str">
        <f t="shared" ref="L84:L87" si="136">IF(C84="","",_xlfn.CONCAT("            { line: ","""",C84,", ",M84:AN84,""", sC: ","""",B84,"""},"))</f>
        <v/>
      </c>
      <c r="M84" s="56" t="str">
        <f t="shared" ref="M84:M87" si="137">IF(N84="","","(")</f>
        <v/>
      </c>
      <c r="N84" s="57" t="str">
        <f t="shared" ref="N84:N87" si="138">IF(D84="","",D84)</f>
        <v/>
      </c>
      <c r="O84" s="58" t="str">
        <f t="shared" ref="O84:O87" si="139">IF(N84="","",",")</f>
        <v/>
      </c>
      <c r="P84" s="59" t="str">
        <f t="shared" ref="P84:P87" si="140">IF(E84="","",E84)</f>
        <v/>
      </c>
      <c r="Q84" s="60" t="str">
        <f t="shared" ref="Q84:Q87" si="141">IF(N84="","",",")</f>
        <v/>
      </c>
      <c r="R84" s="61" t="str">
        <f t="shared" si="0"/>
        <v/>
      </c>
      <c r="S84" s="56" t="str">
        <f t="shared" ref="S84:S87" si="142">IF(N84="","",")")</f>
        <v/>
      </c>
      <c r="T84" s="62" t="str">
        <f t="shared" ref="T84:T87" si="143">IF(U84="","","(")</f>
        <v/>
      </c>
      <c r="U84" s="63" t="str">
        <f t="shared" ref="U84:U87" si="144">IF(F84="","",F84)</f>
        <v/>
      </c>
      <c r="V84" s="64" t="str">
        <f t="shared" ref="V84:V87" si="145">IF(U84="","",",")</f>
        <v/>
      </c>
      <c r="W84" s="65" t="str">
        <f t="shared" ref="W84:W87" si="146">IF(G84="","",G84)</f>
        <v/>
      </c>
      <c r="X84" s="64" t="str">
        <f t="shared" ref="X84:X87" si="147">IF(U84="","",",")</f>
        <v/>
      </c>
      <c r="Y84" s="64" t="str">
        <f t="shared" ref="Y84:Y87" si="148">IF(U84="","",250)</f>
        <v/>
      </c>
      <c r="Z84" s="56" t="str">
        <f t="shared" ref="Z84:Z87" si="149">IF(U84="","",")")</f>
        <v/>
      </c>
      <c r="AA84" s="66" t="str">
        <f t="shared" ref="AA84:AA87" si="150">IF(AB84="","","(")</f>
        <v/>
      </c>
      <c r="AB84" s="57" t="str">
        <f t="shared" ref="AB84:AB87" si="151">IF(H84="","",H84)</f>
        <v/>
      </c>
      <c r="AC84" s="67" t="str">
        <f t="shared" ref="AC84:AC87" si="152">IF(AB84="","",",")</f>
        <v/>
      </c>
      <c r="AD84" s="59" t="str">
        <f t="shared" ref="AD84:AD87" si="153">IF(I84="","",I84)</f>
        <v/>
      </c>
      <c r="AE84" s="68" t="str">
        <f t="shared" ref="AE84:AE87" si="154">IF(AB84="","",",")</f>
        <v/>
      </c>
      <c r="AF84" s="61" t="str">
        <f t="shared" ref="AF84:AF87" si="155">IF(AB84="","",350)</f>
        <v/>
      </c>
      <c r="AG84" s="61" t="str">
        <f t="shared" ref="AG84:AG87" si="156">IF(AB84="","",")")</f>
        <v/>
      </c>
      <c r="AH84" s="69" t="str">
        <f t="shared" ref="AH84:AH87" si="157">IF(AI84="","","(")</f>
        <v/>
      </c>
      <c r="AI84" s="70" t="str">
        <f t="shared" ref="AI84:AI87" si="158">IF(J84="","",J84)</f>
        <v/>
      </c>
      <c r="AJ84" s="64" t="str">
        <f t="shared" ref="AJ84:AJ87" si="159">IF(AI84="","",",")</f>
        <v/>
      </c>
      <c r="AK84" s="64" t="str">
        <f t="shared" ref="AK84:AK87" si="160">IF(K84="","",K84)</f>
        <v/>
      </c>
      <c r="AL84" s="64" t="str">
        <f t="shared" ref="AL84:AL87" si="161">IF(AI84="","",",")</f>
        <v/>
      </c>
      <c r="AM84" s="64" t="str">
        <f t="shared" ref="AM84:AM87" si="162">IF(AI84="","",450)</f>
        <v/>
      </c>
      <c r="AN84" s="64" t="str">
        <f t="shared" ref="AN84:AN87" si="163">IF(AI84="","",")")</f>
        <v/>
      </c>
    </row>
    <row r="85" spans="3:40" ht="25.5" hidden="1" outlineLevel="1" thickTop="1" thickBot="1" x14ac:dyDescent="0.4">
      <c r="C85" s="113"/>
      <c r="D85" s="112"/>
      <c r="E85" s="52"/>
      <c r="F85" s="53"/>
      <c r="G85" s="53"/>
      <c r="H85" s="52"/>
      <c r="I85" s="52"/>
      <c r="J85" s="54"/>
      <c r="K85" s="54"/>
      <c r="L85" s="55" t="str">
        <f t="shared" si="136"/>
        <v/>
      </c>
      <c r="M85" s="56" t="str">
        <f t="shared" si="137"/>
        <v/>
      </c>
      <c r="N85" s="57" t="str">
        <f t="shared" si="138"/>
        <v/>
      </c>
      <c r="O85" s="58" t="str">
        <f t="shared" si="139"/>
        <v/>
      </c>
      <c r="P85" s="59" t="str">
        <f t="shared" si="140"/>
        <v/>
      </c>
      <c r="Q85" s="60" t="str">
        <f t="shared" si="141"/>
        <v/>
      </c>
      <c r="R85" s="61" t="str">
        <f t="shared" si="0"/>
        <v/>
      </c>
      <c r="S85" s="56" t="str">
        <f t="shared" si="142"/>
        <v/>
      </c>
      <c r="T85" s="62" t="str">
        <f t="shared" si="143"/>
        <v/>
      </c>
      <c r="U85" s="63" t="str">
        <f t="shared" si="144"/>
        <v/>
      </c>
      <c r="V85" s="64" t="str">
        <f t="shared" si="145"/>
        <v/>
      </c>
      <c r="W85" s="65" t="str">
        <f t="shared" si="146"/>
        <v/>
      </c>
      <c r="X85" s="64" t="str">
        <f t="shared" si="147"/>
        <v/>
      </c>
      <c r="Y85" s="64" t="str">
        <f t="shared" si="148"/>
        <v/>
      </c>
      <c r="Z85" s="56" t="str">
        <f t="shared" si="149"/>
        <v/>
      </c>
      <c r="AA85" s="66" t="str">
        <f t="shared" si="150"/>
        <v/>
      </c>
      <c r="AB85" s="57" t="str">
        <f t="shared" si="151"/>
        <v/>
      </c>
      <c r="AC85" s="67" t="str">
        <f t="shared" si="152"/>
        <v/>
      </c>
      <c r="AD85" s="59" t="str">
        <f t="shared" si="153"/>
        <v/>
      </c>
      <c r="AE85" s="68" t="str">
        <f t="shared" si="154"/>
        <v/>
      </c>
      <c r="AF85" s="61" t="str">
        <f t="shared" si="155"/>
        <v/>
      </c>
      <c r="AG85" s="61" t="str">
        <f t="shared" si="156"/>
        <v/>
      </c>
      <c r="AH85" s="69" t="str">
        <f t="shared" si="157"/>
        <v/>
      </c>
      <c r="AI85" s="70" t="str">
        <f t="shared" si="158"/>
        <v/>
      </c>
      <c r="AJ85" s="64" t="str">
        <f t="shared" si="159"/>
        <v/>
      </c>
      <c r="AK85" s="64" t="str">
        <f t="shared" si="160"/>
        <v/>
      </c>
      <c r="AL85" s="64" t="str">
        <f t="shared" si="161"/>
        <v/>
      </c>
      <c r="AM85" s="64" t="str">
        <f t="shared" si="162"/>
        <v/>
      </c>
      <c r="AN85" s="64" t="str">
        <f t="shared" si="163"/>
        <v/>
      </c>
    </row>
    <row r="86" spans="3:40" ht="25.5" hidden="1" outlineLevel="1" thickTop="1" thickBot="1" x14ac:dyDescent="0.4">
      <c r="C86" s="113"/>
      <c r="D86" s="112"/>
      <c r="E86" s="52"/>
      <c r="F86" s="53"/>
      <c r="G86" s="53"/>
      <c r="H86" s="52"/>
      <c r="I86" s="52"/>
      <c r="J86" s="54"/>
      <c r="K86" s="54"/>
      <c r="L86" s="55" t="str">
        <f t="shared" si="136"/>
        <v/>
      </c>
      <c r="M86" s="56" t="str">
        <f t="shared" si="137"/>
        <v/>
      </c>
      <c r="N86" s="57" t="str">
        <f t="shared" si="138"/>
        <v/>
      </c>
      <c r="O86" s="58" t="str">
        <f t="shared" si="139"/>
        <v/>
      </c>
      <c r="P86" s="59" t="str">
        <f t="shared" si="140"/>
        <v/>
      </c>
      <c r="Q86" s="60" t="str">
        <f t="shared" si="141"/>
        <v/>
      </c>
      <c r="R86" s="61" t="str">
        <f t="shared" si="0"/>
        <v/>
      </c>
      <c r="S86" s="56" t="str">
        <f t="shared" si="142"/>
        <v/>
      </c>
      <c r="T86" s="62" t="str">
        <f t="shared" si="143"/>
        <v/>
      </c>
      <c r="U86" s="63" t="str">
        <f t="shared" si="144"/>
        <v/>
      </c>
      <c r="V86" s="64" t="str">
        <f t="shared" si="145"/>
        <v/>
      </c>
      <c r="W86" s="65" t="str">
        <f t="shared" si="146"/>
        <v/>
      </c>
      <c r="X86" s="64" t="str">
        <f t="shared" si="147"/>
        <v/>
      </c>
      <c r="Y86" s="64" t="str">
        <f t="shared" si="148"/>
        <v/>
      </c>
      <c r="Z86" s="56" t="str">
        <f t="shared" si="149"/>
        <v/>
      </c>
      <c r="AA86" s="66" t="str">
        <f t="shared" si="150"/>
        <v/>
      </c>
      <c r="AB86" s="57" t="str">
        <f t="shared" si="151"/>
        <v/>
      </c>
      <c r="AC86" s="67" t="str">
        <f t="shared" si="152"/>
        <v/>
      </c>
      <c r="AD86" s="59" t="str">
        <f t="shared" si="153"/>
        <v/>
      </c>
      <c r="AE86" s="68" t="str">
        <f t="shared" si="154"/>
        <v/>
      </c>
      <c r="AF86" s="61" t="str">
        <f t="shared" si="155"/>
        <v/>
      </c>
      <c r="AG86" s="61" t="str">
        <f t="shared" si="156"/>
        <v/>
      </c>
      <c r="AH86" s="69" t="str">
        <f t="shared" si="157"/>
        <v/>
      </c>
      <c r="AI86" s="70" t="str">
        <f t="shared" si="158"/>
        <v/>
      </c>
      <c r="AJ86" s="64" t="str">
        <f t="shared" si="159"/>
        <v/>
      </c>
      <c r="AK86" s="64" t="str">
        <f t="shared" si="160"/>
        <v/>
      </c>
      <c r="AL86" s="64" t="str">
        <f t="shared" si="161"/>
        <v/>
      </c>
      <c r="AM86" s="64" t="str">
        <f t="shared" si="162"/>
        <v/>
      </c>
      <c r="AN86" s="64" t="str">
        <f t="shared" si="163"/>
        <v/>
      </c>
    </row>
    <row r="87" spans="3:40" ht="25.5" hidden="1" outlineLevel="1" thickTop="1" thickBot="1" x14ac:dyDescent="0.4">
      <c r="C87" s="113"/>
      <c r="D87" s="112"/>
      <c r="E87" s="52"/>
      <c r="F87" s="53"/>
      <c r="G87" s="53"/>
      <c r="H87" s="52"/>
      <c r="I87" s="52"/>
      <c r="J87" s="54"/>
      <c r="K87" s="54"/>
      <c r="L87" s="55" t="str">
        <f t="shared" si="136"/>
        <v/>
      </c>
      <c r="M87" s="56" t="str">
        <f t="shared" si="137"/>
        <v/>
      </c>
      <c r="N87" s="57" t="str">
        <f t="shared" si="138"/>
        <v/>
      </c>
      <c r="O87" s="58" t="str">
        <f t="shared" si="139"/>
        <v/>
      </c>
      <c r="P87" s="59" t="str">
        <f t="shared" si="140"/>
        <v/>
      </c>
      <c r="Q87" s="60" t="str">
        <f t="shared" si="141"/>
        <v/>
      </c>
      <c r="R87" s="61" t="str">
        <f t="shared" si="0"/>
        <v/>
      </c>
      <c r="S87" s="56" t="str">
        <f t="shared" si="142"/>
        <v/>
      </c>
      <c r="T87" s="62" t="str">
        <f t="shared" si="143"/>
        <v/>
      </c>
      <c r="U87" s="63" t="str">
        <f t="shared" si="144"/>
        <v/>
      </c>
      <c r="V87" s="64" t="str">
        <f t="shared" si="145"/>
        <v/>
      </c>
      <c r="W87" s="65" t="str">
        <f t="shared" si="146"/>
        <v/>
      </c>
      <c r="X87" s="64" t="str">
        <f t="shared" si="147"/>
        <v/>
      </c>
      <c r="Y87" s="64" t="str">
        <f t="shared" si="148"/>
        <v/>
      </c>
      <c r="Z87" s="56" t="str">
        <f t="shared" si="149"/>
        <v/>
      </c>
      <c r="AA87" s="66" t="str">
        <f t="shared" si="150"/>
        <v/>
      </c>
      <c r="AB87" s="57" t="str">
        <f t="shared" si="151"/>
        <v/>
      </c>
      <c r="AC87" s="67" t="str">
        <f t="shared" si="152"/>
        <v/>
      </c>
      <c r="AD87" s="59" t="str">
        <f t="shared" si="153"/>
        <v/>
      </c>
      <c r="AE87" s="68" t="str">
        <f t="shared" si="154"/>
        <v/>
      </c>
      <c r="AF87" s="61" t="str">
        <f t="shared" si="155"/>
        <v/>
      </c>
      <c r="AG87" s="61" t="str">
        <f t="shared" si="156"/>
        <v/>
      </c>
      <c r="AH87" s="69" t="str">
        <f t="shared" si="157"/>
        <v/>
      </c>
      <c r="AI87" s="70" t="str">
        <f t="shared" si="158"/>
        <v/>
      </c>
      <c r="AJ87" s="64" t="str">
        <f t="shared" si="159"/>
        <v/>
      </c>
      <c r="AK87" s="64" t="str">
        <f t="shared" si="160"/>
        <v/>
      </c>
      <c r="AL87" s="64" t="str">
        <f t="shared" si="161"/>
        <v/>
      </c>
      <c r="AM87" s="64" t="str">
        <f t="shared" si="162"/>
        <v/>
      </c>
      <c r="AN87" s="64" t="str">
        <f t="shared" si="163"/>
        <v/>
      </c>
    </row>
    <row r="88" spans="3:40" ht="25.5" hidden="1" outlineLevel="1" thickTop="1" thickBot="1" x14ac:dyDescent="0.4">
      <c r="C88" s="113"/>
      <c r="D88" s="112"/>
      <c r="E88" s="52"/>
      <c r="F88" s="53"/>
      <c r="G88" s="53"/>
      <c r="H88" s="52"/>
      <c r="I88" s="52"/>
      <c r="J88" s="54"/>
      <c r="K88" s="54"/>
      <c r="L88" s="78" t="str">
        <f t="shared" si="86"/>
        <v/>
      </c>
      <c r="M88" s="56" t="str">
        <f t="shared" si="87"/>
        <v/>
      </c>
      <c r="N88" s="57" t="str">
        <f t="shared" si="3"/>
        <v/>
      </c>
      <c r="O88" s="58" t="str">
        <f t="shared" si="88"/>
        <v/>
      </c>
      <c r="P88" s="59" t="str">
        <f t="shared" si="5"/>
        <v/>
      </c>
      <c r="Q88" s="60" t="str">
        <f t="shared" si="89"/>
        <v/>
      </c>
      <c r="R88" s="61" t="str">
        <f t="shared" si="0"/>
        <v/>
      </c>
      <c r="S88" s="56" t="str">
        <f t="shared" si="90"/>
        <v/>
      </c>
      <c r="T88" s="62" t="str">
        <f t="shared" si="91"/>
        <v/>
      </c>
      <c r="U88" s="63" t="str">
        <f t="shared" si="9"/>
        <v/>
      </c>
      <c r="V88" s="64" t="str">
        <f t="shared" si="92"/>
        <v/>
      </c>
      <c r="W88" s="65" t="str">
        <f t="shared" si="11"/>
        <v/>
      </c>
      <c r="X88" s="64" t="str">
        <f t="shared" si="93"/>
        <v/>
      </c>
      <c r="Y88" s="64" t="str">
        <f t="shared" si="94"/>
        <v/>
      </c>
      <c r="Z88" s="56" t="str">
        <f t="shared" si="95"/>
        <v/>
      </c>
      <c r="AA88" s="66" t="str">
        <f t="shared" si="96"/>
        <v/>
      </c>
      <c r="AB88" s="57" t="str">
        <f t="shared" si="16"/>
        <v/>
      </c>
      <c r="AC88" s="67" t="str">
        <f t="shared" si="97"/>
        <v/>
      </c>
      <c r="AD88" s="59" t="str">
        <f t="shared" si="98"/>
        <v/>
      </c>
      <c r="AE88" s="68" t="str">
        <f t="shared" si="99"/>
        <v/>
      </c>
      <c r="AF88" s="61" t="str">
        <f t="shared" si="100"/>
        <v/>
      </c>
      <c r="AG88" s="61" t="str">
        <f t="shared" si="101"/>
        <v/>
      </c>
      <c r="AH88" s="69" t="str">
        <f t="shared" si="102"/>
        <v/>
      </c>
      <c r="AI88" s="70" t="str">
        <f t="shared" si="23"/>
        <v/>
      </c>
      <c r="AJ88" s="64" t="str">
        <f t="shared" si="103"/>
        <v/>
      </c>
      <c r="AK88" s="64" t="str">
        <f t="shared" si="104"/>
        <v/>
      </c>
      <c r="AL88" s="64" t="str">
        <f t="shared" si="105"/>
        <v/>
      </c>
      <c r="AM88" s="64" t="str">
        <f t="shared" si="106"/>
        <v/>
      </c>
      <c r="AN88" s="64" t="str">
        <f t="shared" si="107"/>
        <v/>
      </c>
    </row>
    <row r="89" spans="3:40" ht="25.5" hidden="1" outlineLevel="1" thickTop="1" thickBot="1" x14ac:dyDescent="0.4">
      <c r="C89" s="113"/>
      <c r="D89" s="112"/>
      <c r="E89" s="52"/>
      <c r="F89" s="53"/>
      <c r="G89" s="53"/>
      <c r="H89" s="52"/>
      <c r="I89" s="52"/>
      <c r="J89" s="54"/>
      <c r="K89" s="54"/>
      <c r="L89" s="78" t="str">
        <f t="shared" si="86"/>
        <v/>
      </c>
      <c r="M89" s="56" t="str">
        <f t="shared" si="87"/>
        <v/>
      </c>
      <c r="N89" s="57" t="str">
        <f t="shared" si="3"/>
        <v/>
      </c>
      <c r="O89" s="58" t="str">
        <f t="shared" si="88"/>
        <v/>
      </c>
      <c r="P89" s="59" t="str">
        <f t="shared" si="5"/>
        <v/>
      </c>
      <c r="Q89" s="60" t="str">
        <f t="shared" si="89"/>
        <v/>
      </c>
      <c r="R89" s="61" t="str">
        <f t="shared" si="0"/>
        <v/>
      </c>
      <c r="S89" s="56" t="str">
        <f t="shared" si="90"/>
        <v/>
      </c>
      <c r="T89" s="62" t="str">
        <f t="shared" si="91"/>
        <v/>
      </c>
      <c r="U89" s="63" t="str">
        <f t="shared" si="9"/>
        <v/>
      </c>
      <c r="V89" s="64" t="str">
        <f t="shared" si="92"/>
        <v/>
      </c>
      <c r="W89" s="65" t="str">
        <f t="shared" si="11"/>
        <v/>
      </c>
      <c r="X89" s="64" t="str">
        <f t="shared" si="93"/>
        <v/>
      </c>
      <c r="Y89" s="64" t="str">
        <f t="shared" si="94"/>
        <v/>
      </c>
      <c r="Z89" s="56" t="str">
        <f t="shared" si="95"/>
        <v/>
      </c>
      <c r="AA89" s="66" t="str">
        <f t="shared" si="96"/>
        <v/>
      </c>
      <c r="AB89" s="57" t="str">
        <f t="shared" si="16"/>
        <v/>
      </c>
      <c r="AC89" s="67" t="str">
        <f t="shared" si="97"/>
        <v/>
      </c>
      <c r="AD89" s="59" t="str">
        <f t="shared" si="98"/>
        <v/>
      </c>
      <c r="AE89" s="68" t="str">
        <f t="shared" si="99"/>
        <v/>
      </c>
      <c r="AF89" s="61" t="str">
        <f t="shared" si="100"/>
        <v/>
      </c>
      <c r="AG89" s="61" t="str">
        <f t="shared" si="101"/>
        <v/>
      </c>
      <c r="AH89" s="69" t="str">
        <f t="shared" si="102"/>
        <v/>
      </c>
      <c r="AI89" s="70" t="str">
        <f t="shared" si="23"/>
        <v/>
      </c>
      <c r="AJ89" s="64" t="str">
        <f t="shared" si="103"/>
        <v/>
      </c>
      <c r="AK89" s="64" t="str">
        <f t="shared" si="104"/>
        <v/>
      </c>
      <c r="AL89" s="64" t="str">
        <f t="shared" si="105"/>
        <v/>
      </c>
      <c r="AM89" s="64" t="str">
        <f t="shared" si="106"/>
        <v/>
      </c>
      <c r="AN89" s="64" t="str">
        <f t="shared" si="107"/>
        <v/>
      </c>
    </row>
    <row r="90" spans="3:40" ht="25.5" hidden="1" outlineLevel="1" thickTop="1" thickBot="1" x14ac:dyDescent="0.4">
      <c r="C90" s="113"/>
      <c r="D90" s="112"/>
      <c r="E90" s="52"/>
      <c r="F90" s="53"/>
      <c r="G90" s="53"/>
      <c r="H90" s="52"/>
      <c r="I90" s="52"/>
      <c r="J90" s="54"/>
      <c r="K90" s="54"/>
      <c r="L90" s="78" t="str">
        <f t="shared" si="86"/>
        <v/>
      </c>
      <c r="M90" s="56" t="str">
        <f t="shared" si="87"/>
        <v/>
      </c>
      <c r="N90" s="57" t="str">
        <f t="shared" si="3"/>
        <v/>
      </c>
      <c r="O90" s="58" t="str">
        <f t="shared" si="88"/>
        <v/>
      </c>
      <c r="P90" s="59" t="str">
        <f t="shared" si="5"/>
        <v/>
      </c>
      <c r="Q90" s="60" t="str">
        <f t="shared" si="89"/>
        <v/>
      </c>
      <c r="R90" s="61" t="str">
        <f t="shared" si="0"/>
        <v/>
      </c>
      <c r="S90" s="56" t="str">
        <f t="shared" si="90"/>
        <v/>
      </c>
      <c r="T90" s="62" t="str">
        <f t="shared" si="91"/>
        <v/>
      </c>
      <c r="U90" s="63" t="str">
        <f t="shared" si="9"/>
        <v/>
      </c>
      <c r="V90" s="64" t="str">
        <f t="shared" si="92"/>
        <v/>
      </c>
      <c r="W90" s="65" t="str">
        <f t="shared" si="11"/>
        <v/>
      </c>
      <c r="X90" s="64" t="str">
        <f t="shared" si="93"/>
        <v/>
      </c>
      <c r="Y90" s="64" t="str">
        <f t="shared" si="94"/>
        <v/>
      </c>
      <c r="Z90" s="56" t="str">
        <f t="shared" si="95"/>
        <v/>
      </c>
      <c r="AA90" s="66" t="str">
        <f t="shared" si="96"/>
        <v/>
      </c>
      <c r="AB90" s="57" t="str">
        <f t="shared" si="16"/>
        <v/>
      </c>
      <c r="AC90" s="67" t="str">
        <f t="shared" si="97"/>
        <v/>
      </c>
      <c r="AD90" s="59" t="str">
        <f t="shared" si="98"/>
        <v/>
      </c>
      <c r="AE90" s="68" t="str">
        <f t="shared" si="99"/>
        <v/>
      </c>
      <c r="AF90" s="61" t="str">
        <f t="shared" si="100"/>
        <v/>
      </c>
      <c r="AG90" s="61" t="str">
        <f t="shared" si="101"/>
        <v/>
      </c>
      <c r="AH90" s="69" t="str">
        <f t="shared" si="102"/>
        <v/>
      </c>
      <c r="AI90" s="70" t="str">
        <f t="shared" si="23"/>
        <v/>
      </c>
      <c r="AJ90" s="64" t="str">
        <f t="shared" si="103"/>
        <v/>
      </c>
      <c r="AK90" s="64" t="str">
        <f t="shared" si="104"/>
        <v/>
      </c>
      <c r="AL90" s="64" t="str">
        <f t="shared" si="105"/>
        <v/>
      </c>
      <c r="AM90" s="64" t="str">
        <f t="shared" si="106"/>
        <v/>
      </c>
      <c r="AN90" s="64" t="str">
        <f t="shared" si="107"/>
        <v/>
      </c>
    </row>
    <row r="91" spans="3:40" ht="25.5" hidden="1" outlineLevel="1" thickTop="1" thickBot="1" x14ac:dyDescent="0.4">
      <c r="C91" s="113"/>
      <c r="D91" s="112"/>
      <c r="E91" s="52"/>
      <c r="F91" s="53"/>
      <c r="G91" s="53"/>
      <c r="H91" s="52"/>
      <c r="I91" s="52"/>
      <c r="J91" s="54"/>
      <c r="K91" s="54"/>
      <c r="L91" s="55" t="str">
        <f t="shared" si="86"/>
        <v/>
      </c>
      <c r="M91" s="56" t="str">
        <f t="shared" si="87"/>
        <v/>
      </c>
      <c r="N91" s="57" t="str">
        <f t="shared" si="3"/>
        <v/>
      </c>
      <c r="O91" s="58" t="str">
        <f t="shared" si="88"/>
        <v/>
      </c>
      <c r="P91" s="59" t="str">
        <f t="shared" si="5"/>
        <v/>
      </c>
      <c r="Q91" s="60" t="str">
        <f t="shared" si="89"/>
        <v/>
      </c>
      <c r="R91" s="61" t="str">
        <f t="shared" si="0"/>
        <v/>
      </c>
      <c r="S91" s="56" t="str">
        <f t="shared" si="90"/>
        <v/>
      </c>
      <c r="T91" s="62" t="str">
        <f t="shared" si="91"/>
        <v/>
      </c>
      <c r="U91" s="63" t="str">
        <f t="shared" si="9"/>
        <v/>
      </c>
      <c r="V91" s="64" t="str">
        <f t="shared" si="92"/>
        <v/>
      </c>
      <c r="W91" s="65" t="str">
        <f t="shared" si="11"/>
        <v/>
      </c>
      <c r="X91" s="64" t="str">
        <f t="shared" si="93"/>
        <v/>
      </c>
      <c r="Y91" s="64" t="str">
        <f t="shared" si="94"/>
        <v/>
      </c>
      <c r="Z91" s="56" t="str">
        <f t="shared" si="95"/>
        <v/>
      </c>
      <c r="AA91" s="66" t="str">
        <f t="shared" si="96"/>
        <v/>
      </c>
      <c r="AB91" s="57" t="str">
        <f t="shared" si="16"/>
        <v/>
      </c>
      <c r="AC91" s="67" t="str">
        <f t="shared" si="97"/>
        <v/>
      </c>
      <c r="AD91" s="59" t="str">
        <f t="shared" si="98"/>
        <v/>
      </c>
      <c r="AE91" s="68" t="str">
        <f t="shared" si="99"/>
        <v/>
      </c>
      <c r="AF91" s="61" t="str">
        <f t="shared" si="100"/>
        <v/>
      </c>
      <c r="AG91" s="61" t="str">
        <f t="shared" si="101"/>
        <v/>
      </c>
      <c r="AH91" s="69" t="str">
        <f t="shared" si="102"/>
        <v/>
      </c>
      <c r="AI91" s="70" t="str">
        <f t="shared" si="23"/>
        <v/>
      </c>
      <c r="AJ91" s="64" t="str">
        <f t="shared" si="103"/>
        <v/>
      </c>
      <c r="AK91" s="64" t="str">
        <f t="shared" si="104"/>
        <v/>
      </c>
      <c r="AL91" s="64" t="str">
        <f t="shared" si="105"/>
        <v/>
      </c>
      <c r="AM91" s="64" t="str">
        <f t="shared" si="106"/>
        <v/>
      </c>
      <c r="AN91" s="64" t="str">
        <f t="shared" si="107"/>
        <v/>
      </c>
    </row>
    <row r="92" spans="3:40" ht="25.5" hidden="1" outlineLevel="1" thickTop="1" thickBot="1" x14ac:dyDescent="0.4">
      <c r="C92" s="113"/>
      <c r="D92" s="112"/>
      <c r="E92" s="52"/>
      <c r="F92" s="53"/>
      <c r="G92" s="53"/>
      <c r="H92" s="52"/>
      <c r="I92" s="52"/>
      <c r="J92" s="54"/>
      <c r="K92" s="54"/>
      <c r="L92" s="55" t="str">
        <f t="shared" si="86"/>
        <v/>
      </c>
      <c r="M92" s="56" t="str">
        <f t="shared" si="87"/>
        <v/>
      </c>
      <c r="N92" s="57" t="str">
        <f t="shared" si="3"/>
        <v/>
      </c>
      <c r="O92" s="58" t="str">
        <f t="shared" si="88"/>
        <v/>
      </c>
      <c r="P92" s="59" t="str">
        <f t="shared" si="5"/>
        <v/>
      </c>
      <c r="Q92" s="60" t="str">
        <f t="shared" si="89"/>
        <v/>
      </c>
      <c r="R92" s="61" t="str">
        <f t="shared" si="0"/>
        <v/>
      </c>
      <c r="S92" s="56" t="str">
        <f t="shared" si="90"/>
        <v/>
      </c>
      <c r="T92" s="62" t="str">
        <f t="shared" si="91"/>
        <v/>
      </c>
      <c r="U92" s="63" t="str">
        <f t="shared" si="9"/>
        <v/>
      </c>
      <c r="V92" s="64" t="str">
        <f t="shared" si="92"/>
        <v/>
      </c>
      <c r="W92" s="65" t="str">
        <f t="shared" si="11"/>
        <v/>
      </c>
      <c r="X92" s="64" t="str">
        <f t="shared" si="93"/>
        <v/>
      </c>
      <c r="Y92" s="64" t="str">
        <f t="shared" si="94"/>
        <v/>
      </c>
      <c r="Z92" s="56" t="str">
        <f t="shared" si="95"/>
        <v/>
      </c>
      <c r="AA92" s="66" t="str">
        <f t="shared" si="96"/>
        <v/>
      </c>
      <c r="AB92" s="57" t="str">
        <f t="shared" si="16"/>
        <v/>
      </c>
      <c r="AC92" s="67" t="str">
        <f t="shared" si="97"/>
        <v/>
      </c>
      <c r="AD92" s="59" t="str">
        <f t="shared" si="98"/>
        <v/>
      </c>
      <c r="AE92" s="68" t="str">
        <f t="shared" si="99"/>
        <v/>
      </c>
      <c r="AF92" s="61" t="str">
        <f t="shared" si="100"/>
        <v/>
      </c>
      <c r="AG92" s="61" t="str">
        <f t="shared" si="101"/>
        <v/>
      </c>
      <c r="AH92" s="69" t="str">
        <f t="shared" si="102"/>
        <v/>
      </c>
      <c r="AI92" s="70" t="str">
        <f t="shared" si="23"/>
        <v/>
      </c>
      <c r="AJ92" s="64" t="str">
        <f t="shared" si="103"/>
        <v/>
      </c>
      <c r="AK92" s="64" t="str">
        <f t="shared" si="104"/>
        <v/>
      </c>
      <c r="AL92" s="64" t="str">
        <f t="shared" si="105"/>
        <v/>
      </c>
      <c r="AM92" s="64" t="str">
        <f t="shared" si="106"/>
        <v/>
      </c>
      <c r="AN92" s="64" t="str">
        <f t="shared" si="107"/>
        <v/>
      </c>
    </row>
    <row r="93" spans="3:40" ht="25.5" hidden="1" outlineLevel="1" thickTop="1" thickBot="1" x14ac:dyDescent="0.4">
      <c r="C93" s="113"/>
      <c r="D93" s="112"/>
      <c r="E93" s="52"/>
      <c r="F93" s="53"/>
      <c r="G93" s="53"/>
      <c r="H93" s="52"/>
      <c r="I93" s="52"/>
      <c r="J93" s="54"/>
      <c r="K93" s="54"/>
      <c r="L93" s="55" t="str">
        <f t="shared" si="86"/>
        <v/>
      </c>
      <c r="M93" s="56" t="str">
        <f t="shared" si="87"/>
        <v/>
      </c>
      <c r="N93" s="57" t="str">
        <f t="shared" si="3"/>
        <v/>
      </c>
      <c r="O93" s="58" t="str">
        <f t="shared" si="88"/>
        <v/>
      </c>
      <c r="P93" s="59" t="str">
        <f t="shared" si="5"/>
        <v/>
      </c>
      <c r="Q93" s="60" t="str">
        <f t="shared" si="89"/>
        <v/>
      </c>
      <c r="R93" s="61" t="str">
        <f t="shared" si="0"/>
        <v/>
      </c>
      <c r="S93" s="56" t="str">
        <f t="shared" si="90"/>
        <v/>
      </c>
      <c r="T93" s="62" t="str">
        <f t="shared" si="91"/>
        <v/>
      </c>
      <c r="U93" s="63" t="str">
        <f t="shared" si="9"/>
        <v/>
      </c>
      <c r="V93" s="64" t="str">
        <f t="shared" si="92"/>
        <v/>
      </c>
      <c r="W93" s="65" t="str">
        <f t="shared" si="11"/>
        <v/>
      </c>
      <c r="X93" s="64" t="str">
        <f t="shared" si="93"/>
        <v/>
      </c>
      <c r="Y93" s="64" t="str">
        <f t="shared" si="94"/>
        <v/>
      </c>
      <c r="Z93" s="56" t="str">
        <f t="shared" si="95"/>
        <v/>
      </c>
      <c r="AA93" s="66" t="str">
        <f t="shared" si="96"/>
        <v/>
      </c>
      <c r="AB93" s="57" t="str">
        <f t="shared" si="16"/>
        <v/>
      </c>
      <c r="AC93" s="67" t="str">
        <f t="shared" si="97"/>
        <v/>
      </c>
      <c r="AD93" s="59" t="str">
        <f t="shared" si="98"/>
        <v/>
      </c>
      <c r="AE93" s="68" t="str">
        <f t="shared" si="99"/>
        <v/>
      </c>
      <c r="AF93" s="61" t="str">
        <f t="shared" si="100"/>
        <v/>
      </c>
      <c r="AG93" s="61" t="str">
        <f t="shared" si="101"/>
        <v/>
      </c>
      <c r="AH93" s="69" t="str">
        <f t="shared" si="102"/>
        <v/>
      </c>
      <c r="AI93" s="70" t="str">
        <f t="shared" si="23"/>
        <v/>
      </c>
      <c r="AJ93" s="64" t="str">
        <f t="shared" si="103"/>
        <v/>
      </c>
      <c r="AK93" s="64" t="str">
        <f t="shared" si="104"/>
        <v/>
      </c>
      <c r="AL93" s="64" t="str">
        <f t="shared" si="105"/>
        <v/>
      </c>
      <c r="AM93" s="64" t="str">
        <f t="shared" si="106"/>
        <v/>
      </c>
      <c r="AN93" s="64" t="str">
        <f t="shared" si="107"/>
        <v/>
      </c>
    </row>
    <row r="94" spans="3:40" ht="25.5" hidden="1" outlineLevel="1" thickTop="1" thickBot="1" x14ac:dyDescent="0.4">
      <c r="C94" s="113"/>
      <c r="D94" s="112"/>
      <c r="E94" s="52"/>
      <c r="F94" s="53"/>
      <c r="G94" s="53"/>
      <c r="H94" s="52"/>
      <c r="I94" s="52"/>
      <c r="J94" s="54"/>
      <c r="K94" s="54"/>
      <c r="L94" s="55" t="str">
        <f t="shared" si="86"/>
        <v/>
      </c>
      <c r="M94" s="56" t="str">
        <f t="shared" si="87"/>
        <v/>
      </c>
      <c r="N94" s="57" t="str">
        <f t="shared" si="3"/>
        <v/>
      </c>
      <c r="O94" s="58" t="str">
        <f t="shared" si="88"/>
        <v/>
      </c>
      <c r="P94" s="59" t="str">
        <f t="shared" si="5"/>
        <v/>
      </c>
      <c r="Q94" s="60" t="str">
        <f t="shared" si="89"/>
        <v/>
      </c>
      <c r="R94" s="61" t="str">
        <f t="shared" ref="R94:R102" si="164">IF(N94="Do",10,IF(N94="Re",22,IF(N94="Mi",20,IF(N94="Fa",20,IF(N94="Sol",14,IF(N94="La",20,IF(N94="Si",20,IF(N94="Do#",14,IF(N94="Fa#",15,IF(N94="Sol#",20,IF(N94="Si♭",17,"")))))))))))</f>
        <v/>
      </c>
      <c r="S94" s="56" t="str">
        <f t="shared" si="90"/>
        <v/>
      </c>
      <c r="T94" s="62" t="str">
        <f t="shared" si="91"/>
        <v/>
      </c>
      <c r="U94" s="63" t="str">
        <f t="shared" si="9"/>
        <v/>
      </c>
      <c r="V94" s="64" t="str">
        <f t="shared" si="92"/>
        <v/>
      </c>
      <c r="W94" s="65" t="str">
        <f t="shared" si="11"/>
        <v/>
      </c>
      <c r="X94" s="64" t="str">
        <f t="shared" si="93"/>
        <v/>
      </c>
      <c r="Y94" s="64" t="str">
        <f t="shared" si="94"/>
        <v/>
      </c>
      <c r="Z94" s="56" t="str">
        <f t="shared" si="95"/>
        <v/>
      </c>
      <c r="AA94" s="66" t="str">
        <f t="shared" si="96"/>
        <v/>
      </c>
      <c r="AB94" s="57" t="str">
        <f t="shared" si="16"/>
        <v/>
      </c>
      <c r="AC94" s="67" t="str">
        <f t="shared" si="97"/>
        <v/>
      </c>
      <c r="AD94" s="59" t="str">
        <f t="shared" si="98"/>
        <v/>
      </c>
      <c r="AE94" s="68" t="str">
        <f t="shared" si="99"/>
        <v/>
      </c>
      <c r="AF94" s="61" t="str">
        <f t="shared" si="100"/>
        <v/>
      </c>
      <c r="AG94" s="61" t="str">
        <f t="shared" si="101"/>
        <v/>
      </c>
      <c r="AH94" s="69" t="str">
        <f t="shared" si="102"/>
        <v/>
      </c>
      <c r="AI94" s="70" t="str">
        <f t="shared" si="23"/>
        <v/>
      </c>
      <c r="AJ94" s="64" t="str">
        <f t="shared" si="103"/>
        <v/>
      </c>
      <c r="AK94" s="64" t="str">
        <f t="shared" si="104"/>
        <v/>
      </c>
      <c r="AL94" s="64" t="str">
        <f t="shared" si="105"/>
        <v/>
      </c>
      <c r="AM94" s="64" t="str">
        <f t="shared" si="106"/>
        <v/>
      </c>
      <c r="AN94" s="64" t="str">
        <f t="shared" si="107"/>
        <v/>
      </c>
    </row>
    <row r="95" spans="3:40" ht="25.5" hidden="1" outlineLevel="1" thickTop="1" thickBot="1" x14ac:dyDescent="0.4">
      <c r="C95" s="113"/>
      <c r="D95" s="112"/>
      <c r="E95" s="52"/>
      <c r="F95" s="53"/>
      <c r="G95" s="53"/>
      <c r="H95" s="52"/>
      <c r="I95" s="52"/>
      <c r="J95" s="54"/>
      <c r="K95" s="54"/>
      <c r="L95" s="55" t="str">
        <f t="shared" si="86"/>
        <v/>
      </c>
      <c r="M95" s="56" t="str">
        <f t="shared" si="87"/>
        <v/>
      </c>
      <c r="N95" s="57" t="str">
        <f t="shared" si="3"/>
        <v/>
      </c>
      <c r="O95" s="58" t="str">
        <f t="shared" si="88"/>
        <v/>
      </c>
      <c r="P95" s="59" t="str">
        <f t="shared" si="5"/>
        <v/>
      </c>
      <c r="Q95" s="60" t="str">
        <f t="shared" si="89"/>
        <v/>
      </c>
      <c r="R95" s="61" t="str">
        <f t="shared" si="164"/>
        <v/>
      </c>
      <c r="S95" s="56" t="str">
        <f t="shared" si="90"/>
        <v/>
      </c>
      <c r="T95" s="62" t="str">
        <f t="shared" si="91"/>
        <v/>
      </c>
      <c r="U95" s="63" t="str">
        <f t="shared" si="9"/>
        <v/>
      </c>
      <c r="V95" s="64" t="str">
        <f t="shared" si="92"/>
        <v/>
      </c>
      <c r="W95" s="65" t="str">
        <f t="shared" si="11"/>
        <v/>
      </c>
      <c r="X95" s="64" t="str">
        <f t="shared" si="93"/>
        <v/>
      </c>
      <c r="Y95" s="64" t="str">
        <f t="shared" si="94"/>
        <v/>
      </c>
      <c r="Z95" s="56" t="str">
        <f t="shared" si="95"/>
        <v/>
      </c>
      <c r="AA95" s="66" t="str">
        <f t="shared" si="96"/>
        <v/>
      </c>
      <c r="AB95" s="57" t="str">
        <f t="shared" si="16"/>
        <v/>
      </c>
      <c r="AC95" s="67" t="str">
        <f t="shared" si="97"/>
        <v/>
      </c>
      <c r="AD95" s="59" t="str">
        <f t="shared" si="98"/>
        <v/>
      </c>
      <c r="AE95" s="68" t="str">
        <f t="shared" si="99"/>
        <v/>
      </c>
      <c r="AF95" s="61" t="str">
        <f t="shared" si="100"/>
        <v/>
      </c>
      <c r="AG95" s="61" t="str">
        <f t="shared" si="101"/>
        <v/>
      </c>
      <c r="AH95" s="69" t="str">
        <f t="shared" si="102"/>
        <v/>
      </c>
      <c r="AI95" s="70" t="str">
        <f t="shared" si="23"/>
        <v/>
      </c>
      <c r="AJ95" s="64" t="str">
        <f t="shared" si="103"/>
        <v/>
      </c>
      <c r="AK95" s="64" t="str">
        <f t="shared" si="104"/>
        <v/>
      </c>
      <c r="AL95" s="64" t="str">
        <f t="shared" si="105"/>
        <v/>
      </c>
      <c r="AM95" s="64" t="str">
        <f t="shared" si="106"/>
        <v/>
      </c>
      <c r="AN95" s="64" t="str">
        <f t="shared" si="107"/>
        <v/>
      </c>
    </row>
    <row r="96" spans="3:40" ht="25.5" hidden="1" outlineLevel="1" thickTop="1" thickBot="1" x14ac:dyDescent="0.4">
      <c r="C96" s="113"/>
      <c r="D96" s="112"/>
      <c r="E96" s="52"/>
      <c r="F96" s="53"/>
      <c r="G96" s="53"/>
      <c r="H96" s="52"/>
      <c r="I96" s="52"/>
      <c r="J96" s="54"/>
      <c r="K96" s="54"/>
      <c r="L96" s="78" t="str">
        <f t="shared" si="86"/>
        <v/>
      </c>
      <c r="M96" s="56" t="str">
        <f t="shared" si="87"/>
        <v/>
      </c>
      <c r="N96" s="57" t="str">
        <f t="shared" si="3"/>
        <v/>
      </c>
      <c r="O96" s="58" t="str">
        <f t="shared" si="88"/>
        <v/>
      </c>
      <c r="P96" s="59" t="str">
        <f t="shared" si="5"/>
        <v/>
      </c>
      <c r="Q96" s="60" t="str">
        <f t="shared" si="89"/>
        <v/>
      </c>
      <c r="R96" s="61" t="str">
        <f t="shared" si="164"/>
        <v/>
      </c>
      <c r="S96" s="56" t="str">
        <f t="shared" si="90"/>
        <v/>
      </c>
      <c r="T96" s="62" t="str">
        <f t="shared" si="91"/>
        <v/>
      </c>
      <c r="U96" s="63" t="str">
        <f t="shared" si="9"/>
        <v/>
      </c>
      <c r="V96" s="64" t="str">
        <f t="shared" si="92"/>
        <v/>
      </c>
      <c r="W96" s="65" t="str">
        <f t="shared" si="11"/>
        <v/>
      </c>
      <c r="X96" s="64" t="str">
        <f t="shared" si="93"/>
        <v/>
      </c>
      <c r="Y96" s="64" t="str">
        <f t="shared" si="94"/>
        <v/>
      </c>
      <c r="Z96" s="56" t="str">
        <f t="shared" si="95"/>
        <v/>
      </c>
      <c r="AA96" s="66" t="str">
        <f t="shared" si="96"/>
        <v/>
      </c>
      <c r="AB96" s="57" t="str">
        <f t="shared" si="16"/>
        <v/>
      </c>
      <c r="AC96" s="67" t="str">
        <f t="shared" si="97"/>
        <v/>
      </c>
      <c r="AD96" s="59" t="str">
        <f t="shared" si="98"/>
        <v/>
      </c>
      <c r="AE96" s="68" t="str">
        <f t="shared" si="99"/>
        <v/>
      </c>
      <c r="AF96" s="61" t="str">
        <f t="shared" si="100"/>
        <v/>
      </c>
      <c r="AG96" s="61" t="str">
        <f t="shared" si="101"/>
        <v/>
      </c>
      <c r="AH96" s="69" t="str">
        <f t="shared" si="102"/>
        <v/>
      </c>
      <c r="AI96" s="70" t="str">
        <f t="shared" si="23"/>
        <v/>
      </c>
      <c r="AJ96" s="64" t="str">
        <f t="shared" si="103"/>
        <v/>
      </c>
      <c r="AK96" s="64" t="str">
        <f t="shared" si="104"/>
        <v/>
      </c>
      <c r="AL96" s="64" t="str">
        <f t="shared" si="105"/>
        <v/>
      </c>
      <c r="AM96" s="64" t="str">
        <f t="shared" si="106"/>
        <v/>
      </c>
      <c r="AN96" s="64" t="str">
        <f t="shared" si="107"/>
        <v/>
      </c>
    </row>
    <row r="97" spans="1:40" ht="25.5" hidden="1" outlineLevel="1" thickTop="1" thickBot="1" x14ac:dyDescent="0.4">
      <c r="C97" s="113"/>
      <c r="D97" s="112"/>
      <c r="E97" s="52"/>
      <c r="F97" s="53"/>
      <c r="G97" s="53"/>
      <c r="H97" s="52"/>
      <c r="I97" s="52"/>
      <c r="J97" s="54"/>
      <c r="K97" s="54"/>
      <c r="L97" s="78" t="str">
        <f t="shared" si="86"/>
        <v/>
      </c>
      <c r="M97" s="56" t="str">
        <f t="shared" si="87"/>
        <v/>
      </c>
      <c r="N97" s="57" t="str">
        <f t="shared" si="3"/>
        <v/>
      </c>
      <c r="O97" s="58" t="str">
        <f t="shared" si="88"/>
        <v/>
      </c>
      <c r="P97" s="59" t="str">
        <f t="shared" si="5"/>
        <v/>
      </c>
      <c r="Q97" s="60" t="str">
        <f t="shared" si="89"/>
        <v/>
      </c>
      <c r="R97" s="61" t="str">
        <f t="shared" si="164"/>
        <v/>
      </c>
      <c r="S97" s="56" t="str">
        <f t="shared" si="90"/>
        <v/>
      </c>
      <c r="T97" s="62" t="str">
        <f t="shared" si="91"/>
        <v/>
      </c>
      <c r="U97" s="63" t="str">
        <f t="shared" si="9"/>
        <v/>
      </c>
      <c r="V97" s="64" t="str">
        <f t="shared" si="92"/>
        <v/>
      </c>
      <c r="W97" s="65" t="str">
        <f t="shared" si="11"/>
        <v/>
      </c>
      <c r="X97" s="64" t="str">
        <f t="shared" si="93"/>
        <v/>
      </c>
      <c r="Y97" s="64" t="str">
        <f t="shared" si="94"/>
        <v/>
      </c>
      <c r="Z97" s="56" t="str">
        <f t="shared" si="95"/>
        <v/>
      </c>
      <c r="AA97" s="66" t="str">
        <f t="shared" si="96"/>
        <v/>
      </c>
      <c r="AB97" s="57" t="str">
        <f t="shared" si="16"/>
        <v/>
      </c>
      <c r="AC97" s="67" t="str">
        <f t="shared" si="97"/>
        <v/>
      </c>
      <c r="AD97" s="59" t="str">
        <f t="shared" si="98"/>
        <v/>
      </c>
      <c r="AE97" s="68" t="str">
        <f t="shared" si="99"/>
        <v/>
      </c>
      <c r="AF97" s="61" t="str">
        <f t="shared" si="100"/>
        <v/>
      </c>
      <c r="AG97" s="61" t="str">
        <f t="shared" si="101"/>
        <v/>
      </c>
      <c r="AH97" s="69" t="str">
        <f t="shared" si="102"/>
        <v/>
      </c>
      <c r="AI97" s="70" t="str">
        <f t="shared" si="23"/>
        <v/>
      </c>
      <c r="AJ97" s="64" t="str">
        <f t="shared" si="103"/>
        <v/>
      </c>
      <c r="AK97" s="64" t="str">
        <f t="shared" si="104"/>
        <v/>
      </c>
      <c r="AL97" s="64" t="str">
        <f t="shared" si="105"/>
        <v/>
      </c>
      <c r="AM97" s="64" t="str">
        <f t="shared" si="106"/>
        <v/>
      </c>
      <c r="AN97" s="64" t="str">
        <f t="shared" si="107"/>
        <v/>
      </c>
    </row>
    <row r="98" spans="1:40" ht="25.5" hidden="1" outlineLevel="1" thickTop="1" thickBot="1" x14ac:dyDescent="0.4">
      <c r="C98" s="113"/>
      <c r="D98" s="112"/>
      <c r="E98" s="52"/>
      <c r="F98" s="53"/>
      <c r="G98" s="53"/>
      <c r="H98" s="52"/>
      <c r="I98" s="52"/>
      <c r="J98" s="54"/>
      <c r="K98" s="54"/>
      <c r="L98" s="78" t="str">
        <f t="shared" si="86"/>
        <v/>
      </c>
      <c r="M98" s="56" t="str">
        <f t="shared" si="87"/>
        <v/>
      </c>
      <c r="N98" s="57" t="str">
        <f t="shared" si="3"/>
        <v/>
      </c>
      <c r="O98" s="58" t="str">
        <f t="shared" si="88"/>
        <v/>
      </c>
      <c r="P98" s="59" t="str">
        <f t="shared" si="5"/>
        <v/>
      </c>
      <c r="Q98" s="60" t="str">
        <f t="shared" si="89"/>
        <v/>
      </c>
      <c r="R98" s="61" t="str">
        <f t="shared" si="164"/>
        <v/>
      </c>
      <c r="S98" s="56" t="str">
        <f t="shared" si="90"/>
        <v/>
      </c>
      <c r="T98" s="62" t="str">
        <f t="shared" si="91"/>
        <v/>
      </c>
      <c r="U98" s="63" t="str">
        <f t="shared" si="9"/>
        <v/>
      </c>
      <c r="V98" s="64" t="str">
        <f t="shared" si="92"/>
        <v/>
      </c>
      <c r="W98" s="65" t="str">
        <f t="shared" si="11"/>
        <v/>
      </c>
      <c r="X98" s="64" t="str">
        <f t="shared" si="93"/>
        <v/>
      </c>
      <c r="Y98" s="64" t="str">
        <f t="shared" si="94"/>
        <v/>
      </c>
      <c r="Z98" s="56" t="str">
        <f t="shared" si="95"/>
        <v/>
      </c>
      <c r="AA98" s="66" t="str">
        <f t="shared" si="96"/>
        <v/>
      </c>
      <c r="AB98" s="57" t="str">
        <f t="shared" si="16"/>
        <v/>
      </c>
      <c r="AC98" s="67" t="str">
        <f t="shared" si="97"/>
        <v/>
      </c>
      <c r="AD98" s="59" t="str">
        <f t="shared" si="98"/>
        <v/>
      </c>
      <c r="AE98" s="68" t="str">
        <f t="shared" si="99"/>
        <v/>
      </c>
      <c r="AF98" s="61" t="str">
        <f t="shared" si="100"/>
        <v/>
      </c>
      <c r="AG98" s="61" t="str">
        <f t="shared" si="101"/>
        <v/>
      </c>
      <c r="AH98" s="69" t="str">
        <f t="shared" si="102"/>
        <v/>
      </c>
      <c r="AI98" s="70" t="str">
        <f t="shared" si="23"/>
        <v/>
      </c>
      <c r="AJ98" s="64" t="str">
        <f t="shared" si="103"/>
        <v/>
      </c>
      <c r="AK98" s="64" t="str">
        <f t="shared" si="104"/>
        <v/>
      </c>
      <c r="AL98" s="64" t="str">
        <f t="shared" si="105"/>
        <v/>
      </c>
      <c r="AM98" s="64" t="str">
        <f t="shared" si="106"/>
        <v/>
      </c>
      <c r="AN98" s="64" t="str">
        <f t="shared" si="107"/>
        <v/>
      </c>
    </row>
    <row r="99" spans="1:40" ht="25.5" hidden="1" outlineLevel="1" thickTop="1" thickBot="1" x14ac:dyDescent="0.4">
      <c r="C99" s="113"/>
      <c r="D99" s="112"/>
      <c r="E99" s="52"/>
      <c r="F99" s="53"/>
      <c r="G99" s="53"/>
      <c r="H99" s="52"/>
      <c r="I99" s="52"/>
      <c r="J99" s="54"/>
      <c r="K99" s="54"/>
      <c r="L99" s="78" t="str">
        <f t="shared" si="86"/>
        <v/>
      </c>
      <c r="M99" s="56" t="str">
        <f t="shared" si="87"/>
        <v/>
      </c>
      <c r="N99" s="57" t="str">
        <f t="shared" si="3"/>
        <v/>
      </c>
      <c r="O99" s="58" t="str">
        <f t="shared" si="88"/>
        <v/>
      </c>
      <c r="P99" s="59" t="str">
        <f t="shared" si="5"/>
        <v/>
      </c>
      <c r="Q99" s="60" t="str">
        <f t="shared" si="89"/>
        <v/>
      </c>
      <c r="R99" s="61" t="str">
        <f t="shared" si="164"/>
        <v/>
      </c>
      <c r="S99" s="56" t="str">
        <f t="shared" si="90"/>
        <v/>
      </c>
      <c r="T99" s="62" t="str">
        <f t="shared" si="91"/>
        <v/>
      </c>
      <c r="U99" s="63" t="str">
        <f t="shared" si="9"/>
        <v/>
      </c>
      <c r="V99" s="64" t="str">
        <f t="shared" si="92"/>
        <v/>
      </c>
      <c r="W99" s="65" t="str">
        <f t="shared" si="11"/>
        <v/>
      </c>
      <c r="X99" s="64" t="str">
        <f t="shared" si="93"/>
        <v/>
      </c>
      <c r="Y99" s="64" t="str">
        <f t="shared" si="94"/>
        <v/>
      </c>
      <c r="Z99" s="56" t="str">
        <f t="shared" si="95"/>
        <v/>
      </c>
      <c r="AA99" s="66" t="str">
        <f t="shared" si="96"/>
        <v/>
      </c>
      <c r="AB99" s="57" t="str">
        <f t="shared" si="16"/>
        <v/>
      </c>
      <c r="AC99" s="67" t="str">
        <f t="shared" si="97"/>
        <v/>
      </c>
      <c r="AD99" s="59" t="str">
        <f t="shared" si="98"/>
        <v/>
      </c>
      <c r="AE99" s="68" t="str">
        <f t="shared" si="99"/>
        <v/>
      </c>
      <c r="AF99" s="61" t="str">
        <f t="shared" si="100"/>
        <v/>
      </c>
      <c r="AG99" s="61" t="str">
        <f t="shared" si="101"/>
        <v/>
      </c>
      <c r="AH99" s="69" t="str">
        <f t="shared" si="102"/>
        <v/>
      </c>
      <c r="AI99" s="70" t="str">
        <f t="shared" si="23"/>
        <v/>
      </c>
      <c r="AJ99" s="64" t="str">
        <f t="shared" si="103"/>
        <v/>
      </c>
      <c r="AK99" s="64" t="str">
        <f t="shared" si="104"/>
        <v/>
      </c>
      <c r="AL99" s="64" t="str">
        <f t="shared" si="105"/>
        <v/>
      </c>
      <c r="AM99" s="64" t="str">
        <f t="shared" si="106"/>
        <v/>
      </c>
      <c r="AN99" s="64" t="str">
        <f t="shared" si="107"/>
        <v/>
      </c>
    </row>
    <row r="100" spans="1:40" ht="25.5" hidden="1" outlineLevel="1" thickTop="1" thickBot="1" x14ac:dyDescent="0.4">
      <c r="C100" s="113"/>
      <c r="D100" s="112"/>
      <c r="E100" s="52"/>
      <c r="F100" s="53"/>
      <c r="G100" s="53"/>
      <c r="H100" s="52"/>
      <c r="I100" s="52"/>
      <c r="J100" s="54"/>
      <c r="K100" s="54"/>
      <c r="L100" s="78" t="str">
        <f t="shared" si="86"/>
        <v/>
      </c>
      <c r="M100" s="56" t="str">
        <f t="shared" si="87"/>
        <v/>
      </c>
      <c r="N100" s="57" t="str">
        <f t="shared" si="3"/>
        <v/>
      </c>
      <c r="O100" s="58" t="str">
        <f t="shared" si="88"/>
        <v/>
      </c>
      <c r="P100" s="59" t="str">
        <f t="shared" si="5"/>
        <v/>
      </c>
      <c r="Q100" s="60" t="str">
        <f t="shared" si="89"/>
        <v/>
      </c>
      <c r="R100" s="61" t="str">
        <f t="shared" si="164"/>
        <v/>
      </c>
      <c r="S100" s="56" t="str">
        <f t="shared" si="90"/>
        <v/>
      </c>
      <c r="T100" s="62" t="str">
        <f t="shared" si="91"/>
        <v/>
      </c>
      <c r="U100" s="63" t="str">
        <f t="shared" si="9"/>
        <v/>
      </c>
      <c r="V100" s="64" t="str">
        <f t="shared" si="92"/>
        <v/>
      </c>
      <c r="W100" s="65" t="str">
        <f t="shared" si="11"/>
        <v/>
      </c>
      <c r="X100" s="64" t="str">
        <f t="shared" si="93"/>
        <v/>
      </c>
      <c r="Y100" s="64" t="str">
        <f t="shared" si="94"/>
        <v/>
      </c>
      <c r="Z100" s="56" t="str">
        <f t="shared" si="95"/>
        <v/>
      </c>
      <c r="AA100" s="66" t="str">
        <f t="shared" si="96"/>
        <v/>
      </c>
      <c r="AB100" s="57" t="str">
        <f t="shared" si="16"/>
        <v/>
      </c>
      <c r="AC100" s="67" t="str">
        <f t="shared" si="97"/>
        <v/>
      </c>
      <c r="AD100" s="59" t="str">
        <f t="shared" si="98"/>
        <v/>
      </c>
      <c r="AE100" s="68" t="str">
        <f t="shared" si="99"/>
        <v/>
      </c>
      <c r="AF100" s="61" t="str">
        <f t="shared" si="100"/>
        <v/>
      </c>
      <c r="AG100" s="61" t="str">
        <f t="shared" si="101"/>
        <v/>
      </c>
      <c r="AH100" s="69" t="str">
        <f t="shared" si="102"/>
        <v/>
      </c>
      <c r="AI100" s="70" t="str">
        <f t="shared" si="23"/>
        <v/>
      </c>
      <c r="AJ100" s="64" t="str">
        <f t="shared" si="103"/>
        <v/>
      </c>
      <c r="AK100" s="64" t="str">
        <f t="shared" si="104"/>
        <v/>
      </c>
      <c r="AL100" s="64" t="str">
        <f t="shared" si="105"/>
        <v/>
      </c>
      <c r="AM100" s="64" t="str">
        <f t="shared" si="106"/>
        <v/>
      </c>
      <c r="AN100" s="64" t="str">
        <f t="shared" si="107"/>
        <v/>
      </c>
    </row>
    <row r="101" spans="1:40" ht="25.5" hidden="1" outlineLevel="1" thickTop="1" thickBot="1" x14ac:dyDescent="0.4">
      <c r="C101" s="113"/>
      <c r="D101" s="112"/>
      <c r="E101" s="52"/>
      <c r="F101" s="53"/>
      <c r="G101" s="53"/>
      <c r="H101" s="52"/>
      <c r="I101" s="52"/>
      <c r="J101" s="54"/>
      <c r="K101" s="54"/>
      <c r="L101" s="55" t="str">
        <f>IF(C101="","",_xlfn.CONCAT("            { line: ","""",C101,", ",M101:AN101,""", sC: ","""",B101,"""},"))</f>
        <v/>
      </c>
      <c r="M101" s="56" t="str">
        <f t="shared" si="87"/>
        <v/>
      </c>
      <c r="N101" s="57" t="str">
        <f t="shared" si="3"/>
        <v/>
      </c>
      <c r="O101" s="58" t="str">
        <f t="shared" si="88"/>
        <v/>
      </c>
      <c r="P101" s="59" t="str">
        <f t="shared" si="5"/>
        <v/>
      </c>
      <c r="Q101" s="60" t="str">
        <f t="shared" si="89"/>
        <v/>
      </c>
      <c r="R101" s="61" t="str">
        <f t="shared" si="164"/>
        <v/>
      </c>
      <c r="S101" s="56" t="str">
        <f t="shared" si="90"/>
        <v/>
      </c>
      <c r="T101" s="62" t="str">
        <f t="shared" si="91"/>
        <v/>
      </c>
      <c r="U101" s="63" t="str">
        <f t="shared" si="9"/>
        <v/>
      </c>
      <c r="V101" s="64" t="str">
        <f t="shared" si="92"/>
        <v/>
      </c>
      <c r="W101" s="65" t="str">
        <f t="shared" si="11"/>
        <v/>
      </c>
      <c r="X101" s="64" t="str">
        <f t="shared" si="93"/>
        <v/>
      </c>
      <c r="Y101" s="64" t="str">
        <f t="shared" si="94"/>
        <v/>
      </c>
      <c r="Z101" s="56" t="str">
        <f t="shared" si="95"/>
        <v/>
      </c>
      <c r="AA101" s="66" t="str">
        <f t="shared" si="96"/>
        <v/>
      </c>
      <c r="AB101" s="57" t="str">
        <f t="shared" si="16"/>
        <v/>
      </c>
      <c r="AC101" s="67" t="str">
        <f t="shared" si="97"/>
        <v/>
      </c>
      <c r="AD101" s="59" t="str">
        <f t="shared" si="98"/>
        <v/>
      </c>
      <c r="AE101" s="68" t="str">
        <f t="shared" si="99"/>
        <v/>
      </c>
      <c r="AF101" s="61" t="str">
        <f t="shared" si="100"/>
        <v/>
      </c>
      <c r="AG101" s="61" t="str">
        <f t="shared" si="101"/>
        <v/>
      </c>
      <c r="AH101" s="69" t="str">
        <f t="shared" si="102"/>
        <v/>
      </c>
      <c r="AI101" s="70" t="str">
        <f t="shared" si="23"/>
        <v/>
      </c>
      <c r="AJ101" s="64" t="str">
        <f t="shared" si="103"/>
        <v/>
      </c>
      <c r="AK101" s="64" t="str">
        <f t="shared" si="104"/>
        <v/>
      </c>
      <c r="AL101" s="64" t="str">
        <f t="shared" si="105"/>
        <v/>
      </c>
      <c r="AM101" s="64" t="str">
        <f t="shared" si="106"/>
        <v/>
      </c>
      <c r="AN101" s="64" t="str">
        <f t="shared" si="107"/>
        <v/>
      </c>
    </row>
    <row r="102" spans="1:40" ht="25.5" hidden="1" outlineLevel="1" thickTop="1" thickBot="1" x14ac:dyDescent="0.4">
      <c r="C102" s="113"/>
      <c r="D102" s="112"/>
      <c r="E102" s="52"/>
      <c r="F102" s="53"/>
      <c r="G102" s="53"/>
      <c r="H102" s="52"/>
      <c r="I102" s="52"/>
      <c r="J102" s="54"/>
      <c r="K102" s="54"/>
      <c r="L102" s="55" t="str">
        <f t="shared" ref="L102" si="165">IF(C102="","",_xlfn.CONCAT("            { line: ","""",C102,", ",M102:AN102,""", sC: ","""",B102,"""},"))</f>
        <v/>
      </c>
      <c r="M102" s="56" t="str">
        <f t="shared" ref="M102" si="166">IF(N102="","","(")</f>
        <v/>
      </c>
      <c r="N102" s="57" t="str">
        <f t="shared" ref="N102" si="167">IF(D102="","",D102)</f>
        <v/>
      </c>
      <c r="O102" s="58" t="str">
        <f t="shared" ref="O102" si="168">IF(N102="","",",")</f>
        <v/>
      </c>
      <c r="P102" s="59" t="str">
        <f t="shared" ref="P102" si="169">IF(E102="","",E102)</f>
        <v/>
      </c>
      <c r="Q102" s="60" t="str">
        <f t="shared" ref="Q102" si="170">IF(N102="","",",")</f>
        <v/>
      </c>
      <c r="R102" s="61" t="str">
        <f t="shared" si="164"/>
        <v/>
      </c>
      <c r="S102" s="56" t="str">
        <f t="shared" ref="S102" si="171">IF(N102="","",")")</f>
        <v/>
      </c>
      <c r="T102" s="62" t="str">
        <f t="shared" ref="T102" si="172">IF(U102="","","(")</f>
        <v/>
      </c>
      <c r="U102" s="63" t="str">
        <f t="shared" ref="U102" si="173">IF(F102="","",F102)</f>
        <v/>
      </c>
      <c r="V102" s="64" t="str">
        <f t="shared" ref="V102" si="174">IF(U102="","",",")</f>
        <v/>
      </c>
      <c r="W102" s="65" t="str">
        <f t="shared" ref="W102" si="175">IF(G102="","",G102)</f>
        <v/>
      </c>
      <c r="X102" s="64" t="str">
        <f t="shared" ref="X102" si="176">IF(U102="","",",")</f>
        <v/>
      </c>
      <c r="Y102" s="64" t="str">
        <f t="shared" ref="Y102" si="177">IF(U102="","",250)</f>
        <v/>
      </c>
      <c r="Z102" s="56" t="str">
        <f t="shared" ref="Z102" si="178">IF(U102="","",")")</f>
        <v/>
      </c>
      <c r="AA102" s="66" t="str">
        <f t="shared" ref="AA102" si="179">IF(AB102="","","(")</f>
        <v/>
      </c>
      <c r="AB102" s="57" t="str">
        <f t="shared" ref="AB102" si="180">IF(H102="","",H102)</f>
        <v/>
      </c>
      <c r="AC102" s="67" t="str">
        <f t="shared" ref="AC102" si="181">IF(AB102="","",",")</f>
        <v/>
      </c>
      <c r="AD102" s="59" t="str">
        <f t="shared" si="98"/>
        <v/>
      </c>
      <c r="AE102" s="68" t="str">
        <f t="shared" ref="AE102" si="182">IF(AB102="","",",")</f>
        <v/>
      </c>
      <c r="AF102" s="61" t="str">
        <f t="shared" ref="AF102" si="183">IF(AB102="","",350)</f>
        <v/>
      </c>
      <c r="AG102" s="61" t="str">
        <f t="shared" ref="AG102" si="184">IF(AB102="","",")")</f>
        <v/>
      </c>
      <c r="AH102" s="69" t="str">
        <f t="shared" ref="AH102" si="185">IF(AI102="","","(")</f>
        <v/>
      </c>
      <c r="AI102" s="70" t="str">
        <f t="shared" ref="AI102" si="186">IF(J102="","",J102)</f>
        <v/>
      </c>
      <c r="AJ102" s="64" t="str">
        <f t="shared" ref="AJ102" si="187">IF(AI102="","",",")</f>
        <v/>
      </c>
      <c r="AK102" s="64" t="str">
        <f t="shared" si="104"/>
        <v/>
      </c>
      <c r="AL102" s="64" t="str">
        <f t="shared" ref="AL102" si="188">IF(AI102="","",",")</f>
        <v/>
      </c>
      <c r="AM102" s="64" t="str">
        <f t="shared" ref="AM102" si="189">IF(AI102="","",450)</f>
        <v/>
      </c>
      <c r="AN102" s="64" t="str">
        <f t="shared" ref="AN102" si="190">IF(AI102="","",")")</f>
        <v/>
      </c>
    </row>
    <row r="103" spans="1:40" ht="24" customHeight="1" collapsed="1" thickTop="1" x14ac:dyDescent="0.4">
      <c r="A103" s="95"/>
      <c r="B103" s="95"/>
      <c r="C103" s="95"/>
      <c r="D103" s="95"/>
      <c r="E103" s="95"/>
      <c r="F103" s="95"/>
      <c r="G103" s="95"/>
      <c r="H103" s="95"/>
      <c r="I103" s="95"/>
      <c r="J103" s="95"/>
      <c r="K103" s="95"/>
      <c r="L103" s="99" t="str">
        <f ca="1">_xlfn.CONCAT("]}, // ULTIMA LINEA DEL CANTO: ",L1)</f>
        <v>]}, // ULTIMA LINEA DEL CANTO: SALVE, REINA DE LOS CIELOS</v>
      </c>
      <c r="M103" s="95"/>
    </row>
    <row r="104" spans="1:40" ht="20.25" x14ac:dyDescent="0.25">
      <c r="L104" s="100" t="s">
        <v>1008</v>
      </c>
      <c r="M104" s="101"/>
    </row>
    <row r="105" spans="1:40" ht="15.75" outlineLevel="1" thickBot="1" x14ac:dyDescent="0.3">
      <c r="M105" s="101"/>
    </row>
    <row r="106" spans="1:40" ht="27.75" outlineLevel="1"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ref="R106:R115" si="191">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5.5" outlineLevel="1" thickTop="1" thickBot="1" x14ac:dyDescent="0.4">
      <c r="C107" s="79" t="s">
        <v>995</v>
      </c>
      <c r="D107" s="80"/>
      <c r="E107" s="80"/>
      <c r="F107" s="80"/>
      <c r="G107" s="80"/>
      <c r="H107" s="80"/>
      <c r="I107" s="80"/>
      <c r="J107" s="80"/>
      <c r="K107" s="80"/>
      <c r="L107" s="81" t="s">
        <v>996</v>
      </c>
      <c r="M107" s="56" t="str">
        <f t="shared" ref="M107:M114" si="192">IF(N107="","","(")</f>
        <v/>
      </c>
      <c r="N107" s="57" t="str">
        <f t="shared" ref="N107:N114" si="193">IF(D107="","",D107)</f>
        <v/>
      </c>
      <c r="O107" s="58" t="str">
        <f t="shared" ref="O107:O114" si="194">IF(N107="","",",")</f>
        <v/>
      </c>
      <c r="P107" s="59" t="str">
        <f t="shared" ref="P107:P114" si="195">IF(E107="","",E107)</f>
        <v/>
      </c>
      <c r="Q107" s="60" t="str">
        <f t="shared" ref="Q107:Q114" si="196">IF(N107="","",",")</f>
        <v/>
      </c>
      <c r="R107" s="61" t="str">
        <f t="shared" si="191"/>
        <v/>
      </c>
      <c r="S107" s="56" t="str">
        <f t="shared" ref="S107:S114" si="197">IF(N107="","",")")</f>
        <v/>
      </c>
      <c r="T107" s="62" t="str">
        <f t="shared" ref="T107:T114" si="198">IF(U107="","","(")</f>
        <v/>
      </c>
      <c r="U107" s="63" t="str">
        <f t="shared" ref="U107:U114" si="199">IF(F107="","",F107)</f>
        <v/>
      </c>
      <c r="V107" s="64" t="str">
        <f t="shared" ref="V107:V114" si="200">IF(U107="","",",")</f>
        <v/>
      </c>
      <c r="W107" s="65" t="str">
        <f t="shared" ref="W107:W114" si="201">IF(G107="","",G107)</f>
        <v/>
      </c>
      <c r="X107" s="64" t="str">
        <f t="shared" ref="X107:X114" si="202">IF(U107="","",",")</f>
        <v/>
      </c>
      <c r="Y107" s="64" t="str">
        <f t="shared" ref="Y107:Y114" si="203">IF(U107="","",250)</f>
        <v/>
      </c>
      <c r="Z107" s="56" t="str">
        <f t="shared" ref="Z107:Z114" si="204">IF(U107="","",")")</f>
        <v/>
      </c>
      <c r="AA107" s="66" t="str">
        <f t="shared" ref="AA107:AA114" si="205">IF(AB107="","","(")</f>
        <v/>
      </c>
      <c r="AB107" s="57" t="str">
        <f t="shared" ref="AB107:AB114" si="206">IF(H107="","",H107)</f>
        <v/>
      </c>
      <c r="AC107" s="67" t="str">
        <f t="shared" ref="AC107:AC114" si="207">IF(AB107="","",",")</f>
        <v/>
      </c>
      <c r="AD107" s="59" t="str">
        <f t="shared" ref="AD107:AD114" si="208">IF(I107="","",I107)</f>
        <v/>
      </c>
      <c r="AE107" s="68" t="str">
        <f t="shared" ref="AE107:AE114" si="209">IF(AB107="","",",")</f>
        <v/>
      </c>
      <c r="AF107" s="61" t="str">
        <f t="shared" ref="AF107:AF114" si="210">IF(AB107="","",350)</f>
        <v/>
      </c>
      <c r="AG107" s="61" t="str">
        <f t="shared" ref="AG107:AG114" si="211">IF(AB107="","",")")</f>
        <v/>
      </c>
      <c r="AH107" s="69" t="str">
        <f t="shared" ref="AH107:AH114" si="212">IF(AI107="","","(")</f>
        <v/>
      </c>
      <c r="AI107" s="70" t="str">
        <f t="shared" ref="AI107:AI114" si="213">IF(J107="","",J107)</f>
        <v/>
      </c>
      <c r="AJ107" s="64" t="str">
        <f t="shared" ref="AJ107:AJ114" si="214">IF(AI107="","",",")</f>
        <v/>
      </c>
      <c r="AK107" s="64" t="str">
        <f t="shared" ref="AK107:AK114" si="215">IF(K107="","",K107)</f>
        <v/>
      </c>
      <c r="AL107" s="64" t="str">
        <f t="shared" ref="AL107:AL114" si="216">IF(AI107="","",",")</f>
        <v/>
      </c>
      <c r="AM107" s="64" t="str">
        <f t="shared" ref="AM107:AM114" si="217">IF(AI107="","",450)</f>
        <v/>
      </c>
      <c r="AN107" s="64" t="str">
        <f t="shared" ref="AN107:AN114" si="218">IF(AI107="","",")")</f>
        <v/>
      </c>
    </row>
    <row r="108" spans="1:40" ht="25.5" outlineLevel="1" thickTop="1" thickBot="1" x14ac:dyDescent="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92"/>
        <v/>
      </c>
      <c r="N108" s="57" t="str">
        <f t="shared" si="193"/>
        <v/>
      </c>
      <c r="O108" s="58" t="str">
        <f t="shared" si="194"/>
        <v/>
      </c>
      <c r="P108" s="59" t="str">
        <f t="shared" si="195"/>
        <v/>
      </c>
      <c r="Q108" s="60" t="str">
        <f t="shared" si="196"/>
        <v/>
      </c>
      <c r="R108" s="61" t="str">
        <f t="shared" si="191"/>
        <v/>
      </c>
      <c r="S108" s="56" t="str">
        <f t="shared" si="197"/>
        <v/>
      </c>
      <c r="T108" s="62" t="str">
        <f t="shared" si="198"/>
        <v/>
      </c>
      <c r="U108" s="63" t="str">
        <f t="shared" si="199"/>
        <v/>
      </c>
      <c r="V108" s="64" t="str">
        <f t="shared" si="200"/>
        <v/>
      </c>
      <c r="W108" s="65" t="str">
        <f t="shared" si="201"/>
        <v/>
      </c>
      <c r="X108" s="64" t="str">
        <f t="shared" si="202"/>
        <v/>
      </c>
      <c r="Y108" s="64" t="str">
        <f t="shared" si="203"/>
        <v/>
      </c>
      <c r="Z108" s="56" t="str">
        <f t="shared" si="204"/>
        <v/>
      </c>
      <c r="AA108" s="66" t="str">
        <f t="shared" si="205"/>
        <v/>
      </c>
      <c r="AB108" s="57" t="str">
        <f t="shared" si="206"/>
        <v/>
      </c>
      <c r="AC108" s="67" t="str">
        <f t="shared" si="207"/>
        <v/>
      </c>
      <c r="AD108" s="59" t="str">
        <f t="shared" si="208"/>
        <v/>
      </c>
      <c r="AE108" s="68" t="str">
        <f t="shared" si="209"/>
        <v/>
      </c>
      <c r="AF108" s="61" t="str">
        <f t="shared" si="210"/>
        <v/>
      </c>
      <c r="AG108" s="61" t="str">
        <f t="shared" si="211"/>
        <v/>
      </c>
      <c r="AH108" s="69" t="str">
        <f t="shared" si="212"/>
        <v/>
      </c>
      <c r="AI108" s="70" t="str">
        <f t="shared" si="213"/>
        <v/>
      </c>
      <c r="AJ108" s="64" t="str">
        <f t="shared" si="214"/>
        <v/>
      </c>
      <c r="AK108" s="64" t="str">
        <f t="shared" si="215"/>
        <v/>
      </c>
      <c r="AL108" s="64" t="str">
        <f t="shared" si="216"/>
        <v/>
      </c>
      <c r="AM108" s="64" t="str">
        <f t="shared" si="217"/>
        <v/>
      </c>
      <c r="AN108" s="64" t="str">
        <f t="shared" si="218"/>
        <v/>
      </c>
    </row>
    <row r="109" spans="1:40" ht="25.5" outlineLevel="1" thickTop="1" thickBot="1" x14ac:dyDescent="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92"/>
        <v/>
      </c>
      <c r="N109" s="57" t="str">
        <f t="shared" si="193"/>
        <v/>
      </c>
      <c r="O109" s="58" t="str">
        <f t="shared" si="194"/>
        <v/>
      </c>
      <c r="P109" s="59" t="str">
        <f t="shared" si="195"/>
        <v/>
      </c>
      <c r="Q109" s="60" t="str">
        <f t="shared" si="196"/>
        <v/>
      </c>
      <c r="R109" s="61" t="str">
        <f t="shared" si="191"/>
        <v/>
      </c>
      <c r="S109" s="56" t="str">
        <f t="shared" si="197"/>
        <v/>
      </c>
      <c r="T109" s="62" t="str">
        <f t="shared" si="198"/>
        <v/>
      </c>
      <c r="U109" s="63" t="str">
        <f t="shared" si="199"/>
        <v/>
      </c>
      <c r="V109" s="64" t="str">
        <f t="shared" si="200"/>
        <v/>
      </c>
      <c r="W109" s="65" t="str">
        <f t="shared" si="201"/>
        <v/>
      </c>
      <c r="X109" s="64" t="str">
        <f t="shared" si="202"/>
        <v/>
      </c>
      <c r="Y109" s="64" t="str">
        <f t="shared" si="203"/>
        <v/>
      </c>
      <c r="Z109" s="56" t="str">
        <f t="shared" si="204"/>
        <v/>
      </c>
      <c r="AA109" s="66" t="str">
        <f t="shared" si="205"/>
        <v/>
      </c>
      <c r="AB109" s="57" t="str">
        <f t="shared" si="206"/>
        <v/>
      </c>
      <c r="AC109" s="67" t="str">
        <f t="shared" si="207"/>
        <v/>
      </c>
      <c r="AD109" s="59" t="str">
        <f t="shared" si="208"/>
        <v/>
      </c>
      <c r="AE109" s="68" t="str">
        <f t="shared" si="209"/>
        <v/>
      </c>
      <c r="AF109" s="61" t="str">
        <f t="shared" si="210"/>
        <v/>
      </c>
      <c r="AG109" s="61" t="str">
        <f t="shared" si="211"/>
        <v/>
      </c>
      <c r="AH109" s="69" t="str">
        <f t="shared" si="212"/>
        <v/>
      </c>
      <c r="AI109" s="70" t="str">
        <f t="shared" si="213"/>
        <v/>
      </c>
      <c r="AJ109" s="64" t="str">
        <f t="shared" si="214"/>
        <v/>
      </c>
      <c r="AK109" s="64" t="str">
        <f t="shared" si="215"/>
        <v/>
      </c>
      <c r="AL109" s="64" t="str">
        <f t="shared" si="216"/>
        <v/>
      </c>
      <c r="AM109" s="64" t="str">
        <f t="shared" si="217"/>
        <v/>
      </c>
      <c r="AN109" s="64" t="str">
        <f t="shared" si="218"/>
        <v/>
      </c>
    </row>
    <row r="110" spans="1:40" ht="25.5" outlineLevel="1" thickTop="1" thickBot="1" x14ac:dyDescent="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92"/>
        <v/>
      </c>
      <c r="N110" s="57" t="str">
        <f t="shared" si="193"/>
        <v/>
      </c>
      <c r="O110" s="58" t="str">
        <f t="shared" si="194"/>
        <v/>
      </c>
      <c r="P110" s="59" t="str">
        <f t="shared" si="195"/>
        <v/>
      </c>
      <c r="Q110" s="60" t="str">
        <f t="shared" si="196"/>
        <v/>
      </c>
      <c r="R110" s="61" t="str">
        <f t="shared" si="191"/>
        <v/>
      </c>
      <c r="S110" s="56" t="str">
        <f t="shared" si="197"/>
        <v/>
      </c>
      <c r="T110" s="62" t="str">
        <f t="shared" si="198"/>
        <v/>
      </c>
      <c r="U110" s="63" t="str">
        <f t="shared" si="199"/>
        <v/>
      </c>
      <c r="V110" s="64" t="str">
        <f t="shared" si="200"/>
        <v/>
      </c>
      <c r="W110" s="65" t="str">
        <f t="shared" si="201"/>
        <v/>
      </c>
      <c r="X110" s="64" t="str">
        <f t="shared" si="202"/>
        <v/>
      </c>
      <c r="Y110" s="64" t="str">
        <f t="shared" si="203"/>
        <v/>
      </c>
      <c r="Z110" s="56" t="str">
        <f t="shared" si="204"/>
        <v/>
      </c>
      <c r="AA110" s="66" t="str">
        <f t="shared" si="205"/>
        <v/>
      </c>
      <c r="AB110" s="57" t="str">
        <f t="shared" si="206"/>
        <v/>
      </c>
      <c r="AC110" s="67" t="str">
        <f t="shared" si="207"/>
        <v/>
      </c>
      <c r="AD110" s="59" t="str">
        <f t="shared" si="208"/>
        <v/>
      </c>
      <c r="AE110" s="68" t="str">
        <f t="shared" si="209"/>
        <v/>
      </c>
      <c r="AF110" s="61" t="str">
        <f t="shared" si="210"/>
        <v/>
      </c>
      <c r="AG110" s="61" t="str">
        <f t="shared" si="211"/>
        <v/>
      </c>
      <c r="AH110" s="69" t="str">
        <f t="shared" si="212"/>
        <v/>
      </c>
      <c r="AI110" s="70" t="str">
        <f t="shared" si="213"/>
        <v/>
      </c>
      <c r="AJ110" s="64" t="str">
        <f t="shared" si="214"/>
        <v/>
      </c>
      <c r="AK110" s="64" t="str">
        <f t="shared" si="215"/>
        <v/>
      </c>
      <c r="AL110" s="64" t="str">
        <f t="shared" si="216"/>
        <v/>
      </c>
      <c r="AM110" s="64" t="str">
        <f t="shared" si="217"/>
        <v/>
      </c>
      <c r="AN110" s="64" t="str">
        <f t="shared" si="218"/>
        <v/>
      </c>
    </row>
    <row r="111" spans="1:40" ht="25.5" outlineLevel="1" thickTop="1" thickBot="1" x14ac:dyDescent="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92"/>
        <v/>
      </c>
      <c r="N111" s="57" t="str">
        <f t="shared" si="193"/>
        <v/>
      </c>
      <c r="O111" s="58" t="str">
        <f t="shared" si="194"/>
        <v/>
      </c>
      <c r="P111" s="59" t="str">
        <f t="shared" si="195"/>
        <v/>
      </c>
      <c r="Q111" s="60" t="str">
        <f t="shared" si="196"/>
        <v/>
      </c>
      <c r="R111" s="61" t="str">
        <f t="shared" si="191"/>
        <v/>
      </c>
      <c r="S111" s="56" t="str">
        <f t="shared" si="197"/>
        <v/>
      </c>
      <c r="T111" s="62" t="str">
        <f t="shared" si="198"/>
        <v/>
      </c>
      <c r="U111" s="63" t="str">
        <f t="shared" si="199"/>
        <v/>
      </c>
      <c r="V111" s="64" t="str">
        <f t="shared" si="200"/>
        <v/>
      </c>
      <c r="W111" s="65" t="str">
        <f t="shared" si="201"/>
        <v/>
      </c>
      <c r="X111" s="64" t="str">
        <f t="shared" si="202"/>
        <v/>
      </c>
      <c r="Y111" s="64" t="str">
        <f t="shared" si="203"/>
        <v/>
      </c>
      <c r="Z111" s="56" t="str">
        <f t="shared" si="204"/>
        <v/>
      </c>
      <c r="AA111" s="66" t="str">
        <f t="shared" si="205"/>
        <v/>
      </c>
      <c r="AB111" s="57" t="str">
        <f t="shared" si="206"/>
        <v/>
      </c>
      <c r="AC111" s="67" t="str">
        <f t="shared" si="207"/>
        <v/>
      </c>
      <c r="AD111" s="59" t="str">
        <f t="shared" si="208"/>
        <v/>
      </c>
      <c r="AE111" s="68" t="str">
        <f t="shared" si="209"/>
        <v/>
      </c>
      <c r="AF111" s="61" t="str">
        <f t="shared" si="210"/>
        <v/>
      </c>
      <c r="AG111" s="61" t="str">
        <f t="shared" si="211"/>
        <v/>
      </c>
      <c r="AH111" s="69" t="str">
        <f t="shared" si="212"/>
        <v/>
      </c>
      <c r="AI111" s="70" t="str">
        <f t="shared" si="213"/>
        <v/>
      </c>
      <c r="AJ111" s="64" t="str">
        <f t="shared" si="214"/>
        <v/>
      </c>
      <c r="AK111" s="64" t="str">
        <f t="shared" si="215"/>
        <v/>
      </c>
      <c r="AL111" s="64" t="str">
        <f t="shared" si="216"/>
        <v/>
      </c>
      <c r="AM111" s="64" t="str">
        <f t="shared" si="217"/>
        <v/>
      </c>
      <c r="AN111" s="64" t="str">
        <f t="shared" si="218"/>
        <v/>
      </c>
    </row>
    <row r="112" spans="1:40" ht="25.5" outlineLevel="1" thickTop="1" thickBot="1" x14ac:dyDescent="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92"/>
        <v/>
      </c>
      <c r="N112" s="57" t="str">
        <f t="shared" si="193"/>
        <v/>
      </c>
      <c r="O112" s="58" t="str">
        <f t="shared" si="194"/>
        <v/>
      </c>
      <c r="P112" s="59" t="str">
        <f t="shared" si="195"/>
        <v/>
      </c>
      <c r="Q112" s="60" t="str">
        <f t="shared" si="196"/>
        <v/>
      </c>
      <c r="R112" s="61" t="str">
        <f t="shared" si="191"/>
        <v/>
      </c>
      <c r="S112" s="56" t="str">
        <f t="shared" si="197"/>
        <v/>
      </c>
      <c r="T112" s="62" t="str">
        <f t="shared" si="198"/>
        <v/>
      </c>
      <c r="U112" s="63" t="str">
        <f t="shared" si="199"/>
        <v/>
      </c>
      <c r="V112" s="64" t="str">
        <f t="shared" si="200"/>
        <v/>
      </c>
      <c r="W112" s="65" t="str">
        <f t="shared" si="201"/>
        <v/>
      </c>
      <c r="X112" s="64" t="str">
        <f t="shared" si="202"/>
        <v/>
      </c>
      <c r="Y112" s="64" t="str">
        <f t="shared" si="203"/>
        <v/>
      </c>
      <c r="Z112" s="56" t="str">
        <f t="shared" si="204"/>
        <v/>
      </c>
      <c r="AA112" s="66" t="str">
        <f t="shared" si="205"/>
        <v/>
      </c>
      <c r="AB112" s="57" t="str">
        <f t="shared" si="206"/>
        <v/>
      </c>
      <c r="AC112" s="67" t="str">
        <f t="shared" si="207"/>
        <v/>
      </c>
      <c r="AD112" s="59" t="str">
        <f t="shared" si="208"/>
        <v/>
      </c>
      <c r="AE112" s="68" t="str">
        <f t="shared" si="209"/>
        <v/>
      </c>
      <c r="AF112" s="61" t="str">
        <f t="shared" si="210"/>
        <v/>
      </c>
      <c r="AG112" s="61" t="str">
        <f t="shared" si="211"/>
        <v/>
      </c>
      <c r="AH112" s="69" t="str">
        <f t="shared" si="212"/>
        <v/>
      </c>
      <c r="AI112" s="70" t="str">
        <f t="shared" si="213"/>
        <v/>
      </c>
      <c r="AJ112" s="64" t="str">
        <f t="shared" si="214"/>
        <v/>
      </c>
      <c r="AK112" s="64" t="str">
        <f t="shared" si="215"/>
        <v/>
      </c>
      <c r="AL112" s="64" t="str">
        <f t="shared" si="216"/>
        <v/>
      </c>
      <c r="AM112" s="64" t="str">
        <f t="shared" si="217"/>
        <v/>
      </c>
      <c r="AN112" s="64" t="str">
        <f t="shared" si="218"/>
        <v/>
      </c>
    </row>
    <row r="113" spans="1:40" ht="25.5" outlineLevel="1" thickTop="1" thickBot="1" x14ac:dyDescent="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92"/>
        <v/>
      </c>
      <c r="N113" s="57" t="str">
        <f t="shared" si="193"/>
        <v/>
      </c>
      <c r="O113" s="58" t="str">
        <f t="shared" si="194"/>
        <v/>
      </c>
      <c r="P113" s="59" t="str">
        <f t="shared" si="195"/>
        <v/>
      </c>
      <c r="Q113" s="60" t="str">
        <f t="shared" si="196"/>
        <v/>
      </c>
      <c r="R113" s="61" t="str">
        <f t="shared" si="191"/>
        <v/>
      </c>
      <c r="S113" s="56" t="str">
        <f t="shared" si="197"/>
        <v/>
      </c>
      <c r="T113" s="62" t="str">
        <f t="shared" si="198"/>
        <v/>
      </c>
      <c r="U113" s="63" t="str">
        <f t="shared" si="199"/>
        <v/>
      </c>
      <c r="V113" s="64" t="str">
        <f t="shared" si="200"/>
        <v/>
      </c>
      <c r="W113" s="65" t="str">
        <f t="shared" si="201"/>
        <v/>
      </c>
      <c r="X113" s="64" t="str">
        <f t="shared" si="202"/>
        <v/>
      </c>
      <c r="Y113" s="64" t="str">
        <f t="shared" si="203"/>
        <v/>
      </c>
      <c r="Z113" s="56" t="str">
        <f t="shared" si="204"/>
        <v/>
      </c>
      <c r="AA113" s="66" t="str">
        <f t="shared" si="205"/>
        <v/>
      </c>
      <c r="AB113" s="57" t="str">
        <f t="shared" si="206"/>
        <v/>
      </c>
      <c r="AC113" s="67" t="str">
        <f t="shared" si="207"/>
        <v/>
      </c>
      <c r="AD113" s="59" t="str">
        <f t="shared" si="208"/>
        <v/>
      </c>
      <c r="AE113" s="68" t="str">
        <f t="shared" si="209"/>
        <v/>
      </c>
      <c r="AF113" s="61" t="str">
        <f t="shared" si="210"/>
        <v/>
      </c>
      <c r="AG113" s="61" t="str">
        <f t="shared" si="211"/>
        <v/>
      </c>
      <c r="AH113" s="69" t="str">
        <f t="shared" si="212"/>
        <v/>
      </c>
      <c r="AI113" s="70" t="str">
        <f t="shared" si="213"/>
        <v/>
      </c>
      <c r="AJ113" s="64" t="str">
        <f t="shared" si="214"/>
        <v/>
      </c>
      <c r="AK113" s="64" t="str">
        <f t="shared" si="215"/>
        <v/>
      </c>
      <c r="AL113" s="64" t="str">
        <f t="shared" si="216"/>
        <v/>
      </c>
      <c r="AM113" s="64" t="str">
        <f t="shared" si="217"/>
        <v/>
      </c>
      <c r="AN113" s="64" t="str">
        <f t="shared" si="218"/>
        <v/>
      </c>
    </row>
    <row r="114" spans="1:40" ht="25.5" outlineLevel="1" thickTop="1" thickBot="1" x14ac:dyDescent="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92"/>
        <v/>
      </c>
      <c r="N114" s="57" t="str">
        <f t="shared" si="193"/>
        <v/>
      </c>
      <c r="O114" s="58" t="str">
        <f t="shared" si="194"/>
        <v/>
      </c>
      <c r="P114" s="59" t="str">
        <f t="shared" si="195"/>
        <v/>
      </c>
      <c r="Q114" s="60" t="str">
        <f t="shared" si="196"/>
        <v/>
      </c>
      <c r="R114" s="61" t="str">
        <f t="shared" si="191"/>
        <v/>
      </c>
      <c r="S114" s="56" t="str">
        <f t="shared" si="197"/>
        <v/>
      </c>
      <c r="T114" s="62" t="str">
        <f t="shared" si="198"/>
        <v/>
      </c>
      <c r="U114" s="63" t="str">
        <f t="shared" si="199"/>
        <v/>
      </c>
      <c r="V114" s="64" t="str">
        <f t="shared" si="200"/>
        <v/>
      </c>
      <c r="W114" s="65" t="str">
        <f t="shared" si="201"/>
        <v/>
      </c>
      <c r="X114" s="64" t="str">
        <f t="shared" si="202"/>
        <v/>
      </c>
      <c r="Y114" s="64" t="str">
        <f t="shared" si="203"/>
        <v/>
      </c>
      <c r="Z114" s="56" t="str">
        <f t="shared" si="204"/>
        <v/>
      </c>
      <c r="AA114" s="66" t="str">
        <f t="shared" si="205"/>
        <v/>
      </c>
      <c r="AB114" s="57" t="str">
        <f t="shared" si="206"/>
        <v/>
      </c>
      <c r="AC114" s="67" t="str">
        <f t="shared" si="207"/>
        <v/>
      </c>
      <c r="AD114" s="59" t="str">
        <f t="shared" si="208"/>
        <v/>
      </c>
      <c r="AE114" s="68" t="str">
        <f t="shared" si="209"/>
        <v/>
      </c>
      <c r="AF114" s="61" t="str">
        <f t="shared" si="210"/>
        <v/>
      </c>
      <c r="AG114" s="61" t="str">
        <f t="shared" si="211"/>
        <v/>
      </c>
      <c r="AH114" s="69" t="str">
        <f t="shared" si="212"/>
        <v/>
      </c>
      <c r="AI114" s="70" t="str">
        <f t="shared" si="213"/>
        <v/>
      </c>
      <c r="AJ114" s="64" t="str">
        <f t="shared" si="214"/>
        <v/>
      </c>
      <c r="AK114" s="64" t="str">
        <f t="shared" si="215"/>
        <v/>
      </c>
      <c r="AL114" s="64" t="str">
        <f t="shared" si="216"/>
        <v/>
      </c>
      <c r="AM114" s="64" t="str">
        <f t="shared" si="217"/>
        <v/>
      </c>
      <c r="AN114" s="64" t="str">
        <f t="shared" si="218"/>
        <v/>
      </c>
    </row>
    <row r="115" spans="1:40" ht="27.75" outlineLevel="1" thickTop="1" thickBot="1" x14ac:dyDescent="0.4">
      <c r="A115" s="73"/>
      <c r="B115" s="73"/>
      <c r="C115" s="73"/>
      <c r="D115" s="74"/>
      <c r="E115" s="74"/>
      <c r="F115" s="74"/>
      <c r="G115" s="74"/>
      <c r="H115" s="74"/>
      <c r="I115" s="74"/>
      <c r="J115" s="74"/>
      <c r="K115" s="74"/>
      <c r="L115" s="75" t="s">
        <v>993</v>
      </c>
      <c r="M115" s="56"/>
      <c r="N115" s="57"/>
      <c r="O115" s="58"/>
      <c r="P115" s="59"/>
      <c r="Q115" s="60"/>
      <c r="R115" s="61" t="str">
        <f t="shared" si="191"/>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145</v>
      </c>
      <c r="E1" s="40"/>
      <c r="F1" s="40"/>
      <c r="G1" s="40"/>
      <c r="H1" s="40"/>
      <c r="I1" s="40"/>
      <c r="J1" s="40"/>
      <c r="K1" s="40"/>
      <c r="L1" s="41" t="str">
        <f ca="1">UPPER(VLOOKUP(C1,Table223[],3,FALSE))</f>
        <v>SE ENCONTRARON DOS ÁNGELES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 ENCONTRARON DOS ÁNGELES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seencontrarondosangeles</v>
      </c>
      <c r="L7" s="48" t="str">
        <f ca="1">_xlfn.CONCAT("        id: ","""",C7,"""",",")</f>
        <v xml:space="preserve">        id: "seencontrarondosangeles",</v>
      </c>
    </row>
    <row r="8" spans="2:32" ht="23.25" x14ac:dyDescent="0.25">
      <c r="C8" t="str">
        <f ca="1">PROPER(L1)</f>
        <v>Se Encontraron Dos Ángeles</v>
      </c>
      <c r="L8" s="48" t="str">
        <f ca="1">_xlfn.CONCAT("        tt: ","""",C8,"""",",")</f>
        <v xml:space="preserve">        tt: "Se Encontraron Dos Ángeles",</v>
      </c>
    </row>
    <row r="9" spans="2:32" ht="23.25" x14ac:dyDescent="0.25">
      <c r="C9" t="str">
        <f ca="1">PROPER(L1)</f>
        <v>Se Encontraron Dos Ángeles</v>
      </c>
      <c r="L9" s="48" t="str">
        <f ca="1">_xlfn.CONCAT("        title: ","""",C9,"""",",")</f>
        <v xml:space="preserve">        title: "Se Encontraron Dos Ángeles",</v>
      </c>
    </row>
    <row r="10" spans="2:32" ht="23.25" x14ac:dyDescent="0.25">
      <c r="C10" t="str">
        <f ca="1">VLOOKUP(C1,Table223[],4,FALSE)</f>
        <v>Melodía hebraica</v>
      </c>
      <c r="L10" s="48" t="str">
        <f ca="1">_xlfn.CONCAT("        ","subtitle: ","""",C10,"""",",")</f>
        <v xml:space="preserve">        subtitle: "Melodía hebraica",</v>
      </c>
    </row>
    <row r="11" spans="2:32" ht="23.25" x14ac:dyDescent="0.25">
      <c r="C11" t="str">
        <f ca="1">_xlfn.CONCAT("category: [",VLOOKUP(C1,Table223[],16,FALSE),"],")</f>
        <v>category: ["Precatecumenado","Niños","Paz"],</v>
      </c>
      <c r="L11" s="48" t="str">
        <f ca="1">_xlfn.CONCAT("        ",C11)</f>
        <v xml:space="preserve">        category: ["Precatecumenado","Niños","Paz"],</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145</v>
      </c>
      <c r="L16" s="48" t="str">
        <f ca="1">_xlfn.CONCAT("        dbno: ","""",C16,"""",",")</f>
        <v xml:space="preserve">        dbno: "145",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seencontrarondosangeles</v>
      </c>
      <c r="L19" s="48" t="str">
        <f ca="1">_xlfn.CONCAT("        audioSrc: ","""/audio/",C19,".mp3""",",")</f>
        <v xml:space="preserve">        audioSrc: "/audio/seencontrarondosangeles.mp3",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144</v>
      </c>
      <c r="C26" t="str">
        <f ca="1">VLOOKUP(B26,Table4[],13,FALSE)</f>
        <v>"/src/index.html?canto=salvereinadeloscielos"</v>
      </c>
      <c r="L26" s="48" t="str">
        <f ca="1">_xlfn.CONCAT("        ant: ",C26,",")</f>
        <v xml:space="preserve">        ant: "/src/index.html?canto=salvereinadeloscielos",</v>
      </c>
    </row>
    <row r="27" spans="1:40" ht="23.25" x14ac:dyDescent="0.25">
      <c r="B27">
        <f ca="1">+C1+1</f>
        <v>146</v>
      </c>
      <c r="C27" t="str">
        <f ca="1">VLOOKUP(B27,Table4[],13,FALSE)</f>
        <v>"/src/index.html?canto=senorayudameanodudardeti"</v>
      </c>
      <c r="L27" s="48" t="str">
        <f ca="1">_xlfn.CONCAT("        sig: ",C27,",")</f>
        <v xml:space="preserve">        sig: "/src/index.html?canto=senorayudameanodudardeti",</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SE ENCONTRARON DOS ÁNGELES</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code</vt:lpstr>
      <vt:lpstr>Indice</vt:lpstr>
      <vt:lpstr>Index</vt:lpstr>
      <vt:lpstr>Index Web</vt:lpstr>
      <vt:lpstr>cantosJS</vt:lpstr>
      <vt:lpstr>QUÉ AMABLES SON TUS MORADAS (2)</vt:lpstr>
      <vt:lpstr>Find</vt:lpstr>
      <vt:lpstr>html</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2025-09-23T21:59:15Z</dcterms:modified>
</cp:coreProperties>
</file>