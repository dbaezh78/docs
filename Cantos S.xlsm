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9732586-0A26-43AD-BC5A-69C2F1C6864B}" xr6:coauthVersionLast="47" xr6:coauthVersionMax="47" xr10:uidLastSave="{00000000-0000-0000-0000-000000000000}"/>
  <bookViews>
    <workbookView xWindow="-110" yWindow="-110" windowWidth="25820" windowHeight="15500"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RIA, MADRE MÍA (2)" sheetId="64"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7" i="64" l="1"/>
  <c r="AK77" i="64"/>
  <c r="AI77" i="64"/>
  <c r="AN77" i="64" s="1"/>
  <c r="AH77" i="64"/>
  <c r="AD77" i="64"/>
  <c r="AB77" i="64"/>
  <c r="AG77" i="64" s="1"/>
  <c r="AA77" i="64"/>
  <c r="W77" i="64"/>
  <c r="U77" i="64"/>
  <c r="Z77" i="64" s="1"/>
  <c r="T77" i="64"/>
  <c r="P77" i="64"/>
  <c r="N77" i="64"/>
  <c r="R77" i="64" s="1"/>
  <c r="M77" i="64"/>
  <c r="AK76" i="64"/>
  <c r="AI76" i="64"/>
  <c r="AJ76" i="64" s="1"/>
  <c r="AD76" i="64"/>
  <c r="AB76" i="64"/>
  <c r="AG76" i="64" s="1"/>
  <c r="AA76" i="64"/>
  <c r="W76" i="64"/>
  <c r="U76" i="64"/>
  <c r="V76" i="64" s="1"/>
  <c r="T76" i="64"/>
  <c r="P76" i="64"/>
  <c r="N76" i="64"/>
  <c r="S76" i="64" s="1"/>
  <c r="AK75" i="64"/>
  <c r="AI75" i="64"/>
  <c r="AH75" i="64" s="1"/>
  <c r="AD75" i="64"/>
  <c r="AB75" i="64"/>
  <c r="AG75" i="64" s="1"/>
  <c r="W75" i="64"/>
  <c r="U75" i="64"/>
  <c r="Z75" i="64" s="1"/>
  <c r="P75" i="64"/>
  <c r="N75" i="64"/>
  <c r="S75" i="64" s="1"/>
  <c r="M75" i="64"/>
  <c r="R74" i="64"/>
  <c r="AK58" i="64"/>
  <c r="AI58" i="64"/>
  <c r="AJ58" i="64" s="1"/>
  <c r="AH58" i="64"/>
  <c r="AD58" i="64"/>
  <c r="AB58" i="64"/>
  <c r="AG58" i="64" s="1"/>
  <c r="AA58" i="64"/>
  <c r="W58" i="64"/>
  <c r="U58" i="64"/>
  <c r="X58" i="64" s="1"/>
  <c r="T58" i="64"/>
  <c r="P58" i="64"/>
  <c r="N58" i="64"/>
  <c r="Q58" i="64" s="1"/>
  <c r="M58" i="64"/>
  <c r="AK57" i="64"/>
  <c r="AI57" i="64"/>
  <c r="AH57" i="64" s="1"/>
  <c r="AD57" i="64"/>
  <c r="AB57" i="64"/>
  <c r="AC57" i="64" s="1"/>
  <c r="W57" i="64"/>
  <c r="U57" i="64"/>
  <c r="Y57" i="64" s="1"/>
  <c r="T57" i="64"/>
  <c r="P57" i="64"/>
  <c r="N57" i="64"/>
  <c r="O57" i="64" s="1"/>
  <c r="M57" i="64"/>
  <c r="AK56" i="64"/>
  <c r="AI56" i="64"/>
  <c r="AH56" i="64" s="1"/>
  <c r="AD56" i="64"/>
  <c r="AB56" i="64"/>
  <c r="AE56" i="64" s="1"/>
  <c r="W56" i="64"/>
  <c r="U56" i="64"/>
  <c r="V56" i="64" s="1"/>
  <c r="P56" i="64"/>
  <c r="N56" i="64"/>
  <c r="S56" i="64" s="1"/>
  <c r="R55" i="64"/>
  <c r="R50" i="64"/>
  <c r="AK49" i="64"/>
  <c r="AI49" i="64"/>
  <c r="AM49" i="64" s="1"/>
  <c r="AD49" i="64"/>
  <c r="AB49" i="64"/>
  <c r="AG49" i="64" s="1"/>
  <c r="W49" i="64"/>
  <c r="U49" i="64"/>
  <c r="Z49" i="64" s="1"/>
  <c r="T49" i="64"/>
  <c r="P49" i="64"/>
  <c r="N49" i="64"/>
  <c r="O49" i="64" s="1"/>
  <c r="AK48" i="64"/>
  <c r="AI48" i="64"/>
  <c r="AL48" i="64" s="1"/>
  <c r="AH48" i="64"/>
  <c r="AD48" i="64"/>
  <c r="AB48" i="64"/>
  <c r="AF48" i="64" s="1"/>
  <c r="AA48" i="64"/>
  <c r="W48" i="64"/>
  <c r="U48" i="64"/>
  <c r="X48" i="64" s="1"/>
  <c r="P48" i="64"/>
  <c r="N48" i="64"/>
  <c r="Q48" i="64" s="1"/>
  <c r="AK47" i="64"/>
  <c r="AI47" i="64"/>
  <c r="AH47" i="64" s="1"/>
  <c r="AD47" i="64"/>
  <c r="AB47" i="64"/>
  <c r="AG47" i="64" s="1"/>
  <c r="W47" i="64"/>
  <c r="U47" i="64"/>
  <c r="T47" i="64" s="1"/>
  <c r="P47" i="64"/>
  <c r="N47" i="64"/>
  <c r="S47" i="64" s="1"/>
  <c r="R46" i="64"/>
  <c r="R41" i="64"/>
  <c r="AK40" i="64"/>
  <c r="AI40" i="64"/>
  <c r="AN40" i="64" s="1"/>
  <c r="AD40" i="64"/>
  <c r="AB40" i="64"/>
  <c r="AC40" i="64" s="1"/>
  <c r="AA40" i="64"/>
  <c r="W40" i="64"/>
  <c r="U40" i="64"/>
  <c r="V40" i="64" s="1"/>
  <c r="P40" i="64"/>
  <c r="N40" i="64"/>
  <c r="O40" i="64" s="1"/>
  <c r="M40" i="64"/>
  <c r="AK39" i="64"/>
  <c r="AI39" i="64"/>
  <c r="AN39" i="64" s="1"/>
  <c r="AD39" i="64"/>
  <c r="AB39" i="64"/>
  <c r="AC39" i="64" s="1"/>
  <c r="W39" i="64"/>
  <c r="U39" i="64"/>
  <c r="X39" i="64" s="1"/>
  <c r="P39" i="64"/>
  <c r="N39" i="64"/>
  <c r="Q39" i="64" s="1"/>
  <c r="AK38" i="64"/>
  <c r="AI38" i="64"/>
  <c r="AN38" i="64" s="1"/>
  <c r="AD38" i="64"/>
  <c r="AB38" i="64"/>
  <c r="AE38" i="64" s="1"/>
  <c r="W38" i="64"/>
  <c r="U38" i="64"/>
  <c r="T38" i="64" s="1"/>
  <c r="P38" i="64"/>
  <c r="N38" i="64"/>
  <c r="S38" i="64" s="1"/>
  <c r="R37" i="64"/>
  <c r="R32" i="64"/>
  <c r="AK73" i="64"/>
  <c r="AI73" i="64"/>
  <c r="AN73" i="64" s="1"/>
  <c r="AH73" i="64"/>
  <c r="AD73" i="64"/>
  <c r="AB73" i="64"/>
  <c r="AA73" i="64" s="1"/>
  <c r="W73" i="64"/>
  <c r="U73" i="64"/>
  <c r="Z73" i="64" s="1"/>
  <c r="P73" i="64"/>
  <c r="N73" i="64"/>
  <c r="S73" i="64" s="1"/>
  <c r="AK72" i="64"/>
  <c r="AI72" i="64"/>
  <c r="AN72" i="64" s="1"/>
  <c r="AD72" i="64"/>
  <c r="AB72" i="64"/>
  <c r="AF72" i="64" s="1"/>
  <c r="W72" i="64"/>
  <c r="U72" i="64"/>
  <c r="Y72" i="64" s="1"/>
  <c r="P72" i="64"/>
  <c r="N72" i="64"/>
  <c r="Q72" i="64" s="1"/>
  <c r="M72" i="64"/>
  <c r="AK71" i="64"/>
  <c r="AI71" i="64"/>
  <c r="AJ71" i="64" s="1"/>
  <c r="AD71" i="64"/>
  <c r="AB71" i="64"/>
  <c r="AC71" i="64" s="1"/>
  <c r="AA71" i="64"/>
  <c r="W71" i="64"/>
  <c r="U71" i="64"/>
  <c r="V71" i="64" s="1"/>
  <c r="T71" i="64"/>
  <c r="P71" i="64"/>
  <c r="N71" i="64"/>
  <c r="S71" i="64" s="1"/>
  <c r="AK70" i="64"/>
  <c r="AI70" i="64"/>
  <c r="AN70" i="64" s="1"/>
  <c r="AD70" i="64"/>
  <c r="AB70" i="64"/>
  <c r="AF70" i="64" s="1"/>
  <c r="AA70" i="64"/>
  <c r="W70" i="64"/>
  <c r="U70" i="64"/>
  <c r="T70" i="64" s="1"/>
  <c r="P70" i="64"/>
  <c r="N70" i="64"/>
  <c r="S70" i="64" s="1"/>
  <c r="AK69" i="64"/>
  <c r="AI69" i="64"/>
  <c r="AN69" i="64" s="1"/>
  <c r="AD69" i="64"/>
  <c r="AB69" i="64"/>
  <c r="AE69" i="64" s="1"/>
  <c r="W69" i="64"/>
  <c r="U69" i="64"/>
  <c r="Y69" i="64" s="1"/>
  <c r="P69" i="64"/>
  <c r="N69" i="64"/>
  <c r="O69" i="64" s="1"/>
  <c r="AK68" i="64"/>
  <c r="AI68" i="64"/>
  <c r="AN68" i="64" s="1"/>
  <c r="AD68" i="64"/>
  <c r="AB68" i="64"/>
  <c r="AA68" i="64" s="1"/>
  <c r="W68" i="64"/>
  <c r="U68" i="64"/>
  <c r="Z68" i="64" s="1"/>
  <c r="T68" i="64"/>
  <c r="P68" i="64"/>
  <c r="N68" i="64"/>
  <c r="M68" i="64" s="1"/>
  <c r="AK66" i="64"/>
  <c r="AI66" i="64"/>
  <c r="AM66" i="64" s="1"/>
  <c r="AD66" i="64"/>
  <c r="AB66" i="64"/>
  <c r="AG66" i="64" s="1"/>
  <c r="W66" i="64"/>
  <c r="U66" i="64"/>
  <c r="Y66" i="64" s="1"/>
  <c r="P66" i="64"/>
  <c r="N66" i="64"/>
  <c r="S66" i="64" s="1"/>
  <c r="AK65" i="64"/>
  <c r="AI65" i="64"/>
  <c r="AM65" i="64" s="1"/>
  <c r="AH65" i="64"/>
  <c r="AD65" i="64"/>
  <c r="AB65" i="64"/>
  <c r="AE65" i="64" s="1"/>
  <c r="W65" i="64"/>
  <c r="U65" i="64"/>
  <c r="V65" i="64" s="1"/>
  <c r="P65" i="64"/>
  <c r="N65" i="64"/>
  <c r="S65" i="64" s="1"/>
  <c r="AK64" i="64"/>
  <c r="AI64" i="64"/>
  <c r="AJ64" i="64" s="1"/>
  <c r="AD64" i="64"/>
  <c r="AB64" i="64"/>
  <c r="AG64" i="64" s="1"/>
  <c r="W64" i="64"/>
  <c r="U64" i="64"/>
  <c r="Z64" i="64" s="1"/>
  <c r="P64" i="64"/>
  <c r="N64" i="64"/>
  <c r="S64" i="64" s="1"/>
  <c r="AK63" i="64"/>
  <c r="AI63" i="64"/>
  <c r="AH63" i="64" s="1"/>
  <c r="AD63" i="64"/>
  <c r="AB63" i="64"/>
  <c r="AG63" i="64" s="1"/>
  <c r="W63" i="64"/>
  <c r="U63" i="64"/>
  <c r="Y63" i="64" s="1"/>
  <c r="P63" i="64"/>
  <c r="N63" i="64"/>
  <c r="O63" i="64" s="1"/>
  <c r="M63" i="64"/>
  <c r="AK62" i="64"/>
  <c r="AI62" i="64"/>
  <c r="AM62" i="64" s="1"/>
  <c r="AD62" i="64"/>
  <c r="AB62" i="64"/>
  <c r="AC62" i="64" s="1"/>
  <c r="W62" i="64"/>
  <c r="U62" i="64"/>
  <c r="V62" i="64" s="1"/>
  <c r="P62" i="64"/>
  <c r="N62" i="64"/>
  <c r="S62" i="64" s="1"/>
  <c r="AK61" i="64"/>
  <c r="AI61" i="64"/>
  <c r="AN61" i="64" s="1"/>
  <c r="AD61" i="64"/>
  <c r="AB61" i="64"/>
  <c r="AA61" i="64" s="1"/>
  <c r="W61" i="64"/>
  <c r="U61" i="64"/>
  <c r="Y61" i="64" s="1"/>
  <c r="P61" i="64"/>
  <c r="N61" i="64"/>
  <c r="S61" i="64" s="1"/>
  <c r="AK60" i="64"/>
  <c r="AI60" i="64"/>
  <c r="AM60" i="64" s="1"/>
  <c r="AH60" i="64"/>
  <c r="AD60" i="64"/>
  <c r="AB60" i="64"/>
  <c r="AF60" i="64" s="1"/>
  <c r="W60" i="64"/>
  <c r="U60" i="64"/>
  <c r="X60" i="64" s="1"/>
  <c r="P60" i="64"/>
  <c r="N60" i="64"/>
  <c r="S60" i="64" s="1"/>
  <c r="R59" i="64"/>
  <c r="AK54" i="64"/>
  <c r="AI54" i="64"/>
  <c r="AN54" i="64" s="1"/>
  <c r="AD54" i="64"/>
  <c r="AB54" i="64"/>
  <c r="AF54" i="64" s="1"/>
  <c r="W54" i="64"/>
  <c r="U54" i="64"/>
  <c r="T54" i="64" s="1"/>
  <c r="P54" i="64"/>
  <c r="N54" i="64"/>
  <c r="S54" i="64" s="1"/>
  <c r="AK53" i="64"/>
  <c r="AI53" i="64"/>
  <c r="AN53" i="64" s="1"/>
  <c r="AD53" i="64"/>
  <c r="AB53" i="64"/>
  <c r="AE53" i="64" s="1"/>
  <c r="AA53" i="64"/>
  <c r="W53" i="64"/>
  <c r="U53" i="64"/>
  <c r="Y53" i="64" s="1"/>
  <c r="P53" i="64"/>
  <c r="N53" i="64"/>
  <c r="O53" i="64" s="1"/>
  <c r="AK52" i="64"/>
  <c r="AI52" i="64"/>
  <c r="AN52" i="64" s="1"/>
  <c r="AD52" i="64"/>
  <c r="AB52" i="64"/>
  <c r="AA52" i="64" s="1"/>
  <c r="W52" i="64"/>
  <c r="U52" i="64"/>
  <c r="Y52" i="64" s="1"/>
  <c r="P52" i="64"/>
  <c r="N52" i="64"/>
  <c r="M52" i="64" s="1"/>
  <c r="AK51" i="64"/>
  <c r="AI51" i="64"/>
  <c r="AN51" i="64" s="1"/>
  <c r="AH51" i="64"/>
  <c r="AD51" i="64"/>
  <c r="AB51" i="64"/>
  <c r="AG51" i="64" s="1"/>
  <c r="W51" i="64"/>
  <c r="U51" i="64"/>
  <c r="Y51" i="64" s="1"/>
  <c r="P51" i="64"/>
  <c r="N51" i="64"/>
  <c r="S51" i="64" s="1"/>
  <c r="AK45" i="64"/>
  <c r="AI45" i="64"/>
  <c r="AH45" i="64" s="1"/>
  <c r="AD45" i="64"/>
  <c r="AB45" i="64"/>
  <c r="AG45" i="64" s="1"/>
  <c r="W45" i="64"/>
  <c r="U45" i="64"/>
  <c r="Z45" i="64" s="1"/>
  <c r="P45" i="64"/>
  <c r="N45" i="64"/>
  <c r="O45" i="64" s="1"/>
  <c r="AK44" i="64"/>
  <c r="AI44" i="64"/>
  <c r="AM44" i="64" s="1"/>
  <c r="AD44" i="64"/>
  <c r="AB44" i="64"/>
  <c r="AC44" i="64" s="1"/>
  <c r="W44" i="64"/>
  <c r="U44" i="64"/>
  <c r="Z44" i="64" s="1"/>
  <c r="P44" i="64"/>
  <c r="N44" i="64"/>
  <c r="S44" i="64" s="1"/>
  <c r="AK43" i="64"/>
  <c r="AI43" i="64"/>
  <c r="AM43" i="64" s="1"/>
  <c r="AH43" i="64"/>
  <c r="AD43" i="64"/>
  <c r="AB43" i="64"/>
  <c r="AA43" i="64" s="1"/>
  <c r="W43" i="64"/>
  <c r="U43" i="64"/>
  <c r="Y43" i="64" s="1"/>
  <c r="T43" i="64"/>
  <c r="P43" i="64"/>
  <c r="N43" i="64"/>
  <c r="S43" i="64" s="1"/>
  <c r="M43" i="64"/>
  <c r="AK42" i="64"/>
  <c r="AI42" i="64"/>
  <c r="AM42" i="64" s="1"/>
  <c r="AD42" i="64"/>
  <c r="AB42" i="64"/>
  <c r="AG42" i="64" s="1"/>
  <c r="AA42" i="64"/>
  <c r="W42" i="64"/>
  <c r="U42" i="64"/>
  <c r="X42" i="64" s="1"/>
  <c r="P42" i="64"/>
  <c r="N42" i="64"/>
  <c r="S42" i="64" s="1"/>
  <c r="AK36" i="64"/>
  <c r="AI36" i="64"/>
  <c r="AN36" i="64" s="1"/>
  <c r="AD36" i="64"/>
  <c r="AB36" i="64"/>
  <c r="AC36" i="64" s="1"/>
  <c r="W36" i="64"/>
  <c r="U36" i="64"/>
  <c r="X36" i="64" s="1"/>
  <c r="P36" i="64"/>
  <c r="N36" i="64"/>
  <c r="O36" i="64" s="1"/>
  <c r="AK35" i="64"/>
  <c r="AI35" i="64"/>
  <c r="AN35" i="64" s="1"/>
  <c r="AD35" i="64"/>
  <c r="AB35" i="64"/>
  <c r="AG35" i="64" s="1"/>
  <c r="W35" i="64"/>
  <c r="U35" i="64"/>
  <c r="X35" i="64" s="1"/>
  <c r="T35" i="64"/>
  <c r="P35" i="64"/>
  <c r="N35" i="64"/>
  <c r="M35" i="64" s="1"/>
  <c r="AK34" i="64"/>
  <c r="AI34" i="64"/>
  <c r="AM34" i="64" s="1"/>
  <c r="AH34" i="64"/>
  <c r="AD34" i="64"/>
  <c r="AB34" i="64"/>
  <c r="AG34" i="64" s="1"/>
  <c r="W34" i="64"/>
  <c r="U34" i="64"/>
  <c r="X34" i="64" s="1"/>
  <c r="P34" i="64"/>
  <c r="N34" i="64"/>
  <c r="R34" i="64" s="1"/>
  <c r="M34" i="64"/>
  <c r="AK33" i="64"/>
  <c r="AI33" i="64"/>
  <c r="AL33" i="64" s="1"/>
  <c r="AD33" i="64"/>
  <c r="AB33" i="64"/>
  <c r="AG33" i="64" s="1"/>
  <c r="AA33" i="64"/>
  <c r="W33" i="64"/>
  <c r="U33" i="64"/>
  <c r="T33" i="64" s="1"/>
  <c r="P33" i="64"/>
  <c r="N33" i="64"/>
  <c r="R33" i="64" s="1"/>
  <c r="AK31" i="64"/>
  <c r="AI31" i="64"/>
  <c r="AH31" i="64" s="1"/>
  <c r="AD31" i="64"/>
  <c r="AB31" i="64"/>
  <c r="AG31" i="64" s="1"/>
  <c r="W31" i="64"/>
  <c r="U31" i="64"/>
  <c r="Z31" i="64" s="1"/>
  <c r="P31" i="64"/>
  <c r="N31" i="64"/>
  <c r="R31" i="64" s="1"/>
  <c r="AK30" i="64"/>
  <c r="AI30" i="64"/>
  <c r="AN30" i="64" s="1"/>
  <c r="AH30" i="64"/>
  <c r="AD30" i="64"/>
  <c r="AB30" i="64"/>
  <c r="AF30" i="64" s="1"/>
  <c r="W30" i="64"/>
  <c r="U30" i="64"/>
  <c r="Z30" i="64" s="1"/>
  <c r="P30" i="64"/>
  <c r="N30" i="64"/>
  <c r="O30" i="64" s="1"/>
  <c r="L18" i="64"/>
  <c r="L17" i="64"/>
  <c r="L15" i="64"/>
  <c r="L14" i="64"/>
  <c r="L13" i="64"/>
  <c r="C1" i="64" a="1"/>
  <c r="AA57" i="64" l="1"/>
  <c r="M49" i="64"/>
  <c r="AH76" i="64"/>
  <c r="AH64" i="64"/>
  <c r="AH49" i="64"/>
  <c r="X77" i="64"/>
  <c r="Y77" i="64"/>
  <c r="M47" i="64"/>
  <c r="M56" i="64"/>
  <c r="AA62" i="64"/>
  <c r="Q75" i="64"/>
  <c r="AA47" i="64"/>
  <c r="AA56" i="64"/>
  <c r="M76" i="64"/>
  <c r="AH66" i="64"/>
  <c r="AA75" i="64"/>
  <c r="Y76" i="64"/>
  <c r="AL76" i="64"/>
  <c r="AM76" i="64"/>
  <c r="X76" i="64"/>
  <c r="Z76" i="64"/>
  <c r="AN76" i="64"/>
  <c r="V75" i="64"/>
  <c r="AC77" i="64"/>
  <c r="AL75" i="64"/>
  <c r="AM75" i="64"/>
  <c r="Q77" i="64"/>
  <c r="O76" i="64"/>
  <c r="S77" i="64"/>
  <c r="Q76" i="64"/>
  <c r="O75" i="64"/>
  <c r="R76" i="64"/>
  <c r="T73" i="64"/>
  <c r="M48" i="64"/>
  <c r="V77" i="64"/>
  <c r="X75" i="64"/>
  <c r="AJ75" i="64"/>
  <c r="AN75" i="64"/>
  <c r="O77" i="64"/>
  <c r="R75" i="64"/>
  <c r="T75" i="64"/>
  <c r="Y75" i="64"/>
  <c r="AE77" i="64"/>
  <c r="AC76" i="64"/>
  <c r="AF77" i="64"/>
  <c r="AE76" i="64"/>
  <c r="AL57" i="64"/>
  <c r="AC75" i="64"/>
  <c r="AF76" i="64"/>
  <c r="AM57" i="64"/>
  <c r="AJ77" i="64"/>
  <c r="AN57" i="64"/>
  <c r="AE75" i="64"/>
  <c r="AF75" i="64"/>
  <c r="AL77" i="64"/>
  <c r="AM77" i="64"/>
  <c r="AH42" i="64"/>
  <c r="AJ57" i="64"/>
  <c r="AL58" i="64"/>
  <c r="T56" i="64"/>
  <c r="AF56" i="64"/>
  <c r="AM58" i="64"/>
  <c r="T53" i="64"/>
  <c r="AG56" i="64"/>
  <c r="AN58" i="64"/>
  <c r="AJ56" i="64"/>
  <c r="O58" i="64"/>
  <c r="R58" i="64"/>
  <c r="Q57" i="64"/>
  <c r="O56" i="64"/>
  <c r="S57" i="64"/>
  <c r="Z58" i="64"/>
  <c r="X57" i="64"/>
  <c r="AC58" i="64"/>
  <c r="AJ47" i="64"/>
  <c r="Y56" i="64"/>
  <c r="AE58" i="64"/>
  <c r="AF58" i="64"/>
  <c r="AE57" i="64"/>
  <c r="AN47" i="64"/>
  <c r="AC56" i="64"/>
  <c r="AF57" i="64"/>
  <c r="AG57" i="64"/>
  <c r="R57" i="64"/>
  <c r="Y58" i="64"/>
  <c r="Z57" i="64"/>
  <c r="X56" i="64"/>
  <c r="Z56" i="64"/>
  <c r="AL47" i="64"/>
  <c r="AM47" i="64"/>
  <c r="AA39" i="64"/>
  <c r="AM56" i="64"/>
  <c r="S58" i="64"/>
  <c r="Q56" i="64"/>
  <c r="R56" i="64"/>
  <c r="AH52" i="64"/>
  <c r="AN56" i="64"/>
  <c r="V57" i="64"/>
  <c r="AL56" i="64"/>
  <c r="V58" i="64"/>
  <c r="Y48" i="64"/>
  <c r="Z48" i="64"/>
  <c r="AM48" i="64"/>
  <c r="AN48" i="64"/>
  <c r="V47" i="64"/>
  <c r="Z47" i="64"/>
  <c r="AH53" i="64"/>
  <c r="AH62" i="64"/>
  <c r="T39" i="64"/>
  <c r="X47" i="64"/>
  <c r="Y47" i="64"/>
  <c r="AA45" i="64"/>
  <c r="Q49" i="64"/>
  <c r="R49" i="64"/>
  <c r="O47" i="64"/>
  <c r="R48" i="64"/>
  <c r="S48" i="64"/>
  <c r="V49" i="64"/>
  <c r="AA38" i="64"/>
  <c r="Q47" i="64"/>
  <c r="T48" i="64"/>
  <c r="O48" i="64"/>
  <c r="S49" i="64"/>
  <c r="R47" i="64"/>
  <c r="X49" i="64"/>
  <c r="V48" i="64"/>
  <c r="Y49" i="64"/>
  <c r="T36" i="64"/>
  <c r="AA44" i="64"/>
  <c r="AH38" i="64"/>
  <c r="M71" i="64"/>
  <c r="AA49" i="64"/>
  <c r="AF49" i="64"/>
  <c r="AC47" i="64"/>
  <c r="AG48" i="64"/>
  <c r="AE47" i="64"/>
  <c r="AJ48" i="64"/>
  <c r="AN49" i="64"/>
  <c r="AC49" i="64"/>
  <c r="AE49" i="64"/>
  <c r="AC48" i="64"/>
  <c r="AE48" i="64"/>
  <c r="AJ49" i="64"/>
  <c r="AF47" i="64"/>
  <c r="AL49" i="64"/>
  <c r="AA34" i="64"/>
  <c r="AA64" i="64"/>
  <c r="M65" i="64"/>
  <c r="AA69" i="64"/>
  <c r="Z38" i="64"/>
  <c r="AG69" i="64"/>
  <c r="AA31" i="64"/>
  <c r="M38" i="64"/>
  <c r="AG36" i="64"/>
  <c r="AF36" i="64"/>
  <c r="AM33" i="64"/>
  <c r="AN33" i="64"/>
  <c r="T34" i="64"/>
  <c r="AA60" i="64"/>
  <c r="AF38" i="64"/>
  <c r="T31" i="64"/>
  <c r="AF40" i="64"/>
  <c r="V38" i="64"/>
  <c r="AG40" i="64"/>
  <c r="AE36" i="64"/>
  <c r="AE40" i="64"/>
  <c r="T65" i="64"/>
  <c r="AH40" i="64"/>
  <c r="X38" i="64"/>
  <c r="AH44" i="64"/>
  <c r="M73" i="64"/>
  <c r="Y38" i="64"/>
  <c r="M33" i="64"/>
  <c r="AA65" i="64"/>
  <c r="M39" i="64"/>
  <c r="Z39" i="64"/>
  <c r="Y39" i="64"/>
  <c r="V39" i="64"/>
  <c r="AG38" i="64"/>
  <c r="AM71" i="64"/>
  <c r="T45" i="64"/>
  <c r="T66" i="64"/>
  <c r="AH72" i="64"/>
  <c r="AJ39" i="64"/>
  <c r="T30" i="64"/>
  <c r="AH36" i="64"/>
  <c r="M51" i="64"/>
  <c r="T60" i="64"/>
  <c r="M70" i="64"/>
  <c r="AE39" i="64"/>
  <c r="Q40" i="64"/>
  <c r="AC38" i="64"/>
  <c r="AF39" i="64"/>
  <c r="R40" i="64"/>
  <c r="AG39" i="64"/>
  <c r="S40" i="64"/>
  <c r="M31" i="64"/>
  <c r="Q68" i="64"/>
  <c r="AH39" i="64"/>
  <c r="T40" i="64"/>
  <c r="AL39" i="64"/>
  <c r="X40" i="64"/>
  <c r="AC68" i="64"/>
  <c r="AJ38" i="64"/>
  <c r="AM39" i="64"/>
  <c r="Y40" i="64"/>
  <c r="AF61" i="64"/>
  <c r="Z40" i="64"/>
  <c r="AG61" i="64"/>
  <c r="AE68" i="64"/>
  <c r="AL38" i="64"/>
  <c r="AF68" i="64"/>
  <c r="AM38" i="64"/>
  <c r="AG68" i="64"/>
  <c r="AH68" i="64"/>
  <c r="AH71" i="64"/>
  <c r="AC63" i="64"/>
  <c r="AG30" i="64"/>
  <c r="O39" i="64"/>
  <c r="AN71" i="64"/>
  <c r="O38" i="64"/>
  <c r="R39" i="64"/>
  <c r="AJ40" i="64"/>
  <c r="S39" i="64"/>
  <c r="Q38" i="64"/>
  <c r="AL40" i="64"/>
  <c r="AH33" i="64"/>
  <c r="M45" i="64"/>
  <c r="R38" i="64"/>
  <c r="AM40" i="64"/>
  <c r="T42" i="64"/>
  <c r="M54" i="64"/>
  <c r="AE44" i="64"/>
  <c r="AF44" i="64"/>
  <c r="AE52" i="64"/>
  <c r="T62" i="64"/>
  <c r="O68" i="64"/>
  <c r="M53" i="64"/>
  <c r="AE62" i="64"/>
  <c r="AN64" i="64"/>
  <c r="AC73" i="64"/>
  <c r="AL31" i="64"/>
  <c r="AN60" i="64"/>
  <c r="AH35" i="64"/>
  <c r="AC43" i="64"/>
  <c r="T51" i="64"/>
  <c r="AF53" i="64"/>
  <c r="M61" i="64"/>
  <c r="T63" i="64"/>
  <c r="M69" i="64"/>
  <c r="AG52" i="64"/>
  <c r="AF62" i="64"/>
  <c r="M30" i="64"/>
  <c r="M36" i="64"/>
  <c r="AF43" i="64"/>
  <c r="AA51" i="64"/>
  <c r="T61" i="64"/>
  <c r="AA63" i="64"/>
  <c r="T69" i="64"/>
  <c r="AF52" i="64"/>
  <c r="AM31" i="64"/>
  <c r="AG73" i="64"/>
  <c r="AN31" i="64"/>
  <c r="AG53" i="64"/>
  <c r="AE43" i="64"/>
  <c r="Z33" i="64"/>
  <c r="AG43" i="64"/>
  <c r="AN65" i="64"/>
  <c r="AL71" i="64"/>
  <c r="AN42" i="64"/>
  <c r="AG44" i="64"/>
  <c r="AJ31" i="64"/>
  <c r="AE73" i="64"/>
  <c r="AF73" i="64"/>
  <c r="AC61" i="64"/>
  <c r="AA30" i="64"/>
  <c r="AA36" i="64"/>
  <c r="AE61" i="64"/>
  <c r="M64" i="64"/>
  <c r="AF69" i="64"/>
  <c r="AC52" i="64"/>
  <c r="AM64" i="64"/>
  <c r="T44" i="64"/>
  <c r="AA54" i="64"/>
  <c r="AA66" i="64"/>
  <c r="AG62" i="64"/>
  <c r="T52" i="64"/>
  <c r="AH69" i="64"/>
  <c r="AL64" i="64"/>
  <c r="M42" i="64"/>
  <c r="AH61" i="64"/>
  <c r="T64" i="64"/>
  <c r="AA72" i="64"/>
  <c r="X71" i="64"/>
  <c r="R69" i="64"/>
  <c r="Z71" i="64"/>
  <c r="Q69" i="64"/>
  <c r="Z60" i="64"/>
  <c r="Z66" i="64"/>
  <c r="Y71" i="64"/>
  <c r="R63" i="64"/>
  <c r="R68" i="64"/>
  <c r="Y60" i="64"/>
  <c r="S69" i="64"/>
  <c r="Q63" i="64"/>
  <c r="S68" i="64"/>
  <c r="S63" i="64"/>
  <c r="T72" i="64"/>
  <c r="X65" i="64"/>
  <c r="Y65" i="64"/>
  <c r="Z65" i="64"/>
  <c r="Z72" i="64"/>
  <c r="M60" i="64"/>
  <c r="M66" i="64"/>
  <c r="Q36" i="64"/>
  <c r="O31" i="64"/>
  <c r="R36" i="64"/>
  <c r="Q52" i="64"/>
  <c r="S36" i="64"/>
  <c r="R52" i="64"/>
  <c r="R45" i="64"/>
  <c r="Z34" i="64"/>
  <c r="Q30" i="64"/>
  <c r="R30" i="64"/>
  <c r="S30" i="64"/>
  <c r="Q53" i="64"/>
  <c r="V33" i="64"/>
  <c r="R53" i="64"/>
  <c r="Z51" i="64"/>
  <c r="S53" i="64"/>
  <c r="X33" i="64"/>
  <c r="Y42" i="64"/>
  <c r="Y33" i="64"/>
  <c r="Z42" i="64"/>
  <c r="O52" i="64"/>
  <c r="S31" i="64"/>
  <c r="Q45" i="64"/>
  <c r="S52" i="64"/>
  <c r="S45" i="64"/>
  <c r="Y34" i="64"/>
  <c r="C1" i="64"/>
  <c r="AJ54" i="64"/>
  <c r="AJ70" i="64"/>
  <c r="O62" i="64"/>
  <c r="Q44" i="64"/>
  <c r="AJ45" i="64"/>
  <c r="Q35" i="64"/>
  <c r="AL45" i="64"/>
  <c r="X54" i="64"/>
  <c r="AL63" i="64"/>
  <c r="O66" i="64"/>
  <c r="X70" i="64"/>
  <c r="AC35" i="64"/>
  <c r="V31" i="64"/>
  <c r="AE35" i="64"/>
  <c r="AC51" i="64"/>
  <c r="AL54" i="64"/>
  <c r="Q62" i="64"/>
  <c r="AC66" i="64"/>
  <c r="AL70" i="64"/>
  <c r="O73" i="64"/>
  <c r="O35" i="64"/>
  <c r="V54" i="64"/>
  <c r="AJ30" i="64"/>
  <c r="AC72" i="64"/>
  <c r="AC42" i="64"/>
  <c r="O51" i="64"/>
  <c r="AC60" i="64"/>
  <c r="AL30" i="64"/>
  <c r="O34" i="64"/>
  <c r="R35" i="64"/>
  <c r="AJ44" i="64"/>
  <c r="AM45" i="64"/>
  <c r="V53" i="64"/>
  <c r="Y54" i="64"/>
  <c r="AJ62" i="64"/>
  <c r="AM63" i="64"/>
  <c r="V69" i="64"/>
  <c r="AM30" i="64"/>
  <c r="AN45" i="64"/>
  <c r="AF42" i="64"/>
  <c r="S34" i="64"/>
  <c r="V35" i="64"/>
  <c r="Y36" i="64"/>
  <c r="AN44" i="64"/>
  <c r="Z53" i="64"/>
  <c r="AC54" i="64"/>
  <c r="AN62" i="64"/>
  <c r="Q65" i="64"/>
  <c r="Z69" i="64"/>
  <c r="AC70" i="64"/>
  <c r="AF71" i="64"/>
  <c r="AL73" i="64"/>
  <c r="X68" i="64"/>
  <c r="AJ63" i="64"/>
  <c r="V70" i="64"/>
  <c r="Y70" i="64"/>
  <c r="AE72" i="64"/>
  <c r="S35" i="64"/>
  <c r="V36" i="64"/>
  <c r="AE42" i="64"/>
  <c r="Q51" i="64"/>
  <c r="Z54" i="64"/>
  <c r="AE60" i="64"/>
  <c r="AN63" i="64"/>
  <c r="Z70" i="64"/>
  <c r="AL44" i="64"/>
  <c r="AL62" i="64"/>
  <c r="O65" i="64"/>
  <c r="X69" i="64"/>
  <c r="AG72" i="64"/>
  <c r="AJ73" i="64"/>
  <c r="O33" i="64"/>
  <c r="V52" i="64"/>
  <c r="AG60" i="64"/>
  <c r="V68" i="64"/>
  <c r="AE71" i="64"/>
  <c r="Q33" i="64"/>
  <c r="Z36" i="64"/>
  <c r="AL43" i="64"/>
  <c r="X52" i="64"/>
  <c r="AL61" i="64"/>
  <c r="O64" i="64"/>
  <c r="R65" i="64"/>
  <c r="AG71" i="64"/>
  <c r="AJ72" i="64"/>
  <c r="AM73" i="64"/>
  <c r="Q66" i="64"/>
  <c r="Q34" i="64"/>
  <c r="R51" i="64"/>
  <c r="X53" i="64"/>
  <c r="R66" i="64"/>
  <c r="AJ43" i="64"/>
  <c r="AJ61" i="64"/>
  <c r="S33" i="64"/>
  <c r="Y35" i="64"/>
  <c r="AN43" i="64"/>
  <c r="Z52" i="64"/>
  <c r="Q31" i="64"/>
  <c r="Z35" i="64"/>
  <c r="AL42" i="64"/>
  <c r="X51" i="64"/>
  <c r="AG54" i="64"/>
  <c r="AL60" i="64"/>
  <c r="R64" i="64"/>
  <c r="X66" i="64"/>
  <c r="AG70" i="64"/>
  <c r="AM72" i="64"/>
  <c r="AJ42" i="64"/>
  <c r="V51" i="64"/>
  <c r="AE54" i="64"/>
  <c r="AJ60" i="64"/>
  <c r="AM61" i="64"/>
  <c r="V66" i="64"/>
  <c r="Y68" i="64"/>
  <c r="AE70" i="64"/>
  <c r="V34" i="64"/>
  <c r="AC53" i="64"/>
  <c r="Q64" i="64"/>
  <c r="AC69" i="64"/>
  <c r="AL72" i="64"/>
  <c r="AA35" i="64"/>
  <c r="M44" i="64"/>
  <c r="AH54" i="64"/>
  <c r="M62" i="64"/>
  <c r="AH70" i="64"/>
  <c r="O44" i="64"/>
  <c r="V64" i="64"/>
  <c r="AC34" i="64"/>
  <c r="AF35" i="64"/>
  <c r="O43" i="64"/>
  <c r="R44" i="64"/>
  <c r="AJ53" i="64"/>
  <c r="AM54" i="64"/>
  <c r="O61" i="64"/>
  <c r="R62" i="64"/>
  <c r="X64" i="64"/>
  <c r="AJ69" i="64"/>
  <c r="AM70" i="64"/>
  <c r="X31" i="64"/>
  <c r="AJ36" i="64"/>
  <c r="V45" i="64"/>
  <c r="AE51" i="64"/>
  <c r="V63" i="64"/>
  <c r="Y64" i="64"/>
  <c r="AE66" i="64"/>
  <c r="Q73" i="64"/>
  <c r="V30" i="64"/>
  <c r="AE34" i="64"/>
  <c r="Q43" i="64"/>
  <c r="AF51" i="64"/>
  <c r="AL53" i="64"/>
  <c r="Q61" i="64"/>
  <c r="AC65" i="64"/>
  <c r="AF66" i="64"/>
  <c r="AL69" i="64"/>
  <c r="O72" i="64"/>
  <c r="R73" i="64"/>
  <c r="AC33" i="64"/>
  <c r="AF34" i="64"/>
  <c r="AL36" i="64"/>
  <c r="O42" i="64"/>
  <c r="R43" i="64"/>
  <c r="X45" i="64"/>
  <c r="AJ52" i="64"/>
  <c r="AM53" i="64"/>
  <c r="O60" i="64"/>
  <c r="R61" i="64"/>
  <c r="X63" i="64"/>
  <c r="AJ68" i="64"/>
  <c r="AM69" i="64"/>
  <c r="X30" i="64"/>
  <c r="AJ35" i="64"/>
  <c r="AM36" i="64"/>
  <c r="V44" i="64"/>
  <c r="Y45" i="64"/>
  <c r="Y30" i="64"/>
  <c r="AE33" i="64"/>
  <c r="Q42" i="64"/>
  <c r="AL52" i="64"/>
  <c r="Q60" i="64"/>
  <c r="Z63" i="64"/>
  <c r="AC64" i="64"/>
  <c r="AF65" i="64"/>
  <c r="AL68" i="64"/>
  <c r="O71" i="64"/>
  <c r="R72" i="64"/>
  <c r="AC31" i="64"/>
  <c r="AF33" i="64"/>
  <c r="AL35" i="64"/>
  <c r="R42" i="64"/>
  <c r="X44" i="64"/>
  <c r="AJ51" i="64"/>
  <c r="AM52" i="64"/>
  <c r="R60" i="64"/>
  <c r="X62" i="64"/>
  <c r="AG65" i="64"/>
  <c r="AJ66" i="64"/>
  <c r="AM68" i="64"/>
  <c r="S72" i="64"/>
  <c r="V73" i="64"/>
  <c r="AJ34" i="64"/>
  <c r="AM35" i="64"/>
  <c r="V43" i="64"/>
  <c r="Y44" i="64"/>
  <c r="V61" i="64"/>
  <c r="Y62" i="64"/>
  <c r="AE64" i="64"/>
  <c r="Q71" i="64"/>
  <c r="AE31" i="64"/>
  <c r="AC45" i="64"/>
  <c r="AL51" i="64"/>
  <c r="O54" i="64"/>
  <c r="Z62" i="64"/>
  <c r="AM51" i="64"/>
  <c r="X61" i="64"/>
  <c r="Y73" i="64"/>
  <c r="AN66" i="64"/>
  <c r="Q70" i="64"/>
  <c r="AE30" i="64"/>
  <c r="AN34" i="64"/>
  <c r="Z43" i="64"/>
  <c r="AF45" i="64"/>
  <c r="R54" i="64"/>
  <c r="Z61" i="64"/>
  <c r="AF63" i="64"/>
  <c r="AL65" i="64"/>
  <c r="R70" i="64"/>
  <c r="X72" i="64"/>
  <c r="AF64" i="64"/>
  <c r="AL66" i="64"/>
  <c r="O70" i="64"/>
  <c r="R71" i="64"/>
  <c r="X73" i="64"/>
  <c r="AC30" i="64"/>
  <c r="AF31" i="64"/>
  <c r="AL34" i="64"/>
  <c r="X43" i="64"/>
  <c r="AJ65" i="64"/>
  <c r="V72" i="64"/>
  <c r="AJ33" i="64"/>
  <c r="V42" i="64"/>
  <c r="AE45" i="64"/>
  <c r="Q54" i="64"/>
  <c r="V60" i="64"/>
  <c r="AE63" i="64"/>
  <c r="Y31" i="64"/>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77" i="64" l="1"/>
  <c r="L76" i="64"/>
  <c r="L57" i="64"/>
  <c r="L58" i="64"/>
  <c r="L49" i="64"/>
  <c r="L48" i="64"/>
  <c r="L40" i="64"/>
  <c r="L39" i="64"/>
  <c r="L63" i="64"/>
  <c r="L71" i="64"/>
  <c r="L65" i="64"/>
  <c r="L68" i="64"/>
  <c r="L69" i="64"/>
  <c r="L61" i="64"/>
  <c r="L73" i="64"/>
  <c r="L64" i="64"/>
  <c r="L70" i="64"/>
  <c r="L72" i="64"/>
  <c r="L62" i="64"/>
  <c r="L66" i="64"/>
  <c r="L60" i="64"/>
  <c r="L51" i="64"/>
  <c r="L54" i="64"/>
  <c r="L33" i="64"/>
  <c r="L35" i="64"/>
  <c r="L53" i="64"/>
  <c r="L42" i="64"/>
  <c r="L43" i="64"/>
  <c r="L30" i="64"/>
  <c r="L44" i="64"/>
  <c r="L45" i="64"/>
  <c r="L34" i="64"/>
  <c r="L31" i="64"/>
  <c r="L52" i="64"/>
  <c r="L36" i="64"/>
  <c r="C12" i="64"/>
  <c r="L12" i="64" s="1"/>
  <c r="C10" i="64"/>
  <c r="L10" i="64" s="1"/>
  <c r="C16" i="64"/>
  <c r="L16" i="64" s="1"/>
  <c r="C11" i="64"/>
  <c r="L11" i="64" s="1"/>
  <c r="L1" i="64"/>
  <c r="B27" i="64"/>
  <c r="C27" i="64" s="1"/>
  <c r="L27" i="64" s="1"/>
  <c r="B26" i="64"/>
  <c r="C26" i="64" s="1"/>
  <c r="L26" i="64"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78" i="64" l="1"/>
  <c r="C9" i="64"/>
  <c r="L9" i="64" s="1"/>
  <c r="C7" i="64" a="1"/>
  <c r="C7" i="64" s="1"/>
  <c r="L4" i="64"/>
  <c r="C8" i="64"/>
  <c r="L8" i="64" s="1"/>
  <c r="L96" i="36"/>
  <c r="L86" i="36"/>
  <c r="L91" i="36"/>
  <c r="L99" i="36"/>
  <c r="L90" i="36"/>
  <c r="L100" i="36"/>
  <c r="C19" i="64" l="1"/>
  <c r="L19" i="64" s="1"/>
  <c r="L7" i="64"/>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AF70" i="7" l="1"/>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L87" i="7" l="1"/>
  <c r="L85" i="7"/>
  <c r="L88" i="7"/>
  <c r="L84" i="7"/>
  <c r="L89" i="7"/>
  <c r="L98" i="8"/>
  <c r="L94" i="8"/>
  <c r="L102" i="8"/>
  <c r="C9" i="8"/>
  <c r="L9" i="8" s="1"/>
  <c r="C8" i="8"/>
  <c r="L8" i="8" s="1"/>
  <c r="L4" i="8"/>
  <c r="C7" i="8" a="1"/>
  <c r="C7" i="8" s="1"/>
  <c r="L86" i="7"/>
  <c r="L90" i="7"/>
  <c r="C1" i="7" a="1"/>
  <c r="C1" i="7" l="1"/>
  <c r="C19" i="8"/>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B26" i="7" l="1"/>
  <c r="C26" i="7" s="1"/>
  <c r="L26" i="7" s="1"/>
  <c r="C12" i="7"/>
  <c r="L12" i="7" s="1"/>
  <c r="C10" i="7"/>
  <c r="L10" i="7" s="1"/>
  <c r="C1" i="36" a="1"/>
  <c r="C11" i="7" l="1"/>
  <c r="L11" i="7" s="1"/>
  <c r="C1" i="36"/>
  <c r="C11" i="36" s="1"/>
  <c r="L11" i="36" s="1"/>
  <c r="L1" i="7"/>
  <c r="C16" i="7"/>
  <c r="L16" i="7" s="1"/>
  <c r="B27" i="7"/>
  <c r="C27" i="7" s="1"/>
  <c r="L27" i="7" s="1"/>
  <c r="C10" i="36" l="1"/>
  <c r="L10" i="36" s="1"/>
  <c r="B27" i="36"/>
  <c r="C27" i="36" s="1"/>
  <c r="L27" i="36" s="1"/>
  <c r="B26" i="36"/>
  <c r="C26" i="36" s="1"/>
  <c r="L26" i="36" s="1"/>
  <c r="L1" i="36"/>
  <c r="L4" i="36" s="1"/>
  <c r="C8" i="7"/>
  <c r="L8" i="7" s="1"/>
  <c r="L92" i="7"/>
  <c r="C7" i="7" a="1"/>
  <c r="C7" i="7" s="1"/>
  <c r="L4" i="7"/>
  <c r="C9" i="7"/>
  <c r="L9" i="7" s="1"/>
  <c r="C16" i="36"/>
  <c r="L16" i="36" s="1"/>
  <c r="C12" i="36"/>
  <c r="L12" i="36"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3FFD52-48C8-4AA2-A013-DD7416084E3A}">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<sst xmlns="http://schemas.openxmlformats.org/spreadsheetml/2006/main" count="4709" uniqueCount="1079">
  <si>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</si>
  <si>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</si>
  <si>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</si>
  <si>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</si>
  <si>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</si>
  <si>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</si>
  <si>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</si>
  <si>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</si>
  <si>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</si>
  <si>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</si>
  <si>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</si>
  <si>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</si>
  <si>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</si>
  <si>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</si>
  <si>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</si>
  <si>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</si>
  <si>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</si>
  <si>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</si>
  <si>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</si>
  <si>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</si>
  <si>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</si>
  <si>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</si>
  <si>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</si>
  <si>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</si>
  <si>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</si>
  <si>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</si>
  <si>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</si>
  <si>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</si>
  <si>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</si>
  <si>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</si>
  <si>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</si>
  <si>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</si>
  <si>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</si>
  <si>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</si>
  <si>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</si>
  <si>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</si>
  <si>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</si>
  <si>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</si>
  <si>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</si>
  <si>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</si>
  <si>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</si>
  <si>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</si>
  <si>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</si>
  <si>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</si>
  <si>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</si>
  <si>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</si>
  <si>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</si>
  <si>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</si>
  <si>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</si>
  <si>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</si>
  <si>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</si>
  <si>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</si>
  <si>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</si>
  <si>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</si>
  <si>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</si>
  <si>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</si>
  <si>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</si>
  <si>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</si>
  <si>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</si>
  <si>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</si>
  <si>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</si>
  <si>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</si>
  <si>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</si>
  <si>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</si>
  <si>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</si>
  <si>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</si>
  <si>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</si>
  <si>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</si>
  <si>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</si>
  <si>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</si>
  <si>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</si>
  <si>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</si>
  <si>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</si>
  <si>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</si>
  <si>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</si>
  <si>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</si>
  <si>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</si>
  <si>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</si>
  <si>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</si>
  <si>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</si>
  <si>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</si>
  <si>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</si>
  <si>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</si>
  <si>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</si>
  <si>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</si>
  <si>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</si>
  <si>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</si>
  <si>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</si>
  <si>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</si>
  <si>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</si>
  <si>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</si>
  <si>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</si>
  <si>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</si>
  <si>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</si>
  <si>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</si>
  <si>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</si>
  <si>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</si>
  <si>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</si>
  <si>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</si>
  <si>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</si>
  <si>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</si>
  <si>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</si>
  <si>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</si>
  <si>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</si>
  <si>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</si>
  <si>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</si>
  <si>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</si>
  <si>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</si>
  <si>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</si>
  <si>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</si>
  <si>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</si>
  <si>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</si>
  <si>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</si>
  <si>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</si>
  <si>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</si>
  <si>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</si>
  <si>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</si>
  <si>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</si>
  <si>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</si>
  <si>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</si>
  <si>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</si>
  <si>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</si>
  <si>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</si>
  <si>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</si>
  <si>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</si>
  <si>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</si>
  <si>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</si>
  <si>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</si>
  <si>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</si>
  <si>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</si>
  <si>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</si>
  <si>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</si>
  <si>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</si>
  <si>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</si>
  <si>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</si>
  <si>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</si>
  <si>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</si>
  <si>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</si>
  <si>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</si>
  <si>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</si>
  <si>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</si>
  <si>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</si>
  <si>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</si>
  <si>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</si>
  <si>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</si>
  <si>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</si>
  <si>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</si>
  <si>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</si>
  <si>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</si>
  <si>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</si>
  <si>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</si>
  <si>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</si>
  <si>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</si>
  <si>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</si>
  <si>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</si>
  <si>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</si>
  <si>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</si>
  <si>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</si>
  <si>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</si>
  <si>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</si>
  <si>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</si>
  <si>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</si>
  <si>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</si>
  <si>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</si>
  <si>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</si>
  <si>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</si>
  <si>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</si>
  <si>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</si>
  <si>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</si>
  <si>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</si>
  <si>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</si>
  <si>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</si>
  <si>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</si>
  <si>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</si>
  <si>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</si>
  <si>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</si>
  <si>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</si>
  <si>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</si>
  <si>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</si>
  <si>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</si>
  <si>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</si>
  <si>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</si>
  <si>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</si>
  <si>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</si>
  <si>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</si>
  <si>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</si>
  <si>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</si>
  <si>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</si>
  <si>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</si>
  <si>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</si>
  <si>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</si>
  <si>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</si>
  <si>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</si>
  <si>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</si>
  <si>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</si>
  <si>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</si>
  <si>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</si>
  <si>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</si>
  <si>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</si>
  <si>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</si>
  <si>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</si>
  <si>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</si>
  <si>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</si>
  <si>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</si>
  <si>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</si>
  <si>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</si>
  <si>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</si>
  <si>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</si>
  <si>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</si>
  <si>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</si>
  <si>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</si>
  <si>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</si>
  <si>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</si>
  <si>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</si>
  <si>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</si>
  <si>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</si>
  <si>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</si>
  <si>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</si>
  <si>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</si>
  <si>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</si>
  <si>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</si>
  <si>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</si>
  <si>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</si>
  <si>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</si>
  <si>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</si>
  <si>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</si>
  <si>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</si>
  <si>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</si>
  <si>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</si>
  <si>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</si>
  <si>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</si>
  <si>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</si>
  <si>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</si>
  <si>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</si>
  <si>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</si>
  <si>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</si>
  <si>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</si>
  <si>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</si>
  <si>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</si>
  <si>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</si>
  <si>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</si>
  <si>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</si>
  <si>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</si>
  <si>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</si>
  <si>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</si>
  <si>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</si>
  <si>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</si>
  <si>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</si>
  <si>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</si>
  <si>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</si>
  <si>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</si>
  <si>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</si>
  <si>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</si>
  <si>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</si>
  <si>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</si>
  <si>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</si>
  <si>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</si>
  <si>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</si>
  <si>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</si>
  <si>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</si>
  <si>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</si>
  <si>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</si>
  <si>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</si>
  <si>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</si>
  <si>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</si>
  <si>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</si>
  <si>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</si>
  <si>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</si>
  <si>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</si>
  <si>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</si>
  <si>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</si>
  <si>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</si>
  <si>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</si>
  <si>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</si>
  <si>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</si>
  <si>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</si>
  <si>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</si>
  <si>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</si>
  <si>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</si>
  <si>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</si>
  <si>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</si>
  <si>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</si>
  <si>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</si>
  <si>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</si>
  <si>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</si>
  <si>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</si>
  <si>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</si>
  <si>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</si>
  <si>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</si>
  <si>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</si>
  <si>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</si>
  <si>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</si>
  <si>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</si>
  <si>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</si>
  <si>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</si>
  <si>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</si>
  <si>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</si>
  <si>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</si>
  <si>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</si>
  <si>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</si>
  <si>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</si>
  <si>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</si>
  <si>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</si>
  <si>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</si>
  <si>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</si>
  <si>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</si>
  <si>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</si>
  <si>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</si>
  <si>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</si>
  <si>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</si>
  <si>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</si>
  <si>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</si>
  <si>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</si>
  <si>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</si>
  <si>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</si>
  <si>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</si>
  <si>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</si>
  <si>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</si>
  <si>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</si>
  <si>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</si>
  <si>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</si>
  <si>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</si>
  <si>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</si>
  <si>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</si>
  <si>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</si>
  <si>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</si>
  <si>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</si>
  <si>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</si>
  <si>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</si>
  <si>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</si>
  <si>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</si>
  <si>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</si>
  <si>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</si>
  <si>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</si>
  <si>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</si>
  <si>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</si>
  <si>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</si>
  <si>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</si>
  <si>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</si>
  <si>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</si>
  <si>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</si>
  <si>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</si>
  <si>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</si>
  <si>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</si>
  <si>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</si>
  <si>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</si>
  <si>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</si>
  <si>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</si>
  <si>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</si>
  <si>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</si>
  <si>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</si>
  <si>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</si>
  <si>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</si>
  <si>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</si>
  <si>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</si>
  <si>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</si>
  <si>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</si>
  <si>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</si>
  <si>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</si>
  <si>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</si>
  <si>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</si>
  <si>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</si>
  <si>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</si>
  <si>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</si>
  <si>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</si>
  <si>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</si>
  <si>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</si>
  <si>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</si>
  <si>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</si>
  <si>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</si>
  <si>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</si>
  <si>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</si>
  <si>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</si>
  <si>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</si>
  <si>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</si>
  <si>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</si>
  <si>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</si>
  <si>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</si>
  <si>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</si>
  <si>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</si>
  <si>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</si>
  <si>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</si>
  <si>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</si>
  <si>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</si>
  <si>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</si>
  <si>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</si>
  <si>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</si>
  <si>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</si>
  <si>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</si>
  <si>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</si>
  <si>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</si>
  <si>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</si>
  <si>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</si>
  <si>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</si>
  <si>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</si>
  <si>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</si>
  <si>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</si>
  <si>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</si>
  <si>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</si>
  <si>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</si>
  <si>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</si>
  <si>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</si>
  <si>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</si>
  <si>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</si>
  <si>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</si>
  <si>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</si>
  <si>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</si>
  <si>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</si>
  <si>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</si>
  <si>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</si>
  <si>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</si>
  <si>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</si>
  <si>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</si>
  <si>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</si>
  <si>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</si>
  <si>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</si>
  <si>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</si>
  <si>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</si>
  <si>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</si>
  <si>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</si>
  <si>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</si>
  <si>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</si>
  <si>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</si>
  <si>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</si>
  <si>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</si>
  <si>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</si>
  <si>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</si>
  <si>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</si>
  <si>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</si>
  <si>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</si>
  <si>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</si>
  <si>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</si>
  <si>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</si>
  <si>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</si>
  <si>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</si>
  <si>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</si>
  <si>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</si>
  <si>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</si>
  <si>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</si>
  <si>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</si>
  <si>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</si>
  <si>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</si>
  <si>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</si>
  <si>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</si>
  <si>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</si>
  <si>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</si>
  <si>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</si>
  <si>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</si>
  <si>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</si>
  <si>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</si>
  <si>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</si>
  <si>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</si>
  <si>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</si>
  <si>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</si>
  <si>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</si>
  <si>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</si>
  <si>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</si>
  <si>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</si>
  <si>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</si>
  <si>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</si>
  <si>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</si>
  <si>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</si>
  <si>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</si>
  <si>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</si>
  <si>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</si>
  <si>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</si>
  <si>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</si>
  <si>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</si>
  <si>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</si>
  <si>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</si>
  <si>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</si>
  <si>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</si>
  <si>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</si>
  <si>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</si>
  <si>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</si>
  <si>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</si>
  <si>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</si>
  <si>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</si>
  <si>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</si>
  <si>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</si>
  <si>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</si>
  <si>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</si>
  <si>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</si>
  <si>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</si>
  <si>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</si>
  <si>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</si>
  <si>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</si>
  <si>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</si>
  <si>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</si>
  <si>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</si>
  <si>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</si>
  <si>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</si>
  <si>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</si>
  <si>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</si>
  <si>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</si>
  <si>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</si>
  <si>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</si>
  <si>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</si>
  <si>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</si>
  <si>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</si>
  <si>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</si>
  <si>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</si>
  <si>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</si>
  <si>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</si>
  <si>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</si>
  <si>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</si>
  <si>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</si>
  <si>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</si>
  <si>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</si>
  <si>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</si>
  <si>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</si>
  <si>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</si>
  <si>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</si>
  <si>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</si>
  <si>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</si>
  <si>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</si>
  <si>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</si>
  <si>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</si>
  <si>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</si>
  <si>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</si>
  <si>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</si>
  <si>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</si>
  <si>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</si>
  <si>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</si>
  <si>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</si>
  <si>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</si>
  <si>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</si>
  <si>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</si>
  <si>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</si>
  <si>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</si>
  <si>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</si>
  <si>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</si>
  <si>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</si>
  <si>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</si>
  <si>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</si>
  <si>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</si>
  <si>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</si>
  <si>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</si>
  <si>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</si>
  <si>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</si>
  <si>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</si>
  <si>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</si>
  <si>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</si>
  <si>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</si>
  <si>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</si>
  <si>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</si>
  <si>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</si>
  <si>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</si>
  <si>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</si>
  <si>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</si>
  <si>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</si>
  <si>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</si>
  <si>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</si>
  <si>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</si>
  <si>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</si>
  <si>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</si>
  <si>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</si>
  <si>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</si>
  <si>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</si>
  <si>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</si>
  <si>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</si>
  <si>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</si>
  <si>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</si>
  <si>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</si>
  <si>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</si>
  <si>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</si>
  <si>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</si>
  <si>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</si>
  <si>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</si>
  <si>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</si>
  <si>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</si>
  <si>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</si>
  <si>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</si>
  <si>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</si>
  <si>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</si>
  <si>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</si>
  <si>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</si>
  <si>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</si>
  <si>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</si>
  <si>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</si>
  <si>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</si>
  <si>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</si>
  <si>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</si>
  <si>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</si>
  <si>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</si>
  <si>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</si>
  <si>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</si>
  <si>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</si>
  <si>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</si>
  <si>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</si>
  <si>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</si>
  <si>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</si>
  <si>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</si>
  <si>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</si>
  <si>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</si>
  <si>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</si>
  <si>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</si>
  <si>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</si>
  <si>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</si>
  <si>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</si>
  <si>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</si>
  <si>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</si>
  <si>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</si>
  <si>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</si>
  <si>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</si>
  <si>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</si>
  <si>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</si>
  <si>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</si>
  <si>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</si>
  <si>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</si>
  <si>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</si>
  <si>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</si>
  <si>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</si>
  <si>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</si>
  <si>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</si>
  <si>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</si>
  <si>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</si>
  <si>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</si>
  <si>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</si>
  <si>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</si>
  <si>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</si>
  <si>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</si>
  <si>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</si>
  <si>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</si>
  <si>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</si>
  <si>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</si>
  <si>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</si>
  <si>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</si>
  <si>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</si>
  <si>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</si>
  <si>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</si>
  <si>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</si>
  <si>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</si>
  <si>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</si>
  <si>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</si>
  <si>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</si>
  <si>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</si>
  <si>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</si>
  <si>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</si>
  <si>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</si>
  <si>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</si>
  <si>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</si>
  <si>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</si>
  <si>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</si>
  <si>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</si>
  <si>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</si>
  <si>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</si>
  <si>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</si>
  <si>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</si>
  <si>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</si>
  <si>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</si>
  <si>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</si>
  <si>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</si>
  <si>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</si>
  <si>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</si>
  <si>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</si>
  <si>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</si>
  <si>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</si>
  <si>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</si>
  <si>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</si>
  <si>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</si>
  <si>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</si>
  <si>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</si>
  <si>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</si>
  <si>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</si>
  <si>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</si>
  <si>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</si>
  <si>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</si>
  <si>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</si>
  <si>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</si>
  <si>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</si>
  <si>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</si>
  <si>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</si>
  <si>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</si>
  <si>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</si>
  <si>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</si>
  <si>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</si>
  <si>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</si>
  <si>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</si>
  <si>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</si>
  <si>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</si>
  <si>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</si>
  <si>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</si>
  <si>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</si>
  <si>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</si>
  <si>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</si>
  <si>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</si>
  <si>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</si>
  <si>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</si>
  <si>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</si>
  <si>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</si>
  <si>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</si>
  <si>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</si>
  <si>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</si>
  <si>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</si>
  <si>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</si>
  <si>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</si>
  <si>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</si>
  <si>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</si>
  <si>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</si>
  <si>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</si>
  <si>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</si>
  <si>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</si>
  <si>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</si>
  <si>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</si>
  <si>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</si>
  <si>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</si>
  <si>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</si>
  <si>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</si>
  <si>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</si>
  <si>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</si>
  <si>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</si>
  <si>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</si>
  <si>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</si>
  <si>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</si>
  <si>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</si>
  <si>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</si>
  <si>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</si>
  <si>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</si>
  <si>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</si>
  <si>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</si>
  <si>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</si>
  <si>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</si>
  <si>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</si>
  <si>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</si>
  <si>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</si>
  <si>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</si>
  <si>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</si>
  <si>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</si>
  <si>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</si>
  <si>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</si>
  <si>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</si>
  <si>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</si>
  <si>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</si>
  <si>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</si>
  <si>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</si>
  <si>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</si>
  <si>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</si>
  <si>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</si>
  <si>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</si>
  <si>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</si>
  <si>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</si>
  <si>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</si>
  <si>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</si>
  <si>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</si>
  <si>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</si>
  <si>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</si>
  <si>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</si>
  <si>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</si>
  <si>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</si>
  <si>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</si>
  <si>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</si>
  <si>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</si>
  <si>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</si>
  <si>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</si>
  <si>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</si>
  <si>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</si>
  <si>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</si>
  <si>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</si>
  <si>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</si>
  <si>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</si>
  <si>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</si>
  <si>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</si>
  <si>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</si>
  <si>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</si>
  <si>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</si>
  <si>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</si>
  <si>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</si>
  <si>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</si>
  <si>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</si>
  <si>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</si>
  <si>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</si>
  <si>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</si>
  <si>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</si>
  <si>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</si>
  <si>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</si>
  <si>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</si>
  <si>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</si>
  <si>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</si>
  <si>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</si>
  <si>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</si>
  <si>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</si>
  <si>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</si>
  <si>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</si>
  <si>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</si>
  <si>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</si>
  <si>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</si>
  <si>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</si>
  <si>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</si>
  <si>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</si>
  <si>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</si>
  <si>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</si>
  <si>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</si>
  <si>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</si>
  <si>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</si>
  <si>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</si>
  <si>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</si>
  <si>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</si>
  <si>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</si>
  <si>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</si>
  <si>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</si>
  <si>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</si>
  <si>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</si>
  <si>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</si>
  <si>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</si>
  <si>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</si>
  <si>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</si>
  <si>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</si>
  <si>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</si>
  <si>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</si>
  <si>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</si>
  <si>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</si>
  <si>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</si>
  <si>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</si>
  <si>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</si>
  <si>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</si>
  <si>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</si>
  <si>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</si>
  <si>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</si>
  <si>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</si>
  <si>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</si>
  <si>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</si>
  <si>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</si>
  <si>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</si>
  <si>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</si>
  <si>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</si>
  <si>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</si>
  <si>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</si>
  <si>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</si>
  <si>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</si>
  <si>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</si>
  <si>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</si>
  <si>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</si>
  <si>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</si>
  <si>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</si>
  <si>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</si>
  <si>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</si>
  <si>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</si>
  <si>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</si>
  <si>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</si>
  <si>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</si>
  <si>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</si>
  <si>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</si>
  <si>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</si>
  <si>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</si>
  <si>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</si>
  <si>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</si>
  <si>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</si>
  <si>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</si>
  <si>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</si>
  <si>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</si>
  <si>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</si>
  <si>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</si>
  <si>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</si>
  <si>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</si>
  <si>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</si>
  <si>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</si>
  <si>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</si>
  <si>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</si>
  <si>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</si>
  <si>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</si>
  <si>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</si>
  <si>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</si>
  <si>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</si>
  <si>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</si>
  <si>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</si>
  <si>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</si>
  <si>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</si>
  <si>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</si>
  <si>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</si>
  <si>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</si>
  <si>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</si>
  <si>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</si>
  <si>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</si>
  <si>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</si>
  <si>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</si>
  <si>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</si>
  <si>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</si>
  <si>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</si>
  <si>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</si>
  <si>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</si>
  <si>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</si>
  <si>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</si>
  <si>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</si>
  <si>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</si>
  <si>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</si>
  <si>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</si>
  <si>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</si>
  <si>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</si>
  <si>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</si>
  <si>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</si>
  <si>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</si>
  <si>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</si>
  <si>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</si>
  <si>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</si>
  <si>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</si>
  <si>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</si>
  <si>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</si>
  <si>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</si>
  <si>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</si>
  <si>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</si>
  <si>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</si>
  <si>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</si>
  <si>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</si>
  <si>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</si>
  <si>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</si>
  <si>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</si>
  <si>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</si>
  <si>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</si>
  <si>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</si>
  <si>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</si>
  <si>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</si>
  <si>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</si>
  <si>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</si>
  <si>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</si>
  <si>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</si>
  <si>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</si>
  <si>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</si>
  <si>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</si>
  <si>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</si>
  <si>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</si>
  <si>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</si>
  <si>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</si>
  <si>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</si>
  <si>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</si>
  <si>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</si>
  <si>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</si>
  <si>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</si>
  <si>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</si>
  <si>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</si>
  <si>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</si>
  <si>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</si>
  <si>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</si>
  <si>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</si>
  <si>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</si>
  <si>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</si>
  <si>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</si>
  <si>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</si>
  <si>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</si>
  <si>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</si>
  <si>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</si>
  <si>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</si>
  <si>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</si>
  <si>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</si>
  <si>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</si>
  <si>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</si>
  <si>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</si>
  <si>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</si>
  <si>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</si>
  <si>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</si>
  <si>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</si>
  <si>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</si>
  <si>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</si>
  <si>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</si>
  <si>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</si>
  <si>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</si>
  <si>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</si>
  <si>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</si>
  <si>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</si>
  <si>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</si>
  <si>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</si>
  <si>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</si>
  <si>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</si>
  <si>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</si>
  <si>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</si>
  <si>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</si>
  <si>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</si>
  <si>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</si>
  <si>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</si>
  <si>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</si>
  <si>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</si>
  <si>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</si>
  <si>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</si>
  <si>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</si>
  <si>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</si>
  <si>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</si>
  <si>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</si>
  <si>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</si>
  <si>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</si>
  <si>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</si>
  <si>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</si>
  <si>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</si>
  <si>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</si>
  <si>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</si>
  <si>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</si>
  <si>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</si>
  <si>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</si>
  <si>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</si>
  <si>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</si>
  <si>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</si>
  <si>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</si>
  <si>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</si>
  <si>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</si>
  <si>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</si>
  <si>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</si>
  <si>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</si>
  <si>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</si>
  <si>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</si>
  <si>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</si>
  <si>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</si>
  <si>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</si>
  <si>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</si>
  <si>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</si>
  <si>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</si>
  <si>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</si>
  <si>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</si>
  <si>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</si>
  <si>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</si>
  <si>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</si>
  <si>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</si>
  <si>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</si>
  <si>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</si>
  <si>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</si>
  <si>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tc</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</si>
  <si>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</si>
  <si>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</si>
  <si>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</si>
  <si>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</si>
  <si>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</si>
  <si>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</si>
  <si>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</si>
  <si>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</si>
  <si>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</si>
  <si>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</si>
  <si>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</si>
  <si>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</si>
  <si>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</si>
  <si>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</si>
  <si>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</si>
  <si>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</si>
  <si>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</si>
  <si>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</si>
  <si>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</si>
  <si>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</si>
  <si>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</si>
  <si>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</si>
  <si>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</si>
  <si>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</si>
  <si>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</si>
  <si>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</si>
  <si>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</si>
  <si>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</si>
  <si>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</si>
  <si>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</si>
  <si>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</si>
  <si>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as r1</t>
  </si>
  <si>
    <t>.</t>
  </si>
  <si>
    <t>SI HOY ESCUCHÁIS SU VOZ</t>
  </si>
  <si>
    <t>Fa#</t>
  </si>
  <si>
    <t>NO ENDUREZCÁIS EL CORAZÓN.</t>
  </si>
  <si>
    <t>Venid, aclamemos al Señor,</t>
  </si>
  <si>
    <t>Do#</t>
  </si>
  <si>
    <t>demos vítores a la roca que nos salva;</t>
  </si>
  <si>
    <t>entremos a su presencia dándole gracias,</t>
  </si>
  <si>
    <t>Sol#</t>
  </si>
  <si>
    <t>aclamándolo con cantos y salmos.</t>
  </si>
  <si>
    <t>SI HOY ESCUCHÁIS SU VOZ...</t>
  </si>
  <si>
    <t>Porque el Señor es un Dios grande,</t>
  </si>
  <si>
    <t>más grande que todos los dioses;</t>
  </si>
  <si>
    <t>MI</t>
  </si>
  <si>
    <t>suyo es el mar, suya es la tierra,</t>
  </si>
  <si>
    <t>son suyas las cumbres de los montes.</t>
  </si>
  <si>
    <t>Entrad, postrémonos por tierra,</t>
  </si>
  <si>
    <t>bendiciendo al Señor, creador nuestro.</t>
  </si>
  <si>
    <t>Porque El es nuestro Dios y nosotros su pueblo,</t>
  </si>
  <si>
    <t>el rebaño que Él conduce.</t>
  </si>
  <si>
    <t>¡Ojalá! ¡Ojalá escuchéis hoy su voz</t>
  </si>
  <si>
    <t>y no endurezcáis el corazón!</t>
  </si>
  <si>
    <t>Como en Meribá,</t>
  </si>
  <si>
    <t>como el día de Masá en el desierto,</t>
  </si>
  <si>
    <t>donde vuestros padres dudaron de mí,</t>
  </si>
  <si>
    <t>aunque habían visto mis obras</t>
  </si>
  <si>
    <t>me obligaron a hacer su voluntad.</t>
  </si>
  <si>
    <t>Durante cuarenta años</t>
  </si>
  <si>
    <t>me disgustó aquella generación.</t>
  </si>
  <si>
    <t>Y dije «Este es un pueblo</t>
  </si>
  <si>
    <t>de corazón extraviado,</t>
  </si>
  <si>
    <t>no quiere conocer mis caminos,</t>
  </si>
  <si>
    <t>por eso no entrarán en mi descanso».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</si>
</sst>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BE3ED3-2FDA-42D5-A6C8-292D94F46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506F69-26F8-4BCC-B876-D8182AABC3A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A4B220E9-DE9B-4D3C-A301-EC7CD33CDF33}"/>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1017</v>
      </c>
    </row>
    <row r="3" spans="1:1" ht="58" x14ac:dyDescent="0.35">
      <c r="A3" s="102" t="s">
        <v>1018</v>
      </c>
    </row>
    <row r="5" spans="1:1" x14ac:dyDescent="0.35">
      <c r="A5" t="s">
        <v>1019</v>
      </c>
    </row>
    <row r="6" spans="1:1" ht="72.5" x14ac:dyDescent="0.35">
      <c r="A6" s="102" t="s">
        <v>1020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1016</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1014</v>
      </c>
      <c r="B7" s="37"/>
      <c r="C7" s="37"/>
      <c r="D7" s="37"/>
      <c r="E7" s="37"/>
      <c r="F7" s="38"/>
      <c r="G7" s="38"/>
      <c r="H7" s="38"/>
    </row>
    <row r="8" spans="1:8" ht="26.15" customHeight="1" x14ac:dyDescent="0.7">
      <c r="A8" s="37" t="s">
        <v>1022</v>
      </c>
      <c r="B8" s="37"/>
      <c r="C8" s="37"/>
      <c r="D8" s="37"/>
      <c r="E8" s="37"/>
      <c r="F8" s="38"/>
      <c r="G8" s="38"/>
      <c r="H8" s="38"/>
    </row>
    <row r="9" spans="1:8" ht="26.15" customHeight="1" x14ac:dyDescent="0.7">
      <c r="A9" s="37" t="s">
        <v>1023</v>
      </c>
      <c r="B9" s="37"/>
      <c r="C9" s="37"/>
      <c r="D9" s="37"/>
      <c r="E9" s="37"/>
      <c r="F9" s="38"/>
      <c r="G9" s="38"/>
      <c r="H9" s="38"/>
    </row>
    <row r="10" spans="1:8" ht="26.15" customHeight="1" x14ac:dyDescent="0.7">
      <c r="A10" s="37" t="s">
        <v>1024</v>
      </c>
      <c r="B10" s="37"/>
      <c r="C10" s="37"/>
      <c r="D10" s="37"/>
      <c r="E10" s="38"/>
      <c r="F10" s="38"/>
      <c r="G10" s="38"/>
      <c r="H10" s="38"/>
    </row>
    <row r="11" spans="1:8" ht="26.15" customHeight="1" x14ac:dyDescent="0.7">
      <c r="A11" s="37" t="s">
        <v>1025</v>
      </c>
      <c r="B11" s="37"/>
      <c r="C11" s="37"/>
      <c r="D11" s="37"/>
      <c r="E11" s="38"/>
      <c r="F11" s="38"/>
      <c r="G11" s="38"/>
      <c r="H11" s="38"/>
    </row>
    <row r="12" spans="1:8" ht="26.15" customHeight="1" x14ac:dyDescent="0.7">
      <c r="A12" s="37" t="s">
        <v>1026</v>
      </c>
      <c r="B12" s="37"/>
      <c r="C12" s="37"/>
      <c r="D12" s="37"/>
      <c r="E12" s="38"/>
      <c r="F12" s="38"/>
      <c r="G12" s="38"/>
      <c r="H12" s="38"/>
    </row>
    <row r="13" spans="1:8" ht="26.15" customHeight="1" x14ac:dyDescent="0.7">
      <c r="A13" s="37" t="s">
        <v>1027</v>
      </c>
      <c r="B13" s="37"/>
      <c r="C13" s="37"/>
      <c r="D13" s="37"/>
      <c r="E13" s="38"/>
      <c r="F13" s="38"/>
      <c r="G13" s="38"/>
      <c r="H13" s="38"/>
    </row>
    <row r="14" spans="1:8" ht="26.15" customHeight="1" x14ac:dyDescent="0.7">
      <c r="A14" s="37" t="s">
        <v>1028</v>
      </c>
      <c r="B14" s="37"/>
      <c r="C14" s="37"/>
      <c r="D14" s="37"/>
      <c r="E14" s="38"/>
      <c r="F14" s="38"/>
      <c r="G14" s="38"/>
      <c r="H14" s="38"/>
    </row>
    <row r="15" spans="1:8" ht="26.15" customHeight="1" x14ac:dyDescent="0.7">
      <c r="A15" s="37" t="s">
        <v>1029</v>
      </c>
      <c r="B15" s="37"/>
      <c r="C15" s="37"/>
      <c r="D15" s="37"/>
      <c r="E15" s="38"/>
      <c r="F15" s="38"/>
      <c r="G15" s="38"/>
      <c r="H15" s="38"/>
    </row>
    <row r="16" spans="1:8" ht="26.15" customHeight="1" x14ac:dyDescent="0.7">
      <c r="A16" s="37" t="s">
        <v>1030</v>
      </c>
      <c r="B16" s="37"/>
      <c r="C16" s="37"/>
      <c r="D16" s="37"/>
      <c r="E16" s="38"/>
      <c r="F16" s="38"/>
      <c r="G16" s="38"/>
      <c r="H16" s="38"/>
    </row>
    <row r="17" spans="1:8" ht="26.15" customHeight="1" x14ac:dyDescent="0.7">
      <c r="A17" s="37" t="s">
        <v>1031</v>
      </c>
      <c r="B17" s="37"/>
      <c r="C17" s="37"/>
      <c r="D17" s="37"/>
      <c r="E17" s="38"/>
      <c r="F17" s="38"/>
      <c r="G17" s="38"/>
      <c r="H17" s="38"/>
    </row>
    <row r="18" spans="1:8" ht="26.15" customHeight="1" x14ac:dyDescent="0.7">
      <c r="A18" s="37" t="s">
        <v>1032</v>
      </c>
      <c r="B18" s="37"/>
      <c r="C18" s="37"/>
      <c r="D18" s="37"/>
      <c r="E18" s="38"/>
      <c r="F18" s="38"/>
      <c r="G18" s="38"/>
      <c r="H18" s="38"/>
    </row>
    <row r="19" spans="1:8" ht="26.15" customHeight="1" x14ac:dyDescent="0.7">
      <c r="A19" s="37" t="s">
        <v>1033</v>
      </c>
      <c r="B19" s="37"/>
      <c r="C19" s="37"/>
      <c r="D19" s="37"/>
      <c r="E19" s="38"/>
      <c r="F19" s="38"/>
      <c r="G19" s="38"/>
      <c r="H19" s="38"/>
    </row>
    <row r="20" spans="1:8" ht="25" x14ac:dyDescent="0.7">
      <c r="A20" s="37" t="s">
        <v>1034</v>
      </c>
      <c r="B20" s="37"/>
      <c r="C20" s="37"/>
      <c r="D20" s="37"/>
      <c r="E20" s="37"/>
      <c r="F20" s="37"/>
      <c r="G20" s="37"/>
      <c r="H20" s="37"/>
    </row>
    <row r="21" spans="1:8" ht="25" x14ac:dyDescent="0.7">
      <c r="A21" s="37" t="s">
        <v>1035</v>
      </c>
      <c r="B21" s="37"/>
      <c r="C21" s="37"/>
      <c r="D21" s="37"/>
      <c r="E21" s="37"/>
      <c r="F21" s="37"/>
      <c r="G21" s="37"/>
      <c r="H21" s="37"/>
    </row>
    <row r="22" spans="1:8" ht="25" x14ac:dyDescent="0.7">
      <c r="A22" s="37" t="s">
        <v>1036</v>
      </c>
      <c r="B22" s="37"/>
      <c r="C22" s="37"/>
      <c r="D22" s="37"/>
      <c r="E22" s="37"/>
      <c r="F22" s="37"/>
      <c r="G22" s="37"/>
      <c r="H22" s="37"/>
    </row>
    <row r="23" spans="1:8" ht="25" x14ac:dyDescent="0.7">
      <c r="A23" s="37" t="s">
        <v>1037</v>
      </c>
      <c r="B23" s="37"/>
      <c r="C23" s="37"/>
      <c r="D23" s="37"/>
      <c r="E23" s="37"/>
      <c r="F23" s="37"/>
      <c r="G23" s="37"/>
      <c r="H23" s="37"/>
    </row>
    <row r="24" spans="1:8" ht="25" x14ac:dyDescent="0.7">
      <c r="A24" s="37" t="s">
        <v>1038</v>
      </c>
      <c r="B24" s="37"/>
      <c r="C24" s="37"/>
      <c r="D24" s="37"/>
      <c r="E24" s="37"/>
      <c r="F24" s="37"/>
      <c r="G24" s="37"/>
      <c r="H24" s="37"/>
    </row>
    <row r="25" spans="1:8" ht="25" x14ac:dyDescent="0.7">
      <c r="A25" s="37" t="s">
        <v>1041</v>
      </c>
      <c r="B25" s="37"/>
      <c r="C25" s="37"/>
      <c r="D25" s="37"/>
      <c r="E25" s="37"/>
      <c r="F25" s="37"/>
      <c r="G25" s="37"/>
      <c r="H25" s="37"/>
    </row>
    <row r="26" spans="1:8" ht="25" x14ac:dyDescent="0.7">
      <c r="A26" s="37" t="s">
        <v>1015</v>
      </c>
      <c r="B26" s="37"/>
      <c r="C26" s="37"/>
      <c r="D26" s="37"/>
      <c r="E26" s="37"/>
      <c r="F26" s="37"/>
      <c r="G26" s="37"/>
      <c r="H26" s="37"/>
    </row>
    <row r="27" spans="1:8" ht="25" x14ac:dyDescent="0.7">
      <c r="A27" s="37" t="s">
        <v>1042</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1021</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1040</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1021</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1040</v>
      </c>
      <c r="D70" t="s">
        <v>326</v>
      </c>
      <c r="E70" t="s">
        <v>260</v>
      </c>
      <c r="F70" s="6" t="s">
        <v>18</v>
      </c>
      <c r="M70" t="s">
        <v>1039</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1043</v>
      </c>
      <c r="D72" t="s">
        <v>449</v>
      </c>
      <c r="E72" t="s">
        <v>260</v>
      </c>
      <c r="F72" s="6" t="s">
        <v>18</v>
      </c>
      <c r="M72" t="s">
        <v>1044</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151</v>
      </c>
      <c r="E1" s="40"/>
      <c r="F1" s="40"/>
      <c r="G1" s="40"/>
      <c r="H1" s="40"/>
      <c r="I1" s="40"/>
      <c r="J1" s="40"/>
      <c r="K1" s="40"/>
      <c r="L1" s="41" t="str">
        <f>VLOOKUP(C1,'[1]Codigo Canto'!A3:AQ236,38,FALSE)</f>
        <v>SI HABÉIS RESUCITADO CON CRISTO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SI HABÉIS RESUCITADO CON CRISTO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sihabeisresucitadoconcristo</v>
      </c>
      <c r="L7" s="48" t="str">
        <f>_xlfn.CONCAT("        id: ","""",C7,"""",",")</f>
        <v xml:space="preserve">        id: "sihabeisresucitadoconcristo",</v>
      </c>
    </row>
    <row r="8" spans="2:32" ht="23" x14ac:dyDescent="0.35">
      <c r="C8" t="str">
        <f>PROPER(L1)</f>
        <v>Si Habéis Resucitado Con Cristo</v>
      </c>
      <c r="L8" s="48" t="str">
        <f>_xlfn.CONCAT("        tt: ","""",C8,"""",",")</f>
        <v xml:space="preserve">        tt: "Si Habéis Resucitado Con Cristo",</v>
      </c>
    </row>
    <row r="9" spans="2:32" ht="23" x14ac:dyDescent="0.35">
      <c r="C9" t="str">
        <f>PROPER(L1)</f>
        <v>Si Habéis Resucitado Con Cristo</v>
      </c>
      <c r="L9" s="48" t="str">
        <f>_xlfn.CONCAT("        title: ","""",C9,"""",",")</f>
        <v xml:space="preserve">        title: "Si Habéis Resucitado Con Cristo",</v>
      </c>
    </row>
    <row r="10" spans="2:32" ht="23" x14ac:dyDescent="0.35">
      <c r="C10" t="str">
        <f>VLOOKUP(C1,'[1]Codigo Canto'!A3:AQ236,12,FALSE)</f>
        <v>Colosense 3,1-4</v>
      </c>
      <c r="L10" s="48" t="str">
        <f>_xlfn.CONCAT("        ","subtitle: ","""",C10,"""",",")</f>
        <v xml:space="preserve">        subtitle: "Colosense 3,1-4",</v>
      </c>
    </row>
    <row r="11" spans="2:32" ht="23" x14ac:dyDescent="0.35">
      <c r="C11" t="str">
        <f>_xlfn.CONCAT("category: [",VLOOKUP(C1,Table223[],16,FALSE),"],")</f>
        <v>category: ["Precatecumenado","Nuevo Testamento"],</v>
      </c>
      <c r="L11" s="48" t="str">
        <f>_xlfn.CONCAT("        ",C11)</f>
        <v xml:space="preserve">        category: ["Precatecumenado","Nuevo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151</v>
      </c>
      <c r="L16" s="48" t="str">
        <f>_xlfn.CONCAT("        dbno: ","""",C16,"""",",")</f>
        <v xml:space="preserve">        dbno: "151",</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sihabeisresucitadoconcristo</v>
      </c>
      <c r="L19" s="48" t="str">
        <f>_xlfn.CONCAT("        audioSrc: ","""/audio/",C19,".mp3""",",")</f>
        <v xml:space="preserve">        audioSrc: "/audio/sihabeisresucitadoconcristo.mp3",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150</v>
      </c>
      <c r="C26" t="str">
        <f>VLOOKUP(B26,[1]Buscador!A3:AP240,31,FALSE)</f>
        <v>/resucito/src/index.html?canto=sielsenornoconstruyelacasa</v>
      </c>
      <c r="L26" s="48" t="str">
        <f>_xlfn.CONCAT("        ant: ","""",C26,"""",",")</f>
        <v xml:space="preserve">        ant: "/resucito/src/index.html?canto=sielsenornoconstruyelacasa",</v>
      </c>
    </row>
    <row r="27" spans="2:40" ht="23" x14ac:dyDescent="0.35">
      <c r="B27">
        <f>+C1+1</f>
        <v>152</v>
      </c>
      <c r="C27" t="str">
        <f>VLOOKUP(B27,[1]Buscador!A3:AP240,31,FALSE)</f>
        <v>/resucito/src/index.html?canto=sihoyescuchaissuvoz</v>
      </c>
      <c r="L27" s="48" t="str">
        <f>_xlfn.CONCAT("        sig: ","""",C27,"""",",")</f>
        <v xml:space="preserve">        sig: "/resucito/src/index.html?canto=sihoyescuchaissuvoz",</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SI HABÉIS RESUCITADO CON CRISTO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45349-77DA-4FB0-A00E-F55AAA8EDBDB}">
  <sheetPr codeName="Sheet69">
    <tabColor rgb="FF00B0F0"/>
  </sheetPr>
  <dimension ref="A1:AN80"/>
  <sheetViews>
    <sheetView tabSelected="1" zoomScale="115" zoomScaleNormal="115" workbookViewId="0">
      <pane xSplit="2" ySplit="1" topLeftCell="C58" activePane="bottomRight" state="frozen"/>
      <selection pane="topRight" activeCell="C1" sqref="C1"/>
      <selection pane="bottomLeft" activeCell="A2" sqref="A2"/>
      <selection pane="bottomRight" activeCell="C68" sqref="C6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152</v>
      </c>
      <c r="E1" s="40"/>
      <c r="F1" s="40"/>
      <c r="G1" s="40"/>
      <c r="H1" s="40"/>
      <c r="I1" s="40"/>
      <c r="J1" s="40"/>
      <c r="K1" s="40"/>
      <c r="L1" s="41" t="str">
        <f ca="1">UPPER(VLOOKUP(C1,Table223[],3,FALSE))</f>
        <v xml:space="preserve">SI HOY ESCUCHÁIS SU VOZ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HOY ESCUCHÁIS SU VOZ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sihoyescuchaissuvoz</v>
      </c>
      <c r="L7" s="48" t="str">
        <f ca="1">_xlfn.CONCAT("        id: ","""",C7,"""",",")</f>
        <v xml:space="preserve">        id: "sihoyescuchaissuvoz",</v>
      </c>
    </row>
    <row r="8" spans="2:32" ht="23" x14ac:dyDescent="0.35">
      <c r="C8" t="str">
        <f ca="1">PROPER(L1)</f>
        <v xml:space="preserve">Si Hoy Escucháis Su Voz </v>
      </c>
      <c r="L8" s="48" t="str">
        <f ca="1">_xlfn.CONCAT("        tt: ","""",C8,"""",",")</f>
        <v xml:space="preserve">        tt: "Si Hoy Escucháis Su Voz ",</v>
      </c>
    </row>
    <row r="9" spans="2:32" ht="23" x14ac:dyDescent="0.35">
      <c r="C9" t="str">
        <f ca="1">PROPER(L1)</f>
        <v xml:space="preserve">Si Hoy Escucháis Su Voz </v>
      </c>
      <c r="L9" s="48" t="str">
        <f ca="1">_xlfn.CONCAT("        title: ","""",C9,"""",",")</f>
        <v xml:space="preserve">        title: "Si Hoy Escucháis Su Voz ",</v>
      </c>
    </row>
    <row r="10" spans="2:32" ht="23" x14ac:dyDescent="0.35">
      <c r="C10" t="str">
        <f ca="1">VLOOKUP(C1,Table223[],4,FALSE)</f>
        <v>Salmo 95 (94)</v>
      </c>
      <c r="L10" s="48" t="str">
        <f ca="1">_xlfn.CONCAT("        ","subtitle: ","""",C10,"""",",")</f>
        <v xml:space="preserve">        subtitle: "Salmo 95 (94)",</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152</v>
      </c>
      <c r="L16" s="48" t="str">
        <f ca="1">_xlfn.CONCAT("        dbno: ","""",C16,"""",",")</f>
        <v xml:space="preserve">        dbno: "152",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sihoyescuchaissuvoz</v>
      </c>
      <c r="L19" s="48" t="str">
        <f ca="1">_xlfn.CONCAT("        audioSrc: ","""/audio/",C19,".mp3""",",")</f>
        <v xml:space="preserve">        audioSrc: "/audio/sihoyescuchaissuvoz.mp3",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151</v>
      </c>
      <c r="C26" t="str">
        <f ca="1">VLOOKUP(B26,Table4[],13,FALSE)</f>
        <v>"/resucito/src/index.html?canto=sihabeisresucitadoconcristo"</v>
      </c>
      <c r="L26" s="48" t="str">
        <f ca="1">_xlfn.CONCAT("        ant: ",C26,",")</f>
        <v xml:space="preserve">        ant: "/resucito/src/index.html?canto=sihabeisresucitadoconcristo",</v>
      </c>
    </row>
    <row r="27" spans="1:40" ht="23" x14ac:dyDescent="0.35">
      <c r="B27">
        <f ca="1">+C1+1</f>
        <v>153</v>
      </c>
      <c r="C27" t="str">
        <f ca="1">VLOOKUP(B27,Table4[],13,FALSE)</f>
        <v>"/resucito/src/index.html?canto=simeherefugiadoenelsenor"</v>
      </c>
      <c r="L27" s="48" t="str">
        <f ca="1">_xlfn.CONCAT("        sig: ",C27,",")</f>
        <v xml:space="preserve">        sig: "/resucito/src/index.html?canto=simeherefugiadoenelsenor",</v>
      </c>
    </row>
    <row r="28" spans="1:40" ht="23" x14ac:dyDescent="0.35">
      <c r="L28" s="46" t="s">
        <v>991</v>
      </c>
    </row>
    <row r="29" spans="1:40" ht="36" thickBot="1" x14ac:dyDescent="0.4">
      <c r="A29" s="49"/>
      <c r="B29" s="49"/>
      <c r="C29" s="49" t="s">
        <v>1046</v>
      </c>
      <c r="D29" s="49"/>
      <c r="E29" s="49"/>
      <c r="F29" s="49"/>
      <c r="G29" s="49"/>
      <c r="H29" s="49"/>
      <c r="I29" s="49"/>
      <c r="J29" s="49"/>
      <c r="K29" s="49"/>
      <c r="L29" s="50" t="s">
        <v>992</v>
      </c>
    </row>
    <row r="30" spans="1:40" ht="24.5" thickTop="1" thickBot="1" x14ac:dyDescent="0.55000000000000004">
      <c r="B30" t="s">
        <v>997</v>
      </c>
      <c r="C30" s="113" t="s">
        <v>1047</v>
      </c>
      <c r="D30" s="112" t="s">
        <v>1011</v>
      </c>
      <c r="E30" s="52"/>
      <c r="F30" s="53" t="s">
        <v>1048</v>
      </c>
      <c r="G30" s="53" t="s">
        <v>1012</v>
      </c>
      <c r="H30" s="52"/>
      <c r="I30" s="52"/>
      <c r="J30" s="54"/>
      <c r="K30" s="54"/>
      <c r="L30" s="55" t="str">
        <f t="shared" ref="L30:L52" si="0">IF(C30="","",_xlfn.CONCAT("            { line: ","""",C30,", ",M30:AN30,""", sC: ","""",B30,"""},"))</f>
        <v xml:space="preserve">            { line: "SI HOY ESCUCHÁIS SU VOZ, (Mi,,20)(Fa#,m,250)", sC: "ta as"},</v>
      </c>
      <c r="M30" s="56" t="str">
        <f t="shared" ref="M30:M54" si="1">IF(N30="","","(")</f>
        <v>(</v>
      </c>
      <c r="N30" s="57" t="str">
        <f t="shared" ref="N30:N73" si="2">IF(D30="","",D30)</f>
        <v>Mi</v>
      </c>
      <c r="O30" s="58" t="str">
        <f t="shared" ref="O30:O54" si="3">IF(N30="","",",")</f>
        <v>,</v>
      </c>
      <c r="P30" s="59" t="str">
        <f t="shared" ref="P30:P73" si="4">IF(E30="","",E30)</f>
        <v/>
      </c>
      <c r="Q30" s="60" t="str">
        <f t="shared" ref="Q30:Q54" si="5">IF(N30="","",",")</f>
        <v>,</v>
      </c>
      <c r="R30" s="61">
        <f>IF(N30="Do",10,IF(N30="Re",22,IF(N30="Mi",20,IF(N30="Fa",20,IF(N30="Sol",14,IF(N30="La",20,IF(N30="Si",20,IF(N30="Do#",14,IF(N30="Fa#",15,IF(N30="Sol#",20,""))))))))))</f>
        <v>20</v>
      </c>
      <c r="S30" s="56" t="str">
        <f t="shared" ref="S30:S54" si="6">IF(N30="","",")")</f>
        <v>)</v>
      </c>
      <c r="T30" s="62" t="str">
        <f t="shared" ref="T30:T54" si="7">IF(U30="","","(")</f>
        <v>(</v>
      </c>
      <c r="U30" s="63" t="str">
        <f t="shared" ref="U30:U73" si="8">IF(F30="","",F30)</f>
        <v>Fa#</v>
      </c>
      <c r="V30" s="64" t="str">
        <f t="shared" ref="V30:V54" si="9">IF(U30="","",",")</f>
        <v>,</v>
      </c>
      <c r="W30" s="65" t="str">
        <f t="shared" ref="W30:W73" si="10">IF(G30="","",G30)</f>
        <v>m</v>
      </c>
      <c r="X30" s="64" t="str">
        <f t="shared" ref="X30:X54" si="11">IF(U30="","",",")</f>
        <v>,</v>
      </c>
      <c r="Y30" s="64">
        <f t="shared" ref="Y30:Y54" si="12">IF(U30="","",250)</f>
        <v>250</v>
      </c>
      <c r="Z30" s="56" t="str">
        <f t="shared" ref="Z30:Z54" si="13">IF(U30="","",")")</f>
        <v>)</v>
      </c>
      <c r="AA30" s="66" t="str">
        <f t="shared" ref="AA30:AA54" si="14">IF(AB30="","","(")</f>
        <v/>
      </c>
      <c r="AB30" s="57" t="str">
        <f t="shared" ref="AB30:AB73" si="15">IF(H30="","",H30)</f>
        <v/>
      </c>
      <c r="AC30" s="67" t="str">
        <f t="shared" ref="AC30:AC54" si="16">IF(AB30="","",",")</f>
        <v/>
      </c>
      <c r="AD30" s="59" t="str">
        <f t="shared" ref="AD30:AD54" si="17">IF(I30="","",I30)</f>
        <v/>
      </c>
      <c r="AE30" s="68" t="str">
        <f t="shared" ref="AE30:AE54" si="18">IF(AB30="","",",")</f>
        <v/>
      </c>
      <c r="AF30" s="61" t="str">
        <f t="shared" ref="AF30:AF54" si="19">IF(AB30="","",350)</f>
        <v/>
      </c>
      <c r="AG30" s="61" t="str">
        <f t="shared" ref="AG30:AG54" si="20">IF(AB30="","",")")</f>
        <v/>
      </c>
      <c r="AH30" s="69" t="str">
        <f t="shared" ref="AH30:AH54" si="21">IF(AI30="","","(")</f>
        <v/>
      </c>
      <c r="AI30" s="70" t="str">
        <f t="shared" ref="AI30:AI73" si="22">IF(J30="","",J30)</f>
        <v/>
      </c>
      <c r="AJ30" s="64" t="str">
        <f t="shared" ref="AJ30:AJ54" si="23">IF(AI30="","",",")</f>
        <v/>
      </c>
      <c r="AK30" s="64" t="str">
        <f t="shared" ref="AK30:AK54" si="24">IF(K30="","",K30)</f>
        <v/>
      </c>
      <c r="AL30" s="64" t="str">
        <f t="shared" ref="AL30:AL54" si="25">IF(AI30="","",",")</f>
        <v/>
      </c>
      <c r="AM30" s="64" t="str">
        <f t="shared" ref="AM30:AM54" si="26">IF(AI30="","",450)</f>
        <v/>
      </c>
      <c r="AN30" s="64" t="str">
        <f t="shared" ref="AN30:AN54" si="27">IF(AI30="","",")")</f>
        <v/>
      </c>
    </row>
    <row r="31" spans="1:40" ht="24.5" thickTop="1" thickBot="1" x14ac:dyDescent="0.55000000000000004">
      <c r="B31" t="s">
        <v>1045</v>
      </c>
      <c r="C31" s="113" t="s">
        <v>1049</v>
      </c>
      <c r="D31" s="112" t="s">
        <v>984</v>
      </c>
      <c r="E31" s="52">
        <v>7</v>
      </c>
      <c r="F31" s="53" t="s">
        <v>1011</v>
      </c>
      <c r="G31" s="53"/>
      <c r="H31" s="52"/>
      <c r="I31" s="52"/>
      <c r="J31" s="54"/>
      <c r="K31" s="54"/>
      <c r="L31" s="55" t="str">
        <f t="shared" si="0"/>
        <v xml:space="preserve">            { line: "NO ENDUREZCÁIS EL CORAZÓN., (Si,7,20)(Mi,,250)", sC: "as r1"},</v>
      </c>
      <c r="M31" s="56" t="str">
        <f t="shared" si="1"/>
        <v>(</v>
      </c>
      <c r="N31" s="57" t="str">
        <f t="shared" si="2"/>
        <v>Si</v>
      </c>
      <c r="O31" s="58" t="str">
        <f t="shared" si="3"/>
        <v>,</v>
      </c>
      <c r="P31" s="59">
        <f t="shared" si="4"/>
        <v>7</v>
      </c>
      <c r="Q31" s="60" t="str">
        <f t="shared" si="5"/>
        <v>,</v>
      </c>
      <c r="R31" s="61">
        <f t="shared" ref="R31:R77"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1013</v>
      </c>
      <c r="C33" s="113" t="s">
        <v>1050</v>
      </c>
      <c r="D33" s="112" t="s">
        <v>1051</v>
      </c>
      <c r="E33" s="52" t="s">
        <v>1012</v>
      </c>
      <c r="F33" s="53" t="s">
        <v>1048</v>
      </c>
      <c r="G33" s="53" t="s">
        <v>1012</v>
      </c>
      <c r="H33" s="52"/>
      <c r="I33" s="52"/>
      <c r="J33" s="54"/>
      <c r="K33" s="54"/>
      <c r="L33" s="55" t="str">
        <f>IF(C33="","",_xlfn.CONCAT("            { line: ","""",C33,", ",M33:AN33,""", sC: ","""",B33,"""},"))</f>
        <v xml:space="preserve">            { line: "Venid, aclamemos al Señor,, (Do#,m,14)(Fa#,m,250)", sC: "tc"},</v>
      </c>
      <c r="M33" s="56" t="str">
        <f t="shared" si="1"/>
        <v>(</v>
      </c>
      <c r="N33" s="57" t="str">
        <f t="shared" si="2"/>
        <v>Do#</v>
      </c>
      <c r="O33" s="58" t="str">
        <f t="shared" si="3"/>
        <v>,</v>
      </c>
      <c r="P33" s="59" t="str">
        <f t="shared" si="4"/>
        <v>m</v>
      </c>
      <c r="Q33" s="60" t="str">
        <f t="shared" si="5"/>
        <v>,</v>
      </c>
      <c r="R33" s="61">
        <f t="shared" si="28"/>
        <v>14</v>
      </c>
      <c r="S33" s="56" t="str">
        <f t="shared" si="6"/>
        <v>)</v>
      </c>
      <c r="T33" s="62" t="str">
        <f t="shared" si="7"/>
        <v>(</v>
      </c>
      <c r="U33" s="63" t="str">
        <f t="shared" si="8"/>
        <v>Fa#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1052</v>
      </c>
      <c r="D34" s="112" t="s">
        <v>984</v>
      </c>
      <c r="E34" s="52">
        <v>7</v>
      </c>
      <c r="F34" s="53" t="s">
        <v>1011</v>
      </c>
      <c r="G34" s="53"/>
      <c r="H34" s="52"/>
      <c r="I34" s="52"/>
      <c r="J34" s="54"/>
      <c r="K34" s="54"/>
      <c r="L34" s="55" t="str">
        <f>IF(C34="","",_xlfn.CONCAT("            { line: ","""",C34,", ",M34:AN34,""", sC: ","""",B34,"""},"))</f>
        <v xml:space="preserve">            { line: "demos vítores a la roca que nos salva;, (Si,7,20)(Mi,,250)", sC: ""},</v>
      </c>
      <c r="M34" s="56" t="str">
        <f t="shared" si="1"/>
        <v>(</v>
      </c>
      <c r="N34" s="57" t="str">
        <f t="shared" si="2"/>
        <v>Si</v>
      </c>
      <c r="O34" s="58" t="str">
        <f t="shared" si="3"/>
        <v>,</v>
      </c>
      <c r="P34" s="59">
        <f t="shared" si="4"/>
        <v>7</v>
      </c>
      <c r="Q34" s="60" t="str">
        <f t="shared" si="5"/>
        <v>,</v>
      </c>
      <c r="R34" s="61">
        <f t="shared" si="28"/>
        <v>20</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1053</v>
      </c>
      <c r="D35" s="112" t="s">
        <v>1051</v>
      </c>
      <c r="E35" s="52" t="s">
        <v>1012</v>
      </c>
      <c r="F35" s="53" t="s">
        <v>1054</v>
      </c>
      <c r="G35" s="53"/>
      <c r="H35" s="52"/>
      <c r="I35" s="52"/>
      <c r="J35" s="54"/>
      <c r="K35" s="54"/>
      <c r="L35" s="55" t="str">
        <f t="shared" ref="L35:L51" si="30">IF(C35="","",_xlfn.CONCAT("            { line: ","""",C35,", ",M35:AN35,""", sC: ","""",B35,"""},"))</f>
        <v xml:space="preserve">            { line: "entremos a su presencia dándole gracias,, (Do#,m,14)(Sol#,,250)", sC: ""},</v>
      </c>
      <c r="M35" s="56" t="str">
        <f t="shared" si="1"/>
        <v>(</v>
      </c>
      <c r="N35" s="57" t="str">
        <f t="shared" si="2"/>
        <v>Do#</v>
      </c>
      <c r="O35" s="58" t="str">
        <f t="shared" si="3"/>
        <v>,</v>
      </c>
      <c r="P35" s="59" t="str">
        <f t="shared" si="4"/>
        <v>m</v>
      </c>
      <c r="Q35" s="60" t="str">
        <f t="shared" si="5"/>
        <v>,</v>
      </c>
      <c r="R35" s="61">
        <f t="shared" si="28"/>
        <v>14</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1055</v>
      </c>
      <c r="D36" s="112" t="s">
        <v>1051</v>
      </c>
      <c r="E36" s="52" t="s">
        <v>1012</v>
      </c>
      <c r="F36" s="53" t="s">
        <v>1011</v>
      </c>
      <c r="G36" s="53"/>
      <c r="H36" s="52"/>
      <c r="I36" s="52"/>
      <c r="J36" s="54"/>
      <c r="K36" s="54"/>
      <c r="L36" s="55" t="str">
        <f t="shared" si="30"/>
        <v xml:space="preserve">            { line: "aclamándolo con cantos y salmos., (Do#,m,14)(Mi,,250)", sC: ""},</v>
      </c>
      <c r="M36" s="56" t="str">
        <f>IF(N36="","","(")</f>
        <v>(</v>
      </c>
      <c r="N36" s="57" t="str">
        <f>IF(D36="","",D36)</f>
        <v>Do#</v>
      </c>
      <c r="O36" s="58" t="str">
        <f>IF(N36="","",",")</f>
        <v>,</v>
      </c>
      <c r="P36" s="59" t="str">
        <f>IF(E36="","",E36)</f>
        <v>m</v>
      </c>
      <c r="Q36" s="60" t="str">
        <f>IF(N36="","",",")</f>
        <v>,</v>
      </c>
      <c r="R36" s="61">
        <f t="shared" si="28"/>
        <v>14</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ref="R37:R41" si="31">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79" t="s">
        <v>995</v>
      </c>
      <c r="D38" s="80"/>
      <c r="E38" s="80"/>
      <c r="F38" s="80"/>
      <c r="G38" s="80"/>
      <c r="H38" s="80"/>
      <c r="I38" s="80"/>
      <c r="J38" s="80"/>
      <c r="K38" s="80"/>
      <c r="L38" s="81" t="s">
        <v>996</v>
      </c>
      <c r="M38" s="56" t="str">
        <f t="shared" ref="M38:M40" si="32">IF(N38="","","(")</f>
        <v/>
      </c>
      <c r="N38" s="57" t="str">
        <f t="shared" ref="N38:N40" si="33">IF(D38="","",D38)</f>
        <v/>
      </c>
      <c r="O38" s="58" t="str">
        <f t="shared" ref="O38:O40" si="34">IF(N38="","",",")</f>
        <v/>
      </c>
      <c r="P38" s="59" t="str">
        <f t="shared" ref="P38:P40" si="35">IF(E38="","",E38)</f>
        <v/>
      </c>
      <c r="Q38" s="60" t="str">
        <f t="shared" ref="Q38:Q40" si="36">IF(N38="","",",")</f>
        <v/>
      </c>
      <c r="R38" s="61" t="str">
        <f t="shared" si="31"/>
        <v/>
      </c>
      <c r="S38" s="56" t="str">
        <f t="shared" ref="S38:S40" si="37">IF(N38="","",")")</f>
        <v/>
      </c>
      <c r="T38" s="62" t="str">
        <f t="shared" ref="T38:T40" si="38">IF(U38="","","(")</f>
        <v/>
      </c>
      <c r="U38" s="63" t="str">
        <f t="shared" ref="U38:U40" si="39">IF(F38="","",F38)</f>
        <v/>
      </c>
      <c r="V38" s="64" t="str">
        <f t="shared" ref="V38:V40" si="40">IF(U38="","",",")</f>
        <v/>
      </c>
      <c r="W38" s="65" t="str">
        <f t="shared" ref="W38:W40" si="41">IF(G38="","",G38)</f>
        <v/>
      </c>
      <c r="X38" s="64" t="str">
        <f t="shared" ref="X38:X40" si="42">IF(U38="","",",")</f>
        <v/>
      </c>
      <c r="Y38" s="64" t="str">
        <f t="shared" ref="Y38:Y40" si="43">IF(U38="","",250)</f>
        <v/>
      </c>
      <c r="Z38" s="56" t="str">
        <f t="shared" ref="Z38:Z40" si="44">IF(U38="","",")")</f>
        <v/>
      </c>
      <c r="AA38" s="66" t="str">
        <f t="shared" ref="AA38:AA40" si="45">IF(AB38="","","(")</f>
        <v/>
      </c>
      <c r="AB38" s="57" t="str">
        <f t="shared" ref="AB38:AB40" si="46">IF(H38="","",H38)</f>
        <v/>
      </c>
      <c r="AC38" s="67" t="str">
        <f t="shared" ref="AC38:AC40" si="47">IF(AB38="","",",")</f>
        <v/>
      </c>
      <c r="AD38" s="59" t="str">
        <f t="shared" ref="AD38:AD40" si="48">IF(I38="","",I38)</f>
        <v/>
      </c>
      <c r="AE38" s="68" t="str">
        <f t="shared" ref="AE38:AE40" si="49">IF(AB38="","",",")</f>
        <v/>
      </c>
      <c r="AF38" s="61" t="str">
        <f t="shared" ref="AF38:AF40" si="50">IF(AB38="","",350)</f>
        <v/>
      </c>
      <c r="AG38" s="61" t="str">
        <f t="shared" ref="AG38:AG40" si="51">IF(AB38="","",")")</f>
        <v/>
      </c>
      <c r="AH38" s="69" t="str">
        <f t="shared" ref="AH38:AH40" si="52">IF(AI38="","","(")</f>
        <v/>
      </c>
      <c r="AI38" s="70" t="str">
        <f t="shared" ref="AI38:AI40" si="53">IF(J38="","",J38)</f>
        <v/>
      </c>
      <c r="AJ38" s="64" t="str">
        <f t="shared" ref="AJ38:AJ40" si="54">IF(AI38="","",",")</f>
        <v/>
      </c>
      <c r="AK38" s="64" t="str">
        <f t="shared" ref="AK38:AK40" si="55">IF(K38="","",K38)</f>
        <v/>
      </c>
      <c r="AL38" s="64" t="str">
        <f t="shared" ref="AL38:AL40" si="56">IF(AI38="","",",")</f>
        <v/>
      </c>
      <c r="AM38" s="64" t="str">
        <f t="shared" ref="AM38:AM40" si="57">IF(AI38="","",450)</f>
        <v/>
      </c>
      <c r="AN38" s="64" t="str">
        <f t="shared" ref="AN38:AN40" si="58">IF(AI38="","",")")</f>
        <v/>
      </c>
    </row>
    <row r="39" spans="1:40" ht="24.5" thickTop="1" thickBot="1" x14ac:dyDescent="0.55000000000000004">
      <c r="B39" t="s">
        <v>997</v>
      </c>
      <c r="C39" s="82" t="s">
        <v>1056</v>
      </c>
      <c r="D39" s="83" t="s">
        <v>1011</v>
      </c>
      <c r="E39" s="83"/>
      <c r="F39" s="83" t="s">
        <v>1048</v>
      </c>
      <c r="G39" s="83" t="s">
        <v>1012</v>
      </c>
      <c r="H39" s="83"/>
      <c r="I39" s="83"/>
      <c r="J39" s="83"/>
      <c r="K39" s="83"/>
      <c r="L39" s="84" t="str">
        <f>IF(C39="","",_xlfn.CONCAT("       triggerLine: ","""",C39,", ",M39:AN39,""", sC: ","""",B39,""", lines: ["))</f>
        <v xml:space="preserve">       triggerLine: "SI HOY ESCUCHÁIS SU VOZ..., (Mi,,20)(Fa#,m,250)", sC: "ta as", lines: [</v>
      </c>
      <c r="M39" s="56" t="str">
        <f t="shared" si="32"/>
        <v>(</v>
      </c>
      <c r="N39" s="57" t="str">
        <f t="shared" si="33"/>
        <v>Mi</v>
      </c>
      <c r="O39" s="58" t="str">
        <f t="shared" si="34"/>
        <v>,</v>
      </c>
      <c r="P39" s="59" t="str">
        <f t="shared" si="35"/>
        <v/>
      </c>
      <c r="Q39" s="60" t="str">
        <f t="shared" si="36"/>
        <v>,</v>
      </c>
      <c r="R39" s="61">
        <f t="shared" si="31"/>
        <v>20</v>
      </c>
      <c r="S39" s="56" t="str">
        <f t="shared" si="37"/>
        <v>)</v>
      </c>
      <c r="T39" s="62" t="str">
        <f t="shared" si="38"/>
        <v>(</v>
      </c>
      <c r="U39" s="63" t="str">
        <f t="shared" si="39"/>
        <v>Fa#</v>
      </c>
      <c r="V39" s="64" t="str">
        <f t="shared" si="40"/>
        <v>,</v>
      </c>
      <c r="W39" s="65" t="str">
        <f t="shared" si="41"/>
        <v>m</v>
      </c>
      <c r="X39" s="64" t="str">
        <f t="shared" si="42"/>
        <v>,</v>
      </c>
      <c r="Y39" s="64">
        <f t="shared" si="43"/>
        <v>250</v>
      </c>
      <c r="Z39" s="56" t="str">
        <f t="shared" si="44"/>
        <v>)</v>
      </c>
      <c r="AA39" s="66" t="str">
        <f t="shared" si="45"/>
        <v/>
      </c>
      <c r="AB39" s="57" t="str">
        <f t="shared" si="46"/>
        <v/>
      </c>
      <c r="AC39" s="67" t="str">
        <f t="shared" si="47"/>
        <v/>
      </c>
      <c r="AD39" s="59" t="str">
        <f t="shared" si="48"/>
        <v/>
      </c>
      <c r="AE39" s="68" t="str">
        <f t="shared" si="49"/>
        <v/>
      </c>
      <c r="AF39" s="61" t="str">
        <f t="shared" si="50"/>
        <v/>
      </c>
      <c r="AG39" s="61" t="str">
        <f t="shared" si="51"/>
        <v/>
      </c>
      <c r="AH39" s="69" t="str">
        <f t="shared" si="52"/>
        <v/>
      </c>
      <c r="AI39" s="70" t="str">
        <f t="shared" si="53"/>
        <v/>
      </c>
      <c r="AJ39" s="64" t="str">
        <f t="shared" si="54"/>
        <v/>
      </c>
      <c r="AK39" s="64" t="str">
        <f t="shared" si="55"/>
        <v/>
      </c>
      <c r="AL39" s="64" t="str">
        <f t="shared" si="56"/>
        <v/>
      </c>
      <c r="AM39" s="64" t="str">
        <f t="shared" si="57"/>
        <v/>
      </c>
      <c r="AN39" s="64" t="str">
        <f t="shared" si="58"/>
        <v/>
      </c>
    </row>
    <row r="40" spans="1:40" ht="24.5" thickTop="1" thickBot="1" x14ac:dyDescent="0.55000000000000004">
      <c r="B40" t="s">
        <v>999</v>
      </c>
      <c r="C40" s="93" t="s">
        <v>1049</v>
      </c>
      <c r="D40" s="83" t="s">
        <v>984</v>
      </c>
      <c r="E40" s="83">
        <v>7</v>
      </c>
      <c r="F40" s="83" t="s">
        <v>1011</v>
      </c>
      <c r="G40" s="83"/>
      <c r="H40" s="83"/>
      <c r="I40" s="83"/>
      <c r="J40" s="83"/>
      <c r="K40" s="83"/>
      <c r="L40" s="94" t="str">
        <f>IF(C40="","",_xlfn.CONCAT("            { line: ","""",C40,", ",M40:AN40,""", sC: ","""",B40,"""},  ]},"))</f>
        <v xml:space="preserve">            { line: "NO ENDUREZCÁIS EL CORAZÓN., (Si,7,20)(Mi,,250)", sC: "as"},  ]},</v>
      </c>
      <c r="M40" s="56" t="str">
        <f t="shared" si="32"/>
        <v>(</v>
      </c>
      <c r="N40" s="57" t="str">
        <f t="shared" si="33"/>
        <v>Si</v>
      </c>
      <c r="O40" s="58" t="str">
        <f t="shared" si="34"/>
        <v>,</v>
      </c>
      <c r="P40" s="59">
        <f t="shared" si="35"/>
        <v>7</v>
      </c>
      <c r="Q40" s="60" t="str">
        <f t="shared" si="36"/>
        <v>,</v>
      </c>
      <c r="R40" s="61">
        <f t="shared" si="31"/>
        <v>20</v>
      </c>
      <c r="S40" s="56" t="str">
        <f t="shared" si="37"/>
        <v>)</v>
      </c>
      <c r="T40" s="62" t="str">
        <f t="shared" si="38"/>
        <v>(</v>
      </c>
      <c r="U40" s="63" t="str">
        <f t="shared" si="39"/>
        <v>Mi</v>
      </c>
      <c r="V40" s="64" t="str">
        <f t="shared" si="40"/>
        <v>,</v>
      </c>
      <c r="W40" s="65" t="str">
        <f t="shared" si="41"/>
        <v/>
      </c>
      <c r="X40" s="64" t="str">
        <f t="shared" si="42"/>
        <v>,</v>
      </c>
      <c r="Y40" s="64">
        <f t="shared" si="43"/>
        <v>250</v>
      </c>
      <c r="Z40" s="56" t="str">
        <f t="shared" si="44"/>
        <v>)</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31"/>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1013</v>
      </c>
      <c r="C42" s="113" t="s">
        <v>1057</v>
      </c>
      <c r="D42" s="112" t="s">
        <v>1051</v>
      </c>
      <c r="E42" s="52" t="s">
        <v>1012</v>
      </c>
      <c r="F42" s="53" t="s">
        <v>1048</v>
      </c>
      <c r="G42" s="53" t="s">
        <v>1012</v>
      </c>
      <c r="H42" s="52"/>
      <c r="I42" s="52"/>
      <c r="J42" s="54"/>
      <c r="K42" s="54"/>
      <c r="L42" s="55" t="str">
        <f t="shared" si="30"/>
        <v xml:space="preserve">            { line: "Porque el Señor es un Dios grande,, (Do#,m,14)(Fa#,m,250)", sC: "tc"},</v>
      </c>
      <c r="M42" s="56" t="str">
        <f>IF(N42="","","(")</f>
        <v>(</v>
      </c>
      <c r="N42" s="57" t="str">
        <f>IF(D42="","",D42)</f>
        <v>Do#</v>
      </c>
      <c r="O42" s="58" t="str">
        <f>IF(N42="","",",")</f>
        <v>,</v>
      </c>
      <c r="P42" s="59" t="str">
        <f>IF(E42="","",E42)</f>
        <v>m</v>
      </c>
      <c r="Q42" s="60" t="str">
        <f>IF(N42="","",",")</f>
        <v>,</v>
      </c>
      <c r="R42" s="61">
        <f t="shared" si="28"/>
        <v>14</v>
      </c>
      <c r="S42" s="56" t="str">
        <f>IF(N42="","",")")</f>
        <v>)</v>
      </c>
      <c r="T42" s="62" t="str">
        <f>IF(U42="","","(")</f>
        <v>(</v>
      </c>
      <c r="U42" s="63" t="str">
        <f>IF(F42="","",F42)</f>
        <v>Fa#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1058</v>
      </c>
      <c r="D43" s="112">
        <v>517</v>
      </c>
      <c r="E43" s="52"/>
      <c r="F43" s="53" t="s">
        <v>1059</v>
      </c>
      <c r="G43" s="53"/>
      <c r="H43" s="52"/>
      <c r="I43" s="52"/>
      <c r="J43" s="54"/>
      <c r="K43" s="54"/>
      <c r="L43" s="55" t="str">
        <f t="shared" si="30"/>
        <v xml:space="preserve">            { line: "más grande que todos los dioses;, (517,,)(MI,,250)", sC: ""},</v>
      </c>
      <c r="M43" s="56" t="str">
        <f>IF(N43="","","(")</f>
        <v>(</v>
      </c>
      <c r="N43" s="57">
        <f>IF(D43="","",D43)</f>
        <v>517</v>
      </c>
      <c r="O43" s="58" t="str">
        <f>IF(N43="","",",")</f>
        <v>,</v>
      </c>
      <c r="P43" s="59" t="str">
        <f>IF(E43="","",E43)</f>
        <v/>
      </c>
      <c r="Q43" s="60" t="str">
        <f>IF(N43="","",",")</f>
        <v>,</v>
      </c>
      <c r="R43" s="61" t="str">
        <f t="shared" si="28"/>
        <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1060</v>
      </c>
      <c r="D44" s="112" t="s">
        <v>1051</v>
      </c>
      <c r="E44" s="52" t="s">
        <v>1012</v>
      </c>
      <c r="F44" s="53" t="s">
        <v>1054</v>
      </c>
      <c r="G44" s="53"/>
      <c r="H44" s="52"/>
      <c r="I44" s="52"/>
      <c r="J44" s="54"/>
      <c r="K44" s="54"/>
      <c r="L44" s="55" t="str">
        <f t="shared" si="30"/>
        <v xml:space="preserve">            { line: "suyo es el mar, suya es la tierra,, (Do#,m,14)(Sol#,,250)", sC: ""},</v>
      </c>
      <c r="M44" s="56" t="str">
        <f t="shared" ref="M44:M51" si="59">IF(N44="","","(")</f>
        <v>(</v>
      </c>
      <c r="N44" s="57" t="str">
        <f t="shared" ref="N44:N51" si="60">IF(D44="","",D44)</f>
        <v>Do#</v>
      </c>
      <c r="O44" s="58" t="str">
        <f t="shared" ref="O44:O51" si="61">IF(N44="","",",")</f>
        <v>,</v>
      </c>
      <c r="P44" s="59" t="str">
        <f t="shared" ref="P44:P51" si="62">IF(E44="","",E44)</f>
        <v>m</v>
      </c>
      <c r="Q44" s="60" t="str">
        <f t="shared" ref="Q44:Q51" si="63">IF(N44="","",",")</f>
        <v>,</v>
      </c>
      <c r="R44" s="61">
        <f t="shared" si="28"/>
        <v>14</v>
      </c>
      <c r="S44" s="56" t="str">
        <f t="shared" ref="S44:S51" si="64">IF(N44="","",")")</f>
        <v>)</v>
      </c>
      <c r="T44" s="62" t="str">
        <f t="shared" ref="T44:T51" si="65">IF(U44="","","(")</f>
        <v>(</v>
      </c>
      <c r="U44" s="63" t="str">
        <f t="shared" ref="U44:U51" si="66">IF(F44="","",F44)</f>
        <v>Sol#</v>
      </c>
      <c r="V44" s="64" t="str">
        <f t="shared" ref="V44:V51" si="67">IF(U44="","",",")</f>
        <v>,</v>
      </c>
      <c r="W44" s="65" t="str">
        <f t="shared" ref="W44:W51" si="68">IF(G44="","",G44)</f>
        <v/>
      </c>
      <c r="X44" s="64" t="str">
        <f t="shared" ref="X44:X51" si="69">IF(U44="","",",")</f>
        <v>,</v>
      </c>
      <c r="Y44" s="64">
        <f t="shared" ref="Y44:Y51" si="70">IF(U44="","",250)</f>
        <v>250</v>
      </c>
      <c r="Z44" s="56" t="str">
        <f t="shared" ref="Z44:Z51" si="71">IF(U44="","",")")</f>
        <v>)</v>
      </c>
      <c r="AA44" s="66" t="str">
        <f t="shared" ref="AA44:AA51" si="72">IF(AB44="","","(")</f>
        <v/>
      </c>
      <c r="AB44" s="57" t="str">
        <f t="shared" ref="AB44:AB51" si="73">IF(H44="","",H44)</f>
        <v/>
      </c>
      <c r="AC44" s="67" t="str">
        <f t="shared" ref="AC44:AC51" si="74">IF(AB44="","",",")</f>
        <v/>
      </c>
      <c r="AD44" s="59" t="str">
        <f t="shared" ref="AD44:AD51" si="75">IF(I44="","",I44)</f>
        <v/>
      </c>
      <c r="AE44" s="68" t="str">
        <f t="shared" ref="AE44:AE51" si="76">IF(AB44="","",",")</f>
        <v/>
      </c>
      <c r="AF44" s="61" t="str">
        <f t="shared" ref="AF44:AF51" si="77">IF(AB44="","",350)</f>
        <v/>
      </c>
      <c r="AG44" s="61" t="str">
        <f t="shared" ref="AG44:AG51" si="78">IF(AB44="","",")")</f>
        <v/>
      </c>
      <c r="AH44" s="69" t="str">
        <f t="shared" ref="AH44:AH51" si="79">IF(AI44="","","(")</f>
        <v/>
      </c>
      <c r="AI44" s="70" t="str">
        <f t="shared" ref="AI44:AI51" si="80">IF(J44="","",J44)</f>
        <v/>
      </c>
      <c r="AJ44" s="64" t="str">
        <f t="shared" ref="AJ44:AJ51" si="81">IF(AI44="","",",")</f>
        <v/>
      </c>
      <c r="AK44" s="64" t="str">
        <f t="shared" ref="AK44:AK51" si="82">IF(K44="","",K44)</f>
        <v/>
      </c>
      <c r="AL44" s="64" t="str">
        <f t="shared" ref="AL44:AL51" si="83">IF(AI44="","",",")</f>
        <v/>
      </c>
      <c r="AM44" s="64" t="str">
        <f t="shared" ref="AM44:AM51" si="84">IF(AI44="","",450)</f>
        <v/>
      </c>
      <c r="AN44" s="64" t="str">
        <f t="shared" ref="AN44:AN51" si="85">IF(AI44="","",")")</f>
        <v/>
      </c>
    </row>
    <row r="45" spans="1:40" ht="24.5" thickTop="1" thickBot="1" x14ac:dyDescent="0.55000000000000004">
      <c r="C45" s="113" t="s">
        <v>1061</v>
      </c>
      <c r="D45" s="112" t="s">
        <v>1051</v>
      </c>
      <c r="E45" s="52" t="s">
        <v>1012</v>
      </c>
      <c r="F45" s="53" t="s">
        <v>1011</v>
      </c>
      <c r="G45" s="53"/>
      <c r="H45" s="52"/>
      <c r="I45" s="52"/>
      <c r="J45" s="54"/>
      <c r="K45" s="54"/>
      <c r="L45" s="55" t="str">
        <f t="shared" si="30"/>
        <v xml:space="preserve">            { line: "son suyas las cumbres de los montes., (Do#,m,14)(Mi,,250)", sC: ""},</v>
      </c>
      <c r="M45" s="56" t="str">
        <f t="shared" si="59"/>
        <v>(</v>
      </c>
      <c r="N45" s="57" t="str">
        <f t="shared" si="60"/>
        <v>Do#</v>
      </c>
      <c r="O45" s="58" t="str">
        <f t="shared" si="61"/>
        <v>,</v>
      </c>
      <c r="P45" s="59" t="str">
        <f t="shared" si="62"/>
        <v>m</v>
      </c>
      <c r="Q45" s="60" t="str">
        <f t="shared" si="63"/>
        <v>,</v>
      </c>
      <c r="R45" s="61">
        <f t="shared" si="28"/>
        <v>14</v>
      </c>
      <c r="S45" s="56" t="str">
        <f t="shared" si="64"/>
        <v>)</v>
      </c>
      <c r="T45" s="62" t="str">
        <f t="shared" si="65"/>
        <v>(</v>
      </c>
      <c r="U45" s="63" t="str">
        <f t="shared" si="66"/>
        <v>Mi</v>
      </c>
      <c r="V45" s="64" t="str">
        <f t="shared" si="67"/>
        <v>,</v>
      </c>
      <c r="W45" s="65" t="str">
        <f t="shared" si="68"/>
        <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C47" s="79" t="s">
        <v>995</v>
      </c>
      <c r="D47" s="80"/>
      <c r="E47" s="80"/>
      <c r="F47" s="80"/>
      <c r="G47" s="80"/>
      <c r="H47" s="80"/>
      <c r="I47" s="80"/>
      <c r="J47" s="80"/>
      <c r="K47" s="80"/>
      <c r="L47" s="81" t="s">
        <v>996</v>
      </c>
      <c r="M47" s="56" t="str">
        <f t="shared" ref="M47:M49" si="86">IF(N47="","","(")</f>
        <v/>
      </c>
      <c r="N47" s="57" t="str">
        <f t="shared" ref="N47:N49" si="87">IF(D47="","",D47)</f>
        <v/>
      </c>
      <c r="O47" s="58" t="str">
        <f t="shared" ref="O47:O49" si="88">IF(N47="","",",")</f>
        <v/>
      </c>
      <c r="P47" s="59" t="str">
        <f t="shared" ref="P47:P49" si="89">IF(E47="","",E47)</f>
        <v/>
      </c>
      <c r="Q47" s="60" t="str">
        <f t="shared" ref="Q47:Q49" si="90">IF(N47="","",",")</f>
        <v/>
      </c>
      <c r="R47" s="61" t="str">
        <f t="shared" si="28"/>
        <v/>
      </c>
      <c r="S47" s="56" t="str">
        <f t="shared" ref="S47:S49" si="91">IF(N47="","",")")</f>
        <v/>
      </c>
      <c r="T47" s="62" t="str">
        <f t="shared" ref="T47:T49" si="92">IF(U47="","","(")</f>
        <v/>
      </c>
      <c r="U47" s="63" t="str">
        <f t="shared" ref="U47:U49" si="93">IF(F47="","",F47)</f>
        <v/>
      </c>
      <c r="V47" s="64" t="str">
        <f t="shared" ref="V47:V49" si="94">IF(U47="","",",")</f>
        <v/>
      </c>
      <c r="W47" s="65" t="str">
        <f t="shared" ref="W47:W49" si="95">IF(G47="","",G47)</f>
        <v/>
      </c>
      <c r="X47" s="64" t="str">
        <f t="shared" ref="X47:X49" si="96">IF(U47="","",",")</f>
        <v/>
      </c>
      <c r="Y47" s="64" t="str">
        <f t="shared" ref="Y47:Y49" si="97">IF(U47="","",250)</f>
        <v/>
      </c>
      <c r="Z47" s="56" t="str">
        <f t="shared" ref="Z47:Z49" si="98">IF(U47="","",")")</f>
        <v/>
      </c>
      <c r="AA47" s="66" t="str">
        <f t="shared" ref="AA47:AA49" si="99">IF(AB47="","","(")</f>
        <v/>
      </c>
      <c r="AB47" s="57" t="str">
        <f t="shared" ref="AB47:AB49" si="100">IF(H47="","",H47)</f>
        <v/>
      </c>
      <c r="AC47" s="67" t="str">
        <f t="shared" ref="AC47:AC49" si="101">IF(AB47="","",",")</f>
        <v/>
      </c>
      <c r="AD47" s="59" t="str">
        <f t="shared" ref="AD47:AD49" si="102">IF(I47="","",I47)</f>
        <v/>
      </c>
      <c r="AE47" s="68" t="str">
        <f t="shared" ref="AE47:AE49" si="103">IF(AB47="","",",")</f>
        <v/>
      </c>
      <c r="AF47" s="61" t="str">
        <f t="shared" ref="AF47:AF49" si="104">IF(AB47="","",350)</f>
        <v/>
      </c>
      <c r="AG47" s="61" t="str">
        <f t="shared" ref="AG47:AG49" si="105">IF(AB47="","",")")</f>
        <v/>
      </c>
      <c r="AH47" s="69" t="str">
        <f t="shared" ref="AH47:AH49" si="106">IF(AI47="","","(")</f>
        <v/>
      </c>
      <c r="AI47" s="70" t="str">
        <f t="shared" ref="AI47:AI49" si="107">IF(J47="","",J47)</f>
        <v/>
      </c>
      <c r="AJ47" s="64" t="str">
        <f t="shared" ref="AJ47:AJ49" si="108">IF(AI47="","",",")</f>
        <v/>
      </c>
      <c r="AK47" s="64" t="str">
        <f t="shared" ref="AK47:AK49" si="109">IF(K47="","",K47)</f>
        <v/>
      </c>
      <c r="AL47" s="64" t="str">
        <f t="shared" ref="AL47:AL49" si="110">IF(AI47="","",",")</f>
        <v/>
      </c>
      <c r="AM47" s="64" t="str">
        <f t="shared" ref="AM47:AM49" si="111">IF(AI47="","",450)</f>
        <v/>
      </c>
      <c r="AN47" s="64" t="str">
        <f t="shared" ref="AN47:AN49" si="112">IF(AI47="","",")")</f>
        <v/>
      </c>
    </row>
    <row r="48" spans="1:40" ht="24.5" thickTop="1" thickBot="1" x14ac:dyDescent="0.55000000000000004">
      <c r="B48" t="s">
        <v>997</v>
      </c>
      <c r="C48" s="82" t="s">
        <v>1056</v>
      </c>
      <c r="D48" s="83" t="s">
        <v>1011</v>
      </c>
      <c r="E48" s="83"/>
      <c r="F48" s="83" t="s">
        <v>1048</v>
      </c>
      <c r="G48" s="83" t="s">
        <v>1012</v>
      </c>
      <c r="H48" s="83"/>
      <c r="I48" s="83"/>
      <c r="J48" s="83"/>
      <c r="K48" s="83"/>
      <c r="L48" s="84" t="str">
        <f>IF(C48="","",_xlfn.CONCAT("       triggerLine: ","""",C48,", ",M48:AN48,""", sC: ","""",B48,""", lines: ["))</f>
        <v xml:space="preserve">       triggerLine: "SI HOY ESCUCHÁIS SU VOZ..., (Mi,,20)(Fa#,m,250)", sC: "ta as", lines: [</v>
      </c>
      <c r="M48" s="56" t="str">
        <f t="shared" si="86"/>
        <v>(</v>
      </c>
      <c r="N48" s="57" t="str">
        <f t="shared" si="87"/>
        <v>Mi</v>
      </c>
      <c r="O48" s="58" t="str">
        <f t="shared" si="88"/>
        <v>,</v>
      </c>
      <c r="P48" s="59" t="str">
        <f t="shared" si="89"/>
        <v/>
      </c>
      <c r="Q48" s="60" t="str">
        <f t="shared" si="90"/>
        <v>,</v>
      </c>
      <c r="R48" s="61">
        <f t="shared" si="28"/>
        <v>20</v>
      </c>
      <c r="S48" s="56" t="str">
        <f t="shared" si="91"/>
        <v>)</v>
      </c>
      <c r="T48" s="62" t="str">
        <f t="shared" si="92"/>
        <v>(</v>
      </c>
      <c r="U48" s="63" t="str">
        <f t="shared" si="93"/>
        <v>Fa#</v>
      </c>
      <c r="V48" s="64" t="str">
        <f t="shared" si="94"/>
        <v>,</v>
      </c>
      <c r="W48" s="65" t="str">
        <f t="shared" si="95"/>
        <v>m</v>
      </c>
      <c r="X48" s="64" t="str">
        <f t="shared" si="96"/>
        <v>,</v>
      </c>
      <c r="Y48" s="64">
        <f t="shared" si="97"/>
        <v>250</v>
      </c>
      <c r="Z48" s="56" t="str">
        <f t="shared" si="98"/>
        <v>)</v>
      </c>
      <c r="AA48" s="66" t="str">
        <f t="shared" si="99"/>
        <v/>
      </c>
      <c r="AB48" s="57" t="str">
        <f t="shared" si="100"/>
        <v/>
      </c>
      <c r="AC48" s="67" t="str">
        <f t="shared" si="101"/>
        <v/>
      </c>
      <c r="AD48" s="59" t="str">
        <f t="shared" si="102"/>
        <v/>
      </c>
      <c r="AE48" s="68" t="str">
        <f t="shared" si="103"/>
        <v/>
      </c>
      <c r="AF48" s="61" t="str">
        <f t="shared" si="104"/>
        <v/>
      </c>
      <c r="AG48" s="61" t="str">
        <f t="shared" si="105"/>
        <v/>
      </c>
      <c r="AH48" s="69" t="str">
        <f t="shared" si="106"/>
        <v/>
      </c>
      <c r="AI48" s="70" t="str">
        <f t="shared" si="107"/>
        <v/>
      </c>
      <c r="AJ48" s="64" t="str">
        <f t="shared" si="108"/>
        <v/>
      </c>
      <c r="AK48" s="64" t="str">
        <f t="shared" si="109"/>
        <v/>
      </c>
      <c r="AL48" s="64" t="str">
        <f t="shared" si="110"/>
        <v/>
      </c>
      <c r="AM48" s="64" t="str">
        <f t="shared" si="111"/>
        <v/>
      </c>
      <c r="AN48" s="64" t="str">
        <f t="shared" si="112"/>
        <v/>
      </c>
    </row>
    <row r="49" spans="1:40" ht="24.5" thickTop="1" thickBot="1" x14ac:dyDescent="0.55000000000000004">
      <c r="B49" t="s">
        <v>999</v>
      </c>
      <c r="C49" s="93" t="s">
        <v>1049</v>
      </c>
      <c r="D49" s="83" t="s">
        <v>984</v>
      </c>
      <c r="E49" s="83">
        <v>7</v>
      </c>
      <c r="F49" s="83" t="s">
        <v>1011</v>
      </c>
      <c r="G49" s="83"/>
      <c r="H49" s="83"/>
      <c r="I49" s="83"/>
      <c r="J49" s="83"/>
      <c r="K49" s="83"/>
      <c r="L49" s="94" t="str">
        <f>IF(C49="","",_xlfn.CONCAT("            { line: ","""",C49,", ",M49:AN49,""", sC: ","""",B49,"""},  ]},"))</f>
        <v xml:space="preserve">            { line: "NO ENDUREZCÁIS EL CORAZÓN., (Si,7,20)(Mi,,250)", sC: "as"},  ]},</v>
      </c>
      <c r="M49" s="56" t="str">
        <f t="shared" si="86"/>
        <v>(</v>
      </c>
      <c r="N49" s="57" t="str">
        <f t="shared" si="87"/>
        <v>Si</v>
      </c>
      <c r="O49" s="58" t="str">
        <f t="shared" si="88"/>
        <v>,</v>
      </c>
      <c r="P49" s="59">
        <f t="shared" si="89"/>
        <v>7</v>
      </c>
      <c r="Q49" s="60" t="str">
        <f t="shared" si="90"/>
        <v>,</v>
      </c>
      <c r="R49" s="61">
        <f t="shared" si="28"/>
        <v>20</v>
      </c>
      <c r="S49" s="56" t="str">
        <f t="shared" si="91"/>
        <v>)</v>
      </c>
      <c r="T49" s="62" t="str">
        <f t="shared" si="92"/>
        <v>(</v>
      </c>
      <c r="U49" s="63" t="str">
        <f t="shared" si="93"/>
        <v>Mi</v>
      </c>
      <c r="V49" s="64" t="str">
        <f t="shared" si="94"/>
        <v>,</v>
      </c>
      <c r="W49" s="65" t="str">
        <f t="shared" si="95"/>
        <v/>
      </c>
      <c r="X49" s="64" t="str">
        <f t="shared" si="96"/>
        <v>,</v>
      </c>
      <c r="Y49" s="64">
        <f t="shared" si="97"/>
        <v>250</v>
      </c>
      <c r="Z49" s="56" t="str">
        <f t="shared" si="98"/>
        <v>)</v>
      </c>
      <c r="AA49" s="66" t="str">
        <f t="shared" si="99"/>
        <v/>
      </c>
      <c r="AB49" s="57" t="str">
        <f t="shared" si="100"/>
        <v/>
      </c>
      <c r="AC49" s="67" t="str">
        <f t="shared" si="101"/>
        <v/>
      </c>
      <c r="AD49" s="59" t="str">
        <f t="shared" si="102"/>
        <v/>
      </c>
      <c r="AE49" s="68" t="str">
        <f t="shared" si="103"/>
        <v/>
      </c>
      <c r="AF49" s="61" t="str">
        <f t="shared" si="104"/>
        <v/>
      </c>
      <c r="AG49" s="61" t="str">
        <f t="shared" si="105"/>
        <v/>
      </c>
      <c r="AH49" s="69" t="str">
        <f t="shared" si="106"/>
        <v/>
      </c>
      <c r="AI49" s="70" t="str">
        <f t="shared" si="107"/>
        <v/>
      </c>
      <c r="AJ49" s="64" t="str">
        <f t="shared" si="108"/>
        <v/>
      </c>
      <c r="AK49" s="64" t="str">
        <f t="shared" si="109"/>
        <v/>
      </c>
      <c r="AL49" s="64" t="str">
        <f t="shared" si="110"/>
        <v/>
      </c>
      <c r="AM49" s="64" t="str">
        <f t="shared" si="111"/>
        <v/>
      </c>
      <c r="AN49" s="64" t="str">
        <f t="shared" si="112"/>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B51" t="s">
        <v>1013</v>
      </c>
      <c r="C51" s="113" t="s">
        <v>1062</v>
      </c>
      <c r="D51" s="112" t="s">
        <v>1051</v>
      </c>
      <c r="E51" s="52" t="s">
        <v>1012</v>
      </c>
      <c r="F51" s="53" t="s">
        <v>1048</v>
      </c>
      <c r="G51" s="53" t="s">
        <v>1012</v>
      </c>
      <c r="H51" s="52"/>
      <c r="I51" s="52"/>
      <c r="J51" s="54"/>
      <c r="K51" s="54"/>
      <c r="L51" s="55" t="str">
        <f t="shared" si="30"/>
        <v xml:space="preserve">            { line: "Entrad, postrémonos por tierra,, (Do#,m,14)(Fa#,m,250)", sC: "tc"},</v>
      </c>
      <c r="M51" s="56" t="str">
        <f t="shared" si="59"/>
        <v>(</v>
      </c>
      <c r="N51" s="57" t="str">
        <f t="shared" si="60"/>
        <v>Do#</v>
      </c>
      <c r="O51" s="58" t="str">
        <f t="shared" si="61"/>
        <v>,</v>
      </c>
      <c r="P51" s="59" t="str">
        <f t="shared" si="62"/>
        <v>m</v>
      </c>
      <c r="Q51" s="60" t="str">
        <f t="shared" si="63"/>
        <v>,</v>
      </c>
      <c r="R51" s="61">
        <f t="shared" si="28"/>
        <v>14</v>
      </c>
      <c r="S51" s="56" t="str">
        <f t="shared" si="64"/>
        <v>)</v>
      </c>
      <c r="T51" s="62" t="str">
        <f t="shared" si="65"/>
        <v>(</v>
      </c>
      <c r="U51" s="63" t="str">
        <f t="shared" si="66"/>
        <v>Fa#</v>
      </c>
      <c r="V51" s="64" t="str">
        <f t="shared" si="67"/>
        <v>,</v>
      </c>
      <c r="W51" s="65" t="str">
        <f t="shared" si="68"/>
        <v>m</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C52" s="113" t="s">
        <v>1063</v>
      </c>
      <c r="D52" s="112" t="s">
        <v>984</v>
      </c>
      <c r="E52" s="52">
        <v>7</v>
      </c>
      <c r="F52" s="53" t="s">
        <v>1011</v>
      </c>
      <c r="G52" s="53"/>
      <c r="H52" s="52"/>
      <c r="I52" s="52"/>
      <c r="J52" s="54"/>
      <c r="K52" s="54"/>
      <c r="L52" s="55" t="str">
        <f t="shared" si="0"/>
        <v xml:space="preserve">            { line: "bendiciendo al Señor, creador nuestro., (Si,7,20)(Mi,,250)", sC: ""},</v>
      </c>
      <c r="M52" s="56" t="str">
        <f t="shared" si="1"/>
        <v>(</v>
      </c>
      <c r="N52" s="57" t="str">
        <f t="shared" si="2"/>
        <v>Si</v>
      </c>
      <c r="O52" s="58" t="str">
        <f t="shared" si="3"/>
        <v>,</v>
      </c>
      <c r="P52" s="59">
        <f t="shared" si="4"/>
        <v>7</v>
      </c>
      <c r="Q52" s="60" t="str">
        <f t="shared" si="5"/>
        <v>,</v>
      </c>
      <c r="R52" s="61">
        <f t="shared" si="28"/>
        <v>20</v>
      </c>
      <c r="S52" s="56" t="str">
        <f t="shared" si="6"/>
        <v>)</v>
      </c>
      <c r="T52" s="62" t="str">
        <f t="shared" si="7"/>
        <v>(</v>
      </c>
      <c r="U52" s="63" t="str">
        <f t="shared" si="8"/>
        <v>Mi</v>
      </c>
      <c r="V52" s="64" t="str">
        <f t="shared" si="9"/>
        <v>,</v>
      </c>
      <c r="W52" s="65" t="str">
        <f t="shared" si="10"/>
        <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4.5" thickTop="1" thickBot="1" x14ac:dyDescent="0.55000000000000004">
      <c r="C53" s="113" t="s">
        <v>1064</v>
      </c>
      <c r="D53" s="112" t="s">
        <v>1051</v>
      </c>
      <c r="E53" s="52" t="s">
        <v>1012</v>
      </c>
      <c r="F53" s="53" t="s">
        <v>1054</v>
      </c>
      <c r="G53" s="53"/>
      <c r="H53" s="52"/>
      <c r="I53" s="52"/>
      <c r="J53" s="54"/>
      <c r="K53" s="54"/>
      <c r="L53" s="55" t="str">
        <f>IF(C53="","",_xlfn.CONCAT("            { line: ","""",C53,", ",M53:AN53,""", sC: ","""",B53,"""},"))</f>
        <v xml:space="preserve">            { line: "Porque El es nuestro Dios y nosotros su pueblo,, (Do#,m,14)(Sol#,,250)", sC: ""},</v>
      </c>
      <c r="M53" s="56" t="str">
        <f t="shared" si="1"/>
        <v>(</v>
      </c>
      <c r="N53" s="57" t="str">
        <f t="shared" si="2"/>
        <v>Do#</v>
      </c>
      <c r="O53" s="58" t="str">
        <f t="shared" si="3"/>
        <v>,</v>
      </c>
      <c r="P53" s="59" t="str">
        <f t="shared" si="4"/>
        <v>m</v>
      </c>
      <c r="Q53" s="60" t="str">
        <f t="shared" si="5"/>
        <v>,</v>
      </c>
      <c r="R53" s="61">
        <f t="shared" si="28"/>
        <v>14</v>
      </c>
      <c r="S53" s="56" t="str">
        <f t="shared" si="6"/>
        <v>)</v>
      </c>
      <c r="T53" s="62" t="str">
        <f t="shared" si="7"/>
        <v>(</v>
      </c>
      <c r="U53" s="63" t="str">
        <f t="shared" si="8"/>
        <v>Sol#</v>
      </c>
      <c r="V53" s="64" t="str">
        <f t="shared" si="9"/>
        <v>,</v>
      </c>
      <c r="W53" s="65" t="str">
        <f t="shared" si="10"/>
        <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1:40" ht="24.5" thickTop="1" thickBot="1" x14ac:dyDescent="0.55000000000000004">
      <c r="C54" s="113" t="s">
        <v>1065</v>
      </c>
      <c r="D54" s="112" t="s">
        <v>1051</v>
      </c>
      <c r="E54" s="52" t="s">
        <v>1012</v>
      </c>
      <c r="F54" s="53" t="s">
        <v>1059</v>
      </c>
      <c r="G54" s="53"/>
      <c r="H54" s="52"/>
      <c r="I54" s="52"/>
      <c r="J54" s="54"/>
      <c r="K54" s="54"/>
      <c r="L54" s="55" t="str">
        <f>IF(C54="","",_xlfn.CONCAT("            { line: ","""",C54,", ",M54:AN54,""", sC: ","""",B54,"""},"))</f>
        <v xml:space="preserve">            { line: "el rebaño que Él conduce., (Do#,m,14)(MI,,250)", sC: ""},</v>
      </c>
      <c r="M54" s="56" t="str">
        <f t="shared" si="1"/>
        <v>(</v>
      </c>
      <c r="N54" s="57" t="str">
        <f t="shared" si="2"/>
        <v>Do#</v>
      </c>
      <c r="O54" s="58" t="str">
        <f t="shared" si="3"/>
        <v>,</v>
      </c>
      <c r="P54" s="59" t="str">
        <f t="shared" si="4"/>
        <v>m</v>
      </c>
      <c r="Q54" s="60" t="str">
        <f t="shared" si="5"/>
        <v>,</v>
      </c>
      <c r="R54" s="61">
        <f t="shared" si="28"/>
        <v>14</v>
      </c>
      <c r="S54" s="56" t="str">
        <f t="shared" si="6"/>
        <v>)</v>
      </c>
      <c r="T54" s="62" t="str">
        <f t="shared" si="7"/>
        <v>(</v>
      </c>
      <c r="U54" s="63" t="str">
        <f t="shared" si="8"/>
        <v>MI</v>
      </c>
      <c r="V54" s="64" t="str">
        <f t="shared" si="9"/>
        <v>,</v>
      </c>
      <c r="W54" s="65" t="str">
        <f t="shared" si="10"/>
        <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R58" si="113">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79" t="s">
        <v>995</v>
      </c>
      <c r="D56" s="80"/>
      <c r="E56" s="80"/>
      <c r="F56" s="80"/>
      <c r="G56" s="80"/>
      <c r="H56" s="80"/>
      <c r="I56" s="80"/>
      <c r="J56" s="80"/>
      <c r="K56" s="80"/>
      <c r="L56" s="81" t="s">
        <v>996</v>
      </c>
      <c r="M56" s="56" t="str">
        <f t="shared" ref="M56:M58" si="114">IF(N56="","","(")</f>
        <v/>
      </c>
      <c r="N56" s="57" t="str">
        <f t="shared" ref="N56:N58" si="115">IF(D56="","",D56)</f>
        <v/>
      </c>
      <c r="O56" s="58" t="str">
        <f t="shared" ref="O56:O58" si="116">IF(N56="","",",")</f>
        <v/>
      </c>
      <c r="P56" s="59" t="str">
        <f t="shared" ref="P56:P58" si="117">IF(E56="","",E56)</f>
        <v/>
      </c>
      <c r="Q56" s="60" t="str">
        <f t="shared" ref="Q56:Q58" si="118">IF(N56="","",",")</f>
        <v/>
      </c>
      <c r="R56" s="61" t="str">
        <f t="shared" si="113"/>
        <v/>
      </c>
      <c r="S56" s="56" t="str">
        <f t="shared" ref="S56:S58" si="119">IF(N56="","",")")</f>
        <v/>
      </c>
      <c r="T56" s="62" t="str">
        <f t="shared" ref="T56:T58" si="120">IF(U56="","","(")</f>
        <v/>
      </c>
      <c r="U56" s="63" t="str">
        <f t="shared" ref="U56:U58" si="121">IF(F56="","",F56)</f>
        <v/>
      </c>
      <c r="V56" s="64" t="str">
        <f t="shared" ref="V56:V58" si="122">IF(U56="","",",")</f>
        <v/>
      </c>
      <c r="W56" s="65" t="str">
        <f t="shared" ref="W56:W58" si="123">IF(G56="","",G56)</f>
        <v/>
      </c>
      <c r="X56" s="64" t="str">
        <f t="shared" ref="X56:X58" si="124">IF(U56="","",",")</f>
        <v/>
      </c>
      <c r="Y56" s="64" t="str">
        <f t="shared" ref="Y56:Y58" si="125">IF(U56="","",250)</f>
        <v/>
      </c>
      <c r="Z56" s="56" t="str">
        <f t="shared" ref="Z56:Z58" si="126">IF(U56="","",")")</f>
        <v/>
      </c>
      <c r="AA56" s="66" t="str">
        <f t="shared" ref="AA56:AA58" si="127">IF(AB56="","","(")</f>
        <v/>
      </c>
      <c r="AB56" s="57" t="str">
        <f t="shared" ref="AB56:AB58" si="128">IF(H56="","",H56)</f>
        <v/>
      </c>
      <c r="AC56" s="67" t="str">
        <f t="shared" ref="AC56:AC58" si="129">IF(AB56="","",",")</f>
        <v/>
      </c>
      <c r="AD56" s="59" t="str">
        <f t="shared" ref="AD56:AD58" si="130">IF(I56="","",I56)</f>
        <v/>
      </c>
      <c r="AE56" s="68" t="str">
        <f t="shared" ref="AE56:AE58" si="131">IF(AB56="","",",")</f>
        <v/>
      </c>
      <c r="AF56" s="61" t="str">
        <f t="shared" ref="AF56:AF58" si="132">IF(AB56="","",350)</f>
        <v/>
      </c>
      <c r="AG56" s="61" t="str">
        <f t="shared" ref="AG56:AG58" si="133">IF(AB56="","",")")</f>
        <v/>
      </c>
      <c r="AH56" s="69" t="str">
        <f t="shared" ref="AH56:AH58" si="134">IF(AI56="","","(")</f>
        <v/>
      </c>
      <c r="AI56" s="70" t="str">
        <f t="shared" ref="AI56:AI58" si="135">IF(J56="","",J56)</f>
        <v/>
      </c>
      <c r="AJ56" s="64" t="str">
        <f t="shared" ref="AJ56:AJ58" si="136">IF(AI56="","",",")</f>
        <v/>
      </c>
      <c r="AK56" s="64" t="str">
        <f t="shared" ref="AK56:AK58" si="137">IF(K56="","",K56)</f>
        <v/>
      </c>
      <c r="AL56" s="64" t="str">
        <f t="shared" ref="AL56:AL58" si="138">IF(AI56="","",",")</f>
        <v/>
      </c>
      <c r="AM56" s="64" t="str">
        <f t="shared" ref="AM56:AM58" si="139">IF(AI56="","",450)</f>
        <v/>
      </c>
      <c r="AN56" s="64" t="str">
        <f t="shared" ref="AN56:AN58" si="140">IF(AI56="","",")")</f>
        <v/>
      </c>
    </row>
    <row r="57" spans="1:40" ht="24.5" thickTop="1" thickBot="1" x14ac:dyDescent="0.55000000000000004">
      <c r="B57" t="s">
        <v>997</v>
      </c>
      <c r="C57" s="82" t="s">
        <v>1056</v>
      </c>
      <c r="D57" s="83" t="s">
        <v>1011</v>
      </c>
      <c r="E57" s="83"/>
      <c r="F57" s="83" t="s">
        <v>1048</v>
      </c>
      <c r="G57" s="83" t="s">
        <v>1012</v>
      </c>
      <c r="H57" s="83"/>
      <c r="I57" s="83"/>
      <c r="J57" s="83"/>
      <c r="K57" s="83"/>
      <c r="L57" s="84" t="str">
        <f>IF(C57="","",_xlfn.CONCAT("       triggerLine: ","""",C57,", ",M57:AN57,""", sC: ","""",B57,""", lines: ["))</f>
        <v xml:space="preserve">       triggerLine: "SI HOY ESCUCHÁIS SU VOZ..., (Mi,,20)(Fa#,m,250)", sC: "ta as", lines: [</v>
      </c>
      <c r="M57" s="56" t="str">
        <f t="shared" si="114"/>
        <v>(</v>
      </c>
      <c r="N57" s="57" t="str">
        <f t="shared" si="115"/>
        <v>Mi</v>
      </c>
      <c r="O57" s="58" t="str">
        <f t="shared" si="116"/>
        <v>,</v>
      </c>
      <c r="P57" s="59" t="str">
        <f t="shared" si="117"/>
        <v/>
      </c>
      <c r="Q57" s="60" t="str">
        <f t="shared" si="118"/>
        <v>,</v>
      </c>
      <c r="R57" s="61">
        <f t="shared" si="113"/>
        <v>20</v>
      </c>
      <c r="S57" s="56" t="str">
        <f t="shared" si="119"/>
        <v>)</v>
      </c>
      <c r="T57" s="62" t="str">
        <f t="shared" si="120"/>
        <v>(</v>
      </c>
      <c r="U57" s="63" t="str">
        <f t="shared" si="121"/>
        <v>Fa#</v>
      </c>
      <c r="V57" s="64" t="str">
        <f t="shared" si="122"/>
        <v>,</v>
      </c>
      <c r="W57" s="65" t="str">
        <f t="shared" si="123"/>
        <v>m</v>
      </c>
      <c r="X57" s="64" t="str">
        <f t="shared" si="124"/>
        <v>,</v>
      </c>
      <c r="Y57" s="64">
        <f t="shared" si="125"/>
        <v>250</v>
      </c>
      <c r="Z57" s="56" t="str">
        <f t="shared" si="126"/>
        <v>)</v>
      </c>
      <c r="AA57" s="66" t="str">
        <f t="shared" si="127"/>
        <v/>
      </c>
      <c r="AB57" s="57" t="str">
        <f t="shared" si="128"/>
        <v/>
      </c>
      <c r="AC57" s="67" t="str">
        <f t="shared" si="129"/>
        <v/>
      </c>
      <c r="AD57" s="59" t="str">
        <f t="shared" si="130"/>
        <v/>
      </c>
      <c r="AE57" s="68" t="str">
        <f t="shared" si="131"/>
        <v/>
      </c>
      <c r="AF57" s="61" t="str">
        <f t="shared" si="132"/>
        <v/>
      </c>
      <c r="AG57" s="61" t="str">
        <f t="shared" si="133"/>
        <v/>
      </c>
      <c r="AH57" s="69" t="str">
        <f t="shared" si="134"/>
        <v/>
      </c>
      <c r="AI57" s="70" t="str">
        <f t="shared" si="135"/>
        <v/>
      </c>
      <c r="AJ57" s="64" t="str">
        <f t="shared" si="136"/>
        <v/>
      </c>
      <c r="AK57" s="64" t="str">
        <f t="shared" si="137"/>
        <v/>
      </c>
      <c r="AL57" s="64" t="str">
        <f t="shared" si="138"/>
        <v/>
      </c>
      <c r="AM57" s="64" t="str">
        <f t="shared" si="139"/>
        <v/>
      </c>
      <c r="AN57" s="64" t="str">
        <f t="shared" si="140"/>
        <v/>
      </c>
    </row>
    <row r="58" spans="1:40" ht="24.5" thickTop="1" thickBot="1" x14ac:dyDescent="0.55000000000000004">
      <c r="B58" t="s">
        <v>999</v>
      </c>
      <c r="C58" s="93" t="s">
        <v>1049</v>
      </c>
      <c r="D58" s="83" t="s">
        <v>984</v>
      </c>
      <c r="E58" s="83">
        <v>7</v>
      </c>
      <c r="F58" s="83" t="s">
        <v>1011</v>
      </c>
      <c r="G58" s="83"/>
      <c r="H58" s="83"/>
      <c r="I58" s="83"/>
      <c r="J58" s="83"/>
      <c r="K58" s="83"/>
      <c r="L58" s="94" t="str">
        <f>IF(C58="","",_xlfn.CONCAT("            { line: ","""",C58,", ",M58:AN58,""", sC: ","""",B58,"""},  ]},"))</f>
        <v xml:space="preserve">            { line: "NO ENDUREZCÁIS EL CORAZÓN., (Si,7,20)(Mi,,250)", sC: "as"},  ]},</v>
      </c>
      <c r="M58" s="56" t="str">
        <f t="shared" si="114"/>
        <v>(</v>
      </c>
      <c r="N58" s="57" t="str">
        <f t="shared" si="115"/>
        <v>Si</v>
      </c>
      <c r="O58" s="58" t="str">
        <f t="shared" si="116"/>
        <v>,</v>
      </c>
      <c r="P58" s="59">
        <f t="shared" si="117"/>
        <v>7</v>
      </c>
      <c r="Q58" s="60" t="str">
        <f t="shared" si="118"/>
        <v>,</v>
      </c>
      <c r="R58" s="61">
        <f t="shared" si="113"/>
        <v>20</v>
      </c>
      <c r="S58" s="56" t="str">
        <f t="shared" si="119"/>
        <v>)</v>
      </c>
      <c r="T58" s="62" t="str">
        <f t="shared" si="120"/>
        <v>(</v>
      </c>
      <c r="U58" s="63" t="str">
        <f t="shared" si="121"/>
        <v>Mi</v>
      </c>
      <c r="V58" s="64" t="str">
        <f t="shared" si="122"/>
        <v>,</v>
      </c>
      <c r="W58" s="65" t="str">
        <f t="shared" si="123"/>
        <v/>
      </c>
      <c r="X58" s="64" t="str">
        <f t="shared" si="124"/>
        <v>,</v>
      </c>
      <c r="Y58" s="64">
        <f t="shared" si="125"/>
        <v>250</v>
      </c>
      <c r="Z58" s="56" t="str">
        <f t="shared" si="126"/>
        <v>)</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36.5" thickTop="1" thickBot="1" x14ac:dyDescent="0.55000000000000004">
      <c r="A59" s="76"/>
      <c r="B59" s="76"/>
      <c r="C59" s="76" t="s">
        <v>1046</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5" thickTop="1" thickBot="1" x14ac:dyDescent="0.55000000000000004">
      <c r="B60" t="s">
        <v>1013</v>
      </c>
      <c r="C60" s="113" t="s">
        <v>1066</v>
      </c>
      <c r="D60" s="112" t="s">
        <v>1051</v>
      </c>
      <c r="E60" s="52" t="s">
        <v>1012</v>
      </c>
      <c r="F60" s="53" t="s">
        <v>1054</v>
      </c>
      <c r="G60" s="53"/>
      <c r="H60" s="52"/>
      <c r="I60" s="52"/>
      <c r="J60" s="54"/>
      <c r="K60" s="54"/>
      <c r="L60" s="55" t="str">
        <f t="shared" ref="L60:L73" si="141">IF(C60="","",_xlfn.CONCAT("            { line: ","""",C60,", ",M60:AN60,""", sC: ","""",B60,"""},"))</f>
        <v xml:space="preserve">            { line: "¡Ojalá! ¡Ojalá escuchéis hoy su voz, (Do#,m,14)(Sol#,,250)", sC: "tc"},</v>
      </c>
      <c r="M60" s="56" t="str">
        <f t="shared" ref="M60:M73" si="142">IF(N60="","","(")</f>
        <v>(</v>
      </c>
      <c r="N60" s="57" t="str">
        <f t="shared" si="2"/>
        <v>Do#</v>
      </c>
      <c r="O60" s="58" t="str">
        <f t="shared" ref="O60:O73" si="143">IF(N60="","",",")</f>
        <v>,</v>
      </c>
      <c r="P60" s="59" t="str">
        <f t="shared" si="4"/>
        <v>m</v>
      </c>
      <c r="Q60" s="60" t="str">
        <f t="shared" ref="Q60:Q73" si="144">IF(N60="","",",")</f>
        <v>,</v>
      </c>
      <c r="R60" s="61">
        <f t="shared" si="28"/>
        <v>14</v>
      </c>
      <c r="S60" s="56" t="str">
        <f t="shared" ref="S60:S73" si="145">IF(N60="","",")")</f>
        <v>)</v>
      </c>
      <c r="T60" s="62" t="str">
        <f t="shared" ref="T60:T73" si="146">IF(U60="","","(")</f>
        <v>(</v>
      </c>
      <c r="U60" s="63" t="str">
        <f t="shared" si="8"/>
        <v>Sol#</v>
      </c>
      <c r="V60" s="64" t="str">
        <f t="shared" ref="V60:V73" si="147">IF(U60="","",",")</f>
        <v>,</v>
      </c>
      <c r="W60" s="65" t="str">
        <f t="shared" si="10"/>
        <v/>
      </c>
      <c r="X60" s="64" t="str">
        <f t="shared" ref="X60:X73" si="148">IF(U60="","",",")</f>
        <v>,</v>
      </c>
      <c r="Y60" s="64">
        <f t="shared" ref="Y60:Y73" si="149">IF(U60="","",250)</f>
        <v>250</v>
      </c>
      <c r="Z60" s="56" t="str">
        <f t="shared" ref="Z60:Z73" si="150">IF(U60="","",")")</f>
        <v>)</v>
      </c>
      <c r="AA60" s="66" t="str">
        <f t="shared" ref="AA60:AA73" si="151">IF(AB60="","","(")</f>
        <v/>
      </c>
      <c r="AB60" s="57" t="str">
        <f t="shared" si="15"/>
        <v/>
      </c>
      <c r="AC60" s="67" t="str">
        <f t="shared" ref="AC60:AC73" si="152">IF(AB60="","",",")</f>
        <v/>
      </c>
      <c r="AD60" s="59" t="str">
        <f t="shared" ref="AD60:AD73" si="153">IF(I60="","",I60)</f>
        <v/>
      </c>
      <c r="AE60" s="68" t="str">
        <f t="shared" ref="AE60:AE73" si="154">IF(AB60="","",",")</f>
        <v/>
      </c>
      <c r="AF60" s="61" t="str">
        <f t="shared" ref="AF60:AF73" si="155">IF(AB60="","",350)</f>
        <v/>
      </c>
      <c r="AG60" s="61" t="str">
        <f t="shared" ref="AG60:AG73" si="156">IF(AB60="","",")")</f>
        <v/>
      </c>
      <c r="AH60" s="69" t="str">
        <f t="shared" ref="AH60:AH73" si="157">IF(AI60="","","(")</f>
        <v/>
      </c>
      <c r="AI60" s="70" t="str">
        <f t="shared" si="22"/>
        <v/>
      </c>
      <c r="AJ60" s="64" t="str">
        <f t="shared" ref="AJ60:AJ73" si="158">IF(AI60="","",",")</f>
        <v/>
      </c>
      <c r="AK60" s="64" t="str">
        <f t="shared" ref="AK60:AK73" si="159">IF(K60="","",K60)</f>
        <v/>
      </c>
      <c r="AL60" s="64" t="str">
        <f t="shared" ref="AL60:AL73" si="160">IF(AI60="","",",")</f>
        <v/>
      </c>
      <c r="AM60" s="64" t="str">
        <f t="shared" ref="AM60:AM73" si="161">IF(AI60="","",450)</f>
        <v/>
      </c>
      <c r="AN60" s="64" t="str">
        <f t="shared" ref="AN60:AN73" si="162">IF(AI60="","",")")</f>
        <v/>
      </c>
    </row>
    <row r="61" spans="1:40" ht="24.5" thickTop="1" thickBot="1" x14ac:dyDescent="0.55000000000000004">
      <c r="C61" s="113" t="s">
        <v>1067</v>
      </c>
      <c r="D61" s="112" t="s">
        <v>1051</v>
      </c>
      <c r="E61" s="52" t="s">
        <v>1012</v>
      </c>
      <c r="F61" s="53"/>
      <c r="G61" s="53"/>
      <c r="H61" s="52"/>
      <c r="I61" s="52"/>
      <c r="J61" s="54"/>
      <c r="K61" s="54"/>
      <c r="L61" s="55" t="str">
        <f t="shared" si="141"/>
        <v xml:space="preserve">            { line: "y no endurezcáis el corazón!, (Do#,m,14)", sC: ""},</v>
      </c>
      <c r="M61" s="56" t="str">
        <f t="shared" si="142"/>
        <v>(</v>
      </c>
      <c r="N61" s="57" t="str">
        <f t="shared" si="2"/>
        <v>Do#</v>
      </c>
      <c r="O61" s="58" t="str">
        <f t="shared" si="143"/>
        <v>,</v>
      </c>
      <c r="P61" s="59" t="str">
        <f t="shared" si="4"/>
        <v>m</v>
      </c>
      <c r="Q61" s="60" t="str">
        <f t="shared" si="144"/>
        <v>,</v>
      </c>
      <c r="R61" s="61">
        <f t="shared" si="28"/>
        <v>14</v>
      </c>
      <c r="S61" s="56" t="str">
        <f t="shared" si="145"/>
        <v>)</v>
      </c>
      <c r="T61" s="62" t="str">
        <f t="shared" si="146"/>
        <v/>
      </c>
      <c r="U61" s="63" t="str">
        <f t="shared" si="8"/>
        <v/>
      </c>
      <c r="V61" s="64" t="str">
        <f t="shared" si="147"/>
        <v/>
      </c>
      <c r="W61" s="65" t="str">
        <f t="shared" si="10"/>
        <v/>
      </c>
      <c r="X61" s="64" t="str">
        <f t="shared" si="148"/>
        <v/>
      </c>
      <c r="Y61" s="64" t="str">
        <f t="shared" si="149"/>
        <v/>
      </c>
      <c r="Z61" s="56" t="str">
        <f t="shared" si="150"/>
        <v/>
      </c>
      <c r="AA61" s="66" t="str">
        <f t="shared" si="151"/>
        <v/>
      </c>
      <c r="AB61" s="57" t="str">
        <f t="shared" si="15"/>
        <v/>
      </c>
      <c r="AC61" s="67" t="str">
        <f t="shared" si="152"/>
        <v/>
      </c>
      <c r="AD61" s="59" t="str">
        <f t="shared" si="153"/>
        <v/>
      </c>
      <c r="AE61" s="68" t="str">
        <f t="shared" si="154"/>
        <v/>
      </c>
      <c r="AF61" s="61" t="str">
        <f t="shared" si="155"/>
        <v/>
      </c>
      <c r="AG61" s="61" t="str">
        <f t="shared" si="156"/>
        <v/>
      </c>
      <c r="AH61" s="69" t="str">
        <f t="shared" si="157"/>
        <v/>
      </c>
      <c r="AI61" s="70" t="str">
        <f t="shared" si="22"/>
        <v/>
      </c>
      <c r="AJ61" s="64" t="str">
        <f t="shared" si="158"/>
        <v/>
      </c>
      <c r="AK61" s="64" t="str">
        <f t="shared" si="159"/>
        <v/>
      </c>
      <c r="AL61" s="64" t="str">
        <f t="shared" si="160"/>
        <v/>
      </c>
      <c r="AM61" s="64" t="str">
        <f t="shared" si="161"/>
        <v/>
      </c>
      <c r="AN61" s="64" t="str">
        <f t="shared" si="162"/>
        <v/>
      </c>
    </row>
    <row r="62" spans="1:40" ht="24.5" thickTop="1" thickBot="1" x14ac:dyDescent="0.55000000000000004">
      <c r="C62" s="113" t="s">
        <v>1068</v>
      </c>
      <c r="D62" s="112" t="s">
        <v>1048</v>
      </c>
      <c r="E62" s="52" t="s">
        <v>1012</v>
      </c>
      <c r="F62" s="53"/>
      <c r="G62" s="53"/>
      <c r="H62" s="52"/>
      <c r="I62" s="52"/>
      <c r="J62" s="54"/>
      <c r="K62" s="54"/>
      <c r="L62" s="55" t="str">
        <f t="shared" si="141"/>
        <v xml:space="preserve">            { line: "Como en Meribá,, (Fa#,m,15)", sC: ""},</v>
      </c>
      <c r="M62" s="56" t="str">
        <f t="shared" si="142"/>
        <v>(</v>
      </c>
      <c r="N62" s="57" t="str">
        <f t="shared" si="2"/>
        <v>Fa#</v>
      </c>
      <c r="O62" s="58" t="str">
        <f t="shared" si="143"/>
        <v>,</v>
      </c>
      <c r="P62" s="59" t="str">
        <f t="shared" si="4"/>
        <v>m</v>
      </c>
      <c r="Q62" s="60" t="str">
        <f t="shared" si="144"/>
        <v>,</v>
      </c>
      <c r="R62" s="61">
        <f t="shared" si="28"/>
        <v>15</v>
      </c>
      <c r="S62" s="56" t="str">
        <f t="shared" si="145"/>
        <v>)</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4.5" thickTop="1" thickBot="1" x14ac:dyDescent="0.55000000000000004">
      <c r="C63" s="113" t="s">
        <v>1069</v>
      </c>
      <c r="D63" s="112" t="s">
        <v>984</v>
      </c>
      <c r="E63" s="52">
        <v>7</v>
      </c>
      <c r="F63" s="53" t="s">
        <v>1011</v>
      </c>
      <c r="G63" s="53"/>
      <c r="H63" s="52"/>
      <c r="I63" s="52"/>
      <c r="J63" s="54"/>
      <c r="K63" s="54"/>
      <c r="L63" s="55" t="str">
        <f t="shared" si="141"/>
        <v xml:space="preserve">            { line: "como el día de Masá en el desierto,, (Si,7,20)(Mi,,250)", sC: ""},</v>
      </c>
      <c r="M63" s="56" t="str">
        <f t="shared" si="142"/>
        <v>(</v>
      </c>
      <c r="N63" s="57" t="str">
        <f t="shared" si="2"/>
        <v>Si</v>
      </c>
      <c r="O63" s="58" t="str">
        <f t="shared" si="143"/>
        <v>,</v>
      </c>
      <c r="P63" s="59">
        <f t="shared" si="4"/>
        <v>7</v>
      </c>
      <c r="Q63" s="60" t="str">
        <f t="shared" si="144"/>
        <v>,</v>
      </c>
      <c r="R63" s="61">
        <f t="shared" si="28"/>
        <v>20</v>
      </c>
      <c r="S63" s="56" t="str">
        <f t="shared" si="145"/>
        <v>)</v>
      </c>
      <c r="T63" s="62" t="str">
        <f t="shared" si="146"/>
        <v>(</v>
      </c>
      <c r="U63" s="63" t="str">
        <f t="shared" si="8"/>
        <v>Mi</v>
      </c>
      <c r="V63" s="64" t="str">
        <f t="shared" si="147"/>
        <v>,</v>
      </c>
      <c r="W63" s="65" t="str">
        <f t="shared" si="10"/>
        <v/>
      </c>
      <c r="X63" s="64" t="str">
        <f t="shared" si="148"/>
        <v>,</v>
      </c>
      <c r="Y63" s="64">
        <f t="shared" si="149"/>
        <v>250</v>
      </c>
      <c r="Z63" s="56" t="str">
        <f t="shared" si="150"/>
        <v>)</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4.5" thickTop="1" thickBot="1" x14ac:dyDescent="0.55000000000000004">
      <c r="C64" s="113" t="s">
        <v>1070</v>
      </c>
      <c r="D64" s="112" t="s">
        <v>1051</v>
      </c>
      <c r="E64" s="52" t="s">
        <v>1012</v>
      </c>
      <c r="F64" s="53" t="s">
        <v>1054</v>
      </c>
      <c r="G64" s="53"/>
      <c r="H64" s="52"/>
      <c r="I64" s="52"/>
      <c r="J64" s="54"/>
      <c r="K64" s="54"/>
      <c r="L64" s="55" t="str">
        <f t="shared" si="141"/>
        <v xml:space="preserve">            { line: "donde vuestros padres dudaron de mí,, (Do#,m,14)(Sol#,,250)", sC: ""},</v>
      </c>
      <c r="M64" s="56" t="str">
        <f t="shared" si="142"/>
        <v>(</v>
      </c>
      <c r="N64" s="57" t="str">
        <f t="shared" si="2"/>
        <v>Do#</v>
      </c>
      <c r="O64" s="58" t="str">
        <f t="shared" si="143"/>
        <v>,</v>
      </c>
      <c r="P64" s="59" t="str">
        <f t="shared" si="4"/>
        <v>m</v>
      </c>
      <c r="Q64" s="60" t="str">
        <f t="shared" si="144"/>
        <v>,</v>
      </c>
      <c r="R64" s="61">
        <f t="shared" si="28"/>
        <v>14</v>
      </c>
      <c r="S64" s="56" t="str">
        <f t="shared" si="145"/>
        <v>)</v>
      </c>
      <c r="T64" s="62" t="str">
        <f t="shared" si="146"/>
        <v>(</v>
      </c>
      <c r="U64" s="63" t="str">
        <f t="shared" si="8"/>
        <v>Sol#</v>
      </c>
      <c r="V64" s="64" t="str">
        <f t="shared" si="147"/>
        <v>,</v>
      </c>
      <c r="W64" s="65" t="str">
        <f t="shared" si="10"/>
        <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4.5" thickTop="1" thickBot="1" x14ac:dyDescent="0.55000000000000004">
      <c r="C65" s="113" t="s">
        <v>1071</v>
      </c>
      <c r="D65" s="112"/>
      <c r="E65" s="52"/>
      <c r="F65" s="53"/>
      <c r="G65" s="53"/>
      <c r="H65" s="52"/>
      <c r="I65" s="52"/>
      <c r="J65" s="54"/>
      <c r="K65" s="54"/>
      <c r="L65" s="78" t="str">
        <f t="shared" si="141"/>
        <v xml:space="preserve">            { line: "aunque habían visto mis obras,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4.5" thickTop="1" thickBot="1" x14ac:dyDescent="0.55000000000000004">
      <c r="C66" s="113" t="s">
        <v>1072</v>
      </c>
      <c r="D66" s="112" t="s">
        <v>1051</v>
      </c>
      <c r="E66" s="52" t="s">
        <v>1012</v>
      </c>
      <c r="F66" s="53"/>
      <c r="G66" s="53"/>
      <c r="H66" s="52"/>
      <c r="I66" s="52"/>
      <c r="J66" s="54"/>
      <c r="K66" s="54"/>
      <c r="L66" s="78" t="str">
        <f t="shared" si="141"/>
        <v xml:space="preserve">            { line: "me obligaron a hacer su voluntad., (Do#,m,14)", sC: ""},</v>
      </c>
      <c r="M66" s="56" t="str">
        <f t="shared" si="142"/>
        <v>(</v>
      </c>
      <c r="N66" s="57" t="str">
        <f t="shared" si="2"/>
        <v>Do#</v>
      </c>
      <c r="O66" s="58" t="str">
        <f t="shared" si="143"/>
        <v>,</v>
      </c>
      <c r="P66" s="59" t="str">
        <f t="shared" si="4"/>
        <v>m</v>
      </c>
      <c r="Q66" s="60" t="str">
        <f t="shared" si="144"/>
        <v>,</v>
      </c>
      <c r="R66" s="61">
        <f t="shared" si="28"/>
        <v>14</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 si="163">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113" t="s">
        <v>1073</v>
      </c>
      <c r="D68" s="112" t="s">
        <v>1048</v>
      </c>
      <c r="E68" s="52" t="s">
        <v>1012</v>
      </c>
      <c r="F68" s="53"/>
      <c r="G68" s="53"/>
      <c r="H68" s="52"/>
      <c r="I68" s="52"/>
      <c r="J68" s="54"/>
      <c r="K68" s="54"/>
      <c r="L68" s="78" t="str">
        <f t="shared" si="141"/>
        <v xml:space="preserve">            { line: "Durante cuarenta años, (Fa#,m,15)", sC: ""},</v>
      </c>
      <c r="M68" s="56" t="str">
        <f t="shared" si="142"/>
        <v>(</v>
      </c>
      <c r="N68" s="57" t="str">
        <f t="shared" si="2"/>
        <v>Fa#</v>
      </c>
      <c r="O68" s="58" t="str">
        <f t="shared" si="143"/>
        <v>,</v>
      </c>
      <c r="P68" s="59" t="str">
        <f t="shared" si="4"/>
        <v>m</v>
      </c>
      <c r="Q68" s="60" t="str">
        <f t="shared" si="144"/>
        <v>,</v>
      </c>
      <c r="R68" s="61">
        <f t="shared" si="28"/>
        <v>15</v>
      </c>
      <c r="S68" s="56" t="str">
        <f t="shared" si="145"/>
        <v>)</v>
      </c>
      <c r="T68" s="62" t="str">
        <f t="shared" si="146"/>
        <v/>
      </c>
      <c r="U68" s="63" t="str">
        <f t="shared" si="8"/>
        <v/>
      </c>
      <c r="V68" s="64" t="str">
        <f t="shared" si="147"/>
        <v/>
      </c>
      <c r="W68" s="65" t="str">
        <f t="shared" si="10"/>
        <v/>
      </c>
      <c r="X68" s="64" t="str">
        <f t="shared" si="148"/>
        <v/>
      </c>
      <c r="Y68" s="64" t="str">
        <f t="shared" si="149"/>
        <v/>
      </c>
      <c r="Z68" s="56" t="str">
        <f t="shared" si="150"/>
        <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4.5" thickTop="1" thickBot="1" x14ac:dyDescent="0.55000000000000004">
      <c r="C69" s="113" t="s">
        <v>1074</v>
      </c>
      <c r="D69" s="112" t="s">
        <v>984</v>
      </c>
      <c r="E69" s="52">
        <v>7</v>
      </c>
      <c r="F69" s="53" t="s">
        <v>1011</v>
      </c>
      <c r="G69" s="53"/>
      <c r="H69" s="52"/>
      <c r="I69" s="52"/>
      <c r="J69" s="54"/>
      <c r="K69" s="54"/>
      <c r="L69" s="55" t="str">
        <f t="shared" si="141"/>
        <v xml:space="preserve">            { line: "me disgustó aquella generación., (Si,7,20)(Mi,,250)", sC: ""},</v>
      </c>
      <c r="M69" s="56" t="str">
        <f t="shared" si="142"/>
        <v>(</v>
      </c>
      <c r="N69" s="57" t="str">
        <f t="shared" si="2"/>
        <v>Si</v>
      </c>
      <c r="O69" s="58" t="str">
        <f t="shared" si="143"/>
        <v>,</v>
      </c>
      <c r="P69" s="59">
        <f t="shared" si="4"/>
        <v>7</v>
      </c>
      <c r="Q69" s="60" t="str">
        <f t="shared" si="144"/>
        <v>,</v>
      </c>
      <c r="R69" s="61">
        <f t="shared" si="28"/>
        <v>20</v>
      </c>
      <c r="S69" s="56" t="str">
        <f t="shared" si="145"/>
        <v>)</v>
      </c>
      <c r="T69" s="62" t="str">
        <f t="shared" si="146"/>
        <v>(</v>
      </c>
      <c r="U69" s="63" t="str">
        <f t="shared" si="8"/>
        <v>Mi</v>
      </c>
      <c r="V69" s="64" t="str">
        <f t="shared" si="147"/>
        <v>,</v>
      </c>
      <c r="W69" s="65" t="str">
        <f t="shared" si="10"/>
        <v/>
      </c>
      <c r="X69" s="64" t="str">
        <f t="shared" si="148"/>
        <v>,</v>
      </c>
      <c r="Y69" s="64">
        <f t="shared" si="149"/>
        <v>250</v>
      </c>
      <c r="Z69" s="56" t="str">
        <f t="shared" si="150"/>
        <v>)</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4.5" thickTop="1" thickBot="1" x14ac:dyDescent="0.55000000000000004">
      <c r="C70" s="113" t="s">
        <v>1075</v>
      </c>
      <c r="D70" s="112" t="s">
        <v>1051</v>
      </c>
      <c r="E70" s="52" t="s">
        <v>1012</v>
      </c>
      <c r="F70" s="53"/>
      <c r="G70" s="53"/>
      <c r="H70" s="52"/>
      <c r="I70" s="52"/>
      <c r="J70" s="54"/>
      <c r="K70" s="54"/>
      <c r="L70" s="55" t="str">
        <f t="shared" si="141"/>
        <v xml:space="preserve">            { line: "Y dije «Este es un pueblo, (Do#,m,14)", sC: ""},</v>
      </c>
      <c r="M70" s="56" t="str">
        <f t="shared" si="142"/>
        <v>(</v>
      </c>
      <c r="N70" s="57" t="str">
        <f t="shared" si="2"/>
        <v>Do#</v>
      </c>
      <c r="O70" s="58" t="str">
        <f t="shared" si="143"/>
        <v>,</v>
      </c>
      <c r="P70" s="59" t="str">
        <f t="shared" si="4"/>
        <v>m</v>
      </c>
      <c r="Q70" s="60" t="str">
        <f t="shared" si="144"/>
        <v>,</v>
      </c>
      <c r="R70" s="61">
        <f t="shared" si="28"/>
        <v>14</v>
      </c>
      <c r="S70" s="56" t="str">
        <f t="shared" si="145"/>
        <v>)</v>
      </c>
      <c r="T70" s="62" t="str">
        <f t="shared" si="146"/>
        <v/>
      </c>
      <c r="U70" s="63" t="str">
        <f t="shared" si="8"/>
        <v/>
      </c>
      <c r="V70" s="64" t="str">
        <f t="shared" si="147"/>
        <v/>
      </c>
      <c r="W70" s="65" t="str">
        <f t="shared" si="10"/>
        <v/>
      </c>
      <c r="X70" s="64" t="str">
        <f t="shared" si="148"/>
        <v/>
      </c>
      <c r="Y70" s="64" t="str">
        <f t="shared" si="149"/>
        <v/>
      </c>
      <c r="Z70" s="56" t="str">
        <f t="shared" si="150"/>
        <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4.5" thickTop="1" thickBot="1" x14ac:dyDescent="0.55000000000000004">
      <c r="C71" s="113" t="s">
        <v>1076</v>
      </c>
      <c r="D71" s="112" t="s">
        <v>1054</v>
      </c>
      <c r="E71" s="52"/>
      <c r="F71" s="53"/>
      <c r="G71" s="53"/>
      <c r="H71" s="52"/>
      <c r="I71" s="52"/>
      <c r="J71" s="54"/>
      <c r="K71" s="54"/>
      <c r="L71" s="55" t="str">
        <f t="shared" si="141"/>
        <v xml:space="preserve">            { line: "de corazón extraviado,, (Sol#,,20)", sC: ""},</v>
      </c>
      <c r="M71" s="56" t="str">
        <f t="shared" si="142"/>
        <v>(</v>
      </c>
      <c r="N71" s="57" t="str">
        <f t="shared" si="2"/>
        <v>Sol#</v>
      </c>
      <c r="O71" s="58" t="str">
        <f t="shared" si="143"/>
        <v>,</v>
      </c>
      <c r="P71" s="59" t="str">
        <f t="shared" si="4"/>
        <v/>
      </c>
      <c r="Q71" s="60" t="str">
        <f t="shared" si="144"/>
        <v>,</v>
      </c>
      <c r="R71" s="61">
        <f t="shared" si="28"/>
        <v>20</v>
      </c>
      <c r="S71" s="56" t="str">
        <f t="shared" si="145"/>
        <v>)</v>
      </c>
      <c r="T71" s="62" t="str">
        <f t="shared" si="146"/>
        <v/>
      </c>
      <c r="U71" s="63" t="str">
        <f t="shared" si="8"/>
        <v/>
      </c>
      <c r="V71" s="64" t="str">
        <f t="shared" si="147"/>
        <v/>
      </c>
      <c r="W71" s="65" t="str">
        <f t="shared" si="10"/>
        <v/>
      </c>
      <c r="X71" s="64" t="str">
        <f t="shared" si="148"/>
        <v/>
      </c>
      <c r="Y71" s="64" t="str">
        <f t="shared" si="149"/>
        <v/>
      </c>
      <c r="Z71" s="56" t="str">
        <f t="shared" si="150"/>
        <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4.5" thickTop="1" thickBot="1" x14ac:dyDescent="0.55000000000000004">
      <c r="C72" s="113" t="s">
        <v>1077</v>
      </c>
      <c r="D72" s="112"/>
      <c r="E72" s="52"/>
      <c r="F72" s="53"/>
      <c r="G72" s="53"/>
      <c r="H72" s="52"/>
      <c r="I72" s="52"/>
      <c r="J72" s="54"/>
      <c r="K72" s="54"/>
      <c r="L72" s="55" t="str">
        <f t="shared" si="141"/>
        <v xml:space="preserve">            { line: "no quiere conocer mis caminos,, ", sC: ""},</v>
      </c>
      <c r="M72" s="56" t="str">
        <f t="shared" si="142"/>
        <v/>
      </c>
      <c r="N72" s="57" t="str">
        <f t="shared" si="2"/>
        <v/>
      </c>
      <c r="O72" s="58" t="str">
        <f t="shared" si="143"/>
        <v/>
      </c>
      <c r="P72" s="59" t="str">
        <f t="shared" si="4"/>
        <v/>
      </c>
      <c r="Q72" s="60" t="str">
        <f t="shared" si="144"/>
        <v/>
      </c>
      <c r="R72" s="61" t="str">
        <f t="shared" si="28"/>
        <v/>
      </c>
      <c r="S72" s="56" t="str">
        <f t="shared" si="145"/>
        <v/>
      </c>
      <c r="T72" s="62" t="str">
        <f t="shared" si="146"/>
        <v/>
      </c>
      <c r="U72" s="63" t="str">
        <f t="shared" si="8"/>
        <v/>
      </c>
      <c r="V72" s="64" t="str">
        <f t="shared" si="147"/>
        <v/>
      </c>
      <c r="W72" s="65" t="str">
        <f t="shared" si="10"/>
        <v/>
      </c>
      <c r="X72" s="64" t="str">
        <f t="shared" si="148"/>
        <v/>
      </c>
      <c r="Y72" s="64" t="str">
        <f t="shared" si="149"/>
        <v/>
      </c>
      <c r="Z72" s="56" t="str">
        <f t="shared" si="150"/>
        <v/>
      </c>
      <c r="AA72" s="66" t="str">
        <f t="shared" si="151"/>
        <v/>
      </c>
      <c r="AB72" s="57" t="str">
        <f t="shared" si="15"/>
        <v/>
      </c>
      <c r="AC72" s="67" t="str">
        <f t="shared" si="152"/>
        <v/>
      </c>
      <c r="AD72" s="59" t="str">
        <f t="shared" si="153"/>
        <v/>
      </c>
      <c r="AE72" s="68" t="str">
        <f t="shared" si="154"/>
        <v/>
      </c>
      <c r="AF72" s="61" t="str">
        <f t="shared" si="155"/>
        <v/>
      </c>
      <c r="AG72" s="61" t="str">
        <f t="shared" si="156"/>
        <v/>
      </c>
      <c r="AH72" s="69" t="str">
        <f t="shared" si="157"/>
        <v/>
      </c>
      <c r="AI72" s="70" t="str">
        <f t="shared" si="22"/>
        <v/>
      </c>
      <c r="AJ72" s="64" t="str">
        <f t="shared" si="158"/>
        <v/>
      </c>
      <c r="AK72" s="64" t="str">
        <f t="shared" si="159"/>
        <v/>
      </c>
      <c r="AL72" s="64" t="str">
        <f t="shared" si="160"/>
        <v/>
      </c>
      <c r="AM72" s="64" t="str">
        <f t="shared" si="161"/>
        <v/>
      </c>
      <c r="AN72" s="64" t="str">
        <f t="shared" si="162"/>
        <v/>
      </c>
    </row>
    <row r="73" spans="1:40" ht="24.5" thickTop="1" thickBot="1" x14ac:dyDescent="0.55000000000000004">
      <c r="C73" s="113" t="s">
        <v>1078</v>
      </c>
      <c r="D73" s="112" t="s">
        <v>1051</v>
      </c>
      <c r="E73" s="52" t="s">
        <v>1012</v>
      </c>
      <c r="F73" s="53" t="s">
        <v>1011</v>
      </c>
      <c r="G73" s="53"/>
      <c r="H73" s="52"/>
      <c r="I73" s="52"/>
      <c r="J73" s="54"/>
      <c r="K73" s="54"/>
      <c r="L73" s="55" t="str">
        <f t="shared" si="141"/>
        <v xml:space="preserve">            { line: "por eso no entrarán en mi descanso»., (Do#,m,14)(Mi,,250)", sC: ""},</v>
      </c>
      <c r="M73" s="56" t="str">
        <f t="shared" si="142"/>
        <v>(</v>
      </c>
      <c r="N73" s="57" t="str">
        <f t="shared" si="2"/>
        <v>Do#</v>
      </c>
      <c r="O73" s="58" t="str">
        <f t="shared" si="143"/>
        <v>,</v>
      </c>
      <c r="P73" s="59" t="str">
        <f t="shared" si="4"/>
        <v>m</v>
      </c>
      <c r="Q73" s="60" t="str">
        <f t="shared" si="144"/>
        <v>,</v>
      </c>
      <c r="R73" s="61">
        <f t="shared" si="28"/>
        <v>14</v>
      </c>
      <c r="S73" s="56" t="str">
        <f t="shared" si="145"/>
        <v>)</v>
      </c>
      <c r="T73" s="62" t="str">
        <f t="shared" si="146"/>
        <v>(</v>
      </c>
      <c r="U73" s="63" t="str">
        <f t="shared" si="8"/>
        <v>Mi</v>
      </c>
      <c r="V73" s="64" t="str">
        <f t="shared" si="147"/>
        <v>,</v>
      </c>
      <c r="W73" s="65" t="str">
        <f t="shared" si="10"/>
        <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thickTop="1" thickBot="1" x14ac:dyDescent="0.55000000000000004">
      <c r="C75" s="79" t="s">
        <v>995</v>
      </c>
      <c r="D75" s="80"/>
      <c r="E75" s="80"/>
      <c r="F75" s="80"/>
      <c r="G75" s="80"/>
      <c r="H75" s="80"/>
      <c r="I75" s="80"/>
      <c r="J75" s="80"/>
      <c r="K75" s="80"/>
      <c r="L75" s="81" t="s">
        <v>996</v>
      </c>
      <c r="M75" s="56" t="str">
        <f t="shared" ref="M75:M77" si="164">IF(N75="","","(")</f>
        <v/>
      </c>
      <c r="N75" s="57" t="str">
        <f t="shared" ref="N75:N77" si="165">IF(D75="","",D75)</f>
        <v/>
      </c>
      <c r="O75" s="58" t="str">
        <f t="shared" ref="O75:O77" si="166">IF(N75="","",",")</f>
        <v/>
      </c>
      <c r="P75" s="59" t="str">
        <f t="shared" ref="P75:P77" si="167">IF(E75="","",E75)</f>
        <v/>
      </c>
      <c r="Q75" s="60" t="str">
        <f t="shared" ref="Q75:Q77" si="168">IF(N75="","",",")</f>
        <v/>
      </c>
      <c r="R75" s="61" t="str">
        <f t="shared" si="28"/>
        <v/>
      </c>
      <c r="S75" s="56" t="str">
        <f t="shared" ref="S75:S77" si="169">IF(N75="","",")")</f>
        <v/>
      </c>
      <c r="T75" s="62" t="str">
        <f t="shared" ref="T75:T77" si="170">IF(U75="","","(")</f>
        <v/>
      </c>
      <c r="U75" s="63" t="str">
        <f t="shared" ref="U75:U77" si="171">IF(F75="","",F75)</f>
        <v/>
      </c>
      <c r="V75" s="64" t="str">
        <f t="shared" ref="V75:V77" si="172">IF(U75="","",",")</f>
        <v/>
      </c>
      <c r="W75" s="65" t="str">
        <f t="shared" ref="W75:W77" si="173">IF(G75="","",G75)</f>
        <v/>
      </c>
      <c r="X75" s="64" t="str">
        <f t="shared" ref="X75:X77" si="174">IF(U75="","",",")</f>
        <v/>
      </c>
      <c r="Y75" s="64" t="str">
        <f t="shared" ref="Y75:Y77" si="175">IF(U75="","",250)</f>
        <v/>
      </c>
      <c r="Z75" s="56" t="str">
        <f t="shared" ref="Z75:Z77" si="176">IF(U75="","",")")</f>
        <v/>
      </c>
      <c r="AA75" s="66" t="str">
        <f t="shared" ref="AA75:AA77" si="177">IF(AB75="","","(")</f>
        <v/>
      </c>
      <c r="AB75" s="57" t="str">
        <f t="shared" ref="AB75:AB77" si="178">IF(H75="","",H75)</f>
        <v/>
      </c>
      <c r="AC75" s="67" t="str">
        <f t="shared" ref="AC75:AC77" si="179">IF(AB75="","",",")</f>
        <v/>
      </c>
      <c r="AD75" s="59" t="str">
        <f t="shared" ref="AD75:AD77" si="180">IF(I75="","",I75)</f>
        <v/>
      </c>
      <c r="AE75" s="68" t="str">
        <f t="shared" ref="AE75:AE77" si="181">IF(AB75="","",",")</f>
        <v/>
      </c>
      <c r="AF75" s="61" t="str">
        <f t="shared" ref="AF75:AF77" si="182">IF(AB75="","",350)</f>
        <v/>
      </c>
      <c r="AG75" s="61" t="str">
        <f t="shared" ref="AG75:AG77" si="183">IF(AB75="","",")")</f>
        <v/>
      </c>
      <c r="AH75" s="69" t="str">
        <f t="shared" ref="AH75:AH77" si="184">IF(AI75="","","(")</f>
        <v/>
      </c>
      <c r="AI75" s="70" t="str">
        <f t="shared" ref="AI75:AI77" si="185">IF(J75="","",J75)</f>
        <v/>
      </c>
      <c r="AJ75" s="64" t="str">
        <f t="shared" ref="AJ75:AJ77" si="186">IF(AI75="","",",")</f>
        <v/>
      </c>
      <c r="AK75" s="64" t="str">
        <f t="shared" ref="AK75:AK77" si="187">IF(K75="","",K75)</f>
        <v/>
      </c>
      <c r="AL75" s="64" t="str">
        <f t="shared" ref="AL75:AL77" si="188">IF(AI75="","",",")</f>
        <v/>
      </c>
      <c r="AM75" s="64" t="str">
        <f t="shared" ref="AM75:AM77" si="189">IF(AI75="","",450)</f>
        <v/>
      </c>
      <c r="AN75" s="64" t="str">
        <f t="shared" ref="AN75:AN77" si="190">IF(AI75="","",")")</f>
        <v/>
      </c>
    </row>
    <row r="76" spans="1:40" ht="24.5" thickTop="1" thickBot="1" x14ac:dyDescent="0.55000000000000004">
      <c r="B76" t="s">
        <v>997</v>
      </c>
      <c r="C76" s="82" t="s">
        <v>1056</v>
      </c>
      <c r="D76" s="83" t="s">
        <v>1011</v>
      </c>
      <c r="E76" s="83"/>
      <c r="F76" s="83" t="s">
        <v>1048</v>
      </c>
      <c r="G76" s="83" t="s">
        <v>1012</v>
      </c>
      <c r="H76" s="83"/>
      <c r="I76" s="83"/>
      <c r="J76" s="83"/>
      <c r="K76" s="83"/>
      <c r="L76" s="84" t="str">
        <f>IF(C76="","",_xlfn.CONCAT("       triggerLine: ","""",C76,", ",M76:AN76,""", sC: ","""",B76,""", lines: ["))</f>
        <v xml:space="preserve">       triggerLine: "SI HOY ESCUCHÁIS SU VOZ..., (Mi,,20)(Fa#,m,250)", sC: "ta as", lines: [</v>
      </c>
      <c r="M76" s="56" t="str">
        <f t="shared" si="164"/>
        <v>(</v>
      </c>
      <c r="N76" s="57" t="str">
        <f t="shared" si="165"/>
        <v>Mi</v>
      </c>
      <c r="O76" s="58" t="str">
        <f t="shared" si="166"/>
        <v>,</v>
      </c>
      <c r="P76" s="59" t="str">
        <f t="shared" si="167"/>
        <v/>
      </c>
      <c r="Q76" s="60" t="str">
        <f t="shared" si="168"/>
        <v>,</v>
      </c>
      <c r="R76" s="61">
        <f t="shared" si="28"/>
        <v>20</v>
      </c>
      <c r="S76" s="56" t="str">
        <f t="shared" si="169"/>
        <v>)</v>
      </c>
      <c r="T76" s="62" t="str">
        <f t="shared" si="170"/>
        <v>(</v>
      </c>
      <c r="U76" s="63" t="str">
        <f t="shared" si="171"/>
        <v>Fa#</v>
      </c>
      <c r="V76" s="64" t="str">
        <f t="shared" si="172"/>
        <v>,</v>
      </c>
      <c r="W76" s="65" t="str">
        <f t="shared" si="173"/>
        <v>m</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4.5" thickTop="1" thickBot="1" x14ac:dyDescent="0.55000000000000004">
      <c r="B77" t="s">
        <v>999</v>
      </c>
      <c r="C77" s="93" t="s">
        <v>1049</v>
      </c>
      <c r="D77" s="83" t="s">
        <v>984</v>
      </c>
      <c r="E77" s="83">
        <v>7</v>
      </c>
      <c r="F77" s="83" t="s">
        <v>1011</v>
      </c>
      <c r="G77" s="83"/>
      <c r="H77" s="83"/>
      <c r="I77" s="83"/>
      <c r="J77" s="83"/>
      <c r="K77" s="83"/>
      <c r="L77" s="94" t="str">
        <f>IF(C77="","",_xlfn.CONCAT("            { line: ","""",C77,", ",M77:AN77,""", sC: ","""",B77,"""},  ]},"))</f>
        <v xml:space="preserve">            { line: "NO ENDUREZCÁIS EL CORAZÓN., (Si,7,20)(Mi,,250)", sC: "as"},  ]},</v>
      </c>
      <c r="M77" s="56" t="str">
        <f t="shared" si="164"/>
        <v>(</v>
      </c>
      <c r="N77" s="57" t="str">
        <f t="shared" si="165"/>
        <v>Si</v>
      </c>
      <c r="O77" s="58" t="str">
        <f t="shared" si="166"/>
        <v>,</v>
      </c>
      <c r="P77" s="59">
        <f t="shared" si="167"/>
        <v>7</v>
      </c>
      <c r="Q77" s="60" t="str">
        <f t="shared" si="168"/>
        <v>,</v>
      </c>
      <c r="R77" s="61">
        <f t="shared" si="28"/>
        <v>20</v>
      </c>
      <c r="S77" s="56" t="str">
        <f t="shared" si="169"/>
        <v>)</v>
      </c>
      <c r="T77" s="62" t="str">
        <f t="shared" si="170"/>
        <v>(</v>
      </c>
      <c r="U77" s="63" t="str">
        <f t="shared" si="171"/>
        <v>Mi</v>
      </c>
      <c r="V77" s="64" t="str">
        <f t="shared" si="172"/>
        <v>,</v>
      </c>
      <c r="W77" s="65" t="str">
        <f t="shared" si="173"/>
        <v/>
      </c>
      <c r="X77" s="64" t="str">
        <f t="shared" si="174"/>
        <v>,</v>
      </c>
      <c r="Y77" s="64">
        <f t="shared" si="175"/>
        <v>250</v>
      </c>
      <c r="Z77" s="56" t="str">
        <f t="shared" si="176"/>
        <v>)</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4" customHeight="1" x14ac:dyDescent="0.6">
      <c r="A78" s="95"/>
      <c r="B78" s="95"/>
      <c r="C78" s="95"/>
      <c r="D78" s="95"/>
      <c r="E78" s="95"/>
      <c r="F78" s="95"/>
      <c r="G78" s="95"/>
      <c r="H78" s="95"/>
      <c r="I78" s="95"/>
      <c r="J78" s="95"/>
      <c r="K78" s="95"/>
      <c r="L78" s="99" t="str">
        <f ca="1">_xlfn.CONCAT("]}, // ULTIMA LINEA DEL CANTO: ",L1)</f>
        <v xml:space="preserve">]}, // ULTIMA LINEA DEL CANTO: SI HOY ESCUCHÁIS SU VOZ </v>
      </c>
      <c r="M78" s="95"/>
    </row>
    <row r="79" spans="1:40" ht="20.5" x14ac:dyDescent="0.35">
      <c r="L79" s="100" t="s">
        <v>1008</v>
      </c>
      <c r="M79" s="101"/>
    </row>
    <row r="80" spans="1:40" x14ac:dyDescent="0.35">
      <c r="M8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153</v>
      </c>
      <c r="E1" s="40"/>
      <c r="F1" s="40"/>
      <c r="G1" s="40"/>
      <c r="H1" s="40"/>
      <c r="I1" s="40"/>
      <c r="J1" s="40"/>
      <c r="K1" s="40"/>
      <c r="L1" s="41" t="str">
        <f ca="1">UPPER(VLOOKUP(C1,Table223[],3,FALSE))</f>
        <v>SI ME HE REFUGIADO EN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ME HE REFUGIADO EN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simeherefugiadoenelsenor</v>
      </c>
      <c r="L7" s="48" t="str">
        <f ca="1">_xlfn.CONCAT("        id: ","""",C7,"""",",")</f>
        <v xml:space="preserve">        id: "simeherefugiadoenelsenor",</v>
      </c>
    </row>
    <row r="8" spans="2:32" ht="23" x14ac:dyDescent="0.35">
      <c r="C8" t="str">
        <f ca="1">PROPER(L1)</f>
        <v>Si Me He Refugiado En El Señor</v>
      </c>
      <c r="L8" s="48" t="str">
        <f ca="1">_xlfn.CONCAT("        tt: ","""",C8,"""",",")</f>
        <v xml:space="preserve">        tt: "Si Me He Refugiado En El Señor",</v>
      </c>
    </row>
    <row r="9" spans="2:32" ht="23" x14ac:dyDescent="0.35">
      <c r="C9" t="str">
        <f ca="1">PROPER(L1)</f>
        <v>Si Me He Refugiado En El Señor</v>
      </c>
      <c r="L9" s="48" t="str">
        <f ca="1">_xlfn.CONCAT("        title: ","""",C9,"""",",")</f>
        <v xml:space="preserve">        title: "Si Me He Refugiado En El Señor",</v>
      </c>
    </row>
    <row r="10" spans="2:32" ht="23" x14ac:dyDescent="0.35">
      <c r="C10" t="str">
        <f ca="1">VLOOKUP(C1,Table223[],4,FALSE)</f>
        <v>Salmo 11(10)</v>
      </c>
      <c r="L10" s="48" t="str">
        <f ca="1">_xlfn.CONCAT("        ","subtitle: ","""",C10,"""",",")</f>
        <v xml:space="preserve">        subtitle: "Salmo 11(10)",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153</v>
      </c>
      <c r="L16" s="48" t="str">
        <f ca="1">_xlfn.CONCAT("        dbno: ","""",C16,"""",",")</f>
        <v xml:space="preserve">        dbno: "153",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simeherefugiadoenelsenor</v>
      </c>
      <c r="L19" s="48" t="str">
        <f ca="1">_xlfn.CONCAT("        audioSrc: ","""/audio/",C19,".mp3""",",")</f>
        <v xml:space="preserve">        audioSrc: "/audio/simeherefugiadoenelsenor.mp3",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152</v>
      </c>
      <c r="C26" t="str">
        <f ca="1">VLOOKUP(B26,Table4[],13,FALSE)</f>
        <v>"/resucito/src/index.html?canto=sihoyescuchaissuvoz"</v>
      </c>
      <c r="L26" s="48" t="str">
        <f ca="1">_xlfn.CONCAT("        ant: ",C26,",")</f>
        <v xml:space="preserve">        ant: "/resucito/src/index.html?canto=sihoyescuchaissuvoz",</v>
      </c>
    </row>
    <row r="27" spans="1:40" ht="23" x14ac:dyDescent="0.35">
      <c r="B27">
        <f ca="1">+C1+1</f>
        <v>154</v>
      </c>
      <c r="C27" t="str">
        <f ca="1">VLOOKUP(B27,Table4[],13,FALSE)</f>
        <v>"/resucito/src/index.html?canto=sionmadredetodoslospueblos"</v>
      </c>
      <c r="L27" s="48" t="str">
        <f ca="1">_xlfn.CONCAT("        sig: ",C27,",")</f>
        <v xml:space="preserve">        sig: "/resucito/src/index.html?canto=sionmadredetodoslospueblos",</v>
      </c>
    </row>
    <row r="28" spans="1:40" ht="23" x14ac:dyDescent="0.35">
      <c r="L28" s="46" t="s">
        <v>991</v>
      </c>
    </row>
    <row r="29" spans="1:40" ht="36" thickBot="1" x14ac:dyDescent="0.4">
      <c r="A29" s="49"/>
      <c r="B29" s="49"/>
      <c r="C29" s="49" t="s">
        <v>1046</v>
      </c>
      <c r="D29" s="49"/>
      <c r="E29" s="49"/>
      <c r="F29" s="49"/>
      <c r="G29" s="49"/>
      <c r="H29" s="49"/>
      <c r="I29" s="49"/>
      <c r="J29" s="49"/>
      <c r="K29" s="49"/>
      <c r="L29" s="50" t="s">
        <v>992</v>
      </c>
    </row>
    <row r="30" spans="1:40" ht="24.5" thickTop="1" thickBot="1" x14ac:dyDescent="0.550000000000000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4.5" thickTop="1" thickBot="1" x14ac:dyDescent="0.550000000000000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4.5" thickTop="1" thickBot="1" x14ac:dyDescent="0.550000000000000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4.5" thickTop="1" thickBot="1" x14ac:dyDescent="0.550000000000000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4.5" thickTop="1" thickBot="1" x14ac:dyDescent="0.550000000000000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4.5" thickTop="1" thickBot="1" x14ac:dyDescent="0.550000000000000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4.5" thickTop="1" thickBot="1" x14ac:dyDescent="0.550000000000000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4.5" thickTop="1" thickBot="1" x14ac:dyDescent="0.550000000000000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4.5" thickTop="1" thickBot="1" x14ac:dyDescent="0.550000000000000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4.5" thickTop="1" thickBot="1" x14ac:dyDescent="0.550000000000000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4.5" thickTop="1" thickBot="1" x14ac:dyDescent="0.550000000000000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4.5" thickTop="1" thickBot="1" x14ac:dyDescent="0.550000000000000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t="s">
        <v>1046</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4.5" thickTop="1" thickBot="1" x14ac:dyDescent="0.550000000000000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4.5" thickTop="1" thickBot="1" x14ac:dyDescent="0.550000000000000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4.5" thickTop="1" thickBot="1" x14ac:dyDescent="0.550000000000000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4.5" thickTop="1" thickBot="1" x14ac:dyDescent="0.550000000000000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4.5" thickTop="1" thickBot="1" x14ac:dyDescent="0.550000000000000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4.5" thickTop="1" thickBot="1" x14ac:dyDescent="0.550000000000000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4.5" thickTop="1" thickBot="1" x14ac:dyDescent="0.550000000000000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4.5" thickTop="1" thickBot="1" x14ac:dyDescent="0.550000000000000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4.5" thickTop="1" thickBot="1" x14ac:dyDescent="0.550000000000000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4.5" thickTop="1" thickBot="1" x14ac:dyDescent="0.550000000000000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4.5" thickTop="1" thickBot="1" x14ac:dyDescent="0.550000000000000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4.5" thickTop="1" thickBot="1" x14ac:dyDescent="0.550000000000000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4.5" thickTop="1" thickBot="1" x14ac:dyDescent="0.550000000000000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4.5" thickTop="1" thickBot="1" x14ac:dyDescent="0.550000000000000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4.5" thickTop="1" thickBot="1" x14ac:dyDescent="0.550000000000000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4.5" thickTop="1" thickBot="1" x14ac:dyDescent="0.550000000000000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4.5" thickTop="1" thickBot="1" x14ac:dyDescent="0.550000000000000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4.5" thickTop="1" thickBot="1" x14ac:dyDescent="0.550000000000000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4.5" thickTop="1" thickBot="1" x14ac:dyDescent="0.550000000000000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4.5" thickTop="1" thickBot="1" x14ac:dyDescent="0.550000000000000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SI ME HE REFUGIADO EN EL SEÑOR</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154</v>
      </c>
      <c r="E1" s="40"/>
      <c r="F1" s="40"/>
      <c r="G1" s="40"/>
      <c r="H1" s="40"/>
      <c r="I1" s="40"/>
      <c r="J1" s="40"/>
      <c r="K1" s="40"/>
      <c r="L1" s="41" t="str">
        <f ca="1">UPPER(VLOOKUP(C1,Table223[],3,FALSE))</f>
        <v>SIÓN, MADRE DE TODOS LOS PUEBLOS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SIÓN, MADRE DE TODOS LOS PUEBLOS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sionmadredetodoslospueblos</v>
      </c>
      <c r="L7" s="48" t="str">
        <f ca="1">_xlfn.CONCAT("        id: ","""",C7,"""",",")</f>
        <v xml:space="preserve">        id: "sionmadredetodoslospueblos",</v>
      </c>
    </row>
    <row r="8" spans="2:32" ht="23" x14ac:dyDescent="0.35">
      <c r="C8" t="str">
        <f ca="1">PROPER(L1)</f>
        <v>Sión, Madre De Todos Los Pueblos</v>
      </c>
      <c r="L8" s="48" t="str">
        <f ca="1">_xlfn.CONCAT("        tt: ","""",C8,"""",",")</f>
        <v xml:space="preserve">        tt: "Sión, Madre De Todos Los Pueblos",</v>
      </c>
    </row>
    <row r="9" spans="2:32" ht="23" x14ac:dyDescent="0.35">
      <c r="C9" t="str">
        <f ca="1">PROPER(L1)</f>
        <v>Sión, Madre De Todos Los Pueblos</v>
      </c>
      <c r="L9" s="48" t="str">
        <f ca="1">_xlfn.CONCAT("        title: ","""",C9,"""",",")</f>
        <v xml:space="preserve">        title: "Sión, Madre De Todos Los Pueblos",</v>
      </c>
    </row>
    <row r="10" spans="2:32" ht="23" x14ac:dyDescent="0.35">
      <c r="C10" t="str">
        <f ca="1">VLOOKUP(C1,Table223[],4,FALSE)</f>
        <v>Salmo 87 (86)</v>
      </c>
      <c r="L10" s="48" t="str">
        <f ca="1">_xlfn.CONCAT("        ","subtitle: ","""",C10,"""",",")</f>
        <v xml:space="preserve">        subtitle: "Salmo 87 (86)",</v>
      </c>
    </row>
    <row r="11" spans="2:32" ht="23" x14ac:dyDescent="0.35">
      <c r="C11" t="str">
        <f ca="1">_xlfn.CONCAT("category: [",VLOOKUP(C1,Table223[],16,FALSE),"],")</f>
        <v>category: ["Precatecumenado","Vírgen María","Final","Antiguo Testamento"],</v>
      </c>
      <c r="L11" s="48" t="str">
        <f ca="1">_xlfn.CONCAT("        ",C11)</f>
        <v xml:space="preserve">        category: ["Precatecumenado","Vírgen María","Final","Antiguo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154</v>
      </c>
      <c r="L16" s="48" t="str">
        <f ca="1">_xlfn.CONCAT("        dbno: ","""",C16,"""",",")</f>
        <v xml:space="preserve">        dbno: "154",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sionmadredetodoslospueblos</v>
      </c>
      <c r="L19" s="48" t="str">
        <f ca="1">_xlfn.CONCAT("        audioSrc: ","""/audio/",C19,".mp3""",",")</f>
        <v xml:space="preserve">        audioSrc: "/audio/sionmadredetodoslospueblos.mp3",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153</v>
      </c>
      <c r="C26" t="str">
        <f ca="1">VLOOKUP(B26,Table4[],13,FALSE)</f>
        <v>"/resucito/src/index.html?canto=simeherefugiadoenelsenor"</v>
      </c>
      <c r="L26" s="48" t="str">
        <f ca="1">_xlfn.CONCAT("        ant: ",C26,",")</f>
        <v xml:space="preserve">        ant: "/resucito/src/index.html?canto=simeherefugiadoenelsenor",</v>
      </c>
    </row>
    <row r="27" spans="1:40" ht="23" x14ac:dyDescent="0.35">
      <c r="B27">
        <f ca="1">+C1+1</f>
        <v>155</v>
      </c>
      <c r="C27" t="str">
        <f ca="1">VLOOKUP(B27,Table4[],13,FALSE)</f>
        <v>"/resucito/src/index.html?canto=solaasolo"</v>
      </c>
      <c r="L27" s="48" t="str">
        <f ca="1">_xlfn.CONCAT("        sig: ",C27,",")</f>
        <v xml:space="preserve">        sig: "/resucito/src/index.html?canto=solaasolo",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SIÓN, MADRE DE TODOS LOS PUEBLOS</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2025-08-31T11:44:49Z</dcterms:modified>
</cp:coreProperties>
</file>