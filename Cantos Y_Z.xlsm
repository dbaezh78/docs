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BC9524C6-AF24-4BB3-99DC-508C95C519B1}" xr6:coauthVersionLast="47" xr6:coauthVersionMax="47" xr10:uidLastSave="{00000000-0000-0000-0000-000000000000}"/>
  <bookViews>
    <workbookView xWindow="-120" yWindow="-120" windowWidth="51840" windowHeight="21120" tabRatio="693" firstSheet="1"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ZAQUEO" sheetId="90" r:id="rId8"/>
    <sheet name="MARIA, MADRE MÍA" sheetId="7" r:id="rId9"/>
    <sheet name="boceto" sheetId="36" state="hidden" r:id="rId10"/>
  </sheets>
  <functionGroups builtInGroupCount="19"/>
  <externalReferences>
    <externalReference r:id="rId11"/>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00" i="90" l="1"/>
  <c r="AI100" i="90"/>
  <c r="AN100" i="90" s="1"/>
  <c r="AD100" i="90"/>
  <c r="AB100" i="90"/>
  <c r="AF100" i="90" s="1"/>
  <c r="AA100" i="90"/>
  <c r="W100" i="90"/>
  <c r="U100" i="90"/>
  <c r="X100" i="90" s="1"/>
  <c r="Q100" i="90"/>
  <c r="P100" i="90"/>
  <c r="N100" i="90"/>
  <c r="O100" i="90" s="1"/>
  <c r="AK99" i="90"/>
  <c r="AI99" i="90"/>
  <c r="AJ99" i="90" s="1"/>
  <c r="AG99" i="90"/>
  <c r="AF99" i="90"/>
  <c r="AD99" i="90"/>
  <c r="AC99" i="90"/>
  <c r="AB99" i="90"/>
  <c r="AE99" i="90" s="1"/>
  <c r="Z99" i="90"/>
  <c r="Y99" i="90"/>
  <c r="W99" i="90"/>
  <c r="U99" i="90"/>
  <c r="T99" i="90" s="1"/>
  <c r="P99" i="90"/>
  <c r="N99" i="90"/>
  <c r="M99" i="90" s="1"/>
  <c r="AK98" i="90"/>
  <c r="AI98" i="90"/>
  <c r="AH98" i="90" s="1"/>
  <c r="AD98" i="90"/>
  <c r="AB98" i="90"/>
  <c r="AG98" i="90" s="1"/>
  <c r="W98" i="90"/>
  <c r="U98" i="90"/>
  <c r="Z98" i="90" s="1"/>
  <c r="S98" i="90"/>
  <c r="P98" i="90"/>
  <c r="N98" i="90"/>
  <c r="R98" i="90" s="1"/>
  <c r="R97" i="90"/>
  <c r="AN96" i="90"/>
  <c r="AK96" i="90"/>
  <c r="AI96" i="90"/>
  <c r="AM96" i="90" s="1"/>
  <c r="AH96" i="90"/>
  <c r="AG96" i="90"/>
  <c r="AF96" i="90"/>
  <c r="AD96" i="90"/>
  <c r="AB96" i="90"/>
  <c r="AE96" i="90" s="1"/>
  <c r="Y96" i="90"/>
  <c r="X96" i="90"/>
  <c r="W96" i="90"/>
  <c r="U96" i="90"/>
  <c r="V96" i="90" s="1"/>
  <c r="P96" i="90"/>
  <c r="N96" i="90"/>
  <c r="O96" i="90" s="1"/>
  <c r="AN95" i="90"/>
  <c r="AM95" i="90"/>
  <c r="AK95" i="90"/>
  <c r="AI95" i="90"/>
  <c r="AJ95" i="90" s="1"/>
  <c r="AG95" i="90"/>
  <c r="AE95" i="90"/>
  <c r="AD95" i="90"/>
  <c r="AC95" i="90"/>
  <c r="AB95" i="90"/>
  <c r="AA95" i="90" s="1"/>
  <c r="W95" i="90"/>
  <c r="U95" i="90"/>
  <c r="T95" i="90" s="1"/>
  <c r="P95" i="90"/>
  <c r="N95" i="90"/>
  <c r="S95" i="90" s="1"/>
  <c r="M95" i="90"/>
  <c r="AK94" i="90"/>
  <c r="AI94" i="90"/>
  <c r="AN94" i="90" s="1"/>
  <c r="AH94" i="90"/>
  <c r="AD94" i="90"/>
  <c r="AB94" i="90"/>
  <c r="AG94" i="90" s="1"/>
  <c r="Z94" i="90"/>
  <c r="W94" i="90"/>
  <c r="U94" i="90"/>
  <c r="Y94" i="90" s="1"/>
  <c r="P94" i="90"/>
  <c r="N94" i="90"/>
  <c r="Q94" i="90" s="1"/>
  <c r="M94" i="90"/>
  <c r="AN93" i="90"/>
  <c r="AK93" i="90"/>
  <c r="AJ93" i="90"/>
  <c r="AI93" i="90"/>
  <c r="AL93" i="90" s="1"/>
  <c r="AG93" i="90"/>
  <c r="AF93" i="90"/>
  <c r="AE93" i="90"/>
  <c r="AD93" i="90"/>
  <c r="AB93" i="90"/>
  <c r="AC93" i="90" s="1"/>
  <c r="W93" i="90"/>
  <c r="U93" i="90"/>
  <c r="V93" i="90" s="1"/>
  <c r="P93" i="90"/>
  <c r="N93" i="90"/>
  <c r="S93" i="90" s="1"/>
  <c r="M93" i="90"/>
  <c r="AN92" i="90"/>
  <c r="AL92" i="90"/>
  <c r="AK92" i="90"/>
  <c r="AJ92" i="90"/>
  <c r="AI92" i="90"/>
  <c r="AM92" i="90" s="1"/>
  <c r="AH92" i="90"/>
  <c r="AD92" i="90"/>
  <c r="AB92" i="90"/>
  <c r="AA92" i="90" s="1"/>
  <c r="W92" i="90"/>
  <c r="U92" i="90"/>
  <c r="Z92" i="90" s="1"/>
  <c r="T92" i="90"/>
  <c r="P92" i="90"/>
  <c r="N92" i="90"/>
  <c r="S92" i="90" s="1"/>
  <c r="M92" i="90"/>
  <c r="AK91" i="90"/>
  <c r="AI91" i="90"/>
  <c r="AN91" i="90" s="1"/>
  <c r="AD91" i="90"/>
  <c r="AB91" i="90"/>
  <c r="AF91" i="90" s="1"/>
  <c r="Z91" i="90"/>
  <c r="Y91" i="90"/>
  <c r="W91" i="90"/>
  <c r="U91" i="90"/>
  <c r="X91" i="90" s="1"/>
  <c r="T91" i="90"/>
  <c r="Q91" i="90"/>
  <c r="P91" i="90"/>
  <c r="N91" i="90"/>
  <c r="O91" i="90" s="1"/>
  <c r="R90" i="90"/>
  <c r="AK78" i="90"/>
  <c r="AI78" i="90"/>
  <c r="AM78" i="90" s="1"/>
  <c r="AD78" i="90"/>
  <c r="AB78" i="90"/>
  <c r="AF78" i="90" s="1"/>
  <c r="Y78" i="90"/>
  <c r="W78" i="90"/>
  <c r="U78" i="90"/>
  <c r="V78" i="90" s="1"/>
  <c r="T78" i="90"/>
  <c r="P78" i="90"/>
  <c r="N78" i="90"/>
  <c r="O78" i="90" s="1"/>
  <c r="R86" i="90"/>
  <c r="AK85" i="90"/>
  <c r="AI85" i="90"/>
  <c r="AN85" i="90" s="1"/>
  <c r="AD85" i="90"/>
  <c r="AB85" i="90"/>
  <c r="AF85" i="90" s="1"/>
  <c r="W85" i="90"/>
  <c r="U85" i="90"/>
  <c r="X85" i="90" s="1"/>
  <c r="P85" i="90"/>
  <c r="N85" i="90"/>
  <c r="Q85" i="90" s="1"/>
  <c r="AK84" i="90"/>
  <c r="AI84" i="90"/>
  <c r="AN84" i="90" s="1"/>
  <c r="AD84" i="90"/>
  <c r="AB84" i="90"/>
  <c r="AE84" i="90" s="1"/>
  <c r="W84" i="90"/>
  <c r="U84" i="90"/>
  <c r="X84" i="90" s="1"/>
  <c r="P84" i="90"/>
  <c r="N84" i="90"/>
  <c r="O84" i="90" s="1"/>
  <c r="AK83" i="90"/>
  <c r="AI83" i="90"/>
  <c r="AJ83" i="90" s="1"/>
  <c r="AG83" i="90"/>
  <c r="AD83" i="90"/>
  <c r="AB83" i="90"/>
  <c r="AC83" i="90" s="1"/>
  <c r="W83" i="90"/>
  <c r="U83" i="90"/>
  <c r="T83" i="90" s="1"/>
  <c r="P83" i="90"/>
  <c r="N83" i="90"/>
  <c r="M83" i="90" s="1"/>
  <c r="R82" i="90"/>
  <c r="AK81" i="90"/>
  <c r="AI81" i="90"/>
  <c r="AN81" i="90" s="1"/>
  <c r="AD81" i="90"/>
  <c r="AB81" i="90"/>
  <c r="AF81" i="90" s="1"/>
  <c r="AA81" i="90"/>
  <c r="W81" i="90"/>
  <c r="U81" i="90"/>
  <c r="X81" i="90" s="1"/>
  <c r="P81" i="90"/>
  <c r="N81" i="90"/>
  <c r="O81" i="90" s="1"/>
  <c r="AK80" i="90"/>
  <c r="AI80" i="90"/>
  <c r="AJ80" i="90" s="1"/>
  <c r="AD80" i="90"/>
  <c r="AB80" i="90"/>
  <c r="AC80" i="90" s="1"/>
  <c r="W80" i="90"/>
  <c r="U80" i="90"/>
  <c r="Z80" i="90" s="1"/>
  <c r="P80" i="90"/>
  <c r="N80" i="90"/>
  <c r="M80" i="90" s="1"/>
  <c r="AK79" i="90"/>
  <c r="AI79" i="90"/>
  <c r="AH79" i="90" s="1"/>
  <c r="AD79" i="90"/>
  <c r="AB79" i="90"/>
  <c r="AG79" i="90" s="1"/>
  <c r="W79" i="90"/>
  <c r="U79" i="90"/>
  <c r="Z79" i="90" s="1"/>
  <c r="P79" i="90"/>
  <c r="N79" i="90"/>
  <c r="R79" i="90" s="1"/>
  <c r="AK77" i="90"/>
  <c r="AI77" i="90"/>
  <c r="AM77" i="90" s="1"/>
  <c r="AD77" i="90"/>
  <c r="AB77" i="90"/>
  <c r="AE77" i="90" s="1"/>
  <c r="W77" i="90"/>
  <c r="U77" i="90"/>
  <c r="T77" i="90" s="1"/>
  <c r="P77" i="90"/>
  <c r="N77" i="90"/>
  <c r="O77" i="90" s="1"/>
  <c r="AK76" i="90"/>
  <c r="AI76" i="90"/>
  <c r="AJ76" i="90" s="1"/>
  <c r="AD76" i="90"/>
  <c r="AB76" i="90"/>
  <c r="AA76" i="90" s="1"/>
  <c r="W76" i="90"/>
  <c r="U76" i="90"/>
  <c r="T76" i="90" s="1"/>
  <c r="P76" i="90"/>
  <c r="N76" i="90"/>
  <c r="S76" i="90" s="1"/>
  <c r="R75" i="90"/>
  <c r="R71" i="90"/>
  <c r="R65" i="90"/>
  <c r="R61" i="90"/>
  <c r="R44" i="90"/>
  <c r="R39" i="90"/>
  <c r="AK89" i="90"/>
  <c r="AI89" i="90"/>
  <c r="AJ89" i="90" s="1"/>
  <c r="AD89" i="90"/>
  <c r="AB89" i="90"/>
  <c r="W89" i="90"/>
  <c r="U89" i="90"/>
  <c r="Z89" i="90" s="1"/>
  <c r="P89" i="90"/>
  <c r="N89" i="90"/>
  <c r="R89" i="90" s="1"/>
  <c r="AK88" i="90"/>
  <c r="AI88" i="90"/>
  <c r="AM88" i="90" s="1"/>
  <c r="AD88" i="90"/>
  <c r="AB88" i="90"/>
  <c r="AC88" i="90" s="1"/>
  <c r="W88" i="90"/>
  <c r="U88" i="90"/>
  <c r="X88" i="90" s="1"/>
  <c r="P88" i="90"/>
  <c r="N88" i="90"/>
  <c r="O88" i="90" s="1"/>
  <c r="AK87" i="90"/>
  <c r="AI87" i="90"/>
  <c r="AJ87" i="90" s="1"/>
  <c r="AD87" i="90"/>
  <c r="AB87" i="90"/>
  <c r="AG87" i="90" s="1"/>
  <c r="W87" i="90"/>
  <c r="U87" i="90"/>
  <c r="Z87" i="90" s="1"/>
  <c r="P87" i="90"/>
  <c r="N87" i="90"/>
  <c r="AK55" i="90"/>
  <c r="AI55" i="90"/>
  <c r="AJ55" i="90" s="1"/>
  <c r="AD55" i="90"/>
  <c r="AB55" i="90"/>
  <c r="AA55" i="90" s="1"/>
  <c r="W55" i="90"/>
  <c r="U55" i="90"/>
  <c r="P55" i="90"/>
  <c r="N55" i="90"/>
  <c r="O55" i="90" s="1"/>
  <c r="AK54" i="90"/>
  <c r="AI54" i="90"/>
  <c r="AD54" i="90"/>
  <c r="AB54" i="90"/>
  <c r="AC54" i="90" s="1"/>
  <c r="W54" i="90"/>
  <c r="U54" i="90"/>
  <c r="T54" i="90" s="1"/>
  <c r="P54" i="90"/>
  <c r="N54" i="90"/>
  <c r="AK53" i="90"/>
  <c r="AI53" i="90"/>
  <c r="AH53" i="90" s="1"/>
  <c r="AD53" i="90"/>
  <c r="AB53" i="90"/>
  <c r="AC53" i="90" s="1"/>
  <c r="W53" i="90"/>
  <c r="U53" i="90"/>
  <c r="T53" i="90" s="1"/>
  <c r="P53" i="90"/>
  <c r="N53" i="90"/>
  <c r="R53" i="90" s="1"/>
  <c r="AK52" i="90"/>
  <c r="AI52" i="90"/>
  <c r="AM52" i="90" s="1"/>
  <c r="AD52" i="90"/>
  <c r="AB52" i="90"/>
  <c r="AC52" i="90" s="1"/>
  <c r="W52" i="90"/>
  <c r="U52" i="90"/>
  <c r="V52" i="90" s="1"/>
  <c r="P52" i="90"/>
  <c r="N52" i="90"/>
  <c r="AK51" i="90"/>
  <c r="AI51" i="90"/>
  <c r="AJ51" i="90" s="1"/>
  <c r="AD51" i="90"/>
  <c r="AB51" i="90"/>
  <c r="AA51" i="90" s="1"/>
  <c r="W51" i="90"/>
  <c r="U51" i="90"/>
  <c r="T51" i="90" s="1"/>
  <c r="P51" i="90"/>
  <c r="N51" i="90"/>
  <c r="O51" i="90" s="1"/>
  <c r="R50" i="90"/>
  <c r="AK74" i="90"/>
  <c r="AI74" i="90"/>
  <c r="AD74" i="90"/>
  <c r="AB74" i="90"/>
  <c r="AC74" i="90" s="1"/>
  <c r="W74" i="90"/>
  <c r="U74" i="90"/>
  <c r="V74" i="90" s="1"/>
  <c r="P74" i="90"/>
  <c r="N74" i="90"/>
  <c r="M74" i="90" s="1"/>
  <c r="AK73" i="90"/>
  <c r="AI73" i="90"/>
  <c r="AJ73" i="90" s="1"/>
  <c r="AD73" i="90"/>
  <c r="AB73" i="90"/>
  <c r="AA73" i="90" s="1"/>
  <c r="W73" i="90"/>
  <c r="U73" i="90"/>
  <c r="P73" i="90"/>
  <c r="N73" i="90"/>
  <c r="AK72" i="90"/>
  <c r="AI72" i="90"/>
  <c r="AH72" i="90" s="1"/>
  <c r="AD72" i="90"/>
  <c r="AB72" i="90"/>
  <c r="AF72" i="90" s="1"/>
  <c r="W72" i="90"/>
  <c r="U72" i="90"/>
  <c r="X72" i="90" s="1"/>
  <c r="P72" i="90"/>
  <c r="N72" i="90"/>
  <c r="R72" i="90" s="1"/>
  <c r="AK70" i="90"/>
  <c r="AI70" i="90"/>
  <c r="AD70" i="90"/>
  <c r="AB70" i="90"/>
  <c r="AC70" i="90" s="1"/>
  <c r="W70" i="90"/>
  <c r="U70" i="90"/>
  <c r="V70" i="90" s="1"/>
  <c r="P70" i="90"/>
  <c r="N70" i="90"/>
  <c r="M70" i="90" s="1"/>
  <c r="AK69" i="90"/>
  <c r="AI69" i="90"/>
  <c r="AH69" i="90" s="1"/>
  <c r="AD69" i="90"/>
  <c r="AB69" i="90"/>
  <c r="AF69" i="90" s="1"/>
  <c r="W69" i="90"/>
  <c r="U69" i="90"/>
  <c r="P69" i="90"/>
  <c r="N69" i="90"/>
  <c r="M69" i="90" s="1"/>
  <c r="AK68" i="90"/>
  <c r="AI68" i="90"/>
  <c r="AH68" i="90" s="1"/>
  <c r="AD68" i="90"/>
  <c r="AB68" i="90"/>
  <c r="AE68" i="90" s="1"/>
  <c r="W68" i="90"/>
  <c r="U68" i="90"/>
  <c r="Z68" i="90" s="1"/>
  <c r="P68" i="90"/>
  <c r="N68" i="90"/>
  <c r="O68" i="90" s="1"/>
  <c r="AK67" i="90"/>
  <c r="AI67" i="90"/>
  <c r="AD67" i="90"/>
  <c r="AB67" i="90"/>
  <c r="AE67" i="90" s="1"/>
  <c r="W67" i="90"/>
  <c r="U67" i="90"/>
  <c r="T67" i="90" s="1"/>
  <c r="P67" i="90"/>
  <c r="N67" i="90"/>
  <c r="M67" i="90" s="1"/>
  <c r="AK66" i="90"/>
  <c r="AI66" i="90"/>
  <c r="AD66" i="90"/>
  <c r="AB66" i="90"/>
  <c r="AC66" i="90" s="1"/>
  <c r="W66" i="90"/>
  <c r="U66" i="90"/>
  <c r="Z66" i="90" s="1"/>
  <c r="P66" i="90"/>
  <c r="N66" i="90"/>
  <c r="Q66" i="90" s="1"/>
  <c r="AK64" i="90"/>
  <c r="AI64" i="90"/>
  <c r="AD64" i="90"/>
  <c r="AB64" i="90"/>
  <c r="AE64" i="90" s="1"/>
  <c r="W64" i="90"/>
  <c r="U64" i="90"/>
  <c r="V64" i="90" s="1"/>
  <c r="P64" i="90"/>
  <c r="N64" i="90"/>
  <c r="O64" i="90" s="1"/>
  <c r="AK63" i="90"/>
  <c r="AI63" i="90"/>
  <c r="AN63" i="90" s="1"/>
  <c r="AD63" i="90"/>
  <c r="AB63" i="90"/>
  <c r="AE63" i="90" s="1"/>
  <c r="W63" i="90"/>
  <c r="U63" i="90"/>
  <c r="T63" i="90" s="1"/>
  <c r="P63" i="90"/>
  <c r="N63" i="90"/>
  <c r="M63" i="90" s="1"/>
  <c r="AK62" i="90"/>
  <c r="AI62" i="90"/>
  <c r="AL62" i="90" s="1"/>
  <c r="AD62" i="90"/>
  <c r="AB62" i="90"/>
  <c r="AA62" i="90" s="1"/>
  <c r="W62" i="90"/>
  <c r="U62" i="90"/>
  <c r="X62" i="90" s="1"/>
  <c r="P62" i="90"/>
  <c r="N62" i="90"/>
  <c r="R62" i="90" s="1"/>
  <c r="AK60" i="90"/>
  <c r="AI60" i="90"/>
  <c r="AD60" i="90"/>
  <c r="AB60" i="90"/>
  <c r="AC60" i="90" s="1"/>
  <c r="W60" i="90"/>
  <c r="U60" i="90"/>
  <c r="T60" i="90" s="1"/>
  <c r="P60" i="90"/>
  <c r="N60" i="90"/>
  <c r="S60" i="90" s="1"/>
  <c r="AK59" i="90"/>
  <c r="AI59" i="90"/>
  <c r="AD59" i="90"/>
  <c r="AB59" i="90"/>
  <c r="AA59" i="90" s="1"/>
  <c r="W59" i="90"/>
  <c r="U59" i="90"/>
  <c r="V59" i="90" s="1"/>
  <c r="P59" i="90"/>
  <c r="N59" i="90"/>
  <c r="M59" i="90" s="1"/>
  <c r="AK58" i="90"/>
  <c r="AI58" i="90"/>
  <c r="AH58" i="90" s="1"/>
  <c r="AD58" i="90"/>
  <c r="AB58" i="90"/>
  <c r="AE58" i="90" s="1"/>
  <c r="W58" i="90"/>
  <c r="U58" i="90"/>
  <c r="P58" i="90"/>
  <c r="N58" i="90"/>
  <c r="O58" i="90" s="1"/>
  <c r="AK57" i="90"/>
  <c r="AI57" i="90"/>
  <c r="AJ57" i="90" s="1"/>
  <c r="AD57" i="90"/>
  <c r="AB57" i="90"/>
  <c r="W57" i="90"/>
  <c r="U57" i="90"/>
  <c r="T57" i="90" s="1"/>
  <c r="P57" i="90"/>
  <c r="N57" i="90"/>
  <c r="M57" i="90" s="1"/>
  <c r="R56" i="90"/>
  <c r="AK49" i="90"/>
  <c r="AI49" i="90"/>
  <c r="AM49" i="90" s="1"/>
  <c r="AD49" i="90"/>
  <c r="AB49" i="90"/>
  <c r="AF49" i="90" s="1"/>
  <c r="W49" i="90"/>
  <c r="U49" i="90"/>
  <c r="P49" i="90"/>
  <c r="N49" i="90"/>
  <c r="O49" i="90" s="1"/>
  <c r="AK48" i="90"/>
  <c r="AI48" i="90"/>
  <c r="AN48" i="90" s="1"/>
  <c r="AD48" i="90"/>
  <c r="AB48" i="90"/>
  <c r="AC48" i="90" s="1"/>
  <c r="W48" i="90"/>
  <c r="U48" i="90"/>
  <c r="P48" i="90"/>
  <c r="N48" i="90"/>
  <c r="R48" i="90" s="1"/>
  <c r="AK47" i="90"/>
  <c r="AI47" i="90"/>
  <c r="AM47" i="90" s="1"/>
  <c r="AD47" i="90"/>
  <c r="AB47" i="90"/>
  <c r="AE47" i="90" s="1"/>
  <c r="W47" i="90"/>
  <c r="U47" i="90"/>
  <c r="Y47" i="90" s="1"/>
  <c r="P47" i="90"/>
  <c r="N47" i="90"/>
  <c r="M47" i="90" s="1"/>
  <c r="AK46" i="90"/>
  <c r="AI46" i="90"/>
  <c r="AJ46" i="90" s="1"/>
  <c r="AD46" i="90"/>
  <c r="AB46" i="90"/>
  <c r="AE46" i="90" s="1"/>
  <c r="W46" i="90"/>
  <c r="U46" i="90"/>
  <c r="V46" i="90" s="1"/>
  <c r="P46" i="90"/>
  <c r="N46" i="90"/>
  <c r="O46" i="90" s="1"/>
  <c r="AK45" i="90"/>
  <c r="AI45" i="90"/>
  <c r="AH45" i="90" s="1"/>
  <c r="AD45" i="90"/>
  <c r="AB45" i="90"/>
  <c r="AG45" i="90" s="1"/>
  <c r="W45" i="90"/>
  <c r="U45" i="90"/>
  <c r="T45" i="90" s="1"/>
  <c r="P45" i="90"/>
  <c r="N45" i="90"/>
  <c r="Q45" i="90" s="1"/>
  <c r="AK43" i="90"/>
  <c r="AI43" i="90"/>
  <c r="AH43" i="90" s="1"/>
  <c r="AD43" i="90"/>
  <c r="AB43" i="90"/>
  <c r="AA43" i="90" s="1"/>
  <c r="W43" i="90"/>
  <c r="U43" i="90"/>
  <c r="Y43" i="90" s="1"/>
  <c r="P43" i="90"/>
  <c r="N43" i="90"/>
  <c r="Q43" i="90" s="1"/>
  <c r="AK42" i="90"/>
  <c r="AI42" i="90"/>
  <c r="AM42" i="90" s="1"/>
  <c r="AD42" i="90"/>
  <c r="AB42" i="90"/>
  <c r="AC42" i="90" s="1"/>
  <c r="W42" i="90"/>
  <c r="U42" i="90"/>
  <c r="Z42" i="90" s="1"/>
  <c r="P42" i="90"/>
  <c r="N42" i="90"/>
  <c r="O42" i="90" s="1"/>
  <c r="AK41" i="90"/>
  <c r="AI41" i="90"/>
  <c r="AN41" i="90" s="1"/>
  <c r="AD41" i="90"/>
  <c r="AB41" i="90"/>
  <c r="AF41" i="90" s="1"/>
  <c r="W41" i="90"/>
  <c r="U41" i="90"/>
  <c r="X41" i="90" s="1"/>
  <c r="P41" i="90"/>
  <c r="N41" i="90"/>
  <c r="M41" i="90" s="1"/>
  <c r="AK40" i="90"/>
  <c r="AI40" i="90"/>
  <c r="AD40" i="90"/>
  <c r="AB40" i="90"/>
  <c r="AE40" i="90" s="1"/>
  <c r="W40" i="90"/>
  <c r="U40" i="90"/>
  <c r="P40" i="90"/>
  <c r="N40" i="90"/>
  <c r="AK38" i="90"/>
  <c r="AI38" i="90"/>
  <c r="AJ38" i="90" s="1"/>
  <c r="AD38" i="90"/>
  <c r="AB38" i="90"/>
  <c r="AE38" i="90" s="1"/>
  <c r="W38" i="90"/>
  <c r="U38" i="90"/>
  <c r="X38" i="90" s="1"/>
  <c r="P38" i="90"/>
  <c r="N38" i="90"/>
  <c r="R38" i="90" s="1"/>
  <c r="AK37" i="90"/>
  <c r="AI37" i="90"/>
  <c r="AM37" i="90" s="1"/>
  <c r="AD37" i="90"/>
  <c r="AB37" i="90"/>
  <c r="AC37" i="90" s="1"/>
  <c r="W37" i="90"/>
  <c r="U37" i="90"/>
  <c r="T37" i="90" s="1"/>
  <c r="P37" i="90"/>
  <c r="N37" i="90"/>
  <c r="M37" i="90" s="1"/>
  <c r="AK36" i="90"/>
  <c r="AI36" i="90"/>
  <c r="AN36" i="90" s="1"/>
  <c r="AD36" i="90"/>
  <c r="AB36" i="90"/>
  <c r="AG36" i="90" s="1"/>
  <c r="W36" i="90"/>
  <c r="U36" i="90"/>
  <c r="Z36" i="90" s="1"/>
  <c r="P36" i="90"/>
  <c r="N36" i="90"/>
  <c r="Q36" i="90" s="1"/>
  <c r="AK35" i="90"/>
  <c r="AI35" i="90"/>
  <c r="AJ35" i="90" s="1"/>
  <c r="AD35" i="90"/>
  <c r="AB35" i="90"/>
  <c r="W35" i="90"/>
  <c r="U35" i="90"/>
  <c r="V35" i="90" s="1"/>
  <c r="P35" i="90"/>
  <c r="N35" i="90"/>
  <c r="Q35" i="90" s="1"/>
  <c r="AK33" i="90"/>
  <c r="AI33" i="90"/>
  <c r="AJ33" i="90" s="1"/>
  <c r="AD33" i="90"/>
  <c r="AB33" i="90"/>
  <c r="AA33" i="90" s="1"/>
  <c r="W33" i="90"/>
  <c r="U33" i="90"/>
  <c r="X33" i="90" s="1"/>
  <c r="P33" i="90"/>
  <c r="N33" i="90"/>
  <c r="AK32" i="90"/>
  <c r="AI32" i="90"/>
  <c r="AM32" i="90" s="1"/>
  <c r="AD32" i="90"/>
  <c r="AB32" i="90"/>
  <c r="AC32" i="90" s="1"/>
  <c r="W32" i="90"/>
  <c r="U32" i="90"/>
  <c r="X32" i="90" s="1"/>
  <c r="P32" i="90"/>
  <c r="N32" i="90"/>
  <c r="O32" i="90" s="1"/>
  <c r="AK31" i="90"/>
  <c r="AI31" i="90"/>
  <c r="AL31" i="90" s="1"/>
  <c r="AD31" i="90"/>
  <c r="AB31" i="90"/>
  <c r="AE31" i="90" s="1"/>
  <c r="W31" i="90"/>
  <c r="U31" i="90"/>
  <c r="Z31" i="90" s="1"/>
  <c r="P31" i="90"/>
  <c r="N31" i="90"/>
  <c r="S31" i="90" s="1"/>
  <c r="AK30" i="90"/>
  <c r="AI30" i="90"/>
  <c r="AH30" i="90" s="1"/>
  <c r="AD30" i="90"/>
  <c r="AB30" i="90"/>
  <c r="AE30" i="90" s="1"/>
  <c r="W30" i="90"/>
  <c r="U30" i="90"/>
  <c r="T30" i="90" s="1"/>
  <c r="P30" i="90"/>
  <c r="N30" i="90"/>
  <c r="O30" i="90" s="1"/>
  <c r="R34" i="90"/>
  <c r="L18" i="90"/>
  <c r="L17" i="90"/>
  <c r="L15" i="90"/>
  <c r="L14" i="90"/>
  <c r="L13" i="90"/>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90" a="1"/>
  <c r="AA83" i="90" l="1"/>
  <c r="R91" i="90"/>
  <c r="AA91" i="90"/>
  <c r="O93" i="90"/>
  <c r="X93" i="90"/>
  <c r="AH93" i="90"/>
  <c r="O94" i="90"/>
  <c r="AA94" i="90"/>
  <c r="AF95" i="90"/>
  <c r="Z96" i="90"/>
  <c r="T98" i="90"/>
  <c r="AA99" i="90"/>
  <c r="R100" i="90"/>
  <c r="AC100" i="90"/>
  <c r="AG78" i="90"/>
  <c r="S91" i="90"/>
  <c r="Y93" i="90"/>
  <c r="Q96" i="90"/>
  <c r="AA96" i="90"/>
  <c r="AL99" i="90"/>
  <c r="S100" i="90"/>
  <c r="Q93" i="90"/>
  <c r="Z93" i="90"/>
  <c r="R94" i="90"/>
  <c r="R96" i="90"/>
  <c r="AM99" i="90"/>
  <c r="AG100" i="90"/>
  <c r="AE83" i="90"/>
  <c r="AG91" i="90"/>
  <c r="R93" i="90"/>
  <c r="S94" i="90"/>
  <c r="S96" i="90"/>
  <c r="AC96" i="90"/>
  <c r="AA98" i="90"/>
  <c r="V99" i="90"/>
  <c r="AN99" i="90"/>
  <c r="AH100" i="90"/>
  <c r="AF83" i="90"/>
  <c r="V91" i="90"/>
  <c r="AH91" i="90"/>
  <c r="AM93" i="90"/>
  <c r="T94" i="90"/>
  <c r="AL95" i="90"/>
  <c r="M98" i="90"/>
  <c r="M100" i="90"/>
  <c r="Y100" i="90"/>
  <c r="T93" i="90"/>
  <c r="X99" i="90"/>
  <c r="Z100" i="90"/>
  <c r="V92" i="90"/>
  <c r="AJ94" i="90"/>
  <c r="O95" i="90"/>
  <c r="AC98" i="90"/>
  <c r="AJ98" i="90"/>
  <c r="AJ91" i="90"/>
  <c r="O92" i="90"/>
  <c r="AE92" i="90"/>
  <c r="AC94" i="90"/>
  <c r="X95" i="90"/>
  <c r="V98" i="90"/>
  <c r="AL98" i="90"/>
  <c r="Q99" i="90"/>
  <c r="T100" i="90"/>
  <c r="AJ100" i="90"/>
  <c r="V95" i="90"/>
  <c r="O99" i="90"/>
  <c r="AH84" i="90"/>
  <c r="M91" i="90"/>
  <c r="AC91" i="90"/>
  <c r="X92" i="90"/>
  <c r="AF92" i="90"/>
  <c r="AA93" i="90"/>
  <c r="L93" i="90" s="1"/>
  <c r="V94" i="90"/>
  <c r="AL94" i="90"/>
  <c r="Q95" i="90"/>
  <c r="Y95" i="90"/>
  <c r="T96" i="90"/>
  <c r="AJ96" i="90"/>
  <c r="O98" i="90"/>
  <c r="AE98" i="90"/>
  <c r="AM98" i="90"/>
  <c r="R99" i="90"/>
  <c r="AH99" i="90"/>
  <c r="AC92" i="90"/>
  <c r="AL91" i="90"/>
  <c r="Q92" i="90"/>
  <c r="Y92" i="90"/>
  <c r="AG92" i="90"/>
  <c r="AE94" i="90"/>
  <c r="AM94" i="90"/>
  <c r="R95" i="90"/>
  <c r="Z95" i="90"/>
  <c r="AH95" i="90"/>
  <c r="M96" i="90"/>
  <c r="X98" i="90"/>
  <c r="AF98" i="90"/>
  <c r="AN98" i="90"/>
  <c r="S99" i="90"/>
  <c r="V100" i="90"/>
  <c r="AL100" i="90"/>
  <c r="AE91" i="90"/>
  <c r="AM91" i="90"/>
  <c r="R92" i="90"/>
  <c r="X94" i="90"/>
  <c r="AF94" i="90"/>
  <c r="AL96" i="90"/>
  <c r="Q98" i="90"/>
  <c r="Y98" i="90"/>
  <c r="AE100" i="90"/>
  <c r="AM100" i="90"/>
  <c r="Z81" i="90"/>
  <c r="X83" i="90"/>
  <c r="AH83" i="90"/>
  <c r="AH78" i="90"/>
  <c r="X78" i="90"/>
  <c r="AJ78" i="90"/>
  <c r="Z78" i="90"/>
  <c r="AN78" i="90"/>
  <c r="Z85" i="90"/>
  <c r="Y85" i="90"/>
  <c r="R85" i="90"/>
  <c r="Q84" i="90"/>
  <c r="R84" i="90"/>
  <c r="Q78" i="90"/>
  <c r="R78" i="90"/>
  <c r="M78" i="90"/>
  <c r="AC84" i="90"/>
  <c r="S84" i="90"/>
  <c r="AA85" i="90"/>
  <c r="S78" i="90"/>
  <c r="AA78" i="90"/>
  <c r="AL83" i="90"/>
  <c r="AF84" i="90"/>
  <c r="AM83" i="90"/>
  <c r="AG84" i="90"/>
  <c r="S85" i="90"/>
  <c r="AC85" i="90"/>
  <c r="AC78" i="90"/>
  <c r="AL79" i="90"/>
  <c r="AE80" i="90"/>
  <c r="AN83" i="90"/>
  <c r="Y84" i="90"/>
  <c r="AL78" i="90"/>
  <c r="V77" i="90"/>
  <c r="T79" i="90"/>
  <c r="AN79" i="90"/>
  <c r="V83" i="90"/>
  <c r="Z84" i="90"/>
  <c r="V85" i="90"/>
  <c r="AG85" i="90"/>
  <c r="AE78" i="90"/>
  <c r="AA84" i="90"/>
  <c r="AH85" i="90"/>
  <c r="O83" i="90"/>
  <c r="T85" i="90"/>
  <c r="AJ85" i="90"/>
  <c r="AM76" i="90"/>
  <c r="Q83" i="90"/>
  <c r="Y83" i="90"/>
  <c r="T84" i="90"/>
  <c r="AJ84" i="90"/>
  <c r="M85" i="90"/>
  <c r="AN76" i="90"/>
  <c r="AF77" i="90"/>
  <c r="R83" i="90"/>
  <c r="Z83" i="90"/>
  <c r="M84" i="90"/>
  <c r="AL85" i="90"/>
  <c r="AG77" i="90"/>
  <c r="S83" i="90"/>
  <c r="V84" i="90"/>
  <c r="AL84" i="90"/>
  <c r="O85" i="90"/>
  <c r="AE85" i="90"/>
  <c r="AM85" i="90"/>
  <c r="AM84" i="90"/>
  <c r="AH77" i="90"/>
  <c r="AN80" i="90"/>
  <c r="AC76" i="90"/>
  <c r="AL76" i="90"/>
  <c r="AA77" i="90"/>
  <c r="M79" i="90"/>
  <c r="T81" i="90"/>
  <c r="T80" i="90"/>
  <c r="AE76" i="90"/>
  <c r="Y77" i="90"/>
  <c r="AF80" i="90"/>
  <c r="R81" i="90"/>
  <c r="X76" i="90"/>
  <c r="AF76" i="90"/>
  <c r="Z77" i="90"/>
  <c r="O80" i="90"/>
  <c r="X80" i="90"/>
  <c r="AG80" i="90"/>
  <c r="S81" i="90"/>
  <c r="AH81" i="90"/>
  <c r="V76" i="90"/>
  <c r="V80" i="90"/>
  <c r="Y76" i="90"/>
  <c r="AG76" i="90"/>
  <c r="Q77" i="90"/>
  <c r="Y80" i="90"/>
  <c r="Z76" i="90"/>
  <c r="R77" i="90"/>
  <c r="Q80" i="90"/>
  <c r="S77" i="90"/>
  <c r="AC77" i="90"/>
  <c r="AJ79" i="90"/>
  <c r="S80" i="90"/>
  <c r="AA80" i="90"/>
  <c r="AM80" i="90"/>
  <c r="O76" i="90"/>
  <c r="AC79" i="90"/>
  <c r="M76" i="90"/>
  <c r="X77" i="90"/>
  <c r="AN77" i="90"/>
  <c r="S79" i="90"/>
  <c r="AA79" i="90"/>
  <c r="AL80" i="90"/>
  <c r="Q81" i="90"/>
  <c r="Y81" i="90"/>
  <c r="AG81" i="90"/>
  <c r="V79" i="90"/>
  <c r="AJ81" i="90"/>
  <c r="Q76" i="90"/>
  <c r="AJ77" i="90"/>
  <c r="O79" i="90"/>
  <c r="AE79" i="90"/>
  <c r="AM79" i="90"/>
  <c r="R80" i="90"/>
  <c r="AH80" i="90"/>
  <c r="M81" i="90"/>
  <c r="AC81" i="90"/>
  <c r="R76" i="90"/>
  <c r="AH76" i="90"/>
  <c r="M77" i="90"/>
  <c r="X79" i="90"/>
  <c r="AF79" i="90"/>
  <c r="V81" i="90"/>
  <c r="AL81" i="90"/>
  <c r="AL77" i="90"/>
  <c r="Q79" i="90"/>
  <c r="Y79" i="90"/>
  <c r="AE81" i="90"/>
  <c r="AM81" i="90"/>
  <c r="AA66" i="90"/>
  <c r="R64" i="90"/>
  <c r="O48" i="90"/>
  <c r="AG70" i="90"/>
  <c r="Y87" i="90"/>
  <c r="AL43" i="90"/>
  <c r="AG73" i="90"/>
  <c r="R36" i="90"/>
  <c r="M46" i="90"/>
  <c r="AG49" i="90"/>
  <c r="M55" i="90"/>
  <c r="Q55" i="90"/>
  <c r="AL89" i="90"/>
  <c r="AL73" i="90"/>
  <c r="T31" i="90"/>
  <c r="AM36" i="90"/>
  <c r="AH37" i="90"/>
  <c r="AF67" i="90"/>
  <c r="AM51" i="90"/>
  <c r="S55" i="90"/>
  <c r="AG67" i="90"/>
  <c r="AA72" i="90"/>
  <c r="AH88" i="90"/>
  <c r="AM38" i="90"/>
  <c r="AF60" i="90"/>
  <c r="T87" i="90"/>
  <c r="AL57" i="90"/>
  <c r="AG63" i="90"/>
  <c r="AL30" i="90"/>
  <c r="AA37" i="90"/>
  <c r="AA67" i="90"/>
  <c r="AE51" i="90"/>
  <c r="Y52" i="90"/>
  <c r="AG33" i="90"/>
  <c r="AC38" i="90"/>
  <c r="AE42" i="90"/>
  <c r="AL69" i="90"/>
  <c r="AE52" i="90"/>
  <c r="AE87" i="90"/>
  <c r="AM89" i="90"/>
  <c r="AN31" i="90"/>
  <c r="R37" i="90"/>
  <c r="AJ37" i="90"/>
  <c r="R46" i="90"/>
  <c r="AE48" i="90"/>
  <c r="AH57" i="90"/>
  <c r="AC73" i="90"/>
  <c r="X51" i="90"/>
  <c r="V87" i="90"/>
  <c r="AG88" i="90"/>
  <c r="S36" i="90"/>
  <c r="AG38" i="90"/>
  <c r="S46" i="90"/>
  <c r="AA58" i="90"/>
  <c r="M30" i="90"/>
  <c r="AA31" i="90"/>
  <c r="M36" i="90"/>
  <c r="AH38" i="90"/>
  <c r="AA40" i="90"/>
  <c r="X87" i="90"/>
  <c r="M31" i="90"/>
  <c r="AC31" i="90"/>
  <c r="AC40" i="90"/>
  <c r="AA42" i="90"/>
  <c r="M45" i="90"/>
  <c r="AN49" i="90"/>
  <c r="AN57" i="90"/>
  <c r="AG58" i="90"/>
  <c r="AF68" i="90"/>
  <c r="AF74" i="90"/>
  <c r="AA52" i="90"/>
  <c r="AA87" i="90"/>
  <c r="AL88" i="90"/>
  <c r="V32" i="90"/>
  <c r="AN38" i="90"/>
  <c r="AG46" i="90"/>
  <c r="AG48" i="90"/>
  <c r="S49" i="90"/>
  <c r="AH49" i="90"/>
  <c r="AJ63" i="90"/>
  <c r="AG74" i="90"/>
  <c r="AN51" i="90"/>
  <c r="AC30" i="90"/>
  <c r="AN32" i="90"/>
  <c r="AH33" i="90"/>
  <c r="O36" i="90"/>
  <c r="AG40" i="90"/>
  <c r="AA41" i="90"/>
  <c r="AA47" i="90"/>
  <c r="AH48" i="90"/>
  <c r="AE54" i="90"/>
  <c r="AN89" i="90"/>
  <c r="Z32" i="90"/>
  <c r="AM63" i="90"/>
  <c r="AG51" i="90"/>
  <c r="AG52" i="90"/>
  <c r="V54" i="90"/>
  <c r="AA88" i="90"/>
  <c r="AH89" i="90"/>
  <c r="Y32" i="90"/>
  <c r="AF54" i="90"/>
  <c r="AA32" i="90"/>
  <c r="AL35" i="90"/>
  <c r="AJ45" i="90"/>
  <c r="AA48" i="90"/>
  <c r="AM48" i="90"/>
  <c r="AC49" i="90"/>
  <c r="Q58" i="90"/>
  <c r="AH62" i="90"/>
  <c r="M64" i="90"/>
  <c r="M68" i="90"/>
  <c r="AA70" i="90"/>
  <c r="T72" i="90"/>
  <c r="AE73" i="90"/>
  <c r="AH51" i="90"/>
  <c r="AH52" i="90"/>
  <c r="AL63" i="90"/>
  <c r="AM35" i="90"/>
  <c r="Y54" i="90"/>
  <c r="AL87" i="90"/>
  <c r="AN30" i="90"/>
  <c r="T32" i="90"/>
  <c r="AN35" i="90"/>
  <c r="AL38" i="90"/>
  <c r="T41" i="90"/>
  <c r="AF42" i="90"/>
  <c r="AL45" i="90"/>
  <c r="S47" i="90"/>
  <c r="AH63" i="90"/>
  <c r="AE66" i="90"/>
  <c r="Z52" i="90"/>
  <c r="AJ53" i="90"/>
  <c r="AA54" i="90"/>
  <c r="AM87" i="90"/>
  <c r="AE88" i="90"/>
  <c r="T89" i="90"/>
  <c r="V88" i="90"/>
  <c r="T74" i="90"/>
  <c r="Q89" i="90"/>
  <c r="S62" i="90"/>
  <c r="Q68" i="90"/>
  <c r="Z88" i="90"/>
  <c r="Z57" i="90"/>
  <c r="X74" i="90"/>
  <c r="Q88" i="90"/>
  <c r="Q62" i="90"/>
  <c r="Y88" i="90"/>
  <c r="R88" i="90"/>
  <c r="T88" i="90"/>
  <c r="M89" i="90"/>
  <c r="O40" i="90"/>
  <c r="M40" i="90"/>
  <c r="R40" i="90"/>
  <c r="AJ36" i="90"/>
  <c r="AL46" i="90"/>
  <c r="AN46" i="90"/>
  <c r="AM46" i="90"/>
  <c r="AH46" i="90"/>
  <c r="AL64" i="90"/>
  <c r="AN64" i="90"/>
  <c r="AM64" i="90"/>
  <c r="AJ64" i="90"/>
  <c r="AH64" i="90"/>
  <c r="AL74" i="90"/>
  <c r="AN74" i="90"/>
  <c r="AM74" i="90"/>
  <c r="AJ74" i="90"/>
  <c r="AH74" i="90"/>
  <c r="AF30" i="90"/>
  <c r="AF31" i="90"/>
  <c r="AH35" i="90"/>
  <c r="Y36" i="90"/>
  <c r="S40" i="90"/>
  <c r="AH40" i="90"/>
  <c r="AN40" i="90"/>
  <c r="AM45" i="90"/>
  <c r="AG30" i="90"/>
  <c r="AG31" i="90"/>
  <c r="AE32" i="90"/>
  <c r="R43" i="90"/>
  <c r="AN45" i="90"/>
  <c r="Q47" i="90"/>
  <c r="O47" i="90"/>
  <c r="AJ66" i="90"/>
  <c r="AH66" i="90"/>
  <c r="M54" i="90"/>
  <c r="S54" i="90"/>
  <c r="O54" i="90"/>
  <c r="AF32" i="90"/>
  <c r="Q37" i="90"/>
  <c r="O37" i="90"/>
  <c r="S37" i="90"/>
  <c r="S43" i="90"/>
  <c r="AC45" i="90"/>
  <c r="AJ48" i="90"/>
  <c r="AL48" i="90"/>
  <c r="S52" i="90"/>
  <c r="R52" i="90"/>
  <c r="Q52" i="90"/>
  <c r="O52" i="90"/>
  <c r="M52" i="90"/>
  <c r="S87" i="90"/>
  <c r="R87" i="90"/>
  <c r="Q87" i="90"/>
  <c r="O87" i="90"/>
  <c r="M87" i="90"/>
  <c r="AG32" i="90"/>
  <c r="AF38" i="90"/>
  <c r="AA38" i="90"/>
  <c r="X43" i="90"/>
  <c r="Z43" i="90"/>
  <c r="T43" i="90"/>
  <c r="AF46" i="90"/>
  <c r="R47" i="90"/>
  <c r="AH47" i="90"/>
  <c r="AE49" i="90"/>
  <c r="AA49" i="90"/>
  <c r="AG57" i="90"/>
  <c r="AF57" i="90"/>
  <c r="AE57" i="90"/>
  <c r="AC57" i="90"/>
  <c r="AA57" i="90"/>
  <c r="AG89" i="90"/>
  <c r="AF89" i="90"/>
  <c r="AE89" i="90"/>
  <c r="AC89" i="90"/>
  <c r="AA89" i="90"/>
  <c r="V36" i="90"/>
  <c r="X36" i="90"/>
  <c r="Y55" i="90"/>
  <c r="T55" i="90"/>
  <c r="AA30" i="90"/>
  <c r="AL36" i="90"/>
  <c r="AH36" i="90"/>
  <c r="AJ67" i="90"/>
  <c r="AN67" i="90"/>
  <c r="AM67" i="90"/>
  <c r="AL67" i="90"/>
  <c r="AH67" i="90"/>
  <c r="AJ54" i="90"/>
  <c r="AN54" i="90"/>
  <c r="AM54" i="90"/>
  <c r="AF40" i="90"/>
  <c r="AG42" i="90"/>
  <c r="AF48" i="90"/>
  <c r="AE60" i="90"/>
  <c r="AG62" i="90"/>
  <c r="R66" i="90"/>
  <c r="X70" i="90"/>
  <c r="V51" i="90"/>
  <c r="AF51" i="90"/>
  <c r="AF52" i="90"/>
  <c r="AN53" i="90"/>
  <c r="X54" i="90"/>
  <c r="AG54" i="90"/>
  <c r="AC87" i="90"/>
  <c r="AF88" i="90"/>
  <c r="AN88" i="90"/>
  <c r="S89" i="90"/>
  <c r="AG60" i="90"/>
  <c r="S68" i="90"/>
  <c r="AG68" i="90"/>
  <c r="AN69" i="90"/>
  <c r="AM73" i="90"/>
  <c r="Y74" i="90"/>
  <c r="AC58" i="90"/>
  <c r="AJ62" i="90"/>
  <c r="AC67" i="90"/>
  <c r="AN73" i="90"/>
  <c r="Z74" i="90"/>
  <c r="Z51" i="90"/>
  <c r="AF87" i="90"/>
  <c r="AN87" i="90"/>
  <c r="S88" i="90"/>
  <c r="V89" i="90"/>
  <c r="Y62" i="90"/>
  <c r="Y64" i="90"/>
  <c r="AE70" i="90"/>
  <c r="AJ88" i="90"/>
  <c r="O89" i="90"/>
  <c r="AF58" i="90"/>
  <c r="AA60" i="90"/>
  <c r="AA68" i="90"/>
  <c r="T70" i="90"/>
  <c r="AF70" i="90"/>
  <c r="AH73" i="90"/>
  <c r="AC51" i="90"/>
  <c r="AL51" i="90"/>
  <c r="M53" i="90"/>
  <c r="AH87" i="90"/>
  <c r="M88" i="90"/>
  <c r="X89" i="90"/>
  <c r="Y89" i="90"/>
  <c r="V67" i="90"/>
  <c r="AC68" i="90"/>
  <c r="AJ69" i="90"/>
  <c r="S58" i="90"/>
  <c r="Z62" i="90"/>
  <c r="T66" i="90"/>
  <c r="S72" i="90"/>
  <c r="Z64" i="90"/>
  <c r="M58" i="90"/>
  <c r="X67" i="90"/>
  <c r="Q60" i="90"/>
  <c r="Q64" i="90"/>
  <c r="R68" i="90"/>
  <c r="Y70" i="90"/>
  <c r="R58" i="90"/>
  <c r="S66" i="90"/>
  <c r="O70" i="90"/>
  <c r="O57" i="90"/>
  <c r="S57" i="90"/>
  <c r="O60" i="90"/>
  <c r="X60" i="90"/>
  <c r="S64" i="90"/>
  <c r="Q70" i="90"/>
  <c r="Z70" i="90"/>
  <c r="V72" i="90"/>
  <c r="Q74" i="90"/>
  <c r="Y60" i="90"/>
  <c r="T62" i="90"/>
  <c r="T64" i="90"/>
  <c r="M66" i="90"/>
  <c r="S70" i="90"/>
  <c r="R74" i="90"/>
  <c r="O74" i="90"/>
  <c r="Z60" i="90"/>
  <c r="Y72" i="90"/>
  <c r="S74" i="90"/>
  <c r="X57" i="90"/>
  <c r="V62" i="90"/>
  <c r="O66" i="90"/>
  <c r="Y68" i="90"/>
  <c r="Z72" i="90"/>
  <c r="V60" i="90"/>
  <c r="Y57" i="90"/>
  <c r="X64" i="90"/>
  <c r="Z67" i="90"/>
  <c r="V33" i="90"/>
  <c r="V42" i="90"/>
  <c r="T33" i="90"/>
  <c r="T35" i="90"/>
  <c r="M38" i="90"/>
  <c r="Q40" i="90"/>
  <c r="T42" i="90"/>
  <c r="Q46" i="90"/>
  <c r="Z46" i="90"/>
  <c r="V41" i="90"/>
  <c r="T46" i="90"/>
  <c r="T47" i="90"/>
  <c r="M49" i="90"/>
  <c r="O38" i="90"/>
  <c r="S30" i="90"/>
  <c r="Y33" i="90"/>
  <c r="Y35" i="90"/>
  <c r="X42" i="90"/>
  <c r="Z33" i="90"/>
  <c r="Z37" i="90"/>
  <c r="Y42" i="90"/>
  <c r="T36" i="90"/>
  <c r="Q42" i="90"/>
  <c r="X46" i="90"/>
  <c r="Z47" i="90"/>
  <c r="Q49" i="90"/>
  <c r="S42" i="90"/>
  <c r="V43" i="90"/>
  <c r="Y46" i="90"/>
  <c r="R49" i="90"/>
  <c r="C1" i="90"/>
  <c r="O35" i="90"/>
  <c r="R30" i="90"/>
  <c r="M35" i="90"/>
  <c r="AN37" i="90"/>
  <c r="AL37" i="90"/>
  <c r="Z41" i="90"/>
  <c r="Y41" i="90"/>
  <c r="AJ43" i="90"/>
  <c r="S48" i="90"/>
  <c r="Q48" i="90"/>
  <c r="S67" i="90"/>
  <c r="Q67" i="90"/>
  <c r="R67" i="90"/>
  <c r="O67" i="90"/>
  <c r="Z73" i="90"/>
  <c r="Y73" i="90"/>
  <c r="X73" i="90"/>
  <c r="T73" i="90"/>
  <c r="V73" i="90"/>
  <c r="AA35" i="90"/>
  <c r="AF35" i="90"/>
  <c r="Z45" i="90"/>
  <c r="X45" i="90"/>
  <c r="AG55" i="90"/>
  <c r="AF55" i="90"/>
  <c r="AE55" i="90"/>
  <c r="AC55" i="90"/>
  <c r="V30" i="90"/>
  <c r="V31" i="90"/>
  <c r="M32" i="90"/>
  <c r="R32" i="90"/>
  <c r="O33" i="90"/>
  <c r="M33" i="90"/>
  <c r="AN33" i="90"/>
  <c r="AM33" i="90"/>
  <c r="AC35" i="90"/>
  <c r="AG37" i="90"/>
  <c r="AF37" i="90"/>
  <c r="V38" i="90"/>
  <c r="V40" i="90"/>
  <c r="T40" i="90"/>
  <c r="AL42" i="90"/>
  <c r="AF43" i="90"/>
  <c r="AE43" i="90"/>
  <c r="AC43" i="90"/>
  <c r="V45" i="90"/>
  <c r="AJ47" i="90"/>
  <c r="AJ60" i="90"/>
  <c r="AH60" i="90"/>
  <c r="AN60" i="90"/>
  <c r="AM60" i="90"/>
  <c r="AL60" i="90"/>
  <c r="AC36" i="90"/>
  <c r="AA36" i="90"/>
  <c r="R41" i="90"/>
  <c r="Q41" i="90"/>
  <c r="O41" i="90"/>
  <c r="AL41" i="90"/>
  <c r="T48" i="90"/>
  <c r="Y48" i="90"/>
  <c r="X48" i="90"/>
  <c r="V49" i="90"/>
  <c r="T49" i="90"/>
  <c r="X49" i="90"/>
  <c r="Z69" i="90"/>
  <c r="Y69" i="90"/>
  <c r="X69" i="90"/>
  <c r="T69" i="90"/>
  <c r="AJ42" i="90"/>
  <c r="AH42" i="90"/>
  <c r="AJ41" i="90"/>
  <c r="V58" i="90"/>
  <c r="Z58" i="90"/>
  <c r="Y58" i="90"/>
  <c r="X58" i="90"/>
  <c r="T58" i="90"/>
  <c r="X30" i="90"/>
  <c r="R31" i="90"/>
  <c r="O31" i="90"/>
  <c r="X31" i="90"/>
  <c r="AH31" i="90"/>
  <c r="AM31" i="90"/>
  <c r="AJ32" i="90"/>
  <c r="AH32" i="90"/>
  <c r="Q33" i="90"/>
  <c r="AE35" i="90"/>
  <c r="X40" i="90"/>
  <c r="AG41" i="90"/>
  <c r="AE41" i="90"/>
  <c r="AN42" i="90"/>
  <c r="AG43" i="90"/>
  <c r="S45" i="90"/>
  <c r="R45" i="90"/>
  <c r="Y45" i="90"/>
  <c r="V48" i="90"/>
  <c r="AH59" i="90"/>
  <c r="AM59" i="90"/>
  <c r="AN59" i="90"/>
  <c r="AL59" i="90"/>
  <c r="V69" i="90"/>
  <c r="S35" i="90"/>
  <c r="R35" i="90"/>
  <c r="AH41" i="90"/>
  <c r="AM41" i="90"/>
  <c r="T38" i="90"/>
  <c r="Y38" i="90"/>
  <c r="AN47" i="90"/>
  <c r="AL47" i="90"/>
  <c r="Y30" i="90"/>
  <c r="Y31" i="90"/>
  <c r="AJ31" i="90"/>
  <c r="Q32" i="90"/>
  <c r="R33" i="90"/>
  <c r="AL33" i="90"/>
  <c r="Z35" i="90"/>
  <c r="X35" i="90"/>
  <c r="AG35" i="90"/>
  <c r="AE36" i="90"/>
  <c r="AE37" i="90"/>
  <c r="S38" i="90"/>
  <c r="Q38" i="90"/>
  <c r="Z38" i="90"/>
  <c r="Y40" i="90"/>
  <c r="S41" i="90"/>
  <c r="AC41" i="90"/>
  <c r="O45" i="90"/>
  <c r="AA45" i="90"/>
  <c r="AF45" i="90"/>
  <c r="AE45" i="90"/>
  <c r="AG47" i="90"/>
  <c r="AF47" i="90"/>
  <c r="AC47" i="90"/>
  <c r="Y49" i="90"/>
  <c r="AJ59" i="90"/>
  <c r="Z63" i="90"/>
  <c r="X63" i="90"/>
  <c r="Y63" i="90"/>
  <c r="V63" i="90"/>
  <c r="AM68" i="90"/>
  <c r="AL68" i="90"/>
  <c r="AJ68" i="90"/>
  <c r="AN68" i="90"/>
  <c r="AJ70" i="90"/>
  <c r="AH70" i="90"/>
  <c r="AL70" i="90"/>
  <c r="AN70" i="90"/>
  <c r="AM70" i="90"/>
  <c r="Q30" i="90"/>
  <c r="Z30" i="90"/>
  <c r="AM30" i="90"/>
  <c r="AJ30" i="90"/>
  <c r="Q31" i="90"/>
  <c r="S32" i="90"/>
  <c r="AL32" i="90"/>
  <c r="S33" i="90"/>
  <c r="AF33" i="90"/>
  <c r="AE33" i="90"/>
  <c r="AC33" i="90"/>
  <c r="AF36" i="90"/>
  <c r="Y37" i="90"/>
  <c r="X37" i="90"/>
  <c r="V37" i="90"/>
  <c r="Z40" i="90"/>
  <c r="AM40" i="90"/>
  <c r="AL40" i="90"/>
  <c r="AJ40" i="90"/>
  <c r="M42" i="90"/>
  <c r="R42" i="90"/>
  <c r="O43" i="90"/>
  <c r="M43" i="90"/>
  <c r="AN43" i="90"/>
  <c r="AM43" i="90"/>
  <c r="AC46" i="90"/>
  <c r="AA46" i="90"/>
  <c r="M48" i="90"/>
  <c r="Z48" i="90"/>
  <c r="Z49" i="90"/>
  <c r="AN58" i="90"/>
  <c r="Z59" i="90"/>
  <c r="Y59" i="90"/>
  <c r="AF59" i="90"/>
  <c r="Q63" i="90"/>
  <c r="AC64" i="90"/>
  <c r="AA64" i="90"/>
  <c r="S73" i="90"/>
  <c r="R73" i="90"/>
  <c r="Q73" i="90"/>
  <c r="O73" i="90"/>
  <c r="Q57" i="90"/>
  <c r="R59" i="90"/>
  <c r="Q59" i="90"/>
  <c r="X59" i="90"/>
  <c r="AF62" i="90"/>
  <c r="AE62" i="90"/>
  <c r="AC62" i="90"/>
  <c r="AF64" i="90"/>
  <c r="Y66" i="90"/>
  <c r="X66" i="90"/>
  <c r="V66" i="90"/>
  <c r="V47" i="90"/>
  <c r="AJ49" i="90"/>
  <c r="R57" i="90"/>
  <c r="O59" i="90"/>
  <c r="AG64" i="90"/>
  <c r="AN66" i="90"/>
  <c r="AL66" i="90"/>
  <c r="AN72" i="90"/>
  <c r="AM72" i="90"/>
  <c r="AL72" i="90"/>
  <c r="AJ72" i="90"/>
  <c r="AN55" i="90"/>
  <c r="AM55" i="90"/>
  <c r="AL55" i="90"/>
  <c r="AH55" i="90"/>
  <c r="AM58" i="90"/>
  <c r="AL58" i="90"/>
  <c r="AG59" i="90"/>
  <c r="AE59" i="90"/>
  <c r="S63" i="90"/>
  <c r="R63" i="90"/>
  <c r="AG69" i="90"/>
  <c r="AE69" i="90"/>
  <c r="AA69" i="90"/>
  <c r="Z53" i="90"/>
  <c r="Y53" i="90"/>
  <c r="X53" i="90"/>
  <c r="V53" i="90"/>
  <c r="X47" i="90"/>
  <c r="AL49" i="90"/>
  <c r="AJ58" i="90"/>
  <c r="S59" i="90"/>
  <c r="AC59" i="90"/>
  <c r="O63" i="90"/>
  <c r="AA63" i="90"/>
  <c r="AF63" i="90"/>
  <c r="R69" i="90"/>
  <c r="Q69" i="90"/>
  <c r="O69" i="90"/>
  <c r="S69" i="90"/>
  <c r="AC69" i="90"/>
  <c r="O72" i="90"/>
  <c r="M72" i="90"/>
  <c r="Q72" i="90"/>
  <c r="V57" i="90"/>
  <c r="AM57" i="90"/>
  <c r="T59" i="90"/>
  <c r="M60" i="90"/>
  <c r="R60" i="90"/>
  <c r="O62" i="90"/>
  <c r="M62" i="90"/>
  <c r="AN62" i="90"/>
  <c r="AM62" i="90"/>
  <c r="AC63" i="90"/>
  <c r="AG66" i="90"/>
  <c r="AF66" i="90"/>
  <c r="AM66" i="90"/>
  <c r="V68" i="90"/>
  <c r="T68" i="90"/>
  <c r="X68" i="90"/>
  <c r="M73" i="90"/>
  <c r="S51" i="90"/>
  <c r="R51" i="90"/>
  <c r="Q51" i="90"/>
  <c r="M51" i="90"/>
  <c r="AG53" i="90"/>
  <c r="AF53" i="90"/>
  <c r="AE53" i="90"/>
  <c r="AA53" i="90"/>
  <c r="AG72" i="90"/>
  <c r="AE74" i="90"/>
  <c r="X52" i="90"/>
  <c r="AN52" i="90"/>
  <c r="S53" i="90"/>
  <c r="AL54" i="90"/>
  <c r="R55" i="90"/>
  <c r="Z55" i="90"/>
  <c r="AL53" i="90"/>
  <c r="Q54" i="90"/>
  <c r="Y67" i="90"/>
  <c r="AM69" i="90"/>
  <c r="R70" i="90"/>
  <c r="AC72" i="90"/>
  <c r="AF73" i="90"/>
  <c r="AA74" i="90"/>
  <c r="Y51" i="90"/>
  <c r="T52" i="90"/>
  <c r="AJ52" i="90"/>
  <c r="O53" i="90"/>
  <c r="AM53" i="90"/>
  <c r="R54" i="90"/>
  <c r="Z54" i="90"/>
  <c r="AH54" i="90"/>
  <c r="V55" i="90"/>
  <c r="AE72" i="90"/>
  <c r="AL52" i="90"/>
  <c r="Q53" i="90"/>
  <c r="X55" i="90"/>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95" i="90" l="1"/>
  <c r="L100" i="90"/>
  <c r="L99" i="90"/>
  <c r="L94" i="90"/>
  <c r="L92" i="90"/>
  <c r="L96" i="90"/>
  <c r="L78" i="90"/>
  <c r="L85" i="90"/>
  <c r="L84" i="90"/>
  <c r="L80" i="90"/>
  <c r="L77" i="90"/>
  <c r="L81" i="90"/>
  <c r="L79" i="90"/>
  <c r="L36" i="90"/>
  <c r="L63" i="90"/>
  <c r="L30" i="90"/>
  <c r="L74" i="90"/>
  <c r="L88" i="90"/>
  <c r="L89" i="90"/>
  <c r="L57" i="90"/>
  <c r="L70" i="90"/>
  <c r="L87" i="90"/>
  <c r="L67" i="90"/>
  <c r="L68" i="90"/>
  <c r="L62" i="90"/>
  <c r="L72" i="90"/>
  <c r="L59" i="90"/>
  <c r="L58" i="90"/>
  <c r="L64" i="90"/>
  <c r="L54" i="90"/>
  <c r="L37" i="90"/>
  <c r="L32" i="90"/>
  <c r="L47" i="90"/>
  <c r="L52" i="90"/>
  <c r="L41" i="90"/>
  <c r="L35" i="90"/>
  <c r="L55" i="90"/>
  <c r="L53" i="90"/>
  <c r="L46" i="90"/>
  <c r="L73" i="90"/>
  <c r="L66" i="90"/>
  <c r="L60" i="90"/>
  <c r="L69" i="90"/>
  <c r="L33" i="90"/>
  <c r="L43" i="90"/>
  <c r="L40" i="90"/>
  <c r="L31" i="90"/>
  <c r="L49" i="90"/>
  <c r="L38" i="90"/>
  <c r="L48" i="90"/>
  <c r="L42" i="90"/>
  <c r="L45" i="90"/>
  <c r="C16" i="90"/>
  <c r="L16" i="90" s="1"/>
  <c r="B27" i="90"/>
  <c r="C27" i="90" s="1"/>
  <c r="L27" i="90" s="1"/>
  <c r="C11" i="90"/>
  <c r="L11" i="90" s="1"/>
  <c r="B26" i="90"/>
  <c r="C26" i="90" s="1"/>
  <c r="L26" i="90" s="1"/>
  <c r="C12" i="90"/>
  <c r="L12" i="90" s="1"/>
  <c r="C10" i="90"/>
  <c r="L10" i="90" s="1"/>
  <c r="L1" i="90"/>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101" i="90" l="1"/>
  <c r="C7" i="90" a="1"/>
  <c r="C7" i="90" s="1"/>
  <c r="C8" i="90"/>
  <c r="L8" i="90" s="1"/>
  <c r="C9" i="90"/>
  <c r="L9" i="90" s="1"/>
  <c r="L4" i="90"/>
  <c r="L96" i="36"/>
  <c r="L86" i="36"/>
  <c r="L91" i="36"/>
  <c r="L99" i="36"/>
  <c r="L90" i="36"/>
  <c r="L100" i="36"/>
  <c r="C19" i="90" l="1"/>
  <c r="L19" i="90" s="1"/>
  <c r="L7" i="90"/>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 i="36" a="1"/>
  <c r="C1" i="36" l="1"/>
  <c r="C12" i="7"/>
  <c r="L12" i="7" s="1"/>
  <c r="L1" i="7"/>
  <c r="B27" i="7"/>
  <c r="C27" i="7" s="1"/>
  <c r="L27" i="7" s="1"/>
  <c r="C11" i="7"/>
  <c r="L11" i="7" s="1"/>
  <c r="C10" i="7"/>
  <c r="L10" i="7" s="1"/>
  <c r="B26" i="7"/>
  <c r="C26" i="7" s="1"/>
  <c r="L26" i="7" s="1"/>
  <c r="C16" i="7"/>
  <c r="L16" i="7" s="1"/>
  <c r="L94" i="7" l="1"/>
  <c r="C8" i="7"/>
  <c r="L8" i="7" s="1"/>
  <c r="C9" i="7"/>
  <c r="L9" i="7" s="1"/>
  <c r="C7" i="7" a="1"/>
  <c r="C7" i="7" s="1"/>
  <c r="L4" i="7"/>
  <c r="L1" i="36"/>
  <c r="C16" i="36"/>
  <c r="L16" i="36" s="1"/>
  <c r="C10" i="36"/>
  <c r="L10" i="36" s="1"/>
  <c r="B26" i="36"/>
  <c r="C26" i="36" s="1"/>
  <c r="L26" i="36" s="1"/>
  <c r="B27" i="36"/>
  <c r="C27" i="36" s="1"/>
  <c r="L27" i="36" s="1"/>
  <c r="C11" i="36"/>
  <c r="L11" i="36" s="1"/>
  <c r="C12" i="36"/>
  <c r="L12" i="36" s="1"/>
  <c r="C8" i="36" l="1"/>
  <c r="L8" i="36" s="1"/>
  <c r="C7" i="36" a="1"/>
  <c r="C7" i="36" s="1"/>
  <c r="C9" i="36"/>
  <c r="L9" i="36" s="1"/>
  <c r="L4" i="36"/>
  <c r="L102" i="36"/>
  <c r="C19" i="7"/>
  <c r="L19" i="7" s="1"/>
  <c r="L7" i="7"/>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4F145B-1C3B-4B7F-B145-34F83AFC9383}">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<sst xmlns="http://schemas.openxmlformats.org/spreadsheetml/2006/main" count="4742" uniqueCount="1079">
  <si>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</si>
  <si>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</si>
  <si>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</si>
  <si>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</si>
  <si>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</si>
  <si>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</si>
  <si>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</si>
  <si>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</si>
  <si>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</si>
  <si>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</si>
  <si>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</si>
  <si>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</si>
  <si>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</si>
  <si>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</si>
  <si>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</si>
  <si>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</si>
  <si>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</si>
  <si>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</si>
  <si>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</si>
  <si>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</si>
  <si>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</si>
  <si>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</si>
  <si>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</si>
  <si>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</si>
  <si>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</si>
  <si>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</si>
  <si>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</si>
  <si>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</si>
  <si>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</si>
  <si>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</si>
  <si>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</si>
  <si>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</si>
  <si>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</si>
  <si>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</si>
  <si>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</si>
  <si>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</si>
  <si>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</si>
  <si>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</si>
  <si>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</si>
  <si>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</si>
  <si>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</si>
  <si>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</si>
  <si>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</si>
  <si>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</si>
  <si>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</si>
  <si>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</si>
  <si>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</si>
  <si>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</si>
  <si>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</si>
  <si>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</si>
  <si>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</si>
  <si>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</si>
  <si>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</si>
  <si>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</si>
  <si>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</si>
  <si>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</si>
  <si>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</si>
  <si>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</si>
  <si>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</si>
  <si>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</si>
  <si>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</si>
  <si>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</si>
  <si>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</si>
  <si>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</si>
  <si>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</si>
  <si>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</si>
  <si>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</si>
  <si>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</si>
  <si>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</si>
  <si>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</si>
  <si>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</si>
  <si>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</si>
  <si>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</si>
  <si>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</si>
  <si>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</si>
  <si>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</si>
  <si>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</si>
  <si>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</si>
  <si>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</si>
  <si>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</si>
  <si>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</si>
  <si>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</si>
  <si>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</si>
  <si>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</si>
  <si>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</si>
  <si>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</si>
  <si>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</si>
  <si>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</si>
  <si>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</si>
  <si>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</si>
  <si>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</si>
  <si>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</si>
  <si>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</si>
  <si>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</si>
  <si>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</si>
  <si>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</si>
  <si>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</si>
  <si>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</si>
  <si>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</si>
  <si>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</si>
  <si>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</si>
  <si>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</si>
  <si>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</si>
  <si>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</si>
  <si>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</si>
  <si>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</si>
  <si>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</si>
  <si>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</si>
  <si>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</si>
  <si>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</si>
  <si>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</si>
  <si>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</si>
  <si>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</si>
  <si>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</si>
  <si>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</si>
  <si>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</si>
  <si>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</si>
  <si>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</si>
  <si>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</si>
  <si>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</si>
  <si>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</si>
  <si>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</si>
  <si>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</si>
  <si>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</si>
  <si>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</si>
  <si>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</si>
  <si>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</si>
  <si>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</si>
  <si>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</si>
  <si>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</si>
  <si>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</si>
  <si>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</si>
  <si>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</si>
  <si>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</si>
  <si>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</si>
  <si>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</si>
  <si>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</si>
  <si>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</si>
  <si>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</si>
  <si>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</si>
  <si>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</si>
  <si>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</si>
  <si>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</si>
  <si>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</si>
  <si>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</si>
  <si>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</si>
  <si>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</si>
  <si>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</si>
  <si>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</si>
  <si>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</si>
  <si>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</si>
  <si>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</si>
  <si>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</si>
  <si>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</si>
  <si>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</si>
  <si>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</si>
  <si>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</si>
  <si>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</si>
  <si>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</si>
  <si>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</si>
  <si>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</si>
  <si>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</si>
  <si>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</si>
  <si>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</si>
  <si>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</si>
  <si>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</si>
  <si>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</si>
  <si>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</si>
  <si>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</si>
  <si>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</si>
  <si>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</si>
  <si>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</si>
  <si>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</si>
  <si>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</si>
  <si>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</si>
  <si>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</si>
  <si>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</si>
  <si>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</si>
  <si>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</si>
  <si>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</si>
  <si>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</si>
  <si>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</si>
  <si>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</si>
  <si>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</si>
  <si>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</si>
  <si>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</si>
  <si>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</si>
  <si>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</si>
  <si>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</si>
  <si>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</si>
  <si>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</si>
  <si>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</si>
  <si>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</si>
  <si>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</si>
  <si>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</si>
  <si>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</si>
  <si>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</si>
  <si>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</si>
  <si>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</si>
  <si>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</si>
  <si>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</si>
  <si>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</si>
  <si>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</si>
  <si>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</si>
  <si>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</si>
  <si>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</si>
  <si>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</si>
  <si>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</si>
  <si>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</si>
  <si>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</si>
  <si>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</si>
  <si>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</si>
  <si>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</si>
  <si>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</si>
  <si>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</si>
  <si>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</si>
  <si>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</si>
  <si>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</si>
  <si>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</si>
  <si>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</si>
  <si>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</si>
  <si>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</si>
  <si>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</si>
  <si>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</si>
  <si>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</si>
  <si>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</si>
  <si>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</si>
  <si>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</si>
  <si>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</si>
  <si>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</si>
  <si>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</si>
  <si>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</si>
  <si>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</si>
  <si>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</si>
  <si>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</si>
  <si>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</si>
  <si>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</si>
  <si>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</si>
  <si>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</si>
  <si>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</si>
  <si>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</si>
  <si>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</si>
  <si>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</si>
  <si>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</si>
  <si>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</si>
  <si>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</si>
  <si>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</si>
  <si>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</si>
  <si>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</si>
  <si>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</si>
  <si>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</si>
  <si>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</si>
  <si>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</si>
  <si>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</si>
  <si>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</si>
  <si>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</si>
  <si>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</si>
  <si>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</si>
  <si>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</si>
  <si>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</si>
  <si>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</si>
  <si>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</si>
  <si>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</si>
  <si>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</si>
  <si>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</si>
  <si>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</si>
  <si>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</si>
  <si>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</si>
  <si>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</si>
  <si>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</si>
  <si>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</si>
  <si>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</si>
  <si>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</si>
  <si>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</si>
  <si>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</si>
  <si>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</si>
  <si>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</si>
  <si>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</si>
  <si>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</si>
  <si>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</si>
  <si>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</si>
  <si>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</si>
  <si>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</si>
  <si>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</si>
  <si>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</si>
  <si>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</si>
  <si>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</si>
  <si>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</si>
  <si>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</si>
  <si>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</si>
  <si>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</si>
  <si>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</si>
  <si>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</si>
  <si>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</si>
  <si>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</si>
  <si>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</si>
  <si>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</si>
  <si>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</si>
  <si>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</si>
  <si>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</si>
  <si>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</si>
  <si>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</si>
  <si>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</si>
  <si>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</si>
  <si>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</si>
  <si>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</si>
  <si>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</si>
  <si>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</si>
  <si>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</si>
  <si>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</si>
  <si>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</si>
  <si>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</si>
  <si>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</si>
  <si>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</si>
  <si>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</si>
  <si>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</si>
  <si>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</si>
  <si>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</si>
  <si>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</si>
  <si>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</si>
  <si>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</si>
  <si>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</si>
  <si>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</si>
  <si>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</si>
  <si>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</si>
  <si>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</si>
  <si>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</si>
  <si>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</si>
  <si>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</si>
  <si>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</si>
  <si>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</si>
  <si>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</si>
  <si>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</si>
  <si>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</si>
  <si>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</si>
  <si>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</si>
  <si>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</si>
  <si>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</si>
  <si>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</si>
  <si>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</si>
  <si>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</si>
  <si>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</si>
  <si>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</si>
  <si>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</si>
  <si>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</si>
  <si>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</si>
  <si>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</si>
  <si>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</si>
  <si>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</si>
  <si>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</si>
  <si>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</si>
  <si>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</si>
  <si>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</si>
  <si>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</si>
  <si>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</si>
  <si>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</si>
  <si>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</si>
  <si>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</si>
  <si>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</si>
  <si>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</si>
  <si>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</si>
  <si>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</si>
  <si>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</si>
  <si>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</si>
  <si>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</si>
  <si>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</si>
  <si>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</si>
  <si>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</si>
  <si>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</si>
  <si>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</si>
  <si>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</si>
  <si>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</si>
  <si>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</si>
  <si>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</si>
  <si>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</si>
  <si>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</si>
  <si>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</si>
  <si>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</si>
  <si>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</si>
  <si>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</si>
  <si>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</si>
  <si>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</si>
  <si>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</si>
  <si>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</si>
  <si>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</si>
  <si>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</si>
  <si>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</si>
  <si>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</si>
  <si>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</si>
  <si>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</si>
  <si>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</si>
  <si>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</si>
  <si>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</si>
  <si>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</si>
  <si>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</si>
  <si>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</si>
  <si>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</si>
  <si>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</si>
  <si>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</si>
  <si>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</si>
  <si>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</si>
  <si>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</si>
  <si>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</si>
  <si>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</si>
  <si>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</si>
  <si>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</si>
  <si>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</si>
  <si>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</si>
  <si>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</si>
  <si>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</si>
  <si>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</si>
  <si>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</si>
  <si>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</si>
  <si>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</si>
  <si>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</si>
  <si>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</si>
  <si>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</si>
  <si>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</si>
  <si>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</si>
  <si>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</si>
  <si>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</si>
  <si>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</si>
  <si>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</si>
  <si>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</si>
  <si>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</si>
  <si>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</si>
  <si>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</si>
  <si>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</si>
  <si>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</si>
  <si>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</si>
  <si>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</si>
  <si>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</si>
  <si>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</si>
  <si>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</si>
  <si>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</si>
  <si>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</si>
  <si>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</si>
  <si>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</si>
  <si>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</si>
  <si>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</si>
  <si>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</si>
  <si>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</si>
  <si>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</si>
  <si>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</si>
  <si>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</si>
  <si>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</si>
  <si>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</si>
  <si>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</si>
  <si>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</si>
  <si>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</si>
  <si>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</si>
  <si>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</si>
  <si>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</si>
  <si>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</si>
  <si>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</si>
  <si>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</si>
  <si>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</si>
  <si>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</si>
  <si>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</si>
  <si>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</si>
  <si>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</si>
  <si>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</si>
  <si>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</si>
  <si>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</si>
  <si>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</si>
  <si>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</si>
  <si>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</si>
  <si>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</si>
  <si>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</si>
  <si>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</si>
  <si>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</si>
  <si>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</si>
  <si>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</si>
  <si>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</si>
  <si>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</si>
  <si>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</si>
  <si>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</si>
  <si>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</si>
  <si>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</si>
  <si>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</si>
  <si>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</si>
  <si>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</si>
  <si>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</si>
  <si>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</si>
  <si>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</si>
  <si>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</si>
  <si>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</si>
  <si>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</si>
  <si>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</si>
  <si>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</si>
  <si>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</si>
  <si>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</si>
  <si>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</si>
  <si>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</si>
  <si>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</si>
  <si>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</si>
  <si>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</si>
  <si>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</si>
  <si>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</si>
  <si>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</si>
  <si>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</si>
  <si>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</si>
  <si>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</si>
  <si>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</si>
  <si>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</si>
  <si>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</si>
  <si>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</si>
  <si>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</si>
  <si>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</si>
  <si>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</si>
  <si>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</si>
  <si>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</si>
  <si>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</si>
  <si>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</si>
  <si>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</si>
  <si>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</si>
  <si>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</si>
  <si>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</si>
  <si>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</si>
  <si>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</si>
  <si>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</si>
  <si>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</si>
  <si>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</si>
  <si>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</si>
  <si>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</si>
  <si>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</si>
  <si>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</si>
  <si>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</si>
  <si>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</si>
  <si>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</si>
  <si>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</si>
  <si>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</si>
  <si>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</si>
  <si>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</si>
  <si>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</si>
  <si>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</si>
  <si>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</si>
  <si>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</si>
  <si>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</si>
  <si>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</si>
  <si>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</si>
  <si>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</si>
  <si>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</si>
  <si>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</si>
  <si>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</si>
  <si>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</si>
  <si>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</si>
  <si>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</si>
  <si>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</si>
  <si>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</si>
  <si>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</si>
  <si>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</si>
  <si>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</si>
  <si>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</si>
  <si>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</si>
  <si>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</si>
  <si>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</si>
  <si>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</si>
  <si>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</si>
  <si>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</si>
  <si>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</si>
  <si>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</si>
  <si>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</si>
  <si>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</si>
  <si>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</si>
  <si>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</si>
  <si>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</si>
  <si>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</si>
  <si>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</si>
  <si>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</si>
  <si>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</si>
  <si>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</si>
  <si>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</si>
  <si>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</si>
  <si>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</si>
  <si>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</si>
  <si>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</si>
  <si>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</si>
  <si>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</si>
  <si>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</si>
  <si>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</si>
  <si>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</si>
  <si>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</si>
  <si>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</si>
  <si>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</si>
  <si>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</si>
  <si>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</si>
  <si>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</si>
  <si>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</si>
  <si>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</si>
  <si>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</si>
  <si>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</si>
  <si>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</si>
  <si>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</si>
  <si>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</si>
  <si>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</si>
  <si>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</si>
  <si>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</si>
  <si>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</si>
  <si>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</si>
  <si>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</si>
  <si>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</si>
  <si>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</si>
  <si>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</si>
  <si>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</si>
  <si>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</si>
  <si>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</si>
  <si>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</si>
  <si>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</si>
  <si>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</si>
  <si>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</si>
  <si>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</si>
  <si>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</si>
  <si>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</si>
  <si>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</si>
  <si>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</si>
  <si>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</si>
  <si>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</si>
  <si>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</si>
  <si>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</si>
  <si>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</si>
  <si>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</si>
  <si>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</si>
  <si>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</si>
  <si>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</si>
  <si>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</si>
  <si>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</si>
  <si>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</si>
  <si>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</si>
  <si>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</si>
  <si>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</si>
  <si>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</si>
  <si>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</si>
  <si>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</si>
  <si>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</si>
  <si>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</si>
  <si>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</si>
  <si>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</si>
  <si>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</si>
  <si>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</si>
  <si>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</si>
  <si>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</si>
  <si>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</si>
  <si>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</si>
  <si>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</si>
  <si>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</si>
  <si>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</si>
  <si>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</si>
  <si>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</si>
  <si>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</si>
  <si>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</si>
  <si>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</si>
  <si>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</si>
  <si>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</si>
  <si>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</si>
  <si>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</si>
  <si>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</si>
  <si>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</si>
  <si>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</si>
  <si>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</si>
  <si>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</si>
  <si>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</si>
  <si>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</si>
  <si>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</si>
  <si>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</si>
  <si>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</si>
  <si>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</si>
  <si>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</si>
  <si>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</si>
  <si>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</si>
  <si>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</si>
  <si>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</si>
  <si>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</si>
  <si>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</si>
  <si>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</si>
  <si>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</si>
  <si>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</si>
  <si>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</si>
  <si>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</si>
  <si>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</si>
  <si>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</si>
  <si>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</si>
  <si>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</si>
  <si>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</si>
  <si>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</si>
  <si>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</si>
  <si>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</si>
  <si>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</si>
  <si>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</si>
  <si>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</si>
  <si>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</si>
  <si>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</si>
  <si>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</si>
  <si>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</si>
  <si>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</si>
  <si>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</si>
  <si>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</si>
  <si>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</si>
  <si>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</si>
  <si>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</si>
  <si>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</si>
  <si>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</si>
  <si>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</si>
  <si>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</si>
  <si>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</si>
  <si>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</si>
  <si>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</si>
  <si>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</si>
  <si>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</si>
  <si>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</si>
  <si>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</si>
  <si>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</si>
  <si>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</si>
  <si>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</si>
  <si>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</si>
  <si>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</si>
  <si>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</si>
  <si>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</si>
  <si>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</si>
  <si>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</si>
  <si>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</si>
  <si>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</si>
  <si>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</si>
  <si>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</si>
  <si>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</si>
  <si>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</si>
  <si>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</si>
  <si>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</si>
  <si>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</si>
  <si>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</si>
  <si>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</si>
  <si>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</si>
  <si>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</si>
  <si>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</si>
  <si>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</si>
  <si>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</si>
  <si>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</si>
  <si>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</si>
  <si>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</si>
  <si>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</si>
  <si>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</si>
  <si>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</si>
  <si>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</si>
  <si>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</si>
  <si>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</si>
  <si>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</si>
  <si>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</si>
  <si>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</si>
  <si>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</si>
  <si>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</si>
  <si>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</si>
  <si>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</si>
  <si>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</si>
  <si>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</si>
  <si>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</si>
  <si>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</si>
  <si>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</si>
  <si>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</si>
  <si>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</si>
  <si>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</si>
  <si>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</si>
  <si>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</si>
  <si>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</si>
  <si>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</si>
  <si>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</si>
  <si>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</si>
  <si>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</si>
  <si>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</si>
  <si>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</si>
  <si>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</si>
  <si>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</si>
  <si>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</si>
  <si>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</si>
  <si>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</si>
  <si>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</si>
  <si>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</si>
  <si>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</si>
  <si>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</si>
  <si>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</si>
  <si>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</si>
  <si>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</si>
  <si>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</si>
  <si>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</si>
  <si>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</si>
  <si>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</si>
  <si>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</si>
  <si>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</si>
  <si>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</si>
  <si>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</si>
  <si>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</si>
  <si>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</si>
  <si>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</si>
  <si>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</si>
  <si>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</si>
  <si>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</si>
  <si>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</si>
  <si>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</si>
  <si>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</si>
  <si>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</si>
  <si>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</si>
  <si>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</si>
  <si>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</si>
  <si>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</si>
  <si>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</si>
  <si>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</si>
  <si>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</si>
  <si>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</si>
  <si>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</si>
  <si>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</si>
  <si>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</si>
  <si>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</si>
  <si>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</si>
  <si>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</si>
  <si>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</si>
  <si>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</si>
  <si>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</si>
  <si>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</si>
  <si>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</si>
  <si>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</si>
  <si>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</si>
  <si>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</si>
  <si>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</si>
  <si>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</si>
  <si>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</si>
  <si>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</si>
  <si>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</si>
  <si>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</si>
  <si>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</si>
  <si>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</si>
  <si>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</si>
  <si>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</si>
  <si>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</si>
  <si>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</si>
  <si>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</si>
  <si>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</si>
  <si>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</si>
  <si>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</si>
  <si>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</si>
  <si>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</si>
  <si>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</si>
  <si>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</si>
  <si>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</si>
  <si>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</si>
  <si>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</si>
  <si>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</si>
  <si>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</si>
  <si>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</si>
  <si>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</si>
  <si>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</si>
  <si>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</si>
  <si>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</si>
  <si>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</si>
  <si>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</si>
  <si>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</si>
  <si>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</si>
  <si>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</si>
  <si>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</si>
  <si>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</si>
  <si>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</si>
  <si>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</si>
  <si>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</si>
  <si>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</si>
  <si>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</si>
  <si>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</si>
  <si>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</si>
  <si>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</si>
  <si>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</si>
  <si>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</si>
  <si>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</si>
  <si>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</si>
  <si>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</si>
  <si>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</si>
  <si>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</si>
  <si>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</si>
  <si>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</si>
  <si>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</si>
  <si>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</si>
  <si>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</si>
  <si>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</si>
  <si>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</si>
  <si>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</si>
  <si>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</si>
  <si>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</si>
  <si>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</si>
  <si>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</si>
  <si>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</si>
  <si>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</si>
  <si>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</si>
  <si>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</si>
  <si>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</si>
  <si>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</si>
  <si>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</si>
  <si>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</si>
  <si>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</si>
  <si>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</si>
  <si>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</si>
  <si>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</si>
  <si>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</si>
  <si>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</si>
  <si>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</si>
  <si>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</si>
  <si>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</si>
  <si>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</si>
  <si>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</si>
  <si>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</si>
  <si>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</si>
  <si>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</si>
  <si>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</si>
  <si>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</si>
  <si>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</si>
  <si>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</si>
  <si>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</si>
  <si>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</si>
  <si>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</si>
  <si>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</si>
  <si>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</si>
  <si>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</si>
  <si>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</si>
  <si>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</si>
  <si>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</si>
  <si>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</si>
  <si>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</si>
  <si>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</si>
  <si>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</si>
  <si>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</si>
  <si>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</si>
  <si>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</si>
  <si>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</si>
  <si>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</si>
  <si>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</si>
  <si>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</si>
  <si>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</si>
  <si>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</si>
  <si>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</si>
  <si>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</si>
  <si>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</si>
  <si>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</si>
  <si>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</si>
  <si>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</si>
  <si>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</si>
  <si>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</si>
  <si>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</si>
  <si>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</si>
  <si>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</si>
  <si>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</si>
  <si>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</si>
  <si>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</si>
  <si>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</si>
  <si>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</si>
  <si>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</si>
  <si>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</si>
  <si>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</si>
  <si>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</si>
  <si>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</si>
  <si>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</si>
  <si>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</si>
  <si>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</si>
  <si>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</si>
  <si>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</si>
  <si>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</si>
  <si>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</si>
  <si>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</si>
  <si>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</si>
  <si>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</si>
  <si>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</si>
  <si>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</si>
  <si>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</si>
  <si>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</si>
  <si>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</si>
  <si>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</si>
  <si>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</si>
  <si>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</si>
  <si>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</si>
  <si>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</si>
  <si>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</si>
  <si>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</si>
  <si>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</si>
  <si>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</si>
  <si>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</si>
  <si>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</si>
  <si>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</si>
  <si>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</si>
  <si>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</si>
  <si>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</si>
  <si>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</si>
  <si>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</si>
  <si>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</si>
  <si>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</si>
  <si>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</si>
  <si>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</si>
  <si>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</si>
  <si>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</si>
  <si>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</si>
  <si>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</si>
  <si>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</si>
  <si>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</si>
  <si>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</si>
  <si>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</si>
  <si>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</si>
  <si>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</si>
  <si>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</si>
  <si>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</si>
  <si>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</si>
  <si>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</si>
  <si>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</si>
  <si>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</si>
  <si>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</si>
  <si>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</si>
  <si>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</si>
  <si>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</si>
  <si>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</si>
  <si>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</si>
  <si>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</si>
  <si>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</si>
  <si>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</si>
  <si>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</si>
  <si>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</si>
  <si>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</si>
  <si>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</si>
  <si>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</si>
  <si>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</si>
  <si>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</si>
  <si>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</si>
  <si>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</si>
  <si>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</si>
  <si>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</si>
  <si>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</si>
  <si>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</si>
  <si>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</si>
  <si>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</si>
  <si>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t>
  </si>
  <si>
    <t>MARÍA DE JASNA GÓRA</t>
  </si>
  <si>
    <t>Fa</t>
  </si>
  <si>
    <t>MAGNIFICAT</t>
  </si>
  <si>
    <t>MARÍA, CASA DE BENDICIÓN</t>
  </si>
  <si>
    <t>MARÍA, MADRE DE LA IGLESIA</t>
  </si>
  <si>
    <t>MARÍA, MADRE DEL CAMINO ARDIENT</t>
  </si>
  <si>
    <t>MARÍA, PEQUEÑA MARÍA</t>
  </si>
  <si>
    <t>ME ENSEÑARÁS EL CAMINO DE LA VI</t>
  </si>
  <si>
    <t>HABIENDO ENTRADO JESÚS EN JERICÓ,</t>
  </si>
  <si>
    <t>ATRAVESABA LA CIUDAD,</t>
  </si>
  <si>
    <t>ATRAVESABA LA CIUDAD.</t>
  </si>
  <si>
    <t>Había un hombre llamado Zaqueo,</t>
  </si>
  <si>
    <t>que era jefe de publicanos y muy rico</t>
  </si>
  <si>
    <t>que trataba de ver a Jesús, pero no podía</t>
  </si>
  <si>
    <t>porque era de pequeña estatura.</t>
  </si>
  <si>
    <t>Se adelantó corriendo</t>
  </si>
  <si>
    <t>y se subió a un sicómoro,</t>
  </si>
  <si>
    <t>pues iba a pasar por allí,</t>
  </si>
  <si>
    <t>pues iba a pasar por allí.</t>
  </si>
  <si>
    <t>Cuando llegó Jesús,</t>
  </si>
  <si>
    <t>alzó la vista y le vio,</t>
  </si>
  <si>
    <t>y le dijo: «Zaqueo, baja pronto;</t>
  </si>
  <si>
    <t>porque conviene que hoy yo entre en tu casa,</t>
  </si>
  <si>
    <t>conviene que yo entre en tu casa».</t>
  </si>
  <si>
    <t>HABIENDO ENTRADO JESÚS EN JERICÓ...</t>
  </si>
  <si>
    <t>Bajó deprisa Zaqueo</t>
  </si>
  <si>
    <t>y le recibió lleno de alegría.</t>
  </si>
  <si>
    <t>Al verlo, todos murmuraban:</t>
  </si>
  <si>
    <t>«Ha entrado en casa de un pecador».</t>
  </si>
  <si>
    <t>Zaqueo, se puso en pie y dijo al Señor:</t>
  </si>
  <si>
    <t>«Daré, Señor, la mitad de mis bienes a los pobres;</t>
  </si>
  <si>
    <t>y si en algo defraudé, el cuádruplo le devolveré».</t>
  </si>
  <si>
    <t>Y Jesús le dijo:</t>
  </si>
  <si>
    <t>Hoy ha llegado la salvación a esta casa,</t>
  </si>
  <si>
    <t>hoy ha llegado la salvación a esta casa.</t>
  </si>
  <si>
    <t>HOY HA LLEGADO LA SALVACIÓN A ESTA CASA,</t>
  </si>
  <si>
    <t>HOY HA LLEGADO LA SALVACIÓN A ESTA CASA».</t>
  </si>
  <si>
    <t>«Porque también este es hijo de Abraham,</t>
  </si>
  <si>
    <t>pues el Hijo del hombre ha venido</t>
  </si>
  <si>
    <t>a buscar y a salvar lo que estaba perdido».</t>
  </si>
  <si>
    <t>Zaqueo eres tú.</t>
  </si>
  <si>
    <t>Baja pronto.</t>
  </si>
  <si>
    <t>Conviene que hoy entre en tu casa.</t>
  </si>
  <si>
    <t>t1</t>
  </si>
  <si>
    <t>r1</t>
  </si>
  <si>
    <t>r2</t>
  </si>
  <si>
    <t>HABIENDO ENTRADO JESÚS</t>
  </si>
  <si>
    <t>HABIENDO ENTRADO JESÚS EN JERICÓ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</si>
</sst>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7F7AFF-F140-4FF0-9F13-34167575B65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C818F35-9690-4E83-85FC-6599ACE1EE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891FBAA-2C09-47CA-8904-722F2EB81D1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1033</v>
      </c>
      <c r="B8" s="37"/>
      <c r="C8" s="37"/>
      <c r="D8" s="37"/>
      <c r="E8" s="37"/>
      <c r="F8" s="38"/>
      <c r="G8" s="38"/>
      <c r="H8" s="38"/>
    </row>
    <row r="9" spans="1:8" ht="26.1" customHeight="1" x14ac:dyDescent="0.45">
      <c r="A9" s="37" t="s">
        <v>1034</v>
      </c>
      <c r="B9" s="37"/>
      <c r="C9" s="37"/>
      <c r="D9" s="37"/>
      <c r="E9" s="37"/>
      <c r="F9" s="38"/>
      <c r="G9" s="38"/>
      <c r="H9" s="38"/>
    </row>
    <row r="10" spans="1:8" ht="26.1" customHeight="1" x14ac:dyDescent="0.45">
      <c r="A10" s="37" t="s">
        <v>1031</v>
      </c>
      <c r="B10" s="37"/>
      <c r="C10" s="37"/>
      <c r="D10" s="37"/>
      <c r="E10" s="38"/>
      <c r="F10" s="38"/>
      <c r="G10" s="38"/>
      <c r="H10" s="38"/>
    </row>
    <row r="11" spans="1:8" ht="26.1" customHeight="1" x14ac:dyDescent="0.45">
      <c r="A11" s="37" t="s">
        <v>1035</v>
      </c>
      <c r="B11" s="37"/>
      <c r="C11" s="37"/>
      <c r="D11" s="37"/>
      <c r="E11" s="38"/>
      <c r="F11" s="38"/>
      <c r="G11" s="38"/>
      <c r="H11" s="38"/>
    </row>
    <row r="12" spans="1:8" ht="26.1" customHeight="1" x14ac:dyDescent="0.45">
      <c r="A12" s="37" t="s">
        <v>1036</v>
      </c>
      <c r="B12" s="37"/>
      <c r="C12" s="37"/>
      <c r="D12" s="37"/>
      <c r="E12" s="38"/>
      <c r="F12" s="38"/>
      <c r="G12" s="38"/>
      <c r="H12" s="38"/>
    </row>
    <row r="13" spans="1:8" ht="26.1" customHeight="1" x14ac:dyDescent="0.45">
      <c r="A13" s="37" t="s">
        <v>1037</v>
      </c>
      <c r="B13" s="37"/>
      <c r="C13" s="37"/>
      <c r="D13" s="37"/>
      <c r="E13" s="38"/>
      <c r="F13" s="38"/>
      <c r="G13" s="38"/>
      <c r="H13" s="38"/>
    </row>
    <row r="14" spans="1:8" ht="26.1" customHeight="1" x14ac:dyDescent="0.45">
      <c r="A14" s="37" t="s">
        <v>1038</v>
      </c>
      <c r="B14" s="37"/>
      <c r="C14" s="37"/>
      <c r="D14" s="37"/>
      <c r="E14" s="38"/>
      <c r="F14" s="38"/>
      <c r="G14" s="38"/>
      <c r="H14" s="38"/>
    </row>
    <row r="15" spans="1:8" ht="26.1" customHeight="1" x14ac:dyDescent="0.45">
      <c r="A15" s="37" t="s">
        <v>1017</v>
      </c>
      <c r="B15" s="37"/>
      <c r="C15" s="37"/>
      <c r="D15" s="37"/>
      <c r="E15" s="38"/>
      <c r="F15" s="38"/>
      <c r="G15" s="38"/>
      <c r="H15" s="38"/>
    </row>
    <row r="16" spans="1:8" ht="26.1" customHeight="1" x14ac:dyDescent="0.45">
      <c r="A16" s="37" t="s">
        <v>1026</v>
      </c>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177</v>
      </c>
      <c r="E1" s="40"/>
      <c r="F1" s="40"/>
      <c r="G1" s="40"/>
      <c r="H1" s="40"/>
      <c r="I1" s="40"/>
      <c r="J1" s="40"/>
      <c r="K1" s="40"/>
      <c r="L1" s="41" t="str">
        <f>VLOOKUP(C1,'[1]Codigo Canto'!A3:AQ236,38,FALSE)</f>
        <v>YO VENGO A REUNIR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YO VENGO A REUNIR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yovengoareunir</v>
      </c>
      <c r="L7" s="48" t="str">
        <f>_xlfn.CONCAT("        id: ","""",C7,"""",",")</f>
        <v xml:space="preserve">        id: "yovengoareunir",</v>
      </c>
    </row>
    <row r="8" spans="2:32" ht="23.25" x14ac:dyDescent="0.25">
      <c r="C8" t="str">
        <f>PROPER(L1)</f>
        <v>Yo Vengo A Reunir</v>
      </c>
      <c r="L8" s="48" t="str">
        <f>_xlfn.CONCAT("        tt: ","""",C8,"""",",")</f>
        <v xml:space="preserve">        tt: "Yo Vengo A Reunir",</v>
      </c>
    </row>
    <row r="9" spans="2:32" ht="23.25" x14ac:dyDescent="0.25">
      <c r="C9" t="str">
        <f>PROPER(L1)</f>
        <v>Yo Vengo A Reunir</v>
      </c>
      <c r="L9" s="48" t="str">
        <f>_xlfn.CONCAT("        title: ","""",C9,"""",",")</f>
        <v xml:space="preserve">        title: "Yo Vengo A Reunir",</v>
      </c>
    </row>
    <row r="10" spans="2:32" ht="23.25" x14ac:dyDescent="0.25">
      <c r="C10" t="str">
        <f>VLOOKUP(C1,'[1]Codigo Canto'!A3:AQ236,12,FALSE)</f>
        <v>Isaías 66,18-21</v>
      </c>
      <c r="L10" s="48" t="str">
        <f>_xlfn.CONCAT("        ","subtitle: ","""",C10,"""",",")</f>
        <v xml:space="preserve">        subtitle: "Isaías 66,18-21",</v>
      </c>
    </row>
    <row r="11" spans="2:32" ht="23.25" x14ac:dyDescent="0.25">
      <c r="C11" t="str">
        <f>_xlfn.CONCAT("category: [",VLOOKUP(C1,Table223[],16,FALSE),"],")</f>
        <v>category: ["Precatecumenado","Entrada","Final","Antiguo Testamento"],</v>
      </c>
      <c r="L11" s="48" t="str">
        <f>_xlfn.CONCAT("        ",C11)</f>
        <v xml:space="preserve">        category: ["Precatecumenado","Entrada","Final","Antiguo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177</v>
      </c>
      <c r="L16" s="48" t="str">
        <f>_xlfn.CONCAT("        dbno: ","""",C16,"""",",")</f>
        <v xml:space="preserve">        dbno: "177",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yovengoareunir</v>
      </c>
      <c r="L19" s="48" t="str">
        <f>_xlfn.CONCAT("        audioSrc: ","""/audio/",C19,".mp3""",",")</f>
        <v xml:space="preserve">        audioSrc: "/audio/yovengoareunir.mp3",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176</v>
      </c>
      <c r="C26" t="str">
        <f>VLOOKUP(B26,[1]Buscador!A3:AP240,31,FALSE)</f>
        <v>/resucito/src/index.html?canto=yoteamosenor</v>
      </c>
      <c r="L26" s="48" t="str">
        <f>_xlfn.CONCAT("        ant: ","""",C26,"""",",")</f>
        <v xml:space="preserve">        ant: "/resucito/src/index.html?canto=yoteamosenor",</v>
      </c>
    </row>
    <row r="27" spans="2:40" ht="23.25" x14ac:dyDescent="0.25">
      <c r="B27">
        <f>+C1+1</f>
        <v>178</v>
      </c>
      <c r="C27" t="str">
        <f>VLOOKUP(B27,[1]Buscador!A3:AP240,31,FALSE)</f>
        <v>/resucito/src/index.html?canto=zaqueo</v>
      </c>
      <c r="L27" s="48" t="str">
        <f>_xlfn.CONCAT("        sig: ","""",C27,"""",",")</f>
        <v xml:space="preserve">        sig: "/resucito/src/index.html?canto=zaqueo",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YO VENGO A REUNIR</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9E5F3-C86A-46E4-A466-AABE8EC52625}">
  <sheetPr codeName="Sheet69">
    <tabColor rgb="FF00B0F0"/>
  </sheetPr>
  <dimension ref="A1:AN103"/>
  <sheetViews>
    <sheetView tabSelected="1" zoomScale="85" zoomScaleNormal="85" workbookViewId="0">
      <pane xSplit="2" ySplit="1" topLeftCell="C27" activePane="bottomRight" state="frozen"/>
      <selection pane="topRight" activeCell="C1" sqref="C1"/>
      <selection pane="bottomLeft" activeCell="A2" sqref="A2"/>
      <selection pane="bottomRight" activeCell="C99" sqref="C9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178</v>
      </c>
      <c r="E1" s="40"/>
      <c r="F1" s="40"/>
      <c r="G1" s="40"/>
      <c r="H1" s="40"/>
      <c r="I1" s="40"/>
      <c r="J1" s="40"/>
      <c r="K1" s="40"/>
      <c r="L1" s="41" t="str">
        <f ca="1">UPPER(VLOOKUP(C1,Table223[],3,FALSE))</f>
        <v>ZAQUEO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ZAQUEO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8" t="str">
        <f ca="1">_xlfn.CONCAT("        id: ","""",C7,"""",",")</f>
        <v xml:space="preserve">        id: "zaqueo",</v>
      </c>
    </row>
    <row r="8" spans="2:32" ht="23.25" x14ac:dyDescent="0.25">
      <c r="C8" t="str">
        <f ca="1">PROPER(L1)</f>
        <v>Zaqueo</v>
      </c>
      <c r="L8" s="48" t="str">
        <f ca="1">_xlfn.CONCAT("        tt: ","""",C8,"""",",")</f>
        <v xml:space="preserve">        tt: "Zaqueo",</v>
      </c>
    </row>
    <row r="9" spans="2:32" ht="23.25" x14ac:dyDescent="0.25">
      <c r="C9" t="str">
        <f ca="1">PROPER(L1)</f>
        <v>Zaqueo</v>
      </c>
      <c r="L9" s="48" t="str">
        <f ca="1">_xlfn.CONCAT("        title: ","""",C9,"""",",")</f>
        <v xml:space="preserve">        title: "Zaqueo",</v>
      </c>
    </row>
    <row r="10" spans="2:32" ht="23.25" x14ac:dyDescent="0.25">
      <c r="C10" t="str">
        <f ca="1">VLOOKUP(C1,Table223[],4,FALSE)</f>
        <v>Lucas 19,1-10</v>
      </c>
      <c r="L10" s="48" t="str">
        <f ca="1">_xlfn.CONCAT("        ","subtitle: ","""",C10,"""",",")</f>
        <v xml:space="preserve">        subtitle: "Lucas 19,1-10",</v>
      </c>
    </row>
    <row r="11" spans="2:32" ht="23.25" x14ac:dyDescent="0.25">
      <c r="C11" t="str">
        <f ca="1">_xlfn.CONCAT("category: [",VLOOKUP(C1,Table223[],16,FALSE),"],")</f>
        <v>category: ["Precatecumenado","Cuaresma","Penitencial","Entrada","Nuevo Testamento"],</v>
      </c>
      <c r="L11" s="48" t="str">
        <f ca="1">_xlfn.CONCAT("        ",C11)</f>
        <v xml:space="preserve">        category: ["Precatecumenado","Cuaresma","Penitencial","Entrada","Nuevo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178</v>
      </c>
      <c r="L16" s="48" t="str">
        <f ca="1">_xlfn.CONCAT("        dbno: ","""",C16,"""",",")</f>
        <v xml:space="preserve">        dbno: "178",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zaqueo</v>
      </c>
      <c r="L19" s="48" t="str">
        <f ca="1">_xlfn.CONCAT("        audioSrc: ","""https://audio.resucito.do/",C19,".mp3""",",")</f>
        <v xml:space="preserve">        audioSrc: "https://audio.resucito.do/zaqueo.mp3",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177</v>
      </c>
      <c r="C26" t="str">
        <f ca="1">VLOOKUP(B26,Table4[],13,FALSE)</f>
        <v>"/src/index.html?canto=yovengoareunir"</v>
      </c>
      <c r="L26" s="48" t="str">
        <f ca="1">_xlfn.CONCAT("        ant: ",C26,",")</f>
        <v xml:space="preserve">        ant: "/src/index.html?canto=yovengoareunir",</v>
      </c>
    </row>
    <row r="27" spans="1:40" ht="23.25" x14ac:dyDescent="0.25">
      <c r="B27">
        <f ca="1">+C1+1</f>
        <v>179</v>
      </c>
      <c r="C27" t="str">
        <f ca="1">VLOOKUP(B27,Table4[],13,FALSE)</f>
        <v>"/src/index.html?canto=aclamacionesalaoraciondelosfieles"</v>
      </c>
      <c r="L27" s="48" t="str">
        <f ca="1">_xlfn.CONCAT("        sig: ",C27,",")</f>
        <v xml:space="preserve">        sig: "/src/index.html?canto=aclamacionesalaoraciondelosfieles",</v>
      </c>
    </row>
    <row r="28" spans="1:40" ht="23.25" x14ac:dyDescent="0.25">
      <c r="L28" s="46" t="s">
        <v>991</v>
      </c>
    </row>
    <row r="29" spans="1:40" ht="36" thickBot="1" x14ac:dyDescent="0.3">
      <c r="A29" s="49"/>
      <c r="B29" s="49"/>
      <c r="C29" s="49" t="s">
        <v>1030</v>
      </c>
      <c r="D29" s="49"/>
      <c r="E29" s="49"/>
      <c r="F29" s="49"/>
      <c r="G29" s="49"/>
      <c r="H29" s="49"/>
      <c r="I29" s="49"/>
      <c r="J29" s="49"/>
      <c r="K29" s="49"/>
      <c r="L29" s="50" t="s">
        <v>992</v>
      </c>
    </row>
    <row r="30" spans="1:40" ht="25.5" thickTop="1" thickBot="1" x14ac:dyDescent="0.4">
      <c r="B30" t="s">
        <v>997</v>
      </c>
      <c r="C30" s="113" t="s">
        <v>1039</v>
      </c>
      <c r="D30" s="112" t="s">
        <v>1013</v>
      </c>
      <c r="E30" s="52" t="s">
        <v>1012</v>
      </c>
      <c r="F30" s="53"/>
      <c r="G30" s="53"/>
      <c r="H30" s="52"/>
      <c r="I30" s="52"/>
      <c r="J30" s="54"/>
      <c r="K30" s="54"/>
      <c r="L30" s="55" t="str">
        <f t="shared" ref="L30:L31" si="0">IF(C30="","",_xlfn.CONCAT("            { line: ","""",C30,", ",M30:AN30,""", sC: ","""",B30,"""},"))</f>
        <v xml:space="preserve">            { line: "HABIENDO ENTRADO JESÚS EN JERICÓ,, (La,m,20)", sC: "ta as"},</v>
      </c>
      <c r="M30" s="56" t="str">
        <f t="shared" ref="M30:M35" si="1">IF(N30="","","(")</f>
        <v>(</v>
      </c>
      <c r="N30" s="57" t="str">
        <f t="shared" ref="N30:N74" si="2">IF(D30="","",D30)</f>
        <v>La</v>
      </c>
      <c r="O30" s="58" t="str">
        <f t="shared" ref="O30:O35" si="3">IF(N30="","",",")</f>
        <v>,</v>
      </c>
      <c r="P30" s="59" t="str">
        <f t="shared" ref="P30:P74"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74" si="8">IF(F30="","",F30)</f>
        <v/>
      </c>
      <c r="V30" s="64" t="str">
        <f t="shared" ref="V30:V35" si="9">IF(U30="","",",")</f>
        <v/>
      </c>
      <c r="W30" s="65" t="str">
        <f t="shared" ref="W30:W74" si="10">IF(G30="","",G30)</f>
        <v/>
      </c>
      <c r="X30" s="64" t="str">
        <f t="shared" ref="X30:X35" si="11">IF(U30="","",",")</f>
        <v/>
      </c>
      <c r="Y30" s="64" t="str">
        <f t="shared" ref="Y30:Y35" si="12">IF(U30="","",250)</f>
        <v/>
      </c>
      <c r="Z30" s="56" t="str">
        <f t="shared" ref="Z30:Z35" si="13">IF(U30="","",")")</f>
        <v/>
      </c>
      <c r="AA30" s="66" t="str">
        <f t="shared" ref="AA30:AA35" si="14">IF(AB30="","","(")</f>
        <v/>
      </c>
      <c r="AB30" s="57" t="str">
        <f t="shared" ref="AB30:AB74"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4"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1040</v>
      </c>
      <c r="D31" s="112" t="s">
        <v>1015</v>
      </c>
      <c r="E31" s="52"/>
      <c r="F31" s="53"/>
      <c r="G31" s="53"/>
      <c r="H31" s="52"/>
      <c r="I31" s="52"/>
      <c r="J31" s="54"/>
      <c r="K31" s="54"/>
      <c r="L31" s="55" t="str">
        <f t="shared" si="0"/>
        <v xml:space="preserve">            { line: "ATRAVESABA LA CIUDAD,, (Sol,,14)", sC: "as"},</v>
      </c>
      <c r="M31" s="56" t="str">
        <f t="shared" si="1"/>
        <v>(</v>
      </c>
      <c r="N31" s="57" t="str">
        <f t="shared" si="2"/>
        <v>Sol</v>
      </c>
      <c r="O31" s="58" t="str">
        <f t="shared" si="3"/>
        <v>,</v>
      </c>
      <c r="P31" s="59" t="str">
        <f t="shared" si="4"/>
        <v/>
      </c>
      <c r="Q31" s="60" t="str">
        <f t="shared" si="5"/>
        <v>,</v>
      </c>
      <c r="R31" s="61">
        <f t="shared" ref="R31:R81" si="28">IF(N31="Do",10,IF(N31="Re",22,IF(N31="Mi",20,IF(N31="Fa",20,IF(N31="Sol",14,IF(N31="La",20,IF(N31="Si",20,IF(N31="Do#",14,IF(N31="Fa#",15,IF(N31="Sol#",20,""))))))))))</f>
        <v>14</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1039</v>
      </c>
      <c r="D32" s="112" t="s">
        <v>1032</v>
      </c>
      <c r="E32" s="52"/>
      <c r="F32" s="53"/>
      <c r="G32" s="53"/>
      <c r="H32" s="52"/>
      <c r="I32" s="52"/>
      <c r="J32" s="54"/>
      <c r="K32" s="54"/>
      <c r="L32" s="55" t="str">
        <f>IF(C32="","",_xlfn.CONCAT("            { line: ","""",C32,", ",M32:AN32,""", sC: ","""",B32,"""},"))</f>
        <v xml:space="preserve">            { line: "HABIENDO ENTRADO JESÚS EN JERICÓ,, (Fa,,20)",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1041</v>
      </c>
      <c r="D33" s="112" t="s">
        <v>1011</v>
      </c>
      <c r="E33" s="52"/>
      <c r="F33" s="53"/>
      <c r="G33" s="53"/>
      <c r="H33" s="52"/>
      <c r="I33" s="52"/>
      <c r="J33" s="54"/>
      <c r="K33" s="54"/>
      <c r="L33" s="55" t="str">
        <f>IF(C33="","",_xlfn.CONCAT("            { line: ","""",C33,", ",M33:AN33,""", sC: ","""",B33,"""},"))</f>
        <v xml:space="preserve">            { line: "ATRAVESABA LA CIUDAD., (Mi,,20)", sC: "as"},</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1042</v>
      </c>
      <c r="D35" s="112" t="s">
        <v>1013</v>
      </c>
      <c r="E35" s="52" t="s">
        <v>1012</v>
      </c>
      <c r="F35" s="53"/>
      <c r="G35" s="53"/>
      <c r="H35" s="52"/>
      <c r="I35" s="52"/>
      <c r="J35" s="54"/>
      <c r="K35" s="54"/>
      <c r="L35" s="55" t="str">
        <f t="shared" ref="L35:L49" si="29">IF(C35="","",_xlfn.CONCAT("            { line: ","""",C35,", ",M35:AN35,""", sC: ","""",B35,"""},"))</f>
        <v xml:space="preserve">            { line: "Había un hombre llamado Zaqueo,, (La,m,20)",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1043</v>
      </c>
      <c r="D36" s="112" t="s">
        <v>1015</v>
      </c>
      <c r="E36" s="52"/>
      <c r="F36" s="53"/>
      <c r="G36" s="53"/>
      <c r="H36" s="52"/>
      <c r="I36" s="52"/>
      <c r="J36" s="54"/>
      <c r="K36" s="54"/>
      <c r="L36" s="55" t="str">
        <f t="shared" si="29"/>
        <v xml:space="preserve">            { line: "que era jefe de publicanos y muy rico, (Sol,,14)", sC: ""},</v>
      </c>
      <c r="M36" s="56" t="str">
        <f>IF(N36="","","(")</f>
        <v>(</v>
      </c>
      <c r="N36" s="57" t="str">
        <f>IF(D36="","",D36)</f>
        <v>Sol</v>
      </c>
      <c r="O36" s="58" t="str">
        <f>IF(N36="","",",")</f>
        <v>,</v>
      </c>
      <c r="P36" s="59" t="str">
        <f>IF(E36="","",E36)</f>
        <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1044</v>
      </c>
      <c r="D37" s="112" t="s">
        <v>1032</v>
      </c>
      <c r="E37" s="52"/>
      <c r="F37" s="53"/>
      <c r="G37" s="53"/>
      <c r="H37" s="52"/>
      <c r="I37" s="52"/>
      <c r="J37" s="54"/>
      <c r="K37" s="54"/>
      <c r="L37" s="55" t="str">
        <f t="shared" si="29"/>
        <v xml:space="preserve">            { line: "que trataba de ver a Jesús, pero no podía, (Fa,,20)", sC: ""},</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1045</v>
      </c>
      <c r="D38" s="112" t="s">
        <v>1011</v>
      </c>
      <c r="E38" s="52"/>
      <c r="F38" s="53"/>
      <c r="G38" s="53"/>
      <c r="H38" s="52"/>
      <c r="I38" s="52"/>
      <c r="J38" s="54"/>
      <c r="K38" s="54"/>
      <c r="L38" s="55" t="str">
        <f t="shared" si="29"/>
        <v xml:space="preserve">            { line: "porque era de pequeña estatura., (Mi,,20)", sC: ""},</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1046</v>
      </c>
      <c r="D40" s="112" t="s">
        <v>1013</v>
      </c>
      <c r="E40" s="52" t="s">
        <v>1012</v>
      </c>
      <c r="F40" s="53"/>
      <c r="G40" s="53"/>
      <c r="H40" s="52"/>
      <c r="I40" s="52"/>
      <c r="J40" s="54"/>
      <c r="K40" s="54"/>
      <c r="L40" s="55" t="str">
        <f t="shared" si="29"/>
        <v xml:space="preserve">            { line: "Se adelantó corriendo, (La,m,20)",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1047</v>
      </c>
      <c r="D41" s="112" t="s">
        <v>1015</v>
      </c>
      <c r="E41" s="52"/>
      <c r="F41" s="53"/>
      <c r="G41" s="53"/>
      <c r="H41" s="52"/>
      <c r="I41" s="52"/>
      <c r="J41" s="54"/>
      <c r="K41" s="54"/>
      <c r="L41" s="55" t="str">
        <f t="shared" si="29"/>
        <v xml:space="preserve">            { line: "y se subió a un sicómoro,, (Sol,,14)",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1048</v>
      </c>
      <c r="D42" s="112" t="s">
        <v>1032</v>
      </c>
      <c r="E42" s="52"/>
      <c r="F42" s="53"/>
      <c r="G42" s="53"/>
      <c r="H42" s="52"/>
      <c r="I42" s="52"/>
      <c r="J42" s="54"/>
      <c r="K42" s="54"/>
      <c r="L42" s="55" t="str">
        <f t="shared" si="29"/>
        <v xml:space="preserve">            { line: "pues iba a pasar por allí,, (Fa,,20)", sC: ""},</v>
      </c>
      <c r="M42" s="56" t="str">
        <f t="shared" si="30"/>
        <v>(</v>
      </c>
      <c r="N42" s="57" t="str">
        <f t="shared" si="31"/>
        <v>Fa</v>
      </c>
      <c r="O42" s="58" t="str">
        <f t="shared" si="32"/>
        <v>,</v>
      </c>
      <c r="P42" s="59" t="str">
        <f t="shared" si="33"/>
        <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1049</v>
      </c>
      <c r="D43" s="112" t="s">
        <v>1011</v>
      </c>
      <c r="E43" s="52"/>
      <c r="F43" s="53"/>
      <c r="G43" s="53"/>
      <c r="H43" s="52"/>
      <c r="I43" s="52"/>
      <c r="J43" s="54"/>
      <c r="K43" s="54"/>
      <c r="L43" s="55" t="str">
        <f t="shared" si="29"/>
        <v xml:space="preserve">            { line: "pues iba a pasar por allí., (Mi,,20)", sC: ""},</v>
      </c>
      <c r="M43" s="56" t="str">
        <f>IF(N43="","","(")</f>
        <v>(</v>
      </c>
      <c r="N43" s="57" t="str">
        <f>IF(D43="","",D43)</f>
        <v>Mi</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1050</v>
      </c>
      <c r="D45" s="112" t="s">
        <v>1013</v>
      </c>
      <c r="E45" s="52" t="s">
        <v>1012</v>
      </c>
      <c r="F45" s="53"/>
      <c r="G45" s="53"/>
      <c r="H45" s="52"/>
      <c r="I45" s="52"/>
      <c r="J45" s="54"/>
      <c r="K45" s="54"/>
      <c r="L45" s="55" t="str">
        <f t="shared" si="29"/>
        <v xml:space="preserve">            { line: "Cuando llegó Jesús,, (La,m,20)", sC: ""},</v>
      </c>
      <c r="M45" s="56" t="str">
        <f>IF(N45="","","(")</f>
        <v>(</v>
      </c>
      <c r="N45" s="57" t="str">
        <f>IF(D45="","",D45)</f>
        <v>La</v>
      </c>
      <c r="O45" s="58" t="str">
        <f>IF(N45="","",",")</f>
        <v>,</v>
      </c>
      <c r="P45" s="59" t="str">
        <f>IF(E45="","",E45)</f>
        <v>m</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1051</v>
      </c>
      <c r="D46" s="112" t="s">
        <v>1015</v>
      </c>
      <c r="E46" s="52"/>
      <c r="F46" s="53"/>
      <c r="G46" s="53"/>
      <c r="H46" s="52"/>
      <c r="I46" s="52"/>
      <c r="J46" s="54"/>
      <c r="K46" s="54"/>
      <c r="L46" s="55" t="str">
        <f t="shared" si="29"/>
        <v xml:space="preserve">            { line: "alzó la vista y le vio,, (Sol,,14)", sC: ""},</v>
      </c>
      <c r="M46" s="56" t="str">
        <f>IF(N46="","","(")</f>
        <v>(</v>
      </c>
      <c r="N46" s="57" t="str">
        <f>IF(D46="","",D46)</f>
        <v>Sol</v>
      </c>
      <c r="O46" s="58" t="str">
        <f>IF(N46="","",",")</f>
        <v>,</v>
      </c>
      <c r="P46" s="59" t="str">
        <f>IF(E46="","",E46)</f>
        <v/>
      </c>
      <c r="Q46" s="60" t="str">
        <f>IF(N46="","",",")</f>
        <v>,</v>
      </c>
      <c r="R46" s="61">
        <f t="shared" si="28"/>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1052</v>
      </c>
      <c r="D47" s="112" t="s">
        <v>1032</v>
      </c>
      <c r="E47" s="52"/>
      <c r="F47" s="53"/>
      <c r="G47" s="53"/>
      <c r="H47" s="52"/>
      <c r="I47" s="52"/>
      <c r="J47" s="54"/>
      <c r="K47" s="54"/>
      <c r="L47" s="55" t="str">
        <f t="shared" si="29"/>
        <v xml:space="preserve">            { line: "y le dijo: «Zaqueo, baja pronto;, (Fa,,20)", sC: ""},</v>
      </c>
      <c r="M47" s="56" t="str">
        <f>IF(N47="","","(")</f>
        <v>(</v>
      </c>
      <c r="N47" s="57" t="str">
        <f>IF(D47="","",D47)</f>
        <v>Fa</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1053</v>
      </c>
      <c r="D48" s="112" t="s">
        <v>1011</v>
      </c>
      <c r="E48" s="52"/>
      <c r="F48" s="53"/>
      <c r="G48" s="53"/>
      <c r="H48" s="52"/>
      <c r="I48" s="52"/>
      <c r="J48" s="54"/>
      <c r="K48" s="54"/>
      <c r="L48" s="55" t="str">
        <f t="shared" si="29"/>
        <v xml:space="preserve">            { line: "porque conviene que hoy yo entre en tu casa,, (Mi,,20)", sC: ""},</v>
      </c>
      <c r="M48" s="56" t="str">
        <f t="shared" ref="M48:M49" si="57">IF(N48="","","(")</f>
        <v>(</v>
      </c>
      <c r="N48" s="57" t="str">
        <f t="shared" ref="N48:N49" si="58">IF(D48="","",D48)</f>
        <v>Mi</v>
      </c>
      <c r="O48" s="58" t="str">
        <f t="shared" ref="O48:O49" si="59">IF(N48="","",",")</f>
        <v>,</v>
      </c>
      <c r="P48" s="59" t="str">
        <f t="shared" ref="P48:P49" si="60">IF(E48="","",E48)</f>
        <v/>
      </c>
      <c r="Q48" s="60" t="str">
        <f t="shared" ref="Q48:Q49" si="61">IF(N48="","",",")</f>
        <v>,</v>
      </c>
      <c r="R48" s="61">
        <f t="shared" si="28"/>
        <v>20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C49" s="113" t="s">
        <v>1054</v>
      </c>
      <c r="D49" s="112" t="s">
        <v>1032</v>
      </c>
      <c r="E49" s="52"/>
      <c r="F49" s="53" t="s">
        <v>1011</v>
      </c>
      <c r="G49" s="53"/>
      <c r="H49" s="52"/>
      <c r="I49" s="52"/>
      <c r="J49" s="54"/>
      <c r="K49" s="54"/>
      <c r="L49" s="55" t="str">
        <f t="shared" si="29"/>
        <v xml:space="preserve">            { line: "conviene que yo entre en tu casa»., (Fa,,20)(Mi,,250)", sC: ""},</v>
      </c>
      <c r="M49" s="56" t="str">
        <f t="shared" si="57"/>
        <v>(</v>
      </c>
      <c r="N49" s="57" t="str">
        <f t="shared" si="58"/>
        <v>Fa</v>
      </c>
      <c r="O49" s="58" t="str">
        <f t="shared" si="59"/>
        <v>,</v>
      </c>
      <c r="P49" s="59" t="str">
        <f t="shared" si="60"/>
        <v/>
      </c>
      <c r="Q49" s="60" t="str">
        <f t="shared" si="61"/>
        <v>,</v>
      </c>
      <c r="R49" s="61">
        <f t="shared" si="28"/>
        <v>20</v>
      </c>
      <c r="S49" s="56" t="str">
        <f t="shared" si="62"/>
        <v>)</v>
      </c>
      <c r="T49" s="62" t="str">
        <f t="shared" si="63"/>
        <v>(</v>
      </c>
      <c r="U49" s="63" t="str">
        <f t="shared" si="64"/>
        <v>Mi</v>
      </c>
      <c r="V49" s="64" t="str">
        <f t="shared" si="65"/>
        <v>,</v>
      </c>
      <c r="W49" s="65" t="str">
        <f t="shared" si="66"/>
        <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5"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84"/>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thickTop="1" thickBot="1" x14ac:dyDescent="0.4">
      <c r="B52" t="s">
        <v>997</v>
      </c>
      <c r="C52" s="82" t="s">
        <v>1055</v>
      </c>
      <c r="D52" s="83" t="s">
        <v>1013</v>
      </c>
      <c r="E52" s="83" t="s">
        <v>1012</v>
      </c>
      <c r="F52" s="83"/>
      <c r="G52" s="83"/>
      <c r="H52" s="83"/>
      <c r="I52" s="83"/>
      <c r="J52" s="83"/>
      <c r="K52" s="83"/>
      <c r="L52" s="84" t="str">
        <f>IF(C52="","",_xlfn.CONCAT("       triggerLine: ","""",C52,", ",M52:AN52,""", sC: ","""",B52,""", lines: ["))</f>
        <v xml:space="preserve">       triggerLine: "HABIENDO ENTRADO JESÚS EN JERICÓ...,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1040</v>
      </c>
      <c r="D53" s="86" t="s">
        <v>1015</v>
      </c>
      <c r="E53" s="86"/>
      <c r="F53" s="86"/>
      <c r="G53" s="86"/>
      <c r="H53" s="87"/>
      <c r="I53" s="87"/>
      <c r="J53" s="87"/>
      <c r="K53" s="87"/>
      <c r="L53" s="88" t="str">
        <f>IF(C53="","",_xlfn.CONCAT("            { line: ","""",C53,", ",M53:AN53,""", sC: ","""",B53,"""},"))</f>
        <v xml:space="preserve">            { line: "ATRAVESABA LA CIUDAD,, (Sol,,14)", sC: "as"},</v>
      </c>
      <c r="M53" s="56" t="str">
        <f t="shared" si="85"/>
        <v>(</v>
      </c>
      <c r="N53" s="57" t="str">
        <f t="shared" si="86"/>
        <v>Sol</v>
      </c>
      <c r="O53" s="58" t="str">
        <f t="shared" si="87"/>
        <v>,</v>
      </c>
      <c r="P53" s="59" t="str">
        <f t="shared" si="88"/>
        <v/>
      </c>
      <c r="Q53" s="60" t="str">
        <f t="shared" si="89"/>
        <v>,</v>
      </c>
      <c r="R53" s="61">
        <f t="shared" si="84"/>
        <v>14</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1039</v>
      </c>
      <c r="D54" s="89" t="s">
        <v>1032</v>
      </c>
      <c r="E54" s="89"/>
      <c r="F54" s="89"/>
      <c r="G54" s="89"/>
      <c r="H54" s="90"/>
      <c r="I54" s="90"/>
      <c r="J54" s="90"/>
      <c r="K54" s="90"/>
      <c r="L54" s="88" t="str">
        <f>IF(C54="","",_xlfn.CONCAT("            { line: ","""",C54,", ",M54:AN54,""", sC: ","""",B54,"""},"))</f>
        <v xml:space="preserve">            { line: "HABIENDO ENTRADO JESÚS EN JERICÓ,, (Fa,,20)", sC: "as"},</v>
      </c>
      <c r="M54" s="56" t="str">
        <f t="shared" si="85"/>
        <v>(</v>
      </c>
      <c r="N54" s="57" t="str">
        <f t="shared" si="86"/>
        <v>Fa</v>
      </c>
      <c r="O54" s="58" t="str">
        <f t="shared" si="87"/>
        <v>,</v>
      </c>
      <c r="P54" s="59" t="str">
        <f t="shared" si="88"/>
        <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93" t="s">
        <v>1041</v>
      </c>
      <c r="D55" s="83" t="s">
        <v>1011</v>
      </c>
      <c r="E55" s="83"/>
      <c r="F55" s="83"/>
      <c r="G55" s="83"/>
      <c r="H55" s="83"/>
      <c r="I55" s="83"/>
      <c r="J55" s="83"/>
      <c r="K55" s="83"/>
      <c r="L55" s="94" t="str">
        <f>IF(C55="","",_xlfn.CONCAT("            { line: ","""",C55,", ",M55:AN55,""", sC: ","""",B55,"""},  ]},"))</f>
        <v xml:space="preserve">            { line: "ATRAVESABA LA CIUDAD., (Mi,,20)", sC: "as"},  ]},</v>
      </c>
      <c r="M55" s="56" t="str">
        <f t="shared" si="85"/>
        <v>(</v>
      </c>
      <c r="N55" s="57" t="str">
        <f t="shared" si="86"/>
        <v>Mi</v>
      </c>
      <c r="O55" s="58" t="str">
        <f t="shared" si="87"/>
        <v>,</v>
      </c>
      <c r="P55" s="59" t="str">
        <f t="shared" si="88"/>
        <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1030</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thickTop="1" thickBot="1" x14ac:dyDescent="0.4">
      <c r="B57" t="s">
        <v>1014</v>
      </c>
      <c r="C57" s="113" t="s">
        <v>1056</v>
      </c>
      <c r="D57" s="112" t="s">
        <v>1013</v>
      </c>
      <c r="E57" s="52" t="s">
        <v>1012</v>
      </c>
      <c r="F57" s="53"/>
      <c r="G57" s="53"/>
      <c r="H57" s="52"/>
      <c r="I57" s="52"/>
      <c r="J57" s="54"/>
      <c r="K57" s="54"/>
      <c r="L57" s="55" t="str">
        <f t="shared" ref="L57:L74" si="112">IF(C57="","",_xlfn.CONCAT("            { line: ","""",C57,", ",M57:AN57,""", sC: ","""",B57,"""},"))</f>
        <v xml:space="preserve">            { line: "Bajó deprisa Zaqueo, (La,m,20)", sC: "tc"},</v>
      </c>
      <c r="M57" s="56" t="str">
        <f t="shared" ref="M57:M74" si="113">IF(N57="","","(")</f>
        <v>(</v>
      </c>
      <c r="N57" s="57" t="str">
        <f t="shared" si="2"/>
        <v>La</v>
      </c>
      <c r="O57" s="58" t="str">
        <f t="shared" ref="O57:O74" si="114">IF(N57="","",",")</f>
        <v>,</v>
      </c>
      <c r="P57" s="59" t="str">
        <f t="shared" si="4"/>
        <v>m</v>
      </c>
      <c r="Q57" s="60" t="str">
        <f t="shared" ref="Q57:Q74" si="115">IF(N57="","",",")</f>
        <v>,</v>
      </c>
      <c r="R57" s="61">
        <f t="shared" si="28"/>
        <v>20</v>
      </c>
      <c r="S57" s="56" t="str">
        <f t="shared" ref="S57:S74" si="116">IF(N57="","",")")</f>
        <v>)</v>
      </c>
      <c r="T57" s="62" t="str">
        <f t="shared" ref="T57:T74" si="117">IF(U57="","","(")</f>
        <v/>
      </c>
      <c r="U57" s="63" t="str">
        <f t="shared" si="8"/>
        <v/>
      </c>
      <c r="V57" s="64" t="str">
        <f t="shared" ref="V57:V74" si="118">IF(U57="","",",")</f>
        <v/>
      </c>
      <c r="W57" s="65" t="str">
        <f t="shared" si="10"/>
        <v/>
      </c>
      <c r="X57" s="64" t="str">
        <f t="shared" ref="X57:X74" si="119">IF(U57="","",",")</f>
        <v/>
      </c>
      <c r="Y57" s="64" t="str">
        <f t="shared" ref="Y57:Y74" si="120">IF(U57="","",250)</f>
        <v/>
      </c>
      <c r="Z57" s="56" t="str">
        <f t="shared" ref="Z57:Z74" si="121">IF(U57="","",")")</f>
        <v/>
      </c>
      <c r="AA57" s="66" t="str">
        <f t="shared" ref="AA57:AA74" si="122">IF(AB57="","","(")</f>
        <v/>
      </c>
      <c r="AB57" s="57" t="str">
        <f t="shared" si="15"/>
        <v/>
      </c>
      <c r="AC57" s="67" t="str">
        <f t="shared" ref="AC57:AC74" si="123">IF(AB57="","",",")</f>
        <v/>
      </c>
      <c r="AD57" s="59" t="str">
        <f t="shared" ref="AD57:AD74" si="124">IF(I57="","",I57)</f>
        <v/>
      </c>
      <c r="AE57" s="68" t="str">
        <f t="shared" ref="AE57:AE74" si="125">IF(AB57="","",",")</f>
        <v/>
      </c>
      <c r="AF57" s="61" t="str">
        <f t="shared" ref="AF57:AF74" si="126">IF(AB57="","",350)</f>
        <v/>
      </c>
      <c r="AG57" s="61" t="str">
        <f t="shared" ref="AG57:AG74" si="127">IF(AB57="","",")")</f>
        <v/>
      </c>
      <c r="AH57" s="69" t="str">
        <f t="shared" ref="AH57:AH74" si="128">IF(AI57="","","(")</f>
        <v/>
      </c>
      <c r="AI57" s="70" t="str">
        <f t="shared" si="22"/>
        <v/>
      </c>
      <c r="AJ57" s="64" t="str">
        <f t="shared" ref="AJ57:AJ74" si="129">IF(AI57="","",",")</f>
        <v/>
      </c>
      <c r="AK57" s="64" t="str">
        <f t="shared" ref="AK57:AK74" si="130">IF(K57="","",K57)</f>
        <v/>
      </c>
      <c r="AL57" s="64" t="str">
        <f t="shared" ref="AL57:AL74" si="131">IF(AI57="","",",")</f>
        <v/>
      </c>
      <c r="AM57" s="64" t="str">
        <f t="shared" ref="AM57:AM74" si="132">IF(AI57="","",450)</f>
        <v/>
      </c>
      <c r="AN57" s="64" t="str">
        <f t="shared" ref="AN57:AN74" si="133">IF(AI57="","",")")</f>
        <v/>
      </c>
    </row>
    <row r="58" spans="1:40" ht="25.5" thickTop="1" thickBot="1" x14ac:dyDescent="0.4">
      <c r="C58" s="113" t="s">
        <v>1057</v>
      </c>
      <c r="D58" s="112" t="s">
        <v>1015</v>
      </c>
      <c r="E58" s="52"/>
      <c r="F58" s="53"/>
      <c r="G58" s="53"/>
      <c r="H58" s="52"/>
      <c r="I58" s="52"/>
      <c r="J58" s="54"/>
      <c r="K58" s="54"/>
      <c r="L58" s="55" t="str">
        <f t="shared" si="112"/>
        <v xml:space="preserve">            { line: "y le recibió lleno de alegría., (Sol,,14)", sC: ""},</v>
      </c>
      <c r="M58" s="56" t="str">
        <f t="shared" si="113"/>
        <v>(</v>
      </c>
      <c r="N58" s="57" t="str">
        <f t="shared" si="2"/>
        <v>Sol</v>
      </c>
      <c r="O58" s="58" t="str">
        <f t="shared" si="114"/>
        <v>,</v>
      </c>
      <c r="P58" s="59" t="str">
        <f t="shared" si="4"/>
        <v/>
      </c>
      <c r="Q58" s="60" t="str">
        <f t="shared" si="115"/>
        <v>,</v>
      </c>
      <c r="R58" s="61">
        <f t="shared" si="28"/>
        <v>14</v>
      </c>
      <c r="S58" s="56" t="str">
        <f t="shared" si="116"/>
        <v>)</v>
      </c>
      <c r="T58" s="62" t="str">
        <f t="shared" si="117"/>
        <v/>
      </c>
      <c r="U58" s="63" t="str">
        <f t="shared" si="8"/>
        <v/>
      </c>
      <c r="V58" s="64" t="str">
        <f t="shared" si="118"/>
        <v/>
      </c>
      <c r="W58" s="65" t="str">
        <f t="shared" si="10"/>
        <v/>
      </c>
      <c r="X58" s="64" t="str">
        <f t="shared" si="119"/>
        <v/>
      </c>
      <c r="Y58" s="64" t="str">
        <f t="shared" si="120"/>
        <v/>
      </c>
      <c r="Z58" s="56" t="str">
        <f t="shared" si="121"/>
        <v/>
      </c>
      <c r="AA58" s="66" t="str">
        <f t="shared" si="122"/>
        <v/>
      </c>
      <c r="AB58" s="57" t="str">
        <f t="shared" si="15"/>
        <v/>
      </c>
      <c r="AC58" s="67" t="str">
        <f t="shared" si="123"/>
        <v/>
      </c>
      <c r="AD58" s="59" t="str">
        <f t="shared" si="124"/>
        <v/>
      </c>
      <c r="AE58" s="68" t="str">
        <f t="shared" si="125"/>
        <v/>
      </c>
      <c r="AF58" s="61" t="str">
        <f t="shared" si="126"/>
        <v/>
      </c>
      <c r="AG58" s="61" t="str">
        <f t="shared" si="127"/>
        <v/>
      </c>
      <c r="AH58" s="69" t="str">
        <f t="shared" si="128"/>
        <v/>
      </c>
      <c r="AI58" s="70" t="str">
        <f t="shared" si="22"/>
        <v/>
      </c>
      <c r="AJ58" s="64" t="str">
        <f t="shared" si="129"/>
        <v/>
      </c>
      <c r="AK58" s="64" t="str">
        <f t="shared" si="130"/>
        <v/>
      </c>
      <c r="AL58" s="64" t="str">
        <f t="shared" si="131"/>
        <v/>
      </c>
      <c r="AM58" s="64" t="str">
        <f t="shared" si="132"/>
        <v/>
      </c>
      <c r="AN58" s="64" t="str">
        <f t="shared" si="133"/>
        <v/>
      </c>
    </row>
    <row r="59" spans="1:40" ht="25.5" thickTop="1" thickBot="1" x14ac:dyDescent="0.4">
      <c r="C59" s="113" t="s">
        <v>1058</v>
      </c>
      <c r="D59" s="112" t="s">
        <v>1032</v>
      </c>
      <c r="E59" s="52"/>
      <c r="F59" s="53"/>
      <c r="G59" s="53"/>
      <c r="H59" s="52"/>
      <c r="I59" s="52"/>
      <c r="J59" s="54"/>
      <c r="K59" s="54"/>
      <c r="L59" s="55" t="str">
        <f t="shared" si="112"/>
        <v xml:space="preserve">            { line: "Al verlo, todos murmuraban:, (Fa,,20)", sC: ""},</v>
      </c>
      <c r="M59" s="56" t="str">
        <f t="shared" si="113"/>
        <v>(</v>
      </c>
      <c r="N59" s="57" t="str">
        <f t="shared" si="2"/>
        <v>Fa</v>
      </c>
      <c r="O59" s="58" t="str">
        <f t="shared" si="114"/>
        <v>,</v>
      </c>
      <c r="P59" s="59" t="str">
        <f t="shared" si="4"/>
        <v/>
      </c>
      <c r="Q59" s="60" t="str">
        <f t="shared" si="115"/>
        <v>,</v>
      </c>
      <c r="R59" s="61">
        <f t="shared" si="28"/>
        <v>20</v>
      </c>
      <c r="S59" s="56" t="str">
        <f t="shared" si="116"/>
        <v>)</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5.5" thickTop="1" thickBot="1" x14ac:dyDescent="0.4">
      <c r="C60" s="113" t="s">
        <v>1059</v>
      </c>
      <c r="D60" s="112" t="s">
        <v>1011</v>
      </c>
      <c r="E60" s="52"/>
      <c r="F60" s="53"/>
      <c r="G60" s="53"/>
      <c r="H60" s="52"/>
      <c r="I60" s="52"/>
      <c r="J60" s="54"/>
      <c r="K60" s="54"/>
      <c r="L60" s="55" t="str">
        <f t="shared" si="112"/>
        <v xml:space="preserve">            { line: "«Ha entrado en casa de un pecador»., (Mi,,20)", sC: ""},</v>
      </c>
      <c r="M60" s="56" t="str">
        <f t="shared" si="113"/>
        <v>(</v>
      </c>
      <c r="N60" s="57" t="str">
        <f t="shared" si="2"/>
        <v>Mi</v>
      </c>
      <c r="O60" s="58" t="str">
        <f t="shared" si="114"/>
        <v>,</v>
      </c>
      <c r="P60" s="59" t="str">
        <f t="shared" si="4"/>
        <v/>
      </c>
      <c r="Q60" s="60" t="str">
        <f t="shared" si="115"/>
        <v>,</v>
      </c>
      <c r="R60" s="61">
        <f t="shared" si="28"/>
        <v>20</v>
      </c>
      <c r="S60" s="56" t="str">
        <f t="shared" si="116"/>
        <v>)</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113" t="s">
        <v>1060</v>
      </c>
      <c r="D62" s="112" t="s">
        <v>1013</v>
      </c>
      <c r="E62" s="52" t="s">
        <v>1012</v>
      </c>
      <c r="F62" s="53"/>
      <c r="G62" s="53"/>
      <c r="H62" s="52"/>
      <c r="I62" s="52"/>
      <c r="J62" s="54"/>
      <c r="K62" s="54"/>
      <c r="L62" s="78" t="str">
        <f t="shared" si="112"/>
        <v xml:space="preserve">            { line: "Zaqueo, se puso en pie y dijo al Señor:, (La,m,20)", sC: ""},</v>
      </c>
      <c r="M62" s="56" t="str">
        <f t="shared" si="113"/>
        <v>(</v>
      </c>
      <c r="N62" s="57" t="str">
        <f t="shared" si="2"/>
        <v>La</v>
      </c>
      <c r="O62" s="58" t="str">
        <f t="shared" si="114"/>
        <v>,</v>
      </c>
      <c r="P62" s="59" t="str">
        <f t="shared" si="4"/>
        <v>m</v>
      </c>
      <c r="Q62" s="60" t="str">
        <f t="shared" si="115"/>
        <v>,</v>
      </c>
      <c r="R62" s="61">
        <f t="shared" si="28"/>
        <v>20</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5.5" thickTop="1" thickBot="1" x14ac:dyDescent="0.4">
      <c r="C63" s="113" t="s">
        <v>1061</v>
      </c>
      <c r="D63" s="112" t="s">
        <v>1015</v>
      </c>
      <c r="E63" s="52"/>
      <c r="F63" s="53"/>
      <c r="G63" s="53"/>
      <c r="H63" s="52"/>
      <c r="I63" s="52"/>
      <c r="J63" s="54"/>
      <c r="K63" s="54"/>
      <c r="L63" s="78" t="str">
        <f t="shared" si="112"/>
        <v xml:space="preserve">            { line: "«Daré, Señor, la mitad de mis bienes a los pobres;, (Sol,,14)", sC: ""},</v>
      </c>
      <c r="M63" s="56" t="str">
        <f t="shared" si="113"/>
        <v>(</v>
      </c>
      <c r="N63" s="57" t="str">
        <f t="shared" si="2"/>
        <v>Sol</v>
      </c>
      <c r="O63" s="58" t="str">
        <f t="shared" si="114"/>
        <v>,</v>
      </c>
      <c r="P63" s="59" t="str">
        <f t="shared" si="4"/>
        <v/>
      </c>
      <c r="Q63" s="60" t="str">
        <f t="shared" si="115"/>
        <v>,</v>
      </c>
      <c r="R63" s="61">
        <f t="shared" si="28"/>
        <v>14</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5.5" thickTop="1" thickBot="1" x14ac:dyDescent="0.4">
      <c r="C64" s="113" t="s">
        <v>1062</v>
      </c>
      <c r="D64" s="112" t="s">
        <v>1032</v>
      </c>
      <c r="E64" s="52"/>
      <c r="F64" s="53" t="s">
        <v>1011</v>
      </c>
      <c r="G64" s="53"/>
      <c r="H64" s="52"/>
      <c r="I64" s="52"/>
      <c r="J64" s="54"/>
      <c r="K64" s="54"/>
      <c r="L64" s="78" t="str">
        <f t="shared" si="112"/>
        <v xml:space="preserve">            { line: "y si en algo defraudé, el cuádruplo le devolveré»., (Fa,,20)(Mi,,250)", sC: ""},</v>
      </c>
      <c r="M64" s="56" t="str">
        <f t="shared" si="113"/>
        <v>(</v>
      </c>
      <c r="N64" s="57" t="str">
        <f t="shared" si="2"/>
        <v>Fa</v>
      </c>
      <c r="O64" s="58" t="str">
        <f t="shared" si="114"/>
        <v>,</v>
      </c>
      <c r="P64" s="59" t="str">
        <f t="shared" si="4"/>
        <v/>
      </c>
      <c r="Q64" s="60" t="str">
        <f t="shared" si="115"/>
        <v>,</v>
      </c>
      <c r="R64" s="61">
        <f t="shared" si="28"/>
        <v>20</v>
      </c>
      <c r="S64" s="56" t="str">
        <f t="shared" si="116"/>
        <v>)</v>
      </c>
      <c r="T64" s="62" t="str">
        <f t="shared" si="117"/>
        <v>(</v>
      </c>
      <c r="U64" s="63" t="str">
        <f t="shared" si="8"/>
        <v>Mi</v>
      </c>
      <c r="V64" s="64" t="str">
        <f t="shared" si="118"/>
        <v>,</v>
      </c>
      <c r="W64" s="65" t="str">
        <f t="shared" si="10"/>
        <v/>
      </c>
      <c r="X64" s="64" t="str">
        <f t="shared" si="119"/>
        <v>,</v>
      </c>
      <c r="Y64" s="64">
        <f t="shared" si="120"/>
        <v>250</v>
      </c>
      <c r="Z64" s="56" t="str">
        <f t="shared" si="121"/>
        <v>)</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113" t="s">
        <v>1063</v>
      </c>
      <c r="D66" s="112" t="s">
        <v>1013</v>
      </c>
      <c r="E66" s="52" t="s">
        <v>1012</v>
      </c>
      <c r="F66" s="53"/>
      <c r="G66" s="53"/>
      <c r="H66" s="52"/>
      <c r="I66" s="52"/>
      <c r="J66" s="54"/>
      <c r="K66" s="54"/>
      <c r="L66" s="55" t="str">
        <f t="shared" si="112"/>
        <v xml:space="preserve">            { line: "Y Jesús le dijo:, (La,m,20)", sC: ""},</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5.5" thickTop="1" thickBot="1" x14ac:dyDescent="0.4">
      <c r="B67" t="s">
        <v>1014</v>
      </c>
      <c r="C67" s="113" t="s">
        <v>1064</v>
      </c>
      <c r="D67" s="112" t="s">
        <v>1013</v>
      </c>
      <c r="E67" s="52" t="s">
        <v>1012</v>
      </c>
      <c r="F67" s="53" t="s">
        <v>1015</v>
      </c>
      <c r="G67" s="53"/>
      <c r="H67" s="52"/>
      <c r="I67" s="52"/>
      <c r="J67" s="54"/>
      <c r="K67" s="54"/>
      <c r="L67" s="55" t="str">
        <f t="shared" si="112"/>
        <v xml:space="preserve">            { line: "Hoy ha llegado la salvación a esta casa,, (La,m,20)(Sol,,250)", sC: "tc"},</v>
      </c>
      <c r="M67" s="56" t="str">
        <f t="shared" si="113"/>
        <v>(</v>
      </c>
      <c r="N67" s="57" t="str">
        <f t="shared" si="2"/>
        <v>La</v>
      </c>
      <c r="O67" s="58" t="str">
        <f t="shared" si="114"/>
        <v>,</v>
      </c>
      <c r="P67" s="59" t="str">
        <f t="shared" si="4"/>
        <v>m</v>
      </c>
      <c r="Q67" s="60" t="str">
        <f t="shared" si="115"/>
        <v>,</v>
      </c>
      <c r="R67" s="61">
        <f t="shared" si="28"/>
        <v>20</v>
      </c>
      <c r="S67" s="56" t="str">
        <f t="shared" si="116"/>
        <v>)</v>
      </c>
      <c r="T67" s="62" t="str">
        <f t="shared" si="117"/>
        <v>(</v>
      </c>
      <c r="U67" s="63" t="str">
        <f t="shared" si="8"/>
        <v>Sol</v>
      </c>
      <c r="V67" s="64" t="str">
        <f t="shared" si="118"/>
        <v>,</v>
      </c>
      <c r="W67" s="65" t="str">
        <f t="shared" si="10"/>
        <v/>
      </c>
      <c r="X67" s="64" t="str">
        <f t="shared" si="119"/>
        <v>,</v>
      </c>
      <c r="Y67" s="64">
        <f t="shared" si="120"/>
        <v>250</v>
      </c>
      <c r="Z67" s="56" t="str">
        <f t="shared" si="121"/>
        <v>)</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5.5" thickTop="1" thickBot="1" x14ac:dyDescent="0.4">
      <c r="C68" s="113" t="s">
        <v>1065</v>
      </c>
      <c r="D68" s="112" t="s">
        <v>1032</v>
      </c>
      <c r="E68" s="52"/>
      <c r="F68" s="53" t="s">
        <v>1011</v>
      </c>
      <c r="G68" s="53"/>
      <c r="H68" s="52"/>
      <c r="I68" s="52"/>
      <c r="J68" s="54"/>
      <c r="K68" s="54"/>
      <c r="L68" s="55" t="str">
        <f t="shared" si="112"/>
        <v xml:space="preserve">            { line: "hoy ha llegado la salvación a esta casa., (Fa,,20)(Mi,,250)", sC: ""},</v>
      </c>
      <c r="M68" s="56" t="str">
        <f t="shared" si="113"/>
        <v>(</v>
      </c>
      <c r="N68" s="57" t="str">
        <f t="shared" si="2"/>
        <v>Fa</v>
      </c>
      <c r="O68" s="58" t="str">
        <f t="shared" si="114"/>
        <v>,</v>
      </c>
      <c r="P68" s="59" t="str">
        <f t="shared" si="4"/>
        <v/>
      </c>
      <c r="Q68" s="60" t="str">
        <f t="shared" si="115"/>
        <v>,</v>
      </c>
      <c r="R68" s="61">
        <f t="shared" si="28"/>
        <v>20</v>
      </c>
      <c r="S68" s="56" t="str">
        <f t="shared" si="116"/>
        <v>)</v>
      </c>
      <c r="T68" s="62" t="str">
        <f t="shared" si="117"/>
        <v>(</v>
      </c>
      <c r="U68" s="63" t="str">
        <f t="shared" si="8"/>
        <v>Mi</v>
      </c>
      <c r="V68" s="64" t="str">
        <f t="shared" si="118"/>
        <v>,</v>
      </c>
      <c r="W68" s="65" t="str">
        <f t="shared" si="10"/>
        <v/>
      </c>
      <c r="X68" s="64" t="str">
        <f t="shared" si="119"/>
        <v>,</v>
      </c>
      <c r="Y68" s="64">
        <f t="shared" si="120"/>
        <v>250</v>
      </c>
      <c r="Z68" s="56" t="str">
        <f t="shared" si="121"/>
        <v>)</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5.5" thickTop="1" thickBot="1" x14ac:dyDescent="0.4">
      <c r="B69" t="s">
        <v>997</v>
      </c>
      <c r="C69" s="113" t="s">
        <v>1066</v>
      </c>
      <c r="D69" s="112" t="s">
        <v>1013</v>
      </c>
      <c r="E69" s="52" t="s">
        <v>1012</v>
      </c>
      <c r="F69" s="53" t="s">
        <v>1015</v>
      </c>
      <c r="G69" s="53"/>
      <c r="H69" s="52"/>
      <c r="I69" s="52"/>
      <c r="J69" s="54"/>
      <c r="K69" s="54"/>
      <c r="L69" s="55" t="str">
        <f t="shared" si="112"/>
        <v xml:space="preserve">            { line: "HOY HA LLEGADO LA SALVACIÓN A ESTA CASA,, (La,m,20)(Sol,,250)", sC: "ta as"},</v>
      </c>
      <c r="M69" s="56" t="str">
        <f t="shared" si="113"/>
        <v>(</v>
      </c>
      <c r="N69" s="57" t="str">
        <f t="shared" si="2"/>
        <v>La</v>
      </c>
      <c r="O69" s="58" t="str">
        <f t="shared" si="114"/>
        <v>,</v>
      </c>
      <c r="P69" s="59" t="str">
        <f t="shared" si="4"/>
        <v>m</v>
      </c>
      <c r="Q69" s="60" t="str">
        <f t="shared" si="115"/>
        <v>,</v>
      </c>
      <c r="R69" s="61">
        <f t="shared" si="28"/>
        <v>20</v>
      </c>
      <c r="S69" s="56" t="str">
        <f t="shared" si="116"/>
        <v>)</v>
      </c>
      <c r="T69" s="62" t="str">
        <f t="shared" si="117"/>
        <v>(</v>
      </c>
      <c r="U69" s="63" t="str">
        <f t="shared" si="8"/>
        <v>Sol</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5.5" thickTop="1" thickBot="1" x14ac:dyDescent="0.4">
      <c r="B70" t="s">
        <v>999</v>
      </c>
      <c r="C70" s="113" t="s">
        <v>1067</v>
      </c>
      <c r="D70" s="112" t="s">
        <v>1032</v>
      </c>
      <c r="E70" s="52"/>
      <c r="F70" s="53" t="s">
        <v>1011</v>
      </c>
      <c r="G70" s="53"/>
      <c r="H70" s="52"/>
      <c r="I70" s="52"/>
      <c r="J70" s="54"/>
      <c r="K70" s="54"/>
      <c r="L70" s="55" t="str">
        <f t="shared" si="112"/>
        <v xml:space="preserve">            { line: "HOY HA LLEGADO LA SALVACIÓN A ESTA CASA»., (Fa,,20)(Mi,,250)", sC: "as"},</v>
      </c>
      <c r="M70" s="56" t="str">
        <f t="shared" si="113"/>
        <v>(</v>
      </c>
      <c r="N70" s="57" t="str">
        <f t="shared" si="2"/>
        <v>Fa</v>
      </c>
      <c r="O70" s="58" t="str">
        <f t="shared" si="114"/>
        <v>,</v>
      </c>
      <c r="P70" s="59" t="str">
        <f t="shared" si="4"/>
        <v/>
      </c>
      <c r="Q70" s="60" t="str">
        <f t="shared" si="115"/>
        <v>,</v>
      </c>
      <c r="R70" s="61">
        <f t="shared" si="28"/>
        <v>20</v>
      </c>
      <c r="S70" s="56" t="str">
        <f t="shared" si="116"/>
        <v>)</v>
      </c>
      <c r="T70" s="62" t="str">
        <f t="shared" si="117"/>
        <v>(</v>
      </c>
      <c r="U70" s="63" t="str">
        <f t="shared" si="8"/>
        <v>Mi</v>
      </c>
      <c r="V70" s="64" t="str">
        <f t="shared" si="118"/>
        <v>,</v>
      </c>
      <c r="W70" s="65" t="str">
        <f t="shared" si="10"/>
        <v/>
      </c>
      <c r="X70" s="64" t="str">
        <f t="shared" si="119"/>
        <v>,</v>
      </c>
      <c r="Y70" s="64">
        <f t="shared" si="120"/>
        <v>250</v>
      </c>
      <c r="Z70" s="56" t="str">
        <f t="shared" si="121"/>
        <v>)</v>
      </c>
      <c r="AA70" s="66" t="str">
        <f t="shared" si="122"/>
        <v/>
      </c>
      <c r="AB70" s="57" t="str">
        <f t="shared" si="15"/>
        <v/>
      </c>
      <c r="AC70" s="67" t="str">
        <f t="shared" si="123"/>
        <v/>
      </c>
      <c r="AD70" s="59" t="str">
        <f t="shared" si="124"/>
        <v/>
      </c>
      <c r="AE70" s="68" t="str">
        <f t="shared" si="125"/>
        <v/>
      </c>
      <c r="AF70" s="61" t="str">
        <f t="shared" si="126"/>
        <v/>
      </c>
      <c r="AG70" s="61" t="str">
        <f t="shared" si="127"/>
        <v/>
      </c>
      <c r="AH70" s="69" t="str">
        <f t="shared" si="128"/>
        <v/>
      </c>
      <c r="AI70" s="70" t="str">
        <f t="shared" si="22"/>
        <v/>
      </c>
      <c r="AJ70" s="64" t="str">
        <f t="shared" si="129"/>
        <v/>
      </c>
      <c r="AK70" s="64" t="str">
        <f t="shared" si="130"/>
        <v/>
      </c>
      <c r="AL70" s="64" t="str">
        <f t="shared" si="131"/>
        <v/>
      </c>
      <c r="AM70" s="64" t="str">
        <f t="shared" si="132"/>
        <v/>
      </c>
      <c r="AN70" s="64" t="str">
        <f t="shared" si="133"/>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1068</v>
      </c>
      <c r="D72" s="112" t="s">
        <v>1029</v>
      </c>
      <c r="E72" s="52" t="s">
        <v>1012</v>
      </c>
      <c r="F72" s="53" t="s">
        <v>1011</v>
      </c>
      <c r="G72" s="53"/>
      <c r="H72" s="52"/>
      <c r="I72" s="52"/>
      <c r="J72" s="54"/>
      <c r="K72" s="54"/>
      <c r="L72" s="78" t="str">
        <f t="shared" si="112"/>
        <v xml:space="preserve">            { line: "«Porque también este es hijo de Abraham,, (Re,m,22)(Mi,,250)", sC: "tc"},</v>
      </c>
      <c r="M72" s="56" t="str">
        <f t="shared" si="113"/>
        <v>(</v>
      </c>
      <c r="N72" s="57" t="str">
        <f t="shared" si="2"/>
        <v>Re</v>
      </c>
      <c r="O72" s="58" t="str">
        <f t="shared" si="114"/>
        <v>,</v>
      </c>
      <c r="P72" s="59" t="str">
        <f t="shared" si="4"/>
        <v>m</v>
      </c>
      <c r="Q72" s="60" t="str">
        <f t="shared" si="115"/>
        <v>,</v>
      </c>
      <c r="R72" s="61">
        <f t="shared" si="28"/>
        <v>22</v>
      </c>
      <c r="S72" s="56" t="str">
        <f t="shared" si="116"/>
        <v>)</v>
      </c>
      <c r="T72" s="62" t="str">
        <f t="shared" si="117"/>
        <v>(</v>
      </c>
      <c r="U72" s="63" t="str">
        <f t="shared" si="8"/>
        <v>Mi</v>
      </c>
      <c r="V72" s="64" t="str">
        <f t="shared" si="118"/>
        <v>,</v>
      </c>
      <c r="W72" s="65" t="str">
        <f t="shared" si="10"/>
        <v/>
      </c>
      <c r="X72" s="64" t="str">
        <f t="shared" si="119"/>
        <v>,</v>
      </c>
      <c r="Y72" s="64">
        <f t="shared" si="120"/>
        <v>250</v>
      </c>
      <c r="Z72" s="56" t="str">
        <f t="shared" si="121"/>
        <v>)</v>
      </c>
      <c r="AA72" s="66" t="str">
        <f t="shared" si="122"/>
        <v/>
      </c>
      <c r="AB72" s="57" t="str">
        <f t="shared" si="15"/>
        <v/>
      </c>
      <c r="AC72" s="67" t="str">
        <f t="shared" si="123"/>
        <v/>
      </c>
      <c r="AD72" s="59" t="str">
        <f t="shared" si="124"/>
        <v/>
      </c>
      <c r="AE72" s="68" t="str">
        <f t="shared" si="125"/>
        <v/>
      </c>
      <c r="AF72" s="61" t="str">
        <f t="shared" si="126"/>
        <v/>
      </c>
      <c r="AG72" s="61" t="str">
        <f t="shared" si="127"/>
        <v/>
      </c>
      <c r="AH72" s="69" t="str">
        <f t="shared" si="128"/>
        <v/>
      </c>
      <c r="AI72" s="70" t="str">
        <f t="shared" si="22"/>
        <v/>
      </c>
      <c r="AJ72" s="64" t="str">
        <f t="shared" si="129"/>
        <v/>
      </c>
      <c r="AK72" s="64" t="str">
        <f t="shared" si="130"/>
        <v/>
      </c>
      <c r="AL72" s="64" t="str">
        <f t="shared" si="131"/>
        <v/>
      </c>
      <c r="AM72" s="64" t="str">
        <f t="shared" si="132"/>
        <v/>
      </c>
      <c r="AN72" s="64" t="str">
        <f t="shared" si="133"/>
        <v/>
      </c>
    </row>
    <row r="73" spans="1:40" ht="25.5" thickTop="1" thickBot="1" x14ac:dyDescent="0.4">
      <c r="C73" s="113" t="s">
        <v>1069</v>
      </c>
      <c r="D73" s="112" t="s">
        <v>1029</v>
      </c>
      <c r="E73" s="52" t="s">
        <v>1012</v>
      </c>
      <c r="F73" s="53"/>
      <c r="G73" s="53"/>
      <c r="H73" s="52"/>
      <c r="I73" s="52"/>
      <c r="J73" s="54"/>
      <c r="K73" s="54"/>
      <c r="L73" s="78" t="str">
        <f t="shared" si="112"/>
        <v xml:space="preserve">            { line: "pues el Hijo del hombre ha venido, (Re,m,22)", sC: ""},</v>
      </c>
      <c r="M73" s="56" t="str">
        <f t="shared" si="113"/>
        <v>(</v>
      </c>
      <c r="N73" s="57" t="str">
        <f t="shared" si="2"/>
        <v>Re</v>
      </c>
      <c r="O73" s="58" t="str">
        <f t="shared" si="114"/>
        <v>,</v>
      </c>
      <c r="P73" s="59" t="str">
        <f t="shared" si="4"/>
        <v>m</v>
      </c>
      <c r="Q73" s="60" t="str">
        <f t="shared" si="115"/>
        <v>,</v>
      </c>
      <c r="R73" s="61">
        <f t="shared" si="28"/>
        <v>22</v>
      </c>
      <c r="S73" s="56" t="str">
        <f t="shared" si="116"/>
        <v>)</v>
      </c>
      <c r="T73" s="62" t="str">
        <f t="shared" si="117"/>
        <v/>
      </c>
      <c r="U73" s="63" t="str">
        <f t="shared" si="8"/>
        <v/>
      </c>
      <c r="V73" s="64" t="str">
        <f t="shared" si="118"/>
        <v/>
      </c>
      <c r="W73" s="65" t="str">
        <f t="shared" si="10"/>
        <v/>
      </c>
      <c r="X73" s="64" t="str">
        <f t="shared" si="119"/>
        <v/>
      </c>
      <c r="Y73" s="64" t="str">
        <f t="shared" si="120"/>
        <v/>
      </c>
      <c r="Z73" s="56" t="str">
        <f t="shared" si="121"/>
        <v/>
      </c>
      <c r="AA73" s="66" t="str">
        <f t="shared" si="122"/>
        <v/>
      </c>
      <c r="AB73" s="57" t="str">
        <f t="shared" si="15"/>
        <v/>
      </c>
      <c r="AC73" s="67" t="str">
        <f t="shared" si="123"/>
        <v/>
      </c>
      <c r="AD73" s="59" t="str">
        <f t="shared" si="124"/>
        <v/>
      </c>
      <c r="AE73" s="68" t="str">
        <f t="shared" si="125"/>
        <v/>
      </c>
      <c r="AF73" s="61" t="str">
        <f t="shared" si="126"/>
        <v/>
      </c>
      <c r="AG73" s="61" t="str">
        <f t="shared" si="127"/>
        <v/>
      </c>
      <c r="AH73" s="69" t="str">
        <f t="shared" si="128"/>
        <v/>
      </c>
      <c r="AI73" s="70" t="str">
        <f t="shared" si="22"/>
        <v/>
      </c>
      <c r="AJ73" s="64" t="str">
        <f t="shared" si="129"/>
        <v/>
      </c>
      <c r="AK73" s="64" t="str">
        <f t="shared" si="130"/>
        <v/>
      </c>
      <c r="AL73" s="64" t="str">
        <f t="shared" si="131"/>
        <v/>
      </c>
      <c r="AM73" s="64" t="str">
        <f t="shared" si="132"/>
        <v/>
      </c>
      <c r="AN73" s="64" t="str">
        <f t="shared" si="133"/>
        <v/>
      </c>
    </row>
    <row r="74" spans="1:40" ht="25.5" thickTop="1" thickBot="1" x14ac:dyDescent="0.4">
      <c r="C74" s="113" t="s">
        <v>1070</v>
      </c>
      <c r="D74" s="112" t="s">
        <v>1011</v>
      </c>
      <c r="E74" s="52"/>
      <c r="F74" s="53"/>
      <c r="G74" s="53"/>
      <c r="H74" s="52"/>
      <c r="I74" s="52"/>
      <c r="J74" s="54"/>
      <c r="K74" s="54"/>
      <c r="L74" s="78" t="str">
        <f t="shared" si="112"/>
        <v xml:space="preserve">            { line: "a buscar y a salvar lo que estaba perdido»., (Mi,,20)", sC: ""},</v>
      </c>
      <c r="M74" s="56" t="str">
        <f t="shared" si="113"/>
        <v>(</v>
      </c>
      <c r="N74" s="57" t="str">
        <f t="shared" si="2"/>
        <v>Mi</v>
      </c>
      <c r="O74" s="58" t="str">
        <f t="shared" si="114"/>
        <v>,</v>
      </c>
      <c r="P74" s="59" t="str">
        <f t="shared" si="4"/>
        <v/>
      </c>
      <c r="Q74" s="60" t="str">
        <f t="shared" si="115"/>
        <v>,</v>
      </c>
      <c r="R74" s="61">
        <f t="shared" si="28"/>
        <v>20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81" si="134">IF(N76="","","(")</f>
        <v/>
      </c>
      <c r="N76" s="57" t="str">
        <f t="shared" ref="N76:N81" si="135">IF(D76="","",D76)</f>
        <v/>
      </c>
      <c r="O76" s="58" t="str">
        <f t="shared" ref="O76:O81" si="136">IF(N76="","",",")</f>
        <v/>
      </c>
      <c r="P76" s="59" t="str">
        <f t="shared" ref="P76:P81" si="137">IF(E76="","",E76)</f>
        <v/>
      </c>
      <c r="Q76" s="60" t="str">
        <f t="shared" ref="Q76:Q81" si="138">IF(N76="","",",")</f>
        <v/>
      </c>
      <c r="R76" s="61" t="str">
        <f t="shared" si="28"/>
        <v/>
      </c>
      <c r="S76" s="56" t="str">
        <f t="shared" ref="S76:S81" si="139">IF(N76="","",")")</f>
        <v/>
      </c>
      <c r="T76" s="62" t="str">
        <f t="shared" ref="T76:T81" si="140">IF(U76="","","(")</f>
        <v/>
      </c>
      <c r="U76" s="63" t="str">
        <f t="shared" ref="U76:U81" si="141">IF(F76="","",F76)</f>
        <v/>
      </c>
      <c r="V76" s="64" t="str">
        <f t="shared" ref="V76:V81" si="142">IF(U76="","",",")</f>
        <v/>
      </c>
      <c r="W76" s="65" t="str">
        <f t="shared" ref="W76:W81" si="143">IF(G76="","",G76)</f>
        <v/>
      </c>
      <c r="X76" s="64" t="str">
        <f t="shared" ref="X76:X81" si="144">IF(U76="","",",")</f>
        <v/>
      </c>
      <c r="Y76" s="64" t="str">
        <f t="shared" ref="Y76:Y81" si="145">IF(U76="","",250)</f>
        <v/>
      </c>
      <c r="Z76" s="56" t="str">
        <f t="shared" ref="Z76:Z81" si="146">IF(U76="","",")")</f>
        <v/>
      </c>
      <c r="AA76" s="66" t="str">
        <f t="shared" ref="AA76:AA81" si="147">IF(AB76="","","(")</f>
        <v/>
      </c>
      <c r="AB76" s="57" t="str">
        <f t="shared" ref="AB76:AB81" si="148">IF(H76="","",H76)</f>
        <v/>
      </c>
      <c r="AC76" s="67" t="str">
        <f t="shared" ref="AC76:AC81" si="149">IF(AB76="","",",")</f>
        <v/>
      </c>
      <c r="AD76" s="59" t="str">
        <f t="shared" ref="AD76:AD81" si="150">IF(I76="","",I76)</f>
        <v/>
      </c>
      <c r="AE76" s="68" t="str">
        <f t="shared" ref="AE76:AE81" si="151">IF(AB76="","",",")</f>
        <v/>
      </c>
      <c r="AF76" s="61" t="str">
        <f t="shared" ref="AF76:AF81" si="152">IF(AB76="","",350)</f>
        <v/>
      </c>
      <c r="AG76" s="61" t="str">
        <f t="shared" ref="AG76:AG81" si="153">IF(AB76="","",")")</f>
        <v/>
      </c>
      <c r="AH76" s="69" t="str">
        <f t="shared" ref="AH76:AH81" si="154">IF(AI76="","","(")</f>
        <v/>
      </c>
      <c r="AI76" s="70" t="str">
        <f t="shared" ref="AI76:AI81" si="155">IF(J76="","",J76)</f>
        <v/>
      </c>
      <c r="AJ76" s="64" t="str">
        <f t="shared" ref="AJ76:AJ81" si="156">IF(AI76="","",",")</f>
        <v/>
      </c>
      <c r="AK76" s="64" t="str">
        <f t="shared" ref="AK76:AK81" si="157">IF(K76="","",K76)</f>
        <v/>
      </c>
      <c r="AL76" s="64" t="str">
        <f t="shared" ref="AL76:AL81" si="158">IF(AI76="","",",")</f>
        <v/>
      </c>
      <c r="AM76" s="64" t="str">
        <f t="shared" ref="AM76:AM81" si="159">IF(AI76="","",450)</f>
        <v/>
      </c>
      <c r="AN76" s="64" t="str">
        <f t="shared" ref="AN76:AN81" si="160">IF(AI76="","",")")</f>
        <v/>
      </c>
    </row>
    <row r="77" spans="1:40" ht="25.5" thickTop="1" thickBot="1" x14ac:dyDescent="0.4">
      <c r="B77" t="s">
        <v>997</v>
      </c>
      <c r="C77" s="82" t="s">
        <v>1077</v>
      </c>
      <c r="D77" s="83" t="s">
        <v>1013</v>
      </c>
      <c r="E77" s="83" t="s">
        <v>1012</v>
      </c>
      <c r="F77" s="83"/>
      <c r="G77" s="83"/>
      <c r="H77" s="83"/>
      <c r="I77" s="83"/>
      <c r="J77" s="83"/>
      <c r="K77" s="83"/>
      <c r="L77" s="84" t="str">
        <f>IF(C77="","",_xlfn.CONCAT("       triggerLine: ","""",C77,", ",M77:AN77,""", sC: ","""",B77,""", lines: ["))</f>
        <v xml:space="preserve">       triggerLine: "HABIENDO ENTRADO JESÚS, (La,m,20)", sC: "ta as", lines: [</v>
      </c>
      <c r="M77" s="56" t="str">
        <f t="shared" si="134"/>
        <v>(</v>
      </c>
      <c r="N77" s="57" t="str">
        <f t="shared" si="135"/>
        <v>La</v>
      </c>
      <c r="O77" s="58" t="str">
        <f t="shared" si="136"/>
        <v>,</v>
      </c>
      <c r="P77" s="59" t="str">
        <f t="shared" si="137"/>
        <v>m</v>
      </c>
      <c r="Q77" s="60" t="str">
        <f t="shared" si="138"/>
        <v>,</v>
      </c>
      <c r="R77" s="61">
        <f t="shared" si="28"/>
        <v>20</v>
      </c>
      <c r="S77" s="56" t="str">
        <f t="shared" si="139"/>
        <v>)</v>
      </c>
      <c r="T77" s="62" t="str">
        <f t="shared" si="140"/>
        <v/>
      </c>
      <c r="U77" s="63" t="str">
        <f t="shared" si="141"/>
        <v/>
      </c>
      <c r="V77" s="64" t="str">
        <f t="shared" si="142"/>
        <v/>
      </c>
      <c r="W77" s="65" t="str">
        <f t="shared" si="143"/>
        <v/>
      </c>
      <c r="X77" s="64" t="str">
        <f t="shared" si="144"/>
        <v/>
      </c>
      <c r="Y77" s="64" t="str">
        <f t="shared" si="145"/>
        <v/>
      </c>
      <c r="Z77" s="56" t="str">
        <f t="shared" si="146"/>
        <v/>
      </c>
      <c r="AA77" s="66" t="str">
        <f t="shared" si="147"/>
        <v/>
      </c>
      <c r="AB77" s="57" t="str">
        <f t="shared" si="148"/>
        <v/>
      </c>
      <c r="AC77" s="67" t="str">
        <f t="shared" si="149"/>
        <v/>
      </c>
      <c r="AD77" s="59" t="str">
        <f t="shared" si="150"/>
        <v/>
      </c>
      <c r="AE77" s="68" t="str">
        <f t="shared" si="151"/>
        <v/>
      </c>
      <c r="AF77" s="61" t="str">
        <f t="shared" si="152"/>
        <v/>
      </c>
      <c r="AG77" s="61" t="str">
        <f t="shared" si="153"/>
        <v/>
      </c>
      <c r="AH77" s="69" t="str">
        <f t="shared" si="154"/>
        <v/>
      </c>
      <c r="AI77" s="70" t="str">
        <f t="shared" si="155"/>
        <v/>
      </c>
      <c r="AJ77" s="64" t="str">
        <f t="shared" si="156"/>
        <v/>
      </c>
      <c r="AK77" s="64" t="str">
        <f t="shared" si="157"/>
        <v/>
      </c>
      <c r="AL77" s="64" t="str">
        <f t="shared" si="158"/>
        <v/>
      </c>
      <c r="AM77" s="64" t="str">
        <f t="shared" si="159"/>
        <v/>
      </c>
      <c r="AN77" s="64" t="str">
        <f t="shared" si="160"/>
        <v/>
      </c>
    </row>
    <row r="78" spans="1:40" ht="25.5" thickTop="1" thickBot="1" x14ac:dyDescent="0.4">
      <c r="B78" t="s">
        <v>999</v>
      </c>
      <c r="C78" s="85" t="s">
        <v>1078</v>
      </c>
      <c r="D78" s="86" t="s">
        <v>1013</v>
      </c>
      <c r="E78" s="86" t="s">
        <v>1012</v>
      </c>
      <c r="F78" s="86"/>
      <c r="G78" s="86"/>
      <c r="H78" s="87"/>
      <c r="I78" s="87"/>
      <c r="J78" s="87"/>
      <c r="K78" s="87"/>
      <c r="L78" s="88" t="str">
        <f>IF(C78="","",_xlfn.CONCAT("            { line: ","""",C78,", ",M78:AN78,""", sC: ","""",B78,"""},"))</f>
        <v xml:space="preserve">            { line: "HABIENDO ENTRADO JESÚS EN JERICÓ, (La,m,20)", sC: "as"},</v>
      </c>
      <c r="M78" s="56" t="str">
        <f t="shared" ref="M78" si="161">IF(N78="","","(")</f>
        <v>(</v>
      </c>
      <c r="N78" s="57" t="str">
        <f t="shared" ref="N78" si="162">IF(D78="","",D78)</f>
        <v>La</v>
      </c>
      <c r="O78" s="58" t="str">
        <f t="shared" ref="O78" si="163">IF(N78="","",",")</f>
        <v>,</v>
      </c>
      <c r="P78" s="59" t="str">
        <f t="shared" ref="P78" si="164">IF(E78="","",E78)</f>
        <v>m</v>
      </c>
      <c r="Q78" s="60" t="str">
        <f t="shared" ref="Q78" si="165">IF(N78="","",",")</f>
        <v>,</v>
      </c>
      <c r="R78" s="61">
        <f t="shared" ref="R78" si="166">IF(N78="Do",10,IF(N78="Re",22,IF(N78="Mi",20,IF(N78="Fa",20,IF(N78="Sol",14,IF(N78="La",20,IF(N78="Si",20,IF(N78="Do#",14,IF(N78="Fa#",15,IF(N78="Sol#",20,""))))))))))</f>
        <v>20</v>
      </c>
      <c r="S78" s="56" t="str">
        <f t="shared" ref="S78" si="167">IF(N78="","",")")</f>
        <v>)</v>
      </c>
      <c r="T78" s="62" t="str">
        <f t="shared" ref="T78" si="168">IF(U78="","","(")</f>
        <v/>
      </c>
      <c r="U78" s="63" t="str">
        <f t="shared" ref="U78" si="169">IF(F78="","",F78)</f>
        <v/>
      </c>
      <c r="V78" s="64" t="str">
        <f t="shared" ref="V78" si="170">IF(U78="","",",")</f>
        <v/>
      </c>
      <c r="W78" s="65" t="str">
        <f t="shared" ref="W78" si="171">IF(G78="","",G78)</f>
        <v/>
      </c>
      <c r="X78" s="64" t="str">
        <f t="shared" ref="X78" si="172">IF(U78="","",",")</f>
        <v/>
      </c>
      <c r="Y78" s="64" t="str">
        <f t="shared" ref="Y78" si="173">IF(U78="","",250)</f>
        <v/>
      </c>
      <c r="Z78" s="56" t="str">
        <f t="shared" ref="Z78" si="174">IF(U78="","",")")</f>
        <v/>
      </c>
      <c r="AA78" s="66" t="str">
        <f t="shared" ref="AA78" si="175">IF(AB78="","","(")</f>
        <v/>
      </c>
      <c r="AB78" s="57" t="str">
        <f t="shared" ref="AB78" si="176">IF(H78="","",H78)</f>
        <v/>
      </c>
      <c r="AC78" s="67" t="str">
        <f t="shared" ref="AC78" si="177">IF(AB78="","",",")</f>
        <v/>
      </c>
      <c r="AD78" s="59" t="str">
        <f t="shared" ref="AD78" si="178">IF(I78="","",I78)</f>
        <v/>
      </c>
      <c r="AE78" s="68" t="str">
        <f t="shared" ref="AE78" si="179">IF(AB78="","",",")</f>
        <v/>
      </c>
      <c r="AF78" s="61" t="str">
        <f t="shared" ref="AF78" si="180">IF(AB78="","",350)</f>
        <v/>
      </c>
      <c r="AG78" s="61" t="str">
        <f t="shared" ref="AG78" si="181">IF(AB78="","",")")</f>
        <v/>
      </c>
      <c r="AH78" s="69" t="str">
        <f t="shared" ref="AH78" si="182">IF(AI78="","","(")</f>
        <v/>
      </c>
      <c r="AI78" s="70" t="str">
        <f t="shared" ref="AI78" si="183">IF(J78="","",J78)</f>
        <v/>
      </c>
      <c r="AJ78" s="64" t="str">
        <f t="shared" ref="AJ78" si="184">IF(AI78="","",",")</f>
        <v/>
      </c>
      <c r="AK78" s="64" t="str">
        <f t="shared" ref="AK78" si="185">IF(K78="","",K78)</f>
        <v/>
      </c>
      <c r="AL78" s="64" t="str">
        <f t="shared" ref="AL78" si="186">IF(AI78="","",",")</f>
        <v/>
      </c>
      <c r="AM78" s="64" t="str">
        <f t="shared" ref="AM78" si="187">IF(AI78="","",450)</f>
        <v/>
      </c>
      <c r="AN78" s="64" t="str">
        <f t="shared" ref="AN78" si="188">IF(AI78="","",")")</f>
        <v/>
      </c>
    </row>
    <row r="79" spans="1:40" ht="25.5" thickTop="1" thickBot="1" x14ac:dyDescent="0.4">
      <c r="B79" t="s">
        <v>999</v>
      </c>
      <c r="C79" s="85" t="s">
        <v>1040</v>
      </c>
      <c r="D79" s="86" t="s">
        <v>1015</v>
      </c>
      <c r="E79" s="86"/>
      <c r="F79" s="86"/>
      <c r="G79" s="86"/>
      <c r="H79" s="87"/>
      <c r="I79" s="87"/>
      <c r="J79" s="87"/>
      <c r="K79" s="87"/>
      <c r="L79" s="88" t="str">
        <f>IF(C79="","",_xlfn.CONCAT("            { line: ","""",C79,", ",M79:AN79,""", sC: ","""",B79,"""},"))</f>
        <v xml:space="preserve">            { line: "ATRAVESABA LA CIUDAD,, (Sol,,14)", sC: "as"},</v>
      </c>
      <c r="M79" s="56" t="str">
        <f t="shared" si="134"/>
        <v>(</v>
      </c>
      <c r="N79" s="57" t="str">
        <f t="shared" si="135"/>
        <v>Sol</v>
      </c>
      <c r="O79" s="58" t="str">
        <f t="shared" si="136"/>
        <v>,</v>
      </c>
      <c r="P79" s="59" t="str">
        <f t="shared" si="137"/>
        <v/>
      </c>
      <c r="Q79" s="60" t="str">
        <f t="shared" si="138"/>
        <v>,</v>
      </c>
      <c r="R79" s="61">
        <f t="shared" si="28"/>
        <v>14</v>
      </c>
      <c r="S79" s="56" t="str">
        <f t="shared" si="139"/>
        <v>)</v>
      </c>
      <c r="T79" s="62" t="str">
        <f t="shared" si="140"/>
        <v/>
      </c>
      <c r="U79" s="63" t="str">
        <f t="shared" si="141"/>
        <v/>
      </c>
      <c r="V79" s="64" t="str">
        <f t="shared" si="142"/>
        <v/>
      </c>
      <c r="W79" s="65" t="str">
        <f t="shared" si="143"/>
        <v/>
      </c>
      <c r="X79" s="64" t="str">
        <f t="shared" si="144"/>
        <v/>
      </c>
      <c r="Y79" s="64" t="str">
        <f t="shared" si="145"/>
        <v/>
      </c>
      <c r="Z79" s="56" t="str">
        <f t="shared" si="146"/>
        <v/>
      </c>
      <c r="AA79" s="66" t="str">
        <f t="shared" si="147"/>
        <v/>
      </c>
      <c r="AB79" s="57" t="str">
        <f t="shared" si="148"/>
        <v/>
      </c>
      <c r="AC79" s="67" t="str">
        <f t="shared" si="149"/>
        <v/>
      </c>
      <c r="AD79" s="59" t="str">
        <f t="shared" si="150"/>
        <v/>
      </c>
      <c r="AE79" s="68" t="str">
        <f t="shared" si="151"/>
        <v/>
      </c>
      <c r="AF79" s="61" t="str">
        <f t="shared" si="152"/>
        <v/>
      </c>
      <c r="AG79" s="61" t="str">
        <f t="shared" si="153"/>
        <v/>
      </c>
      <c r="AH79" s="69" t="str">
        <f t="shared" si="154"/>
        <v/>
      </c>
      <c r="AI79" s="70" t="str">
        <f t="shared" si="155"/>
        <v/>
      </c>
      <c r="AJ79" s="64" t="str">
        <f t="shared" si="156"/>
        <v/>
      </c>
      <c r="AK79" s="64" t="str">
        <f t="shared" si="157"/>
        <v/>
      </c>
      <c r="AL79" s="64" t="str">
        <f t="shared" si="158"/>
        <v/>
      </c>
      <c r="AM79" s="64" t="str">
        <f t="shared" si="159"/>
        <v/>
      </c>
      <c r="AN79" s="64" t="str">
        <f t="shared" si="160"/>
        <v/>
      </c>
    </row>
    <row r="80" spans="1:40" ht="25.5" thickTop="1" thickBot="1" x14ac:dyDescent="0.4">
      <c r="B80" t="s">
        <v>999</v>
      </c>
      <c r="C80" s="85" t="s">
        <v>1039</v>
      </c>
      <c r="D80" s="89" t="s">
        <v>1032</v>
      </c>
      <c r="E80" s="89"/>
      <c r="F80" s="89"/>
      <c r="G80" s="89"/>
      <c r="H80" s="90"/>
      <c r="I80" s="90"/>
      <c r="J80" s="90"/>
      <c r="K80" s="90"/>
      <c r="L80" s="88" t="str">
        <f>IF(C80="","",_xlfn.CONCAT("            { line: ","""",C80,", ",M80:AN80,""", sC: ","""",B80,"""},"))</f>
        <v xml:space="preserve">            { line: "HABIENDO ENTRADO JESÚS EN JERICÓ,, (Fa,,20)", sC: "as"},</v>
      </c>
      <c r="M80" s="56" t="str">
        <f t="shared" si="134"/>
        <v>(</v>
      </c>
      <c r="N80" s="57" t="str">
        <f t="shared" si="135"/>
        <v>Fa</v>
      </c>
      <c r="O80" s="58" t="str">
        <f t="shared" si="136"/>
        <v>,</v>
      </c>
      <c r="P80" s="59" t="str">
        <f t="shared" si="137"/>
        <v/>
      </c>
      <c r="Q80" s="60" t="str">
        <f t="shared" si="138"/>
        <v>,</v>
      </c>
      <c r="R80" s="61">
        <f t="shared" si="28"/>
        <v>20</v>
      </c>
      <c r="S80" s="56" t="str">
        <f t="shared" si="139"/>
        <v>)</v>
      </c>
      <c r="T80" s="62" t="str">
        <f t="shared" si="140"/>
        <v/>
      </c>
      <c r="U80" s="63" t="str">
        <f t="shared" si="141"/>
        <v/>
      </c>
      <c r="V80" s="64" t="str">
        <f t="shared" si="142"/>
        <v/>
      </c>
      <c r="W80" s="65" t="str">
        <f t="shared" si="143"/>
        <v/>
      </c>
      <c r="X80" s="64" t="str">
        <f t="shared" si="144"/>
        <v/>
      </c>
      <c r="Y80" s="64" t="str">
        <f t="shared" si="145"/>
        <v/>
      </c>
      <c r="Z80" s="56" t="str">
        <f t="shared" si="146"/>
        <v/>
      </c>
      <c r="AA80" s="66" t="str">
        <f t="shared" si="147"/>
        <v/>
      </c>
      <c r="AB80" s="57" t="str">
        <f t="shared" si="148"/>
        <v/>
      </c>
      <c r="AC80" s="67" t="str">
        <f t="shared" si="149"/>
        <v/>
      </c>
      <c r="AD80" s="59" t="str">
        <f t="shared" si="150"/>
        <v/>
      </c>
      <c r="AE80" s="68" t="str">
        <f t="shared" si="151"/>
        <v/>
      </c>
      <c r="AF80" s="61" t="str">
        <f t="shared" si="152"/>
        <v/>
      </c>
      <c r="AG80" s="61" t="str">
        <f t="shared" si="153"/>
        <v/>
      </c>
      <c r="AH80" s="69" t="str">
        <f t="shared" si="154"/>
        <v/>
      </c>
      <c r="AI80" s="70" t="str">
        <f t="shared" si="155"/>
        <v/>
      </c>
      <c r="AJ80" s="64" t="str">
        <f t="shared" si="156"/>
        <v/>
      </c>
      <c r="AK80" s="64" t="str">
        <f t="shared" si="157"/>
        <v/>
      </c>
      <c r="AL80" s="64" t="str">
        <f t="shared" si="158"/>
        <v/>
      </c>
      <c r="AM80" s="64" t="str">
        <f t="shared" si="159"/>
        <v/>
      </c>
      <c r="AN80" s="64" t="str">
        <f t="shared" si="160"/>
        <v/>
      </c>
    </row>
    <row r="81" spans="1:40" ht="25.5" thickTop="1" thickBot="1" x14ac:dyDescent="0.4">
      <c r="B81" t="s">
        <v>999</v>
      </c>
      <c r="C81" s="93" t="s">
        <v>1041</v>
      </c>
      <c r="D81" s="83" t="s">
        <v>1011</v>
      </c>
      <c r="E81" s="83"/>
      <c r="F81" s="83"/>
      <c r="G81" s="83"/>
      <c r="H81" s="83"/>
      <c r="I81" s="83"/>
      <c r="J81" s="83"/>
      <c r="K81" s="83"/>
      <c r="L81" s="94" t="str">
        <f>IF(C81="","",_xlfn.CONCAT("            { line: ","""",C81,", ",M81:AN81,""", sC: ","""",B81,"""},  ]},"))</f>
        <v xml:space="preserve">            { line: "ATRAVESABA LA CIUDAD., (Mi,,20)", sC: "as"},  ]},</v>
      </c>
      <c r="M81" s="56" t="str">
        <f t="shared" si="134"/>
        <v>(</v>
      </c>
      <c r="N81" s="57" t="str">
        <f t="shared" si="135"/>
        <v>Mi</v>
      </c>
      <c r="O81" s="58" t="str">
        <f t="shared" si="136"/>
        <v>,</v>
      </c>
      <c r="P81" s="59" t="str">
        <f t="shared" si="137"/>
        <v/>
      </c>
      <c r="Q81" s="60" t="str">
        <f t="shared" si="138"/>
        <v>,</v>
      </c>
      <c r="R81" s="61">
        <f t="shared" si="28"/>
        <v>20</v>
      </c>
      <c r="S81" s="56" t="str">
        <f t="shared" si="139"/>
        <v>)</v>
      </c>
      <c r="T81" s="62" t="str">
        <f t="shared" si="140"/>
        <v/>
      </c>
      <c r="U81" s="63" t="str">
        <f t="shared" si="141"/>
        <v/>
      </c>
      <c r="V81" s="64" t="str">
        <f t="shared" si="142"/>
        <v/>
      </c>
      <c r="W81" s="65" t="str">
        <f t="shared" si="143"/>
        <v/>
      </c>
      <c r="X81" s="64" t="str">
        <f t="shared" si="144"/>
        <v/>
      </c>
      <c r="Y81" s="64" t="str">
        <f t="shared" si="145"/>
        <v/>
      </c>
      <c r="Z81" s="56" t="str">
        <f t="shared" si="146"/>
        <v/>
      </c>
      <c r="AA81" s="66" t="str">
        <f t="shared" si="147"/>
        <v/>
      </c>
      <c r="AB81" s="57" t="str">
        <f t="shared" si="148"/>
        <v/>
      </c>
      <c r="AC81" s="67" t="str">
        <f t="shared" si="149"/>
        <v/>
      </c>
      <c r="AD81" s="59" t="str">
        <f t="shared" si="150"/>
        <v/>
      </c>
      <c r="AE81" s="68" t="str">
        <f t="shared" si="151"/>
        <v/>
      </c>
      <c r="AF81" s="61" t="str">
        <f t="shared" si="152"/>
        <v/>
      </c>
      <c r="AG81" s="61" t="str">
        <f t="shared" si="153"/>
        <v/>
      </c>
      <c r="AH81" s="69" t="str">
        <f t="shared" si="154"/>
        <v/>
      </c>
      <c r="AI81" s="70" t="str">
        <f t="shared" si="155"/>
        <v/>
      </c>
      <c r="AJ81" s="64" t="str">
        <f t="shared" si="156"/>
        <v/>
      </c>
      <c r="AK81" s="64" t="str">
        <f t="shared" si="157"/>
        <v/>
      </c>
      <c r="AL81" s="64" t="str">
        <f t="shared" si="158"/>
        <v/>
      </c>
      <c r="AM81" s="64" t="str">
        <f t="shared" si="159"/>
        <v/>
      </c>
      <c r="AN81" s="64" t="str">
        <f t="shared" si="160"/>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ref="R82:R85" si="189">IF(N82="Do",10,IF(N82="Re",22,IF(N82="Mi",20,IF(N82="Fa",20,IF(N82="Sol",14,IF(N82="La",20,IF(N82="Si",20,IF(N82="Do#",14,IF(N82="Fa#",15,IF(N82="Sol#",20,""))))))))))</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85" si="190">IF(N83="","","(")</f>
        <v/>
      </c>
      <c r="N83" s="57" t="str">
        <f t="shared" ref="N83:N85" si="191">IF(D83="","",D83)</f>
        <v/>
      </c>
      <c r="O83" s="58" t="str">
        <f t="shared" ref="O83:O85" si="192">IF(N83="","",",")</f>
        <v/>
      </c>
      <c r="P83" s="59" t="str">
        <f t="shared" ref="P83:P85" si="193">IF(E83="","",E83)</f>
        <v/>
      </c>
      <c r="Q83" s="60" t="str">
        <f t="shared" ref="Q83:Q85" si="194">IF(N83="","",",")</f>
        <v/>
      </c>
      <c r="R83" s="61" t="str">
        <f t="shared" si="189"/>
        <v/>
      </c>
      <c r="S83" s="56" t="str">
        <f t="shared" ref="S83:S85" si="195">IF(N83="","",")")</f>
        <v/>
      </c>
      <c r="T83" s="62" t="str">
        <f t="shared" ref="T83:T85" si="196">IF(U83="","","(")</f>
        <v/>
      </c>
      <c r="U83" s="63" t="str">
        <f t="shared" ref="U83:U85" si="197">IF(F83="","",F83)</f>
        <v/>
      </c>
      <c r="V83" s="64" t="str">
        <f t="shared" ref="V83:V85" si="198">IF(U83="","",",")</f>
        <v/>
      </c>
      <c r="W83" s="65" t="str">
        <f t="shared" ref="W83:W85" si="199">IF(G83="","",G83)</f>
        <v/>
      </c>
      <c r="X83" s="64" t="str">
        <f t="shared" ref="X83:X85" si="200">IF(U83="","",",")</f>
        <v/>
      </c>
      <c r="Y83" s="64" t="str">
        <f t="shared" ref="Y83:Y85" si="201">IF(U83="","",250)</f>
        <v/>
      </c>
      <c r="Z83" s="56" t="str">
        <f t="shared" ref="Z83:Z85" si="202">IF(U83="","",")")</f>
        <v/>
      </c>
      <c r="AA83" s="66" t="str">
        <f t="shared" ref="AA83:AA85" si="203">IF(AB83="","","(")</f>
        <v/>
      </c>
      <c r="AB83" s="57" t="str">
        <f t="shared" ref="AB83:AB85" si="204">IF(H83="","",H83)</f>
        <v/>
      </c>
      <c r="AC83" s="67" t="str">
        <f t="shared" ref="AC83:AC85" si="205">IF(AB83="","",",")</f>
        <v/>
      </c>
      <c r="AD83" s="59" t="str">
        <f t="shared" ref="AD83:AD85" si="206">IF(I83="","",I83)</f>
        <v/>
      </c>
      <c r="AE83" s="68" t="str">
        <f t="shared" ref="AE83:AE85" si="207">IF(AB83="","",",")</f>
        <v/>
      </c>
      <c r="AF83" s="61" t="str">
        <f t="shared" ref="AF83:AF85" si="208">IF(AB83="","",350)</f>
        <v/>
      </c>
      <c r="AG83" s="61" t="str">
        <f t="shared" ref="AG83:AG85" si="209">IF(AB83="","",")")</f>
        <v/>
      </c>
      <c r="AH83" s="69" t="str">
        <f t="shared" ref="AH83:AH85" si="210">IF(AI83="","","(")</f>
        <v/>
      </c>
      <c r="AI83" s="70" t="str">
        <f t="shared" ref="AI83:AI85" si="211">IF(J83="","",J83)</f>
        <v/>
      </c>
      <c r="AJ83" s="64" t="str">
        <f t="shared" ref="AJ83:AJ85" si="212">IF(AI83="","",",")</f>
        <v/>
      </c>
      <c r="AK83" s="64" t="str">
        <f t="shared" ref="AK83:AK85" si="213">IF(K83="","",K83)</f>
        <v/>
      </c>
      <c r="AL83" s="64" t="str">
        <f t="shared" ref="AL83:AL85" si="214">IF(AI83="","",",")</f>
        <v/>
      </c>
      <c r="AM83" s="64" t="str">
        <f t="shared" ref="AM83:AM85" si="215">IF(AI83="","",450)</f>
        <v/>
      </c>
      <c r="AN83" s="64" t="str">
        <f t="shared" ref="AN83:AN85" si="216">IF(AI83="","",")")</f>
        <v/>
      </c>
    </row>
    <row r="84" spans="1:40" ht="25.5" thickTop="1" thickBot="1" x14ac:dyDescent="0.4">
      <c r="B84" t="s">
        <v>997</v>
      </c>
      <c r="C84" s="82" t="s">
        <v>1066</v>
      </c>
      <c r="D84" s="83" t="s">
        <v>1013</v>
      </c>
      <c r="E84" s="83" t="s">
        <v>1012</v>
      </c>
      <c r="F84" s="83" t="s">
        <v>1015</v>
      </c>
      <c r="G84" s="83"/>
      <c r="H84" s="83"/>
      <c r="I84" s="83"/>
      <c r="J84" s="83"/>
      <c r="K84" s="83"/>
      <c r="L84" s="84" t="str">
        <f>IF(C84="","",_xlfn.CONCAT("       triggerLine: ","""",C84,", ",M84:AN84,""", sC: ","""",B84,""", lines: ["))</f>
        <v xml:space="preserve">       triggerLine: "HOY HA LLEGADO LA SALVACIÓN A ESTA CASA,, (La,m,20)(Sol,,250)", sC: "ta as", lines: [</v>
      </c>
      <c r="M84" s="56" t="str">
        <f t="shared" si="190"/>
        <v>(</v>
      </c>
      <c r="N84" s="57" t="str">
        <f t="shared" si="191"/>
        <v>La</v>
      </c>
      <c r="O84" s="58" t="str">
        <f t="shared" si="192"/>
        <v>,</v>
      </c>
      <c r="P84" s="59" t="str">
        <f t="shared" si="193"/>
        <v>m</v>
      </c>
      <c r="Q84" s="60" t="str">
        <f t="shared" si="194"/>
        <v>,</v>
      </c>
      <c r="R84" s="61">
        <f t="shared" si="189"/>
        <v>20</v>
      </c>
      <c r="S84" s="56" t="str">
        <f t="shared" si="195"/>
        <v>)</v>
      </c>
      <c r="T84" s="62" t="str">
        <f t="shared" si="196"/>
        <v>(</v>
      </c>
      <c r="U84" s="63" t="str">
        <f t="shared" si="197"/>
        <v>Sol</v>
      </c>
      <c r="V84" s="64" t="str">
        <f t="shared" si="198"/>
        <v>,</v>
      </c>
      <c r="W84" s="65" t="str">
        <f t="shared" si="199"/>
        <v/>
      </c>
      <c r="X84" s="64" t="str">
        <f t="shared" si="200"/>
        <v>,</v>
      </c>
      <c r="Y84" s="64">
        <f t="shared" si="201"/>
        <v>250</v>
      </c>
      <c r="Z84" s="56" t="str">
        <f t="shared" si="202"/>
        <v>)</v>
      </c>
      <c r="AA84" s="66" t="str">
        <f t="shared" si="203"/>
        <v/>
      </c>
      <c r="AB84" s="57" t="str">
        <f t="shared" si="204"/>
        <v/>
      </c>
      <c r="AC84" s="67" t="str">
        <f t="shared" si="205"/>
        <v/>
      </c>
      <c r="AD84" s="59" t="str">
        <f t="shared" si="206"/>
        <v/>
      </c>
      <c r="AE84" s="68" t="str">
        <f t="shared" si="207"/>
        <v/>
      </c>
      <c r="AF84" s="61" t="str">
        <f t="shared" si="208"/>
        <v/>
      </c>
      <c r="AG84" s="61" t="str">
        <f t="shared" si="209"/>
        <v/>
      </c>
      <c r="AH84" s="69" t="str">
        <f t="shared" si="210"/>
        <v/>
      </c>
      <c r="AI84" s="70" t="str">
        <f t="shared" si="211"/>
        <v/>
      </c>
      <c r="AJ84" s="64" t="str">
        <f t="shared" si="212"/>
        <v/>
      </c>
      <c r="AK84" s="64" t="str">
        <f t="shared" si="213"/>
        <v/>
      </c>
      <c r="AL84" s="64" t="str">
        <f t="shared" si="214"/>
        <v/>
      </c>
      <c r="AM84" s="64" t="str">
        <f t="shared" si="215"/>
        <v/>
      </c>
      <c r="AN84" s="64" t="str">
        <f t="shared" si="216"/>
        <v/>
      </c>
    </row>
    <row r="85" spans="1:40" ht="25.5" thickTop="1" thickBot="1" x14ac:dyDescent="0.4">
      <c r="B85" t="s">
        <v>999</v>
      </c>
      <c r="C85" s="93" t="s">
        <v>1067</v>
      </c>
      <c r="D85" s="83" t="s">
        <v>1032</v>
      </c>
      <c r="E85" s="83"/>
      <c r="F85" s="83" t="s">
        <v>1011</v>
      </c>
      <c r="G85" s="83"/>
      <c r="H85" s="83"/>
      <c r="I85" s="83"/>
      <c r="J85" s="83"/>
      <c r="K85" s="83"/>
      <c r="L85" s="94" t="str">
        <f>IF(C85="","",_xlfn.CONCAT("            { line: ","""",C85,", ",M85:AN85,""", sC: ","""",B85,"""},  ]},"))</f>
        <v xml:space="preserve">            { line: "HOY HA LLEGADO LA SALVACIÓN A ESTA CASA»., (Fa,,20)(Mi,,250)", sC: "as"},  ]},</v>
      </c>
      <c r="M85" s="56" t="str">
        <f t="shared" si="190"/>
        <v>(</v>
      </c>
      <c r="N85" s="57" t="str">
        <f t="shared" si="191"/>
        <v>Fa</v>
      </c>
      <c r="O85" s="58" t="str">
        <f t="shared" si="192"/>
        <v>,</v>
      </c>
      <c r="P85" s="59" t="str">
        <f t="shared" si="193"/>
        <v/>
      </c>
      <c r="Q85" s="60" t="str">
        <f t="shared" si="194"/>
        <v>,</v>
      </c>
      <c r="R85" s="61">
        <f t="shared" si="189"/>
        <v>20</v>
      </c>
      <c r="S85" s="56" t="str">
        <f t="shared" si="195"/>
        <v>)</v>
      </c>
      <c r="T85" s="62" t="str">
        <f t="shared" si="196"/>
        <v>(</v>
      </c>
      <c r="U85" s="63" t="str">
        <f t="shared" si="197"/>
        <v>Mi</v>
      </c>
      <c r="V85" s="64" t="str">
        <f t="shared" si="198"/>
        <v>,</v>
      </c>
      <c r="W85" s="65" t="str">
        <f t="shared" si="199"/>
        <v/>
      </c>
      <c r="X85" s="64" t="str">
        <f t="shared" si="200"/>
        <v>,</v>
      </c>
      <c r="Y85" s="64">
        <f t="shared" si="201"/>
        <v>250</v>
      </c>
      <c r="Z85" s="56" t="str">
        <f t="shared" si="202"/>
        <v>)</v>
      </c>
      <c r="AA85" s="66" t="str">
        <f t="shared" si="203"/>
        <v/>
      </c>
      <c r="AB85" s="57" t="str">
        <f t="shared" si="204"/>
        <v/>
      </c>
      <c r="AC85" s="67" t="str">
        <f t="shared" si="205"/>
        <v/>
      </c>
      <c r="AD85" s="59" t="str">
        <f t="shared" si="206"/>
        <v/>
      </c>
      <c r="AE85" s="68" t="str">
        <f t="shared" si="207"/>
        <v/>
      </c>
      <c r="AF85" s="61" t="str">
        <f t="shared" si="208"/>
        <v/>
      </c>
      <c r="AG85" s="61" t="str">
        <f t="shared" si="209"/>
        <v/>
      </c>
      <c r="AH85" s="69" t="str">
        <f t="shared" si="210"/>
        <v/>
      </c>
      <c r="AI85" s="70" t="str">
        <f t="shared" si="211"/>
        <v/>
      </c>
      <c r="AJ85" s="64" t="str">
        <f t="shared" si="212"/>
        <v/>
      </c>
      <c r="AK85" s="64" t="str">
        <f t="shared" si="213"/>
        <v/>
      </c>
      <c r="AL85" s="64" t="str">
        <f t="shared" si="214"/>
        <v/>
      </c>
      <c r="AM85" s="64" t="str">
        <f t="shared" si="215"/>
        <v/>
      </c>
      <c r="AN85" s="64" t="str">
        <f t="shared" si="216"/>
        <v/>
      </c>
    </row>
    <row r="86" spans="1:40" ht="27.75" thickTop="1" thickBot="1" x14ac:dyDescent="0.4">
      <c r="A86" s="73"/>
      <c r="B86" s="73"/>
      <c r="C86" s="73"/>
      <c r="D86" s="74"/>
      <c r="E86" s="74"/>
      <c r="F86" s="74"/>
      <c r="G86" s="74"/>
      <c r="H86" s="74"/>
      <c r="I86" s="74"/>
      <c r="J86" s="74"/>
      <c r="K86" s="74"/>
      <c r="L86" s="75" t="s">
        <v>993</v>
      </c>
      <c r="M86" s="56"/>
      <c r="N86" s="57"/>
      <c r="O86" s="58"/>
      <c r="P86" s="59"/>
      <c r="Q86" s="60"/>
      <c r="R86" s="61" t="str">
        <f t="shared" ref="R86" si="217">IF(N86="Do",10,IF(N86="Re",22,IF(N86="Mi",20,IF(N86="Fa",20,IF(N86="Sol",14,IF(N86="La",20,IF(N86="Si",20,IF(N86="Do#",14,IF(N86="Fa#",15,IF(N86="Sol#",20,""))))))))))</f>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thickTop="1" thickBot="1" x14ac:dyDescent="0.4">
      <c r="B87" t="s">
        <v>1074</v>
      </c>
      <c r="C87" s="113" t="s">
        <v>1071</v>
      </c>
      <c r="D87" s="112" t="s">
        <v>1029</v>
      </c>
      <c r="E87" s="52" t="s">
        <v>1012</v>
      </c>
      <c r="F87" s="53" t="s">
        <v>1011</v>
      </c>
      <c r="G87" s="53"/>
      <c r="H87" s="52"/>
      <c r="I87" s="52"/>
      <c r="J87" s="54"/>
      <c r="K87" s="54"/>
      <c r="L87" s="78" t="str">
        <f t="shared" ref="L87:L89" si="218">IF(C87="","",_xlfn.CONCAT("            { line: ","""",C87,", ",M87:AN87,""", sC: ","""",B87,"""},"))</f>
        <v xml:space="preserve">            { line: "Zaqueo eres tú., (Re,m,22)(Mi,,250)", sC: "t1"},</v>
      </c>
      <c r="M87" s="56" t="str">
        <f t="shared" ref="M87:M89" si="219">IF(N87="","","(")</f>
        <v>(</v>
      </c>
      <c r="N87" s="57" t="str">
        <f t="shared" ref="N87:N89" si="220">IF(D87="","",D87)</f>
        <v>Re</v>
      </c>
      <c r="O87" s="58" t="str">
        <f t="shared" ref="O87:O89" si="221">IF(N87="","",",")</f>
        <v>,</v>
      </c>
      <c r="P87" s="59" t="str">
        <f t="shared" ref="P87:P89" si="222">IF(E87="","",E87)</f>
        <v>m</v>
      </c>
      <c r="Q87" s="60" t="str">
        <f t="shared" ref="Q87:Q89" si="223">IF(N87="","",",")</f>
        <v>,</v>
      </c>
      <c r="R87" s="61">
        <f t="shared" ref="R87:R100" si="224">IF(N87="Do",10,IF(N87="Re",22,IF(N87="Mi",20,IF(N87="Fa",20,IF(N87="Sol",14,IF(N87="La",20,IF(N87="Si",20,IF(N87="Do#",14,IF(N87="Fa#",15,IF(N87="Sol#",20,""))))))))))</f>
        <v>22</v>
      </c>
      <c r="S87" s="56" t="str">
        <f t="shared" ref="S87:S89" si="225">IF(N87="","",")")</f>
        <v>)</v>
      </c>
      <c r="T87" s="62" t="str">
        <f t="shared" ref="T87:T89" si="226">IF(U87="","","(")</f>
        <v>(</v>
      </c>
      <c r="U87" s="63" t="str">
        <f t="shared" ref="U87:U89" si="227">IF(F87="","",F87)</f>
        <v>Mi</v>
      </c>
      <c r="V87" s="64" t="str">
        <f t="shared" ref="V87:V89" si="228">IF(U87="","",",")</f>
        <v>,</v>
      </c>
      <c r="W87" s="65" t="str">
        <f t="shared" ref="W87:W89" si="229">IF(G87="","",G87)</f>
        <v/>
      </c>
      <c r="X87" s="64" t="str">
        <f t="shared" ref="X87:X89" si="230">IF(U87="","",",")</f>
        <v>,</v>
      </c>
      <c r="Y87" s="64">
        <f t="shared" ref="Y87:Y89" si="231">IF(U87="","",250)</f>
        <v>250</v>
      </c>
      <c r="Z87" s="56" t="str">
        <f t="shared" ref="Z87:Z89" si="232">IF(U87="","",")")</f>
        <v>)</v>
      </c>
      <c r="AA87" s="66" t="str">
        <f t="shared" ref="AA87:AA89" si="233">IF(AB87="","","(")</f>
        <v/>
      </c>
      <c r="AB87" s="57" t="str">
        <f t="shared" ref="AB87:AB89" si="234">IF(H87="","",H87)</f>
        <v/>
      </c>
      <c r="AC87" s="67" t="str">
        <f t="shared" ref="AC87:AC89" si="235">IF(AB87="","",",")</f>
        <v/>
      </c>
      <c r="AD87" s="59" t="str">
        <f t="shared" ref="AD87:AD89" si="236">IF(I87="","",I87)</f>
        <v/>
      </c>
      <c r="AE87" s="68" t="str">
        <f t="shared" ref="AE87:AE89" si="237">IF(AB87="","",",")</f>
        <v/>
      </c>
      <c r="AF87" s="61" t="str">
        <f t="shared" ref="AF87:AF89" si="238">IF(AB87="","",350)</f>
        <v/>
      </c>
      <c r="AG87" s="61" t="str">
        <f t="shared" ref="AG87:AG89" si="239">IF(AB87="","",")")</f>
        <v/>
      </c>
      <c r="AH87" s="69" t="str">
        <f t="shared" ref="AH87:AH89" si="240">IF(AI87="","","(")</f>
        <v/>
      </c>
      <c r="AI87" s="70" t="str">
        <f t="shared" ref="AI87:AI89" si="241">IF(J87="","",J87)</f>
        <v/>
      </c>
      <c r="AJ87" s="64" t="str">
        <f t="shared" ref="AJ87:AJ89" si="242">IF(AI87="","",",")</f>
        <v/>
      </c>
      <c r="AK87" s="64" t="str">
        <f t="shared" ref="AK87:AK89" si="243">IF(K87="","",K87)</f>
        <v/>
      </c>
      <c r="AL87" s="64" t="str">
        <f t="shared" ref="AL87:AL89" si="244">IF(AI87="","",",")</f>
        <v/>
      </c>
      <c r="AM87" s="64" t="str">
        <f t="shared" ref="AM87:AM89" si="245">IF(AI87="","",450)</f>
        <v/>
      </c>
      <c r="AN87" s="64" t="str">
        <f t="shared" ref="AN87:AN89" si="246">IF(AI87="","",")")</f>
        <v/>
      </c>
    </row>
    <row r="88" spans="1:40" ht="25.5" thickTop="1" thickBot="1" x14ac:dyDescent="0.4">
      <c r="B88" t="s">
        <v>1075</v>
      </c>
      <c r="C88" s="113" t="s">
        <v>1072</v>
      </c>
      <c r="D88" s="112" t="s">
        <v>1029</v>
      </c>
      <c r="E88" s="52" t="s">
        <v>1012</v>
      </c>
      <c r="F88" s="53" t="s">
        <v>1011</v>
      </c>
      <c r="G88" s="53"/>
      <c r="H88" s="52"/>
      <c r="I88" s="52"/>
      <c r="J88" s="54"/>
      <c r="K88" s="54"/>
      <c r="L88" s="78" t="str">
        <f t="shared" si="218"/>
        <v xml:space="preserve">            { line: "Baja pronto., (Re,m,22)(Mi,,250)", sC: "r1"},</v>
      </c>
      <c r="M88" s="56" t="str">
        <f t="shared" si="219"/>
        <v>(</v>
      </c>
      <c r="N88" s="57" t="str">
        <f t="shared" si="220"/>
        <v>Re</v>
      </c>
      <c r="O88" s="58" t="str">
        <f t="shared" si="221"/>
        <v>,</v>
      </c>
      <c r="P88" s="59" t="str">
        <f t="shared" si="222"/>
        <v>m</v>
      </c>
      <c r="Q88" s="60" t="str">
        <f t="shared" si="223"/>
        <v>,</v>
      </c>
      <c r="R88" s="61">
        <f t="shared" si="224"/>
        <v>22</v>
      </c>
      <c r="S88" s="56" t="str">
        <f t="shared" si="225"/>
        <v>)</v>
      </c>
      <c r="T88" s="62" t="str">
        <f t="shared" si="226"/>
        <v>(</v>
      </c>
      <c r="U88" s="63" t="str">
        <f t="shared" si="227"/>
        <v>Mi</v>
      </c>
      <c r="V88" s="64" t="str">
        <f t="shared" si="228"/>
        <v>,</v>
      </c>
      <c r="W88" s="65" t="str">
        <f t="shared" si="229"/>
        <v/>
      </c>
      <c r="X88" s="64" t="str">
        <f t="shared" si="230"/>
        <v>,</v>
      </c>
      <c r="Y88" s="64">
        <f t="shared" si="231"/>
        <v>250</v>
      </c>
      <c r="Z88" s="56" t="str">
        <f t="shared" si="232"/>
        <v>)</v>
      </c>
      <c r="AA88" s="66" t="str">
        <f t="shared" si="233"/>
        <v/>
      </c>
      <c r="AB88" s="57" t="str">
        <f t="shared" si="234"/>
        <v/>
      </c>
      <c r="AC88" s="67" t="str">
        <f t="shared" si="235"/>
        <v/>
      </c>
      <c r="AD88" s="59" t="str">
        <f t="shared" si="236"/>
        <v/>
      </c>
      <c r="AE88" s="68" t="str">
        <f t="shared" si="237"/>
        <v/>
      </c>
      <c r="AF88" s="61" t="str">
        <f t="shared" si="238"/>
        <v/>
      </c>
      <c r="AG88" s="61" t="str">
        <f t="shared" si="239"/>
        <v/>
      </c>
      <c r="AH88" s="69" t="str">
        <f t="shared" si="240"/>
        <v/>
      </c>
      <c r="AI88" s="70" t="str">
        <f t="shared" si="241"/>
        <v/>
      </c>
      <c r="AJ88" s="64" t="str">
        <f t="shared" si="242"/>
        <v/>
      </c>
      <c r="AK88" s="64" t="str">
        <f t="shared" si="243"/>
        <v/>
      </c>
      <c r="AL88" s="64" t="str">
        <f t="shared" si="244"/>
        <v/>
      </c>
      <c r="AM88" s="64" t="str">
        <f t="shared" si="245"/>
        <v/>
      </c>
      <c r="AN88" s="64" t="str">
        <f t="shared" si="246"/>
        <v/>
      </c>
    </row>
    <row r="89" spans="1:40" ht="25.5" thickTop="1" thickBot="1" x14ac:dyDescent="0.4">
      <c r="B89" t="s">
        <v>1076</v>
      </c>
      <c r="C89" s="113" t="s">
        <v>1073</v>
      </c>
      <c r="D89" s="112" t="s">
        <v>1032</v>
      </c>
      <c r="E89" s="52"/>
      <c r="F89" s="53" t="s">
        <v>1011</v>
      </c>
      <c r="G89" s="53">
        <v>1</v>
      </c>
      <c r="H89" s="52"/>
      <c r="I89" s="52"/>
      <c r="J89" s="54"/>
      <c r="K89" s="54"/>
      <c r="L89" s="55" t="str">
        <f t="shared" si="218"/>
        <v xml:space="preserve">            { line: "Conviene que hoy entre en tu casa., (Fa,,20)(Mi,1,250)", sC: "r2"},</v>
      </c>
      <c r="M89" s="56" t="str">
        <f t="shared" si="219"/>
        <v>(</v>
      </c>
      <c r="N89" s="57" t="str">
        <f t="shared" si="220"/>
        <v>Fa</v>
      </c>
      <c r="O89" s="58" t="str">
        <f t="shared" si="221"/>
        <v>,</v>
      </c>
      <c r="P89" s="59" t="str">
        <f t="shared" si="222"/>
        <v/>
      </c>
      <c r="Q89" s="60" t="str">
        <f t="shared" si="223"/>
        <v>,</v>
      </c>
      <c r="R89" s="61">
        <f t="shared" si="224"/>
        <v>20</v>
      </c>
      <c r="S89" s="56" t="str">
        <f t="shared" si="225"/>
        <v>)</v>
      </c>
      <c r="T89" s="62" t="str">
        <f t="shared" si="226"/>
        <v>(</v>
      </c>
      <c r="U89" s="63" t="str">
        <f t="shared" si="227"/>
        <v>Mi</v>
      </c>
      <c r="V89" s="64" t="str">
        <f t="shared" si="228"/>
        <v>,</v>
      </c>
      <c r="W89" s="65">
        <f t="shared" si="229"/>
        <v>1</v>
      </c>
      <c r="X89" s="64" t="str">
        <f t="shared" si="230"/>
        <v>,</v>
      </c>
      <c r="Y89" s="64">
        <f t="shared" si="231"/>
        <v>250</v>
      </c>
      <c r="Z89" s="56" t="str">
        <f t="shared" si="232"/>
        <v>)</v>
      </c>
      <c r="AA89" s="66" t="str">
        <f t="shared" si="233"/>
        <v/>
      </c>
      <c r="AB89" s="57" t="str">
        <f t="shared" si="234"/>
        <v/>
      </c>
      <c r="AC89" s="67" t="str">
        <f t="shared" si="235"/>
        <v/>
      </c>
      <c r="AD89" s="59" t="str">
        <f t="shared" si="236"/>
        <v/>
      </c>
      <c r="AE89" s="68" t="str">
        <f t="shared" si="237"/>
        <v/>
      </c>
      <c r="AF89" s="61" t="str">
        <f t="shared" si="238"/>
        <v/>
      </c>
      <c r="AG89" s="61" t="str">
        <f t="shared" si="239"/>
        <v/>
      </c>
      <c r="AH89" s="69" t="str">
        <f t="shared" si="240"/>
        <v/>
      </c>
      <c r="AI89" s="70" t="str">
        <f t="shared" si="241"/>
        <v/>
      </c>
      <c r="AJ89" s="64" t="str">
        <f t="shared" si="242"/>
        <v/>
      </c>
      <c r="AK89" s="64" t="str">
        <f t="shared" si="243"/>
        <v/>
      </c>
      <c r="AL89" s="64" t="str">
        <f t="shared" si="244"/>
        <v/>
      </c>
      <c r="AM89" s="64" t="str">
        <f t="shared" si="245"/>
        <v/>
      </c>
      <c r="AN89" s="64" t="str">
        <f t="shared" si="246"/>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24"/>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6" si="247">IF(N91="","","(")</f>
        <v/>
      </c>
      <c r="N91" s="57" t="str">
        <f t="shared" ref="N91:N96" si="248">IF(D91="","",D91)</f>
        <v/>
      </c>
      <c r="O91" s="58" t="str">
        <f t="shared" ref="O91:O96" si="249">IF(N91="","",",")</f>
        <v/>
      </c>
      <c r="P91" s="59" t="str">
        <f t="shared" ref="P91:P96" si="250">IF(E91="","",E91)</f>
        <v/>
      </c>
      <c r="Q91" s="60" t="str">
        <f t="shared" ref="Q91:Q96" si="251">IF(N91="","",",")</f>
        <v/>
      </c>
      <c r="R91" s="61" t="str">
        <f t="shared" si="224"/>
        <v/>
      </c>
      <c r="S91" s="56" t="str">
        <f t="shared" ref="S91:S96" si="252">IF(N91="","",")")</f>
        <v/>
      </c>
      <c r="T91" s="62" t="str">
        <f t="shared" ref="T91:T96" si="253">IF(U91="","","(")</f>
        <v/>
      </c>
      <c r="U91" s="63" t="str">
        <f t="shared" ref="U91:U96" si="254">IF(F91="","",F91)</f>
        <v/>
      </c>
      <c r="V91" s="64" t="str">
        <f t="shared" ref="V91:V96" si="255">IF(U91="","",",")</f>
        <v/>
      </c>
      <c r="W91" s="65" t="str">
        <f t="shared" ref="W91:W96" si="256">IF(G91="","",G91)</f>
        <v/>
      </c>
      <c r="X91" s="64" t="str">
        <f t="shared" ref="X91:X96" si="257">IF(U91="","",",")</f>
        <v/>
      </c>
      <c r="Y91" s="64" t="str">
        <f t="shared" ref="Y91:Y96" si="258">IF(U91="","",250)</f>
        <v/>
      </c>
      <c r="Z91" s="56" t="str">
        <f t="shared" ref="Z91:Z96" si="259">IF(U91="","",")")</f>
        <v/>
      </c>
      <c r="AA91" s="66" t="str">
        <f t="shared" ref="AA91:AA96" si="260">IF(AB91="","","(")</f>
        <v/>
      </c>
      <c r="AB91" s="57" t="str">
        <f t="shared" ref="AB91:AB96" si="261">IF(H91="","",H91)</f>
        <v/>
      </c>
      <c r="AC91" s="67" t="str">
        <f t="shared" ref="AC91:AC96" si="262">IF(AB91="","",",")</f>
        <v/>
      </c>
      <c r="AD91" s="59" t="str">
        <f t="shared" ref="AD91:AD96" si="263">IF(I91="","",I91)</f>
        <v/>
      </c>
      <c r="AE91" s="68" t="str">
        <f t="shared" ref="AE91:AE96" si="264">IF(AB91="","",",")</f>
        <v/>
      </c>
      <c r="AF91" s="61" t="str">
        <f t="shared" ref="AF91:AF96" si="265">IF(AB91="","",350)</f>
        <v/>
      </c>
      <c r="AG91" s="61" t="str">
        <f t="shared" ref="AG91:AG96" si="266">IF(AB91="","",")")</f>
        <v/>
      </c>
      <c r="AH91" s="69" t="str">
        <f t="shared" ref="AH91:AH96" si="267">IF(AI91="","","(")</f>
        <v/>
      </c>
      <c r="AI91" s="70" t="str">
        <f t="shared" ref="AI91:AI96" si="268">IF(J91="","",J91)</f>
        <v/>
      </c>
      <c r="AJ91" s="64" t="str">
        <f t="shared" ref="AJ91:AJ96" si="269">IF(AI91="","",",")</f>
        <v/>
      </c>
      <c r="AK91" s="64" t="str">
        <f t="shared" ref="AK91:AK96" si="270">IF(K91="","",K91)</f>
        <v/>
      </c>
      <c r="AL91" s="64" t="str">
        <f t="shared" ref="AL91:AL96" si="271">IF(AI91="","",",")</f>
        <v/>
      </c>
      <c r="AM91" s="64" t="str">
        <f t="shared" ref="AM91:AM96" si="272">IF(AI91="","",450)</f>
        <v/>
      </c>
      <c r="AN91" s="64" t="str">
        <f t="shared" ref="AN91:AN96" si="273">IF(AI91="","",")")</f>
        <v/>
      </c>
    </row>
    <row r="92" spans="1:40" ht="25.5" thickTop="1" thickBot="1" x14ac:dyDescent="0.4">
      <c r="B92" t="s">
        <v>997</v>
      </c>
      <c r="C92" s="82" t="s">
        <v>1077</v>
      </c>
      <c r="D92" s="83" t="s">
        <v>1013</v>
      </c>
      <c r="E92" s="83" t="s">
        <v>1012</v>
      </c>
      <c r="F92" s="83"/>
      <c r="G92" s="83"/>
      <c r="H92" s="83"/>
      <c r="I92" s="83"/>
      <c r="J92" s="83"/>
      <c r="K92" s="83"/>
      <c r="L92" s="84" t="str">
        <f>IF(C92="","",_xlfn.CONCAT("       triggerLine: ","""",C92,", ",M92:AN92,""", sC: ","""",B92,""", lines: ["))</f>
        <v xml:space="preserve">       triggerLine: "HABIENDO ENTRADO JESÚS, (La,m,20)", sC: "ta as", lines: [</v>
      </c>
      <c r="M92" s="56" t="str">
        <f t="shared" si="247"/>
        <v>(</v>
      </c>
      <c r="N92" s="57" t="str">
        <f t="shared" si="248"/>
        <v>La</v>
      </c>
      <c r="O92" s="58" t="str">
        <f t="shared" si="249"/>
        <v>,</v>
      </c>
      <c r="P92" s="59" t="str">
        <f t="shared" si="250"/>
        <v>m</v>
      </c>
      <c r="Q92" s="60" t="str">
        <f t="shared" si="251"/>
        <v>,</v>
      </c>
      <c r="R92" s="61">
        <f t="shared" si="224"/>
        <v>20</v>
      </c>
      <c r="S92" s="56" t="str">
        <f t="shared" si="252"/>
        <v>)</v>
      </c>
      <c r="T92" s="62" t="str">
        <f t="shared" si="253"/>
        <v/>
      </c>
      <c r="U92" s="63" t="str">
        <f t="shared" si="254"/>
        <v/>
      </c>
      <c r="V92" s="64" t="str">
        <f t="shared" si="255"/>
        <v/>
      </c>
      <c r="W92" s="65" t="str">
        <f t="shared" si="256"/>
        <v/>
      </c>
      <c r="X92" s="64" t="str">
        <f t="shared" si="257"/>
        <v/>
      </c>
      <c r="Y92" s="64" t="str">
        <f t="shared" si="258"/>
        <v/>
      </c>
      <c r="Z92" s="56" t="str">
        <f t="shared" si="259"/>
        <v/>
      </c>
      <c r="AA92" s="66" t="str">
        <f t="shared" si="260"/>
        <v/>
      </c>
      <c r="AB92" s="57" t="str">
        <f t="shared" si="261"/>
        <v/>
      </c>
      <c r="AC92" s="67" t="str">
        <f t="shared" si="262"/>
        <v/>
      </c>
      <c r="AD92" s="59" t="str">
        <f t="shared" si="263"/>
        <v/>
      </c>
      <c r="AE92" s="68" t="str">
        <f t="shared" si="264"/>
        <v/>
      </c>
      <c r="AF92" s="61" t="str">
        <f t="shared" si="265"/>
        <v/>
      </c>
      <c r="AG92" s="61" t="str">
        <f t="shared" si="266"/>
        <v/>
      </c>
      <c r="AH92" s="69" t="str">
        <f t="shared" si="267"/>
        <v/>
      </c>
      <c r="AI92" s="70" t="str">
        <f t="shared" si="268"/>
        <v/>
      </c>
      <c r="AJ92" s="64" t="str">
        <f t="shared" si="269"/>
        <v/>
      </c>
      <c r="AK92" s="64" t="str">
        <f t="shared" si="270"/>
        <v/>
      </c>
      <c r="AL92" s="64" t="str">
        <f t="shared" si="271"/>
        <v/>
      </c>
      <c r="AM92" s="64" t="str">
        <f t="shared" si="272"/>
        <v/>
      </c>
      <c r="AN92" s="64" t="str">
        <f t="shared" si="273"/>
        <v/>
      </c>
    </row>
    <row r="93" spans="1:40" ht="25.5" thickTop="1" thickBot="1" x14ac:dyDescent="0.4">
      <c r="B93" t="s">
        <v>999</v>
      </c>
      <c r="C93" s="85" t="s">
        <v>1078</v>
      </c>
      <c r="D93" s="86" t="s">
        <v>1013</v>
      </c>
      <c r="E93" s="86" t="s">
        <v>1012</v>
      </c>
      <c r="F93" s="86"/>
      <c r="G93" s="86"/>
      <c r="H93" s="87"/>
      <c r="I93" s="87"/>
      <c r="J93" s="87"/>
      <c r="K93" s="87"/>
      <c r="L93" s="88" t="str">
        <f>IF(C93="","",_xlfn.CONCAT("            { line: ","""",C93,", ",M93:AN93,""", sC: ","""",B93,"""},"))</f>
        <v xml:space="preserve">            { line: "HABIENDO ENTRADO JESÚS EN JERICÓ, (La,m,20)", sC: "as"},</v>
      </c>
      <c r="M93" s="56" t="str">
        <f t="shared" si="247"/>
        <v>(</v>
      </c>
      <c r="N93" s="57" t="str">
        <f t="shared" si="248"/>
        <v>La</v>
      </c>
      <c r="O93" s="58" t="str">
        <f t="shared" si="249"/>
        <v>,</v>
      </c>
      <c r="P93" s="59" t="str">
        <f t="shared" si="250"/>
        <v>m</v>
      </c>
      <c r="Q93" s="60" t="str">
        <f t="shared" si="251"/>
        <v>,</v>
      </c>
      <c r="R93" s="61">
        <f t="shared" si="224"/>
        <v>20</v>
      </c>
      <c r="S93" s="56" t="str">
        <f t="shared" si="252"/>
        <v>)</v>
      </c>
      <c r="T93" s="62" t="str">
        <f t="shared" si="253"/>
        <v/>
      </c>
      <c r="U93" s="63" t="str">
        <f t="shared" si="254"/>
        <v/>
      </c>
      <c r="V93" s="64" t="str">
        <f t="shared" si="255"/>
        <v/>
      </c>
      <c r="W93" s="65" t="str">
        <f t="shared" si="256"/>
        <v/>
      </c>
      <c r="X93" s="64" t="str">
        <f t="shared" si="257"/>
        <v/>
      </c>
      <c r="Y93" s="64" t="str">
        <f t="shared" si="258"/>
        <v/>
      </c>
      <c r="Z93" s="56" t="str">
        <f t="shared" si="259"/>
        <v/>
      </c>
      <c r="AA93" s="66" t="str">
        <f t="shared" si="260"/>
        <v/>
      </c>
      <c r="AB93" s="57" t="str">
        <f t="shared" si="261"/>
        <v/>
      </c>
      <c r="AC93" s="67" t="str">
        <f t="shared" si="262"/>
        <v/>
      </c>
      <c r="AD93" s="59" t="str">
        <f t="shared" si="263"/>
        <v/>
      </c>
      <c r="AE93" s="68" t="str">
        <f t="shared" si="264"/>
        <v/>
      </c>
      <c r="AF93" s="61" t="str">
        <f t="shared" si="265"/>
        <v/>
      </c>
      <c r="AG93" s="61" t="str">
        <f t="shared" si="266"/>
        <v/>
      </c>
      <c r="AH93" s="69" t="str">
        <f t="shared" si="267"/>
        <v/>
      </c>
      <c r="AI93" s="70" t="str">
        <f t="shared" si="268"/>
        <v/>
      </c>
      <c r="AJ93" s="64" t="str">
        <f t="shared" si="269"/>
        <v/>
      </c>
      <c r="AK93" s="64" t="str">
        <f t="shared" si="270"/>
        <v/>
      </c>
      <c r="AL93" s="64" t="str">
        <f t="shared" si="271"/>
        <v/>
      </c>
      <c r="AM93" s="64" t="str">
        <f t="shared" si="272"/>
        <v/>
      </c>
      <c r="AN93" s="64" t="str">
        <f t="shared" si="273"/>
        <v/>
      </c>
    </row>
    <row r="94" spans="1:40" ht="25.5" thickTop="1" thickBot="1" x14ac:dyDescent="0.4">
      <c r="B94" t="s">
        <v>999</v>
      </c>
      <c r="C94" s="85" t="s">
        <v>1040</v>
      </c>
      <c r="D94" s="86" t="s">
        <v>1015</v>
      </c>
      <c r="E94" s="86"/>
      <c r="F94" s="86"/>
      <c r="G94" s="86"/>
      <c r="H94" s="87"/>
      <c r="I94" s="87"/>
      <c r="J94" s="87"/>
      <c r="K94" s="87"/>
      <c r="L94" s="88" t="str">
        <f>IF(C94="","",_xlfn.CONCAT("            { line: ","""",C94,", ",M94:AN94,""", sC: ","""",B94,"""},"))</f>
        <v xml:space="preserve">            { line: "ATRAVESABA LA CIUDAD,, (Sol,,14)", sC: "as"},</v>
      </c>
      <c r="M94" s="56" t="str">
        <f t="shared" si="247"/>
        <v>(</v>
      </c>
      <c r="N94" s="57" t="str">
        <f t="shared" si="248"/>
        <v>Sol</v>
      </c>
      <c r="O94" s="58" t="str">
        <f t="shared" si="249"/>
        <v>,</v>
      </c>
      <c r="P94" s="59" t="str">
        <f t="shared" si="250"/>
        <v/>
      </c>
      <c r="Q94" s="60" t="str">
        <f t="shared" si="251"/>
        <v>,</v>
      </c>
      <c r="R94" s="61">
        <f t="shared" si="224"/>
        <v>14</v>
      </c>
      <c r="S94" s="56" t="str">
        <f t="shared" si="252"/>
        <v>)</v>
      </c>
      <c r="T94" s="62" t="str">
        <f t="shared" si="253"/>
        <v/>
      </c>
      <c r="U94" s="63" t="str">
        <f t="shared" si="254"/>
        <v/>
      </c>
      <c r="V94" s="64" t="str">
        <f t="shared" si="255"/>
        <v/>
      </c>
      <c r="W94" s="65" t="str">
        <f t="shared" si="256"/>
        <v/>
      </c>
      <c r="X94" s="64" t="str">
        <f t="shared" si="257"/>
        <v/>
      </c>
      <c r="Y94" s="64" t="str">
        <f t="shared" si="258"/>
        <v/>
      </c>
      <c r="Z94" s="56" t="str">
        <f t="shared" si="259"/>
        <v/>
      </c>
      <c r="AA94" s="66" t="str">
        <f t="shared" si="260"/>
        <v/>
      </c>
      <c r="AB94" s="57" t="str">
        <f t="shared" si="261"/>
        <v/>
      </c>
      <c r="AC94" s="67" t="str">
        <f t="shared" si="262"/>
        <v/>
      </c>
      <c r="AD94" s="59" t="str">
        <f t="shared" si="263"/>
        <v/>
      </c>
      <c r="AE94" s="68" t="str">
        <f t="shared" si="264"/>
        <v/>
      </c>
      <c r="AF94" s="61" t="str">
        <f t="shared" si="265"/>
        <v/>
      </c>
      <c r="AG94" s="61" t="str">
        <f t="shared" si="266"/>
        <v/>
      </c>
      <c r="AH94" s="69" t="str">
        <f t="shared" si="267"/>
        <v/>
      </c>
      <c r="AI94" s="70" t="str">
        <f t="shared" si="268"/>
        <v/>
      </c>
      <c r="AJ94" s="64" t="str">
        <f t="shared" si="269"/>
        <v/>
      </c>
      <c r="AK94" s="64" t="str">
        <f t="shared" si="270"/>
        <v/>
      </c>
      <c r="AL94" s="64" t="str">
        <f t="shared" si="271"/>
        <v/>
      </c>
      <c r="AM94" s="64" t="str">
        <f t="shared" si="272"/>
        <v/>
      </c>
      <c r="AN94" s="64" t="str">
        <f t="shared" si="273"/>
        <v/>
      </c>
    </row>
    <row r="95" spans="1:40" ht="25.5" thickTop="1" thickBot="1" x14ac:dyDescent="0.4">
      <c r="B95" t="s">
        <v>999</v>
      </c>
      <c r="C95" s="85" t="s">
        <v>1039</v>
      </c>
      <c r="D95" s="89" t="s">
        <v>1032</v>
      </c>
      <c r="E95" s="89"/>
      <c r="F95" s="89"/>
      <c r="G95" s="89"/>
      <c r="H95" s="90"/>
      <c r="I95" s="90"/>
      <c r="J95" s="90"/>
      <c r="K95" s="90"/>
      <c r="L95" s="88" t="str">
        <f>IF(C95="","",_xlfn.CONCAT("            { line: ","""",C95,", ",M95:AN95,""", sC: ","""",B95,"""},"))</f>
        <v xml:space="preserve">            { line: "HABIENDO ENTRADO JESÚS EN JERICÓ,, (Fa,,20)", sC: "as"},</v>
      </c>
      <c r="M95" s="56" t="str">
        <f t="shared" si="247"/>
        <v>(</v>
      </c>
      <c r="N95" s="57" t="str">
        <f t="shared" si="248"/>
        <v>Fa</v>
      </c>
      <c r="O95" s="58" t="str">
        <f t="shared" si="249"/>
        <v>,</v>
      </c>
      <c r="P95" s="59" t="str">
        <f t="shared" si="250"/>
        <v/>
      </c>
      <c r="Q95" s="60" t="str">
        <f t="shared" si="251"/>
        <v>,</v>
      </c>
      <c r="R95" s="61">
        <f t="shared" si="224"/>
        <v>20</v>
      </c>
      <c r="S95" s="56" t="str">
        <f t="shared" si="252"/>
        <v>)</v>
      </c>
      <c r="T95" s="62" t="str">
        <f t="shared" si="253"/>
        <v/>
      </c>
      <c r="U95" s="63" t="str">
        <f t="shared" si="254"/>
        <v/>
      </c>
      <c r="V95" s="64" t="str">
        <f t="shared" si="255"/>
        <v/>
      </c>
      <c r="W95" s="65" t="str">
        <f t="shared" si="256"/>
        <v/>
      </c>
      <c r="X95" s="64" t="str">
        <f t="shared" si="257"/>
        <v/>
      </c>
      <c r="Y95" s="64" t="str">
        <f t="shared" si="258"/>
        <v/>
      </c>
      <c r="Z95" s="56" t="str">
        <f t="shared" si="259"/>
        <v/>
      </c>
      <c r="AA95" s="66" t="str">
        <f t="shared" si="260"/>
        <v/>
      </c>
      <c r="AB95" s="57" t="str">
        <f t="shared" si="261"/>
        <v/>
      </c>
      <c r="AC95" s="67" t="str">
        <f t="shared" si="262"/>
        <v/>
      </c>
      <c r="AD95" s="59" t="str">
        <f t="shared" si="263"/>
        <v/>
      </c>
      <c r="AE95" s="68" t="str">
        <f t="shared" si="264"/>
        <v/>
      </c>
      <c r="AF95" s="61" t="str">
        <f t="shared" si="265"/>
        <v/>
      </c>
      <c r="AG95" s="61" t="str">
        <f t="shared" si="266"/>
        <v/>
      </c>
      <c r="AH95" s="69" t="str">
        <f t="shared" si="267"/>
        <v/>
      </c>
      <c r="AI95" s="70" t="str">
        <f t="shared" si="268"/>
        <v/>
      </c>
      <c r="AJ95" s="64" t="str">
        <f t="shared" si="269"/>
        <v/>
      </c>
      <c r="AK95" s="64" t="str">
        <f t="shared" si="270"/>
        <v/>
      </c>
      <c r="AL95" s="64" t="str">
        <f t="shared" si="271"/>
        <v/>
      </c>
      <c r="AM95" s="64" t="str">
        <f t="shared" si="272"/>
        <v/>
      </c>
      <c r="AN95" s="64" t="str">
        <f t="shared" si="273"/>
        <v/>
      </c>
    </row>
    <row r="96" spans="1:40" ht="25.5" thickTop="1" thickBot="1" x14ac:dyDescent="0.4">
      <c r="B96" t="s">
        <v>999</v>
      </c>
      <c r="C96" s="93" t="s">
        <v>1041</v>
      </c>
      <c r="D96" s="83" t="s">
        <v>1011</v>
      </c>
      <c r="E96" s="83"/>
      <c r="F96" s="83"/>
      <c r="G96" s="83"/>
      <c r="H96" s="83"/>
      <c r="I96" s="83"/>
      <c r="J96" s="83"/>
      <c r="K96" s="83"/>
      <c r="L96" s="94" t="str">
        <f>IF(C96="","",_xlfn.CONCAT("            { line: ","""",C96,", ",M96:AN96,""", sC: ","""",B96,"""},  ]},"))</f>
        <v xml:space="preserve">            { line: "ATRAVESABA LA CIUDAD., (Mi,,20)", sC: "as"},  ]},</v>
      </c>
      <c r="M96" s="56" t="str">
        <f t="shared" si="247"/>
        <v>(</v>
      </c>
      <c r="N96" s="57" t="str">
        <f t="shared" si="248"/>
        <v>Mi</v>
      </c>
      <c r="O96" s="58" t="str">
        <f t="shared" si="249"/>
        <v>,</v>
      </c>
      <c r="P96" s="59" t="str">
        <f t="shared" si="250"/>
        <v/>
      </c>
      <c r="Q96" s="60" t="str">
        <f t="shared" si="251"/>
        <v>,</v>
      </c>
      <c r="R96" s="61">
        <f t="shared" si="224"/>
        <v>20</v>
      </c>
      <c r="S96" s="56" t="str">
        <f t="shared" si="252"/>
        <v>)</v>
      </c>
      <c r="T96" s="62" t="str">
        <f t="shared" si="253"/>
        <v/>
      </c>
      <c r="U96" s="63" t="str">
        <f t="shared" si="254"/>
        <v/>
      </c>
      <c r="V96" s="64" t="str">
        <f t="shared" si="255"/>
        <v/>
      </c>
      <c r="W96" s="65" t="str">
        <f t="shared" si="256"/>
        <v/>
      </c>
      <c r="X96" s="64" t="str">
        <f t="shared" si="257"/>
        <v/>
      </c>
      <c r="Y96" s="64" t="str">
        <f t="shared" si="258"/>
        <v/>
      </c>
      <c r="Z96" s="56" t="str">
        <f t="shared" si="259"/>
        <v/>
      </c>
      <c r="AA96" s="66" t="str">
        <f t="shared" si="260"/>
        <v/>
      </c>
      <c r="AB96" s="57" t="str">
        <f t="shared" si="261"/>
        <v/>
      </c>
      <c r="AC96" s="67" t="str">
        <f t="shared" si="262"/>
        <v/>
      </c>
      <c r="AD96" s="59" t="str">
        <f t="shared" si="263"/>
        <v/>
      </c>
      <c r="AE96" s="68" t="str">
        <f t="shared" si="264"/>
        <v/>
      </c>
      <c r="AF96" s="61" t="str">
        <f t="shared" si="265"/>
        <v/>
      </c>
      <c r="AG96" s="61" t="str">
        <f t="shared" si="266"/>
        <v/>
      </c>
      <c r="AH96" s="69" t="str">
        <f t="shared" si="267"/>
        <v/>
      </c>
      <c r="AI96" s="70" t="str">
        <f t="shared" si="268"/>
        <v/>
      </c>
      <c r="AJ96" s="64" t="str">
        <f t="shared" si="269"/>
        <v/>
      </c>
      <c r="AK96" s="64" t="str">
        <f t="shared" si="270"/>
        <v/>
      </c>
      <c r="AL96" s="64" t="str">
        <f t="shared" si="271"/>
        <v/>
      </c>
      <c r="AM96" s="64" t="str">
        <f t="shared" si="272"/>
        <v/>
      </c>
      <c r="AN96" s="64" t="str">
        <f t="shared" si="273"/>
        <v/>
      </c>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si="224"/>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0" si="274">IF(N98="","","(")</f>
        <v/>
      </c>
      <c r="N98" s="57" t="str">
        <f t="shared" ref="N98:N100" si="275">IF(D98="","",D98)</f>
        <v/>
      </c>
      <c r="O98" s="58" t="str">
        <f t="shared" ref="O98:O100" si="276">IF(N98="","",",")</f>
        <v/>
      </c>
      <c r="P98" s="59" t="str">
        <f t="shared" ref="P98:P100" si="277">IF(E98="","",E98)</f>
        <v/>
      </c>
      <c r="Q98" s="60" t="str">
        <f t="shared" ref="Q98:Q100" si="278">IF(N98="","",",")</f>
        <v/>
      </c>
      <c r="R98" s="61" t="str">
        <f t="shared" si="224"/>
        <v/>
      </c>
      <c r="S98" s="56" t="str">
        <f t="shared" ref="S98:S100" si="279">IF(N98="","",")")</f>
        <v/>
      </c>
      <c r="T98" s="62" t="str">
        <f t="shared" ref="T98:T100" si="280">IF(U98="","","(")</f>
        <v/>
      </c>
      <c r="U98" s="63" t="str">
        <f t="shared" ref="U98:U100" si="281">IF(F98="","",F98)</f>
        <v/>
      </c>
      <c r="V98" s="64" t="str">
        <f t="shared" ref="V98:V100" si="282">IF(U98="","",",")</f>
        <v/>
      </c>
      <c r="W98" s="65" t="str">
        <f t="shared" ref="W98:W100" si="283">IF(G98="","",G98)</f>
        <v/>
      </c>
      <c r="X98" s="64" t="str">
        <f t="shared" ref="X98:X100" si="284">IF(U98="","",",")</f>
        <v/>
      </c>
      <c r="Y98" s="64" t="str">
        <f t="shared" ref="Y98:Y100" si="285">IF(U98="","",250)</f>
        <v/>
      </c>
      <c r="Z98" s="56" t="str">
        <f t="shared" ref="Z98:Z100" si="286">IF(U98="","",")")</f>
        <v/>
      </c>
      <c r="AA98" s="66" t="str">
        <f t="shared" ref="AA98:AA100" si="287">IF(AB98="","","(")</f>
        <v/>
      </c>
      <c r="AB98" s="57" t="str">
        <f t="shared" ref="AB98:AB100" si="288">IF(H98="","",H98)</f>
        <v/>
      </c>
      <c r="AC98" s="67" t="str">
        <f t="shared" ref="AC98:AC100" si="289">IF(AB98="","",",")</f>
        <v/>
      </c>
      <c r="AD98" s="59" t="str">
        <f t="shared" ref="AD98:AD100" si="290">IF(I98="","",I98)</f>
        <v/>
      </c>
      <c r="AE98" s="68" t="str">
        <f t="shared" ref="AE98:AE100" si="291">IF(AB98="","",",")</f>
        <v/>
      </c>
      <c r="AF98" s="61" t="str">
        <f t="shared" ref="AF98:AF100" si="292">IF(AB98="","",350)</f>
        <v/>
      </c>
      <c r="AG98" s="61" t="str">
        <f t="shared" ref="AG98:AG100" si="293">IF(AB98="","",")")</f>
        <v/>
      </c>
      <c r="AH98" s="69" t="str">
        <f t="shared" ref="AH98:AH100" si="294">IF(AI98="","","(")</f>
        <v/>
      </c>
      <c r="AI98" s="70" t="str">
        <f t="shared" ref="AI98:AI100" si="295">IF(J98="","",J98)</f>
        <v/>
      </c>
      <c r="AJ98" s="64" t="str">
        <f t="shared" ref="AJ98:AJ100" si="296">IF(AI98="","",",")</f>
        <v/>
      </c>
      <c r="AK98" s="64" t="str">
        <f t="shared" ref="AK98:AK100" si="297">IF(K98="","",K98)</f>
        <v/>
      </c>
      <c r="AL98" s="64" t="str">
        <f t="shared" ref="AL98:AL100" si="298">IF(AI98="","",",")</f>
        <v/>
      </c>
      <c r="AM98" s="64" t="str">
        <f t="shared" ref="AM98:AM100" si="299">IF(AI98="","",450)</f>
        <v/>
      </c>
      <c r="AN98" s="64" t="str">
        <f t="shared" ref="AN98:AN100" si="300">IF(AI98="","",")")</f>
        <v/>
      </c>
    </row>
    <row r="99" spans="1:40" ht="25.5" thickTop="1" thickBot="1" x14ac:dyDescent="0.4">
      <c r="B99" t="s">
        <v>997</v>
      </c>
      <c r="C99" s="82" t="s">
        <v>1066</v>
      </c>
      <c r="D99" s="83" t="s">
        <v>1013</v>
      </c>
      <c r="E99" s="83" t="s">
        <v>1012</v>
      </c>
      <c r="F99" s="83" t="s">
        <v>1015</v>
      </c>
      <c r="G99" s="83"/>
      <c r="H99" s="83"/>
      <c r="I99" s="83"/>
      <c r="J99" s="83"/>
      <c r="K99" s="83"/>
      <c r="L99" s="84" t="str">
        <f>IF(C99="","",_xlfn.CONCAT("       triggerLine: ","""",C99,", ",M99:AN99,""", sC: ","""",B99,""", lines: ["))</f>
        <v xml:space="preserve">       triggerLine: "HOY HA LLEGADO LA SALVACIÓN A ESTA CASA,, (La,m,20)(Sol,,250)", sC: "ta as", lines: [</v>
      </c>
      <c r="M99" s="56" t="str">
        <f t="shared" si="274"/>
        <v>(</v>
      </c>
      <c r="N99" s="57" t="str">
        <f t="shared" si="275"/>
        <v>La</v>
      </c>
      <c r="O99" s="58" t="str">
        <f t="shared" si="276"/>
        <v>,</v>
      </c>
      <c r="P99" s="59" t="str">
        <f t="shared" si="277"/>
        <v>m</v>
      </c>
      <c r="Q99" s="60" t="str">
        <f t="shared" si="278"/>
        <v>,</v>
      </c>
      <c r="R99" s="61">
        <f t="shared" si="224"/>
        <v>20</v>
      </c>
      <c r="S99" s="56" t="str">
        <f t="shared" si="279"/>
        <v>)</v>
      </c>
      <c r="T99" s="62" t="str">
        <f t="shared" si="280"/>
        <v>(</v>
      </c>
      <c r="U99" s="63" t="str">
        <f t="shared" si="281"/>
        <v>Sol</v>
      </c>
      <c r="V99" s="64" t="str">
        <f t="shared" si="282"/>
        <v>,</v>
      </c>
      <c r="W99" s="65" t="str">
        <f t="shared" si="283"/>
        <v/>
      </c>
      <c r="X99" s="64" t="str">
        <f t="shared" si="284"/>
        <v>,</v>
      </c>
      <c r="Y99" s="64">
        <f t="shared" si="285"/>
        <v>250</v>
      </c>
      <c r="Z99" s="56" t="str">
        <f t="shared" si="286"/>
        <v>)</v>
      </c>
      <c r="AA99" s="66" t="str">
        <f t="shared" si="287"/>
        <v/>
      </c>
      <c r="AB99" s="57" t="str">
        <f t="shared" si="288"/>
        <v/>
      </c>
      <c r="AC99" s="67" t="str">
        <f t="shared" si="289"/>
        <v/>
      </c>
      <c r="AD99" s="59" t="str">
        <f t="shared" si="290"/>
        <v/>
      </c>
      <c r="AE99" s="68" t="str">
        <f t="shared" si="291"/>
        <v/>
      </c>
      <c r="AF99" s="61" t="str">
        <f t="shared" si="292"/>
        <v/>
      </c>
      <c r="AG99" s="61" t="str">
        <f t="shared" si="293"/>
        <v/>
      </c>
      <c r="AH99" s="69" t="str">
        <f t="shared" si="294"/>
        <v/>
      </c>
      <c r="AI99" s="70" t="str">
        <f t="shared" si="295"/>
        <v/>
      </c>
      <c r="AJ99" s="64" t="str">
        <f t="shared" si="296"/>
        <v/>
      </c>
      <c r="AK99" s="64" t="str">
        <f t="shared" si="297"/>
        <v/>
      </c>
      <c r="AL99" s="64" t="str">
        <f t="shared" si="298"/>
        <v/>
      </c>
      <c r="AM99" s="64" t="str">
        <f t="shared" si="299"/>
        <v/>
      </c>
      <c r="AN99" s="64" t="str">
        <f t="shared" si="300"/>
        <v/>
      </c>
    </row>
    <row r="100" spans="1:40" ht="25.5" thickTop="1" thickBot="1" x14ac:dyDescent="0.4">
      <c r="B100" t="s">
        <v>999</v>
      </c>
      <c r="C100" s="93" t="s">
        <v>1067</v>
      </c>
      <c r="D100" s="83" t="s">
        <v>1032</v>
      </c>
      <c r="E100" s="83"/>
      <c r="F100" s="83" t="s">
        <v>1011</v>
      </c>
      <c r="G100" s="83"/>
      <c r="H100" s="83"/>
      <c r="I100" s="83"/>
      <c r="J100" s="83"/>
      <c r="K100" s="83"/>
      <c r="L100" s="94" t="str">
        <f>IF(C100="","",_xlfn.CONCAT("            { line: ","""",C100,", ",M100:AN100,""", sC: ","""",B100,"""},  ]},"))</f>
        <v xml:space="preserve">            { line: "HOY HA LLEGADO LA SALVACIÓN A ESTA CASA»., (Fa,,20)(Mi,,250)", sC: "as"},  ]},</v>
      </c>
      <c r="M100" s="56" t="str">
        <f t="shared" si="274"/>
        <v>(</v>
      </c>
      <c r="N100" s="57" t="str">
        <f t="shared" si="275"/>
        <v>Fa</v>
      </c>
      <c r="O100" s="58" t="str">
        <f t="shared" si="276"/>
        <v>,</v>
      </c>
      <c r="P100" s="59" t="str">
        <f t="shared" si="277"/>
        <v/>
      </c>
      <c r="Q100" s="60" t="str">
        <f t="shared" si="278"/>
        <v>,</v>
      </c>
      <c r="R100" s="61">
        <f t="shared" si="224"/>
        <v>20</v>
      </c>
      <c r="S100" s="56" t="str">
        <f t="shared" si="279"/>
        <v>)</v>
      </c>
      <c r="T100" s="62" t="str">
        <f t="shared" si="280"/>
        <v>(</v>
      </c>
      <c r="U100" s="63" t="str">
        <f t="shared" si="281"/>
        <v>Mi</v>
      </c>
      <c r="V100" s="64" t="str">
        <f t="shared" si="282"/>
        <v>,</v>
      </c>
      <c r="W100" s="65" t="str">
        <f t="shared" si="283"/>
        <v/>
      </c>
      <c r="X100" s="64" t="str">
        <f t="shared" si="284"/>
        <v>,</v>
      </c>
      <c r="Y100" s="64">
        <f t="shared" si="285"/>
        <v>250</v>
      </c>
      <c r="Z100" s="56" t="str">
        <f t="shared" si="286"/>
        <v>)</v>
      </c>
      <c r="AA100" s="66" t="str">
        <f t="shared" si="287"/>
        <v/>
      </c>
      <c r="AB100" s="57" t="str">
        <f t="shared" si="288"/>
        <v/>
      </c>
      <c r="AC100" s="67" t="str">
        <f t="shared" si="289"/>
        <v/>
      </c>
      <c r="AD100" s="59" t="str">
        <f t="shared" si="290"/>
        <v/>
      </c>
      <c r="AE100" s="68" t="str">
        <f t="shared" si="291"/>
        <v/>
      </c>
      <c r="AF100" s="61" t="str">
        <f t="shared" si="292"/>
        <v/>
      </c>
      <c r="AG100" s="61" t="str">
        <f t="shared" si="293"/>
        <v/>
      </c>
      <c r="AH100" s="69" t="str">
        <f t="shared" si="294"/>
        <v/>
      </c>
      <c r="AI100" s="70" t="str">
        <f t="shared" si="295"/>
        <v/>
      </c>
      <c r="AJ100" s="64" t="str">
        <f t="shared" si="296"/>
        <v/>
      </c>
      <c r="AK100" s="64" t="str">
        <f t="shared" si="297"/>
        <v/>
      </c>
      <c r="AL100" s="64" t="str">
        <f t="shared" si="298"/>
        <v/>
      </c>
      <c r="AM100" s="64" t="str">
        <f t="shared" si="299"/>
        <v/>
      </c>
      <c r="AN100" s="64" t="str">
        <f t="shared" si="300"/>
        <v/>
      </c>
    </row>
    <row r="101" spans="1:40" ht="24" customHeight="1" x14ac:dyDescent="0.4">
      <c r="A101" s="95"/>
      <c r="B101" s="95"/>
      <c r="C101" s="95"/>
      <c r="D101" s="95"/>
      <c r="E101" s="95"/>
      <c r="F101" s="95"/>
      <c r="G101" s="95"/>
      <c r="H101" s="95"/>
      <c r="I101" s="95"/>
      <c r="J101" s="95"/>
      <c r="K101" s="95"/>
      <c r="L101" s="99" t="str">
        <f ca="1">_xlfn.CONCAT("]}, // ULTIMA LINEA DEL CANTO: ",L1)</f>
        <v>]}, // ULTIMA LINEA DEL CANTO: ZAQUEO</v>
      </c>
      <c r="M101" s="95"/>
    </row>
    <row r="102" spans="1:40" ht="20.25" x14ac:dyDescent="0.25">
      <c r="L102" s="100" t="s">
        <v>1008</v>
      </c>
      <c r="M102" s="101"/>
    </row>
    <row r="103" spans="1:40" x14ac:dyDescent="0.25">
      <c r="M10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6"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179</v>
      </c>
      <c r="E1" s="40"/>
      <c r="F1" s="40"/>
      <c r="G1" s="40"/>
      <c r="H1" s="40"/>
      <c r="I1" s="40"/>
      <c r="J1" s="40"/>
      <c r="K1" s="40"/>
      <c r="L1" s="41" t="str">
        <f ca="1">UPPER(VLOOKUP(C1,Table223[],3,FALSE))</f>
        <v>ACLAMACIONES A LA ORACIÓN DE LOS FIELES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ACLAMACIONES A LA ORACIÓN DE LOS FIELES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8" t="str">
        <f ca="1">_xlfn.CONCAT("        id: ","""",C7,"""",",")</f>
        <v xml:space="preserve">        id: "aclamacionesalaoraciondelosfieles",</v>
      </c>
    </row>
    <row r="8" spans="2:32" ht="23.25" x14ac:dyDescent="0.25">
      <c r="C8" t="str">
        <f ca="1">PROPER(L1)</f>
        <v>Aclamaciones A La Oración De Los Fieles</v>
      </c>
      <c r="L8" s="48" t="str">
        <f ca="1">_xlfn.CONCAT("        tt: ","""",C8,"""",",")</f>
        <v xml:space="preserve">        tt: "Aclamaciones A La Oración De Los Fieles",</v>
      </c>
    </row>
    <row r="9" spans="2:32" ht="23.25" x14ac:dyDescent="0.25">
      <c r="C9" t="str">
        <f ca="1">PROPER(L1)</f>
        <v>Aclamaciones A La Oración De Los Fieles</v>
      </c>
      <c r="L9" s="48" t="str">
        <f ca="1">_xlfn.CONCAT("        title: ","""",C9,"""",",")</f>
        <v xml:space="preserve">        title: "Aclamaciones A La Oración De Los Fieles",</v>
      </c>
    </row>
    <row r="10" spans="2:32" ht="23.25" x14ac:dyDescent="0.25">
      <c r="C10" t="str">
        <f ca="1">VLOOKUP(C1,Table223[],4,FALSE)</f>
        <v>Respuestas a las oraciones de los fieles, Modelo I, II, III, IV</v>
      </c>
      <c r="L10" s="48" t="str">
        <f ca="1">_xlfn.CONCAT("        ","subtitle: ","""",C10,"""",",")</f>
        <v xml:space="preserve">        subtitle: "Respuestas a las oraciones de los fieles, Modelo I, II, III, IV",</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179</v>
      </c>
      <c r="L16" s="48" t="str">
        <f ca="1">_xlfn.CONCAT("        dbno: ","""",C16,"""",",")</f>
        <v xml:space="preserve">        dbno: "179",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aclamacionesalaoraciondelosfieles</v>
      </c>
      <c r="L19" s="48" t="str">
        <f ca="1">_xlfn.CONCAT("        audioSrc: ","""https://audio.resucito.do/",C19,".mp3""",",")</f>
        <v xml:space="preserve">        audioSrc: "https://audio.resucito.do/aclamacionesalaoraciondelosfieles.mp3",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178</v>
      </c>
      <c r="C26" t="str">
        <f ca="1">VLOOKUP(B26,Table4[],13,FALSE)</f>
        <v>"/src/index.html?canto=zaqueo"</v>
      </c>
      <c r="L26" s="48" t="str">
        <f ca="1">_xlfn.CONCAT("        ant: ",C26,",")</f>
        <v xml:space="preserve">        ant: "/src/index.html?canto=zaqueo",</v>
      </c>
    </row>
    <row r="27" spans="1:40" ht="23.25" x14ac:dyDescent="0.25">
      <c r="B27">
        <f ca="1">+C1+1</f>
        <v>180</v>
      </c>
      <c r="C27" t="str">
        <f ca="1">VLOOKUP(B27,Table4[],13,FALSE)</f>
        <v>"/src/index.html?canto=aleluyainterleccional"</v>
      </c>
      <c r="L27" s="48" t="str">
        <f ca="1">_xlfn.CONCAT("        sig: ",C27,",")</f>
        <v xml:space="preserve">        sig: "/src/index.html?canto=aleluyainterleccional",</v>
      </c>
    </row>
    <row r="28" spans="1:40" ht="23.25" x14ac:dyDescent="0.25">
      <c r="L28" s="46" t="s">
        <v>991</v>
      </c>
    </row>
    <row r="29" spans="1:40" ht="36" thickBot="1" x14ac:dyDescent="0.3">
      <c r="A29" s="49"/>
      <c r="B29" s="49"/>
      <c r="C29" s="49" t="s">
        <v>1030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1030</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ACLAMACIONES A LA ORACIÓN DE LOS FIELES</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180</v>
      </c>
      <c r="E1" s="40"/>
      <c r="F1" s="40"/>
      <c r="G1" s="40"/>
      <c r="H1" s="40"/>
      <c r="I1" s="40"/>
      <c r="J1" s="40"/>
      <c r="K1" s="40"/>
      <c r="L1" s="41" t="str">
        <f ca="1">UPPER(VLOOKUP(C1,Table223[],3,FALSE))</f>
        <v>ALELUYA INTERLECCIONAL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ALELUYA INTERLECCIONAL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8" t="str">
        <f ca="1">_xlfn.CONCAT("        id: ","""",C7,"""",",")</f>
        <v xml:space="preserve">        id: "aleluyainterleccional",</v>
      </c>
    </row>
    <row r="8" spans="2:32" ht="23.25" x14ac:dyDescent="0.25">
      <c r="C8" t="str">
        <f ca="1">PROPER(L1)</f>
        <v>Aleluya Interleccional</v>
      </c>
      <c r="L8" s="48" t="str">
        <f ca="1">_xlfn.CONCAT("        tt: ","""",C8,"""",",")</f>
        <v xml:space="preserve">        tt: "Aleluya Interleccional",</v>
      </c>
    </row>
    <row r="9" spans="2:32" ht="23.25" x14ac:dyDescent="0.25">
      <c r="C9" t="str">
        <f ca="1">PROPER(L1)</f>
        <v>Aleluya Interleccional</v>
      </c>
      <c r="L9" s="48" t="str">
        <f ca="1">_xlfn.CONCAT("        title: ","""",C9,"""",",")</f>
        <v xml:space="preserve">        title: "Aleluya Interleccional",</v>
      </c>
    </row>
    <row r="10" spans="2:32" ht="23.25" x14ac:dyDescent="0.25">
      <c r="C10" t="str">
        <f ca="1">VLOOKUP(C1,Table223[],4,FALSE)</f>
        <v>Modelo I, II, III</v>
      </c>
      <c r="L10" s="48" t="str">
        <f ca="1">_xlfn.CONCAT("        ","subtitle: ","""",C10,"""",",")</f>
        <v xml:space="preserve">        subtitle: "Modelo I, II, III",</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180</v>
      </c>
      <c r="L16" s="48" t="str">
        <f ca="1">_xlfn.CONCAT("        dbno: ","""",C16,"""",",")</f>
        <v xml:space="preserve">        dbno: "180",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aleluyainterleccional</v>
      </c>
      <c r="L19" s="48" t="str">
        <f ca="1">_xlfn.CONCAT("        audioSrc: ","""/audio/",C19,".mp3""",",")</f>
        <v xml:space="preserve">        audioSrc: "/audio/aleluyainterleccional.mp3",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179</v>
      </c>
      <c r="C26" t="str">
        <f ca="1">VLOOKUP(B26,Table4[],13,FALSE)</f>
        <v>"/src/index.html?canto=aclamacionesalaoraciondelosfieles"</v>
      </c>
      <c r="L26" s="48" t="str">
        <f ca="1">_xlfn.CONCAT("        ant: ",C26,",")</f>
        <v xml:space="preserve">        ant: "/src/index.html?canto=aclamacionesalaoraciondelosfieles",</v>
      </c>
    </row>
    <row r="27" spans="1:40" ht="23.25" x14ac:dyDescent="0.25">
      <c r="B27">
        <f ca="1">+C1+1</f>
        <v>181</v>
      </c>
      <c r="C27" t="str">
        <f ca="1">VLOOKUP(B27,Table4[],13,FALSE)</f>
        <v>"/src/index.html?canto=aleluyapascual"</v>
      </c>
      <c r="L27" s="48" t="str">
        <f ca="1">_xlfn.CONCAT("        sig: ",C27,",")</f>
        <v xml:space="preserve">        sig: "/src/index.html?canto=aleluyapascual",</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ALELUYA INTERLECCIONAL</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code</vt:lpstr>
      <vt:lpstr>Indice</vt:lpstr>
      <vt:lpstr>Index</vt:lpstr>
      <vt:lpstr>Index Web</vt:lpstr>
      <vt:lpstr>cantosJS</vt:lpstr>
      <vt:lpstr>Find</vt:lpstr>
      <vt:lpstr>html</vt:lpstr>
      <vt:lpstr>ZAQUEO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2025-09-18T17:08:39Z</dcterms:modified>
</cp:coreProperties>
</file>