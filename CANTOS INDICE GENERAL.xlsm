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4.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5.xml" ContentType="application/vnd.openxmlformats-officedocument.spreadsheetml.table+xml"/>
  <Override PartName="/xl/comments3.xml" ContentType="application/vnd.openxmlformats-officedocument.spreadsheetml.comment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5E895AE9-CB0F-409C-B047-F65AC63160E6}" xr6:coauthVersionLast="47" xr6:coauthVersionMax="47" xr10:uidLastSave="{00000000-0000-0000-0000-000000000000}"/>
  <bookViews>
    <workbookView xWindow="-120" yWindow="-120" windowWidth="51840" windowHeight="21120" tabRatio="825" activeTab="8" xr2:uid="{0D11F155-520B-4420-B62A-CF367B912470}"/>
  </bookViews>
  <sheets>
    <sheet name="code" sheetId="14" r:id="rId1"/>
    <sheet name="Indice" sheetId="6" r:id="rId2"/>
    <sheet name="Aleluya" sheetId="23" r:id="rId3"/>
    <sheet name="Sheet1" sheetId="25" r:id="rId4"/>
    <sheet name="Index" sheetId="1" r:id="rId5"/>
    <sheet name="Aleluya-NoOrganizado" sheetId="22" r:id="rId6"/>
    <sheet name="Find" sheetId="5" r:id="rId7"/>
    <sheet name="Index Web" sheetId="3" r:id="rId8"/>
    <sheet name="cantosJS" sheetId="2" r:id="rId9"/>
    <sheet name="Acorde y Cejilla" sheetId="26" r:id="rId10"/>
  </sheets>
  <functionGroups builtInGroupCount="19"/>
  <definedNames>
    <definedName name="_xleta.INDEX" hidden="1" xlm="1">#NAME?</definedName>
    <definedName name="_xleta.T" hidden="1" xlm="1">#NAME?</definedName>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188" i="2" l="1"/>
  <c r="T188" i="2"/>
  <c r="S188" i="2"/>
  <c r="Q188" i="2"/>
  <c r="O188" i="2"/>
  <c r="M188" i="2"/>
  <c r="K188" i="2"/>
  <c r="I188" i="2"/>
  <c r="H188" i="2"/>
  <c r="G188" i="2"/>
  <c r="F188" i="2"/>
  <c r="D188" i="2"/>
  <c r="V188" i="2" s="1"/>
  <c r="C188" i="2"/>
  <c r="U188" i="2" s="1"/>
  <c r="C102" i="2"/>
  <c r="D240" i="2"/>
  <c r="V240" i="2" s="1"/>
  <c r="D239" i="2"/>
  <c r="V239" i="2" s="1"/>
  <c r="D238" i="2"/>
  <c r="D237" i="2"/>
  <c r="D236" i="2"/>
  <c r="V236" i="2" s="1"/>
  <c r="D235" i="2"/>
  <c r="V235" i="2" s="1"/>
  <c r="D234" i="2"/>
  <c r="V234" i="2" s="1"/>
  <c r="D233" i="2"/>
  <c r="D232" i="2"/>
  <c r="V232" i="2" s="1"/>
  <c r="D231" i="2"/>
  <c r="V231" i="2" s="1"/>
  <c r="D230" i="2"/>
  <c r="D229" i="2"/>
  <c r="D228" i="2"/>
  <c r="V228" i="2" s="1"/>
  <c r="D227" i="2"/>
  <c r="V227" i="2" s="1"/>
  <c r="D226" i="2"/>
  <c r="V226" i="2" s="1"/>
  <c r="D225" i="2"/>
  <c r="D224" i="2"/>
  <c r="V224" i="2" s="1"/>
  <c r="D223" i="2"/>
  <c r="D222" i="2"/>
  <c r="D221" i="2"/>
  <c r="D220" i="2"/>
  <c r="V220" i="2" s="1"/>
  <c r="D219" i="2"/>
  <c r="V219" i="2" s="1"/>
  <c r="D218" i="2"/>
  <c r="V218" i="2" s="1"/>
  <c r="D217" i="2"/>
  <c r="D216" i="2"/>
  <c r="V216" i="2" s="1"/>
  <c r="D215" i="2"/>
  <c r="V215" i="2" s="1"/>
  <c r="D214" i="2"/>
  <c r="D213" i="2"/>
  <c r="D212" i="2"/>
  <c r="V212" i="2" s="1"/>
  <c r="D211" i="2"/>
  <c r="V211" i="2" s="1"/>
  <c r="D210" i="2"/>
  <c r="V210" i="2" s="1"/>
  <c r="D209" i="2"/>
  <c r="D208" i="2"/>
  <c r="V208" i="2" s="1"/>
  <c r="D207" i="2"/>
  <c r="D206" i="2"/>
  <c r="D205" i="2"/>
  <c r="D204" i="2"/>
  <c r="V204" i="2" s="1"/>
  <c r="D203" i="2"/>
  <c r="V203" i="2" s="1"/>
  <c r="D202" i="2"/>
  <c r="V202" i="2" s="1"/>
  <c r="D201" i="2"/>
  <c r="D200" i="2"/>
  <c r="V200" i="2" s="1"/>
  <c r="D199" i="2"/>
  <c r="V199" i="2" s="1"/>
  <c r="D198" i="2"/>
  <c r="D197" i="2"/>
  <c r="D196" i="2"/>
  <c r="V196" i="2" s="1"/>
  <c r="D195" i="2"/>
  <c r="V195" i="2" s="1"/>
  <c r="D194" i="2"/>
  <c r="V194" i="2" s="1"/>
  <c r="D193" i="2"/>
  <c r="D192" i="2"/>
  <c r="D191" i="2"/>
  <c r="V191" i="2" s="1"/>
  <c r="D190" i="2"/>
  <c r="D189" i="2"/>
  <c r="D187" i="2"/>
  <c r="V187" i="2" s="1"/>
  <c r="D186" i="2"/>
  <c r="V186" i="2" s="1"/>
  <c r="D185" i="2"/>
  <c r="V185" i="2" s="1"/>
  <c r="D184" i="2"/>
  <c r="D183" i="2"/>
  <c r="V183" i="2" s="1"/>
  <c r="D182" i="2"/>
  <c r="V182" i="2" s="1"/>
  <c r="D181" i="2"/>
  <c r="D180" i="2"/>
  <c r="D179" i="2"/>
  <c r="D178" i="2"/>
  <c r="V178" i="2" s="1"/>
  <c r="D177" i="2"/>
  <c r="V177" i="2" s="1"/>
  <c r="D176" i="2"/>
  <c r="D175" i="2"/>
  <c r="V175" i="2" s="1"/>
  <c r="D174" i="2"/>
  <c r="V174" i="2" s="1"/>
  <c r="D173" i="2"/>
  <c r="D172" i="2"/>
  <c r="D171" i="2"/>
  <c r="V171" i="2" s="1"/>
  <c r="D170" i="2"/>
  <c r="V170" i="2" s="1"/>
  <c r="D169" i="2"/>
  <c r="V169" i="2" s="1"/>
  <c r="D168" i="2"/>
  <c r="D167" i="2"/>
  <c r="D166" i="2"/>
  <c r="V166" i="2" s="1"/>
  <c r="D165" i="2"/>
  <c r="D164" i="2"/>
  <c r="D163" i="2"/>
  <c r="V163" i="2" s="1"/>
  <c r="D162" i="2"/>
  <c r="V162" i="2" s="1"/>
  <c r="D161" i="2"/>
  <c r="V161" i="2" s="1"/>
  <c r="D160" i="2"/>
  <c r="D159" i="2"/>
  <c r="V159" i="2" s="1"/>
  <c r="D158" i="2"/>
  <c r="V158" i="2" s="1"/>
  <c r="D157" i="2"/>
  <c r="D156" i="2"/>
  <c r="D155" i="2"/>
  <c r="V155" i="2" s="1"/>
  <c r="D154" i="2"/>
  <c r="V154" i="2" s="1"/>
  <c r="D153" i="2"/>
  <c r="V153" i="2" s="1"/>
  <c r="D152" i="2"/>
  <c r="D151" i="2"/>
  <c r="V151" i="2" s="1"/>
  <c r="D150" i="2"/>
  <c r="V150" i="2" s="1"/>
  <c r="D149" i="2"/>
  <c r="D148" i="2"/>
  <c r="D147" i="2"/>
  <c r="V147" i="2" s="1"/>
  <c r="D146" i="2"/>
  <c r="V146" i="2" s="1"/>
  <c r="D145" i="2"/>
  <c r="V145" i="2" s="1"/>
  <c r="D144" i="2"/>
  <c r="D143" i="2"/>
  <c r="V143" i="2" s="1"/>
  <c r="D142" i="2"/>
  <c r="D141" i="2"/>
  <c r="D140" i="2"/>
  <c r="D139" i="2"/>
  <c r="V139" i="2" s="1"/>
  <c r="D138" i="2"/>
  <c r="V138" i="2" s="1"/>
  <c r="D137" i="2"/>
  <c r="V137" i="2" s="1"/>
  <c r="D136" i="2"/>
  <c r="D135" i="2"/>
  <c r="V135" i="2" s="1"/>
  <c r="D134" i="2"/>
  <c r="V134" i="2" s="1"/>
  <c r="D133" i="2"/>
  <c r="D132" i="2"/>
  <c r="D131" i="2"/>
  <c r="V131" i="2" s="1"/>
  <c r="D130" i="2"/>
  <c r="V130" i="2" s="1"/>
  <c r="D129" i="2"/>
  <c r="V129" i="2" s="1"/>
  <c r="D128" i="2"/>
  <c r="D127" i="2"/>
  <c r="D126" i="2"/>
  <c r="V126" i="2" s="1"/>
  <c r="D125" i="2"/>
  <c r="D124" i="2"/>
  <c r="D123" i="2"/>
  <c r="V123" i="2" s="1"/>
  <c r="D122" i="2"/>
  <c r="V122" i="2" s="1"/>
  <c r="D121" i="2"/>
  <c r="V121" i="2" s="1"/>
  <c r="D120" i="2"/>
  <c r="D119" i="2"/>
  <c r="V119" i="2" s="1"/>
  <c r="D118" i="2"/>
  <c r="V118" i="2" s="1"/>
  <c r="D117" i="2"/>
  <c r="D116" i="2"/>
  <c r="D115" i="2"/>
  <c r="V115" i="2" s="1"/>
  <c r="D114" i="2"/>
  <c r="V114" i="2" s="1"/>
  <c r="D113" i="2"/>
  <c r="V113" i="2" s="1"/>
  <c r="D112" i="2"/>
  <c r="D111" i="2"/>
  <c r="V111" i="2" s="1"/>
  <c r="D110" i="2"/>
  <c r="V110" i="2" s="1"/>
  <c r="D109" i="2"/>
  <c r="D108" i="2"/>
  <c r="D107" i="2"/>
  <c r="V107" i="2" s="1"/>
  <c r="D106" i="2"/>
  <c r="V106" i="2" s="1"/>
  <c r="D105" i="2"/>
  <c r="V105" i="2" s="1"/>
  <c r="D104" i="2"/>
  <c r="D103" i="2"/>
  <c r="V103" i="2" s="1"/>
  <c r="D102" i="2"/>
  <c r="V102" i="2" s="1"/>
  <c r="D101" i="2"/>
  <c r="D100" i="2"/>
  <c r="D99" i="2"/>
  <c r="V99" i="2" s="1"/>
  <c r="D98" i="2"/>
  <c r="V98" i="2" s="1"/>
  <c r="D97" i="2"/>
  <c r="V97" i="2" s="1"/>
  <c r="D96" i="2"/>
  <c r="D95" i="2"/>
  <c r="V95" i="2" s="1"/>
  <c r="D94" i="2"/>
  <c r="V94" i="2" s="1"/>
  <c r="D93" i="2"/>
  <c r="D92" i="2"/>
  <c r="D91" i="2"/>
  <c r="V91" i="2" s="1"/>
  <c r="D90" i="2"/>
  <c r="V90" i="2" s="1"/>
  <c r="D89" i="2"/>
  <c r="V89" i="2" s="1"/>
  <c r="D88" i="2"/>
  <c r="D87" i="2"/>
  <c r="D86" i="2"/>
  <c r="V86" i="2" s="1"/>
  <c r="D85" i="2"/>
  <c r="D84" i="2"/>
  <c r="D83" i="2"/>
  <c r="V83" i="2" s="1"/>
  <c r="D82" i="2"/>
  <c r="V82" i="2" s="1"/>
  <c r="D81" i="2"/>
  <c r="V81" i="2" s="1"/>
  <c r="D80" i="2"/>
  <c r="D79" i="2"/>
  <c r="V79" i="2" s="1"/>
  <c r="D78" i="2"/>
  <c r="V78" i="2" s="1"/>
  <c r="D77" i="2"/>
  <c r="D76" i="2"/>
  <c r="D75" i="2"/>
  <c r="V75" i="2" s="1"/>
  <c r="D74" i="2"/>
  <c r="V74" i="2" s="1"/>
  <c r="D73" i="2"/>
  <c r="V73" i="2" s="1"/>
  <c r="D72" i="2"/>
  <c r="D71" i="2"/>
  <c r="V71" i="2" s="1"/>
  <c r="D70" i="2"/>
  <c r="V70" i="2" s="1"/>
  <c r="D69" i="2"/>
  <c r="D68" i="2"/>
  <c r="D67" i="2"/>
  <c r="V67" i="2" s="1"/>
  <c r="D66" i="2"/>
  <c r="V66" i="2" s="1"/>
  <c r="D65" i="2"/>
  <c r="V65" i="2" s="1"/>
  <c r="D64" i="2"/>
  <c r="D63" i="2"/>
  <c r="V63" i="2" s="1"/>
  <c r="D62" i="2"/>
  <c r="D61" i="2"/>
  <c r="D60" i="2"/>
  <c r="D59" i="2"/>
  <c r="V59" i="2" s="1"/>
  <c r="D58" i="2"/>
  <c r="V58" i="2" s="1"/>
  <c r="D57" i="2"/>
  <c r="V57" i="2" s="1"/>
  <c r="D56" i="2"/>
  <c r="D55" i="2"/>
  <c r="V55" i="2" s="1"/>
  <c r="D54" i="2"/>
  <c r="V54" i="2" s="1"/>
  <c r="D53" i="2"/>
  <c r="D52" i="2"/>
  <c r="D51" i="2"/>
  <c r="V51" i="2" s="1"/>
  <c r="D50" i="2"/>
  <c r="V50" i="2" s="1"/>
  <c r="D49" i="2"/>
  <c r="V49" i="2" s="1"/>
  <c r="D48" i="2"/>
  <c r="D47" i="2"/>
  <c r="D46" i="2"/>
  <c r="V46" i="2" s="1"/>
  <c r="D45" i="2"/>
  <c r="D44" i="2"/>
  <c r="D43" i="2"/>
  <c r="V43" i="2" s="1"/>
  <c r="D42" i="2"/>
  <c r="V42" i="2" s="1"/>
  <c r="D41" i="2"/>
  <c r="V41" i="2" s="1"/>
  <c r="D40" i="2"/>
  <c r="D39" i="2"/>
  <c r="V39" i="2" s="1"/>
  <c r="D38" i="2"/>
  <c r="V38" i="2" s="1"/>
  <c r="D37" i="2"/>
  <c r="D36" i="2"/>
  <c r="D35" i="2"/>
  <c r="V35" i="2" s="1"/>
  <c r="D34" i="2"/>
  <c r="V34" i="2" s="1"/>
  <c r="D33" i="2"/>
  <c r="V33" i="2" s="1"/>
  <c r="D32" i="2"/>
  <c r="D31" i="2"/>
  <c r="V31" i="2" s="1"/>
  <c r="D30" i="2"/>
  <c r="V30" i="2" s="1"/>
  <c r="D29" i="2"/>
  <c r="D28" i="2"/>
  <c r="D27" i="2"/>
  <c r="V27" i="2" s="1"/>
  <c r="D26" i="2"/>
  <c r="V26" i="2" s="1"/>
  <c r="D25" i="2"/>
  <c r="V25" i="2" s="1"/>
  <c r="D24" i="2"/>
  <c r="D23" i="2"/>
  <c r="D22" i="2"/>
  <c r="V22" i="2" s="1"/>
  <c r="D21" i="2"/>
  <c r="D20" i="2"/>
  <c r="D19" i="2"/>
  <c r="V19" i="2" s="1"/>
  <c r="D18" i="2"/>
  <c r="V18" i="2" s="1"/>
  <c r="D17" i="2"/>
  <c r="V17" i="2" s="1"/>
  <c r="D16" i="2"/>
  <c r="D15" i="2"/>
  <c r="V15" i="2" s="1"/>
  <c r="D14" i="2"/>
  <c r="V14" i="2" s="1"/>
  <c r="D13" i="2"/>
  <c r="D12" i="2"/>
  <c r="D11" i="2"/>
  <c r="V11" i="2" s="1"/>
  <c r="D10" i="2"/>
  <c r="V10" i="2" s="1"/>
  <c r="D3" i="2"/>
  <c r="V3" i="2" s="1"/>
  <c r="D4" i="2"/>
  <c r="V4" i="2" s="1"/>
  <c r="D5" i="2"/>
  <c r="V5" i="2" s="1"/>
  <c r="D6" i="2"/>
  <c r="V6" i="2" s="1"/>
  <c r="D7" i="2"/>
  <c r="D8" i="2"/>
  <c r="D9" i="2"/>
  <c r="V9" i="2" s="1"/>
  <c r="V209" i="2"/>
  <c r="V217" i="2"/>
  <c r="V225" i="2"/>
  <c r="V233" i="2"/>
  <c r="C240" i="2"/>
  <c r="U240" i="2" s="1"/>
  <c r="C239" i="2"/>
  <c r="U239" i="2" s="1"/>
  <c r="C238" i="2"/>
  <c r="C237" i="2"/>
  <c r="U237" i="2" s="1"/>
  <c r="C236" i="2"/>
  <c r="C235" i="2"/>
  <c r="U235" i="2" s="1"/>
  <c r="C234" i="2"/>
  <c r="U234" i="2" s="1"/>
  <c r="C233" i="2"/>
  <c r="U233" i="2" s="1"/>
  <c r="C232" i="2"/>
  <c r="U232" i="2" s="1"/>
  <c r="C231" i="2"/>
  <c r="U231" i="2" s="1"/>
  <c r="C230" i="2"/>
  <c r="C229" i="2"/>
  <c r="U229" i="2" s="1"/>
  <c r="C228" i="2"/>
  <c r="U228" i="2" s="1"/>
  <c r="C227" i="2"/>
  <c r="U227" i="2" s="1"/>
  <c r="C226" i="2"/>
  <c r="U226" i="2" s="1"/>
  <c r="C225" i="2"/>
  <c r="U225" i="2" s="1"/>
  <c r="C224" i="2"/>
  <c r="U224" i="2" s="1"/>
  <c r="C223" i="2"/>
  <c r="U223" i="2" s="1"/>
  <c r="C222" i="2"/>
  <c r="C221" i="2"/>
  <c r="U221" i="2" s="1"/>
  <c r="C220" i="2"/>
  <c r="U220" i="2" s="1"/>
  <c r="C219" i="2"/>
  <c r="U219" i="2" s="1"/>
  <c r="C218" i="2"/>
  <c r="U218" i="2" s="1"/>
  <c r="C217" i="2"/>
  <c r="U217" i="2" s="1"/>
  <c r="C216" i="2"/>
  <c r="U216" i="2" s="1"/>
  <c r="C215" i="2"/>
  <c r="U215" i="2" s="1"/>
  <c r="C214" i="2"/>
  <c r="C213" i="2"/>
  <c r="U213" i="2" s="1"/>
  <c r="C212" i="2"/>
  <c r="U212" i="2" s="1"/>
  <c r="C211" i="2"/>
  <c r="U211" i="2" s="1"/>
  <c r="C210" i="2"/>
  <c r="U210" i="2" s="1"/>
  <c r="C209" i="2"/>
  <c r="U209" i="2" s="1"/>
  <c r="C208" i="2"/>
  <c r="U208" i="2" s="1"/>
  <c r="C207" i="2"/>
  <c r="U207" i="2" s="1"/>
  <c r="C206" i="2"/>
  <c r="C205" i="2"/>
  <c r="U205" i="2" s="1"/>
  <c r="C204" i="2"/>
  <c r="U204" i="2" s="1"/>
  <c r="C203" i="2"/>
  <c r="U203" i="2" s="1"/>
  <c r="C202" i="2"/>
  <c r="U202" i="2" s="1"/>
  <c r="C201" i="2"/>
  <c r="U201" i="2" s="1"/>
  <c r="C200" i="2"/>
  <c r="U200" i="2" s="1"/>
  <c r="C199" i="2"/>
  <c r="U199" i="2" s="1"/>
  <c r="C198" i="2"/>
  <c r="C197" i="2"/>
  <c r="U197" i="2" s="1"/>
  <c r="C196" i="2"/>
  <c r="U196" i="2" s="1"/>
  <c r="C195" i="2"/>
  <c r="U195" i="2" s="1"/>
  <c r="C194" i="2"/>
  <c r="U194" i="2" s="1"/>
  <c r="C193" i="2"/>
  <c r="U193" i="2" s="1"/>
  <c r="C192" i="2"/>
  <c r="U192" i="2" s="1"/>
  <c r="C191" i="2"/>
  <c r="U191" i="2" s="1"/>
  <c r="C190" i="2"/>
  <c r="C189" i="2"/>
  <c r="U189" i="2" s="1"/>
  <c r="C187" i="2"/>
  <c r="U187" i="2" s="1"/>
  <c r="C186" i="2"/>
  <c r="U186" i="2" s="1"/>
  <c r="C185" i="2"/>
  <c r="U185" i="2" s="1"/>
  <c r="C184" i="2"/>
  <c r="U184" i="2" s="1"/>
  <c r="C183" i="2"/>
  <c r="U183" i="2" s="1"/>
  <c r="C182" i="2"/>
  <c r="U182" i="2" s="1"/>
  <c r="C181" i="2"/>
  <c r="U181" i="2" s="1"/>
  <c r="C180" i="2"/>
  <c r="U180" i="2" s="1"/>
  <c r="C179" i="2"/>
  <c r="U179" i="2" s="1"/>
  <c r="C178" i="2"/>
  <c r="U178" i="2" s="1"/>
  <c r="C177" i="2"/>
  <c r="U177" i="2" s="1"/>
  <c r="C176" i="2"/>
  <c r="U176" i="2" s="1"/>
  <c r="C175" i="2"/>
  <c r="U175" i="2" s="1"/>
  <c r="C174" i="2"/>
  <c r="U174" i="2" s="1"/>
  <c r="C173" i="2"/>
  <c r="C172" i="2"/>
  <c r="U172" i="2" s="1"/>
  <c r="C171" i="2"/>
  <c r="U171" i="2" s="1"/>
  <c r="C170" i="2"/>
  <c r="U170" i="2" s="1"/>
  <c r="C169" i="2"/>
  <c r="U169" i="2" s="1"/>
  <c r="C168" i="2"/>
  <c r="U168" i="2" s="1"/>
  <c r="C167" i="2"/>
  <c r="U167" i="2" s="1"/>
  <c r="C166" i="2"/>
  <c r="C165" i="2"/>
  <c r="C164" i="2"/>
  <c r="U164" i="2" s="1"/>
  <c r="C163" i="2"/>
  <c r="U163" i="2" s="1"/>
  <c r="C162" i="2"/>
  <c r="U162" i="2" s="1"/>
  <c r="C161" i="2"/>
  <c r="U161" i="2" s="1"/>
  <c r="C160" i="2"/>
  <c r="U160" i="2" s="1"/>
  <c r="C159" i="2"/>
  <c r="U159" i="2" s="1"/>
  <c r="C158" i="2"/>
  <c r="U158" i="2" s="1"/>
  <c r="C157" i="2"/>
  <c r="C156" i="2"/>
  <c r="U156" i="2" s="1"/>
  <c r="C155" i="2"/>
  <c r="U155" i="2" s="1"/>
  <c r="C154" i="2"/>
  <c r="U154" i="2" s="1"/>
  <c r="C153" i="2"/>
  <c r="U153" i="2" s="1"/>
  <c r="C152" i="2"/>
  <c r="U152" i="2" s="1"/>
  <c r="C151" i="2"/>
  <c r="U151" i="2" s="1"/>
  <c r="C150" i="2"/>
  <c r="U150" i="2" s="1"/>
  <c r="C149" i="2"/>
  <c r="C148" i="2"/>
  <c r="U148" i="2" s="1"/>
  <c r="C147" i="2"/>
  <c r="U147" i="2" s="1"/>
  <c r="C146" i="2"/>
  <c r="U146" i="2" s="1"/>
  <c r="C145" i="2"/>
  <c r="U145" i="2" s="1"/>
  <c r="C144" i="2"/>
  <c r="U144" i="2" s="1"/>
  <c r="C143" i="2"/>
  <c r="U143" i="2" s="1"/>
  <c r="C142" i="2"/>
  <c r="U142" i="2" s="1"/>
  <c r="C141" i="2"/>
  <c r="C140" i="2"/>
  <c r="U140" i="2" s="1"/>
  <c r="C139" i="2"/>
  <c r="U139" i="2" s="1"/>
  <c r="C138" i="2"/>
  <c r="U138" i="2" s="1"/>
  <c r="C137" i="2"/>
  <c r="U137" i="2" s="1"/>
  <c r="C136" i="2"/>
  <c r="U136" i="2" s="1"/>
  <c r="C135" i="2"/>
  <c r="U135" i="2" s="1"/>
  <c r="C134" i="2"/>
  <c r="U134" i="2" s="1"/>
  <c r="C133" i="2"/>
  <c r="C132" i="2"/>
  <c r="U132" i="2" s="1"/>
  <c r="C131" i="2"/>
  <c r="U131" i="2" s="1"/>
  <c r="C130" i="2"/>
  <c r="U130" i="2" s="1"/>
  <c r="C129" i="2"/>
  <c r="U129" i="2" s="1"/>
  <c r="C128" i="2"/>
  <c r="U128" i="2" s="1"/>
  <c r="C127" i="2"/>
  <c r="C126" i="2"/>
  <c r="U126" i="2" s="1"/>
  <c r="C125" i="2"/>
  <c r="C124" i="2"/>
  <c r="U124" i="2" s="1"/>
  <c r="C123" i="2"/>
  <c r="U123" i="2" s="1"/>
  <c r="C122" i="2"/>
  <c r="U122" i="2" s="1"/>
  <c r="C121" i="2"/>
  <c r="U121" i="2" s="1"/>
  <c r="C120" i="2"/>
  <c r="U120" i="2" s="1"/>
  <c r="C119" i="2"/>
  <c r="U119" i="2" s="1"/>
  <c r="C118" i="2"/>
  <c r="U118" i="2" s="1"/>
  <c r="C117" i="2"/>
  <c r="U117" i="2" s="1"/>
  <c r="C116" i="2"/>
  <c r="U116" i="2" s="1"/>
  <c r="C115" i="2"/>
  <c r="U115" i="2" s="1"/>
  <c r="C114" i="2"/>
  <c r="U114" i="2" s="1"/>
  <c r="C113" i="2"/>
  <c r="U113" i="2" s="1"/>
  <c r="C112" i="2"/>
  <c r="U112" i="2" s="1"/>
  <c r="C111" i="2"/>
  <c r="U111" i="2" s="1"/>
  <c r="C110" i="2"/>
  <c r="U110" i="2" s="1"/>
  <c r="C109" i="2"/>
  <c r="C108" i="2"/>
  <c r="C107" i="2"/>
  <c r="U107" i="2" s="1"/>
  <c r="C106" i="2"/>
  <c r="U106" i="2" s="1"/>
  <c r="C105" i="2"/>
  <c r="U105" i="2" s="1"/>
  <c r="C104" i="2"/>
  <c r="U104" i="2" s="1"/>
  <c r="C103" i="2"/>
  <c r="U103" i="2" s="1"/>
  <c r="C101" i="2"/>
  <c r="U101" i="2" s="1"/>
  <c r="C100" i="2"/>
  <c r="U100" i="2" s="1"/>
  <c r="C99" i="2"/>
  <c r="U99" i="2" s="1"/>
  <c r="C98" i="2"/>
  <c r="U98" i="2" s="1"/>
  <c r="C97" i="2"/>
  <c r="U97" i="2" s="1"/>
  <c r="C96" i="2"/>
  <c r="U96" i="2" s="1"/>
  <c r="C95" i="2"/>
  <c r="U95" i="2" s="1"/>
  <c r="C94" i="2"/>
  <c r="U94" i="2" s="1"/>
  <c r="C93" i="2"/>
  <c r="U93" i="2" s="1"/>
  <c r="C92" i="2"/>
  <c r="U92" i="2" s="1"/>
  <c r="C91" i="2"/>
  <c r="U91" i="2" s="1"/>
  <c r="C90" i="2"/>
  <c r="U90" i="2" s="1"/>
  <c r="C89" i="2"/>
  <c r="U89" i="2" s="1"/>
  <c r="C88" i="2"/>
  <c r="U88" i="2" s="1"/>
  <c r="C87" i="2"/>
  <c r="U87" i="2" s="1"/>
  <c r="C86" i="2"/>
  <c r="U86" i="2" s="1"/>
  <c r="C85" i="2"/>
  <c r="U85" i="2" s="1"/>
  <c r="C84" i="2"/>
  <c r="U84" i="2" s="1"/>
  <c r="C83" i="2"/>
  <c r="U83" i="2" s="1"/>
  <c r="C82" i="2"/>
  <c r="U82" i="2" s="1"/>
  <c r="C81" i="2"/>
  <c r="U81" i="2" s="1"/>
  <c r="C80" i="2"/>
  <c r="U80" i="2" s="1"/>
  <c r="C79" i="2"/>
  <c r="U79" i="2" s="1"/>
  <c r="C78" i="2"/>
  <c r="U78" i="2" s="1"/>
  <c r="C77" i="2"/>
  <c r="U77" i="2" s="1"/>
  <c r="C76" i="2"/>
  <c r="U76" i="2" s="1"/>
  <c r="C75" i="2"/>
  <c r="U75" i="2" s="1"/>
  <c r="C74" i="2"/>
  <c r="U74" i="2" s="1"/>
  <c r="C73" i="2"/>
  <c r="U73" i="2" s="1"/>
  <c r="C72" i="2"/>
  <c r="U72" i="2" s="1"/>
  <c r="C71" i="2"/>
  <c r="U71" i="2" s="1"/>
  <c r="C70" i="2"/>
  <c r="U70" i="2" s="1"/>
  <c r="C69" i="2"/>
  <c r="U69" i="2" s="1"/>
  <c r="C68" i="2"/>
  <c r="C67" i="2"/>
  <c r="U67" i="2" s="1"/>
  <c r="C66" i="2"/>
  <c r="U66" i="2" s="1"/>
  <c r="C65" i="2"/>
  <c r="U65" i="2" s="1"/>
  <c r="C64" i="2"/>
  <c r="U64" i="2" s="1"/>
  <c r="C63" i="2"/>
  <c r="U63" i="2" s="1"/>
  <c r="C62" i="2"/>
  <c r="U62" i="2" s="1"/>
  <c r="C61" i="2"/>
  <c r="U61" i="2" s="1"/>
  <c r="C60" i="2"/>
  <c r="U60" i="2" s="1"/>
  <c r="C59" i="2"/>
  <c r="U59" i="2" s="1"/>
  <c r="C58" i="2"/>
  <c r="U58" i="2" s="1"/>
  <c r="C57" i="2"/>
  <c r="U57" i="2" s="1"/>
  <c r="C56" i="2"/>
  <c r="U56" i="2" s="1"/>
  <c r="C55" i="2"/>
  <c r="U55" i="2" s="1"/>
  <c r="C54" i="2"/>
  <c r="U54" i="2" s="1"/>
  <c r="C53" i="2"/>
  <c r="U53" i="2" s="1"/>
  <c r="C52" i="2"/>
  <c r="U52" i="2" s="1"/>
  <c r="C51" i="2"/>
  <c r="U51" i="2" s="1"/>
  <c r="C50" i="2"/>
  <c r="U50" i="2" s="1"/>
  <c r="C49" i="2"/>
  <c r="U49" i="2" s="1"/>
  <c r="C48" i="2"/>
  <c r="U48" i="2" s="1"/>
  <c r="C47" i="2"/>
  <c r="U47" i="2" s="1"/>
  <c r="C46" i="2"/>
  <c r="U46" i="2" s="1"/>
  <c r="C45" i="2"/>
  <c r="U45" i="2" s="1"/>
  <c r="C44" i="2"/>
  <c r="U44" i="2" s="1"/>
  <c r="C43" i="2"/>
  <c r="U43" i="2" s="1"/>
  <c r="C42" i="2"/>
  <c r="U42" i="2" s="1"/>
  <c r="C41" i="2"/>
  <c r="U41" i="2" s="1"/>
  <c r="C40" i="2"/>
  <c r="U40" i="2" s="1"/>
  <c r="C39" i="2"/>
  <c r="U39" i="2" s="1"/>
  <c r="C38" i="2"/>
  <c r="U38" i="2" s="1"/>
  <c r="C37" i="2"/>
  <c r="U37" i="2" s="1"/>
  <c r="C36" i="2"/>
  <c r="U36" i="2" s="1"/>
  <c r="C35" i="2"/>
  <c r="U35" i="2" s="1"/>
  <c r="C34" i="2"/>
  <c r="U34" i="2" s="1"/>
  <c r="C33" i="2"/>
  <c r="U33" i="2" s="1"/>
  <c r="C32" i="2"/>
  <c r="U32" i="2" s="1"/>
  <c r="C31" i="2"/>
  <c r="U31" i="2" s="1"/>
  <c r="C30" i="2"/>
  <c r="U30" i="2" s="1"/>
  <c r="C29" i="2"/>
  <c r="U29" i="2" s="1"/>
  <c r="C28" i="2"/>
  <c r="U28" i="2" s="1"/>
  <c r="C27" i="2"/>
  <c r="U27" i="2" s="1"/>
  <c r="C26" i="2"/>
  <c r="U26" i="2" s="1"/>
  <c r="C25" i="2"/>
  <c r="U25" i="2" s="1"/>
  <c r="C24" i="2"/>
  <c r="U24" i="2" s="1"/>
  <c r="C23" i="2"/>
  <c r="U23" i="2" s="1"/>
  <c r="C22" i="2"/>
  <c r="U22" i="2" s="1"/>
  <c r="C21" i="2"/>
  <c r="U21" i="2" s="1"/>
  <c r="C20" i="2"/>
  <c r="C19" i="2"/>
  <c r="U19" i="2" s="1"/>
  <c r="C18" i="2"/>
  <c r="U18" i="2" s="1"/>
  <c r="C17" i="2"/>
  <c r="U17" i="2" s="1"/>
  <c r="C16" i="2"/>
  <c r="U16" i="2" s="1"/>
  <c r="C15" i="2"/>
  <c r="U15" i="2" s="1"/>
  <c r="C14" i="2"/>
  <c r="U14" i="2" s="1"/>
  <c r="C13" i="2"/>
  <c r="U13" i="2" s="1"/>
  <c r="C12" i="2"/>
  <c r="C11" i="2"/>
  <c r="U11" i="2" s="1"/>
  <c r="C10" i="2"/>
  <c r="U10" i="2" s="1"/>
  <c r="C9" i="2"/>
  <c r="U9" i="2" s="1"/>
  <c r="C8" i="2"/>
  <c r="U8" i="2" s="1"/>
  <c r="C7" i="2"/>
  <c r="U7" i="2" s="1"/>
  <c r="C6" i="2"/>
  <c r="U6" i="2" s="1"/>
  <c r="C5" i="2"/>
  <c r="U5" i="2" s="1"/>
  <c r="C4" i="2"/>
  <c r="U4" i="2" s="1"/>
  <c r="C3" i="2"/>
  <c r="U3" i="2" s="1"/>
  <c r="U108" i="2"/>
  <c r="U68" i="2"/>
  <c r="N240" i="3"/>
  <c r="N241" i="3"/>
  <c r="N242" i="3"/>
  <c r="P240" i="3"/>
  <c r="P241" i="3"/>
  <c r="P242" i="3"/>
  <c r="B239" i="3"/>
  <c r="B240" i="3" s="1"/>
  <c r="B241" i="3" s="1"/>
  <c r="B242" i="3" s="1"/>
  <c r="A239" i="3"/>
  <c r="N239" i="3"/>
  <c r="P239" i="3"/>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S47" i="2"/>
  <c r="S48" i="2"/>
  <c r="S49" i="2"/>
  <c r="S50" i="2"/>
  <c r="S51" i="2"/>
  <c r="S52" i="2"/>
  <c r="S53" i="2"/>
  <c r="S54" i="2"/>
  <c r="S55" i="2"/>
  <c r="S56" i="2"/>
  <c r="S57" i="2"/>
  <c r="S58" i="2"/>
  <c r="S59" i="2"/>
  <c r="S60" i="2"/>
  <c r="S61" i="2"/>
  <c r="S62" i="2"/>
  <c r="S63" i="2"/>
  <c r="S64" i="2"/>
  <c r="S65" i="2"/>
  <c r="S66" i="2"/>
  <c r="S67" i="2"/>
  <c r="S68" i="2"/>
  <c r="S69" i="2"/>
  <c r="S70" i="2"/>
  <c r="S71" i="2"/>
  <c r="S72" i="2"/>
  <c r="S73" i="2"/>
  <c r="S74" i="2"/>
  <c r="S75" i="2"/>
  <c r="S76" i="2"/>
  <c r="S77" i="2"/>
  <c r="S78" i="2"/>
  <c r="S79" i="2"/>
  <c r="S80" i="2"/>
  <c r="S81" i="2"/>
  <c r="S82" i="2"/>
  <c r="S83" i="2"/>
  <c r="S84" i="2"/>
  <c r="S85" i="2"/>
  <c r="S86" i="2"/>
  <c r="S87" i="2"/>
  <c r="S88" i="2"/>
  <c r="S89" i="2"/>
  <c r="S90" i="2"/>
  <c r="S91" i="2"/>
  <c r="S92" i="2"/>
  <c r="S93" i="2"/>
  <c r="S94" i="2"/>
  <c r="S95" i="2"/>
  <c r="S96" i="2"/>
  <c r="S97" i="2"/>
  <c r="S98" i="2"/>
  <c r="S99" i="2"/>
  <c r="S100" i="2"/>
  <c r="S101" i="2"/>
  <c r="S102" i="2"/>
  <c r="S103" i="2"/>
  <c r="S104" i="2"/>
  <c r="S105" i="2"/>
  <c r="S106" i="2"/>
  <c r="S107" i="2"/>
  <c r="S108" i="2"/>
  <c r="S109" i="2"/>
  <c r="S110" i="2"/>
  <c r="S111" i="2"/>
  <c r="S112" i="2"/>
  <c r="S113" i="2"/>
  <c r="S114" i="2"/>
  <c r="S115" i="2"/>
  <c r="S116" i="2"/>
  <c r="S117" i="2"/>
  <c r="S118" i="2"/>
  <c r="S119" i="2"/>
  <c r="S120" i="2"/>
  <c r="S121" i="2"/>
  <c r="S122" i="2"/>
  <c r="S123" i="2"/>
  <c r="S124" i="2"/>
  <c r="S125" i="2"/>
  <c r="S126" i="2"/>
  <c r="S127" i="2"/>
  <c r="S128" i="2"/>
  <c r="S129" i="2"/>
  <c r="S130" i="2"/>
  <c r="S131" i="2"/>
  <c r="S132" i="2"/>
  <c r="S133" i="2"/>
  <c r="S134" i="2"/>
  <c r="S135" i="2"/>
  <c r="S136" i="2"/>
  <c r="S137" i="2"/>
  <c r="S138" i="2"/>
  <c r="S139" i="2"/>
  <c r="S140" i="2"/>
  <c r="S141" i="2"/>
  <c r="S142" i="2"/>
  <c r="S143" i="2"/>
  <c r="S144" i="2"/>
  <c r="S145" i="2"/>
  <c r="S146" i="2"/>
  <c r="S147" i="2"/>
  <c r="S148" i="2"/>
  <c r="S149" i="2"/>
  <c r="S150" i="2"/>
  <c r="S151" i="2"/>
  <c r="S152" i="2"/>
  <c r="S153" i="2"/>
  <c r="S154" i="2"/>
  <c r="S155" i="2"/>
  <c r="S156" i="2"/>
  <c r="S157" i="2"/>
  <c r="S158" i="2"/>
  <c r="S159" i="2"/>
  <c r="S160" i="2"/>
  <c r="S161" i="2"/>
  <c r="S162" i="2"/>
  <c r="S163" i="2"/>
  <c r="S164" i="2"/>
  <c r="S165" i="2"/>
  <c r="S166" i="2"/>
  <c r="S167" i="2"/>
  <c r="S168" i="2"/>
  <c r="S169" i="2"/>
  <c r="S170" i="2"/>
  <c r="S171" i="2"/>
  <c r="S172" i="2"/>
  <c r="S173" i="2"/>
  <c r="S174" i="2"/>
  <c r="S175" i="2"/>
  <c r="S176" i="2"/>
  <c r="S177" i="2"/>
  <c r="S178" i="2"/>
  <c r="S179" i="2"/>
  <c r="S180" i="2"/>
  <c r="S181" i="2"/>
  <c r="S182" i="2"/>
  <c r="S183" i="2"/>
  <c r="S184" i="2"/>
  <c r="S185" i="2"/>
  <c r="S186" i="2"/>
  <c r="S187" i="2"/>
  <c r="S189" i="2"/>
  <c r="S190" i="2"/>
  <c r="S191" i="2"/>
  <c r="S192" i="2"/>
  <c r="S193" i="2"/>
  <c r="S194" i="2"/>
  <c r="S195" i="2"/>
  <c r="S196" i="2"/>
  <c r="S197" i="2"/>
  <c r="S198" i="2"/>
  <c r="S199" i="2"/>
  <c r="S200" i="2"/>
  <c r="S201" i="2"/>
  <c r="S202" i="2"/>
  <c r="S203" i="2"/>
  <c r="S204" i="2"/>
  <c r="S205" i="2"/>
  <c r="S206" i="2"/>
  <c r="S207" i="2"/>
  <c r="S208" i="2"/>
  <c r="S209" i="2"/>
  <c r="S210" i="2"/>
  <c r="S211" i="2"/>
  <c r="S212" i="2"/>
  <c r="S213" i="2"/>
  <c r="S214" i="2"/>
  <c r="S215" i="2"/>
  <c r="S216" i="2"/>
  <c r="S217" i="2"/>
  <c r="S218" i="2"/>
  <c r="S219" i="2"/>
  <c r="S220" i="2"/>
  <c r="S221" i="2"/>
  <c r="S222" i="2"/>
  <c r="S223" i="2"/>
  <c r="S224" i="2"/>
  <c r="S225" i="2"/>
  <c r="S226" i="2"/>
  <c r="S227" i="2"/>
  <c r="S228" i="2"/>
  <c r="S229" i="2"/>
  <c r="S230" i="2"/>
  <c r="S231" i="2"/>
  <c r="S232" i="2"/>
  <c r="S233" i="2"/>
  <c r="S234" i="2"/>
  <c r="S235" i="2"/>
  <c r="S236" i="2"/>
  <c r="S237" i="2"/>
  <c r="S238" i="2"/>
  <c r="Q238" i="2"/>
  <c r="Q236"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K3" i="2"/>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G237" i="2"/>
  <c r="V238" i="2"/>
  <c r="U238" i="2"/>
  <c r="G238" i="2"/>
  <c r="V237"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U236" i="2"/>
  <c r="N237" i="3"/>
  <c r="Q237" i="2" s="1"/>
  <c r="P237" i="3"/>
  <c r="D234" i="5"/>
  <c r="E234" i="5"/>
  <c r="F234" i="5"/>
  <c r="G234" i="5"/>
  <c r="H234" i="5"/>
  <c r="V7" i="2"/>
  <c r="V8" i="2"/>
  <c r="V12" i="2"/>
  <c r="V13" i="2"/>
  <c r="V16" i="2"/>
  <c r="V20" i="2"/>
  <c r="V21" i="2"/>
  <c r="V23" i="2"/>
  <c r="V24" i="2"/>
  <c r="V28" i="2"/>
  <c r="V29" i="2"/>
  <c r="V32" i="2"/>
  <c r="V36" i="2"/>
  <c r="V37" i="2"/>
  <c r="V40" i="2"/>
  <c r="V44" i="2"/>
  <c r="V45" i="2"/>
  <c r="V47" i="2"/>
  <c r="V48" i="2"/>
  <c r="V52" i="2"/>
  <c r="V53" i="2"/>
  <c r="V56" i="2"/>
  <c r="V60" i="2"/>
  <c r="V61" i="2"/>
  <c r="V62" i="2"/>
  <c r="V64" i="2"/>
  <c r="V68" i="2"/>
  <c r="V69" i="2"/>
  <c r="V72" i="2"/>
  <c r="V76" i="2"/>
  <c r="V77" i="2"/>
  <c r="V80" i="2"/>
  <c r="V84" i="2"/>
  <c r="V85" i="2"/>
  <c r="V87" i="2"/>
  <c r="V88" i="2"/>
  <c r="V92" i="2"/>
  <c r="V93" i="2"/>
  <c r="V96" i="2"/>
  <c r="V100" i="2"/>
  <c r="V101" i="2"/>
  <c r="V104" i="2"/>
  <c r="V108" i="2"/>
  <c r="V109" i="2"/>
  <c r="V112" i="2"/>
  <c r="V116" i="2"/>
  <c r="V117" i="2"/>
  <c r="V120" i="2"/>
  <c r="V124" i="2"/>
  <c r="V125" i="2"/>
  <c r="V127" i="2"/>
  <c r="V128" i="2"/>
  <c r="V132" i="2"/>
  <c r="V133" i="2"/>
  <c r="V136" i="2"/>
  <c r="V140" i="2"/>
  <c r="V141" i="2"/>
  <c r="V142" i="2"/>
  <c r="V144" i="2"/>
  <c r="V148" i="2"/>
  <c r="V149" i="2"/>
  <c r="V152" i="2"/>
  <c r="V156" i="2"/>
  <c r="V157" i="2"/>
  <c r="V160" i="2"/>
  <c r="V164" i="2"/>
  <c r="V165" i="2"/>
  <c r="V167" i="2"/>
  <c r="V168" i="2"/>
  <c r="V172" i="2"/>
  <c r="V173" i="2"/>
  <c r="V176" i="2"/>
  <c r="V179" i="2"/>
  <c r="V180" i="2"/>
  <c r="V181" i="2"/>
  <c r="V184" i="2"/>
  <c r="V189" i="2"/>
  <c r="V190" i="2"/>
  <c r="V192" i="2"/>
  <c r="V193" i="2"/>
  <c r="V197" i="2"/>
  <c r="V198" i="2"/>
  <c r="V201" i="2"/>
  <c r="V205" i="2"/>
  <c r="V206" i="2"/>
  <c r="V207" i="2"/>
  <c r="V213" i="2"/>
  <c r="V214" i="2"/>
  <c r="V221" i="2"/>
  <c r="V222" i="2"/>
  <c r="V223" i="2"/>
  <c r="V229" i="2"/>
  <c r="V230" i="2"/>
  <c r="U12" i="2"/>
  <c r="U20" i="2"/>
  <c r="U102" i="2"/>
  <c r="U109" i="2"/>
  <c r="U125" i="2"/>
  <c r="U127" i="2"/>
  <c r="U133" i="2"/>
  <c r="U141" i="2"/>
  <c r="U149" i="2"/>
  <c r="U157" i="2"/>
  <c r="U165" i="2"/>
  <c r="U166" i="2"/>
  <c r="U173" i="2"/>
  <c r="U190" i="2"/>
  <c r="U198" i="2"/>
  <c r="U206" i="2"/>
  <c r="U214" i="2"/>
  <c r="U222" i="2"/>
  <c r="U230" i="2"/>
  <c r="N11" i="3"/>
  <c r="Q10" i="2" s="1"/>
  <c r="P11" i="3"/>
  <c r="N3" i="3"/>
  <c r="P3" i="3"/>
  <c r="Z188" i="2" l="1"/>
  <c r="M239" i="2"/>
  <c r="K239" i="2"/>
  <c r="Q239" i="2"/>
  <c r="Q240" i="2"/>
  <c r="Y239" i="2"/>
  <c r="A240" i="3"/>
  <c r="G239" i="2"/>
  <c r="I240" i="2"/>
  <c r="O239" i="2"/>
  <c r="S240" i="2"/>
  <c r="O240" i="2"/>
  <c r="I239" i="2"/>
  <c r="S239" i="2"/>
  <c r="I234" i="5"/>
  <c r="A241" i="3" l="1"/>
  <c r="A242" i="3" s="1"/>
  <c r="G240" i="2"/>
  <c r="K240" i="2"/>
  <c r="Y240" i="2"/>
  <c r="M240" i="2"/>
  <c r="C1" i="6" a="1"/>
  <c r="C1" i="6" s="1"/>
  <c r="C203" i="23" l="1"/>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C72" i="22" l="1"/>
  <c r="C38" i="22"/>
  <c r="C106" i="22" l="1"/>
  <c r="C110" i="22" l="1"/>
  <c r="C114" i="22" l="1"/>
  <c r="C142" i="22" l="1"/>
  <c r="C192" i="22"/>
  <c r="C159" i="22" l="1"/>
  <c r="C107" i="22"/>
  <c r="C181" i="22" l="1"/>
  <c r="C111" i="22"/>
  <c r="C193" i="22" l="1"/>
  <c r="C115" i="22"/>
  <c r="P4" i="3"/>
  <c r="P5" i="3"/>
  <c r="P6" i="3"/>
  <c r="P7" i="3"/>
  <c r="P8" i="3"/>
  <c r="P9" i="3"/>
  <c r="P10"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P234" i="3"/>
  <c r="P235" i="3"/>
  <c r="C5" i="22" l="1"/>
  <c r="C143" i="22"/>
  <c r="C39" i="22" l="1"/>
  <c r="C73" i="22"/>
  <c r="C160" i="22"/>
  <c r="C182" i="22" l="1"/>
  <c r="C187" i="22" l="1"/>
  <c r="C194" i="22" l="1"/>
  <c r="C6" i="22" l="1"/>
  <c r="C40" i="22" l="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N131" i="3"/>
  <c r="Q130" i="2" s="1"/>
  <c r="N235" i="3"/>
  <c r="Q235" i="2" s="1"/>
  <c r="N234" i="3"/>
  <c r="Q234" i="2" s="1"/>
  <c r="N233" i="3"/>
  <c r="Q233" i="2" s="1"/>
  <c r="N232" i="3"/>
  <c r="Q232" i="2" s="1"/>
  <c r="N231" i="3"/>
  <c r="Q231" i="2" s="1"/>
  <c r="N230" i="3"/>
  <c r="Q230" i="2" s="1"/>
  <c r="N229" i="3"/>
  <c r="Q229" i="2" s="1"/>
  <c r="N228" i="3"/>
  <c r="Q228" i="2" s="1"/>
  <c r="N227" i="3"/>
  <c r="Q227" i="2" s="1"/>
  <c r="N226" i="3"/>
  <c r="Q226" i="2" s="1"/>
  <c r="N225" i="3"/>
  <c r="Q225" i="2" s="1"/>
  <c r="N224" i="3"/>
  <c r="Q224" i="2" s="1"/>
  <c r="N223" i="3"/>
  <c r="Q223" i="2" s="1"/>
  <c r="N222" i="3"/>
  <c r="Q222" i="2" s="1"/>
  <c r="N221" i="3"/>
  <c r="Q221" i="2" s="1"/>
  <c r="N220" i="3"/>
  <c r="Q220" i="2" s="1"/>
  <c r="N219" i="3"/>
  <c r="Q219" i="2" s="1"/>
  <c r="N218" i="3"/>
  <c r="Q218" i="2" s="1"/>
  <c r="N217" i="3"/>
  <c r="Q217" i="2" s="1"/>
  <c r="N216" i="3"/>
  <c r="Q216" i="2" s="1"/>
  <c r="N215" i="3"/>
  <c r="Q215" i="2" s="1"/>
  <c r="N214" i="3"/>
  <c r="Q214" i="2" s="1"/>
  <c r="N213" i="3"/>
  <c r="Q213" i="2" s="1"/>
  <c r="N212" i="3"/>
  <c r="Q212" i="2" s="1"/>
  <c r="N211" i="3"/>
  <c r="Q211" i="2" s="1"/>
  <c r="N210" i="3"/>
  <c r="Q210" i="2" s="1"/>
  <c r="N209" i="3"/>
  <c r="Q209" i="2" s="1"/>
  <c r="N208" i="3"/>
  <c r="Q208" i="2" s="1"/>
  <c r="N207" i="3"/>
  <c r="Q207" i="2" s="1"/>
  <c r="N206" i="3"/>
  <c r="Q206" i="2" s="1"/>
  <c r="N205" i="3"/>
  <c r="Q205" i="2" s="1"/>
  <c r="N204" i="3"/>
  <c r="Q204" i="2" s="1"/>
  <c r="N203" i="3"/>
  <c r="Q203" i="2" s="1"/>
  <c r="N202" i="3"/>
  <c r="Q202" i="2" s="1"/>
  <c r="N201" i="3"/>
  <c r="Q201" i="2" s="1"/>
  <c r="N200" i="3"/>
  <c r="Q200" i="2" s="1"/>
  <c r="N199" i="3"/>
  <c r="Q199" i="2" s="1"/>
  <c r="N198" i="3"/>
  <c r="Q198" i="2" s="1"/>
  <c r="N197" i="3"/>
  <c r="Q197" i="2" s="1"/>
  <c r="N196" i="3"/>
  <c r="Q196" i="2" s="1"/>
  <c r="N195" i="3"/>
  <c r="Q195" i="2" s="1"/>
  <c r="N194" i="3"/>
  <c r="Q194" i="2" s="1"/>
  <c r="N193" i="3"/>
  <c r="Q193" i="2" s="1"/>
  <c r="N192" i="3"/>
  <c r="Q192" i="2" s="1"/>
  <c r="N191" i="3"/>
  <c r="Q191" i="2" s="1"/>
  <c r="N190" i="3"/>
  <c r="Q190" i="2" s="1"/>
  <c r="N189" i="3"/>
  <c r="Q189" i="2" s="1"/>
  <c r="N188" i="3"/>
  <c r="Q187" i="2" s="1"/>
  <c r="N187" i="3"/>
  <c r="Q186" i="2" s="1"/>
  <c r="N186" i="3"/>
  <c r="Q185" i="2" s="1"/>
  <c r="N185" i="3"/>
  <c r="Q184" i="2" s="1"/>
  <c r="N184" i="3"/>
  <c r="Q183" i="2" s="1"/>
  <c r="N183" i="3"/>
  <c r="Q182" i="2" s="1"/>
  <c r="N182" i="3"/>
  <c r="Q181" i="2" s="1"/>
  <c r="N181" i="3"/>
  <c r="Q180" i="2" s="1"/>
  <c r="N180" i="3"/>
  <c r="Q179" i="2" s="1"/>
  <c r="N179" i="3"/>
  <c r="Q178" i="2" s="1"/>
  <c r="N178" i="3"/>
  <c r="Q177" i="2" s="1"/>
  <c r="N177" i="3"/>
  <c r="Q176" i="2" s="1"/>
  <c r="N176" i="3"/>
  <c r="Q175" i="2" s="1"/>
  <c r="N175" i="3"/>
  <c r="Q174" i="2" s="1"/>
  <c r="N174" i="3"/>
  <c r="Q173" i="2" s="1"/>
  <c r="N173" i="3"/>
  <c r="Q172" i="2" s="1"/>
  <c r="N172" i="3"/>
  <c r="Q171" i="2" s="1"/>
  <c r="N171" i="3"/>
  <c r="Q170" i="2" s="1"/>
  <c r="N170" i="3"/>
  <c r="Q169" i="2" s="1"/>
  <c r="N169" i="3"/>
  <c r="Q168" i="2" s="1"/>
  <c r="N168" i="3"/>
  <c r="Q167" i="2" s="1"/>
  <c r="N167" i="3"/>
  <c r="Q166" i="2" s="1"/>
  <c r="N166" i="3"/>
  <c r="Q165" i="2" s="1"/>
  <c r="N165" i="3"/>
  <c r="Q164" i="2" s="1"/>
  <c r="N164" i="3"/>
  <c r="Q163" i="2" s="1"/>
  <c r="N163" i="3"/>
  <c r="Q162" i="2" s="1"/>
  <c r="N162" i="3"/>
  <c r="Q161" i="2" s="1"/>
  <c r="N161" i="3"/>
  <c r="Q160" i="2" s="1"/>
  <c r="N160" i="3"/>
  <c r="Q159" i="2" s="1"/>
  <c r="N159" i="3"/>
  <c r="Q158" i="2" s="1"/>
  <c r="N158" i="3"/>
  <c r="Q157" i="2" s="1"/>
  <c r="N157" i="3"/>
  <c r="Q156" i="2" s="1"/>
  <c r="N156" i="3"/>
  <c r="Q155" i="2" s="1"/>
  <c r="N155" i="3"/>
  <c r="Q154" i="2" s="1"/>
  <c r="N154" i="3"/>
  <c r="Q153" i="2" s="1"/>
  <c r="N153" i="3"/>
  <c r="Q152" i="2" s="1"/>
  <c r="N152" i="3"/>
  <c r="Q151" i="2" s="1"/>
  <c r="N151" i="3"/>
  <c r="Q150" i="2" s="1"/>
  <c r="N150" i="3"/>
  <c r="Q149" i="2" s="1"/>
  <c r="N149" i="3"/>
  <c r="Q148" i="2" s="1"/>
  <c r="N148" i="3"/>
  <c r="Q147" i="2" s="1"/>
  <c r="N147" i="3"/>
  <c r="Q146" i="2" s="1"/>
  <c r="N146" i="3"/>
  <c r="Q145" i="2" s="1"/>
  <c r="N145" i="3"/>
  <c r="Q144" i="2" s="1"/>
  <c r="N144" i="3"/>
  <c r="Q143" i="2" s="1"/>
  <c r="N143" i="3"/>
  <c r="Q142" i="2" s="1"/>
  <c r="N142" i="3"/>
  <c r="Q141" i="2" s="1"/>
  <c r="N141" i="3"/>
  <c r="Q140" i="2" s="1"/>
  <c r="N140" i="3"/>
  <c r="Q139" i="2" s="1"/>
  <c r="N139" i="3"/>
  <c r="Q138" i="2" s="1"/>
  <c r="N138" i="3"/>
  <c r="Q137" i="2" s="1"/>
  <c r="N137" i="3"/>
  <c r="Q136" i="2" s="1"/>
  <c r="N136" i="3"/>
  <c r="Q135" i="2" s="1"/>
  <c r="N135" i="3"/>
  <c r="Q134" i="2" s="1"/>
  <c r="N134" i="3"/>
  <c r="Q133" i="2" s="1"/>
  <c r="N133" i="3"/>
  <c r="Q132" i="2" s="1"/>
  <c r="N132" i="3"/>
  <c r="Q131" i="2" s="1"/>
  <c r="N130" i="3"/>
  <c r="Q129" i="2" s="1"/>
  <c r="N129" i="3"/>
  <c r="Q128" i="2" s="1"/>
  <c r="N128" i="3"/>
  <c r="Q127" i="2" s="1"/>
  <c r="N127" i="3"/>
  <c r="Q126" i="2" s="1"/>
  <c r="N126" i="3"/>
  <c r="Q125" i="2" s="1"/>
  <c r="N125" i="3"/>
  <c r="Q124" i="2" s="1"/>
  <c r="N124" i="3"/>
  <c r="Q123" i="2" s="1"/>
  <c r="N123" i="3"/>
  <c r="Q122" i="2" s="1"/>
  <c r="N122" i="3"/>
  <c r="Q121" i="2" s="1"/>
  <c r="N121" i="3"/>
  <c r="Q120" i="2" s="1"/>
  <c r="N120" i="3"/>
  <c r="Q119" i="2" s="1"/>
  <c r="N119" i="3"/>
  <c r="Q118" i="2" s="1"/>
  <c r="N118" i="3"/>
  <c r="Q117" i="2" s="1"/>
  <c r="N117" i="3"/>
  <c r="Q116" i="2" s="1"/>
  <c r="N116" i="3"/>
  <c r="Q115" i="2" s="1"/>
  <c r="N115" i="3"/>
  <c r="Q114" i="2" s="1"/>
  <c r="N114" i="3"/>
  <c r="Q113" i="2" s="1"/>
  <c r="N113" i="3"/>
  <c r="Q112" i="2" s="1"/>
  <c r="N112" i="3"/>
  <c r="Q111" i="2" s="1"/>
  <c r="N111" i="3"/>
  <c r="Q110" i="2" s="1"/>
  <c r="N110" i="3"/>
  <c r="Q109" i="2" s="1"/>
  <c r="N109" i="3"/>
  <c r="Q108" i="2" s="1"/>
  <c r="N108" i="3"/>
  <c r="Q107" i="2" s="1"/>
  <c r="N107" i="3"/>
  <c r="Q106" i="2" s="1"/>
  <c r="N106" i="3"/>
  <c r="Q105" i="2" s="1"/>
  <c r="N105" i="3"/>
  <c r="Q104" i="2" s="1"/>
  <c r="N104" i="3"/>
  <c r="Q103" i="2" s="1"/>
  <c r="N103" i="3"/>
  <c r="Q102" i="2" s="1"/>
  <c r="N102" i="3"/>
  <c r="Q101" i="2" s="1"/>
  <c r="N101" i="3"/>
  <c r="Q100" i="2" s="1"/>
  <c r="N100" i="3"/>
  <c r="Q99" i="2" s="1"/>
  <c r="N99" i="3"/>
  <c r="Q98" i="2" s="1"/>
  <c r="N98" i="3"/>
  <c r="Q97" i="2" s="1"/>
  <c r="N97" i="3"/>
  <c r="Q96" i="2" s="1"/>
  <c r="N96" i="3"/>
  <c r="Q95" i="2" s="1"/>
  <c r="N95" i="3"/>
  <c r="Q94" i="2" s="1"/>
  <c r="N94" i="3"/>
  <c r="Q93" i="2" s="1"/>
  <c r="N93" i="3"/>
  <c r="Q92" i="2" s="1"/>
  <c r="N92" i="3"/>
  <c r="Q91" i="2" s="1"/>
  <c r="N91" i="3"/>
  <c r="Q90" i="2" s="1"/>
  <c r="N90" i="3"/>
  <c r="Q89" i="2" s="1"/>
  <c r="N89" i="3"/>
  <c r="Q88" i="2" s="1"/>
  <c r="N88" i="3"/>
  <c r="Q87" i="2" s="1"/>
  <c r="N87" i="3"/>
  <c r="Q86" i="2" s="1"/>
  <c r="N86" i="3"/>
  <c r="Q85" i="2" s="1"/>
  <c r="N85" i="3"/>
  <c r="Q84" i="2" s="1"/>
  <c r="N84" i="3"/>
  <c r="Q83" i="2" s="1"/>
  <c r="N83" i="3"/>
  <c r="Q82" i="2" s="1"/>
  <c r="N82" i="3"/>
  <c r="Q81" i="2" s="1"/>
  <c r="N81" i="3"/>
  <c r="Q80" i="2" s="1"/>
  <c r="N80" i="3"/>
  <c r="Q79" i="2" s="1"/>
  <c r="N79" i="3"/>
  <c r="Q78" i="2" s="1"/>
  <c r="N78" i="3"/>
  <c r="Q77" i="2" s="1"/>
  <c r="N77" i="3"/>
  <c r="Q76" i="2" s="1"/>
  <c r="N76" i="3"/>
  <c r="Q75" i="2" s="1"/>
  <c r="N75" i="3"/>
  <c r="Q74" i="2" s="1"/>
  <c r="N74" i="3"/>
  <c r="Q73" i="2" s="1"/>
  <c r="N73" i="3"/>
  <c r="Q72" i="2" s="1"/>
  <c r="N72" i="3"/>
  <c r="Q71" i="2" s="1"/>
  <c r="N71" i="3"/>
  <c r="Q70" i="2" s="1"/>
  <c r="N70" i="3"/>
  <c r="Q69" i="2" s="1"/>
  <c r="N69" i="3"/>
  <c r="Q68" i="2" s="1"/>
  <c r="N68" i="3"/>
  <c r="Q67" i="2" s="1"/>
  <c r="N67" i="3"/>
  <c r="Q66" i="2" s="1"/>
  <c r="N66" i="3"/>
  <c r="Q65" i="2" s="1"/>
  <c r="N65" i="3"/>
  <c r="Q64" i="2" s="1"/>
  <c r="N64" i="3"/>
  <c r="Q63" i="2" s="1"/>
  <c r="N63" i="3"/>
  <c r="Q62" i="2" s="1"/>
  <c r="N62" i="3"/>
  <c r="Q61" i="2" s="1"/>
  <c r="N61" i="3"/>
  <c r="Q60" i="2" s="1"/>
  <c r="N60" i="3"/>
  <c r="Q59" i="2" s="1"/>
  <c r="N59" i="3"/>
  <c r="Q58" i="2" s="1"/>
  <c r="N58" i="3"/>
  <c r="Q57" i="2" s="1"/>
  <c r="N57" i="3"/>
  <c r="Q56" i="2" s="1"/>
  <c r="N56" i="3"/>
  <c r="Q55" i="2" s="1"/>
  <c r="N55" i="3"/>
  <c r="Q54" i="2" s="1"/>
  <c r="N54" i="3"/>
  <c r="Q53" i="2" s="1"/>
  <c r="N53" i="3"/>
  <c r="Q52" i="2" s="1"/>
  <c r="N52" i="3"/>
  <c r="Q51" i="2" s="1"/>
  <c r="N51" i="3"/>
  <c r="Q50" i="2" s="1"/>
  <c r="N50" i="3"/>
  <c r="Q49" i="2" s="1"/>
  <c r="N49" i="3"/>
  <c r="Q48" i="2" s="1"/>
  <c r="N48" i="3"/>
  <c r="Q47" i="2" s="1"/>
  <c r="N47" i="3"/>
  <c r="Q46" i="2" s="1"/>
  <c r="N46" i="3"/>
  <c r="Q45" i="2" s="1"/>
  <c r="N45" i="3"/>
  <c r="Q44" i="2" s="1"/>
  <c r="N44" i="3"/>
  <c r="Q43" i="2" s="1"/>
  <c r="N43" i="3"/>
  <c r="Q42" i="2" s="1"/>
  <c r="N42" i="3"/>
  <c r="Q41" i="2" s="1"/>
  <c r="N41" i="3"/>
  <c r="Q40" i="2" s="1"/>
  <c r="N40" i="3"/>
  <c r="Q39" i="2" s="1"/>
  <c r="N39" i="3"/>
  <c r="Q38" i="2" s="1"/>
  <c r="N38" i="3"/>
  <c r="Q37" i="2" s="1"/>
  <c r="N37" i="3"/>
  <c r="Q36" i="2" s="1"/>
  <c r="N36" i="3"/>
  <c r="Q35" i="2" s="1"/>
  <c r="N35" i="3"/>
  <c r="Q34" i="2" s="1"/>
  <c r="N34" i="3"/>
  <c r="Q33" i="2" s="1"/>
  <c r="N33" i="3"/>
  <c r="Q32" i="2" s="1"/>
  <c r="N32" i="3"/>
  <c r="Q31" i="2" s="1"/>
  <c r="N31" i="3"/>
  <c r="Q30" i="2" s="1"/>
  <c r="N30" i="3"/>
  <c r="Q29" i="2" s="1"/>
  <c r="N29" i="3"/>
  <c r="Q28" i="2" s="1"/>
  <c r="N28" i="3"/>
  <c r="Q27" i="2" s="1"/>
  <c r="N27" i="3"/>
  <c r="Q26" i="2" s="1"/>
  <c r="N26" i="3"/>
  <c r="Q25" i="2" s="1"/>
  <c r="N25" i="3"/>
  <c r="Q24" i="2" s="1"/>
  <c r="N24" i="3"/>
  <c r="Q23" i="2" s="1"/>
  <c r="N23" i="3"/>
  <c r="Q22" i="2" s="1"/>
  <c r="N22" i="3"/>
  <c r="Q21" i="2" s="1"/>
  <c r="N21" i="3"/>
  <c r="Q20" i="2" s="1"/>
  <c r="N20" i="3"/>
  <c r="Q19" i="2" s="1"/>
  <c r="N19" i="3"/>
  <c r="Q18" i="2" s="1"/>
  <c r="N18" i="3"/>
  <c r="Q17" i="2" s="1"/>
  <c r="N17" i="3"/>
  <c r="Q16" i="2" s="1"/>
  <c r="N16" i="3"/>
  <c r="Q15" i="2" s="1"/>
  <c r="N15" i="3"/>
  <c r="Q14" i="2" s="1"/>
  <c r="N14" i="3"/>
  <c r="Q13" i="2" s="1"/>
  <c r="N13" i="3"/>
  <c r="Q12" i="2" s="1"/>
  <c r="N12" i="3"/>
  <c r="Q11" i="2" s="1"/>
  <c r="N10" i="3"/>
  <c r="Q9" i="2" s="1"/>
  <c r="N9" i="3"/>
  <c r="Q8" i="2" s="1"/>
  <c r="N8" i="3"/>
  <c r="Q7" i="2" s="1"/>
  <c r="N7" i="3"/>
  <c r="Q6" i="2" s="1"/>
  <c r="N6" i="3"/>
  <c r="Q5" i="2" s="1"/>
  <c r="N5" i="3"/>
  <c r="Q4" i="2" s="1"/>
  <c r="N4" i="3"/>
  <c r="Q3" i="2" s="1"/>
  <c r="C1" i="3"/>
  <c r="D1" i="3" s="1"/>
  <c r="E1" i="3" s="1"/>
  <c r="F1" i="3" s="1"/>
  <c r="G1" i="3" s="1"/>
  <c r="H1" i="3" s="1"/>
  <c r="I1" i="3" s="1"/>
  <c r="J1" i="3" s="1"/>
  <c r="K1" i="3" s="1"/>
  <c r="L1" i="3" s="1"/>
  <c r="M1" i="3" s="1"/>
  <c r="N1" i="3" s="1"/>
  <c r="Z3" i="2" l="1"/>
  <c r="I212" i="5"/>
  <c r="I164" i="5"/>
  <c r="I124" i="5"/>
  <c r="I84" i="5"/>
  <c r="I44" i="5"/>
  <c r="I4" i="5"/>
  <c r="I204" i="5"/>
  <c r="I148" i="5"/>
  <c r="I100" i="5"/>
  <c r="I52" i="5"/>
  <c r="I196" i="5"/>
  <c r="I156" i="5"/>
  <c r="I108" i="5"/>
  <c r="I60" i="5"/>
  <c r="I228" i="5"/>
  <c r="I188" i="5"/>
  <c r="I132" i="5"/>
  <c r="I68" i="5"/>
  <c r="I28" i="5"/>
  <c r="I180" i="5"/>
  <c r="I140" i="5"/>
  <c r="I92" i="5"/>
  <c r="I20" i="5"/>
  <c r="I220" i="5"/>
  <c r="I172" i="5"/>
  <c r="I116" i="5"/>
  <c r="I76" i="5"/>
  <c r="I36" i="5"/>
  <c r="I12"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229" i="5"/>
  <c r="I221" i="5"/>
  <c r="I213" i="5"/>
  <c r="I205" i="5"/>
  <c r="I197" i="5"/>
  <c r="I189" i="5"/>
  <c r="I181" i="5"/>
  <c r="I173" i="5"/>
  <c r="I165" i="5"/>
  <c r="I157" i="5"/>
  <c r="I149" i="5"/>
  <c r="I141" i="5"/>
  <c r="I133" i="5"/>
  <c r="I125" i="5"/>
  <c r="I117" i="5"/>
  <c r="I109" i="5"/>
  <c r="I101" i="5"/>
  <c r="I93" i="5"/>
  <c r="I85" i="5"/>
  <c r="I77" i="5"/>
  <c r="I69" i="5"/>
  <c r="I61" i="5"/>
  <c r="I53" i="5"/>
  <c r="I45" i="5"/>
  <c r="I37" i="5"/>
  <c r="I29" i="5"/>
  <c r="I21" i="5"/>
  <c r="I13" i="5"/>
  <c r="I5" i="5"/>
  <c r="C74" i="22"/>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08" i="22" l="1"/>
  <c r="C112" i="22" l="1"/>
  <c r="C116" i="22" l="1"/>
  <c r="C144" i="22" l="1"/>
  <c r="C161" i="22" l="1"/>
  <c r="C183" i="22" l="1"/>
  <c r="C188" i="22" l="1"/>
  <c r="C7" i="22" l="1"/>
  <c r="C41" i="22" l="1"/>
  <c r="C75" i="22" l="1"/>
  <c r="C145" i="22" l="1"/>
  <c r="C162" i="22" l="1"/>
  <c r="C184" i="22" l="1"/>
  <c r="C189" i="22" l="1"/>
  <c r="C8" i="22" l="1"/>
  <c r="C42" i="22" l="1"/>
  <c r="C76" i="22" l="1"/>
  <c r="C146" i="22" l="1"/>
  <c r="C163" i="22" l="1"/>
  <c r="C185" i="22" l="1"/>
  <c r="C191" i="22"/>
  <c r="C190" i="22" l="1"/>
  <c r="C9" i="22" l="1"/>
  <c r="C43" i="22" l="1"/>
  <c r="C77" i="22" l="1"/>
  <c r="C10" i="22" l="1"/>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 r="F4" i="2" l="1"/>
  <c r="F5" i="2" s="1"/>
  <c r="H4" i="2"/>
  <c r="Z4" i="2" s="1"/>
  <c r="T4" i="2"/>
  <c r="T5" i="2" s="1"/>
  <c r="T6" i="2" s="1"/>
  <c r="T7" i="2" s="1"/>
  <c r="T8" i="2" s="1"/>
  <c r="H5" i="2" l="1"/>
  <c r="H6" i="2" s="1"/>
  <c r="H7" i="2" s="1"/>
  <c r="H8" i="2" s="1"/>
  <c r="H9" i="2" s="1"/>
  <c r="H10" i="2" s="1"/>
  <c r="H11" i="2" s="1"/>
  <c r="F6" i="2"/>
  <c r="T9" i="2"/>
  <c r="Z5" i="2" l="1"/>
  <c r="F7" i="2"/>
  <c r="Z6" i="2"/>
  <c r="H12" i="2"/>
  <c r="T10" i="2"/>
  <c r="F8" i="2" l="1"/>
  <c r="Z7" i="2"/>
  <c r="T11" i="2"/>
  <c r="H13" i="2"/>
  <c r="F9" i="2" l="1"/>
  <c r="Z8" i="2"/>
  <c r="T12" i="2"/>
  <c r="H14" i="2"/>
  <c r="F10" i="2" l="1"/>
  <c r="Z9" i="2"/>
  <c r="H15" i="2"/>
  <c r="T13" i="2"/>
  <c r="F11" i="2" l="1"/>
  <c r="Z10" i="2"/>
  <c r="T14" i="2"/>
  <c r="H16" i="2"/>
  <c r="F12" i="2" l="1"/>
  <c r="Z11" i="2"/>
  <c r="H17" i="2"/>
  <c r="T15" i="2"/>
  <c r="F13" i="2" l="1"/>
  <c r="Z12" i="2"/>
  <c r="T16" i="2"/>
  <c r="H18" i="2"/>
  <c r="F14" i="2" l="1"/>
  <c r="Z13" i="2"/>
  <c r="H19" i="2"/>
  <c r="T17" i="2"/>
  <c r="F15" i="2" l="1"/>
  <c r="Z14" i="2"/>
  <c r="T18" i="2"/>
  <c r="H20" i="2"/>
  <c r="F16" i="2" l="1"/>
  <c r="Z15" i="2"/>
  <c r="H21" i="2"/>
  <c r="T19" i="2"/>
  <c r="F17" i="2" l="1"/>
  <c r="Z16" i="2"/>
  <c r="T20" i="2"/>
  <c r="H22" i="2"/>
  <c r="F18" i="2" l="1"/>
  <c r="Z17" i="2"/>
  <c r="H23" i="2"/>
  <c r="T21" i="2"/>
  <c r="F19" i="2" l="1"/>
  <c r="Z18" i="2"/>
  <c r="T22" i="2"/>
  <c r="H24" i="2"/>
  <c r="F20" i="2" l="1"/>
  <c r="Z19" i="2"/>
  <c r="T23" i="2"/>
  <c r="H25" i="2"/>
  <c r="F21" i="2" l="1"/>
  <c r="Z20" i="2"/>
  <c r="H26" i="2"/>
  <c r="T24" i="2"/>
  <c r="F22" i="2" l="1"/>
  <c r="Z21" i="2"/>
  <c r="T25" i="2"/>
  <c r="H27" i="2"/>
  <c r="F23" i="2" l="1"/>
  <c r="Z22" i="2"/>
  <c r="H28" i="2"/>
  <c r="T26" i="2"/>
  <c r="F24" i="2" l="1"/>
  <c r="Z23" i="2"/>
  <c r="T27" i="2"/>
  <c r="H29" i="2"/>
  <c r="F25" i="2" l="1"/>
  <c r="Z24" i="2"/>
  <c r="H30" i="2"/>
  <c r="T28" i="2"/>
  <c r="F26" i="2" l="1"/>
  <c r="Z25" i="2"/>
  <c r="H31" i="2"/>
  <c r="T29" i="2"/>
  <c r="F27" i="2" l="1"/>
  <c r="Z26" i="2"/>
  <c r="T30" i="2"/>
  <c r="H32" i="2"/>
  <c r="F28" i="2" l="1"/>
  <c r="Z27" i="2"/>
  <c r="H33" i="2"/>
  <c r="T31" i="2"/>
  <c r="F29" i="2" l="1"/>
  <c r="Z28" i="2"/>
  <c r="T32" i="2"/>
  <c r="H34" i="2"/>
  <c r="F30" i="2" l="1"/>
  <c r="Z29" i="2"/>
  <c r="H35" i="2"/>
  <c r="T33" i="2"/>
  <c r="F31" i="2" l="1"/>
  <c r="Z30" i="2"/>
  <c r="T34" i="2"/>
  <c r="H36" i="2"/>
  <c r="F32" i="2" l="1"/>
  <c r="Z31" i="2"/>
  <c r="H37" i="2"/>
  <c r="T35" i="2"/>
  <c r="F33" i="2" l="1"/>
  <c r="Z32" i="2"/>
  <c r="T36" i="2"/>
  <c r="H38" i="2"/>
  <c r="F34" i="2" l="1"/>
  <c r="Z33" i="2"/>
  <c r="H39" i="2"/>
  <c r="T37" i="2"/>
  <c r="F35" i="2" l="1"/>
  <c r="Z34" i="2"/>
  <c r="T38" i="2"/>
  <c r="H40" i="2"/>
  <c r="F36" i="2" l="1"/>
  <c r="Z35" i="2"/>
  <c r="H41" i="2"/>
  <c r="T39" i="2"/>
  <c r="F37" i="2" l="1"/>
  <c r="Z36" i="2"/>
  <c r="T40" i="2"/>
  <c r="H42" i="2"/>
  <c r="F38" i="2" l="1"/>
  <c r="Z37" i="2"/>
  <c r="T41" i="2"/>
  <c r="H43" i="2"/>
  <c r="F39" i="2" l="1"/>
  <c r="Z38" i="2"/>
  <c r="H44" i="2"/>
  <c r="T42" i="2"/>
  <c r="F40" i="2" l="1"/>
  <c r="Z39" i="2"/>
  <c r="T43" i="2"/>
  <c r="H45" i="2"/>
  <c r="F41" i="2" l="1"/>
  <c r="Z40" i="2"/>
  <c r="H46" i="2"/>
  <c r="T44" i="2"/>
  <c r="F42" i="2" l="1"/>
  <c r="Z41" i="2"/>
  <c r="T45" i="2"/>
  <c r="H47" i="2"/>
  <c r="F43" i="2" l="1"/>
  <c r="Z42" i="2"/>
  <c r="H48" i="2"/>
  <c r="T46" i="2"/>
  <c r="F44" i="2" l="1"/>
  <c r="Z43" i="2"/>
  <c r="T47" i="2"/>
  <c r="H49" i="2"/>
  <c r="F45" i="2" l="1"/>
  <c r="Z44" i="2"/>
  <c r="H50" i="2"/>
  <c r="T48" i="2"/>
  <c r="F46" i="2" l="1"/>
  <c r="Z45" i="2"/>
  <c r="T49" i="2"/>
  <c r="H51" i="2"/>
  <c r="F47" i="2" l="1"/>
  <c r="Z46" i="2"/>
  <c r="H52" i="2"/>
  <c r="T50" i="2"/>
  <c r="F48" i="2" l="1"/>
  <c r="Z47" i="2"/>
  <c r="T51" i="2"/>
  <c r="H53" i="2"/>
  <c r="F49" i="2" l="1"/>
  <c r="Z48" i="2"/>
  <c r="H54" i="2"/>
  <c r="T52" i="2"/>
  <c r="F50" i="2" l="1"/>
  <c r="Z49" i="2"/>
  <c r="T53" i="2"/>
  <c r="H55" i="2"/>
  <c r="F51" i="2" l="1"/>
  <c r="Z50" i="2"/>
  <c r="H56" i="2"/>
  <c r="T54" i="2"/>
  <c r="F52" i="2" l="1"/>
  <c r="Z51" i="2"/>
  <c r="T55" i="2"/>
  <c r="H57" i="2"/>
  <c r="F53" i="2" l="1"/>
  <c r="Z52" i="2"/>
  <c r="H58" i="2"/>
  <c r="T56" i="2"/>
  <c r="F54" i="2" l="1"/>
  <c r="Z53" i="2"/>
  <c r="T57" i="2"/>
  <c r="H59" i="2"/>
  <c r="F55" i="2" l="1"/>
  <c r="Z54" i="2"/>
  <c r="H60" i="2"/>
  <c r="T58" i="2"/>
  <c r="F56" i="2" l="1"/>
  <c r="Z55" i="2"/>
  <c r="T59" i="2"/>
  <c r="H61" i="2"/>
  <c r="F57" i="2" l="1"/>
  <c r="Z56" i="2"/>
  <c r="H62" i="2"/>
  <c r="T60" i="2"/>
  <c r="F58" i="2" l="1"/>
  <c r="Z57" i="2"/>
  <c r="T61" i="2"/>
  <c r="H63" i="2"/>
  <c r="F59" i="2" l="1"/>
  <c r="Z58" i="2"/>
  <c r="H64" i="2"/>
  <c r="T62" i="2"/>
  <c r="F60" i="2" l="1"/>
  <c r="Z59" i="2"/>
  <c r="T63" i="2"/>
  <c r="H65" i="2"/>
  <c r="F61" i="2" l="1"/>
  <c r="Z60" i="2"/>
  <c r="H66" i="2"/>
  <c r="T64" i="2"/>
  <c r="F62" i="2" l="1"/>
  <c r="Z61" i="2"/>
  <c r="T65" i="2"/>
  <c r="H67" i="2"/>
  <c r="F63" i="2" l="1"/>
  <c r="Z62" i="2"/>
  <c r="H68" i="2"/>
  <c r="T66" i="2"/>
  <c r="F64" i="2" l="1"/>
  <c r="Z63" i="2"/>
  <c r="T67" i="2"/>
  <c r="H69" i="2"/>
  <c r="F65" i="2" l="1"/>
  <c r="Z64" i="2"/>
  <c r="H70" i="2"/>
  <c r="T68" i="2"/>
  <c r="F66" i="2" l="1"/>
  <c r="Z65" i="2"/>
  <c r="T69" i="2"/>
  <c r="H71" i="2"/>
  <c r="F67" i="2" l="1"/>
  <c r="Z66" i="2"/>
  <c r="H72" i="2"/>
  <c r="T70" i="2"/>
  <c r="F68" i="2" l="1"/>
  <c r="Z67" i="2"/>
  <c r="T71" i="2"/>
  <c r="H73" i="2"/>
  <c r="F69" i="2" l="1"/>
  <c r="Z68" i="2"/>
  <c r="H74" i="2"/>
  <c r="T72" i="2"/>
  <c r="F70" i="2" l="1"/>
  <c r="Z69" i="2"/>
  <c r="T73" i="2"/>
  <c r="H75" i="2"/>
  <c r="F71" i="2" l="1"/>
  <c r="Z70" i="2"/>
  <c r="H76" i="2"/>
  <c r="T74" i="2"/>
  <c r="F72" i="2" l="1"/>
  <c r="Z71" i="2"/>
  <c r="T75" i="2"/>
  <c r="H77" i="2"/>
  <c r="F73" i="2" l="1"/>
  <c r="Z72" i="2"/>
  <c r="H78" i="2"/>
  <c r="T76" i="2"/>
  <c r="F74" i="2" l="1"/>
  <c r="Z73" i="2"/>
  <c r="T77" i="2"/>
  <c r="H79" i="2"/>
  <c r="F75" i="2" l="1"/>
  <c r="Z74" i="2"/>
  <c r="H80" i="2"/>
  <c r="T78" i="2"/>
  <c r="F76" i="2" l="1"/>
  <c r="Z75" i="2"/>
  <c r="T79" i="2"/>
  <c r="H81" i="2"/>
  <c r="F77" i="2" l="1"/>
  <c r="Z76" i="2"/>
  <c r="H82" i="2"/>
  <c r="T80" i="2"/>
  <c r="F78" i="2" l="1"/>
  <c r="Z77" i="2"/>
  <c r="T81" i="2"/>
  <c r="H83" i="2"/>
  <c r="F79" i="2" l="1"/>
  <c r="Z78" i="2"/>
  <c r="H84" i="2"/>
  <c r="T82" i="2"/>
  <c r="F80" i="2" l="1"/>
  <c r="Z79" i="2"/>
  <c r="T83" i="2"/>
  <c r="H85" i="2"/>
  <c r="F81" i="2" l="1"/>
  <c r="Z80" i="2"/>
  <c r="H86" i="2"/>
  <c r="T84" i="2"/>
  <c r="F82" i="2" l="1"/>
  <c r="Z81" i="2"/>
  <c r="T85" i="2"/>
  <c r="H87" i="2"/>
  <c r="F83" i="2" l="1"/>
  <c r="Z82" i="2"/>
  <c r="T86" i="2"/>
  <c r="H88" i="2"/>
  <c r="F84" i="2" l="1"/>
  <c r="Z83" i="2"/>
  <c r="H89" i="2"/>
  <c r="T87" i="2"/>
  <c r="F85" i="2" l="1"/>
  <c r="Z84" i="2"/>
  <c r="T88" i="2"/>
  <c r="H90" i="2"/>
  <c r="F86" i="2" l="1"/>
  <c r="Z85" i="2"/>
  <c r="H91" i="2"/>
  <c r="T89" i="2"/>
  <c r="F87" i="2" l="1"/>
  <c r="Z86" i="2"/>
  <c r="T90" i="2"/>
  <c r="H92" i="2"/>
  <c r="F88" i="2" l="1"/>
  <c r="Z87" i="2"/>
  <c r="H93" i="2"/>
  <c r="T91" i="2"/>
  <c r="F89" i="2" l="1"/>
  <c r="Z88" i="2"/>
  <c r="T92" i="2"/>
  <c r="H94" i="2"/>
  <c r="F90" i="2" l="1"/>
  <c r="Z89" i="2"/>
  <c r="H95" i="2"/>
  <c r="T93" i="2"/>
  <c r="F91" i="2" l="1"/>
  <c r="Z90" i="2"/>
  <c r="T94" i="2"/>
  <c r="H96" i="2"/>
  <c r="F92" i="2" l="1"/>
  <c r="Z91" i="2"/>
  <c r="H97" i="2"/>
  <c r="T95" i="2"/>
  <c r="F93" i="2" l="1"/>
  <c r="Z92" i="2"/>
  <c r="T96" i="2"/>
  <c r="H98" i="2"/>
  <c r="F94" i="2" l="1"/>
  <c r="Z93" i="2"/>
  <c r="H99" i="2"/>
  <c r="T97" i="2"/>
  <c r="F95" i="2" l="1"/>
  <c r="Z94" i="2"/>
  <c r="T98" i="2"/>
  <c r="H100" i="2"/>
  <c r="F96" i="2" l="1"/>
  <c r="Z95" i="2"/>
  <c r="H101" i="2"/>
  <c r="T99" i="2"/>
  <c r="F97" i="2" l="1"/>
  <c r="Z96" i="2"/>
  <c r="T100" i="2"/>
  <c r="H102" i="2"/>
  <c r="F98" i="2" l="1"/>
  <c r="Z97" i="2"/>
  <c r="H103" i="2"/>
  <c r="T101" i="2"/>
  <c r="F99" i="2" l="1"/>
  <c r="Z98" i="2"/>
  <c r="T102" i="2"/>
  <c r="H104" i="2"/>
  <c r="F100" i="2" l="1"/>
  <c r="Z99" i="2"/>
  <c r="H105" i="2"/>
  <c r="T103" i="2"/>
  <c r="F101" i="2" l="1"/>
  <c r="Z100" i="2"/>
  <c r="T104" i="2"/>
  <c r="H106" i="2"/>
  <c r="F102" i="2" l="1"/>
  <c r="Z101" i="2"/>
  <c r="H107" i="2"/>
  <c r="T105" i="2"/>
  <c r="F103" i="2" l="1"/>
  <c r="Z102" i="2"/>
  <c r="T106" i="2"/>
  <c r="H108" i="2"/>
  <c r="F104" i="2" l="1"/>
  <c r="Z103" i="2"/>
  <c r="H109" i="2"/>
  <c r="T107" i="2"/>
  <c r="F105" i="2" l="1"/>
  <c r="Z104" i="2"/>
  <c r="T108" i="2"/>
  <c r="H110" i="2"/>
  <c r="F106" i="2" l="1"/>
  <c r="Z105" i="2"/>
  <c r="H111" i="2"/>
  <c r="T109" i="2"/>
  <c r="F107" i="2" l="1"/>
  <c r="Z106" i="2"/>
  <c r="T110" i="2"/>
  <c r="H112" i="2"/>
  <c r="F108" i="2" l="1"/>
  <c r="Z107" i="2"/>
  <c r="H113" i="2"/>
  <c r="T111" i="2"/>
  <c r="F109" i="2" l="1"/>
  <c r="Z108" i="2"/>
  <c r="T112" i="2"/>
  <c r="H114" i="2"/>
  <c r="F110" i="2" l="1"/>
  <c r="Z109" i="2"/>
  <c r="H115" i="2"/>
  <c r="T113" i="2"/>
  <c r="F111" i="2" l="1"/>
  <c r="Z110" i="2"/>
  <c r="T114" i="2"/>
  <c r="H116" i="2"/>
  <c r="F112" i="2" l="1"/>
  <c r="Z111" i="2"/>
  <c r="H117" i="2"/>
  <c r="T115" i="2"/>
  <c r="F113" i="2" l="1"/>
  <c r="Z112" i="2"/>
  <c r="T116" i="2"/>
  <c r="H118" i="2"/>
  <c r="F114" i="2" l="1"/>
  <c r="Z113" i="2"/>
  <c r="T117" i="2"/>
  <c r="H119" i="2"/>
  <c r="F115" i="2" l="1"/>
  <c r="Z114" i="2"/>
  <c r="H120" i="2"/>
  <c r="T118" i="2"/>
  <c r="F116" i="2" l="1"/>
  <c r="Z115" i="2"/>
  <c r="T119" i="2"/>
  <c r="H121" i="2"/>
  <c r="F117" i="2" l="1"/>
  <c r="Z116" i="2"/>
  <c r="H122" i="2"/>
  <c r="T120" i="2"/>
  <c r="F118" i="2" l="1"/>
  <c r="Z117" i="2"/>
  <c r="T121" i="2"/>
  <c r="H123" i="2"/>
  <c r="F119" i="2" l="1"/>
  <c r="Z118" i="2"/>
  <c r="H124" i="2"/>
  <c r="T122" i="2"/>
  <c r="F120" i="2" l="1"/>
  <c r="Z119" i="2"/>
  <c r="T123" i="2"/>
  <c r="H125" i="2"/>
  <c r="F121" i="2" l="1"/>
  <c r="Z120" i="2"/>
  <c r="H126" i="2"/>
  <c r="T124" i="2"/>
  <c r="F122" i="2" l="1"/>
  <c r="Z121" i="2"/>
  <c r="T125" i="2"/>
  <c r="H127" i="2"/>
  <c r="F123" i="2" l="1"/>
  <c r="Z122" i="2"/>
  <c r="H128" i="2"/>
  <c r="T126" i="2"/>
  <c r="F124" i="2" l="1"/>
  <c r="Z123" i="2"/>
  <c r="T127" i="2"/>
  <c r="H129" i="2"/>
  <c r="F125" i="2" l="1"/>
  <c r="Z124" i="2"/>
  <c r="H130" i="2"/>
  <c r="T128" i="2"/>
  <c r="F126" i="2" l="1"/>
  <c r="Z125" i="2"/>
  <c r="T129" i="2"/>
  <c r="H131" i="2"/>
  <c r="F127" i="2" l="1"/>
  <c r="Z126" i="2"/>
  <c r="H132" i="2"/>
  <c r="T130" i="2"/>
  <c r="F128" i="2" l="1"/>
  <c r="Z127" i="2"/>
  <c r="T131" i="2"/>
  <c r="H133" i="2"/>
  <c r="F129" i="2" l="1"/>
  <c r="Z128" i="2"/>
  <c r="T132" i="2"/>
  <c r="H134" i="2"/>
  <c r="F130" i="2" l="1"/>
  <c r="Z129" i="2"/>
  <c r="H135" i="2"/>
  <c r="T133" i="2"/>
  <c r="F131" i="2" l="1"/>
  <c r="Z130" i="2"/>
  <c r="T134" i="2"/>
  <c r="H136" i="2"/>
  <c r="F132" i="2" l="1"/>
  <c r="Z131" i="2"/>
  <c r="H137" i="2"/>
  <c r="T135" i="2"/>
  <c r="F133" i="2" l="1"/>
  <c r="Z132" i="2"/>
  <c r="H138" i="2"/>
  <c r="T136" i="2"/>
  <c r="F134" i="2" l="1"/>
  <c r="Z133" i="2"/>
  <c r="T137" i="2"/>
  <c r="H139" i="2"/>
  <c r="F135" i="2" l="1"/>
  <c r="Z134" i="2"/>
  <c r="H140" i="2"/>
  <c r="T138" i="2"/>
  <c r="F136" i="2" l="1"/>
  <c r="Z135" i="2"/>
  <c r="T139" i="2"/>
  <c r="H141" i="2"/>
  <c r="F137" i="2" l="1"/>
  <c r="Z136" i="2"/>
  <c r="T140" i="2"/>
  <c r="H142" i="2"/>
  <c r="F138" i="2" l="1"/>
  <c r="Z137" i="2"/>
  <c r="H143" i="2"/>
  <c r="T141" i="2"/>
  <c r="F139" i="2" l="1"/>
  <c r="Z138" i="2"/>
  <c r="T142" i="2"/>
  <c r="H144" i="2"/>
  <c r="F140" i="2" l="1"/>
  <c r="Z139" i="2"/>
  <c r="H145" i="2"/>
  <c r="T143" i="2"/>
  <c r="F141" i="2" l="1"/>
  <c r="Z140" i="2"/>
  <c r="H146" i="2"/>
  <c r="T144" i="2"/>
  <c r="F142" i="2" l="1"/>
  <c r="Z141" i="2"/>
  <c r="T145" i="2"/>
  <c r="H147" i="2"/>
  <c r="F143" i="2" l="1"/>
  <c r="Z142" i="2"/>
  <c r="H148" i="2"/>
  <c r="T146" i="2"/>
  <c r="F144" i="2" l="1"/>
  <c r="Z143" i="2"/>
  <c r="T147" i="2"/>
  <c r="H149" i="2"/>
  <c r="F145" i="2" l="1"/>
  <c r="Z144" i="2"/>
  <c r="H150" i="2"/>
  <c r="T148" i="2"/>
  <c r="F146" i="2" l="1"/>
  <c r="Z145" i="2"/>
  <c r="T149" i="2"/>
  <c r="H151" i="2"/>
  <c r="F147" i="2" l="1"/>
  <c r="Z146" i="2"/>
  <c r="H152" i="2"/>
  <c r="T150" i="2"/>
  <c r="F148" i="2" l="1"/>
  <c r="Z147" i="2"/>
  <c r="T151" i="2"/>
  <c r="H153" i="2"/>
  <c r="F149" i="2" l="1"/>
  <c r="Z148" i="2"/>
  <c r="H154" i="2"/>
  <c r="T152" i="2"/>
  <c r="F150" i="2" l="1"/>
  <c r="Z149" i="2"/>
  <c r="T153" i="2"/>
  <c r="H155" i="2"/>
  <c r="F151" i="2" l="1"/>
  <c r="Z150" i="2"/>
  <c r="H156" i="2"/>
  <c r="T154" i="2"/>
  <c r="F152" i="2" l="1"/>
  <c r="Z151" i="2"/>
  <c r="T155" i="2"/>
  <c r="H157" i="2"/>
  <c r="F153" i="2" l="1"/>
  <c r="Z152" i="2"/>
  <c r="H158" i="2"/>
  <c r="T156" i="2"/>
  <c r="F154" i="2" l="1"/>
  <c r="Z153" i="2"/>
  <c r="T157" i="2"/>
  <c r="H159" i="2"/>
  <c r="F155" i="2" l="1"/>
  <c r="Z154" i="2"/>
  <c r="H160" i="2"/>
  <c r="T158" i="2"/>
  <c r="F156" i="2" l="1"/>
  <c r="Z155" i="2"/>
  <c r="T159" i="2"/>
  <c r="H161" i="2"/>
  <c r="F157" i="2" l="1"/>
  <c r="Z156" i="2"/>
  <c r="H162" i="2"/>
  <c r="T160" i="2"/>
  <c r="F158" i="2" l="1"/>
  <c r="Z157" i="2"/>
  <c r="T161" i="2"/>
  <c r="H163" i="2"/>
  <c r="F159" i="2" l="1"/>
  <c r="Z158" i="2"/>
  <c r="H164" i="2"/>
  <c r="T162" i="2"/>
  <c r="F160" i="2" l="1"/>
  <c r="Z159" i="2"/>
  <c r="T163" i="2"/>
  <c r="H165" i="2"/>
  <c r="F161" i="2" l="1"/>
  <c r="Z160" i="2"/>
  <c r="H166" i="2"/>
  <c r="T164" i="2"/>
  <c r="F162" i="2" l="1"/>
  <c r="Z161" i="2"/>
  <c r="T165" i="2"/>
  <c r="H167" i="2"/>
  <c r="F163" i="2" l="1"/>
  <c r="Z162" i="2"/>
  <c r="H168" i="2"/>
  <c r="T166" i="2"/>
  <c r="F164" i="2" l="1"/>
  <c r="Z163" i="2"/>
  <c r="T167" i="2"/>
  <c r="H169" i="2"/>
  <c r="F165" i="2" l="1"/>
  <c r="Z164" i="2"/>
  <c r="H170" i="2"/>
  <c r="T168" i="2"/>
  <c r="F166" i="2" l="1"/>
  <c r="Z165" i="2"/>
  <c r="T169" i="2"/>
  <c r="H171" i="2"/>
  <c r="F167" i="2" l="1"/>
  <c r="Z166" i="2"/>
  <c r="H172" i="2"/>
  <c r="T170" i="2"/>
  <c r="F168" i="2" l="1"/>
  <c r="Z167" i="2"/>
  <c r="T171" i="2"/>
  <c r="H173" i="2"/>
  <c r="F169" i="2" l="1"/>
  <c r="Z168" i="2"/>
  <c r="H174" i="2"/>
  <c r="T172" i="2"/>
  <c r="F170" i="2" l="1"/>
  <c r="Z169" i="2"/>
  <c r="T173" i="2"/>
  <c r="H175" i="2"/>
  <c r="F171" i="2" l="1"/>
  <c r="Z170" i="2"/>
  <c r="H176" i="2"/>
  <c r="T174" i="2"/>
  <c r="F172" i="2" l="1"/>
  <c r="Z171" i="2"/>
  <c r="T175" i="2"/>
  <c r="H177" i="2"/>
  <c r="F173" i="2" l="1"/>
  <c r="Z172" i="2"/>
  <c r="H178" i="2"/>
  <c r="T176" i="2"/>
  <c r="F174" i="2" l="1"/>
  <c r="Z173" i="2"/>
  <c r="T177" i="2"/>
  <c r="H179" i="2"/>
  <c r="F175" i="2" l="1"/>
  <c r="Z174" i="2"/>
  <c r="H180" i="2"/>
  <c r="T178" i="2"/>
  <c r="F176" i="2" l="1"/>
  <c r="Z175" i="2"/>
  <c r="T179" i="2"/>
  <c r="H181" i="2"/>
  <c r="F177" i="2" l="1"/>
  <c r="Z176" i="2"/>
  <c r="H182" i="2"/>
  <c r="T180" i="2"/>
  <c r="F178" i="2" l="1"/>
  <c r="Z177" i="2"/>
  <c r="T181" i="2"/>
  <c r="H183" i="2"/>
  <c r="F179" i="2" l="1"/>
  <c r="Z178" i="2"/>
  <c r="H184" i="2"/>
  <c r="T182" i="2"/>
  <c r="F180" i="2" l="1"/>
  <c r="Z179" i="2"/>
  <c r="T183" i="2"/>
  <c r="H185" i="2"/>
  <c r="F181" i="2" l="1"/>
  <c r="Z180" i="2"/>
  <c r="H186" i="2"/>
  <c r="T184" i="2"/>
  <c r="F182" i="2" l="1"/>
  <c r="Z181" i="2"/>
  <c r="T185" i="2"/>
  <c r="H187" i="2"/>
  <c r="F183" i="2" l="1"/>
  <c r="Z182" i="2"/>
  <c r="H189" i="2"/>
  <c r="T186" i="2"/>
  <c r="F184" i="2" l="1"/>
  <c r="Z183" i="2"/>
  <c r="T187" i="2"/>
  <c r="H190" i="2"/>
  <c r="F185" i="2" l="1"/>
  <c r="Z184" i="2"/>
  <c r="H191" i="2"/>
  <c r="T189" i="2"/>
  <c r="F186" i="2" l="1"/>
  <c r="Z185" i="2"/>
  <c r="T190" i="2"/>
  <c r="H192" i="2"/>
  <c r="F187" i="2" l="1"/>
  <c r="Z186" i="2"/>
  <c r="H193" i="2"/>
  <c r="T191" i="2"/>
  <c r="F189" i="2" l="1"/>
  <c r="Z187" i="2"/>
  <c r="T192" i="2"/>
  <c r="H194" i="2"/>
  <c r="F190" i="2" l="1"/>
  <c r="Z189" i="2"/>
  <c r="H195" i="2"/>
  <c r="T193" i="2"/>
  <c r="F191" i="2" l="1"/>
  <c r="Z190" i="2"/>
  <c r="T194" i="2"/>
  <c r="H196" i="2"/>
  <c r="F192" i="2" l="1"/>
  <c r="Z191" i="2"/>
  <c r="H197" i="2"/>
  <c r="T195" i="2"/>
  <c r="F193" i="2" l="1"/>
  <c r="Z192" i="2"/>
  <c r="T196" i="2"/>
  <c r="H198" i="2"/>
  <c r="F194" i="2" l="1"/>
  <c r="Z193" i="2"/>
  <c r="H199" i="2"/>
  <c r="T197" i="2"/>
  <c r="F195" i="2" l="1"/>
  <c r="Z194" i="2"/>
  <c r="T198" i="2"/>
  <c r="H200" i="2"/>
  <c r="F196" i="2" l="1"/>
  <c r="Z195" i="2"/>
  <c r="H201" i="2"/>
  <c r="T199" i="2"/>
  <c r="F197" i="2" l="1"/>
  <c r="Z196" i="2"/>
  <c r="T200" i="2"/>
  <c r="H202" i="2"/>
  <c r="F198" i="2" l="1"/>
  <c r="Z197" i="2"/>
  <c r="H203" i="2"/>
  <c r="T201" i="2"/>
  <c r="F199" i="2" l="1"/>
  <c r="Z198" i="2"/>
  <c r="T202" i="2"/>
  <c r="H204" i="2"/>
  <c r="F200" i="2" l="1"/>
  <c r="Z199" i="2"/>
  <c r="H205" i="2"/>
  <c r="T203" i="2"/>
  <c r="F201" i="2" l="1"/>
  <c r="Z200" i="2"/>
  <c r="T204" i="2"/>
  <c r="H206" i="2"/>
  <c r="F202" i="2" l="1"/>
  <c r="Z201" i="2"/>
  <c r="H207" i="2"/>
  <c r="T205" i="2"/>
  <c r="F203" i="2" l="1"/>
  <c r="Z202" i="2"/>
  <c r="T206" i="2"/>
  <c r="H208" i="2"/>
  <c r="F204" i="2" l="1"/>
  <c r="Z203" i="2"/>
  <c r="H209" i="2"/>
  <c r="T207" i="2"/>
  <c r="F205" i="2" l="1"/>
  <c r="Z204" i="2"/>
  <c r="T208" i="2"/>
  <c r="H210" i="2"/>
  <c r="F206" i="2" l="1"/>
  <c r="Z205" i="2"/>
  <c r="H211" i="2"/>
  <c r="T209" i="2"/>
  <c r="F207" i="2" l="1"/>
  <c r="Z206" i="2"/>
  <c r="T210" i="2"/>
  <c r="H212" i="2"/>
  <c r="F208" i="2" l="1"/>
  <c r="Z207" i="2"/>
  <c r="H213" i="2"/>
  <c r="T211" i="2"/>
  <c r="F209" i="2" l="1"/>
  <c r="Z208" i="2"/>
  <c r="T212" i="2"/>
  <c r="H214" i="2"/>
  <c r="F210" i="2" l="1"/>
  <c r="Z209" i="2"/>
  <c r="H215" i="2"/>
  <c r="T213" i="2"/>
  <c r="F211" i="2" l="1"/>
  <c r="Z210" i="2"/>
  <c r="T214" i="2"/>
  <c r="H216" i="2"/>
  <c r="F212" i="2" l="1"/>
  <c r="Z211" i="2"/>
  <c r="H217" i="2"/>
  <c r="T215" i="2"/>
  <c r="F213" i="2" l="1"/>
  <c r="Z212" i="2"/>
  <c r="T216" i="2"/>
  <c r="H218" i="2"/>
  <c r="F214" i="2" l="1"/>
  <c r="Z213" i="2"/>
  <c r="H219" i="2"/>
  <c r="T217" i="2"/>
  <c r="F215" i="2" l="1"/>
  <c r="Z214" i="2"/>
  <c r="T218" i="2"/>
  <c r="H220" i="2"/>
  <c r="F216" i="2" l="1"/>
  <c r="Z215" i="2"/>
  <c r="H221" i="2"/>
  <c r="T219" i="2"/>
  <c r="F217" i="2" l="1"/>
  <c r="Z216" i="2"/>
  <c r="T220" i="2"/>
  <c r="H222" i="2"/>
  <c r="F218" i="2" l="1"/>
  <c r="Z217" i="2"/>
  <c r="H223" i="2"/>
  <c r="T221" i="2"/>
  <c r="F219" i="2" l="1"/>
  <c r="Z218" i="2"/>
  <c r="T222" i="2"/>
  <c r="H224" i="2"/>
  <c r="F220" i="2" l="1"/>
  <c r="Z219" i="2"/>
  <c r="H225" i="2"/>
  <c r="T223" i="2"/>
  <c r="F221" i="2" l="1"/>
  <c r="Z220" i="2"/>
  <c r="T224" i="2"/>
  <c r="H226" i="2"/>
  <c r="F222" i="2" l="1"/>
  <c r="Z221" i="2"/>
  <c r="H227" i="2"/>
  <c r="T225" i="2"/>
  <c r="F223" i="2" l="1"/>
  <c r="Z222" i="2"/>
  <c r="T226" i="2"/>
  <c r="H228" i="2"/>
  <c r="F224" i="2" l="1"/>
  <c r="Z223" i="2"/>
  <c r="H229" i="2"/>
  <c r="T227" i="2"/>
  <c r="F225" i="2" l="1"/>
  <c r="Z224" i="2"/>
  <c r="T228" i="2"/>
  <c r="H230" i="2"/>
  <c r="F226" i="2" l="1"/>
  <c r="Z225" i="2"/>
  <c r="H231" i="2"/>
  <c r="T229" i="2"/>
  <c r="F227" i="2" l="1"/>
  <c r="Z226" i="2"/>
  <c r="T230" i="2"/>
  <c r="H232" i="2"/>
  <c r="F228" i="2" l="1"/>
  <c r="Z227" i="2"/>
  <c r="H233" i="2"/>
  <c r="T231" i="2"/>
  <c r="F229" i="2" l="1"/>
  <c r="Z228" i="2"/>
  <c r="T232" i="2"/>
  <c r="H234" i="2"/>
  <c r="F230" i="2" l="1"/>
  <c r="Z229" i="2"/>
  <c r="H235" i="2"/>
  <c r="T233" i="2"/>
  <c r="F231" i="2" l="1"/>
  <c r="Z230" i="2"/>
  <c r="T234" i="2"/>
  <c r="H236" i="2"/>
  <c r="F232" i="2" l="1"/>
  <c r="Z231" i="2"/>
  <c r="H237" i="2"/>
  <c r="T235" i="2"/>
  <c r="F233" i="2" l="1"/>
  <c r="Z232" i="2"/>
  <c r="T236" i="2"/>
  <c r="H238" i="2"/>
  <c r="F234" i="2" l="1"/>
  <c r="Z233" i="2"/>
  <c r="H239" i="2"/>
  <c r="T237" i="2"/>
  <c r="F235" i="2" l="1"/>
  <c r="Z234" i="2"/>
  <c r="T238" i="2"/>
  <c r="H240" i="2"/>
  <c r="F236" i="2" l="1"/>
  <c r="Z235" i="2"/>
  <c r="T239" i="2"/>
  <c r="F237" i="2" l="1"/>
  <c r="Z236" i="2"/>
  <c r="T240" i="2"/>
  <c r="F238" i="2" l="1"/>
  <c r="Z237" i="2"/>
  <c r="F239" i="2" l="1"/>
  <c r="Z238" i="2"/>
  <c r="F240" i="2" l="1"/>
  <c r="Z240" i="2" s="1"/>
  <c r="Z239"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<sst xmlns="http://schemas.openxmlformats.org/spreadsheetml/2006/main" count="9071" uniqueCount="2108">
  <si>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</si>
  <si>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</si>
  <si>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</si>
  <si>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</si>
  <si>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</si>
  <si>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</si>
  <si>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</si>
  <si>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</si>
  <si>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</si>
  <si>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</si>
  <si>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</si>
  <si>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</si>
  <si>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</si>
  <si>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</si>
  <si>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</si>
  <si>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</si>
  <si>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</si>
  <si>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</si>
  <si>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</si>
  <si>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</si>
  <si>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</si>
  <si>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</si>
  <si>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</si>
  <si>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</si>
  <si>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</si>
  <si>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</si>
  <si>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</si>
  <si>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</si>
  <si>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</si>
  <si>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</si>
  <si>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</si>
  <si>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</si>
  <si>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</si>
  <si>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</si>
  <si>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</si>
  <si>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</si>
  <si>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</si>
  <si>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</si>
  <si>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</si>
  <si>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</si>
  <si>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</si>
  <si>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</si>
  <si>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</si>
  <si>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</si>
  <si>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</si>
  <si>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</si>
  <si>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</si>
  <si>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</si>
  <si>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</si>
  <si>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</si>
  <si>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</si>
  <si>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</si>
  <si>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</si>
  <si>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</si>
  <si>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</si>
  <si>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</si>
  <si>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</si>
  <si>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</si>
  <si>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</si>
  <si>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</si>
  <si>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</si>
  <si>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</si>
  <si>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</si>
  <si>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</si>
  <si>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</si>
  <si>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</si>
  <si>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</si>
  <si>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</si>
  <si>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</si>
  <si>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</si>
  <si>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</si>
  <si>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</si>
  <si>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</si>
  <si>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</si>
  <si>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</si>
  <si>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</si>
  <si>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</si>
  <si>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</si>
  <si>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</si>
  <si>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</si>
  <si>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</si>
  <si>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</si>
  <si>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</si>
  <si>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</si>
  <si>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</si>
  <si>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</si>
  <si>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</si>
  <si>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</si>
  <si>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</si>
  <si>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</si>
  <si>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</si>
  <si>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</si>
  <si>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</si>
  <si>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</si>
  <si>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</si>
  <si>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</si>
  <si>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</si>
  <si>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</si>
  <si>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</si>
  <si>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</si>
  <si>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</si>
  <si>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</si>
  <si>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</si>
  <si>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</si>
  <si>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</si>
  <si>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</si>
  <si>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</si>
  <si>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</si>
  <si>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</si>
  <si>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</si>
  <si>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</si>
  <si>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</si>
  <si>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</si>
  <si>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</si>
  <si>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</si>
  <si>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</si>
  <si>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</si>
  <si>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</si>
  <si>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</si>
  <si>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</si>
  <si>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</si>
  <si>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</si>
  <si>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</si>
  <si>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</si>
  <si>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</si>
  <si>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</si>
  <si>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</si>
  <si>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</si>
  <si>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</si>
  <si>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</si>
  <si>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</si>
  <si>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</si>
  <si>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</si>
  <si>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</si>
  <si>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</si>
  <si>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</si>
  <si>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</si>
  <si>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</si>
  <si>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</si>
  <si>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</si>
  <si>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</si>
  <si>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</si>
  <si>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</si>
  <si>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</si>
  <si>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</si>
  <si>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</si>
  <si>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</si>
  <si>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</si>
  <si>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</si>
  <si>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</si>
  <si>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</si>
  <si>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</si>
  <si>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</si>
  <si>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</si>
  <si>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</si>
  <si>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</si>
  <si>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</si>
  <si>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</si>
  <si>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</si>
  <si>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</si>
  <si>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</si>
  <si>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</si>
  <si>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</si>
  <si>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</si>
  <si>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</si>
  <si>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</si>
  <si>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</si>
  <si>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</si>
  <si>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</si>
  <si>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</si>
  <si>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</si>
  <si>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</si>
  <si>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</si>
  <si>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</si>
  <si>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</si>
  <si>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</si>
  <si>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</si>
  <si>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</si>
  <si>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</si>
  <si>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</si>
  <si>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</si>
  <si>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</si>
  <si>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</si>
  <si>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</si>
  <si>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</si>
  <si>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</si>
  <si>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</si>
  <si>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</si>
  <si>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</si>
  <si>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</si>
  <si>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</si>
  <si>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</si>
  <si>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</si>
  <si>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</si>
  <si>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</si>
  <si>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</si>
  <si>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</si>
  <si>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</si>
  <si>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</si>
  <si>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</si>
  <si>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</si>
  <si>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</si>
  <si>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</si>
  <si>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</si>
  <si>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</si>
  <si>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</si>
  <si>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</si>
  <si>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</si>
  <si>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</si>
  <si>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</si>
  <si>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</si>
  <si>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</si>
  <si>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</si>
  <si>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</si>
  <si>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</si>
  <si>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</si>
  <si>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</si>
  <si>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</si>
  <si>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</si>
  <si>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</si>
  <si>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</si>
  <si>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</si>
  <si>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</si>
  <si>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</si>
  <si>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</si>
  <si>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</si>
  <si>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</si>
  <si>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</si>
  <si>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</si>
  <si>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</si>
  <si>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</si>
  <si>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</si>
  <si>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</si>
  <si>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</si>
  <si>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</si>
  <si>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</si>
  <si>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</si>
  <si>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</si>
  <si>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</si>
  <si>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</si>
  <si>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</si>
  <si>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</si>
  <si>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</si>
  <si>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</si>
  <si>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</si>
  <si>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</si>
  <si>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</si>
  <si>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</si>
  <si>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</si>
  <si>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</si>
  <si>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</si>
  <si>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</si>
  <si>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</si>
  <si>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</si>
  <si>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</si>
  <si>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</si>
  <si>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</si>
  <si>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</si>
  <si>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</si>
  <si>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</si>
  <si>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</si>
  <si>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</si>
  <si>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</si>
  <si>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</si>
  <si>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</si>
  <si>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</si>
  <si>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</si>
  <si>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</si>
  <si>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</si>
  <si>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</si>
  <si>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</si>
  <si>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</si>
  <si>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</si>
  <si>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</si>
  <si>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</si>
  <si>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</si>
  <si>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</si>
  <si>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</si>
  <si>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</si>
  <si>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</si>
  <si>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</si>
  <si>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</si>
  <si>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</si>
  <si>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</si>
  <si>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</si>
  <si>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</si>
  <si>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</si>
  <si>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</si>
  <si>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</si>
  <si>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</si>
  <si>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</si>
  <si>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</si>
  <si>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</si>
  <si>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</si>
  <si>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</si>
  <si>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</si>
  <si>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</si>
  <si>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</si>
  <si>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</si>
  <si>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</si>
  <si>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</si>
  <si>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</si>
  <si>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</si>
  <si>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</si>
  <si>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</si>
  <si>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</si>
  <si>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</si>
  <si>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</si>
  <si>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</si>
  <si>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</si>
  <si>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</si>
  <si>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</si>
  <si>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</si>
  <si>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</si>
  <si>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</si>
  <si>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</si>
  <si>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</si>
  <si>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</si>
  <si>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</si>
  <si>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</si>
  <si>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</si>
  <si>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</si>
  <si>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</si>
  <si>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</si>
  <si>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</si>
  <si>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</si>
  <si>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</si>
  <si>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</si>
  <si>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</si>
  <si>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</si>
  <si>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</si>
  <si>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</si>
  <si>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</si>
  <si>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</si>
  <si>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</si>
  <si>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</si>
  <si>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</si>
  <si>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</si>
  <si>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</si>
  <si>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</si>
  <si>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</si>
  <si>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</si>
  <si>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</si>
  <si>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</si>
  <si>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</si>
  <si>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</si>
  <si>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</si>
  <si>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</si>
  <si>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</si>
  <si>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</si>
  <si>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</si>
  <si>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</si>
  <si>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</si>
  <si>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</si>
  <si>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</si>
  <si>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</si>
  <si>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</si>
  <si>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</si>
  <si>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</si>
  <si>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</si>
  <si>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</si>
  <si>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</si>
  <si>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</si>
  <si>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</si>
  <si>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</si>
  <si>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</si>
  <si>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</si>
  <si>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</si>
  <si>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</si>
  <si>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</si>
  <si>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</si>
  <si>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</si>
  <si>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</si>
  <si>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</si>
  <si>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</si>
  <si>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</si>
  <si>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</si>
  <si>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</si>
  <si>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</si>
  <si>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</si>
  <si>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</si>
  <si>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</si>
  <si>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</si>
  <si>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</si>
  <si>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</si>
  <si>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</si>
  <si>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</si>
  <si>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</si>
  <si>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</si>
  <si>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</si>
  <si>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</si>
  <si>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</si>
  <si>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</si>
  <si>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</si>
  <si>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</si>
  <si>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</si>
  <si>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</si>
  <si>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</si>
  <si>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</si>
  <si>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</si>
  <si>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</si>
  <si>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</si>
  <si>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</si>
  <si>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</si>
  <si>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</si>
  <si>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</si>
  <si>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</si>
  <si>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</si>
  <si>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</si>
  <si>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</si>
  <si>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</si>
  <si>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</si>
  <si>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</si>
  <si>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</si>
  <si>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</si>
  <si>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</si>
  <si>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</si>
  <si>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</si>
  <si>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</si>
  <si>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</si>
  <si>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</si>
  <si>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</si>
  <si>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</si>
  <si>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</si>
  <si>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</si>
  <si>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</si>
  <si>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</si>
  <si>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</si>
  <si>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</si>
  <si>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</si>
  <si>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</si>
  <si>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</si>
  <si>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</si>
  <si>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</si>
  <si>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</si>
  <si>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</si>
  <si>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</si>
  <si>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</si>
  <si>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</si>
  <si>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</si>
  <si>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</si>
  <si>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</si>
  <si>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</si>
  <si>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</si>
  <si>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</si>
  <si>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</si>
  <si>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</si>
  <si>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</si>
  <si>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</si>
  <si>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</si>
  <si>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</si>
  <si>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</si>
  <si>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</si>
  <si>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</si>
  <si>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</si>
  <si>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</si>
  <si>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</si>
  <si>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</si>
  <si>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</si>
  <si>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</si>
  <si>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</si>
  <si>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</si>
  <si>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</si>
  <si>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</si>
  <si>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</si>
  <si>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</si>
  <si>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</si>
  <si>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</si>
  <si>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</si>
  <si>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</si>
  <si>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</si>
  <si>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</si>
  <si>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</si>
  <si>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</si>
  <si>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</si>
  <si>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</si>
  <si>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</si>
  <si>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</si>
  <si>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</si>
  <si>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</si>
  <si>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</si>
  <si>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</si>
  <si>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</si>
  <si>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</si>
  <si>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</si>
  <si>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</si>
  <si>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</si>
  <si>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</si>
  <si>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</si>
  <si>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</si>
  <si>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</si>
  <si>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</si>
  <si>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</si>
  <si>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</si>
  <si>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</si>
  <si>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</si>
  <si>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</si>
  <si>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</si>
  <si>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</si>
  <si>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</si>
  <si>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</si>
  <si>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</si>
  <si>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</si>
  <si>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</si>
  <si>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</si>
  <si>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</si>
  <si>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</si>
  <si>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</si>
  <si>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</si>
  <si>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</si>
  <si>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</si>
  <si>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</si>
  <si>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</si>
  <si>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</si>
  <si>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</si>
  <si>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</si>
  <si>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</si>
  <si>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</si>
  <si>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</si>
  <si>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</si>
  <si>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</si>
  <si>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</si>
  <si>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</si>
  <si>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</si>
  <si>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</si>
  <si>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</si>
  <si>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</si>
  <si>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</si>
  <si>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</si>
  <si>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</si>
  <si>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</si>
  <si>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</si>
  <si>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</si>
  <si>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</si>
  <si>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</si>
  <si>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</si>
  <si>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</si>
  <si>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</si>
  <si>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</si>
  <si>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</si>
  <si>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</si>
  <si>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</si>
  <si>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</si>
  <si>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</si>
  <si>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</si>
  <si>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</si>
  <si>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</si>
  <si>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</si>
  <si>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</si>
  <si>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</si>
  <si>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</si>
  <si>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</si>
  <si>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</si>
  <si>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</si>
  <si>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</si>
  <si>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</si>
  <si>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</si>
  <si>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</si>
  <si>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</si>
  <si>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</si>
  <si>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</si>
  <si>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</si>
  <si>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</si>
  <si>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</si>
  <si>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</si>
  <si>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</si>
  <si>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</si>
  <si>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</si>
  <si>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</si>
  <si>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</si>
  <si>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</si>
  <si>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</si>
  <si>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</si>
  <si>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</si>
  <si>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</si>
  <si>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</si>
  <si>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</si>
  <si>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</si>
  <si>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</si>
  <si>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</si>
  <si>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</si>
  <si>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</si>
  <si>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</si>
  <si>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</si>
  <si>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</si>
  <si>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</si>
  <si>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</si>
  <si>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</si>
  <si>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</si>
  <si>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</si>
  <si>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</si>
  <si>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</si>
  <si>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</si>
  <si>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</si>
  <si>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</si>
  <si>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</si>
  <si>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</si>
  <si>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</si>
  <si>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</si>
  <si>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</si>
  <si>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</si>
  <si>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</si>
  <si>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</si>
  <si>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</si>
  <si>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</si>
  <si>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</si>
  <si>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</si>
  <si>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</si>
  <si>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</si>
  <si>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</si>
  <si>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</si>
  <si>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</si>
  <si>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</si>
  <si>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</si>
  <si>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</si>
  <si>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</si>
  <si>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</si>
  <si>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</si>
  <si>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</si>
  <si>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</si>
  <si>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</si>
  <si>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</si>
  <si>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</si>
  <si>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</si>
  <si>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</si>
  <si>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</si>
  <si>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</si>
  <si>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</si>
  <si>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</si>
  <si>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</si>
  <si>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</si>
  <si>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</si>
  <si>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</si>
  <si>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</si>
  <si>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</si>
  <si>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</si>
  <si>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</si>
  <si>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</si>
  <si>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</si>
  <si>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</si>
  <si>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</si>
  <si>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</si>
  <si>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</si>
  <si>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</si>
  <si>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</si>
  <si>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</si>
  <si>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</si>
  <si>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</si>
  <si>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</si>
  <si>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</si>
  <si>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</si>
  <si>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</si>
  <si>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</si>
  <si>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</si>
  <si>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</si>
  <si>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</si>
  <si>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</si>
  <si>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</si>
  <si>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</si>
  <si>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</si>
  <si>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</si>
  <si>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</si>
  <si>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</si>
  <si>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</si>
  <si>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</si>
  <si>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</si>
  <si>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</si>
  <si>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</si>
  <si>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</si>
  <si>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</si>
  <si>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</si>
  <si>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</si>
  <si>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</si>
  <si>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</si>
  <si>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</si>
  <si>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</si>
  <si>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</si>
  <si>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</si>
  <si>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</si>
  <si>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</si>
  <si>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</si>
  <si>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</si>
  <si>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</si>
  <si>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</si>
  <si>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</si>
  <si>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</si>
  <si>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</si>
  <si>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</si>
  <si>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</si>
  <si>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</si>
  <si>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</si>
  <si>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</si>
  <si>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</si>
  <si>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</si>
  <si>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</si>
  <si>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</si>
  <si>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</si>
  <si>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</si>
  <si>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</si>
  <si>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</si>
  <si>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</si>
  <si>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</si>
  <si>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</si>
  <si>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</si>
  <si>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</si>
  <si>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</si>
  <si>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</si>
  <si>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</si>
  <si>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</si>
  <si>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</si>
  <si>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</si>
  <si>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</si>
  <si>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</si>
  <si>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</si>
  <si>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</si>
  <si>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</si>
  <si>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</si>
  <si>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</si>
  <si>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</si>
  <si>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</si>
  <si>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</si>
  <si>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</si>
  <si>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</si>
  <si>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</si>
  <si>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</si>
  <si>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</si>
  <si>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</si>
  <si>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</si>
  <si>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</si>
  <si>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</si>
  <si>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</si>
  <si>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</si>
  <si>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</si>
  <si>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</si>
  <si>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</si>
  <si>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</si>
  <si>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</si>
  <si>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</si>
  <si>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</si>
  <si>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</si>
  <si>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</si>
  <si>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</si>
  <si>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</si>
  <si>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</si>
  <si>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</si>
  <si>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</si>
  <si>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</si>
  <si>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</si>
  <si>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</si>
  <si>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</si>
  <si>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</si>
  <si>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</si>
  <si>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</si>
  <si>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</si>
  <si>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</si>
  <si>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</si>
  <si>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</si>
  <si>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</si>
  <si>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</si>
  <si>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</si>
  <si>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</si>
  <si>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</si>
  <si>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</si>
  <si>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</si>
  <si>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</si>
  <si>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</si>
  <si>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</si>
  <si>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</si>
  <si>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</si>
  <si>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</si>
  <si>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</si>
  <si>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</si>
  <si>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</si>
  <si>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</si>
  <si>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</si>
  <si>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</si>
  <si>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</si>
  <si>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</si>
  <si>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</si>
  <si>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</si>
  <si>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</si>
  <si>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</si>
  <si>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</si>
  <si>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</si>
  <si>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</si>
  <si>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</si>
  <si>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</si>
  <si>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</si>
  <si>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</si>
  <si>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</si>
  <si>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</si>
  <si>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</si>
  <si>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</si>
  <si>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</si>
  <si>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</si>
  <si>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</si>
  <si>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</si>
  <si>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</si>
  <si>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</si>
  <si>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</si>
  <si>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</si>
  <si>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</si>
  <si>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</si>
  <si>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</si>
  <si>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</si>
  <si>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</si>
  <si>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</si>
  <si>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</si>
  <si>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</si>
  <si>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</si>
  <si>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</si>
  <si>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</si>
  <si>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</si>
  <si>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</si>
  <si>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</si>
  <si>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</si>
  <si>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</si>
  <si>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</si>
  <si>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</si>
  <si>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</si>
  <si>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</si>
  <si>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</si>
  <si>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</si>
  <si>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</si>
  <si>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</si>
  <si>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</si>
  <si>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</si>
  <si>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</si>
  <si>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</si>
  <si>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</si>
  <si>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</si>
  <si>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</si>
  <si>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</si>
  <si>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</si>
  <si>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</si>
  <si>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</si>
  <si>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</si>
  <si>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</si>
  <si>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</si>
  <si>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</si>
  <si>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</si>
  <si>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</si>
  <si>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</si>
  <si>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</si>
  <si>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</si>
  <si>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</si>
  <si>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</si>
  <si>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</si>
  <si>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</si>
  <si>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</si>
  <si>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</si>
  <si>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</si>
  <si>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</si>
  <si>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</si>
  <si>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</si>
  <si>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</si>
  <si>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</si>
  <si>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</si>
  <si>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</si>
  <si>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</si>
  <si>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</si>
  <si>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</si>
  <si>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</si>
  <si>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</si>
  <si>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</si>
  <si>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</si>
  <si>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</si>
  <si>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</si>
  <si>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</si>
  <si>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</si>
  <si>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</si>
  <si>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</si>
  <si>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</si>
  <si>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</si>
  <si>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</si>
  <si>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</si>
  <si>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</si>
  <si>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</si>
  <si>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</si>
  <si>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</si>
  <si>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</si>
  <si>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</si>
  <si>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</si>
  <si>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</si>
  <si>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</si>
  <si>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</si>
  <si>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</si>
  <si>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</si>
  <si>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</si>
  <si>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</si>
  <si>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</si>
  <si>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</si>
  <si>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</si>
  <si>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</si>
  <si>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</si>
  <si>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</si>
  <si>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</si>
  <si>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</si>
  <si>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</si>
  <si>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</si>
  <si>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</si>
  <si>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</si>
  <si>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</si>
  <si>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</si>
  <si>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</si>
  <si>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</si>
  <si>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</si>
  <si>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</si>
  <si>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</si>
  <si>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</si>
  <si>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</si>
  <si>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</si>
  <si>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</si>
  <si>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</si>
  <si>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</si>
  <si>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</si>
  <si>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</si>
  <si>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</si>
  <si>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</si>
  <si>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</si>
  <si>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</si>
  <si>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</si>
  <si>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</si>
  <si>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</si>
  <si>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</si>
  <si>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</si>
  <si>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</si>
  <si>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</si>
  <si>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</si>
  <si>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</si>
  <si>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</si>
  <si>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</si>
  <si>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</si>
  <si>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</si>
  <si>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</si>
  <si>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</si>
  <si>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</si>
  <si>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</si>
  <si>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</si>
  <si>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</si>
  <si>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</si>
  <si>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</si>
  <si>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 subtitle: </t>
  </si>
  <si>
    <t xml:space="preserve">, category: </t>
  </si>
  <si>
    <t xml:space="preserve">, moments: </t>
  </si>
  <si>
    <t xml:space="preserve">, url: </t>
  </si>
  <si>
    <t>URL</t>
  </si>
  <si>
    <t>moments</t>
  </si>
  <si>
    <t>category</t>
  </si>
  <si>
    <t>subtitle</t>
  </si>
  <si>
    <t>title</t>
  </si>
  <si>
    <t>id2</t>
  </si>
  <si>
    <t>title3</t>
  </si>
  <si>
    <t>subtitle4</t>
  </si>
  <si>
    <t>category5</t>
  </si>
  <si>
    <t>moments6</t>
  </si>
  <si>
    <t>URL7</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</si>
  <si>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</si>
  <si>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</si>
  <si>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</si>
  <si>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</si>
  <si>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</si>
  <si>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</si>
  <si>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</si>
  <si>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</si>
  <si>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</si>
  <si>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</si>
  <si>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</si>
  <si>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</si>
  <si>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</si>
  <si>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</si>
  <si>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</si>
  <si>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</si>
  <si>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</si>
  <si>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Si</t>
  </si>
  <si>
    <t>as</t>
  </si>
  <si>
    <t>CATEGORIA8</t>
  </si>
  <si>
    <t>Mi</t>
  </si>
  <si>
    <t>La</t>
  </si>
  <si>
    <t>Sol</t>
  </si>
  <si>
    <t>Do</t>
  </si>
  <si>
    <t>Re</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</si>
  <si>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</si>
  <si>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</si>
  <si>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</si>
  <si>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</si>
  <si>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</si>
  <si>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</si>
  <si>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</si>
  <si>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</si>
  <si>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</si>
  <si>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</si>
  <si>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</si>
  <si>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</si>
  <si>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</si>
  <si>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</si>
  <si>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</si>
  <si>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</si>
  <si>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</si>
  <si>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</si>
  <si>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</si>
  <si>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</si>
  <si>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</si>
  <si>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</si>
  <si>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</si>
  <si>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</si>
  <si>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</si>
  <si>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</si>
  <si>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</si>
  <si>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</si>
  <si>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</si>
  <si>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</si>
  <si>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</si>
  <si>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</si>
  <si>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</si>
  <si>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</si>
  <si>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</si>
  <si>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</si>
  <si>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</si>
  <si>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</si>
  <si>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</si>
  <si>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</si>
  <si>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</si>
  <si>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</si>
  <si>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</si>
  <si>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</si>
  <si>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</si>
  <si>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</si>
  <si>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</si>
  <si>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</si>
  <si>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</si>
  <si>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</si>
  <si>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</si>
  <si>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</si>
  <si>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</si>
  <si>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</si>
  <si>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</si>
  <si>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</si>
  <si>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</si>
  <si>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</si>
  <si>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</si>
  <si>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</si>
  <si>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</si>
  <si>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</si>
  <si>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</si>
  <si>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</si>
  <si>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</si>
  <si>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</si>
  <si>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</si>
  <si>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</si>
  <si>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</si>
  <si>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</si>
  <si>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</si>
  <si>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</si>
  <si>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</si>
  <si>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</si>
  <si>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</si>
  <si>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</si>
  <si>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</si>
  <si>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</si>
  <si>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</si>
  <si>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</si>
  <si>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</si>
  <si>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</si>
  <si>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</si>
  <si>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</si>
  <si>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</si>
  <si>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</si>
  <si>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</si>
  <si>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</si>
  <si>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</si>
  <si>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</si>
  <si>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</si>
  <si>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</si>
  <si>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</si>
  <si>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</si>
  <si>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</si>
  <si>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</si>
  <si>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</si>
  <si>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</si>
  <si>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</si>
  <si>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</si>
  <si>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</si>
  <si>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</si>
  <si>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</si>
  <si>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</si>
  <si>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</si>
  <si>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</si>
  <si>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</si>
  <si>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</si>
  <si>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</si>
  <si>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</si>
  <si>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</si>
  <si>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</si>
  <si>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</si>
  <si>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</si>
  <si>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</si>
  <si>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</si>
  <si>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</si>
  <si>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</si>
  <si>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</si>
  <si>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</si>
  <si>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</si>
  <si>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</si>
  <si>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</si>
  <si>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</si>
  <si>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</si>
  <si>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</si>
  <si>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</si>
  <si>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</si>
  <si>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</si>
  <si>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</si>
  <si>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</si>
  <si>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</si>
  <si>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</si>
  <si>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</si>
  <si>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</si>
  <si>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</si>
  <si>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</si>
  <si>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</si>
  <si>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</si>
  <si>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</si>
  <si>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</si>
  <si>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</si>
  <si>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</si>
  <si>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</si>
  <si>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</si>
  <si>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</si>
  <si>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</si>
  <si>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</si>
  <si>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</si>
  <si>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</si>
  <si>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</si>
  <si>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</si>
  <si>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</si>
  <si>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</si>
  <si>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</si>
  <si>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</si>
  <si>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</si>
  <si>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</si>
  <si>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</si>
  <si>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</si>
  <si>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</si>
  <si>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</si>
  <si>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</si>
  <si>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</si>
  <si>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</si>
  <si>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</si>
  <si>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</si>
  <si>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</si>
  <si>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</si>
  <si>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</si>
  <si>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</si>
  <si>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</si>
  <si>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</si>
  <si>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</si>
  <si>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</si>
  <si>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</si>
  <si>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</si>
  <si>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</si>
  <si>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</si>
  <si>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</si>
  <si>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</si>
  <si>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</si>
  <si>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</si>
  <si>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</si>
  <si>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</si>
  <si>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</si>
  <si>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</si>
  <si>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</si>
  <si>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</si>
  <si>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</si>
  <si>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</si>
  <si>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</si>
  <si>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</si>
  <si>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</si>
  <si>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</si>
  <si>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</si>
  <si>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</si>
  <si>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</si>
  <si>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</si>
  <si>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</si>
  <si>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</si>
  <si>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</si>
  <si>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</si>
  <si>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</si>
  <si>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</si>
  <si>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</si>
  <si>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</si>
  <si>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</si>
  <si>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</si>
  <si>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</si>
  <si>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</si>
  <si>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</si>
  <si>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</si>
  <si>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</si>
  <si>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</si>
  <si>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</si>
  <si>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</si>
  <si>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</si>
  <si>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</si>
  <si>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</si>
  <si>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</si>
  <si>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</si>
  <si>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</si>
  <si>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</si>
  <si>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</si>
  <si>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</si>
  <si>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</si>
  <si>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</si>
  <si>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</si>
  <si>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</si>
  <si>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</si>
  <si>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</si>
  <si>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</si>
  <si>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</si>
  <si>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</si>
  <si>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</si>
  <si>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</si>
  <si>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</si>
  <si>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</si>
  <si>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</si>
  <si>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</si>
  <si>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</si>
  <si>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</si>
  <si>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</si>
  <si>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</si>
  <si>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</si>
  <si>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</si>
  <si>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</si>
  <si>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</si>
  <si>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</si>
  <si>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</si>
  <si>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</si>
  <si>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</si>
  <si>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</si>
  <si>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</si>
  <si>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</si>
  <si>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</si>
  <si>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</si>
  <si>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</si>
  <si>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</si>
  <si>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</si>
  <si>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</si>
  <si>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</si>
  <si>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</si>
  <si>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</si>
  <si>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</si>
  <si>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</si>
  <si>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</si>
  <si>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</si>
  <si>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</si>
  <si>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</si>
  <si>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</si>
  <si>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</si>
  <si>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</si>
  <si>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</si>
  <si>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</si>
  <si>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</si>
  <si>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</si>
  <si>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</si>
  <si>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</si>
  <si>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</si>
  <si>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</si>
  <si>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</si>
  <si>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</si>
  <si>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</si>
  <si>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</si>
  <si>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</si>
  <si>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</si>
  <si>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</si>
  <si>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</si>
  <si>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</si>
  <si>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</si>
  <si>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</si>
  <si>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</si>
  <si>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</si>
  <si>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</si>
  <si>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</si>
  <si>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</si>
  <si>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</si>
  <si>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</si>
  <si>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</si>
  <si>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</si>
  <si>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</si>
  <si>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</si>
  <si>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</si>
  <si>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</si>
  <si>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</si>
  <si>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</si>
  <si>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</si>
  <si>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</si>
  <si>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</si>
  <si>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</si>
  <si>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</si>
  <si>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</si>
  <si>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</si>
  <si>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</si>
  <si>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</si>
  <si>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</si>
  <si>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</si>
  <si>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</si>
  <si>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</si>
  <si>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</si>
  <si>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</si>
  <si>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</si>
  <si>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</si>
  <si>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</si>
  <si>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</si>
  <si>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</si>
  <si>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</si>
  <si>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</si>
  <si>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</si>
  <si>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</si>
  <si>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</si>
  <si>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</si>
  <si>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</si>
  <si>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</si>
  <si>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</si>
  <si>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</si>
  <si>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</si>
  <si>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</si>
  <si>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</si>
  <si>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</si>
  <si>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</si>
  <si>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</si>
  <si>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</si>
  <si>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</si>
  <si>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</si>
  <si>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</si>
  <si>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</si>
  <si>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</si>
  <si>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</si>
  <si>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</si>
  <si>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</si>
  <si>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</si>
  <si>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</si>
  <si>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</si>
  <si>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</si>
  <si>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</si>
  <si>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</si>
  <si>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</si>
  <si>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</si>
  <si>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</si>
  <si>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</si>
  <si>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</si>
  <si>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</si>
  <si>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</si>
  <si>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</si>
  <si>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</si>
  <si>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</si>
  <si>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</si>
  <si>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</si>
  <si>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</si>
  <si>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</si>
  <si>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</si>
  <si>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</si>
  <si>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</si>
  <si>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</si>
  <si>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</si>
  <si>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</si>
  <si>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</si>
  <si>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</si>
  <si>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</si>
  <si>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</si>
  <si>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</si>
  <si>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</si>
  <si>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</si>
  <si>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</si>
  <si>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</si>
  <si>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</si>
  <si>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</si>
  <si>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</si>
  <si>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</si>
  <si>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</si>
  <si>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</si>
  <si>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</si>
  <si>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</si>
  <si>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</si>
  <si>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</si>
  <si>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</si>
  <si>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</si>
  <si>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</si>
  <si>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</si>
  <si>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</si>
  <si>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</si>
  <si>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</si>
  <si>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</si>
  <si>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</si>
  <si>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</si>
  <si>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</si>
  <si>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</si>
  <si>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</si>
  <si>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</si>
  <si>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</si>
  <si>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</si>
  <si>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</si>
  <si>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</si>
  <si>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</si>
  <si>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</si>
  <si>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</si>
  <si>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</si>
  <si>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</si>
  <si>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</si>
  <si>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</si>
  <si>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</si>
  <si>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</si>
  <si>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</si>
  <si>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</si>
  <si>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</si>
  <si>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</si>
  <si>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</si>
  <si>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</si>
  <si>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</si>
  <si>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</si>
  <si>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</si>
  <si>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</si>
  <si>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</si>
  <si>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</si>
  <si>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</si>
  <si>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</si>
  <si>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</si>
  <si>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</si>
  <si>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</si>
  <si>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</si>
  <si>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</si>
  <si>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</si>
  <si>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</si>
  <si>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</si>
  <si>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</si>
  <si>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</si>
  <si>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</si>
  <si>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</si>
  <si>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</si>
  <si>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</si>
  <si>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</si>
  <si>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</si>
  <si>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</si>
  <si>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</si>
  <si>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</si>
  <si>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</si>
  <si>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</si>
  <si>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</si>
  <si>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</si>
  <si>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</si>
  <si>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</si>
  <si>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</si>
  <si>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</si>
  <si>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</si>
  <si>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</si>
  <si>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</si>
  <si>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</si>
  <si>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</si>
  <si>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</si>
  <si>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</si>
  <si>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</si>
  <si>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</si>
  <si>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</si>
  <si>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</si>
  <si>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</si>
  <si>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</si>
  <si>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</si>
  <si>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</si>
  <si>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</si>
  <si>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</si>
  <si>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</si>
  <si>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</si>
  <si>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</si>
  <si>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</si>
  <si>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</si>
  <si>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</si>
  <si>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</si>
  <si>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</si>
  <si>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</si>
  <si>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</si>
  <si>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</si>
  <si>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</si>
  <si>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</si>
  <si>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</si>
  <si>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</si>
  <si>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</si>
  <si>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</si>
  <si>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</si>
  <si>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</si>
  <si>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</si>
  <si>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</si>
  <si>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</si>
  <si>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</si>
  <si>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</si>
  <si>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</si>
  <si>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</si>
  <si>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</si>
  <si>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</si>
  <si>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</si>
  <si>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</si>
  <si>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</si>
  <si>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</si>
  <si>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</si>
  <si>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</si>
  <si>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</si>
  <si>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</si>
  <si>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</si>
  <si>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</si>
  <si>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</si>
  <si>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</si>
  <si>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</si>
  <si>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</si>
  <si>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</si>
  <si>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</si>
  <si>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</si>
  <si>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</si>
  <si>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</si>
  <si>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</si>
  <si>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</si>
  <si>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</si>
  <si>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</si>
  <si>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</si>
  <si>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</si>
  <si>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</si>
  <si>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</si>
  <si>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</si>
  <si>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</si>
  <si>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</si>
  <si>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</si>
  <si>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</si>
  <si>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</si>
  <si>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</si>
  <si>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</si>
  <si>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</si>
  <si>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</si>
  <si>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</si>
  <si>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</si>
  <si>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</si>
  <si>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</si>
  <si>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</si>
  <si>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</si>
  <si>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</si>
  <si>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</si>
  <si>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</si>
  <si>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</si>
  <si>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</si>
  <si>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</si>
  <si>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</si>
  <si>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</si>
  <si>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</si>
  <si>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</si>
  <si>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</si>
  <si>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</si>
  <si>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</si>
  <si>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</si>
  <si>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</si>
  <si>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</si>
  <si>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</si>
  <si>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</si>
  <si>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</si>
  <si>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</si>
  <si>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</si>
  <si>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</si>
  <si>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</si>
  <si>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</si>
  <si>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</si>
  <si>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</si>
  <si>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</si>
  <si>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</si>
  <si>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</si>
  <si>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</si>
  <si>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</si>
  <si>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</si>
  <si>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</si>
  <si>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</si>
  <si>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</si>
  <si>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</si>
  <si>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</si>
  <si>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</si>
  <si>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</si>
  <si>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</si>
  <si>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</si>
  <si>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</si>
  <si>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</si>
  <si>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</si>
  <si>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</si>
  <si>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</si>
  <si>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</si>
  <si>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</si>
  <si>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</si>
  <si>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</si>
  <si>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</si>
  <si>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</si>
  <si>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</si>
  <si>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</si>
  <si>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</si>
  <si>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</si>
  <si>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</si>
  <si>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</si>
  <si>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</si>
  <si>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</si>
  <si>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</si>
  <si>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</si>
  <si>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</si>
  <si>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</si>
  <si>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</si>
  <si>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</si>
  <si>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</si>
  <si>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</si>
  <si>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</si>
  <si>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</si>
  <si>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</si>
  <si>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</si>
  <si>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</si>
  <si>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</si>
  <si>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</si>
  <si>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</si>
  <si>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</si>
  <si>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</si>
  <si>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</si>
  <si>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</si>
  <si>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</si>
  <si>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</si>
  <si>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</si>
  <si>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</si>
  <si>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</si>
  <si>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</si>
  <si>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</si>
  <si>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</si>
  <si>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</si>
  <si>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</si>
  <si>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</si>
  <si>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</si>
  <si>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</si>
  <si>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</si>
  <si>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</si>
  <si>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</si>
  <si>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</si>
  <si>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</si>
  <si>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</si>
  <si>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</si>
  <si>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</si>
  <si>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</si>
  <si>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</si>
  <si>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</si>
  <si>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</si>
  <si>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</si>
  <si>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</si>
  <si>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</si>
  <si>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</si>
  <si>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</si>
  <si>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</si>
  <si>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</si>
  <si>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</si>
  <si>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</si>
  <si>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</si>
  <si>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</si>
  <si>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</si>
  <si>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</si>
  <si>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</si>
  <si>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</si>
  <si>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</si>
  <si>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</si>
  <si>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</si>
  <si>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</si>
  <si>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</si>
  <si>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</si>
  <si>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</si>
  <si>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</si>
  <si>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</si>
  <si>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</si>
  <si>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</si>
  <si>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</si>
  <si>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</si>
  <si>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</si>
  <si>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</si>
  <si>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</si>
  <si>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</si>
  <si>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</si>
  <si>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</si>
  <si>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</si>
  <si>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</si>
  <si>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</si>
  <si>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</si>
  <si>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</si>
  <si>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</si>
  <si>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</si>
  <si>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</si>
  <si>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</si>
  <si>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</si>
  <si>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</si>
  <si>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</si>
  <si>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</si>
  <si>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</si>
  <si>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</si>
  <si>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</si>
  <si>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</si>
  <si>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</si>
  <si>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</si>
  <si>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</si>
  <si>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</si>
  <si>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</si>
  <si>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</si>
  <si>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</si>
  <si>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</si>
  <si>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</si>
  <si>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</si>
  <si>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</si>
  <si>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</si>
  <si>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</si>
  <si>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</si>
  <si>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</si>
  <si>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</si>
  <si>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</si>
  <si>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</si>
  <si>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</si>
  <si>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</si>
  <si>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</si>
  <si>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</si>
  <si>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</si>
  <si>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</si>
  <si>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</si>
  <si>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</si>
  <si>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</si>
  <si>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</si>
  <si>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</si>
  <si>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</si>
  <si>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</si>
  <si>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</si>
  <si>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</si>
  <si>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</si>
  <si>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</si>
  <si>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</si>
  <si>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</si>
  <si>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</si>
  <si>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</si>
  <si>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</si>
  <si>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</si>
  <si>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</si>
  <si>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</si>
  <si>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</si>
  <si>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</si>
  <si>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</si>
  <si>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</si>
  <si>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</si>
  <si>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</si>
  <si>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</si>
  <si>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</si>
  <si>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</si>
  <si>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</si>
  <si>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</si>
  <si>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</si>
  <si>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</si>
  <si>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</si>
  <si>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</si>
  <si>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</si>
  <si>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</si>
  <si>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</si>
  <si>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</si>
  <si>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</si>
  <si>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</si>
  <si>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</si>
  <si>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</si>
  <si>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</si>
  <si>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</si>
  <si>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</si>
  <si>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</si>
  <si>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</si>
  <si>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</si>
  <si>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</si>
  <si>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</si>
  <si>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</si>
  <si>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</si>
  <si>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</si>
  <si>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</si>
  <si>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</si>
  <si>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</si>
  <si>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</si>
  <si>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</si>
  <si>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</si>
  <si>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</si>
  <si>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</si>
  <si>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</si>
  <si>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</si>
  <si>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</si>
  <si>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</si>
  <si>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</si>
  <si>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</si>
  <si>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</si>
  <si>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</si>
  <si>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</si>
  <si>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</si>
  <si>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</si>
  <si>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</si>
  <si>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</si>
  <si>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</si>
  <si>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</si>
  <si>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</si>
  <si>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</si>
  <si>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</si>
  <si>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</si>
  <si>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</si>
  <si>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</si>
  <si>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</si>
  <si>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</si>
  <si>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</si>
  <si>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</si>
  <si>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</si>
  <si>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</si>
  <si>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</si>
  <si>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</si>
  <si>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</si>
  <si>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</si>
  <si>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</si>
  <si>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</si>
  <si>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</si>
  <si>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</si>
  <si>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</si>
  <si>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</si>
  <si>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</si>
  <si>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</si>
  <si>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</si>
  <si>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</si>
  <si>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</si>
  <si>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</si>
  <si>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</si>
  <si>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</si>
  <si>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</si>
  <si>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</si>
  <si>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</si>
  <si>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</si>
  <si>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</si>
  <si>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</si>
  <si>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</si>
  <si>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</si>
  <si>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</si>
  <si>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</si>
  <si>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</si>
  <si>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</si>
  <si>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</si>
  <si>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</si>
  <si>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</si>
  <si>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</si>
  <si>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</si>
  <si>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</si>
  <si>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</si>
  <si>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</si>
  <si>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</si>
  <si>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</si>
  <si>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</si>
  <si>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</si>
  <si>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</si>
  <si>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</si>
  <si>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</si>
  <si>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</si>
  <si>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</si>
  <si>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</si>
  <si>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</si>
  <si>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</si>
  <si>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</si>
  <si>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</si>
  <si>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</si>
  <si>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</si>
  <si>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</si>
  <si>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</si>
  <si>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</si>
  <si>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</si>
  <si>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</si>
  <si>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</si>
  <si>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</si>
  <si>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</si>
  <si>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</si>
  <si>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</si>
  <si>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</si>
  <si>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</si>
  <si>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</si>
  <si>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</si>
  <si>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</si>
  <si>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</si>
  <si>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</si>
  <si>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</si>
  <si>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</si>
  <si>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</si>
  <si>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</si>
  <si>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</si>
  <si>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</si>
  <si>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</si>
  <si>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</si>
  <si>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</si>
  <si>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</si>
  <si>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</si>
  <si>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</si>
  <si>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</si>
  <si>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</si>
  <si>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</si>
  <si>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</si>
  <si>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</si>
  <si>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</si>
  <si>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</si>
  <si>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</si>
  <si>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</si>
  <si>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</si>
  <si>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</si>
  <si>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</si>
  <si>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</si>
  <si>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</si>
  <si>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</si>
  <si>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</si>
  <si>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</si>
  <si>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</si>
  <si>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</si>
  <si>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</si>
  <si>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</si>
  <si>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</si>
  <si>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</si>
  <si>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</si>
  <si>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</si>
  <si>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</si>
  <si>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</si>
  <si>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</si>
  <si>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</si>
  <si>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</si>
  <si>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</si>
  <si>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</si>
  <si>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</si>
  <si>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</si>
  <si>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</si>
  <si>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</si>
  <si>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</si>
  <si>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</si>
  <si>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</si>
  <si>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</si>
  <si>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</si>
  <si>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</si>
  <si>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</si>
  <si>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</si>
  <si>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</si>
  <si>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</si>
  <si>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</si>
  <si>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</si>
  <si>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</si>
  <si>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</si>
  <si>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</si>
  <si>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</si>
  <si>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</si>
  <si>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</si>
  <si>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</si>
  <si>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</si>
  <si>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</si>
  <si>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</si>
  <si>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</si>
  <si>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</si>
  <si>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</si>
  <si>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</si>
  <si>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</si>
  <si>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</si>
  <si>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</si>
  <si>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</si>
  <si>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</si>
  <si>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</si>
  <si>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</si>
  <si>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</si>
  <si>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</si>
  <si>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</si>
  <si>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</si>
  <si>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</si>
  <si>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</si>
  <si>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</si>
  <si>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</si>
  <si>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</si>
  <si>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</si>
  <si>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</si>
  <si>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</si>
  <si>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</si>
  <si>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</si>
  <si>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</si>
  <si>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</si>
  <si>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</si>
  <si>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</si>
  <si>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</si>
  <si>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</si>
  <si>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</si>
  <si>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</si>
  <si>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</si>
  <si>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</si>
  <si>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</si>
  <si>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</si>
  <si>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</si>
  <si>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</si>
  <si>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</si>
  <si>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</si>
  <si>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</si>
  <si>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</si>
  <si>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</si>
  <si>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</si>
  <si>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</si>
  <si>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</si>
  <si>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</si>
  <si>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</si>
  <si>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Sheet1</t>
  </si>
  <si>
    <t>visible</t>
  </si>
  <si>
    <t>Cancionero - Más Cantos de la Iglesia Católica</t>
  </si>
  <si>
    <t>Cancionero</t>
  </si>
  <si>
    <t>Catolicos</t>
  </si>
  <si>
    <t>joven</t>
  </si>
  <si>
    <t>cejilla:</t>
  </si>
  <si>
    <t>cejilla</t>
  </si>
  <si>
    <t>Acorde</t>
  </si>
  <si>
    <t>scrollConfig</t>
  </si>
  <si>
    <t>7a</t>
  </si>
  <si>
    <t>A tu luz, Señor, vemos la luz</t>
  </si>
  <si>
    <t>Apocalipsis 19, 11-20</t>
  </si>
  <si>
    <t>atuluzsenorvemoslaluz</t>
  </si>
  <si>
    <t>A tu luz, Señor, vemos la luz. A TU LUZ, SEÑOR, VEMOS LA LUZ. En el corazón del malvado vive el pecado, ante sus ojos no hay temor de Dios, porque se engaña a sí mismo en buscar su culpa y detestarla. Las palabras de su boca son maldad y traición, renuncia a ser sensato y a obrar bien. A TU LUZ, SEÑOR, VEMOS LA LUZ. A TU LUZ, SEÑOR, VEMOS LA LUZ. Acostado medita el crimen, se obstina en el mal camino, no rechaza aldad. Señor, tu gracia llega hasta el cielo, tu fidelidad hasta las nubes. A TU LUZ, SEÑOR, VEMOS LA LUZ. A TU LUZ, SEÑOR, VEMOS LA LUZ. Tu justicia como las altas montañas, tus sentencias como el océano inmenso. Socorres a hombres y animales, ¡Señor, Señor! A TU LUZ, SEÑOR, VEMOS LA LUZ. A TU LUZ, SEÑOR, VEMOS LA LUZ. ¡Qué preciosa es tu gracia, oh Dios! Los humanos se acogen a la sombra de tus alas; Se sacian de la abundancia de tu casa, les das a beber del torrente de tus delicias. A TU LUZ, SEÑOR, VEMOS LA LUZ. A TU LUZ, SEÑOR, VEMOS LA LUZ. En Ti está la fuente de la vida, Tu luz nos hace ver la luz. Concede tu gracia a los que te conocen, tu justicia a los rectos de corazón. A TU LUZ, SEÑOR, VEMOS LA LUZ. A TU LUZ, SEÑOR, VEMOS LA LUZ. Que no me pisotee el pie del soberbio, que no me eche fuera ano del malvado. Han fracasado los malhechores; derribados, no se pueden levantar. A TU LUZ, SEÑOR, VEMOS LA LUZ. A TU LUZ, SEÑOR, VEMOS LA LUZ.</t>
  </si>
  <si>
    <t>id-text</t>
  </si>
  <si>
    <t>content2</t>
  </si>
  <si>
    <t>content82</t>
  </si>
  <si>
    <t xml:space="preserve">scrollConfig: {"mobile": { "v": 25, "i": 1 },"tablet": { "v": 25, "i": 1 },"desktop": { "v": 7, "i": 1 },"desktopsmall": { "v": 7, "i": 1 }}, </t>
  </si>
  <si>
    <t xml:space="preserve">content: </t>
  </si>
  <si>
    <t>id2txt</t>
  </si>
  <si>
    <t>id:</t>
  </si>
  <si>
    <t xml:space="preserve">title: </t>
  </si>
  <si>
    <t>{idi:</t>
  </si>
  <si>
    <t>Prountuario de Acordes</t>
  </si>
  <si>
    <t>Notas</t>
  </si>
  <si>
    <t>prontuario</t>
  </si>
  <si>
    <t>Oh Luz Gozosa</t>
  </si>
  <si>
    <t>ohluzgozosa</t>
  </si>
  <si>
    <t>Oh luz gozosa de la santa Gloria del Padre celeste inmortal, Santo y feliz, Jesucristo, Oh luz gozosa, Ohluzgozosa</t>
  </si>
  <si>
    <t>Invocación Al Espiritu Santo</t>
  </si>
  <si>
    <t xml:space="preserve">elebración </t>
  </si>
  <si>
    <t>iespiritusanto</t>
  </si>
  <si>
    <t>OH SEÑOR, ENVIA TU ESPIRITU, QUE RENUEVE LA FAZ, DE LA TIERRA, Invocación Al Espiritu Santo, invocaciónalespiritusanto, espiritusanto</t>
  </si>
  <si>
    <t xml:space="preserve">visible: "", </t>
  </si>
  <si>
    <t>Título</t>
  </si>
  <si>
    <t>Cejilla</t>
  </si>
  <si>
    <t>Adónde te escondiste, amado</t>
  </si>
  <si>
    <t>Alabad al Señor en el cielo</t>
  </si>
  <si>
    <t>Aleluya, Alabad al Señor</t>
  </si>
  <si>
    <t>Do 7</t>
  </si>
  <si>
    <t>Sermón de la montaña</t>
  </si>
  <si>
    <t>Shemá Israel</t>
  </si>
  <si>
    <t>Scroll (Mob)</t>
  </si>
  <si>
    <t>Scroll (Tab)</t>
  </si>
  <si>
    <t>Scroll (Desk)</t>
  </si>
  <si>
    <t>Bendito eres, Señor</t>
  </si>
  <si>
    <t>Benedictus</t>
  </si>
  <si>
    <t>Cantad a Dios</t>
  </si>
  <si>
    <t>Cántico de los tres jóvenes</t>
  </si>
  <si>
    <t>cantodelosnumeros</t>
  </si>
  <si>
    <t>Canto de los Números</t>
  </si>
  <si>
    <t>celebracionpenitencial</t>
  </si>
  <si>
    <t>Celebración penitencial</t>
  </si>
  <si>
    <t>Como condenados a muerte</t>
  </si>
  <si>
    <t>Como lirio entre los cardos</t>
  </si>
  <si>
    <t>Cuando el Señor</t>
  </si>
  <si>
    <t>Re 7</t>
  </si>
  <si>
    <t>Delante de los ángeles</t>
  </si>
  <si>
    <t>Dichoso el hombre</t>
  </si>
  <si>
    <t>elneciopiensaquediosnoexiste</t>
  </si>
  <si>
    <t>El necio piensa que Dios no existe</t>
  </si>
  <si>
    <t>El sembrador</t>
  </si>
  <si>
    <t>Elí, Elí, lamá sabactaní</t>
  </si>
  <si>
    <t>Escóndeme en lo oculto...</t>
  </si>
  <si>
    <t>La 7</t>
  </si>
  <si>
    <t>esteeseldiaenqueactuoelsenor</t>
  </si>
  <si>
    <t>Este es el día en que actuó el Señor</t>
  </si>
  <si>
    <t>Felicidad para el hombre</t>
  </si>
  <si>
    <t>He aquí que nuestro espejo...</t>
  </si>
  <si>
    <t>Jacob</t>
  </si>
  <si>
    <t>jesusrecorriatodaslasciudades</t>
  </si>
  <si>
    <t>Jesús recorría todas las ciudades</t>
  </si>
  <si>
    <t>La paloma voló</t>
  </si>
  <si>
    <t>Me has seducido, Señor</t>
  </si>
  <si>
    <t>Me robaste el corazón</t>
  </si>
  <si>
    <t>Mucho me han perseguido</t>
  </si>
  <si>
    <t>No resistáis al mal</t>
  </si>
  <si>
    <t>Oh Dios, por tu nombre sálvame</t>
  </si>
  <si>
    <t>Oh Dios, tú eres mi Dios</t>
  </si>
  <si>
    <t>ohmuertedondeestatuvictoria</t>
  </si>
  <si>
    <t>Oh Señor, mi corazón...</t>
  </si>
  <si>
    <t>Plegaria eucarística ii Mod I</t>
  </si>
  <si>
    <t>Plegaria eucarística ii Mod II</t>
  </si>
  <si>
    <t>Plegaria eucarística iv</t>
  </si>
  <si>
    <t>Prefacio Adviento/Navidad</t>
  </si>
  <si>
    <t>Prefacio tiempo Pascual</t>
  </si>
  <si>
    <t>Qué estupendo, qué alegría</t>
  </si>
  <si>
    <t>Quién es esta que sube...</t>
  </si>
  <si>
    <t>Quiero andar, madre...</t>
  </si>
  <si>
    <t>Salmodia para el salmo resp.</t>
  </si>
  <si>
    <t>Salmodias oración fieles</t>
  </si>
  <si>
    <t>salmodiasparalaudes1</t>
  </si>
  <si>
    <t>Salmodias para laudes 1</t>
  </si>
  <si>
    <t>salmodiasparalaudes2</t>
  </si>
  <si>
    <t>Salmodias para laudes 2</t>
  </si>
  <si>
    <t>Santo Palomeras 65</t>
  </si>
  <si>
    <t>Señor, ayúdame a no dudar...</t>
  </si>
  <si>
    <t>Señor, no me corrijas...</t>
  </si>
  <si>
    <t>Fa#</t>
  </si>
  <si>
    <t>Señor, tú me escrutas...</t>
  </si>
  <si>
    <t>Si hoy escucháis su voz</t>
  </si>
  <si>
    <t>Siéntate solitario y silencioso</t>
  </si>
  <si>
    <t>Suba el esposo al leño...</t>
  </si>
  <si>
    <t>Do#</t>
  </si>
  <si>
    <t>tuhascubiertodeverguenzalamuerte</t>
  </si>
  <si>
    <t>Tú has cubierto de vergüenza...</t>
  </si>
  <si>
    <t>Un retoño brota del tronco...</t>
  </si>
  <si>
    <t>Cantounido</t>
  </si>
  <si>
    <t xml:space="preserve"> </t>
  </si>
  <si>
    <t>Prontuario</t>
  </si>
  <si>
    <t>Invocación al Espiritu Santo</t>
  </si>
  <si>
    <t>escondemeenloocultodetutienda</t>
  </si>
  <si>
    <t>Escóndeme en lo oculto de tu tienda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</si>
</sst>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0"/>
      <color rgb="FF000000"/>
      <name val="Aptos Narrow"/>
      <family val="2"/>
    </font>
    <font>
      <b/>
      <sz val="11"/>
      <color theme="1"/>
      <name val="Aptos Narrow"/>
      <family val="2"/>
      <scheme val="minor"/>
    </font>
    <font>
      <b/>
      <sz val="11"/>
      <color theme="8"/>
      <name val="Aptos Narrow"/>
      <family val="2"/>
      <scheme val="minor"/>
    </font>
    <font>
      <sz val="11"/>
      <color rgb="FFFF0000"/>
      <name val="Verdana"/>
      <family val="2"/>
    </font>
  </fonts>
  <fills count="20">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theme="0"/>
        <bgColor indexed="64"/>
      </patternFill>
    </fill>
  </fills>
  <borders count="6">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theme="1"/>
      </left>
      <right style="thin">
        <color theme="1"/>
      </right>
      <top style="thin">
        <color theme="1"/>
      </top>
      <bottom/>
      <diagonal/>
    </border>
  </borders>
  <cellStyleXfs count="2">
    <xf numFmtId="0" fontId="0" fillId="0" borderId="0"/>
    <xf numFmtId="0" fontId="10" fillId="0" borderId="0" applyNumberFormat="0" applyFill="0" applyBorder="0" applyAlignment="0" applyProtection="0"/>
  </cellStyleXfs>
  <cellXfs count="58">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0" fillId="0" borderId="0" xfId="0" applyAlignment="1">
      <alignment wrapText="1"/>
    </xf>
    <xf numFmtId="0" fontId="18" fillId="0" borderId="0" xfId="0" applyFont="1" applyAlignment="1">
      <alignment wrapText="1"/>
    </xf>
    <xf numFmtId="0" fontId="19" fillId="0" borderId="0" xfId="0" applyFont="1" applyAlignment="1">
      <alignment wrapText="1"/>
    </xf>
    <xf numFmtId="0" fontId="20" fillId="0" borderId="0" xfId="0" applyFont="1" applyAlignment="1">
      <alignment horizontal="left" vertical="center" wrapText="1" indent="1"/>
    </xf>
    <xf numFmtId="0" fontId="0" fillId="0" borderId="0" xfId="0" quotePrefix="1" applyAlignment="1">
      <alignment horizontal="center" vertical="center"/>
    </xf>
    <xf numFmtId="22" fontId="13" fillId="19" borderId="3" xfId="0" applyNumberFormat="1" applyFont="1" applyFill="1" applyBorder="1" applyAlignment="1">
      <alignment vertical="center"/>
    </xf>
    <xf numFmtId="0" fontId="0" fillId="16" borderId="0" xfId="0" applyFill="1" applyAlignment="1">
      <alignment horizontal="center" vertical="center"/>
    </xf>
    <xf numFmtId="0" fontId="0" fillId="16" borderId="5" xfId="0" applyFill="1" applyBorder="1" applyAlignment="1">
      <alignment horizontal="center" vertical="center"/>
    </xf>
    <xf numFmtId="0" fontId="3" fillId="15" borderId="0" xfId="0" applyFont="1" applyFill="1" applyAlignment="1">
      <alignment horizontal="center" vertical="center"/>
    </xf>
    <xf numFmtId="0" fontId="5" fillId="0" borderId="0" xfId="0" applyFont="1" applyAlignment="1">
      <alignment horizontal="center" vertical="center"/>
    </xf>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0" fillId="0" borderId="0" xfId="0" applyNumberFormat="1" applyAlignment="1">
      <alignment horizontal="left" vertical="top"/>
    </xf>
    <xf numFmtId="0" fontId="0" fillId="16" borderId="0" xfId="0" applyNumberFormat="1" applyFill="1" applyAlignment="1">
      <alignment horizontal="left" vertical="top"/>
    </xf>
    <xf numFmtId="0" fontId="3" fillId="10" borderId="0" xfId="0" applyNumberFormat="1" applyFont="1" applyFill="1" applyAlignment="1">
      <alignment horizontal="left" vertical="top"/>
    </xf>
    <xf numFmtId="0" fontId="0" fillId="15" borderId="0" xfId="0" applyNumberFormat="1" applyFill="1" applyAlignment="1">
      <alignment horizontal="left" vertical="top"/>
    </xf>
    <xf numFmtId="0" fontId="3" fillId="11" borderId="0" xfId="0" applyNumberFormat="1" applyFont="1" applyFill="1" applyAlignment="1">
      <alignment horizontal="left" vertical="top"/>
    </xf>
    <xf numFmtId="0" fontId="0" fillId="14" borderId="0" xfId="0" applyNumberFormat="1" applyFill="1" applyAlignment="1">
      <alignment horizontal="left" vertical="top"/>
    </xf>
    <xf numFmtId="0" fontId="0" fillId="12" borderId="0" xfId="0" applyNumberFormat="1" applyFill="1" applyAlignment="1">
      <alignment horizontal="left" vertical="top"/>
    </xf>
    <xf numFmtId="0" fontId="0" fillId="13" borderId="0" xfId="0" applyNumberFormat="1" applyFill="1" applyAlignment="1">
      <alignment horizontal="left" vertical="top"/>
    </xf>
  </cellXfs>
  <cellStyles count="2">
    <cellStyle name="Hyperlink" xfId="1" builtinId="8"/>
    <cellStyle name="Normal" xfId="0" builtinId="0"/>
  </cellStyles>
  <dxfs count="73">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left" vertical="top" textRotation="0" wrapText="0" indent="0" justifyLastLine="0" shrinkToFit="0" readingOrder="0"/>
    </dxf>
    <dxf>
      <border diagonalUp="0" diagonalDown="0">
        <left/>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border diagonalUp="0" diagonalDown="0" outline="0">
        <left/>
        <right/>
        <top/>
        <bottom/>
      </border>
    </dxf>
    <dxf>
      <border diagonalUp="0" diagonalDown="0" outline="0">
        <left/>
        <right/>
        <top/>
        <bottom/>
      </border>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border diagonalUp="0" diagonalDown="0" outline="0">
        <left/>
        <right/>
        <top/>
        <bottom/>
      </border>
    </dxf>
    <dxf>
      <numFmt numFmtId="0" formatCode="General"/>
      <border diagonalUp="0" diagonalDown="0" outline="0">
        <left/>
        <right/>
        <top/>
        <bottom/>
      </border>
    </dxf>
    <dxf>
      <numFmt numFmtId="0" formatCode="General"/>
    </dxf>
    <dxf>
      <border diagonalUp="0" diagonalDown="0" outline="0">
        <left/>
        <right/>
        <top/>
        <bottom/>
      </border>
    </dxf>
    <dxf>
      <border diagonalUp="0" diagonalDown="0" outline="0">
        <left/>
        <right/>
        <top/>
        <bottom/>
      </border>
    </dxf>
    <dxf>
      <numFmt numFmtId="0" formatCode="General"/>
    </dxf>
    <dxf>
      <border diagonalUp="0" diagonalDown="0" outline="0">
        <left/>
        <right/>
        <top/>
        <bottom/>
      </border>
    </dxf>
    <dxf>
      <border diagonalUp="0" diagonalDown="0" outline="0">
        <left/>
        <right/>
        <top/>
        <bottom/>
      </border>
    </dxf>
    <dxf>
      <numFmt numFmtId="0" formatCode="General"/>
    </dxf>
    <dxf>
      <border diagonalUp="0" diagonalDown="0" outline="0">
        <left/>
        <right/>
        <top/>
        <bottom/>
      </border>
    </dxf>
    <dxf>
      <border diagonalUp="0" diagonalDown="0" outline="0">
        <left/>
        <right/>
        <top/>
        <bottom/>
      </border>
    </dxf>
    <dxf>
      <numFmt numFmtId="0" formatCode="General"/>
    </dxf>
    <dxf>
      <border diagonalUp="0" diagonalDown="0" outline="0">
        <left/>
        <right/>
        <top/>
        <bottom/>
      </border>
    </dxf>
    <dxf>
      <border diagonalUp="0" diagonalDown="0" outline="0">
        <left/>
        <right/>
        <top/>
        <bottom/>
      </border>
    </dxf>
    <dxf>
      <numFmt numFmtId="0" formatCode="General"/>
    </dxf>
    <dxf>
      <border diagonalUp="0" diagonalDown="0" outline="0">
        <left/>
        <right/>
        <top/>
        <bottom/>
      </border>
    </dxf>
    <dxf>
      <numFmt numFmtId="0" formatCode="General"/>
      <border diagonalUp="0" diagonalDown="0" outline="0">
        <left/>
        <right/>
        <top/>
        <bottom/>
      </border>
    </dxf>
    <dxf>
      <numFmt numFmtId="0" formatCode="General"/>
    </dxf>
    <dxf>
      <border diagonalUp="0" diagonalDown="0" outline="0">
        <left/>
        <right/>
        <top/>
        <bottom/>
      </border>
    </dxf>
    <dxf>
      <numFmt numFmtId="0" formatCode="General"/>
      <border diagonalUp="0" diagonalDown="0" outline="0">
        <left/>
        <right/>
        <top/>
        <bottom/>
      </border>
    </dxf>
    <dxf>
      <numFmt numFmtId="0" formatCode="General"/>
    </dxf>
    <dxf>
      <border diagonalUp="0" diagonalDown="0" outline="0">
        <left/>
        <right/>
        <top/>
        <bottom/>
      </border>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border>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right style="thin">
          <color theme="1"/>
        </right>
        <top style="thin">
          <color theme="1"/>
        </top>
        <bottom style="thin">
          <color theme="1"/>
        </bottom>
      </border>
    </dxf>
    <dxf>
      <numFmt numFmtId="0" formatCode="General"/>
      <border diagonalUp="0" diagonalDown="0" outline="0">
        <left/>
        <right/>
        <top/>
        <bottom/>
      </border>
    </dxf>
    <dxf>
      <numFmt numFmtId="0" formatCode="General"/>
      <border diagonalUp="0" diagonalDown="0" outline="0">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8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8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6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247650</xdr:colOff>
          <xdr:row>0</xdr:row>
          <xdr:rowOff>19050</xdr:rowOff>
        </xdr:from>
        <xdr:to>
          <xdr:col>13</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7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564696</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7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36"/>
    <tableColumn id="1" xr3:uid="{921CA10A-2901-4DAE-A530-BF0B02B224D2}" name="id" dataDxfId="35">
      <calculatedColumnFormula>LOWER(_xlfn.CONCAT("ait",LEFT(D3,1)&amp;"s"&amp;E3&amp;F3))</calculatedColumnFormula>
    </tableColumn>
    <tableColumn id="2" xr3:uid="{D9A32830-ABA6-41D5-9C8D-8A0C6682F82B}" name="Tiempo" dataDxfId="34"/>
    <tableColumn id="3" xr3:uid="{3E55F751-0E13-4158-B1E6-25386204563F}" name="semana" dataDxfId="33"/>
    <tableColumn id="4" xr3:uid="{F69152E6-D146-469B-B970-C48FBD5624DD}" name="año" dataDxfId="32"/>
    <tableColumn id="5" xr3:uid="{7B77C7B7-C297-4CE0-8ACB-FD151A4BAD8C}" name="Aleluya Año C" dataDxfId="31"/>
    <tableColumn id="6" xr3:uid="{7BBFEA5F-9E8A-4196-933B-8F9B3D50AC5C}" name="Cita" dataDxfId="30"/>
    <tableColumn id="7" xr3:uid="{7F2967E4-9E49-447A-9790-116E24674B1D}" name="Estado" dataDxfId="2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28"/>
    <tableColumn id="3" xr3:uid="{ADBA58FD-0429-4D57-B7D3-AC6D7A799AFD}" name="Cantos" dataDxfId="2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26"/>
    <tableColumn id="1" xr3:uid="{969AEAEF-98E2-4256-A2BA-491C5DBB435D}" name="id" dataDxfId="25">
      <calculatedColumnFormula>LOWER(_xlfn.CONCAT("ait",LEFT(D3,1)&amp;"s"&amp;E3&amp;F3))</calculatedColumnFormula>
    </tableColumn>
    <tableColumn id="2" xr3:uid="{F6CC32E4-7E20-4D29-AB2F-9FB5AD052C81}" name="Tiempo" dataDxfId="24"/>
    <tableColumn id="3" xr3:uid="{5783091E-D235-4DCD-9210-D14137F4C255}" name="semana" dataDxfId="23"/>
    <tableColumn id="4" xr3:uid="{B3F2A1DA-849B-453B-863A-BF6F6A76200C}" name="año" dataDxfId="22"/>
    <tableColumn id="5" xr3:uid="{4DD72F58-ABDF-464B-8E5C-E8891BCF1FD6}" name="Aleluya Año C" dataDxfId="21"/>
    <tableColumn id="6" xr3:uid="{B2CC7BC9-A1BA-4A10-A086-DDA5B7B35114}" name="Cita" dataDxfId="20"/>
    <tableColumn id="7" xr3:uid="{2A5028E0-F247-4E10-BB6F-E44914E438D9}" name="Estado" dataDxfId="19"/>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4" totalsRowShown="0">
  <autoFilter ref="B2:I234" xr:uid="{62F03F7B-F867-4FB5-A195-9E7ED2888184}"/>
  <tableColumns count="8">
    <tableColumn id="1" xr3:uid="{3700EFB2-AA2C-4848-A2B2-B7288A9EF020}" name="Pg" dataDxfId="10"/>
    <tableColumn id="2" xr3:uid="{4FB9CD12-D9BF-4BB5-9C1C-DB7D977D5610}" name="id"/>
    <tableColumn id="17" xr3:uid="{C88D8CC7-A07B-4975-9C8A-0AB461DFEFD1}" name="NameNoSpace" dataDxfId="9">
      <calculatedColumnFormula>_xlfn.CONCAT("""",VLOOKUP(B3,'Index Web'!A$4:O$236,13,FALSE),"""",",")</calculatedColumnFormula>
    </tableColumn>
    <tableColumn id="5" xr3:uid="{19F27E10-5766-4AF0-AFA2-4D6B65192336}" name="titulo" dataDxfId="8">
      <calculatedColumnFormula>_xlfn.CONCAT("""titulo""",": ","""",VLOOKUP(B3,'Index Web'!A$4:L$236,3,FALSE),"""",",")</calculatedColumnFormula>
    </tableColumn>
    <tableColumn id="7" xr3:uid="{D7DB8BA2-4BAE-4EF4-8D6B-863949C200C5}" name="salmo" dataDxfId="7">
      <calculatedColumnFormula>_xlfn.CONCAT("""salmo""",": ","""",VLOOKUP(B3,'Index Web'!A$4:L$236,4,FALSE),"""",",")</calculatedColumnFormula>
    </tableColumn>
    <tableColumn id="8" xr3:uid="{D7FA7BF8-5643-46F4-A3A0-4F10CBCBABA4}" name="Letras" dataDxfId="6">
      <calculatedColumnFormula>_xlfn.CONCAT("""letra""",": ","""",Table46[[#This Row],[Pg]],"|",VLOOKUP(B3,'Index Web'!A$4:O$236,15,FALSE)," ",VLOOKUP(B3,'Index Web'!A$4:O$236,13,FALSE),"""",",")</calculatedColumnFormula>
    </tableColumn>
    <tableColumn id="9" xr3:uid="{5FFA4A0A-9793-475A-82C7-EC35DDF546F2}" name="URL" dataDxfId="5">
      <calculatedColumnFormula>_xlfn.CONCAT("""archivo""",": ","""/resucito/src/index.html?canto=",VLOOKUP(B3,'Index Web'!A$4:N$236,13,FALSE),"""","}," )</calculatedColumnFormula>
    </tableColumn>
    <tableColumn id="18" xr3:uid="{6382534F-A5A4-41B1-8CBD-A9F185BC6028}" name="Contenido del Codigo" dataDxfId="4">
      <calculatedColumnFormula>_xlfn.CONCAT(Table46[[#This Row],[id]:[URL]])</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42" totalsRowShown="0">
  <autoFilter ref="A2:P242" xr:uid="{97D44A63-C54D-445C-B659-B4CA65A43A49}"/>
  <sortState xmlns:xlrd2="http://schemas.microsoft.com/office/spreadsheetml/2017/richdata2" ref="A3:N235">
    <sortCondition ref="C2:C235"/>
  </sortState>
  <tableColumns count="16">
    <tableColumn id="1" xr3:uid="{374678EF-9B1C-4843-B58E-7AC4C8C33AB8}" name="pg" dataDxfId="18"/>
    <tableColumn id="2" xr3:uid="{61304003-6C37-4876-9E01-52AAFEE1502D}" name="ID" dataDxfId="17"/>
    <tableColumn id="3" xr3:uid="{46AD0CF9-9F35-4E11-A80E-B6931C340B6E}" name="Cantos" dataDxfId="16"/>
    <tableColumn id="14" xr3:uid="{2F838586-06C5-49D6-9770-AEF72BDBAFDF}" name="Subtitulo" dataDxfId="15"/>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4"/>
    <tableColumn id="12" xr3:uid="{FA0FAC69-D1C8-4EC4-808F-0E06F2EB0620}" name="Moments" dataDxfId="13">
      <calculatedColumnFormula>"""" &amp; _xlfn.TEXTJOIN(""",""",TRUE,Table223[[#This Row],[Categoria1]:[Categoria7]]) &amp; """"</calculatedColumnFormula>
    </tableColumn>
    <tableColumn id="15" xr3:uid="{B1CD2D35-41ED-4CB2-8C93-8B0B2DAEF2A7}" name="Content" dataDxfId="12"/>
    <tableColumn id="16" xr3:uid="{F964B80D-903A-48A9-99DB-BE282D0613F1}" name="CATEGORIA8" dataDxfId="11">
      <calculatedColumnFormula>"""" &amp; _xlfn.TEXTJOIN(""",""",TRUE,Table223[[#This Row],[Categoria]:[Categoria7]]) &amp; """"</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Z240" totalsRowShown="0">
  <autoFilter ref="B2:Z240" xr:uid="{62F03F7B-F867-4FB5-A195-9E7ED2888184}"/>
  <tableColumns count="25">
    <tableColumn id="15" xr3:uid="{2505D38C-E4F0-4F0D-874A-2672EA79945D}" name="Cantounido" dataDxfId="2" totalsRowDxfId="3"/>
    <tableColumn id="22" xr3:uid="{833987C6-E40E-4D3F-94E8-AB42E9CA0502}" name="cejilla" dataDxfId="1" totalsRowDxfId="72">
      <calculatedColumnFormula>IF(VLOOKUP(Table4[[#This Row],[Cantounido]],Table7[],3,FALSE)=0,"",VLOOKUP(Table4[[#This Row],[Cantounido]],Table7[],3,FALSE))</calculatedColumnFormula>
    </tableColumn>
    <tableColumn id="21" xr3:uid="{270B50F0-84E0-4F8A-9968-9876D272E7EC}" name="Acorde" dataDxfId="0" totalsRowDxfId="71">
      <calculatedColumnFormula>IF(VLOOKUP(Table4[[#This Row],[Cantounido]],Table7[],4,FALSE)=0,"",VLOOKUP(Table4[[#This Row],[Cantounido]],Table7[],4,FALSE))</calculatedColumnFormula>
    </tableColumn>
    <tableColumn id="1" xr3:uid="{C35842DD-9ADD-4102-95D4-F7D4E88FF7A1}" name="Pg" dataDxfId="70" totalsRowDxfId="69"/>
    <tableColumn id="2" xr3:uid="{4DE7B7A4-A450-4CB8-932D-15696EB304F8}" name="id-text" totalsRowDxfId="68"/>
    <tableColumn id="3" xr3:uid="{49BE017F-7FC4-41B3-85A8-70E48F580BD7}" name="id" dataDxfId="67" totalsRowDxfId="66">
      <calculatedColumnFormula>_xlfn.CONCAT(VLOOKUP(E3,'Index Web'!A$4:L$253,2,FALSE),", ")</calculatedColumnFormula>
    </tableColumn>
    <tableColumn id="28" xr3:uid="{DDC05E5A-9124-4E8C-B01F-AB9403757499}" name="id2txt" totalsRowDxfId="65"/>
    <tableColumn id="29" xr3:uid="{7751F4A1-11B8-4B29-9A33-7FF208C8DCA6}" name="id2" dataDxfId="64" totalsRowDxfId="63">
      <calculatedColumnFormula>_xlfn.CONCAT("""",VLOOKUP(E3,'Index Web'!A$4:O$253,13,FALSE),"""",", ")</calculatedColumnFormula>
    </tableColumn>
    <tableColumn id="4" xr3:uid="{0F69761D-1EDD-4538-AD86-EB0AB61766DD}" name="title" totalsRowDxfId="62"/>
    <tableColumn id="5" xr3:uid="{C2B55C63-3C5C-483B-BC48-2A21DBF6C7BF}" name="title3" dataDxfId="61" totalsRowDxfId="60">
      <calculatedColumnFormula>_xlfn.CONCAT("""",VLOOKUP(E3,'Index Web'!A$4:L$253,3,FALSE),"""")</calculatedColumnFormula>
    </tableColumn>
    <tableColumn id="6" xr3:uid="{A2DAE9DC-D032-4F0A-8E95-272A60210265}" name="subtitle" totalsRowDxfId="59"/>
    <tableColumn id="7" xr3:uid="{43336978-729D-4321-8455-DBB436337645}" name="subtitle4" dataDxfId="58" totalsRowDxfId="57">
      <calculatedColumnFormula>_xlfn.CONCAT("""",VLOOKUP(E3,'Index Web'!A$4:L$253,4,FALSE),"""")</calculatedColumnFormula>
    </tableColumn>
    <tableColumn id="8" xr3:uid="{43BBB641-27CF-4EE4-9BFA-1658B25E2EC5}" name="category" totalsRowDxfId="56"/>
    <tableColumn id="9" xr3:uid="{8191907C-5E93-448A-B99C-1E304C894A3A}" name="category5" dataDxfId="55" totalsRowDxfId="54">
      <calculatedColumnFormula>_xlfn.CONCAT("""",VLOOKUP(E3,'Index Web'!A$4:L$253,5,FALSE),"""")</calculatedColumnFormula>
    </tableColumn>
    <tableColumn id="10" xr3:uid="{7B7E2276-E6CB-4A52-8EC8-8AD0C06EACA2}" name="moments" totalsRowDxfId="53"/>
    <tableColumn id="11" xr3:uid="{75919F4A-D958-4C46-9FBB-483FAE38149A}" name="moments6" dataDxfId="52" totalsRowDxfId="51">
      <calculatedColumnFormula>_xlfn.CONCAT("[",VLOOKUP(E3,'Index Web'!A$4:N$253,14,FALSE),"]")</calculatedColumnFormula>
    </tableColumn>
    <tableColumn id="12" xr3:uid="{AAFCE41A-F77F-421E-9EC0-CDC727542272}" name="URL" totalsRowDxfId="50"/>
    <tableColumn id="13" xr3:uid="{C220E306-5BF6-4E0C-8BDF-23631E1A906A}" name="URL7" dataDxfId="49" totalsRowDxfId="48">
      <calculatedColumnFormula>_xlfn.CONCAT("""/src/index.html?canto=",VLOOKUP(E3,'Index Web'!A$4:N$253,13,FALSE),""", ")</calculatedColumnFormula>
    </tableColumn>
    <tableColumn id="14" xr3:uid="{4DF9EE73-E079-4879-9881-92C06EC854B5}" name="visible" totalsRowDxfId="47"/>
    <tableColumn id="24" xr3:uid="{B927F35D-D787-4314-9B4F-3108547CC1DB}" name="cejilla:" dataDxfId="46" totalsRowDxfId="45">
      <calculatedColumnFormula>_xlfn.CONCAT("cejilla: """,C3,""", ")</calculatedColumnFormula>
    </tableColumn>
    <tableColumn id="23" xr3:uid="{B5163474-28D2-45E5-A72B-94F4AB90FBBE}" name="Column1" dataDxfId="44" totalsRowDxfId="43">
      <calculatedColumnFormula>_xlfn.CONCAT("acorde: """,D3,""", ")</calculatedColumnFormula>
    </tableColumn>
    <tableColumn id="25" xr3:uid="{F1983DF3-FCAB-415B-B93D-971B9E40FEFE}" name="scrollConfig" totalsRowDxfId="42"/>
    <tableColumn id="26" xr3:uid="{370D8488-5E5C-4180-9F68-C5592044E3D3}" name="content2" totalsRowDxfId="41"/>
    <tableColumn id="27" xr3:uid="{5F0F3B5E-1192-4465-B921-09398DDA3916}" name="content82" dataDxfId="40" totalsRowDxfId="39">
      <calculatedColumnFormula>_xlfn.CONCAT("""",VLOOKUP(E3,'Index Web'!A$4:O$253,15,FALSE)," ",VLOOKUP(E3,'Index Web'!A$4:O$253,13,FALSE),"""","},")</calculatedColumnFormula>
    </tableColumn>
    <tableColumn id="16" xr3:uid="{8B73062C-9D71-4E48-ADB9-5D9F3430F600}" name="const songs = [" dataDxfId="38" totalsRowDxfId="37">
      <calculatedColumnFormula>_xlfn.CONCAT(F3:Y3)</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62A6F50-129B-4576-B274-1A7881A097B6}" name="Table7" displayName="Table7" ref="A1:G238" totalsRowShown="0">
  <autoFilter ref="A1:G238" xr:uid="{F62A6F50-129B-4576-B274-1A7881A097B6}"/>
  <tableColumns count="7">
    <tableColumn id="1" xr3:uid="{05944876-6A62-41C1-80CE-B2920FDD4EE6}" name="ID"/>
    <tableColumn id="2" xr3:uid="{B56693E4-9575-4B01-BEFA-D19D145498E2}" name="Título"/>
    <tableColumn id="3" xr3:uid="{F1C89EE1-0B27-418E-9C65-C9C722E4D9F7}" name="Cejilla"/>
    <tableColumn id="4" xr3:uid="{AADCCFEF-1B3E-44BA-A354-07F57CA66A69}" name="Acorde"/>
    <tableColumn id="5" xr3:uid="{EDB74E1F-C09E-4E80-B81D-328AB2C21893}" name="Scroll (Mob)"/>
    <tableColumn id="6" xr3:uid="{632A13CF-0AB6-4DA5-8B06-866485E83531}" name="Scroll (Tab)"/>
    <tableColumn id="7" xr3:uid="{83E97D4C-38C9-46F6-9D9E-160121633D6D}" name="Scroll (Desk)"/>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5.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6.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5" x14ac:dyDescent="0.25"/>
  <cols>
    <col min="1" max="1" width="102.5703125" customWidth="1"/>
  </cols>
  <sheetData>
    <row r="1" spans="1:1" ht="42" customHeight="1" x14ac:dyDescent="0.25">
      <c r="A1" s="38" t="s">
        <v>983</v>
      </c>
    </row>
    <row r="3" spans="1:1" ht="60" x14ac:dyDescent="0.25">
      <c r="A3" s="38" t="s">
        <v>984</v>
      </c>
    </row>
    <row r="5" spans="1:1" x14ac:dyDescent="0.25">
      <c r="A5" t="s">
        <v>985</v>
      </c>
    </row>
    <row r="6" spans="1:1" ht="75" x14ac:dyDescent="0.25">
      <c r="A6" s="38" t="s">
        <v>986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election activeCell="A9" sqref="A9"/>
    </sheetView>
  </sheetViews>
  <sheetFormatPr defaultRowHeight="15" x14ac:dyDescent="0.25"/>
  <cols>
    <col min="1" max="1" width="59" bestFit="1" customWidth="1"/>
    <col min="2" max="2" width="36.42578125" customWidth="1"/>
    <col min="3" max="3" width="27.28515625" bestFit="1" customWidth="1"/>
    <col min="4" max="8" width="26.7109375" customWidth="1"/>
  </cols>
  <sheetData>
    <row r="1" spans="1:8" ht="132" customHeight="1" x14ac:dyDescent="0.6">
      <c r="A1" s="35"/>
      <c r="B1" s="43"/>
      <c r="C1" s="48" t="str" cm="1">
        <f t="array" aca="1" ref="C1" ca="1">MID(CELL("filename", B1), FIND("]", CELL("filename", B1)) + 1, 255)</f>
        <v>Indice</v>
      </c>
      <c r="D1" s="48"/>
      <c r="E1" s="48"/>
      <c r="F1" s="48"/>
      <c r="G1" s="48"/>
      <c r="H1" s="48"/>
    </row>
    <row r="2" spans="1:8" ht="26.1" customHeight="1" x14ac:dyDescent="0.45">
      <c r="A2" s="36" t="s">
        <v>982</v>
      </c>
      <c r="B2" s="36"/>
      <c r="C2" s="36"/>
      <c r="D2" s="36"/>
      <c r="E2" s="36"/>
      <c r="F2" s="37"/>
      <c r="G2" s="37"/>
      <c r="H2" s="37"/>
    </row>
    <row r="3" spans="1:8" ht="26.1" customHeight="1" x14ac:dyDescent="0.45">
      <c r="A3" s="36" t="s">
        <v>988</v>
      </c>
      <c r="B3" s="36"/>
      <c r="C3" s="36"/>
      <c r="D3" s="36"/>
      <c r="E3" s="36"/>
      <c r="F3" s="37"/>
      <c r="G3" s="37"/>
      <c r="H3" s="37"/>
    </row>
    <row r="4" spans="1:8" ht="26.1" customHeight="1" x14ac:dyDescent="0.45">
      <c r="A4" s="36" t="s">
        <v>1994</v>
      </c>
      <c r="B4" s="36"/>
      <c r="C4" s="36"/>
      <c r="D4" s="36"/>
      <c r="E4" s="36"/>
      <c r="F4" s="37"/>
      <c r="G4" s="37"/>
      <c r="H4" s="37"/>
    </row>
    <row r="5" spans="1:8" ht="26.1" customHeight="1" x14ac:dyDescent="0.45">
      <c r="A5" s="36" t="s">
        <v>970</v>
      </c>
      <c r="B5" s="36"/>
      <c r="C5" s="36"/>
      <c r="D5" s="36"/>
      <c r="E5" s="36"/>
      <c r="F5" s="37"/>
      <c r="G5" s="37"/>
      <c r="H5" s="37"/>
    </row>
    <row r="6" spans="1:8" ht="26.1" customHeight="1" x14ac:dyDescent="0.45">
      <c r="A6" s="36" t="s">
        <v>1236</v>
      </c>
      <c r="B6" s="36"/>
      <c r="C6" s="36"/>
      <c r="D6" s="36"/>
      <c r="E6" s="36"/>
      <c r="F6" s="37"/>
      <c r="G6" s="37"/>
      <c r="H6" s="37"/>
    </row>
    <row r="7" spans="1:8" ht="26.1" customHeight="1" x14ac:dyDescent="0.45">
      <c r="A7" s="36" t="s">
        <v>971</v>
      </c>
      <c r="B7" s="36"/>
      <c r="C7" s="36"/>
      <c r="D7" s="36"/>
      <c r="E7" s="36"/>
      <c r="F7" s="37"/>
      <c r="G7" s="37"/>
      <c r="H7" s="37"/>
    </row>
    <row r="8" spans="1:8" ht="26.1" customHeight="1" x14ac:dyDescent="0.45">
      <c r="A8" s="36" t="s">
        <v>972</v>
      </c>
      <c r="B8" s="36"/>
      <c r="C8" s="36"/>
      <c r="D8" s="36"/>
      <c r="E8" s="36"/>
      <c r="F8" s="37"/>
      <c r="G8" s="37"/>
      <c r="H8" s="37"/>
    </row>
    <row r="9" spans="1:8" ht="26.1" customHeight="1" x14ac:dyDescent="0.45">
      <c r="A9" s="36" t="s">
        <v>973</v>
      </c>
      <c r="B9" s="36"/>
      <c r="C9" s="36"/>
      <c r="D9" s="36"/>
      <c r="E9" s="36"/>
      <c r="F9" s="37"/>
      <c r="G9" s="37"/>
      <c r="H9" s="37"/>
    </row>
    <row r="10" spans="1:8" ht="26.1" customHeight="1" x14ac:dyDescent="0.45">
      <c r="A10" s="36"/>
      <c r="B10" s="36"/>
      <c r="C10" s="36"/>
      <c r="D10" s="36"/>
      <c r="E10" s="37"/>
      <c r="F10" s="37"/>
      <c r="G10" s="37"/>
      <c r="H10" s="37"/>
    </row>
    <row r="11" spans="1:8" ht="26.1" customHeight="1" x14ac:dyDescent="0.45">
      <c r="A11" s="36"/>
      <c r="B11" s="36"/>
      <c r="C11" s="36"/>
      <c r="D11" s="36"/>
      <c r="E11" s="37"/>
      <c r="F11" s="37"/>
      <c r="G11" s="37"/>
      <c r="H11" s="37"/>
    </row>
    <row r="12" spans="1:8" ht="26.1" customHeight="1" x14ac:dyDescent="0.45">
      <c r="A12" s="36"/>
      <c r="B12" s="36"/>
      <c r="C12" s="36"/>
      <c r="D12" s="36"/>
      <c r="E12" s="37"/>
      <c r="F12" s="37"/>
      <c r="G12" s="37"/>
      <c r="H12" s="37"/>
    </row>
    <row r="13" spans="1:8" ht="26.1" customHeight="1" x14ac:dyDescent="0.45">
      <c r="A13" s="36"/>
      <c r="B13" s="36"/>
      <c r="C13" s="36"/>
      <c r="D13" s="36"/>
      <c r="E13" s="37"/>
      <c r="F13" s="37"/>
      <c r="G13" s="37"/>
      <c r="H13" s="37"/>
    </row>
    <row r="14" spans="1:8" ht="26.1" customHeight="1" x14ac:dyDescent="0.45">
      <c r="A14" s="36"/>
      <c r="B14" s="36"/>
      <c r="C14" s="36"/>
      <c r="D14" s="36"/>
      <c r="E14" s="37"/>
      <c r="F14" s="37"/>
      <c r="G14" s="37"/>
      <c r="H14" s="37"/>
    </row>
    <row r="15" spans="1:8" ht="26.1" customHeight="1" x14ac:dyDescent="0.45">
      <c r="A15" s="36"/>
      <c r="B15" s="36"/>
      <c r="C15" s="36"/>
      <c r="D15" s="36"/>
      <c r="E15" s="37"/>
      <c r="F15" s="37"/>
      <c r="G15" s="37"/>
      <c r="H15" s="37"/>
    </row>
    <row r="16" spans="1:8" ht="26.1" customHeight="1" x14ac:dyDescent="0.45">
      <c r="A16" s="36"/>
      <c r="B16" s="36"/>
      <c r="C16" s="36"/>
      <c r="D16" s="36"/>
      <c r="E16" s="37"/>
      <c r="F16" s="37"/>
      <c r="G16" s="37"/>
      <c r="H16" s="37"/>
    </row>
    <row r="17" spans="1:8" ht="26.1" customHeight="1" x14ac:dyDescent="0.45">
      <c r="A17" s="36"/>
      <c r="B17" s="36"/>
      <c r="C17" s="36"/>
      <c r="D17" s="36"/>
      <c r="E17" s="37"/>
      <c r="F17" s="37"/>
      <c r="G17" s="37"/>
      <c r="H17" s="37"/>
    </row>
    <row r="18" spans="1:8" ht="26.1" customHeight="1" x14ac:dyDescent="0.45">
      <c r="A18" s="36"/>
      <c r="B18" s="36"/>
      <c r="C18" s="36"/>
      <c r="D18" s="36"/>
      <c r="E18" s="37"/>
      <c r="F18" s="37"/>
      <c r="G18" s="37"/>
      <c r="H18" s="37"/>
    </row>
    <row r="19" spans="1:8" ht="26.1" customHeight="1" x14ac:dyDescent="0.45">
      <c r="A19" s="36"/>
      <c r="B19" s="36"/>
      <c r="C19" s="36"/>
      <c r="D19" s="36"/>
      <c r="E19" s="37"/>
      <c r="F19" s="37"/>
      <c r="G19" s="37"/>
      <c r="H19" s="37"/>
    </row>
    <row r="20" spans="1:8" ht="24" x14ac:dyDescent="0.45">
      <c r="A20" s="36"/>
      <c r="B20" s="36"/>
      <c r="C20" s="36"/>
      <c r="D20" s="36"/>
      <c r="E20" s="36"/>
      <c r="F20" s="36"/>
      <c r="G20" s="36"/>
      <c r="H20" s="36"/>
    </row>
    <row r="21" spans="1:8" ht="24" x14ac:dyDescent="0.45">
      <c r="A21" s="36"/>
      <c r="B21" s="36"/>
      <c r="C21" s="36"/>
      <c r="D21" s="36"/>
      <c r="E21" s="36"/>
      <c r="F21" s="36"/>
      <c r="G21" s="36"/>
      <c r="H21" s="36"/>
    </row>
    <row r="22" spans="1:8" ht="24" x14ac:dyDescent="0.45">
      <c r="A22" s="36"/>
      <c r="B22" s="36"/>
      <c r="C22" s="36"/>
      <c r="D22" s="36"/>
      <c r="E22" s="36"/>
      <c r="F22" s="36"/>
      <c r="G22" s="36"/>
      <c r="H22" s="36"/>
    </row>
    <row r="23" spans="1:8" ht="24" x14ac:dyDescent="0.45">
      <c r="A23" s="36"/>
      <c r="B23" s="36"/>
      <c r="C23" s="36"/>
      <c r="D23" s="36"/>
      <c r="E23" s="36"/>
      <c r="F23" s="36"/>
      <c r="G23" s="36"/>
      <c r="H23" s="36"/>
    </row>
    <row r="24" spans="1:8" ht="24" x14ac:dyDescent="0.45">
      <c r="A24" s="36"/>
      <c r="B24" s="36"/>
      <c r="C24" s="36"/>
      <c r="D24" s="36"/>
      <c r="E24" s="36"/>
      <c r="F24" s="36"/>
      <c r="G24" s="36"/>
      <c r="H24" s="36"/>
    </row>
    <row r="25" spans="1:8" ht="24" x14ac:dyDescent="0.45">
      <c r="A25" s="36"/>
      <c r="B25" s="36"/>
      <c r="C25" s="36"/>
      <c r="D25" s="36"/>
      <c r="E25" s="36"/>
      <c r="F25" s="36"/>
      <c r="G25" s="36"/>
      <c r="H25" s="36"/>
    </row>
    <row r="26" spans="1:8" ht="24" x14ac:dyDescent="0.45">
      <c r="A26" s="36"/>
      <c r="B26" s="36"/>
      <c r="C26" s="36"/>
      <c r="D26" s="36"/>
      <c r="E26" s="36"/>
      <c r="F26" s="36"/>
      <c r="G26" s="36"/>
      <c r="H26" s="36"/>
    </row>
    <row r="27" spans="1:8" ht="24" x14ac:dyDescent="0.45">
      <c r="A27" s="36"/>
      <c r="B27" s="36"/>
      <c r="C27" s="36"/>
      <c r="D27" s="36"/>
      <c r="E27" s="36"/>
      <c r="F27" s="36"/>
      <c r="G27" s="36"/>
      <c r="H27" s="36"/>
    </row>
    <row r="28" spans="1:8" ht="24" x14ac:dyDescent="0.45">
      <c r="A28" s="36"/>
      <c r="B28" s="36"/>
      <c r="C28" s="36"/>
      <c r="D28" s="36"/>
      <c r="E28" s="36"/>
      <c r="F28" s="36"/>
      <c r="G28" s="36"/>
      <c r="H28" s="36"/>
    </row>
    <row r="29" spans="1:8" ht="24" x14ac:dyDescent="0.45">
      <c r="A29" s="36"/>
      <c r="B29" s="36"/>
      <c r="C29" s="36"/>
      <c r="D29" s="36"/>
      <c r="E29" s="36"/>
      <c r="F29" s="36"/>
      <c r="G29" s="36"/>
      <c r="H29" s="36"/>
    </row>
    <row r="30" spans="1:8" ht="24" x14ac:dyDescent="0.45">
      <c r="A30" s="36"/>
      <c r="B30" s="36"/>
      <c r="C30" s="36"/>
      <c r="D30" s="36"/>
      <c r="E30" s="36"/>
      <c r="F30" s="36"/>
      <c r="G30" s="36"/>
      <c r="H30" s="36"/>
    </row>
    <row r="31" spans="1:8" ht="24" x14ac:dyDescent="0.45">
      <c r="A31" s="36"/>
      <c r="B31" s="36"/>
      <c r="C31" s="36"/>
      <c r="D31" s="36"/>
      <c r="E31" s="36"/>
      <c r="F31" s="36"/>
      <c r="G31" s="36"/>
      <c r="H31" s="36"/>
    </row>
    <row r="32" spans="1:8" ht="24" x14ac:dyDescent="0.45">
      <c r="A32" s="36"/>
      <c r="B32" s="36"/>
      <c r="C32" s="36"/>
      <c r="D32" s="36"/>
      <c r="E32" s="36"/>
      <c r="F32" s="36"/>
      <c r="G32" s="36"/>
      <c r="H32" s="36"/>
    </row>
    <row r="33" spans="1:8" ht="24" x14ac:dyDescent="0.45">
      <c r="A33" s="36"/>
      <c r="B33" s="36"/>
      <c r="C33" s="36"/>
      <c r="D33" s="36"/>
      <c r="E33" s="36"/>
      <c r="F33" s="36"/>
      <c r="G33" s="36"/>
      <c r="H33" s="36"/>
    </row>
    <row r="34" spans="1:8" ht="24" x14ac:dyDescent="0.45">
      <c r="A34" s="36"/>
      <c r="B34" s="36"/>
      <c r="C34" s="36"/>
      <c r="D34" s="36"/>
      <c r="E34" s="36"/>
      <c r="F34" s="36"/>
      <c r="G34" s="36"/>
      <c r="H34" s="36"/>
    </row>
    <row r="35" spans="1:8" ht="24" x14ac:dyDescent="0.45">
      <c r="A35" s="36"/>
      <c r="B35" s="36"/>
      <c r="C35" s="36"/>
      <c r="D35" s="36"/>
      <c r="E35" s="36"/>
      <c r="F35" s="36"/>
      <c r="G35" s="36"/>
      <c r="H35" s="36"/>
    </row>
    <row r="36" spans="1:8" ht="24" x14ac:dyDescent="0.45">
      <c r="A36" s="36"/>
      <c r="B36" s="36"/>
      <c r="C36" s="36"/>
      <c r="D36" s="36"/>
      <c r="E36" s="36"/>
      <c r="F36" s="36"/>
      <c r="G36" s="36"/>
      <c r="H36" s="36"/>
    </row>
    <row r="37" spans="1:8" ht="24" x14ac:dyDescent="0.45">
      <c r="A37" s="36"/>
      <c r="B37" s="36"/>
      <c r="C37" s="36"/>
      <c r="D37" s="36"/>
      <c r="E37" s="36"/>
      <c r="F37" s="36"/>
      <c r="G37" s="36"/>
      <c r="H37" s="36"/>
    </row>
    <row r="38" spans="1:8" ht="24" x14ac:dyDescent="0.45">
      <c r="A38" s="36"/>
      <c r="B38" s="36"/>
      <c r="C38" s="36"/>
      <c r="D38" s="36"/>
      <c r="E38" s="36"/>
      <c r="F38" s="36"/>
      <c r="G38" s="36"/>
      <c r="H38" s="36"/>
    </row>
    <row r="39" spans="1:8" ht="24" x14ac:dyDescent="0.45">
      <c r="A39" s="36"/>
      <c r="B39" s="36"/>
      <c r="C39" s="36"/>
      <c r="D39" s="36"/>
      <c r="E39" s="36"/>
      <c r="F39" s="36"/>
      <c r="G39" s="36"/>
      <c r="H39" s="36"/>
    </row>
    <row r="40" spans="1:8" ht="24" x14ac:dyDescent="0.45">
      <c r="A40" s="36"/>
      <c r="B40" s="36"/>
      <c r="C40" s="36"/>
      <c r="D40" s="36"/>
      <c r="E40" s="36"/>
      <c r="F40" s="36"/>
      <c r="G40" s="36"/>
      <c r="H40" s="36"/>
    </row>
  </sheetData>
  <mergeCells count="1">
    <mergeCell ref="C1:H1"/>
  </mergeCells>
  <hyperlinks>
    <hyperlink ref="A2" location="'code'!A3" display="'code'!A3" xr:uid="{BB301407-27AA-450E-A085-A0D9EB544D37}"/>
    <hyperlink ref="A3" location="'Aleluya'!A3" display="'Aleluya'!A3" xr:uid="{9FE2DCD4-2576-4970-97DF-094C56DD8586}"/>
    <hyperlink ref="A4" location="'Sheet1'!A3" display="'Sheet1'!A3" xr:uid="{47BA7D7A-DAA4-4B3B-8EA4-9AD7ED5735C4}"/>
    <hyperlink ref="A5" location="'Index'!A3" display="'Index'!A3" xr:uid="{8B15E1E9-5F61-49DE-9510-1C804469472E}"/>
    <hyperlink ref="A6" location="'Aleluya-NoOrganizado'!A3" display="'Aleluya-NoOrganizado'!A3" xr:uid="{5EC6792C-BF98-4072-A60C-2F3B0FD8196D}"/>
    <hyperlink ref="A7" location="'Index Web'!A3" display="'Index Web'!A3" xr:uid="{3B97A5BC-1E3C-4AC9-83EB-B723D8255B3D}"/>
    <hyperlink ref="A8" location="'cantosJS'!A3" display="'cantosJS'!A3" xr:uid="{1322AC6C-7691-4A74-8285-08EFF31D4D8C}"/>
    <hyperlink ref="A9" location="'Find'!A3" display="'Find'!A3" xr:uid="{900C5B3D-D28D-4B45-A781-ADB2375969B3}"/>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sheetPr codeName="Sheet6"/>
  <dimension ref="B1:I203"/>
  <sheetViews>
    <sheetView topLeftCell="A2" zoomScale="175" zoomScaleNormal="175" workbookViewId="0">
      <pane xSplit="2" ySplit="1" topLeftCell="C101" activePane="bottomRight" state="frozen"/>
      <selection activeCell="A2" sqref="A2"/>
      <selection pane="topRight" activeCell="C2" sqref="C2"/>
      <selection pane="bottomLeft" activeCell="A3" sqref="A3"/>
      <selection pane="bottomRight" activeCell="J110" sqref="J110"/>
    </sheetView>
  </sheetViews>
  <sheetFormatPr defaultRowHeight="15" x14ac:dyDescent="0.25"/>
  <cols>
    <col min="1" max="1" width="0.7109375" customWidth="1"/>
    <col min="2" max="2" width="6.5703125" style="1" bestFit="1" customWidth="1"/>
    <col min="3" max="3" width="15.5703125" style="1" bestFit="1" customWidth="1"/>
    <col min="4" max="4" width="12.28515625" style="1" bestFit="1" customWidth="1"/>
    <col min="5" max="5" width="12.5703125" style="1" bestFit="1" customWidth="1"/>
    <col min="6" max="6" width="8.85546875" style="1" bestFit="1" customWidth="1"/>
    <col min="7" max="7" width="67.5703125" bestFit="1" customWidth="1"/>
    <col min="8" max="8" width="79" style="1" bestFit="1" customWidth="1"/>
  </cols>
  <sheetData>
    <row r="1" spans="2:9" hidden="1" x14ac:dyDescent="0.25"/>
    <row r="2" spans="2:9" x14ac:dyDescent="0.25">
      <c r="B2" s="1" t="s">
        <v>1227</v>
      </c>
      <c r="C2" s="1" t="s">
        <v>258</v>
      </c>
      <c r="D2" s="1" t="s">
        <v>989</v>
      </c>
      <c r="E2" s="1" t="s">
        <v>992</v>
      </c>
      <c r="F2" s="1" t="s">
        <v>991</v>
      </c>
      <c r="G2" t="s">
        <v>1038</v>
      </c>
      <c r="H2" t="s">
        <v>1116</v>
      </c>
      <c r="I2" s="1" t="s">
        <v>1025</v>
      </c>
    </row>
    <row r="3" spans="2:9" ht="30" x14ac:dyDescent="0.25">
      <c r="B3" s="42">
        <v>1</v>
      </c>
      <c r="C3" s="1" t="str">
        <f t="shared" ref="C3:C66" si="0">LOWER(_xlfn.CONCAT("ait",LEFT(D3,1)&amp;"s"&amp;E3&amp;F3))</f>
        <v>aitas1a</v>
      </c>
      <c r="D3" s="1" t="s">
        <v>29</v>
      </c>
      <c r="E3" s="1">
        <v>1</v>
      </c>
      <c r="F3" s="1" t="s">
        <v>1027</v>
      </c>
      <c r="G3" s="38" t="s">
        <v>1146</v>
      </c>
      <c r="H3" s="41" t="s">
        <v>1147</v>
      </c>
      <c r="I3" s="1" t="s">
        <v>1011</v>
      </c>
    </row>
    <row r="4" spans="2:9" ht="30" x14ac:dyDescent="0.25">
      <c r="B4" s="42">
        <v>2</v>
      </c>
      <c r="C4" s="1" t="str">
        <f t="shared" si="0"/>
        <v>aitas2a</v>
      </c>
      <c r="D4" s="1" t="s">
        <v>29</v>
      </c>
      <c r="E4" s="1">
        <v>2</v>
      </c>
      <c r="F4" s="1" t="s">
        <v>1027</v>
      </c>
      <c r="G4" s="38" t="s">
        <v>1148</v>
      </c>
      <c r="H4" s="41" t="s">
        <v>1149</v>
      </c>
      <c r="I4" s="1" t="s">
        <v>1011</v>
      </c>
    </row>
    <row r="5" spans="2:9" ht="30" x14ac:dyDescent="0.25">
      <c r="B5" s="42">
        <v>3</v>
      </c>
      <c r="C5" s="1" t="str">
        <f t="shared" si="0"/>
        <v>aitas3a</v>
      </c>
      <c r="D5" s="1" t="s">
        <v>29</v>
      </c>
      <c r="E5" s="1">
        <v>3</v>
      </c>
      <c r="F5" s="1" t="s">
        <v>1027</v>
      </c>
      <c r="G5" s="38" t="s">
        <v>1095</v>
      </c>
      <c r="H5" s="41" t="s">
        <v>1086</v>
      </c>
      <c r="I5" s="1" t="s">
        <v>1011</v>
      </c>
    </row>
    <row r="6" spans="2:9" ht="45" x14ac:dyDescent="0.25">
      <c r="B6" s="42">
        <v>4</v>
      </c>
      <c r="C6" s="1" t="str">
        <f t="shared" si="0"/>
        <v>aitas4a</v>
      </c>
      <c r="D6" s="1" t="s">
        <v>29</v>
      </c>
      <c r="E6" s="1">
        <v>4</v>
      </c>
      <c r="F6" s="1" t="s">
        <v>1027</v>
      </c>
      <c r="G6" s="38" t="s">
        <v>1150</v>
      </c>
      <c r="H6" s="41" t="s">
        <v>1151</v>
      </c>
      <c r="I6" s="1" t="s">
        <v>1011</v>
      </c>
    </row>
    <row r="7" spans="2:9" ht="30" x14ac:dyDescent="0.25">
      <c r="B7" s="42">
        <v>5</v>
      </c>
      <c r="C7" s="1" t="str">
        <f t="shared" si="0"/>
        <v>aitns25dicmva</v>
      </c>
      <c r="D7" s="1" t="s">
        <v>30</v>
      </c>
      <c r="E7" s="1" t="s">
        <v>1166</v>
      </c>
      <c r="F7" s="1" t="s">
        <v>1027</v>
      </c>
      <c r="G7" s="38" t="s">
        <v>1158</v>
      </c>
      <c r="H7" s="41" t="s">
        <v>1160</v>
      </c>
      <c r="I7" s="1" t="s">
        <v>1011</v>
      </c>
    </row>
    <row r="8" spans="2:9" ht="45" x14ac:dyDescent="0.25">
      <c r="B8" s="42">
        <v>6</v>
      </c>
      <c r="C8" s="1" t="str">
        <f t="shared" si="0"/>
        <v>aitns25dicmma</v>
      </c>
      <c r="D8" s="1" t="s">
        <v>30</v>
      </c>
      <c r="E8" s="1" t="s">
        <v>1165</v>
      </c>
      <c r="F8" s="1" t="s">
        <v>1027</v>
      </c>
      <c r="G8" s="38" t="s">
        <v>1159</v>
      </c>
      <c r="H8" s="41" t="s">
        <v>1161</v>
      </c>
      <c r="I8" s="1" t="s">
        <v>1011</v>
      </c>
    </row>
    <row r="9" spans="2:9" ht="30" x14ac:dyDescent="0.25">
      <c r="B9" s="42">
        <v>7</v>
      </c>
      <c r="C9" s="1" t="str">
        <f t="shared" si="0"/>
        <v>aitns25dicmaa</v>
      </c>
      <c r="D9" s="1" t="s">
        <v>30</v>
      </c>
      <c r="E9" s="1" t="s">
        <v>1164</v>
      </c>
      <c r="F9" s="1" t="s">
        <v>1027</v>
      </c>
      <c r="G9" s="38" t="s">
        <v>1162</v>
      </c>
      <c r="H9" s="41" t="s">
        <v>1163</v>
      </c>
      <c r="I9" s="1" t="s">
        <v>1011</v>
      </c>
    </row>
    <row r="10" spans="2:9" ht="45" x14ac:dyDescent="0.25">
      <c r="B10" s="42">
        <v>8</v>
      </c>
      <c r="C10" s="1" t="str">
        <f t="shared" si="0"/>
        <v>aitns25dicmda</v>
      </c>
      <c r="D10" s="1" t="s">
        <v>30</v>
      </c>
      <c r="E10" s="1" t="s">
        <v>1169</v>
      </c>
      <c r="F10" s="1" t="s">
        <v>1027</v>
      </c>
      <c r="G10" s="38" t="s">
        <v>1167</v>
      </c>
      <c r="H10" s="41" t="s">
        <v>1168</v>
      </c>
      <c r="I10" s="1" t="s">
        <v>1011</v>
      </c>
    </row>
    <row r="11" spans="2:9" ht="60" x14ac:dyDescent="0.25">
      <c r="B11" s="42">
        <v>9</v>
      </c>
      <c r="C11" s="1" t="str">
        <f t="shared" si="0"/>
        <v>aitnssfa</v>
      </c>
      <c r="D11" s="1" t="s">
        <v>30</v>
      </c>
      <c r="E11" s="1" t="s">
        <v>1170</v>
      </c>
      <c r="F11" s="1" t="s">
        <v>1027</v>
      </c>
      <c r="G11" s="38" t="s">
        <v>1016</v>
      </c>
      <c r="H11" s="41" t="s">
        <v>1217</v>
      </c>
      <c r="I11" s="1" t="s">
        <v>1011</v>
      </c>
    </row>
    <row r="12" spans="2:9" ht="45" x14ac:dyDescent="0.25">
      <c r="B12" s="42">
        <v>10</v>
      </c>
      <c r="C12" s="1" t="str">
        <f t="shared" si="0"/>
        <v>aitns1eneroa</v>
      </c>
      <c r="D12" s="1" t="s">
        <v>30</v>
      </c>
      <c r="E12" s="1" t="s">
        <v>1171</v>
      </c>
      <c r="F12" s="1" t="s">
        <v>1027</v>
      </c>
      <c r="G12" s="38" t="s">
        <v>1218</v>
      </c>
      <c r="H12" s="41" t="s">
        <v>1237</v>
      </c>
      <c r="I12" s="1" t="s">
        <v>1011</v>
      </c>
    </row>
    <row r="13" spans="2:9" ht="30" x14ac:dyDescent="0.25">
      <c r="B13" s="42">
        <v>11</v>
      </c>
      <c r="C13" s="1" t="str">
        <f t="shared" si="0"/>
        <v>aitns2a</v>
      </c>
      <c r="D13" s="1" t="s">
        <v>30</v>
      </c>
      <c r="E13" s="1">
        <v>2</v>
      </c>
      <c r="F13" s="1" t="s">
        <v>1027</v>
      </c>
      <c r="G13" s="38" t="s">
        <v>1174</v>
      </c>
      <c r="H13" s="41" t="s">
        <v>1238</v>
      </c>
      <c r="I13" s="1" t="s">
        <v>1011</v>
      </c>
    </row>
    <row r="14" spans="2:9" ht="30" x14ac:dyDescent="0.25">
      <c r="B14" s="42">
        <v>12</v>
      </c>
      <c r="C14" s="1" t="str">
        <f t="shared" si="0"/>
        <v>aitns6eneroa</v>
      </c>
      <c r="D14" s="1" t="s">
        <v>30</v>
      </c>
      <c r="E14" s="1" t="s">
        <v>1176</v>
      </c>
      <c r="F14" s="1" t="s">
        <v>1027</v>
      </c>
      <c r="G14" s="38" t="s">
        <v>1177</v>
      </c>
      <c r="H14" s="41" t="s">
        <v>1178</v>
      </c>
      <c r="I14" s="1" t="s">
        <v>1011</v>
      </c>
    </row>
    <row r="15" spans="2:9" ht="45" x14ac:dyDescent="0.25">
      <c r="B15" s="42">
        <v>13</v>
      </c>
      <c r="C15" s="42" t="str">
        <f t="shared" si="0"/>
        <v>aitos1a</v>
      </c>
      <c r="D15" s="1" t="s">
        <v>990</v>
      </c>
      <c r="E15" s="1">
        <v>1</v>
      </c>
      <c r="F15" s="1" t="s">
        <v>1027</v>
      </c>
      <c r="G15" s="38" t="s">
        <v>1029</v>
      </c>
      <c r="H15" s="41" t="s">
        <v>1139</v>
      </c>
      <c r="I15" s="1" t="s">
        <v>1011</v>
      </c>
    </row>
    <row r="16" spans="2:9" ht="30" x14ac:dyDescent="0.25">
      <c r="B16" s="42">
        <v>14</v>
      </c>
      <c r="C16" s="42" t="str">
        <f t="shared" si="0"/>
        <v>aitos2a</v>
      </c>
      <c r="D16" s="1" t="s">
        <v>990</v>
      </c>
      <c r="E16" s="1">
        <v>2</v>
      </c>
      <c r="F16" s="1" t="s">
        <v>1027</v>
      </c>
      <c r="G16" s="38" t="s">
        <v>1030</v>
      </c>
      <c r="H16" s="41" t="s">
        <v>1140</v>
      </c>
      <c r="I16" s="1" t="s">
        <v>1011</v>
      </c>
    </row>
    <row r="17" spans="2:9" ht="30" x14ac:dyDescent="0.25">
      <c r="B17" s="42">
        <v>15</v>
      </c>
      <c r="C17" s="42" t="str">
        <f t="shared" si="0"/>
        <v>aitos3a</v>
      </c>
      <c r="D17" s="1" t="s">
        <v>990</v>
      </c>
      <c r="E17" s="1">
        <v>3</v>
      </c>
      <c r="F17" s="1" t="s">
        <v>1027</v>
      </c>
      <c r="G17" s="38" t="s">
        <v>1031</v>
      </c>
      <c r="H17" s="41" t="s">
        <v>1052</v>
      </c>
      <c r="I17" s="1" t="s">
        <v>1011</v>
      </c>
    </row>
    <row r="18" spans="2:9" ht="30" x14ac:dyDescent="0.25">
      <c r="B18" s="42">
        <v>16</v>
      </c>
      <c r="C18" s="42" t="str">
        <f t="shared" si="0"/>
        <v>aitos4a</v>
      </c>
      <c r="D18" s="1" t="s">
        <v>990</v>
      </c>
      <c r="E18" s="1">
        <v>4</v>
      </c>
      <c r="F18" s="1" t="s">
        <v>1027</v>
      </c>
      <c r="G18" s="38" t="s">
        <v>1032</v>
      </c>
      <c r="H18" s="41" t="s">
        <v>1141</v>
      </c>
      <c r="I18" s="1" t="s">
        <v>1011</v>
      </c>
    </row>
    <row r="19" spans="2:9" ht="45" x14ac:dyDescent="0.25">
      <c r="B19" s="42">
        <v>17</v>
      </c>
      <c r="C19" s="42" t="str">
        <f t="shared" si="0"/>
        <v>aitos5a</v>
      </c>
      <c r="D19" s="1" t="s">
        <v>990</v>
      </c>
      <c r="E19" s="1">
        <v>5</v>
      </c>
      <c r="F19" s="1" t="s">
        <v>1027</v>
      </c>
      <c r="G19" s="38" t="s">
        <v>1033</v>
      </c>
      <c r="H19" s="41" t="s">
        <v>1142</v>
      </c>
      <c r="I19" s="1" t="s">
        <v>1011</v>
      </c>
    </row>
    <row r="20" spans="2:9" ht="45" x14ac:dyDescent="0.25">
      <c r="B20" s="42">
        <v>18</v>
      </c>
      <c r="C20" s="42" t="str">
        <f t="shared" si="0"/>
        <v>aitos6a</v>
      </c>
      <c r="D20" s="1" t="s">
        <v>990</v>
      </c>
      <c r="E20" s="1">
        <v>6</v>
      </c>
      <c r="F20" s="1" t="s">
        <v>1027</v>
      </c>
      <c r="G20" s="38" t="s">
        <v>1034</v>
      </c>
      <c r="H20" s="41" t="s">
        <v>1143</v>
      </c>
      <c r="I20" s="1" t="s">
        <v>1011</v>
      </c>
    </row>
    <row r="21" spans="2:9" ht="45" x14ac:dyDescent="0.25">
      <c r="B21" s="42">
        <v>19</v>
      </c>
      <c r="C21" s="42" t="str">
        <f t="shared" si="0"/>
        <v>aitos7a</v>
      </c>
      <c r="D21" s="1" t="s">
        <v>990</v>
      </c>
      <c r="E21" s="1">
        <v>7</v>
      </c>
      <c r="F21" s="1" t="s">
        <v>1027</v>
      </c>
      <c r="G21" s="38" t="s">
        <v>1035</v>
      </c>
      <c r="H21" s="41" t="s">
        <v>1144</v>
      </c>
      <c r="I21" s="1" t="s">
        <v>1011</v>
      </c>
    </row>
    <row r="22" spans="2:9" ht="30" x14ac:dyDescent="0.25">
      <c r="B22" s="42">
        <v>20</v>
      </c>
      <c r="C22" s="42" t="str">
        <f t="shared" si="0"/>
        <v>aitos8a</v>
      </c>
      <c r="D22" s="1" t="s">
        <v>990</v>
      </c>
      <c r="E22" s="1">
        <v>8</v>
      </c>
      <c r="F22" s="1" t="s">
        <v>1027</v>
      </c>
      <c r="G22" s="38" t="s">
        <v>1036</v>
      </c>
      <c r="H22" s="41" t="s">
        <v>1135</v>
      </c>
      <c r="I22" s="1" t="s">
        <v>1011</v>
      </c>
    </row>
    <row r="23" spans="2:9" ht="60" x14ac:dyDescent="0.25">
      <c r="B23" s="42">
        <v>21</v>
      </c>
      <c r="C23" s="42" t="str">
        <f t="shared" si="0"/>
        <v>aitos9a</v>
      </c>
      <c r="D23" s="1" t="s">
        <v>990</v>
      </c>
      <c r="E23" s="1">
        <v>9</v>
      </c>
      <c r="F23" s="1" t="s">
        <v>1027</v>
      </c>
      <c r="G23" s="38" t="s">
        <v>1037</v>
      </c>
      <c r="H23" s="41" t="s">
        <v>1145</v>
      </c>
      <c r="I23" s="1" t="s">
        <v>1011</v>
      </c>
    </row>
    <row r="24" spans="2:9" ht="45" x14ac:dyDescent="0.25">
      <c r="B24" s="42">
        <v>22</v>
      </c>
      <c r="C24" s="42" t="str">
        <f t="shared" si="0"/>
        <v>aitos10a</v>
      </c>
      <c r="D24" s="1" t="s">
        <v>990</v>
      </c>
      <c r="E24" s="1">
        <v>10</v>
      </c>
      <c r="F24" s="1" t="s">
        <v>1027</v>
      </c>
      <c r="G24" s="38" t="s">
        <v>1039</v>
      </c>
      <c r="H24" s="41" t="s">
        <v>1086</v>
      </c>
      <c r="I24" s="1" t="s">
        <v>1011</v>
      </c>
    </row>
    <row r="25" spans="2:9" ht="30" x14ac:dyDescent="0.25">
      <c r="B25" s="42">
        <v>23</v>
      </c>
      <c r="C25" s="42" t="str">
        <f t="shared" si="0"/>
        <v>aitos11a</v>
      </c>
      <c r="D25" s="1" t="s">
        <v>990</v>
      </c>
      <c r="E25" s="1">
        <v>11</v>
      </c>
      <c r="F25" s="1" t="s">
        <v>1027</v>
      </c>
      <c r="G25" s="38" t="s">
        <v>1040</v>
      </c>
      <c r="H25" s="41" t="s">
        <v>1080</v>
      </c>
      <c r="I25" s="1" t="s">
        <v>1011</v>
      </c>
    </row>
    <row r="26" spans="2:9" ht="45" x14ac:dyDescent="0.25">
      <c r="B26" s="42">
        <v>24</v>
      </c>
      <c r="C26" s="42" t="str">
        <f t="shared" si="0"/>
        <v>aitos12a</v>
      </c>
      <c r="D26" s="1" t="s">
        <v>990</v>
      </c>
      <c r="E26" s="1">
        <v>12</v>
      </c>
      <c r="F26" s="1" t="s">
        <v>1027</v>
      </c>
      <c r="G26" s="38" t="s">
        <v>1041</v>
      </c>
      <c r="H26" s="41" t="s">
        <v>1042</v>
      </c>
      <c r="I26" s="1" t="s">
        <v>1011</v>
      </c>
    </row>
    <row r="27" spans="2:9" ht="75" x14ac:dyDescent="0.25">
      <c r="B27" s="42">
        <v>25</v>
      </c>
      <c r="C27" s="42" t="str">
        <f t="shared" si="0"/>
        <v>aitos13a</v>
      </c>
      <c r="D27" s="1" t="s">
        <v>990</v>
      </c>
      <c r="E27" s="1">
        <v>13</v>
      </c>
      <c r="F27" s="1" t="s">
        <v>1027</v>
      </c>
      <c r="G27" s="38" t="s">
        <v>1043</v>
      </c>
      <c r="H27" s="41" t="s">
        <v>1044</v>
      </c>
      <c r="I27" s="1" t="s">
        <v>1011</v>
      </c>
    </row>
    <row r="28" spans="2:9" ht="45" x14ac:dyDescent="0.25">
      <c r="B28" s="42">
        <v>26</v>
      </c>
      <c r="C28" s="42" t="str">
        <f t="shared" si="0"/>
        <v>aitos14a</v>
      </c>
      <c r="D28" s="1" t="s">
        <v>990</v>
      </c>
      <c r="E28" s="1">
        <v>14</v>
      </c>
      <c r="F28" s="1" t="s">
        <v>1027</v>
      </c>
      <c r="G28" s="38" t="s">
        <v>1034</v>
      </c>
      <c r="H28" s="41" t="s">
        <v>1045</v>
      </c>
      <c r="I28" s="1" t="s">
        <v>1011</v>
      </c>
    </row>
    <row r="29" spans="2:9" ht="30" x14ac:dyDescent="0.25">
      <c r="B29" s="42">
        <v>27</v>
      </c>
      <c r="C29" s="42" t="str">
        <f t="shared" si="0"/>
        <v>aitos15a</v>
      </c>
      <c r="D29" s="1" t="s">
        <v>990</v>
      </c>
      <c r="E29" s="1">
        <v>15</v>
      </c>
      <c r="F29" s="1" t="s">
        <v>1027</v>
      </c>
      <c r="G29" s="38" t="s">
        <v>1046</v>
      </c>
      <c r="H29" s="41"/>
      <c r="I29" s="1" t="s">
        <v>1011</v>
      </c>
    </row>
    <row r="30" spans="2:9" ht="31.5" customHeight="1" x14ac:dyDescent="0.25">
      <c r="B30" s="42">
        <v>28</v>
      </c>
      <c r="C30" s="42" t="str">
        <f t="shared" si="0"/>
        <v>aitos16a</v>
      </c>
      <c r="D30" s="1" t="s">
        <v>990</v>
      </c>
      <c r="E30" s="1">
        <v>16</v>
      </c>
      <c r="F30" s="1" t="s">
        <v>1027</v>
      </c>
      <c r="G30" s="38" t="s">
        <v>1034</v>
      </c>
      <c r="H30" s="41" t="s">
        <v>1045</v>
      </c>
      <c r="I30" s="1" t="s">
        <v>1011</v>
      </c>
    </row>
    <row r="31" spans="2:9" ht="45" x14ac:dyDescent="0.25">
      <c r="B31" s="42">
        <v>29</v>
      </c>
      <c r="C31" s="42" t="str">
        <f t="shared" si="0"/>
        <v>aitos17a</v>
      </c>
      <c r="D31" s="1" t="s">
        <v>990</v>
      </c>
      <c r="E31" s="1">
        <v>17</v>
      </c>
      <c r="F31" s="1" t="s">
        <v>1027</v>
      </c>
      <c r="G31" s="38" t="s">
        <v>1047</v>
      </c>
      <c r="H31" s="41" t="s">
        <v>1045</v>
      </c>
      <c r="I31" s="1" t="s">
        <v>1011</v>
      </c>
    </row>
    <row r="32" spans="2:9" ht="31.5" customHeight="1" x14ac:dyDescent="0.25">
      <c r="B32" s="42">
        <v>30</v>
      </c>
      <c r="C32" s="42" t="str">
        <f t="shared" si="0"/>
        <v>aitos18a</v>
      </c>
      <c r="D32" s="1" t="s">
        <v>990</v>
      </c>
      <c r="E32" s="1">
        <v>18</v>
      </c>
      <c r="F32" s="1" t="s">
        <v>1027</v>
      </c>
      <c r="G32" s="38" t="s">
        <v>1048</v>
      </c>
      <c r="H32" s="41" t="s">
        <v>1049</v>
      </c>
      <c r="I32" s="1" t="s">
        <v>1011</v>
      </c>
    </row>
    <row r="33" spans="2:9" ht="30" x14ac:dyDescent="0.25">
      <c r="B33" s="42">
        <v>31</v>
      </c>
      <c r="C33" s="42" t="str">
        <f t="shared" si="0"/>
        <v>aitos19a</v>
      </c>
      <c r="D33" s="1" t="s">
        <v>990</v>
      </c>
      <c r="E33" s="1">
        <v>19</v>
      </c>
      <c r="F33" s="1" t="s">
        <v>1027</v>
      </c>
      <c r="G33" s="38" t="s">
        <v>1050</v>
      </c>
      <c r="H33" s="41" t="s">
        <v>1051</v>
      </c>
      <c r="I33" s="1" t="s">
        <v>1011</v>
      </c>
    </row>
    <row r="34" spans="2:9" ht="30" x14ac:dyDescent="0.25">
      <c r="B34" s="42">
        <v>32</v>
      </c>
      <c r="C34" s="42" t="str">
        <f t="shared" si="0"/>
        <v>aitos20a</v>
      </c>
      <c r="D34" s="1" t="s">
        <v>990</v>
      </c>
      <c r="E34" s="1">
        <v>20</v>
      </c>
      <c r="F34" s="1" t="s">
        <v>1027</v>
      </c>
      <c r="G34" s="38" t="s">
        <v>1031</v>
      </c>
      <c r="H34" s="41" t="s">
        <v>1052</v>
      </c>
      <c r="I34" s="1" t="s">
        <v>1011</v>
      </c>
    </row>
    <row r="35" spans="2:9" ht="45" x14ac:dyDescent="0.25">
      <c r="B35" s="42">
        <v>33</v>
      </c>
      <c r="C35" s="42" t="str">
        <f t="shared" si="0"/>
        <v>aitos21a</v>
      </c>
      <c r="D35" s="1" t="s">
        <v>990</v>
      </c>
      <c r="E35" s="1">
        <v>21</v>
      </c>
      <c r="F35" s="1" t="s">
        <v>1027</v>
      </c>
      <c r="G35" s="38" t="s">
        <v>1053</v>
      </c>
      <c r="H35" s="41" t="s">
        <v>1054</v>
      </c>
      <c r="I35" s="1" t="s">
        <v>1011</v>
      </c>
    </row>
    <row r="36" spans="2:9" ht="60" x14ac:dyDescent="0.25">
      <c r="B36" s="42">
        <v>34</v>
      </c>
      <c r="C36" s="42" t="str">
        <f t="shared" si="0"/>
        <v>aitos22a</v>
      </c>
      <c r="D36" s="1" t="s">
        <v>990</v>
      </c>
      <c r="E36" s="1">
        <v>22</v>
      </c>
      <c r="F36" s="1" t="s">
        <v>1027</v>
      </c>
      <c r="G36" s="38" t="s">
        <v>1055</v>
      </c>
      <c r="H36" s="41" t="s">
        <v>1056</v>
      </c>
      <c r="I36" s="1" t="s">
        <v>1011</v>
      </c>
    </row>
    <row r="37" spans="2:9" ht="45" x14ac:dyDescent="0.25">
      <c r="B37" s="42">
        <v>35</v>
      </c>
      <c r="C37" s="42" t="str">
        <f t="shared" si="0"/>
        <v>aitos23a</v>
      </c>
      <c r="D37" s="1" t="s">
        <v>990</v>
      </c>
      <c r="E37" s="1">
        <v>23</v>
      </c>
      <c r="F37" s="1" t="s">
        <v>1027</v>
      </c>
      <c r="G37" s="38" t="s">
        <v>1057</v>
      </c>
      <c r="H37" s="41" t="s">
        <v>1058</v>
      </c>
      <c r="I37" s="1" t="s">
        <v>1011</v>
      </c>
    </row>
    <row r="38" spans="2:9" ht="60" x14ac:dyDescent="0.25">
      <c r="B38" s="42">
        <v>36</v>
      </c>
      <c r="C38" s="42" t="str">
        <f t="shared" si="0"/>
        <v>aitos24a</v>
      </c>
      <c r="D38" s="1" t="s">
        <v>990</v>
      </c>
      <c r="E38" s="1">
        <v>24</v>
      </c>
      <c r="F38" s="1" t="s">
        <v>1027</v>
      </c>
      <c r="G38" s="38" t="s">
        <v>1007</v>
      </c>
      <c r="H38" s="41" t="s">
        <v>1059</v>
      </c>
      <c r="I38" s="1" t="s">
        <v>1011</v>
      </c>
    </row>
    <row r="39" spans="2:9" ht="30" x14ac:dyDescent="0.25">
      <c r="B39" s="42">
        <v>37</v>
      </c>
      <c r="C39" s="42" t="str">
        <f t="shared" si="0"/>
        <v>aitos25a</v>
      </c>
      <c r="D39" s="1" t="s">
        <v>990</v>
      </c>
      <c r="E39" s="1">
        <v>25</v>
      </c>
      <c r="F39" s="1" t="s">
        <v>1027</v>
      </c>
      <c r="G39" s="38" t="s">
        <v>1060</v>
      </c>
      <c r="H39" s="41" t="s">
        <v>1061</v>
      </c>
      <c r="I39" s="1" t="s">
        <v>1011</v>
      </c>
    </row>
    <row r="40" spans="2:9" ht="45" x14ac:dyDescent="0.25">
      <c r="B40" s="42">
        <v>38</v>
      </c>
      <c r="C40" s="42" t="str">
        <f t="shared" si="0"/>
        <v>aitos26a</v>
      </c>
      <c r="D40" s="1" t="s">
        <v>990</v>
      </c>
      <c r="E40" s="1">
        <v>26</v>
      </c>
      <c r="F40" s="1" t="s">
        <v>1027</v>
      </c>
      <c r="G40" s="38" t="s">
        <v>1062</v>
      </c>
      <c r="H40" s="41" t="s">
        <v>1063</v>
      </c>
      <c r="I40" s="1" t="s">
        <v>1011</v>
      </c>
    </row>
    <row r="41" spans="2:9" ht="45" x14ac:dyDescent="0.25">
      <c r="B41" s="42">
        <v>39</v>
      </c>
      <c r="C41" s="42" t="str">
        <f t="shared" si="0"/>
        <v>aitos27a</v>
      </c>
      <c r="D41" s="1" t="s">
        <v>990</v>
      </c>
      <c r="E41" s="1">
        <v>27</v>
      </c>
      <c r="F41" s="1" t="s">
        <v>1027</v>
      </c>
      <c r="G41" s="38" t="s">
        <v>1064</v>
      </c>
      <c r="H41" s="41" t="s">
        <v>1065</v>
      </c>
      <c r="I41" s="1" t="s">
        <v>1011</v>
      </c>
    </row>
    <row r="42" spans="2:9" ht="60" x14ac:dyDescent="0.25">
      <c r="B42" s="42">
        <v>40</v>
      </c>
      <c r="C42" s="42" t="str">
        <f t="shared" si="0"/>
        <v>aitos28a</v>
      </c>
      <c r="D42" s="1" t="s">
        <v>990</v>
      </c>
      <c r="E42" s="1">
        <v>28</v>
      </c>
      <c r="F42" s="1" t="s">
        <v>1027</v>
      </c>
      <c r="G42" s="38" t="s">
        <v>1055</v>
      </c>
      <c r="H42" s="41" t="s">
        <v>1056</v>
      </c>
      <c r="I42" s="1" t="s">
        <v>1011</v>
      </c>
    </row>
    <row r="43" spans="2:9" ht="30" x14ac:dyDescent="0.25">
      <c r="B43" s="42">
        <v>41</v>
      </c>
      <c r="C43" s="42" t="str">
        <f t="shared" si="0"/>
        <v>aitos29a</v>
      </c>
      <c r="D43" s="1" t="s">
        <v>990</v>
      </c>
      <c r="E43" s="1">
        <v>29</v>
      </c>
      <c r="F43" s="1" t="s">
        <v>1027</v>
      </c>
      <c r="G43" s="38" t="s">
        <v>1008</v>
      </c>
      <c r="H43" s="41" t="s">
        <v>1066</v>
      </c>
      <c r="I43" s="1" t="s">
        <v>1011</v>
      </c>
    </row>
    <row r="44" spans="2:9" ht="45" x14ac:dyDescent="0.25">
      <c r="B44" s="42">
        <v>42</v>
      </c>
      <c r="C44" s="42" t="str">
        <f t="shared" si="0"/>
        <v>aitos30a</v>
      </c>
      <c r="D44" s="1" t="s">
        <v>990</v>
      </c>
      <c r="E44" s="1">
        <v>30</v>
      </c>
      <c r="F44" s="1" t="s">
        <v>1027</v>
      </c>
      <c r="G44" s="38" t="s">
        <v>1067</v>
      </c>
      <c r="H44" s="41" t="s">
        <v>1068</v>
      </c>
      <c r="I44" s="1" t="s">
        <v>1011</v>
      </c>
    </row>
    <row r="45" spans="2:9" ht="30" x14ac:dyDescent="0.25">
      <c r="B45" s="42">
        <v>43</v>
      </c>
      <c r="C45" s="42" t="str">
        <f t="shared" si="0"/>
        <v>aitos31a</v>
      </c>
      <c r="D45" s="1" t="s">
        <v>990</v>
      </c>
      <c r="E45" s="1">
        <v>31</v>
      </c>
      <c r="F45" s="1" t="s">
        <v>1027</v>
      </c>
      <c r="G45" s="38" t="s">
        <v>1069</v>
      </c>
      <c r="H45" s="41" t="s">
        <v>1070</v>
      </c>
      <c r="I45" s="1" t="s">
        <v>1011</v>
      </c>
    </row>
    <row r="46" spans="2:9" ht="45" x14ac:dyDescent="0.25">
      <c r="B46" s="42">
        <v>44</v>
      </c>
      <c r="C46" s="42" t="str">
        <f t="shared" si="0"/>
        <v>aitos32a</v>
      </c>
      <c r="D46" s="1" t="s">
        <v>990</v>
      </c>
      <c r="E46" s="1">
        <v>32</v>
      </c>
      <c r="F46" s="1" t="s">
        <v>1027</v>
      </c>
      <c r="G46" s="38" t="s">
        <v>1021</v>
      </c>
      <c r="H46" s="41" t="s">
        <v>1071</v>
      </c>
      <c r="I46" s="1" t="s">
        <v>1011</v>
      </c>
    </row>
    <row r="47" spans="2:9" ht="45" x14ac:dyDescent="0.25">
      <c r="B47" s="42">
        <v>45</v>
      </c>
      <c r="C47" s="42" t="str">
        <f t="shared" si="0"/>
        <v>aitos33a</v>
      </c>
      <c r="D47" s="1" t="s">
        <v>990</v>
      </c>
      <c r="E47" s="1">
        <v>33</v>
      </c>
      <c r="F47" s="1" t="s">
        <v>1027</v>
      </c>
      <c r="G47" s="38" t="s">
        <v>1072</v>
      </c>
      <c r="H47" s="41" t="s">
        <v>1073</v>
      </c>
      <c r="I47" s="1" t="s">
        <v>1011</v>
      </c>
    </row>
    <row r="48" spans="2:9" ht="30" x14ac:dyDescent="0.25">
      <c r="B48" s="42">
        <v>46</v>
      </c>
      <c r="C48" s="42" t="str">
        <f t="shared" si="0"/>
        <v>aitos34a</v>
      </c>
      <c r="D48" s="1" t="s">
        <v>990</v>
      </c>
      <c r="E48" s="1">
        <v>34</v>
      </c>
      <c r="F48" s="1" t="s">
        <v>1027</v>
      </c>
      <c r="G48" s="38" t="s">
        <v>1074</v>
      </c>
      <c r="H48" s="41" t="s">
        <v>1075</v>
      </c>
      <c r="I48" s="1" t="s">
        <v>1011</v>
      </c>
    </row>
    <row r="49" spans="2:9" ht="60" x14ac:dyDescent="0.25">
      <c r="B49" s="42">
        <v>47</v>
      </c>
      <c r="C49" s="1" t="str">
        <f t="shared" si="0"/>
        <v>aitosscsca</v>
      </c>
      <c r="D49" s="1" t="s">
        <v>990</v>
      </c>
      <c r="E49" s="1" t="s">
        <v>1215</v>
      </c>
      <c r="F49" s="1" t="s">
        <v>1027</v>
      </c>
      <c r="G49" s="38" t="s">
        <v>1213</v>
      </c>
      <c r="H49" s="41" t="s">
        <v>1214</v>
      </c>
      <c r="I49" s="1" t="s">
        <v>1011</v>
      </c>
    </row>
    <row r="50" spans="2:9" ht="135" x14ac:dyDescent="0.25">
      <c r="B50" s="42">
        <v>48</v>
      </c>
      <c r="C50" s="1" t="str">
        <f t="shared" si="0"/>
        <v>aitosviernesa</v>
      </c>
      <c r="D50" s="1" t="s">
        <v>990</v>
      </c>
      <c r="E50" s="1" t="s">
        <v>1216</v>
      </c>
      <c r="F50" s="1" t="s">
        <v>1027</v>
      </c>
      <c r="G50" s="38" t="s">
        <v>1225</v>
      </c>
      <c r="H50" s="41" t="s">
        <v>1226</v>
      </c>
      <c r="I50" s="1" t="s">
        <v>1011</v>
      </c>
    </row>
    <row r="51" spans="2:9" ht="30" x14ac:dyDescent="0.25">
      <c r="B51" s="42">
        <v>49</v>
      </c>
      <c r="C51" s="1" t="str">
        <f t="shared" si="0"/>
        <v>aitcs1a</v>
      </c>
      <c r="D51" s="1" t="s">
        <v>17</v>
      </c>
      <c r="E51" s="1">
        <v>1</v>
      </c>
      <c r="F51" s="1" t="s">
        <v>1027</v>
      </c>
      <c r="G51" s="38" t="s">
        <v>1048</v>
      </c>
      <c r="H51" s="41" t="s">
        <v>1049</v>
      </c>
      <c r="I51" s="1" t="s">
        <v>1011</v>
      </c>
    </row>
    <row r="52" spans="2:9" ht="30" x14ac:dyDescent="0.25">
      <c r="B52" s="42">
        <v>50</v>
      </c>
      <c r="C52" s="1" t="str">
        <f t="shared" si="0"/>
        <v>aitcs2a</v>
      </c>
      <c r="D52" s="1" t="s">
        <v>17</v>
      </c>
      <c r="E52" s="1">
        <v>2</v>
      </c>
      <c r="F52" s="1" t="s">
        <v>1027</v>
      </c>
      <c r="G52" s="38" t="s">
        <v>1180</v>
      </c>
      <c r="H52" s="41" t="s">
        <v>988</v>
      </c>
      <c r="I52" s="1" t="s">
        <v>1011</v>
      </c>
    </row>
    <row r="53" spans="2:9" ht="30" x14ac:dyDescent="0.25">
      <c r="B53" s="42">
        <v>51</v>
      </c>
      <c r="C53" s="1" t="str">
        <f t="shared" si="0"/>
        <v>aitcs3a</v>
      </c>
      <c r="D53" s="1" t="s">
        <v>17</v>
      </c>
      <c r="E53" s="1">
        <v>3</v>
      </c>
      <c r="F53" s="1" t="s">
        <v>1027</v>
      </c>
      <c r="G53" s="38" t="s">
        <v>1181</v>
      </c>
      <c r="H53" s="41" t="s">
        <v>1182</v>
      </c>
      <c r="I53" s="1" t="s">
        <v>1011</v>
      </c>
    </row>
    <row r="54" spans="2:9" ht="45" x14ac:dyDescent="0.25">
      <c r="B54" s="42">
        <v>52</v>
      </c>
      <c r="C54" s="1" t="str">
        <f t="shared" si="0"/>
        <v>aitcs4a</v>
      </c>
      <c r="D54" s="1" t="s">
        <v>17</v>
      </c>
      <c r="E54" s="1">
        <v>4</v>
      </c>
      <c r="F54" s="1" t="s">
        <v>1027</v>
      </c>
      <c r="G54" s="38" t="s">
        <v>1183</v>
      </c>
      <c r="H54" s="41" t="s">
        <v>1184</v>
      </c>
      <c r="I54" s="1" t="s">
        <v>1011</v>
      </c>
    </row>
    <row r="55" spans="2:9" ht="45" x14ac:dyDescent="0.25">
      <c r="B55" s="42">
        <v>53</v>
      </c>
      <c r="C55" s="1" t="str">
        <f t="shared" si="0"/>
        <v>aitcs5a</v>
      </c>
      <c r="D55" s="1" t="s">
        <v>17</v>
      </c>
      <c r="E55" s="1">
        <v>5</v>
      </c>
      <c r="F55" s="1" t="s">
        <v>1027</v>
      </c>
      <c r="G55" s="38" t="s">
        <v>1185</v>
      </c>
      <c r="H55" s="41" t="s">
        <v>1186</v>
      </c>
      <c r="I55" s="1" t="s">
        <v>1011</v>
      </c>
    </row>
    <row r="56" spans="2:9" ht="60" x14ac:dyDescent="0.25">
      <c r="B56" s="42">
        <v>54</v>
      </c>
      <c r="C56" s="1" t="str">
        <f t="shared" si="0"/>
        <v>aitcs6a</v>
      </c>
      <c r="D56" s="1" t="s">
        <v>17</v>
      </c>
      <c r="E56" s="1">
        <v>6</v>
      </c>
      <c r="F56" s="1" t="s">
        <v>1027</v>
      </c>
      <c r="G56" s="38" t="s">
        <v>1187</v>
      </c>
      <c r="H56" s="41" t="s">
        <v>1188</v>
      </c>
      <c r="I56" s="1" t="s">
        <v>1011</v>
      </c>
    </row>
    <row r="57" spans="2:9" ht="60" x14ac:dyDescent="0.25">
      <c r="B57" s="42">
        <v>55</v>
      </c>
      <c r="C57" s="1" t="str">
        <f t="shared" si="0"/>
        <v>aitcsjsa</v>
      </c>
      <c r="D57" s="1" t="s">
        <v>17</v>
      </c>
      <c r="E57" s="1" t="s">
        <v>1189</v>
      </c>
      <c r="F57" s="1" t="s">
        <v>1027</v>
      </c>
      <c r="G57" s="38" t="s">
        <v>1190</v>
      </c>
      <c r="H57" s="41" t="s">
        <v>1191</v>
      </c>
      <c r="I57" s="1" t="s">
        <v>1011</v>
      </c>
    </row>
    <row r="58" spans="2:9" ht="60" x14ac:dyDescent="0.25">
      <c r="B58" s="42">
        <v>56</v>
      </c>
      <c r="C58" s="1" t="str">
        <f t="shared" si="0"/>
        <v>aitcsvsa</v>
      </c>
      <c r="D58" s="1" t="s">
        <v>17</v>
      </c>
      <c r="E58" s="1" t="s">
        <v>1192</v>
      </c>
      <c r="F58" s="1" t="s">
        <v>1027</v>
      </c>
      <c r="G58" s="38" t="s">
        <v>1194</v>
      </c>
      <c r="H58" s="41" t="s">
        <v>1193</v>
      </c>
      <c r="I58" s="1" t="s">
        <v>1011</v>
      </c>
    </row>
    <row r="59" spans="2:9" x14ac:dyDescent="0.25">
      <c r="B59" s="42">
        <v>57</v>
      </c>
      <c r="C59" s="1" t="str">
        <f t="shared" si="0"/>
        <v>aitpsssa</v>
      </c>
      <c r="D59" s="1" t="s">
        <v>12</v>
      </c>
      <c r="E59" s="1" t="s">
        <v>1195</v>
      </c>
      <c r="F59" s="1" t="s">
        <v>1027</v>
      </c>
      <c r="G59" s="38" t="s">
        <v>1198</v>
      </c>
      <c r="H59" s="41" t="s">
        <v>1232</v>
      </c>
      <c r="I59" s="1" t="s">
        <v>1011</v>
      </c>
    </row>
    <row r="60" spans="2:9" ht="45" x14ac:dyDescent="0.25">
      <c r="B60" s="42">
        <v>58</v>
      </c>
      <c r="C60" s="1" t="str">
        <f t="shared" si="0"/>
        <v>aitps1a</v>
      </c>
      <c r="D60" s="1" t="s">
        <v>12</v>
      </c>
      <c r="E60" s="1">
        <v>1</v>
      </c>
      <c r="F60" s="1" t="s">
        <v>1027</v>
      </c>
      <c r="G60" s="38" t="s">
        <v>1196</v>
      </c>
      <c r="H60" s="41" t="s">
        <v>1197</v>
      </c>
      <c r="I60" s="1" t="s">
        <v>1011</v>
      </c>
    </row>
    <row r="61" spans="2:9" ht="45" x14ac:dyDescent="0.25">
      <c r="B61" s="42">
        <v>59</v>
      </c>
      <c r="C61" s="1" t="str">
        <f t="shared" si="0"/>
        <v>aitps2a</v>
      </c>
      <c r="D61" s="1" t="s">
        <v>12</v>
      </c>
      <c r="E61" s="1">
        <v>2</v>
      </c>
      <c r="F61" s="1" t="s">
        <v>1027</v>
      </c>
      <c r="G61" s="38" t="s">
        <v>1199</v>
      </c>
      <c r="H61" s="41" t="s">
        <v>1200</v>
      </c>
      <c r="I61" s="1" t="s">
        <v>1011</v>
      </c>
    </row>
    <row r="62" spans="2:9" ht="30" x14ac:dyDescent="0.25">
      <c r="B62" s="42">
        <v>60</v>
      </c>
      <c r="C62" s="1" t="str">
        <f t="shared" si="0"/>
        <v>aitps3a</v>
      </c>
      <c r="D62" s="1" t="s">
        <v>12</v>
      </c>
      <c r="E62" s="1">
        <v>3</v>
      </c>
      <c r="F62" s="1" t="s">
        <v>1027</v>
      </c>
      <c r="G62" s="38" t="s">
        <v>1201</v>
      </c>
      <c r="H62" s="41" t="s">
        <v>1202</v>
      </c>
      <c r="I62" s="1" t="s">
        <v>1011</v>
      </c>
    </row>
    <row r="63" spans="2:9" ht="45" x14ac:dyDescent="0.25">
      <c r="B63" s="42">
        <v>61</v>
      </c>
      <c r="C63" s="1" t="str">
        <f t="shared" si="0"/>
        <v>aitps4a</v>
      </c>
      <c r="D63" s="1" t="s">
        <v>12</v>
      </c>
      <c r="E63" s="1">
        <v>4</v>
      </c>
      <c r="F63" s="1" t="s">
        <v>1027</v>
      </c>
      <c r="G63" s="38" t="s">
        <v>1203</v>
      </c>
      <c r="H63" s="41" t="s">
        <v>1204</v>
      </c>
      <c r="I63" s="1" t="s">
        <v>1011</v>
      </c>
    </row>
    <row r="64" spans="2:9" ht="45" x14ac:dyDescent="0.25">
      <c r="B64" s="42">
        <v>62</v>
      </c>
      <c r="C64" s="1" t="str">
        <f t="shared" si="0"/>
        <v>aitps5a</v>
      </c>
      <c r="D64" s="1" t="s">
        <v>12</v>
      </c>
      <c r="E64" s="1">
        <v>5</v>
      </c>
      <c r="F64" s="1" t="s">
        <v>1027</v>
      </c>
      <c r="G64" s="38" t="s">
        <v>1023</v>
      </c>
      <c r="H64" s="41" t="s">
        <v>1129</v>
      </c>
      <c r="I64" s="1" t="s">
        <v>1011</v>
      </c>
    </row>
    <row r="65" spans="2:9" ht="60" x14ac:dyDescent="0.25">
      <c r="B65" s="42">
        <v>63</v>
      </c>
      <c r="C65" s="1" t="str">
        <f t="shared" si="0"/>
        <v>aitps6a</v>
      </c>
      <c r="D65" s="1" t="s">
        <v>12</v>
      </c>
      <c r="E65" s="1">
        <v>6</v>
      </c>
      <c r="F65" s="1" t="s">
        <v>1027</v>
      </c>
      <c r="G65" s="38" t="s">
        <v>1205</v>
      </c>
      <c r="H65" s="41" t="s">
        <v>1206</v>
      </c>
      <c r="I65" s="1" t="s">
        <v>1011</v>
      </c>
    </row>
    <row r="66" spans="2:9" ht="60" x14ac:dyDescent="0.25">
      <c r="B66" s="42">
        <v>64</v>
      </c>
      <c r="C66" s="1" t="str">
        <f t="shared" si="0"/>
        <v>aitps7a</v>
      </c>
      <c r="D66" s="1" t="s">
        <v>12</v>
      </c>
      <c r="E66" s="1">
        <v>7</v>
      </c>
      <c r="F66" s="1" t="s">
        <v>1027</v>
      </c>
      <c r="G66" s="38" t="s">
        <v>1205</v>
      </c>
      <c r="H66" s="41" t="s">
        <v>1206</v>
      </c>
      <c r="I66" s="1" t="s">
        <v>1011</v>
      </c>
    </row>
    <row r="67" spans="2:9" ht="60" x14ac:dyDescent="0.25">
      <c r="B67" s="42">
        <v>65</v>
      </c>
      <c r="C67" s="1" t="str">
        <f t="shared" ref="C67:C130" si="1">LOWER(_xlfn.CONCAT("ait",LEFT(D67,1)&amp;"s"&amp;E67&amp;F67))</f>
        <v>aitpsasa</v>
      </c>
      <c r="D67" s="1" t="s">
        <v>12</v>
      </c>
      <c r="E67" s="1" t="s">
        <v>975</v>
      </c>
      <c r="F67" s="1" t="s">
        <v>1027</v>
      </c>
      <c r="G67" s="38" t="s">
        <v>1207</v>
      </c>
      <c r="H67" s="41" t="s">
        <v>1208</v>
      </c>
      <c r="I67" s="1" t="s">
        <v>1011</v>
      </c>
    </row>
    <row r="68" spans="2:9" ht="45" x14ac:dyDescent="0.25">
      <c r="B68" s="42">
        <v>66</v>
      </c>
      <c r="C68" s="1" t="str">
        <f t="shared" si="1"/>
        <v>aitps8a</v>
      </c>
      <c r="D68" s="1" t="s">
        <v>12</v>
      </c>
      <c r="E68" s="1">
        <v>8</v>
      </c>
      <c r="F68" s="1" t="s">
        <v>1027</v>
      </c>
      <c r="G68" s="38" t="s">
        <v>1209</v>
      </c>
      <c r="H68" s="41" t="s">
        <v>1210</v>
      </c>
      <c r="I68" s="1" t="s">
        <v>1011</v>
      </c>
    </row>
    <row r="69" spans="2:9" ht="30" x14ac:dyDescent="0.25">
      <c r="B69" s="42">
        <v>67</v>
      </c>
      <c r="C69" s="1" t="str">
        <f t="shared" si="1"/>
        <v>aitps9a</v>
      </c>
      <c r="D69" s="1" t="s">
        <v>12</v>
      </c>
      <c r="E69" s="1">
        <v>9</v>
      </c>
      <c r="F69" s="1" t="s">
        <v>1027</v>
      </c>
      <c r="G69" s="38" t="s">
        <v>1211</v>
      </c>
      <c r="H69" s="41" t="s">
        <v>1212</v>
      </c>
      <c r="I69" s="1" t="s">
        <v>1011</v>
      </c>
    </row>
    <row r="70" spans="2:9" ht="30" x14ac:dyDescent="0.25">
      <c r="B70" s="42">
        <v>68</v>
      </c>
      <c r="C70" s="1" t="str">
        <f t="shared" si="1"/>
        <v>aitas1b</v>
      </c>
      <c r="D70" s="1" t="s">
        <v>29</v>
      </c>
      <c r="E70" s="1">
        <v>1</v>
      </c>
      <c r="F70" s="1" t="s">
        <v>1028</v>
      </c>
      <c r="G70" s="38" t="s">
        <v>1152</v>
      </c>
      <c r="H70" s="41" t="s">
        <v>1153</v>
      </c>
      <c r="I70" s="1" t="s">
        <v>1011</v>
      </c>
    </row>
    <row r="71" spans="2:9" ht="30" x14ac:dyDescent="0.25">
      <c r="B71" s="42">
        <v>69</v>
      </c>
      <c r="C71" s="1" t="str">
        <f t="shared" si="1"/>
        <v>aitas2b</v>
      </c>
      <c r="D71" s="1" t="s">
        <v>29</v>
      </c>
      <c r="E71" s="1">
        <v>2</v>
      </c>
      <c r="F71" s="1" t="s">
        <v>1028</v>
      </c>
      <c r="G71" s="38" t="s">
        <v>1154</v>
      </c>
      <c r="H71" s="41" t="s">
        <v>1155</v>
      </c>
      <c r="I71" s="1" t="s">
        <v>1011</v>
      </c>
    </row>
    <row r="72" spans="2:9" ht="30" x14ac:dyDescent="0.25">
      <c r="B72" s="42">
        <v>70</v>
      </c>
      <c r="C72" s="1" t="str">
        <f t="shared" si="1"/>
        <v>aitas3b</v>
      </c>
      <c r="D72" s="1" t="s">
        <v>29</v>
      </c>
      <c r="E72" s="1">
        <v>3</v>
      </c>
      <c r="F72" s="1" t="s">
        <v>1028</v>
      </c>
      <c r="G72" s="38" t="s">
        <v>1095</v>
      </c>
      <c r="H72" s="41" t="s">
        <v>1086</v>
      </c>
      <c r="I72" s="1" t="s">
        <v>1011</v>
      </c>
    </row>
    <row r="73" spans="2:9" ht="30" x14ac:dyDescent="0.25">
      <c r="B73" s="42">
        <v>71</v>
      </c>
      <c r="C73" s="1" t="str">
        <f t="shared" si="1"/>
        <v>aitas4b</v>
      </c>
      <c r="D73" s="1" t="s">
        <v>29</v>
      </c>
      <c r="E73" s="1">
        <v>4</v>
      </c>
      <c r="F73" s="1" t="s">
        <v>1028</v>
      </c>
      <c r="G73" s="38" t="s">
        <v>1156</v>
      </c>
      <c r="H73" s="41" t="s">
        <v>1157</v>
      </c>
      <c r="I73" s="1" t="s">
        <v>1011</v>
      </c>
    </row>
    <row r="74" spans="2:9" ht="30" x14ac:dyDescent="0.25">
      <c r="B74" s="42">
        <v>72</v>
      </c>
      <c r="C74" s="1" t="str">
        <f t="shared" si="1"/>
        <v>aitns25dicmvb</v>
      </c>
      <c r="D74" s="1" t="s">
        <v>30</v>
      </c>
      <c r="E74" s="1" t="s">
        <v>1166</v>
      </c>
      <c r="F74" s="1" t="s">
        <v>1028</v>
      </c>
      <c r="G74" s="38" t="s">
        <v>1158</v>
      </c>
      <c r="H74" s="41" t="s">
        <v>1160</v>
      </c>
      <c r="I74" s="1" t="s">
        <v>1011</v>
      </c>
    </row>
    <row r="75" spans="2:9" ht="45" x14ac:dyDescent="0.25">
      <c r="B75" s="42">
        <v>73</v>
      </c>
      <c r="C75" s="1" t="str">
        <f t="shared" si="1"/>
        <v>aitns25dicmmb</v>
      </c>
      <c r="D75" s="1" t="s">
        <v>30</v>
      </c>
      <c r="E75" s="1" t="s">
        <v>1165</v>
      </c>
      <c r="F75" s="1" t="s">
        <v>1028</v>
      </c>
      <c r="G75" s="38" t="s">
        <v>1159</v>
      </c>
      <c r="H75" s="41" t="s">
        <v>1161</v>
      </c>
      <c r="I75" s="1" t="s">
        <v>1011</v>
      </c>
    </row>
    <row r="76" spans="2:9" ht="30" x14ac:dyDescent="0.25">
      <c r="B76" s="42">
        <v>74</v>
      </c>
      <c r="C76" s="1" t="str">
        <f t="shared" si="1"/>
        <v>aitns25dicmab</v>
      </c>
      <c r="D76" s="1" t="s">
        <v>30</v>
      </c>
      <c r="E76" s="1" t="s">
        <v>1164</v>
      </c>
      <c r="F76" s="1" t="s">
        <v>1028</v>
      </c>
      <c r="G76" s="38" t="s">
        <v>1162</v>
      </c>
      <c r="H76" s="41" t="s">
        <v>1163</v>
      </c>
      <c r="I76" s="1" t="s">
        <v>1011</v>
      </c>
    </row>
    <row r="77" spans="2:9" ht="45" x14ac:dyDescent="0.25">
      <c r="B77" s="42">
        <v>75</v>
      </c>
      <c r="C77" s="1" t="str">
        <f t="shared" si="1"/>
        <v>aitns25dicmdb</v>
      </c>
      <c r="D77" s="1" t="s">
        <v>30</v>
      </c>
      <c r="E77" s="1" t="s">
        <v>1169</v>
      </c>
      <c r="F77" s="1" t="s">
        <v>1028</v>
      </c>
      <c r="G77" s="38" t="s">
        <v>1167</v>
      </c>
      <c r="H77" s="41" t="s">
        <v>1168</v>
      </c>
      <c r="I77" s="1" t="s">
        <v>1011</v>
      </c>
    </row>
    <row r="78" spans="2:9" ht="60" x14ac:dyDescent="0.25">
      <c r="B78" s="42">
        <v>76</v>
      </c>
      <c r="C78" s="1" t="str">
        <f t="shared" si="1"/>
        <v>aitnssfb</v>
      </c>
      <c r="D78" s="1" t="s">
        <v>30</v>
      </c>
      <c r="E78" s="1" t="s">
        <v>1170</v>
      </c>
      <c r="F78" s="1" t="s">
        <v>1028</v>
      </c>
      <c r="G78" s="38" t="s">
        <v>1016</v>
      </c>
      <c r="H78" s="41" t="s">
        <v>1217</v>
      </c>
      <c r="I78" s="1" t="s">
        <v>1011</v>
      </c>
    </row>
    <row r="79" spans="2:9" ht="45" x14ac:dyDescent="0.25">
      <c r="B79" s="42">
        <v>77</v>
      </c>
      <c r="C79" s="1" t="str">
        <f t="shared" si="1"/>
        <v>aitns1enerob</v>
      </c>
      <c r="D79" s="1" t="s">
        <v>30</v>
      </c>
      <c r="E79" s="1" t="s">
        <v>1171</v>
      </c>
      <c r="F79" s="1" t="s">
        <v>1028</v>
      </c>
      <c r="G79" s="38" t="s">
        <v>1218</v>
      </c>
      <c r="H79" s="41" t="s">
        <v>1172</v>
      </c>
      <c r="I79" s="1" t="s">
        <v>1011</v>
      </c>
    </row>
    <row r="80" spans="2:9" ht="30" x14ac:dyDescent="0.25">
      <c r="B80" s="42">
        <v>78</v>
      </c>
      <c r="C80" s="1" t="str">
        <f t="shared" si="1"/>
        <v>aitns2domingob</v>
      </c>
      <c r="D80" s="1" t="s">
        <v>30</v>
      </c>
      <c r="E80" s="1" t="s">
        <v>1173</v>
      </c>
      <c r="F80" s="1" t="s">
        <v>1028</v>
      </c>
      <c r="G80" s="38" t="s">
        <v>1174</v>
      </c>
      <c r="H80" s="41" t="s">
        <v>1175</v>
      </c>
      <c r="I80" s="1" t="s">
        <v>1011</v>
      </c>
    </row>
    <row r="81" spans="2:9" ht="30" x14ac:dyDescent="0.25">
      <c r="B81" s="42">
        <v>79</v>
      </c>
      <c r="C81" s="1" t="str">
        <f t="shared" si="1"/>
        <v>aitns6enerob</v>
      </c>
      <c r="D81" s="1" t="s">
        <v>30</v>
      </c>
      <c r="E81" s="1" t="s">
        <v>1176</v>
      </c>
      <c r="F81" s="1" t="s">
        <v>1028</v>
      </c>
      <c r="G81" s="38" t="s">
        <v>1177</v>
      </c>
      <c r="H81" s="41" t="s">
        <v>1178</v>
      </c>
      <c r="I81" s="1" t="s">
        <v>1011</v>
      </c>
    </row>
    <row r="82" spans="2:9" ht="45" x14ac:dyDescent="0.25">
      <c r="B82" s="42">
        <v>80</v>
      </c>
      <c r="C82" s="42" t="str">
        <f t="shared" si="1"/>
        <v>aitos1b</v>
      </c>
      <c r="D82" s="1" t="s">
        <v>990</v>
      </c>
      <c r="E82" s="1">
        <v>1</v>
      </c>
      <c r="F82" s="1" t="s">
        <v>1028</v>
      </c>
      <c r="G82" s="38" t="s">
        <v>1026</v>
      </c>
      <c r="H82" s="41" t="s">
        <v>1076</v>
      </c>
      <c r="I82" s="1" t="s">
        <v>1011</v>
      </c>
    </row>
    <row r="83" spans="2:9" ht="30" x14ac:dyDescent="0.25">
      <c r="B83" s="42">
        <v>81</v>
      </c>
      <c r="C83" s="42" t="str">
        <f t="shared" si="1"/>
        <v>aitos2b</v>
      </c>
      <c r="D83" s="1" t="s">
        <v>990</v>
      </c>
      <c r="E83" s="1">
        <v>2</v>
      </c>
      <c r="F83" s="1" t="s">
        <v>1028</v>
      </c>
      <c r="G83" s="38" t="s">
        <v>1077</v>
      </c>
      <c r="H83" s="41" t="s">
        <v>1078</v>
      </c>
      <c r="I83" s="1" t="s">
        <v>1011</v>
      </c>
    </row>
    <row r="84" spans="2:9" ht="30" x14ac:dyDescent="0.25">
      <c r="B84" s="42">
        <v>82</v>
      </c>
      <c r="C84" s="42" t="str">
        <f t="shared" si="1"/>
        <v>aitos3b</v>
      </c>
      <c r="D84" s="1" t="s">
        <v>990</v>
      </c>
      <c r="E84" s="1">
        <v>3</v>
      </c>
      <c r="F84" s="1" t="s">
        <v>1028</v>
      </c>
      <c r="G84" s="38" t="s">
        <v>1079</v>
      </c>
      <c r="H84" s="41" t="s">
        <v>1080</v>
      </c>
      <c r="I84" s="1" t="s">
        <v>1011</v>
      </c>
    </row>
    <row r="85" spans="2:9" ht="45" x14ac:dyDescent="0.25">
      <c r="B85" s="42">
        <v>83</v>
      </c>
      <c r="C85" s="42" t="str">
        <f t="shared" si="1"/>
        <v>aitos4b</v>
      </c>
      <c r="D85" s="1" t="s">
        <v>990</v>
      </c>
      <c r="E85" s="1">
        <v>4</v>
      </c>
      <c r="F85" s="1" t="s">
        <v>1028</v>
      </c>
      <c r="G85" s="38" t="s">
        <v>1081</v>
      </c>
      <c r="H85" s="41" t="s">
        <v>1082</v>
      </c>
      <c r="I85" s="1" t="s">
        <v>1011</v>
      </c>
    </row>
    <row r="86" spans="2:9" ht="30" x14ac:dyDescent="0.25">
      <c r="B86" s="42">
        <v>84</v>
      </c>
      <c r="C86" s="42" t="str">
        <f t="shared" si="1"/>
        <v>aitos5b</v>
      </c>
      <c r="D86" s="1" t="s">
        <v>990</v>
      </c>
      <c r="E86" s="1">
        <v>5</v>
      </c>
      <c r="F86" s="1" t="s">
        <v>1028</v>
      </c>
      <c r="G86" s="38" t="s">
        <v>1083</v>
      </c>
      <c r="H86" s="41" t="s">
        <v>1084</v>
      </c>
      <c r="I86" s="1" t="s">
        <v>1011</v>
      </c>
    </row>
    <row r="87" spans="2:9" ht="30" x14ac:dyDescent="0.25">
      <c r="B87" s="42">
        <v>85</v>
      </c>
      <c r="C87" s="42" t="str">
        <f t="shared" si="1"/>
        <v>aitos6b</v>
      </c>
      <c r="D87" s="1" t="s">
        <v>990</v>
      </c>
      <c r="E87" s="1">
        <v>6</v>
      </c>
      <c r="F87" s="1" t="s">
        <v>1028</v>
      </c>
      <c r="G87" s="38" t="s">
        <v>1010</v>
      </c>
      <c r="H87" s="41" t="s">
        <v>1085</v>
      </c>
      <c r="I87" s="1" t="s">
        <v>1011</v>
      </c>
    </row>
    <row r="88" spans="2:9" ht="30" x14ac:dyDescent="0.25">
      <c r="B88" s="42">
        <v>86</v>
      </c>
      <c r="C88" s="42" t="str">
        <f t="shared" si="1"/>
        <v>aitos7b</v>
      </c>
      <c r="D88" s="1" t="s">
        <v>990</v>
      </c>
      <c r="E88" s="1">
        <v>7</v>
      </c>
      <c r="F88" s="1" t="s">
        <v>1028</v>
      </c>
      <c r="G88" s="38" t="s">
        <v>1003</v>
      </c>
      <c r="H88" s="41" t="s">
        <v>1086</v>
      </c>
      <c r="I88" s="1" t="s">
        <v>1011</v>
      </c>
    </row>
    <row r="89" spans="2:9" ht="30" x14ac:dyDescent="0.25">
      <c r="B89" s="42">
        <v>87</v>
      </c>
      <c r="C89" s="42" t="str">
        <f t="shared" si="1"/>
        <v>aitos8b</v>
      </c>
      <c r="D89" s="1" t="s">
        <v>990</v>
      </c>
      <c r="E89" s="1">
        <v>8</v>
      </c>
      <c r="F89" s="1" t="s">
        <v>1028</v>
      </c>
      <c r="G89" s="38" t="s">
        <v>1087</v>
      </c>
      <c r="H89" s="41" t="s">
        <v>1088</v>
      </c>
      <c r="I89" s="1" t="s">
        <v>1011</v>
      </c>
    </row>
    <row r="90" spans="2:9" ht="30" x14ac:dyDescent="0.25">
      <c r="B90" s="42">
        <v>88</v>
      </c>
      <c r="C90" s="42" t="str">
        <f t="shared" si="1"/>
        <v>aitos9b</v>
      </c>
      <c r="D90" s="1" t="s">
        <v>990</v>
      </c>
      <c r="E90" s="1">
        <v>9</v>
      </c>
      <c r="F90" s="1" t="s">
        <v>1028</v>
      </c>
      <c r="G90" s="38" t="s">
        <v>1089</v>
      </c>
      <c r="H90" s="41" t="s">
        <v>1090</v>
      </c>
      <c r="I90" s="1" t="s">
        <v>1011</v>
      </c>
    </row>
    <row r="91" spans="2:9" ht="60" x14ac:dyDescent="0.25">
      <c r="B91" s="42">
        <v>89</v>
      </c>
      <c r="C91" s="42" t="str">
        <f t="shared" si="1"/>
        <v>aitos10b</v>
      </c>
      <c r="D91" s="1" t="s">
        <v>990</v>
      </c>
      <c r="E91" s="1">
        <v>10</v>
      </c>
      <c r="F91" s="1" t="s">
        <v>1028</v>
      </c>
      <c r="G91" s="38" t="s">
        <v>1091</v>
      </c>
      <c r="H91" s="41" t="s">
        <v>1092</v>
      </c>
      <c r="I91" s="1" t="s">
        <v>1011</v>
      </c>
    </row>
    <row r="92" spans="2:9" ht="30" x14ac:dyDescent="0.25">
      <c r="B92" s="42">
        <v>90</v>
      </c>
      <c r="C92" s="42" t="str">
        <f t="shared" si="1"/>
        <v>aitos11b</v>
      </c>
      <c r="D92" s="1" t="s">
        <v>990</v>
      </c>
      <c r="E92" s="1">
        <v>11</v>
      </c>
      <c r="F92" s="1" t="s">
        <v>1028</v>
      </c>
      <c r="G92" s="38" t="s">
        <v>1046</v>
      </c>
      <c r="H92" s="41" t="s">
        <v>988</v>
      </c>
      <c r="I92" s="1" t="s">
        <v>1011</v>
      </c>
    </row>
    <row r="93" spans="2:9" ht="30" x14ac:dyDescent="0.25">
      <c r="B93" s="42">
        <v>91</v>
      </c>
      <c r="C93" s="42" t="str">
        <f t="shared" si="1"/>
        <v>aitos12b</v>
      </c>
      <c r="D93" s="1" t="s">
        <v>990</v>
      </c>
      <c r="E93" s="1">
        <v>12</v>
      </c>
      <c r="F93" s="1" t="s">
        <v>1028</v>
      </c>
      <c r="G93" s="38" t="s">
        <v>1010</v>
      </c>
      <c r="H93" s="41" t="s">
        <v>1085</v>
      </c>
      <c r="I93" s="1" t="s">
        <v>1011</v>
      </c>
    </row>
    <row r="94" spans="2:9" ht="30" x14ac:dyDescent="0.25">
      <c r="B94" s="42">
        <v>92</v>
      </c>
      <c r="C94" s="42" t="str">
        <f t="shared" si="1"/>
        <v>aitos13b</v>
      </c>
      <c r="D94" s="1" t="s">
        <v>990</v>
      </c>
      <c r="E94" s="1">
        <v>13</v>
      </c>
      <c r="F94" s="1" t="s">
        <v>1028</v>
      </c>
      <c r="G94" s="38" t="s">
        <v>1093</v>
      </c>
      <c r="H94" s="41" t="s">
        <v>1094</v>
      </c>
      <c r="I94" s="1" t="s">
        <v>1011</v>
      </c>
    </row>
    <row r="95" spans="2:9" ht="30" x14ac:dyDescent="0.25">
      <c r="B95" s="42">
        <v>93</v>
      </c>
      <c r="C95" s="42" t="str">
        <f t="shared" si="1"/>
        <v>aitos14b</v>
      </c>
      <c r="D95" s="1" t="s">
        <v>990</v>
      </c>
      <c r="E95" s="1">
        <v>14</v>
      </c>
      <c r="F95" s="1" t="s">
        <v>1028</v>
      </c>
      <c r="G95" s="38" t="s">
        <v>1095</v>
      </c>
      <c r="H95" s="41" t="s">
        <v>1086</v>
      </c>
      <c r="I95" s="1" t="s">
        <v>1011</v>
      </c>
    </row>
    <row r="96" spans="2:9" ht="60" x14ac:dyDescent="0.25">
      <c r="B96" s="42">
        <v>94</v>
      </c>
      <c r="C96" s="42" t="str">
        <f t="shared" si="1"/>
        <v>aitos15b</v>
      </c>
      <c r="D96" s="1" t="s">
        <v>990</v>
      </c>
      <c r="E96" s="1">
        <v>15</v>
      </c>
      <c r="F96" s="1" t="s">
        <v>1028</v>
      </c>
      <c r="G96" s="38" t="s">
        <v>1055</v>
      </c>
      <c r="H96" s="41" t="s">
        <v>1056</v>
      </c>
      <c r="I96" s="1" t="s">
        <v>1011</v>
      </c>
    </row>
    <row r="97" spans="2:9" ht="45" x14ac:dyDescent="0.25">
      <c r="B97" s="42">
        <v>95</v>
      </c>
      <c r="C97" s="42" t="str">
        <f t="shared" si="1"/>
        <v>aitos16b</v>
      </c>
      <c r="D97" s="1" t="s">
        <v>990</v>
      </c>
      <c r="E97" s="1">
        <v>16</v>
      </c>
      <c r="F97" s="1" t="s">
        <v>1028</v>
      </c>
      <c r="G97" s="38" t="s">
        <v>1014</v>
      </c>
      <c r="H97" s="41" t="s">
        <v>1063</v>
      </c>
      <c r="I97" s="1" t="s">
        <v>1011</v>
      </c>
    </row>
    <row r="98" spans="2:9" ht="30" x14ac:dyDescent="0.25">
      <c r="B98" s="42">
        <v>96</v>
      </c>
      <c r="C98" s="42" t="str">
        <f t="shared" si="1"/>
        <v>aitos17b</v>
      </c>
      <c r="D98" s="1" t="s">
        <v>990</v>
      </c>
      <c r="E98" s="1">
        <v>17</v>
      </c>
      <c r="F98" s="1" t="s">
        <v>1028</v>
      </c>
      <c r="G98" s="38" t="s">
        <v>1010</v>
      </c>
      <c r="H98" s="41" t="s">
        <v>1085</v>
      </c>
      <c r="I98" s="1" t="s">
        <v>1011</v>
      </c>
    </row>
    <row r="99" spans="2:9" ht="30" x14ac:dyDescent="0.25">
      <c r="B99" s="42">
        <v>97</v>
      </c>
      <c r="C99" s="42" t="str">
        <f t="shared" si="1"/>
        <v>aitos18b</v>
      </c>
      <c r="D99" s="1" t="s">
        <v>990</v>
      </c>
      <c r="E99" s="1">
        <v>18</v>
      </c>
      <c r="F99" s="1" t="s">
        <v>1028</v>
      </c>
      <c r="G99" s="38" t="s">
        <v>1048</v>
      </c>
      <c r="H99" s="41" t="s">
        <v>1049</v>
      </c>
      <c r="I99" s="1" t="s">
        <v>1011</v>
      </c>
    </row>
    <row r="100" spans="2:9" ht="45" x14ac:dyDescent="0.25">
      <c r="B100" s="42">
        <v>98</v>
      </c>
      <c r="C100" s="42" t="str">
        <f t="shared" si="1"/>
        <v>aitos19b</v>
      </c>
      <c r="D100" s="1" t="s">
        <v>990</v>
      </c>
      <c r="E100" s="1">
        <v>19</v>
      </c>
      <c r="F100" s="1" t="s">
        <v>1028</v>
      </c>
      <c r="G100" s="38" t="s">
        <v>1096</v>
      </c>
      <c r="H100" s="41" t="s">
        <v>1097</v>
      </c>
      <c r="I100" s="1" t="s">
        <v>1011</v>
      </c>
    </row>
    <row r="101" spans="2:9" ht="45" x14ac:dyDescent="0.25">
      <c r="B101" s="42">
        <v>99</v>
      </c>
      <c r="C101" s="42" t="str">
        <f t="shared" si="1"/>
        <v>aitos20b</v>
      </c>
      <c r="D101" s="1" t="s">
        <v>990</v>
      </c>
      <c r="E101" s="1">
        <v>20</v>
      </c>
      <c r="F101" s="1" t="s">
        <v>1028</v>
      </c>
      <c r="G101" s="38" t="s">
        <v>1098</v>
      </c>
      <c r="H101" s="41" t="s">
        <v>1099</v>
      </c>
      <c r="I101" s="1" t="s">
        <v>1011</v>
      </c>
    </row>
    <row r="102" spans="2:9" ht="30" x14ac:dyDescent="0.25">
      <c r="B102" s="42">
        <v>100</v>
      </c>
      <c r="C102" s="42" t="str">
        <f t="shared" si="1"/>
        <v>aitos21b</v>
      </c>
      <c r="D102" s="1" t="s">
        <v>990</v>
      </c>
      <c r="E102" s="1">
        <v>21</v>
      </c>
      <c r="F102" s="1" t="s">
        <v>1028</v>
      </c>
      <c r="G102" s="38" t="s">
        <v>1017</v>
      </c>
      <c r="H102" s="41" t="s">
        <v>1100</v>
      </c>
      <c r="I102" s="1" t="s">
        <v>1011</v>
      </c>
    </row>
    <row r="103" spans="2:9" ht="30" x14ac:dyDescent="0.25">
      <c r="B103" s="42">
        <v>101</v>
      </c>
      <c r="C103" s="42" t="str">
        <f t="shared" si="1"/>
        <v>aitos22b</v>
      </c>
      <c r="D103" s="1" t="s">
        <v>990</v>
      </c>
      <c r="E103" s="1">
        <v>22</v>
      </c>
      <c r="F103" s="1" t="s">
        <v>1028</v>
      </c>
      <c r="G103" s="38" t="s">
        <v>1087</v>
      </c>
      <c r="H103" s="41" t="s">
        <v>1088</v>
      </c>
      <c r="I103" s="1" t="s">
        <v>1011</v>
      </c>
    </row>
    <row r="104" spans="2:9" ht="30" x14ac:dyDescent="0.25">
      <c r="B104" s="42">
        <v>102</v>
      </c>
      <c r="C104" s="42" t="str">
        <f t="shared" si="1"/>
        <v>aitos23b</v>
      </c>
      <c r="D104" s="1" t="s">
        <v>990</v>
      </c>
      <c r="E104" s="1">
        <v>23</v>
      </c>
      <c r="F104" s="1" t="s">
        <v>1028</v>
      </c>
      <c r="G104" s="38" t="s">
        <v>1031</v>
      </c>
      <c r="H104" s="41" t="s">
        <v>1052</v>
      </c>
      <c r="I104" s="1" t="s">
        <v>1011</v>
      </c>
    </row>
    <row r="105" spans="2:9" ht="45" x14ac:dyDescent="0.25">
      <c r="B105" s="42">
        <v>103</v>
      </c>
      <c r="C105" s="42" t="str">
        <f t="shared" si="1"/>
        <v>aitos24b</v>
      </c>
      <c r="D105" s="1" t="s">
        <v>990</v>
      </c>
      <c r="E105" s="1">
        <v>24</v>
      </c>
      <c r="F105" s="1" t="s">
        <v>1028</v>
      </c>
      <c r="G105" s="38" t="s">
        <v>1101</v>
      </c>
      <c r="H105" s="41" t="s">
        <v>1102</v>
      </c>
      <c r="I105" s="1" t="s">
        <v>1011</v>
      </c>
    </row>
    <row r="106" spans="2:9" ht="30" x14ac:dyDescent="0.25">
      <c r="B106" s="42">
        <v>104</v>
      </c>
      <c r="C106" s="42" t="str">
        <f t="shared" si="1"/>
        <v>aitos25b</v>
      </c>
      <c r="D106" s="1" t="s">
        <v>990</v>
      </c>
      <c r="E106" s="1">
        <v>25</v>
      </c>
      <c r="F106" s="1" t="s">
        <v>1028</v>
      </c>
      <c r="G106" s="38" t="s">
        <v>1103</v>
      </c>
      <c r="H106" s="41" t="s">
        <v>1104</v>
      </c>
      <c r="I106" s="1" t="s">
        <v>1011</v>
      </c>
    </row>
    <row r="107" spans="2:9" ht="30" x14ac:dyDescent="0.25">
      <c r="B107" s="42">
        <v>105</v>
      </c>
      <c r="C107" s="42" t="str">
        <f t="shared" si="1"/>
        <v>aitos26b</v>
      </c>
      <c r="D107" s="1" t="s">
        <v>990</v>
      </c>
      <c r="E107" s="1">
        <v>26</v>
      </c>
      <c r="F107" s="1" t="s">
        <v>1028</v>
      </c>
      <c r="G107" s="38" t="s">
        <v>1089</v>
      </c>
      <c r="H107" s="41" t="s">
        <v>1105</v>
      </c>
      <c r="I107" s="1" t="s">
        <v>1011</v>
      </c>
    </row>
    <row r="108" spans="2:9" ht="30" x14ac:dyDescent="0.25">
      <c r="B108" s="42">
        <v>106</v>
      </c>
      <c r="C108" s="42" t="str">
        <f t="shared" si="1"/>
        <v>aitos27b</v>
      </c>
      <c r="D108" s="1" t="s">
        <v>990</v>
      </c>
      <c r="E108" s="1">
        <v>27</v>
      </c>
      <c r="F108" s="1" t="s">
        <v>1028</v>
      </c>
      <c r="G108" s="38" t="s">
        <v>1106</v>
      </c>
      <c r="H108" s="41" t="s">
        <v>1107</v>
      </c>
      <c r="I108" s="1" t="s">
        <v>1011</v>
      </c>
    </row>
    <row r="109" spans="2:9" ht="30" x14ac:dyDescent="0.25">
      <c r="B109" s="42">
        <v>107</v>
      </c>
      <c r="C109" s="42" t="str">
        <f t="shared" si="1"/>
        <v>aitos28b</v>
      </c>
      <c r="D109" s="1" t="s">
        <v>990</v>
      </c>
      <c r="E109" s="1">
        <v>28</v>
      </c>
      <c r="F109" s="1" t="s">
        <v>1028</v>
      </c>
      <c r="G109" s="38" t="s">
        <v>1020</v>
      </c>
      <c r="H109" s="41" t="s">
        <v>1108</v>
      </c>
      <c r="I109" s="1" t="s">
        <v>1011</v>
      </c>
    </row>
    <row r="110" spans="2:9" ht="30" x14ac:dyDescent="0.25">
      <c r="B110" s="42">
        <v>108</v>
      </c>
      <c r="C110" s="42" t="str">
        <f t="shared" si="1"/>
        <v>aitos29b</v>
      </c>
      <c r="D110" s="1" t="s">
        <v>990</v>
      </c>
      <c r="E110" s="1">
        <v>29</v>
      </c>
      <c r="F110" s="1" t="s">
        <v>1028</v>
      </c>
      <c r="G110" s="38" t="s">
        <v>1109</v>
      </c>
      <c r="H110" s="41" t="s">
        <v>1110</v>
      </c>
      <c r="I110" s="1" t="s">
        <v>1011</v>
      </c>
    </row>
    <row r="111" spans="2:9" ht="30" x14ac:dyDescent="0.25">
      <c r="B111" s="42">
        <v>109</v>
      </c>
      <c r="C111" s="42" t="str">
        <f t="shared" si="1"/>
        <v>aitos30b</v>
      </c>
      <c r="D111" s="1" t="s">
        <v>990</v>
      </c>
      <c r="E111" s="1">
        <v>30</v>
      </c>
      <c r="F111" s="1" t="s">
        <v>1028</v>
      </c>
      <c r="G111" s="38" t="s">
        <v>1093</v>
      </c>
      <c r="H111" s="41" t="s">
        <v>1111</v>
      </c>
      <c r="I111" s="1" t="s">
        <v>1011</v>
      </c>
    </row>
    <row r="112" spans="2:9" ht="45" x14ac:dyDescent="0.25">
      <c r="B112" s="42">
        <v>110</v>
      </c>
      <c r="C112" s="42" t="str">
        <f t="shared" si="1"/>
        <v>aitos31b</v>
      </c>
      <c r="D112" s="1" t="s">
        <v>990</v>
      </c>
      <c r="E112" s="1">
        <v>31</v>
      </c>
      <c r="F112" s="1" t="s">
        <v>1028</v>
      </c>
      <c r="G112" s="38" t="s">
        <v>1067</v>
      </c>
      <c r="H112" s="41" t="s">
        <v>1068</v>
      </c>
      <c r="I112" s="1" t="s">
        <v>1011</v>
      </c>
    </row>
    <row r="113" spans="2:9" ht="30" x14ac:dyDescent="0.25">
      <c r="B113" s="42">
        <v>111</v>
      </c>
      <c r="C113" s="42" t="str">
        <f t="shared" si="1"/>
        <v>aitos32b</v>
      </c>
      <c r="D113" s="1" t="s">
        <v>990</v>
      </c>
      <c r="E113" s="1">
        <v>32</v>
      </c>
      <c r="F113" s="1" t="s">
        <v>1028</v>
      </c>
      <c r="G113" s="38" t="s">
        <v>1020</v>
      </c>
      <c r="H113" s="41" t="s">
        <v>1108</v>
      </c>
      <c r="I113" s="1" t="s">
        <v>1011</v>
      </c>
    </row>
    <row r="114" spans="2:9" ht="45" x14ac:dyDescent="0.25">
      <c r="B114" s="42">
        <v>112</v>
      </c>
      <c r="C114" s="42" t="str">
        <f t="shared" si="1"/>
        <v>aitos33b</v>
      </c>
      <c r="D114" s="1" t="s">
        <v>990</v>
      </c>
      <c r="E114" s="1">
        <v>33</v>
      </c>
      <c r="F114" s="1" t="s">
        <v>1028</v>
      </c>
      <c r="G114" s="38" t="s">
        <v>1114</v>
      </c>
      <c r="H114" s="41" t="s">
        <v>1115</v>
      </c>
      <c r="I114" s="1" t="s">
        <v>1011</v>
      </c>
    </row>
    <row r="115" spans="2:9" ht="30" x14ac:dyDescent="0.25">
      <c r="B115" s="42">
        <v>113</v>
      </c>
      <c r="C115" s="42" t="str">
        <f t="shared" si="1"/>
        <v>aitos34b</v>
      </c>
      <c r="D115" s="1" t="s">
        <v>990</v>
      </c>
      <c r="E115" s="1">
        <v>34</v>
      </c>
      <c r="F115" s="1" t="s">
        <v>1028</v>
      </c>
      <c r="G115" s="38" t="s">
        <v>1074</v>
      </c>
      <c r="H115" s="41" t="s">
        <v>1113</v>
      </c>
      <c r="I115" s="1" t="s">
        <v>1112</v>
      </c>
    </row>
    <row r="116" spans="2:9" ht="60" x14ac:dyDescent="0.25">
      <c r="B116" s="42">
        <v>114</v>
      </c>
      <c r="C116" s="1" t="str">
        <f t="shared" si="1"/>
        <v>aitosscscb</v>
      </c>
      <c r="D116" s="1" t="s">
        <v>990</v>
      </c>
      <c r="E116" s="1" t="s">
        <v>1215</v>
      </c>
      <c r="F116" s="1" t="s">
        <v>1028</v>
      </c>
      <c r="G116" s="38" t="s">
        <v>1213</v>
      </c>
      <c r="H116" s="41" t="s">
        <v>1214</v>
      </c>
      <c r="I116" s="1" t="s">
        <v>1011</v>
      </c>
    </row>
    <row r="117" spans="2:9" ht="135" x14ac:dyDescent="0.25">
      <c r="B117" s="42">
        <v>115</v>
      </c>
      <c r="C117" s="1" t="str">
        <f t="shared" si="1"/>
        <v>aitosviernesb</v>
      </c>
      <c r="D117" s="1" t="s">
        <v>990</v>
      </c>
      <c r="E117" s="1" t="s">
        <v>1216</v>
      </c>
      <c r="F117" s="1" t="s">
        <v>1028</v>
      </c>
      <c r="G117" s="38" t="s">
        <v>1225</v>
      </c>
      <c r="H117" s="41" t="s">
        <v>1226</v>
      </c>
      <c r="I117" s="1" t="s">
        <v>1011</v>
      </c>
    </row>
    <row r="118" spans="2:9" ht="30" x14ac:dyDescent="0.25">
      <c r="B118" s="42">
        <v>116</v>
      </c>
      <c r="C118" s="1" t="str">
        <f t="shared" si="1"/>
        <v>aitcs1b</v>
      </c>
      <c r="D118" s="1" t="s">
        <v>17</v>
      </c>
      <c r="E118" s="1">
        <v>1</v>
      </c>
      <c r="F118" s="1" t="s">
        <v>1028</v>
      </c>
      <c r="G118" s="38" t="s">
        <v>1048</v>
      </c>
      <c r="H118" s="41" t="s">
        <v>1049</v>
      </c>
      <c r="I118" s="1" t="s">
        <v>1011</v>
      </c>
    </row>
    <row r="119" spans="2:9" ht="30" x14ac:dyDescent="0.25">
      <c r="B119" s="42">
        <v>117</v>
      </c>
      <c r="C119" s="1" t="str">
        <f t="shared" si="1"/>
        <v>aitcs2b</v>
      </c>
      <c r="D119" s="1" t="s">
        <v>17</v>
      </c>
      <c r="E119" s="1">
        <v>2</v>
      </c>
      <c r="F119" s="1" t="s">
        <v>1028</v>
      </c>
      <c r="G119" s="38" t="s">
        <v>1219</v>
      </c>
      <c r="H119" s="41" t="s">
        <v>988</v>
      </c>
      <c r="I119" s="1" t="s">
        <v>1011</v>
      </c>
    </row>
    <row r="120" spans="2:9" ht="30" x14ac:dyDescent="0.25">
      <c r="B120" s="42">
        <v>118</v>
      </c>
      <c r="C120" s="1" t="str">
        <f t="shared" si="1"/>
        <v>aitcs3b</v>
      </c>
      <c r="D120" s="1" t="s">
        <v>17</v>
      </c>
      <c r="E120" s="1">
        <v>3</v>
      </c>
      <c r="F120" s="1" t="s">
        <v>1028</v>
      </c>
      <c r="G120" s="38" t="s">
        <v>1181</v>
      </c>
      <c r="H120" s="41" t="s">
        <v>1182</v>
      </c>
      <c r="I120" s="1" t="s">
        <v>1011</v>
      </c>
    </row>
    <row r="121" spans="2:9" ht="45" x14ac:dyDescent="0.25">
      <c r="B121" s="42">
        <v>119</v>
      </c>
      <c r="C121" s="1" t="str">
        <f t="shared" si="1"/>
        <v>aitcs4b</v>
      </c>
      <c r="D121" s="1" t="s">
        <v>17</v>
      </c>
      <c r="E121" s="1">
        <v>4</v>
      </c>
      <c r="F121" s="1" t="s">
        <v>1028</v>
      </c>
      <c r="G121" s="38" t="s">
        <v>1033</v>
      </c>
      <c r="H121" s="41" t="s">
        <v>1220</v>
      </c>
      <c r="I121" s="1" t="s">
        <v>1011</v>
      </c>
    </row>
    <row r="122" spans="2:9" ht="45" x14ac:dyDescent="0.25">
      <c r="B122" s="42">
        <v>120</v>
      </c>
      <c r="C122" s="1" t="str">
        <f t="shared" si="1"/>
        <v>aitcs5b</v>
      </c>
      <c r="D122" s="1" t="s">
        <v>17</v>
      </c>
      <c r="E122" s="1">
        <v>5</v>
      </c>
      <c r="F122" s="1" t="s">
        <v>1028</v>
      </c>
      <c r="G122" s="38" t="s">
        <v>1221</v>
      </c>
      <c r="H122" s="41" t="s">
        <v>1186</v>
      </c>
      <c r="I122" s="1" t="s">
        <v>1011</v>
      </c>
    </row>
    <row r="123" spans="2:9" ht="60" x14ac:dyDescent="0.25">
      <c r="B123" s="42">
        <v>121</v>
      </c>
      <c r="C123" s="1" t="str">
        <f t="shared" si="1"/>
        <v>aitcs6b</v>
      </c>
      <c r="D123" s="1" t="s">
        <v>17</v>
      </c>
      <c r="E123" s="1">
        <v>6</v>
      </c>
      <c r="F123" s="1" t="s">
        <v>1028</v>
      </c>
      <c r="G123" s="38" t="s">
        <v>1194</v>
      </c>
      <c r="H123" s="41" t="s">
        <v>1222</v>
      </c>
      <c r="I123" s="1" t="s">
        <v>1011</v>
      </c>
    </row>
    <row r="124" spans="2:9" ht="60" x14ac:dyDescent="0.25">
      <c r="B124" s="42">
        <v>122</v>
      </c>
      <c r="C124" s="1" t="str">
        <f t="shared" si="1"/>
        <v>aitcsjsb</v>
      </c>
      <c r="D124" s="1" t="s">
        <v>17</v>
      </c>
      <c r="E124" s="1" t="s">
        <v>1189</v>
      </c>
      <c r="F124" s="1" t="s">
        <v>1028</v>
      </c>
      <c r="G124" s="38" t="s">
        <v>1190</v>
      </c>
      <c r="H124" s="41" t="s">
        <v>1191</v>
      </c>
      <c r="I124" s="1" t="s">
        <v>1011</v>
      </c>
    </row>
    <row r="125" spans="2:9" ht="60" x14ac:dyDescent="0.25">
      <c r="B125" s="42">
        <v>123</v>
      </c>
      <c r="C125" s="1" t="str">
        <f t="shared" si="1"/>
        <v>aitcsvsb</v>
      </c>
      <c r="D125" s="1" t="s">
        <v>17</v>
      </c>
      <c r="E125" s="1" t="s">
        <v>1192</v>
      </c>
      <c r="F125" s="1" t="s">
        <v>1028</v>
      </c>
      <c r="G125" s="38" t="s">
        <v>1194</v>
      </c>
      <c r="H125" s="41" t="s">
        <v>1193</v>
      </c>
      <c r="I125" s="1" t="s">
        <v>1011</v>
      </c>
    </row>
    <row r="126" spans="2:9" ht="45" x14ac:dyDescent="0.25">
      <c r="B126" s="42">
        <v>124</v>
      </c>
      <c r="C126" s="1" t="str">
        <f t="shared" si="1"/>
        <v>aitps1b</v>
      </c>
      <c r="D126" s="1" t="s">
        <v>12</v>
      </c>
      <c r="E126" s="1">
        <v>1</v>
      </c>
      <c r="F126" s="1" t="s">
        <v>1028</v>
      </c>
      <c r="G126" s="38" t="s">
        <v>1196</v>
      </c>
      <c r="H126" s="41" t="s">
        <v>1197</v>
      </c>
      <c r="I126" s="1" t="s">
        <v>1011</v>
      </c>
    </row>
    <row r="127" spans="2:9" ht="45" x14ac:dyDescent="0.25">
      <c r="B127" s="42">
        <v>125</v>
      </c>
      <c r="C127" s="1" t="str">
        <f t="shared" si="1"/>
        <v>aitps2b</v>
      </c>
      <c r="D127" s="1" t="s">
        <v>12</v>
      </c>
      <c r="E127" s="1">
        <v>2</v>
      </c>
      <c r="F127" s="1" t="s">
        <v>1028</v>
      </c>
      <c r="G127" s="38" t="s">
        <v>1223</v>
      </c>
      <c r="H127" s="41" t="s">
        <v>1200</v>
      </c>
      <c r="I127" s="1" t="s">
        <v>1011</v>
      </c>
    </row>
    <row r="128" spans="2:9" ht="30" x14ac:dyDescent="0.25">
      <c r="B128" s="42">
        <v>126</v>
      </c>
      <c r="C128" s="1" t="str">
        <f t="shared" si="1"/>
        <v>aitps3b</v>
      </c>
      <c r="D128" s="1" t="s">
        <v>12</v>
      </c>
      <c r="E128" s="1">
        <v>3</v>
      </c>
      <c r="F128" s="1" t="s">
        <v>1028</v>
      </c>
      <c r="G128" s="38" t="s">
        <v>1201</v>
      </c>
      <c r="H128" s="41" t="s">
        <v>1202</v>
      </c>
      <c r="I128" s="1" t="s">
        <v>1011</v>
      </c>
    </row>
    <row r="129" spans="2:9" ht="45" x14ac:dyDescent="0.25">
      <c r="B129" s="42">
        <v>127</v>
      </c>
      <c r="C129" s="1" t="str">
        <f t="shared" si="1"/>
        <v>aitps4b</v>
      </c>
      <c r="D129" s="1" t="s">
        <v>12</v>
      </c>
      <c r="E129" s="1">
        <v>4</v>
      </c>
      <c r="F129" s="1" t="s">
        <v>1028</v>
      </c>
      <c r="G129" s="38" t="s">
        <v>1203</v>
      </c>
      <c r="H129" s="41" t="s">
        <v>1204</v>
      </c>
      <c r="I129" s="1" t="s">
        <v>1011</v>
      </c>
    </row>
    <row r="130" spans="2:9" ht="45" x14ac:dyDescent="0.25">
      <c r="B130" s="42">
        <v>128</v>
      </c>
      <c r="C130" s="1" t="str">
        <f t="shared" si="1"/>
        <v>aitps5b</v>
      </c>
      <c r="D130" s="1" t="s">
        <v>12</v>
      </c>
      <c r="E130" s="1">
        <v>5</v>
      </c>
      <c r="F130" s="1" t="s">
        <v>1028</v>
      </c>
      <c r="G130" s="38" t="s">
        <v>1072</v>
      </c>
      <c r="H130" s="41" t="s">
        <v>1224</v>
      </c>
      <c r="I130" s="1" t="s">
        <v>1011</v>
      </c>
    </row>
    <row r="131" spans="2:9" ht="45" x14ac:dyDescent="0.25">
      <c r="B131" s="42">
        <v>129</v>
      </c>
      <c r="C131" s="1" t="str">
        <f t="shared" ref="C131:C194" si="2">LOWER(_xlfn.CONCAT("ait",LEFT(D131,1)&amp;"s"&amp;E131&amp;F131))</f>
        <v>aitps6b</v>
      </c>
      <c r="D131" s="1" t="s">
        <v>12</v>
      </c>
      <c r="E131" s="1">
        <v>6</v>
      </c>
      <c r="F131" s="1" t="s">
        <v>1028</v>
      </c>
      <c r="G131" s="38" t="s">
        <v>1067</v>
      </c>
      <c r="H131" s="41" t="s">
        <v>1068</v>
      </c>
      <c r="I131" s="1" t="s">
        <v>1011</v>
      </c>
    </row>
    <row r="132" spans="2:9" ht="60" x14ac:dyDescent="0.25">
      <c r="B132" s="42">
        <v>130</v>
      </c>
      <c r="C132" s="1" t="str">
        <f t="shared" si="2"/>
        <v>aitps7b</v>
      </c>
      <c r="D132" s="1" t="s">
        <v>12</v>
      </c>
      <c r="E132" s="1">
        <v>7</v>
      </c>
      <c r="F132" s="1" t="s">
        <v>1028</v>
      </c>
      <c r="G132" s="38" t="s">
        <v>1205</v>
      </c>
      <c r="H132" s="41" t="s">
        <v>1206</v>
      </c>
      <c r="I132" s="1" t="s">
        <v>1011</v>
      </c>
    </row>
    <row r="133" spans="2:9" ht="45" x14ac:dyDescent="0.25">
      <c r="B133" s="42">
        <v>131</v>
      </c>
      <c r="C133" s="1" t="str">
        <f t="shared" si="2"/>
        <v>aitps8b</v>
      </c>
      <c r="D133" s="1" t="s">
        <v>12</v>
      </c>
      <c r="E133" s="1">
        <v>8</v>
      </c>
      <c r="F133" s="1" t="s">
        <v>1028</v>
      </c>
      <c r="G133" s="38" t="s">
        <v>1209</v>
      </c>
      <c r="H133" s="41" t="s">
        <v>1210</v>
      </c>
      <c r="I133" s="1" t="s">
        <v>1011</v>
      </c>
    </row>
    <row r="134" spans="2:9" ht="30" x14ac:dyDescent="0.25">
      <c r="B134" s="42">
        <v>132</v>
      </c>
      <c r="C134" s="1" t="str">
        <f t="shared" si="2"/>
        <v>aitps9b</v>
      </c>
      <c r="D134" s="1" t="s">
        <v>12</v>
      </c>
      <c r="E134" s="1">
        <v>9</v>
      </c>
      <c r="F134" s="1" t="s">
        <v>1028</v>
      </c>
      <c r="G134" s="38" t="s">
        <v>1211</v>
      </c>
      <c r="H134" s="41" t="s">
        <v>1212</v>
      </c>
      <c r="I134" s="1" t="s">
        <v>1011</v>
      </c>
    </row>
    <row r="135" spans="2:9" x14ac:dyDescent="0.25">
      <c r="B135" s="42">
        <v>133</v>
      </c>
      <c r="C135" s="1" t="str">
        <f t="shared" si="2"/>
        <v>aitpsssb</v>
      </c>
      <c r="D135" s="1" t="s">
        <v>12</v>
      </c>
      <c r="E135" s="1" t="s">
        <v>1195</v>
      </c>
      <c r="F135" s="1" t="s">
        <v>1028</v>
      </c>
      <c r="G135" s="38" t="s">
        <v>1198</v>
      </c>
      <c r="H135" s="41" t="s">
        <v>1232</v>
      </c>
      <c r="I135" s="1" t="s">
        <v>1011</v>
      </c>
    </row>
    <row r="136" spans="2:9" ht="60" x14ac:dyDescent="0.25">
      <c r="B136" s="42">
        <v>134</v>
      </c>
      <c r="C136" s="1" t="str">
        <f t="shared" si="2"/>
        <v>aitpsasb</v>
      </c>
      <c r="D136" s="1" t="s">
        <v>12</v>
      </c>
      <c r="E136" s="1" t="s">
        <v>975</v>
      </c>
      <c r="F136" s="1" t="s">
        <v>1028</v>
      </c>
      <c r="G136" s="38" t="s">
        <v>1207</v>
      </c>
      <c r="H136" s="41" t="s">
        <v>1208</v>
      </c>
      <c r="I136" s="1" t="s">
        <v>1011</v>
      </c>
    </row>
    <row r="137" spans="2:9" ht="30" x14ac:dyDescent="0.25">
      <c r="B137" s="42">
        <v>135</v>
      </c>
      <c r="C137" s="1" t="str">
        <f t="shared" si="2"/>
        <v>aitas1c</v>
      </c>
      <c r="D137" s="1" t="s">
        <v>29</v>
      </c>
      <c r="E137" s="1">
        <v>1</v>
      </c>
      <c r="F137" s="1" t="s">
        <v>987</v>
      </c>
      <c r="G137" s="38" t="s">
        <v>1152</v>
      </c>
      <c r="H137" s="41" t="s">
        <v>1153</v>
      </c>
      <c r="I137" s="1" t="s">
        <v>1011</v>
      </c>
    </row>
    <row r="138" spans="2:9" ht="30" x14ac:dyDescent="0.25">
      <c r="B138" s="42">
        <v>136</v>
      </c>
      <c r="C138" s="1" t="str">
        <f t="shared" si="2"/>
        <v>aitas2c</v>
      </c>
      <c r="D138" s="1" t="s">
        <v>29</v>
      </c>
      <c r="E138" s="1">
        <v>2</v>
      </c>
      <c r="F138" s="1" t="s">
        <v>987</v>
      </c>
      <c r="G138" s="38" t="s">
        <v>1154</v>
      </c>
      <c r="H138" s="41" t="s">
        <v>1155</v>
      </c>
      <c r="I138" s="1" t="s">
        <v>1011</v>
      </c>
    </row>
    <row r="139" spans="2:9" ht="30" x14ac:dyDescent="0.25">
      <c r="B139" s="42">
        <v>137</v>
      </c>
      <c r="C139" s="1" t="str">
        <f t="shared" si="2"/>
        <v>aitas3c</v>
      </c>
      <c r="D139" s="1" t="s">
        <v>29</v>
      </c>
      <c r="E139" s="1">
        <v>3</v>
      </c>
      <c r="F139" s="1" t="s">
        <v>987</v>
      </c>
      <c r="G139" s="38" t="s">
        <v>1095</v>
      </c>
      <c r="H139" s="41" t="s">
        <v>1086</v>
      </c>
      <c r="I139" s="1" t="s">
        <v>1011</v>
      </c>
    </row>
    <row r="140" spans="2:9" ht="30" x14ac:dyDescent="0.25">
      <c r="B140" s="42">
        <v>138</v>
      </c>
      <c r="C140" s="1" t="str">
        <f t="shared" si="2"/>
        <v>aitas4c</v>
      </c>
      <c r="D140" s="1" t="s">
        <v>29</v>
      </c>
      <c r="E140" s="1">
        <v>4</v>
      </c>
      <c r="F140" s="1" t="s">
        <v>987</v>
      </c>
      <c r="G140" s="38" t="s">
        <v>1156</v>
      </c>
      <c r="H140" s="41" t="s">
        <v>1157</v>
      </c>
      <c r="I140" s="1" t="s">
        <v>1011</v>
      </c>
    </row>
    <row r="141" spans="2:9" ht="30" x14ac:dyDescent="0.25">
      <c r="B141" s="42">
        <v>139</v>
      </c>
      <c r="C141" s="1" t="str">
        <f t="shared" si="2"/>
        <v>aitns25dicmvc</v>
      </c>
      <c r="D141" s="1" t="s">
        <v>30</v>
      </c>
      <c r="E141" s="1" t="s">
        <v>1166</v>
      </c>
      <c r="F141" s="1" t="s">
        <v>987</v>
      </c>
      <c r="G141" s="38" t="s">
        <v>1158</v>
      </c>
      <c r="H141" s="41" t="s">
        <v>1160</v>
      </c>
      <c r="I141" s="1" t="s">
        <v>1011</v>
      </c>
    </row>
    <row r="142" spans="2:9" ht="45" x14ac:dyDescent="0.25">
      <c r="B142" s="42">
        <v>140</v>
      </c>
      <c r="C142" s="1" t="str">
        <f t="shared" si="2"/>
        <v>aitns25dicmmc</v>
      </c>
      <c r="D142" s="1" t="s">
        <v>30</v>
      </c>
      <c r="E142" s="1" t="s">
        <v>1165</v>
      </c>
      <c r="F142" s="1" t="s">
        <v>987</v>
      </c>
      <c r="G142" s="38" t="s">
        <v>1159</v>
      </c>
      <c r="H142" s="41" t="s">
        <v>1161</v>
      </c>
      <c r="I142" s="1" t="s">
        <v>1011</v>
      </c>
    </row>
    <row r="143" spans="2:9" ht="30" x14ac:dyDescent="0.25">
      <c r="B143" s="42">
        <v>141</v>
      </c>
      <c r="C143" s="1" t="str">
        <f t="shared" si="2"/>
        <v>aitns25dicmac</v>
      </c>
      <c r="D143" s="1" t="s">
        <v>30</v>
      </c>
      <c r="E143" s="1" t="s">
        <v>1164</v>
      </c>
      <c r="F143" s="1" t="s">
        <v>987</v>
      </c>
      <c r="G143" s="38" t="s">
        <v>1162</v>
      </c>
      <c r="H143" s="41" t="s">
        <v>1163</v>
      </c>
      <c r="I143" s="1" t="s">
        <v>1011</v>
      </c>
    </row>
    <row r="144" spans="2:9" ht="45" x14ac:dyDescent="0.25">
      <c r="B144" s="42">
        <v>142</v>
      </c>
      <c r="C144" s="1" t="str">
        <f t="shared" si="2"/>
        <v>aitns25dicmdc</v>
      </c>
      <c r="D144" s="1" t="s">
        <v>30</v>
      </c>
      <c r="E144" s="1" t="s">
        <v>1169</v>
      </c>
      <c r="F144" s="1" t="s">
        <v>987</v>
      </c>
      <c r="G144" s="38" t="s">
        <v>1167</v>
      </c>
      <c r="H144" s="41" t="s">
        <v>1168</v>
      </c>
      <c r="I144" s="1" t="s">
        <v>1011</v>
      </c>
    </row>
    <row r="145" spans="2:9" ht="60" x14ac:dyDescent="0.25">
      <c r="B145" s="42">
        <v>143</v>
      </c>
      <c r="C145" s="1" t="str">
        <f t="shared" si="2"/>
        <v>aitnssfc</v>
      </c>
      <c r="D145" s="1" t="s">
        <v>30</v>
      </c>
      <c r="E145" s="1" t="s">
        <v>1170</v>
      </c>
      <c r="F145" s="1" t="s">
        <v>987</v>
      </c>
      <c r="G145" s="38" t="s">
        <v>1016</v>
      </c>
      <c r="H145" s="41" t="s">
        <v>1217</v>
      </c>
      <c r="I145" s="1" t="s">
        <v>1011</v>
      </c>
    </row>
    <row r="146" spans="2:9" ht="45" x14ac:dyDescent="0.25">
      <c r="B146" s="42">
        <v>144</v>
      </c>
      <c r="C146" s="1" t="str">
        <f t="shared" si="2"/>
        <v>aitns1eneroc</v>
      </c>
      <c r="D146" s="1" t="s">
        <v>30</v>
      </c>
      <c r="E146" s="1" t="s">
        <v>1171</v>
      </c>
      <c r="F146" s="1" t="s">
        <v>987</v>
      </c>
      <c r="G146" s="38" t="s">
        <v>1218</v>
      </c>
      <c r="H146" s="41" t="s">
        <v>1172</v>
      </c>
      <c r="I146" s="1" t="s">
        <v>1011</v>
      </c>
    </row>
    <row r="147" spans="2:9" ht="30" x14ac:dyDescent="0.25">
      <c r="B147" s="42">
        <v>145</v>
      </c>
      <c r="C147" s="1" t="str">
        <f t="shared" si="2"/>
        <v>aitns2domingoc</v>
      </c>
      <c r="D147" s="1" t="s">
        <v>30</v>
      </c>
      <c r="E147" s="1" t="s">
        <v>1173</v>
      </c>
      <c r="F147" s="1" t="s">
        <v>987</v>
      </c>
      <c r="G147" s="38" t="s">
        <v>1174</v>
      </c>
      <c r="H147" s="41" t="s">
        <v>1175</v>
      </c>
      <c r="I147" s="1" t="s">
        <v>1011</v>
      </c>
    </row>
    <row r="148" spans="2:9" ht="30" x14ac:dyDescent="0.25">
      <c r="B148" s="42">
        <v>146</v>
      </c>
      <c r="C148" s="1" t="str">
        <f t="shared" si="2"/>
        <v>aitns6eneroc</v>
      </c>
      <c r="D148" s="1" t="s">
        <v>30</v>
      </c>
      <c r="E148" s="1" t="s">
        <v>1176</v>
      </c>
      <c r="F148" s="1" t="s">
        <v>987</v>
      </c>
      <c r="G148" s="38" t="s">
        <v>1177</v>
      </c>
      <c r="H148" s="41" t="s">
        <v>1178</v>
      </c>
      <c r="I148" s="1" t="s">
        <v>1011</v>
      </c>
    </row>
    <row r="149" spans="2:9" ht="45" x14ac:dyDescent="0.25">
      <c r="B149" s="42">
        <v>147</v>
      </c>
      <c r="C149" s="42" t="str">
        <f t="shared" si="2"/>
        <v>aitos1c</v>
      </c>
      <c r="D149" s="1" t="s">
        <v>990</v>
      </c>
      <c r="E149" s="1">
        <v>1</v>
      </c>
      <c r="F149" s="1" t="s">
        <v>987</v>
      </c>
      <c r="G149" s="38" t="s">
        <v>1026</v>
      </c>
      <c r="H149" s="41" t="s">
        <v>1179</v>
      </c>
      <c r="I149" s="1" t="s">
        <v>1011</v>
      </c>
    </row>
    <row r="150" spans="2:9" ht="30" x14ac:dyDescent="0.25">
      <c r="B150" s="42">
        <v>148</v>
      </c>
      <c r="C150" s="42" t="str">
        <f t="shared" si="2"/>
        <v>aitos2c</v>
      </c>
      <c r="D150" s="1" t="s">
        <v>990</v>
      </c>
      <c r="E150" s="1">
        <v>2</v>
      </c>
      <c r="F150" s="1" t="s">
        <v>987</v>
      </c>
      <c r="G150" s="38" t="s">
        <v>1002</v>
      </c>
      <c r="H150" s="41" t="s">
        <v>1117</v>
      </c>
      <c r="I150" s="1" t="s">
        <v>1011</v>
      </c>
    </row>
    <row r="151" spans="2:9" ht="30" x14ac:dyDescent="0.25">
      <c r="B151" s="42">
        <v>149</v>
      </c>
      <c r="C151" s="42" t="str">
        <f t="shared" si="2"/>
        <v>aitos3c</v>
      </c>
      <c r="D151" s="1" t="s">
        <v>990</v>
      </c>
      <c r="E151" s="1">
        <v>3</v>
      </c>
      <c r="F151" s="1" t="s">
        <v>987</v>
      </c>
      <c r="G151" s="38" t="s">
        <v>1003</v>
      </c>
      <c r="H151" s="41" t="s">
        <v>1086</v>
      </c>
      <c r="I151" s="1" t="s">
        <v>1011</v>
      </c>
    </row>
    <row r="152" spans="2:9" ht="30" x14ac:dyDescent="0.25">
      <c r="B152" s="42">
        <v>150</v>
      </c>
      <c r="C152" s="42" t="str">
        <f t="shared" si="2"/>
        <v>aitos4c</v>
      </c>
      <c r="D152" s="1" t="s">
        <v>990</v>
      </c>
      <c r="E152" s="1">
        <v>4</v>
      </c>
      <c r="F152" s="1" t="s">
        <v>987</v>
      </c>
      <c r="G152" s="38" t="s">
        <v>1004</v>
      </c>
      <c r="H152" s="41" t="s">
        <v>1086</v>
      </c>
      <c r="I152" s="1" t="s">
        <v>1011</v>
      </c>
    </row>
    <row r="153" spans="2:9" ht="45" x14ac:dyDescent="0.25">
      <c r="B153" s="42">
        <v>151</v>
      </c>
      <c r="C153" s="42" t="str">
        <f t="shared" si="2"/>
        <v>aitos5c</v>
      </c>
      <c r="D153" s="1" t="s">
        <v>990</v>
      </c>
      <c r="E153" s="1">
        <v>5</v>
      </c>
      <c r="F153" s="1" t="s">
        <v>987</v>
      </c>
      <c r="G153" s="38" t="s">
        <v>1006</v>
      </c>
      <c r="H153" s="41" t="s">
        <v>1118</v>
      </c>
      <c r="I153" s="1" t="s">
        <v>1011</v>
      </c>
    </row>
    <row r="154" spans="2:9" ht="45" x14ac:dyDescent="0.25">
      <c r="B154" s="42">
        <v>152</v>
      </c>
      <c r="C154" s="42" t="str">
        <f t="shared" si="2"/>
        <v>aitos6c</v>
      </c>
      <c r="D154" s="1" t="s">
        <v>990</v>
      </c>
      <c r="E154" s="1">
        <v>6</v>
      </c>
      <c r="F154" s="1" t="s">
        <v>987</v>
      </c>
      <c r="G154" s="38" t="s">
        <v>1005</v>
      </c>
      <c r="H154" s="41" t="s">
        <v>1119</v>
      </c>
      <c r="I154" s="1" t="s">
        <v>1011</v>
      </c>
    </row>
    <row r="155" spans="2:9" ht="60" x14ac:dyDescent="0.25">
      <c r="B155" s="42">
        <v>153</v>
      </c>
      <c r="C155" s="42" t="str">
        <f t="shared" si="2"/>
        <v>aitos7c</v>
      </c>
      <c r="D155" s="1" t="s">
        <v>990</v>
      </c>
      <c r="E155" s="1">
        <v>7</v>
      </c>
      <c r="F155" s="1" t="s">
        <v>987</v>
      </c>
      <c r="G155" s="38" t="s">
        <v>1007</v>
      </c>
      <c r="H155" s="41" t="s">
        <v>1120</v>
      </c>
      <c r="I155" s="1" t="s">
        <v>1011</v>
      </c>
    </row>
    <row r="156" spans="2:9" ht="30" x14ac:dyDescent="0.25">
      <c r="B156" s="42">
        <v>154</v>
      </c>
      <c r="C156" s="42" t="str">
        <f t="shared" si="2"/>
        <v>aitos8c</v>
      </c>
      <c r="D156" s="1" t="s">
        <v>990</v>
      </c>
      <c r="E156" s="1">
        <v>8</v>
      </c>
      <c r="F156" s="1" t="s">
        <v>987</v>
      </c>
      <c r="G156" s="38" t="s">
        <v>1008</v>
      </c>
      <c r="H156" s="41" t="s">
        <v>1066</v>
      </c>
      <c r="I156" s="1" t="s">
        <v>1011</v>
      </c>
    </row>
    <row r="157" spans="2:9" ht="60" x14ac:dyDescent="0.25">
      <c r="B157" s="42">
        <v>155</v>
      </c>
      <c r="C157" s="42" t="str">
        <f t="shared" si="2"/>
        <v>aitos9c</v>
      </c>
      <c r="D157" s="1" t="s">
        <v>990</v>
      </c>
      <c r="E157" s="1">
        <v>9</v>
      </c>
      <c r="F157" s="1" t="s">
        <v>987</v>
      </c>
      <c r="G157" s="38" t="s">
        <v>1009</v>
      </c>
      <c r="H157" s="41" t="s">
        <v>1121</v>
      </c>
      <c r="I157" s="1" t="s">
        <v>1011</v>
      </c>
    </row>
    <row r="158" spans="2:9" ht="30" x14ac:dyDescent="0.25">
      <c r="B158" s="42">
        <v>156</v>
      </c>
      <c r="C158" s="42" t="str">
        <f t="shared" si="2"/>
        <v>aitos10c</v>
      </c>
      <c r="D158" s="1" t="s">
        <v>990</v>
      </c>
      <c r="E158" s="1">
        <v>10</v>
      </c>
      <c r="F158" s="1" t="s">
        <v>987</v>
      </c>
      <c r="G158" s="38" t="s">
        <v>1010</v>
      </c>
      <c r="H158" s="41" t="s">
        <v>1085</v>
      </c>
      <c r="I158" s="1" t="s">
        <v>1011</v>
      </c>
    </row>
    <row r="159" spans="2:9" ht="30" x14ac:dyDescent="0.25">
      <c r="B159" s="42">
        <v>157</v>
      </c>
      <c r="C159" s="42" t="str">
        <f t="shared" si="2"/>
        <v>aitos11c</v>
      </c>
      <c r="D159" s="1" t="s">
        <v>990</v>
      </c>
      <c r="E159" s="1">
        <v>11</v>
      </c>
      <c r="F159" s="1" t="s">
        <v>987</v>
      </c>
      <c r="G159" s="38" t="s">
        <v>1013</v>
      </c>
      <c r="H159" s="41" t="s">
        <v>1122</v>
      </c>
      <c r="I159" s="1" t="s">
        <v>1011</v>
      </c>
    </row>
    <row r="160" spans="2:9" ht="45" x14ac:dyDescent="0.25">
      <c r="B160" s="42">
        <v>158</v>
      </c>
      <c r="C160" s="42" t="str">
        <f t="shared" si="2"/>
        <v>aitos12c</v>
      </c>
      <c r="D160" s="1" t="s">
        <v>990</v>
      </c>
      <c r="E160" s="1">
        <v>12</v>
      </c>
      <c r="F160" s="1" t="s">
        <v>987</v>
      </c>
      <c r="G160" s="38" t="s">
        <v>1014</v>
      </c>
      <c r="H160" s="41" t="s">
        <v>1063</v>
      </c>
      <c r="I160" s="1" t="s">
        <v>1011</v>
      </c>
    </row>
    <row r="161" spans="2:9" ht="30" x14ac:dyDescent="0.25">
      <c r="B161" s="42">
        <v>159</v>
      </c>
      <c r="C161" s="42" t="str">
        <f t="shared" si="2"/>
        <v>aitos13c</v>
      </c>
      <c r="D161" s="1" t="s">
        <v>990</v>
      </c>
      <c r="E161" s="1">
        <v>13</v>
      </c>
      <c r="F161" s="1" t="s">
        <v>987</v>
      </c>
      <c r="G161" s="38" t="s">
        <v>1015</v>
      </c>
      <c r="H161" s="41" t="s">
        <v>1123</v>
      </c>
      <c r="I161" s="1" t="s">
        <v>1011</v>
      </c>
    </row>
    <row r="162" spans="2:9" ht="60" x14ac:dyDescent="0.25">
      <c r="B162" s="42">
        <v>160</v>
      </c>
      <c r="C162" s="42" t="str">
        <f t="shared" si="2"/>
        <v>aitos14c</v>
      </c>
      <c r="D162" s="1" t="s">
        <v>990</v>
      </c>
      <c r="E162" s="1">
        <v>14</v>
      </c>
      <c r="F162" s="1" t="s">
        <v>987</v>
      </c>
      <c r="G162" s="38" t="s">
        <v>1016</v>
      </c>
      <c r="H162" s="41" t="s">
        <v>1124</v>
      </c>
      <c r="I162" s="1" t="s">
        <v>1011</v>
      </c>
    </row>
    <row r="163" spans="2:9" ht="30" x14ac:dyDescent="0.25">
      <c r="B163" s="42">
        <v>161</v>
      </c>
      <c r="C163" s="42" t="str">
        <f t="shared" si="2"/>
        <v>aitos15c</v>
      </c>
      <c r="D163" s="1" t="s">
        <v>990</v>
      </c>
      <c r="E163" s="1">
        <v>15</v>
      </c>
      <c r="F163" s="1" t="s">
        <v>987</v>
      </c>
      <c r="G163" s="38" t="s">
        <v>1017</v>
      </c>
      <c r="H163" s="41" t="s">
        <v>1125</v>
      </c>
      <c r="I163" s="1" t="s">
        <v>1011</v>
      </c>
    </row>
    <row r="164" spans="2:9" ht="45" x14ac:dyDescent="0.25">
      <c r="B164" s="42">
        <v>162</v>
      </c>
      <c r="C164" s="42" t="str">
        <f t="shared" si="2"/>
        <v>aitos16c</v>
      </c>
      <c r="D164" s="1" t="s">
        <v>990</v>
      </c>
      <c r="E164" s="1">
        <v>16</v>
      </c>
      <c r="F164" s="1" t="s">
        <v>987</v>
      </c>
      <c r="G164" s="38" t="s">
        <v>1018</v>
      </c>
      <c r="H164" s="41" t="s">
        <v>1126</v>
      </c>
      <c r="I164" s="1" t="s">
        <v>1011</v>
      </c>
    </row>
    <row r="165" spans="2:9" ht="30" x14ac:dyDescent="0.25">
      <c r="B165" s="42">
        <v>163</v>
      </c>
      <c r="C165" s="42" t="str">
        <f t="shared" si="2"/>
        <v>aitos17c</v>
      </c>
      <c r="D165" s="1" t="s">
        <v>990</v>
      </c>
      <c r="E165" s="1">
        <v>17</v>
      </c>
      <c r="F165" s="1" t="s">
        <v>987</v>
      </c>
      <c r="G165" s="38" t="s">
        <v>1019</v>
      </c>
      <c r="H165" s="41" t="s">
        <v>1127</v>
      </c>
      <c r="I165" s="1" t="s">
        <v>1011</v>
      </c>
    </row>
    <row r="166" spans="2:9" ht="30" x14ac:dyDescent="0.25">
      <c r="B166" s="42">
        <v>164</v>
      </c>
      <c r="C166" s="42" t="str">
        <f t="shared" si="2"/>
        <v>aitos18c</v>
      </c>
      <c r="D166" s="1" t="s">
        <v>990</v>
      </c>
      <c r="E166" s="1">
        <v>18</v>
      </c>
      <c r="F166" s="1" t="s">
        <v>987</v>
      </c>
      <c r="G166" s="38" t="s">
        <v>1020</v>
      </c>
      <c r="H166" s="41" t="s">
        <v>1108</v>
      </c>
      <c r="I166" s="1" t="s">
        <v>1011</v>
      </c>
    </row>
    <row r="167" spans="2:9" ht="45" x14ac:dyDescent="0.25">
      <c r="B167" s="42">
        <v>165</v>
      </c>
      <c r="C167" s="42" t="str">
        <f t="shared" si="2"/>
        <v>aitos19c</v>
      </c>
      <c r="D167" s="1" t="s">
        <v>990</v>
      </c>
      <c r="E167" s="1">
        <v>19</v>
      </c>
      <c r="F167" s="1" t="s">
        <v>987</v>
      </c>
      <c r="G167" s="38" t="s">
        <v>1021</v>
      </c>
      <c r="H167" s="41" t="s">
        <v>1128</v>
      </c>
      <c r="I167" s="1" t="s">
        <v>1011</v>
      </c>
    </row>
    <row r="168" spans="2:9" ht="45" x14ac:dyDescent="0.25">
      <c r="B168" s="42">
        <v>166</v>
      </c>
      <c r="C168" s="42" t="str">
        <f t="shared" si="2"/>
        <v>aitos20c</v>
      </c>
      <c r="D168" s="1" t="s">
        <v>990</v>
      </c>
      <c r="E168" s="1">
        <v>20</v>
      </c>
      <c r="F168" s="1" t="s">
        <v>987</v>
      </c>
      <c r="G168" s="38" t="s">
        <v>1022</v>
      </c>
      <c r="H168" s="41" t="s">
        <v>1063</v>
      </c>
      <c r="I168" s="1" t="s">
        <v>1011</v>
      </c>
    </row>
    <row r="169" spans="2:9" ht="45" x14ac:dyDescent="0.25">
      <c r="B169" s="42">
        <v>167</v>
      </c>
      <c r="C169" s="42" t="str">
        <f t="shared" si="2"/>
        <v>aitos21c</v>
      </c>
      <c r="D169" s="1" t="s">
        <v>990</v>
      </c>
      <c r="E169" s="1">
        <v>21</v>
      </c>
      <c r="F169" s="1" t="s">
        <v>987</v>
      </c>
      <c r="G169" s="38" t="s">
        <v>1023</v>
      </c>
      <c r="H169" s="41" t="s">
        <v>1129</v>
      </c>
      <c r="I169" s="1" t="s">
        <v>1011</v>
      </c>
    </row>
    <row r="170" spans="2:9" ht="45" x14ac:dyDescent="0.25">
      <c r="B170" s="42">
        <v>168</v>
      </c>
      <c r="C170" s="42" t="str">
        <f t="shared" si="2"/>
        <v>aitos22c</v>
      </c>
      <c r="D170" s="1" t="s">
        <v>990</v>
      </c>
      <c r="E170" s="1">
        <v>22</v>
      </c>
      <c r="F170" s="1" t="s">
        <v>987</v>
      </c>
      <c r="G170" s="38" t="s">
        <v>1024</v>
      </c>
      <c r="H170" s="41" t="s">
        <v>1130</v>
      </c>
      <c r="I170" s="1" t="s">
        <v>1011</v>
      </c>
    </row>
    <row r="171" spans="2:9" ht="30" x14ac:dyDescent="0.25">
      <c r="B171" s="42">
        <v>169</v>
      </c>
      <c r="C171" s="42" t="str">
        <f t="shared" si="2"/>
        <v>aitos23c</v>
      </c>
      <c r="D171" s="1" t="s">
        <v>990</v>
      </c>
      <c r="E171" s="1">
        <v>23</v>
      </c>
      <c r="F171" s="1" t="s">
        <v>987</v>
      </c>
      <c r="G171" s="38" t="s">
        <v>995</v>
      </c>
      <c r="H171" s="41" t="s">
        <v>1131</v>
      </c>
      <c r="I171" s="1" t="s">
        <v>1012</v>
      </c>
    </row>
    <row r="172" spans="2:9" ht="30" x14ac:dyDescent="0.25">
      <c r="B172" s="42">
        <v>170</v>
      </c>
      <c r="C172" s="42" t="str">
        <f t="shared" si="2"/>
        <v>aitos24c</v>
      </c>
      <c r="D172" s="1" t="s">
        <v>990</v>
      </c>
      <c r="E172" s="1">
        <v>24</v>
      </c>
      <c r="F172" s="1" t="s">
        <v>987</v>
      </c>
      <c r="G172" s="39" t="s">
        <v>998</v>
      </c>
      <c r="H172" s="41" t="s">
        <v>1058</v>
      </c>
      <c r="I172" s="1" t="s">
        <v>1012</v>
      </c>
    </row>
    <row r="173" spans="2:9" ht="30" x14ac:dyDescent="0.25">
      <c r="B173" s="42">
        <v>171</v>
      </c>
      <c r="C173" s="42" t="str">
        <f t="shared" si="2"/>
        <v>aitos25c</v>
      </c>
      <c r="D173" s="1" t="s">
        <v>990</v>
      </c>
      <c r="E173" s="1">
        <v>25</v>
      </c>
      <c r="F173" s="1" t="s">
        <v>987</v>
      </c>
      <c r="G173" s="40" t="s">
        <v>1001</v>
      </c>
      <c r="H173" s="41" t="s">
        <v>1132</v>
      </c>
      <c r="I173" s="1" t="s">
        <v>1012</v>
      </c>
    </row>
    <row r="174" spans="2:9" ht="30" x14ac:dyDescent="0.25">
      <c r="B174" s="42">
        <v>172</v>
      </c>
      <c r="C174" s="42" t="str">
        <f t="shared" si="2"/>
        <v>aitos26c</v>
      </c>
      <c r="D174" s="1" t="s">
        <v>990</v>
      </c>
      <c r="E174" s="1">
        <v>26</v>
      </c>
      <c r="F174" s="1" t="s">
        <v>987</v>
      </c>
      <c r="G174" s="40" t="s">
        <v>1001</v>
      </c>
      <c r="H174" s="41" t="s">
        <v>1132</v>
      </c>
      <c r="I174" s="1" t="s">
        <v>1012</v>
      </c>
    </row>
    <row r="175" spans="2:9" ht="30" x14ac:dyDescent="0.25">
      <c r="B175" s="42">
        <v>173</v>
      </c>
      <c r="C175" s="42" t="str">
        <f t="shared" si="2"/>
        <v>aitos27c</v>
      </c>
      <c r="D175" s="1" t="s">
        <v>990</v>
      </c>
      <c r="E175" s="1">
        <v>27</v>
      </c>
      <c r="F175" s="1" t="s">
        <v>987</v>
      </c>
      <c r="G175" s="38" t="s">
        <v>1000</v>
      </c>
      <c r="H175" s="41" t="s">
        <v>1133</v>
      </c>
      <c r="I175" s="1" t="s">
        <v>1012</v>
      </c>
    </row>
    <row r="176" spans="2:9" ht="30" x14ac:dyDescent="0.25">
      <c r="B176" s="42">
        <v>174</v>
      </c>
      <c r="C176" s="42" t="str">
        <f t="shared" si="2"/>
        <v>aitos28c</v>
      </c>
      <c r="D176" s="1" t="s">
        <v>990</v>
      </c>
      <c r="E176" s="1">
        <v>28</v>
      </c>
      <c r="F176" s="1" t="s">
        <v>987</v>
      </c>
      <c r="G176" s="38" t="s">
        <v>999</v>
      </c>
      <c r="H176" s="41" t="s">
        <v>1134</v>
      </c>
      <c r="I176" s="1" t="s">
        <v>1012</v>
      </c>
    </row>
    <row r="177" spans="2:9" ht="30" x14ac:dyDescent="0.25">
      <c r="B177" s="42">
        <v>175</v>
      </c>
      <c r="C177" s="42" t="str">
        <f t="shared" si="2"/>
        <v>aitos29c</v>
      </c>
      <c r="D177" s="1" t="s">
        <v>990</v>
      </c>
      <c r="E177" s="1">
        <v>29</v>
      </c>
      <c r="F177" s="1" t="s">
        <v>987</v>
      </c>
      <c r="G177" s="38" t="s">
        <v>1036</v>
      </c>
      <c r="H177" s="41" t="s">
        <v>1135</v>
      </c>
      <c r="I177" s="1" t="s">
        <v>1012</v>
      </c>
    </row>
    <row r="178" spans="2:9" ht="30" x14ac:dyDescent="0.25">
      <c r="B178" s="42">
        <v>176</v>
      </c>
      <c r="C178" s="42" t="str">
        <f t="shared" si="2"/>
        <v>aitos30c</v>
      </c>
      <c r="D178" s="1" t="s">
        <v>990</v>
      </c>
      <c r="E178" s="1">
        <v>30</v>
      </c>
      <c r="F178" s="1" t="s">
        <v>987</v>
      </c>
      <c r="G178" s="39" t="s">
        <v>998</v>
      </c>
      <c r="H178" s="41" t="s">
        <v>1136</v>
      </c>
      <c r="I178" s="1" t="s">
        <v>1012</v>
      </c>
    </row>
    <row r="179" spans="2:9" ht="45" x14ac:dyDescent="0.25">
      <c r="B179" s="42">
        <v>177</v>
      </c>
      <c r="C179" s="42" t="str">
        <f t="shared" si="2"/>
        <v>aitos31c</v>
      </c>
      <c r="D179" s="1" t="s">
        <v>990</v>
      </c>
      <c r="E179" s="1">
        <v>31</v>
      </c>
      <c r="F179" s="1" t="s">
        <v>987</v>
      </c>
      <c r="G179" s="38" t="s">
        <v>997</v>
      </c>
      <c r="H179" s="41" t="s">
        <v>1121</v>
      </c>
      <c r="I179" s="1" t="s">
        <v>1012</v>
      </c>
    </row>
    <row r="180" spans="2:9" ht="30" x14ac:dyDescent="0.25">
      <c r="B180" s="42">
        <v>178</v>
      </c>
      <c r="C180" s="42" t="str">
        <f t="shared" si="2"/>
        <v>aitos32c</v>
      </c>
      <c r="D180" s="1" t="s">
        <v>990</v>
      </c>
      <c r="E180" s="1">
        <v>32</v>
      </c>
      <c r="F180" s="1" t="s">
        <v>987</v>
      </c>
      <c r="G180" s="38" t="s">
        <v>996</v>
      </c>
      <c r="H180" s="41" t="s">
        <v>1137</v>
      </c>
      <c r="I180" s="1" t="s">
        <v>1012</v>
      </c>
    </row>
    <row r="181" spans="2:9" ht="30" x14ac:dyDescent="0.25">
      <c r="B181" s="42">
        <v>179</v>
      </c>
      <c r="C181" s="42" t="str">
        <f t="shared" si="2"/>
        <v>aitos33c</v>
      </c>
      <c r="D181" s="1" t="s">
        <v>990</v>
      </c>
      <c r="E181" s="1">
        <v>33</v>
      </c>
      <c r="F181" s="1" t="s">
        <v>987</v>
      </c>
      <c r="G181" s="38" t="s">
        <v>994</v>
      </c>
      <c r="H181" s="41" t="s">
        <v>1138</v>
      </c>
      <c r="I181" s="1" t="s">
        <v>1012</v>
      </c>
    </row>
    <row r="182" spans="2:9" ht="30" x14ac:dyDescent="0.25">
      <c r="B182" s="42">
        <v>180</v>
      </c>
      <c r="C182" s="42" t="str">
        <f t="shared" si="2"/>
        <v>aitos34c</v>
      </c>
      <c r="D182" s="1" t="s">
        <v>990</v>
      </c>
      <c r="E182" s="1">
        <v>34</v>
      </c>
      <c r="F182" s="1" t="s">
        <v>987</v>
      </c>
      <c r="G182" s="38" t="s">
        <v>993</v>
      </c>
      <c r="H182" s="41" t="s">
        <v>1075</v>
      </c>
      <c r="I182" s="1" t="s">
        <v>1012</v>
      </c>
    </row>
    <row r="183" spans="2:9" ht="60" x14ac:dyDescent="0.25">
      <c r="B183" s="42">
        <v>181</v>
      </c>
      <c r="C183" s="1" t="str">
        <f t="shared" si="2"/>
        <v>aitosscscc</v>
      </c>
      <c r="D183" s="1" t="s">
        <v>990</v>
      </c>
      <c r="E183" s="1" t="s">
        <v>1215</v>
      </c>
      <c r="F183" s="1" t="s">
        <v>987</v>
      </c>
      <c r="G183" s="38" t="s">
        <v>1213</v>
      </c>
      <c r="H183" s="41" t="s">
        <v>1214</v>
      </c>
      <c r="I183" s="1" t="s">
        <v>1011</v>
      </c>
    </row>
    <row r="184" spans="2:9" ht="135" x14ac:dyDescent="0.25">
      <c r="B184" s="42">
        <v>182</v>
      </c>
      <c r="C184" s="1" t="str">
        <f t="shared" si="2"/>
        <v>aitosviernesc</v>
      </c>
      <c r="D184" s="1" t="s">
        <v>990</v>
      </c>
      <c r="E184" s="1" t="s">
        <v>1216</v>
      </c>
      <c r="F184" s="1" t="s">
        <v>987</v>
      </c>
      <c r="G184" s="38" t="s">
        <v>1225</v>
      </c>
      <c r="H184" s="41" t="s">
        <v>1226</v>
      </c>
      <c r="I184" s="1" t="s">
        <v>1011</v>
      </c>
    </row>
    <row r="185" spans="2:9" ht="30" x14ac:dyDescent="0.25">
      <c r="B185" s="42">
        <v>183</v>
      </c>
      <c r="C185" s="1" t="str">
        <f t="shared" si="2"/>
        <v>aitcs1c</v>
      </c>
      <c r="D185" s="1" t="s">
        <v>17</v>
      </c>
      <c r="E185" s="1">
        <v>1</v>
      </c>
      <c r="F185" s="1" t="s">
        <v>987</v>
      </c>
      <c r="G185" s="38" t="s">
        <v>1048</v>
      </c>
      <c r="H185" s="41" t="s">
        <v>1049</v>
      </c>
      <c r="I185" s="1"/>
    </row>
    <row r="186" spans="2:9" ht="30" x14ac:dyDescent="0.25">
      <c r="B186" s="42">
        <v>184</v>
      </c>
      <c r="C186" s="1" t="str">
        <f t="shared" si="2"/>
        <v>aitcs2c</v>
      </c>
      <c r="D186" s="1" t="s">
        <v>17</v>
      </c>
      <c r="E186" s="1">
        <v>2</v>
      </c>
      <c r="F186" s="1" t="s">
        <v>987</v>
      </c>
      <c r="G186" s="38" t="s">
        <v>1180</v>
      </c>
      <c r="H186" s="41" t="s">
        <v>988</v>
      </c>
      <c r="I186" s="1"/>
    </row>
    <row r="187" spans="2:9" ht="30" x14ac:dyDescent="0.25">
      <c r="B187" s="42">
        <v>185</v>
      </c>
      <c r="C187" s="1" t="str">
        <f t="shared" si="2"/>
        <v>aitcs3c</v>
      </c>
      <c r="D187" s="1" t="s">
        <v>17</v>
      </c>
      <c r="E187" s="1">
        <v>3</v>
      </c>
      <c r="F187" s="1" t="s">
        <v>987</v>
      </c>
      <c r="G187" s="38" t="s">
        <v>1181</v>
      </c>
      <c r="H187" s="41" t="s">
        <v>1182</v>
      </c>
      <c r="I187" s="1"/>
    </row>
    <row r="188" spans="2:9" ht="30" x14ac:dyDescent="0.25">
      <c r="B188" s="42">
        <v>186</v>
      </c>
      <c r="C188" s="1" t="str">
        <f t="shared" si="2"/>
        <v>aitcs4c</v>
      </c>
      <c r="D188" s="1" t="s">
        <v>17</v>
      </c>
      <c r="E188" s="1">
        <v>4</v>
      </c>
      <c r="F188" s="1" t="s">
        <v>987</v>
      </c>
      <c r="G188" s="38" t="s">
        <v>1228</v>
      </c>
      <c r="H188" s="41" t="s">
        <v>1229</v>
      </c>
      <c r="I188" s="1"/>
    </row>
    <row r="189" spans="2:9" ht="60" x14ac:dyDescent="0.25">
      <c r="B189" s="42">
        <v>187</v>
      </c>
      <c r="C189" s="1" t="str">
        <f t="shared" si="2"/>
        <v>aitcs5c</v>
      </c>
      <c r="D189" s="1" t="s">
        <v>17</v>
      </c>
      <c r="E189" s="1">
        <v>5</v>
      </c>
      <c r="F189" s="1" t="s">
        <v>987</v>
      </c>
      <c r="G189" s="38" t="s">
        <v>1230</v>
      </c>
      <c r="H189" s="41" t="s">
        <v>1231</v>
      </c>
      <c r="I189" s="1"/>
    </row>
    <row r="190" spans="2:9" ht="60" x14ac:dyDescent="0.25">
      <c r="B190" s="42">
        <v>188</v>
      </c>
      <c r="C190" s="1" t="str">
        <f t="shared" si="2"/>
        <v>aitcs6c</v>
      </c>
      <c r="D190" s="1" t="s">
        <v>17</v>
      </c>
      <c r="E190" s="1">
        <v>6</v>
      </c>
      <c r="F190" s="1" t="s">
        <v>987</v>
      </c>
      <c r="G190" s="38" t="s">
        <v>1194</v>
      </c>
      <c r="H190" s="41" t="s">
        <v>1188</v>
      </c>
      <c r="I190" s="1"/>
    </row>
    <row r="191" spans="2:9" ht="60" x14ac:dyDescent="0.25">
      <c r="B191" s="42">
        <v>189</v>
      </c>
      <c r="C191" s="1" t="str">
        <f t="shared" si="2"/>
        <v>aitcsjsc</v>
      </c>
      <c r="D191" s="1" t="s">
        <v>17</v>
      </c>
      <c r="E191" s="1" t="s">
        <v>1189</v>
      </c>
      <c r="F191" s="1" t="s">
        <v>987</v>
      </c>
      <c r="G191" s="38" t="s">
        <v>1190</v>
      </c>
      <c r="H191" s="41" t="s">
        <v>1191</v>
      </c>
      <c r="I191" s="1" t="s">
        <v>1011</v>
      </c>
    </row>
    <row r="192" spans="2:9" ht="60" x14ac:dyDescent="0.25">
      <c r="B192" s="42">
        <v>190</v>
      </c>
      <c r="C192" s="1" t="str">
        <f t="shared" si="2"/>
        <v>aitcsvsc</v>
      </c>
      <c r="D192" s="1" t="s">
        <v>17</v>
      </c>
      <c r="E192" s="1" t="s">
        <v>1192</v>
      </c>
      <c r="F192" s="1" t="s">
        <v>987</v>
      </c>
      <c r="G192" s="38" t="s">
        <v>1194</v>
      </c>
      <c r="H192" s="41" t="s">
        <v>1193</v>
      </c>
      <c r="I192" s="1" t="s">
        <v>1011</v>
      </c>
    </row>
    <row r="193" spans="2:9" x14ac:dyDescent="0.25">
      <c r="B193" s="42">
        <v>191</v>
      </c>
      <c r="C193" s="1" t="str">
        <f t="shared" si="2"/>
        <v>aitpsssc</v>
      </c>
      <c r="D193" s="1" t="s">
        <v>12</v>
      </c>
      <c r="E193" s="1" t="s">
        <v>1195</v>
      </c>
      <c r="F193" s="1" t="s">
        <v>987</v>
      </c>
      <c r="G193" s="38" t="s">
        <v>1198</v>
      </c>
      <c r="H193" s="41" t="s">
        <v>1232</v>
      </c>
      <c r="I193" s="1" t="s">
        <v>1011</v>
      </c>
    </row>
    <row r="194" spans="2:9" ht="45" x14ac:dyDescent="0.25">
      <c r="B194" s="42">
        <v>192</v>
      </c>
      <c r="C194" s="1" t="str">
        <f t="shared" si="2"/>
        <v>aitps1c</v>
      </c>
      <c r="D194" s="1" t="s">
        <v>12</v>
      </c>
      <c r="E194" s="1">
        <v>1</v>
      </c>
      <c r="F194" s="1" t="s">
        <v>987</v>
      </c>
      <c r="G194" s="38" t="s">
        <v>1196</v>
      </c>
      <c r="H194" s="41" t="s">
        <v>1197</v>
      </c>
      <c r="I194" s="1" t="s">
        <v>1011</v>
      </c>
    </row>
    <row r="195" spans="2:9" ht="45" x14ac:dyDescent="0.25">
      <c r="B195" s="42">
        <v>193</v>
      </c>
      <c r="C195" s="1" t="str">
        <f t="shared" ref="C195:C203" si="3">LOWER(_xlfn.CONCAT("ait",LEFT(D195,1)&amp;"s"&amp;E195&amp;F195))</f>
        <v>aitps2c</v>
      </c>
      <c r="D195" s="1" t="s">
        <v>12</v>
      </c>
      <c r="E195" s="1">
        <v>2</v>
      </c>
      <c r="F195" s="1" t="s">
        <v>987</v>
      </c>
      <c r="G195" s="38" t="s">
        <v>1233</v>
      </c>
      <c r="H195" s="41" t="s">
        <v>1200</v>
      </c>
      <c r="I195" s="1"/>
    </row>
    <row r="196" spans="2:9" ht="30" x14ac:dyDescent="0.25">
      <c r="B196" s="42">
        <v>194</v>
      </c>
      <c r="C196" s="1" t="str">
        <f t="shared" si="3"/>
        <v>aitps3c</v>
      </c>
      <c r="D196" s="1" t="s">
        <v>12</v>
      </c>
      <c r="E196" s="1">
        <v>3</v>
      </c>
      <c r="F196" s="1" t="s">
        <v>987</v>
      </c>
      <c r="G196" s="38" t="s">
        <v>1234</v>
      </c>
      <c r="H196" s="41" t="s">
        <v>988</v>
      </c>
      <c r="I196" s="1"/>
    </row>
    <row r="197" spans="2:9" ht="45" x14ac:dyDescent="0.25">
      <c r="B197" s="42">
        <v>195</v>
      </c>
      <c r="C197" s="1" t="str">
        <f t="shared" si="3"/>
        <v>aitps4c</v>
      </c>
      <c r="D197" s="1" t="s">
        <v>12</v>
      </c>
      <c r="E197" s="1">
        <v>4</v>
      </c>
      <c r="F197" s="1" t="s">
        <v>987</v>
      </c>
      <c r="G197" s="38" t="s">
        <v>1235</v>
      </c>
      <c r="H197" s="41" t="s">
        <v>1204</v>
      </c>
      <c r="I197" s="1"/>
    </row>
    <row r="198" spans="2:9" ht="60" x14ac:dyDescent="0.25">
      <c r="B198" s="42">
        <v>196</v>
      </c>
      <c r="C198" s="1" t="str">
        <f t="shared" si="3"/>
        <v>aitps5c</v>
      </c>
      <c r="D198" s="1" t="s">
        <v>12</v>
      </c>
      <c r="E198" s="1">
        <v>5</v>
      </c>
      <c r="F198" s="1" t="s">
        <v>987</v>
      </c>
      <c r="G198" s="38" t="s">
        <v>1007</v>
      </c>
      <c r="H198" s="41" t="s">
        <v>1059</v>
      </c>
      <c r="I198" s="1"/>
    </row>
    <row r="199" spans="2:9" ht="45" x14ac:dyDescent="0.25">
      <c r="B199" s="42">
        <v>197</v>
      </c>
      <c r="C199" s="1" t="str">
        <f t="shared" si="3"/>
        <v>aitps6c</v>
      </c>
      <c r="D199" s="1" t="s">
        <v>12</v>
      </c>
      <c r="E199" s="1">
        <v>6</v>
      </c>
      <c r="F199" s="1" t="s">
        <v>987</v>
      </c>
      <c r="G199" s="38" t="s">
        <v>1067</v>
      </c>
      <c r="H199" s="41" t="s">
        <v>1068</v>
      </c>
      <c r="I199" s="1"/>
    </row>
    <row r="200" spans="2:9" ht="60" x14ac:dyDescent="0.25">
      <c r="B200" s="42">
        <v>198</v>
      </c>
      <c r="C200" s="1" t="str">
        <f t="shared" si="3"/>
        <v>aitps7c</v>
      </c>
      <c r="D200" s="1" t="s">
        <v>12</v>
      </c>
      <c r="E200" s="1">
        <v>7</v>
      </c>
      <c r="F200" s="1" t="s">
        <v>987</v>
      </c>
      <c r="G200" s="38" t="s">
        <v>1205</v>
      </c>
      <c r="H200" s="41" t="s">
        <v>1206</v>
      </c>
      <c r="I200" s="1"/>
    </row>
    <row r="201" spans="2:9" ht="60" x14ac:dyDescent="0.25">
      <c r="B201" s="42">
        <v>199</v>
      </c>
      <c r="C201" s="1" t="str">
        <f t="shared" si="3"/>
        <v>aitpsasc</v>
      </c>
      <c r="D201" s="1" t="s">
        <v>12</v>
      </c>
      <c r="E201" s="1" t="s">
        <v>975</v>
      </c>
      <c r="F201" s="1" t="s">
        <v>987</v>
      </c>
      <c r="G201" s="38" t="s">
        <v>1207</v>
      </c>
      <c r="H201" s="41" t="s">
        <v>1208</v>
      </c>
      <c r="I201" s="1" t="s">
        <v>1011</v>
      </c>
    </row>
    <row r="202" spans="2:9" ht="45" x14ac:dyDescent="0.25">
      <c r="B202" s="42">
        <v>200</v>
      </c>
      <c r="C202" s="1" t="str">
        <f t="shared" si="3"/>
        <v>aitps8c</v>
      </c>
      <c r="D202" s="1" t="s">
        <v>12</v>
      </c>
      <c r="E202" s="1">
        <v>8</v>
      </c>
      <c r="F202" s="1" t="s">
        <v>987</v>
      </c>
      <c r="G202" s="38" t="s">
        <v>1209</v>
      </c>
      <c r="H202" s="41" t="s">
        <v>1210</v>
      </c>
      <c r="I202" s="1" t="s">
        <v>1011</v>
      </c>
    </row>
    <row r="203" spans="2:9" ht="30" x14ac:dyDescent="0.25">
      <c r="B203" s="42">
        <v>201</v>
      </c>
      <c r="C203" s="1" t="str">
        <f t="shared" si="3"/>
        <v>aitps9c</v>
      </c>
      <c r="D203" s="1" t="s">
        <v>12</v>
      </c>
      <c r="E203" s="1">
        <v>9</v>
      </c>
      <c r="F203" s="1" t="s">
        <v>987</v>
      </c>
      <c r="G203" s="38" t="s">
        <v>1211</v>
      </c>
      <c r="H203" s="41" t="s">
        <v>1212</v>
      </c>
      <c r="I203" s="1" t="s">
        <v>1011</v>
      </c>
    </row>
  </sheetData>
  <pageMargins left="0.7" right="0.7" top="0.75" bottom="0.75" header="0.3" footer="0.3"/>
  <pageSetup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sheetPr codeName="Sheet7"/>
  <dimension ref="A1:D509"/>
  <sheetViews>
    <sheetView topLeftCell="A391" workbookViewId="0">
      <selection activeCell="A13" sqref="A13"/>
    </sheetView>
  </sheetViews>
  <sheetFormatPr defaultRowHeight="15" x14ac:dyDescent="0.25"/>
  <cols>
    <col min="1" max="1" width="34.7109375" bestFit="1" customWidth="1"/>
    <col min="2" max="2" width="17.42578125" bestFit="1" customWidth="1"/>
    <col min="3" max="3" width="2" bestFit="1" customWidth="1"/>
    <col min="4" max="4" width="88.28515625" bestFit="1" customWidth="1"/>
  </cols>
  <sheetData>
    <row r="1" spans="1:4" x14ac:dyDescent="0.25">
      <c r="A1" t="s">
        <v>1330</v>
      </c>
    </row>
    <row r="2" spans="1:4" x14ac:dyDescent="0.25">
      <c r="A2" t="s">
        <v>1331</v>
      </c>
      <c r="B2" t="s">
        <v>1332</v>
      </c>
      <c r="C2" t="s">
        <v>1333</v>
      </c>
      <c r="D2" t="s">
        <v>1334</v>
      </c>
    </row>
    <row r="3" spans="1:4" x14ac:dyDescent="0.25">
      <c r="A3" t="s">
        <v>1331</v>
      </c>
      <c r="B3" t="s">
        <v>1335</v>
      </c>
      <c r="C3" t="s">
        <v>1333</v>
      </c>
      <c r="D3" t="s">
        <v>1336</v>
      </c>
    </row>
    <row r="4" spans="1:4" x14ac:dyDescent="0.25">
      <c r="A4" t="s">
        <v>1331</v>
      </c>
      <c r="B4" t="s">
        <v>1337</v>
      </c>
      <c r="C4" t="s">
        <v>1333</v>
      </c>
      <c r="D4" t="s">
        <v>1338</v>
      </c>
    </row>
    <row r="5" spans="1:4" x14ac:dyDescent="0.25">
      <c r="A5" t="s">
        <v>1331</v>
      </c>
      <c r="B5" t="s">
        <v>1339</v>
      </c>
      <c r="C5" t="s">
        <v>1333</v>
      </c>
      <c r="D5" t="s">
        <v>1340</v>
      </c>
    </row>
    <row r="6" spans="1:4" x14ac:dyDescent="0.25">
      <c r="A6" t="s">
        <v>1331</v>
      </c>
      <c r="B6" t="s">
        <v>1341</v>
      </c>
      <c r="C6" t="s">
        <v>1333</v>
      </c>
      <c r="D6" t="s">
        <v>1342</v>
      </c>
    </row>
    <row r="7" spans="1:4" x14ac:dyDescent="0.25">
      <c r="A7" t="s">
        <v>1343</v>
      </c>
    </row>
    <row r="8" spans="1:4" x14ac:dyDescent="0.25">
      <c r="A8" t="s">
        <v>1331</v>
      </c>
      <c r="B8" t="s">
        <v>1344</v>
      </c>
      <c r="C8" t="s">
        <v>1333</v>
      </c>
      <c r="D8" t="s">
        <v>1345</v>
      </c>
    </row>
    <row r="9" spans="1:4" x14ac:dyDescent="0.25">
      <c r="A9" t="s">
        <v>1331</v>
      </c>
      <c r="B9" t="s">
        <v>1346</v>
      </c>
      <c r="C9" t="s">
        <v>1333</v>
      </c>
      <c r="D9" t="s">
        <v>1347</v>
      </c>
    </row>
    <row r="10" spans="1:4" x14ac:dyDescent="0.25">
      <c r="A10" t="s">
        <v>1331</v>
      </c>
      <c r="B10" t="s">
        <v>1348</v>
      </c>
      <c r="C10" t="s">
        <v>1333</v>
      </c>
      <c r="D10" t="s">
        <v>1349</v>
      </c>
    </row>
    <row r="11" spans="1:4" x14ac:dyDescent="0.25">
      <c r="A11" t="s">
        <v>1331</v>
      </c>
      <c r="B11" t="s">
        <v>1350</v>
      </c>
      <c r="C11" t="s">
        <v>1333</v>
      </c>
      <c r="D11" t="s">
        <v>1351</v>
      </c>
    </row>
    <row r="12" spans="1:4" x14ac:dyDescent="0.25">
      <c r="A12" t="s">
        <v>1352</v>
      </c>
    </row>
    <row r="13" spans="1:4" x14ac:dyDescent="0.25">
      <c r="A13" t="s">
        <v>1331</v>
      </c>
      <c r="B13" t="s">
        <v>1353</v>
      </c>
      <c r="C13" t="s">
        <v>1333</v>
      </c>
      <c r="D13" t="s">
        <v>1354</v>
      </c>
    </row>
    <row r="14" spans="1:4" x14ac:dyDescent="0.25">
      <c r="A14" t="s">
        <v>1331</v>
      </c>
      <c r="B14" t="s">
        <v>1355</v>
      </c>
      <c r="C14" t="s">
        <v>1333</v>
      </c>
      <c r="D14" t="s">
        <v>1356</v>
      </c>
    </row>
    <row r="15" spans="1:4" x14ac:dyDescent="0.25">
      <c r="A15" t="s">
        <v>1331</v>
      </c>
      <c r="B15" t="s">
        <v>1357</v>
      </c>
      <c r="C15" t="s">
        <v>1333</v>
      </c>
      <c r="D15" t="s">
        <v>1358</v>
      </c>
    </row>
    <row r="16" spans="1:4" x14ac:dyDescent="0.25">
      <c r="A16" t="s">
        <v>1331</v>
      </c>
      <c r="B16" t="s">
        <v>1359</v>
      </c>
      <c r="C16" t="s">
        <v>1333</v>
      </c>
      <c r="D16" t="s">
        <v>1360</v>
      </c>
    </row>
    <row r="17" spans="1:4" x14ac:dyDescent="0.25">
      <c r="A17" t="s">
        <v>1331</v>
      </c>
      <c r="B17" t="s">
        <v>1361</v>
      </c>
      <c r="C17" t="s">
        <v>1333</v>
      </c>
      <c r="D17" t="s">
        <v>1362</v>
      </c>
    </row>
    <row r="18" spans="1:4" x14ac:dyDescent="0.25">
      <c r="A18" t="s">
        <v>1331</v>
      </c>
      <c r="B18" t="s">
        <v>1363</v>
      </c>
      <c r="C18" t="s">
        <v>1333</v>
      </c>
      <c r="D18" t="s">
        <v>1364</v>
      </c>
    </row>
    <row r="19" spans="1:4" x14ac:dyDescent="0.25">
      <c r="A19" t="s">
        <v>1365</v>
      </c>
    </row>
    <row r="20" spans="1:4" x14ac:dyDescent="0.25">
      <c r="A20" t="s">
        <v>1331</v>
      </c>
      <c r="B20" t="s">
        <v>1366</v>
      </c>
      <c r="C20" t="s">
        <v>1333</v>
      </c>
      <c r="D20" t="s">
        <v>1367</v>
      </c>
    </row>
    <row r="21" spans="1:4" x14ac:dyDescent="0.25">
      <c r="A21" t="s">
        <v>1331</v>
      </c>
      <c r="B21" t="s">
        <v>1368</v>
      </c>
      <c r="C21" t="s">
        <v>1333</v>
      </c>
      <c r="D21" t="s">
        <v>1369</v>
      </c>
    </row>
    <row r="22" spans="1:4" x14ac:dyDescent="0.25">
      <c r="A22" t="s">
        <v>1331</v>
      </c>
      <c r="B22" t="s">
        <v>1370</v>
      </c>
      <c r="C22" t="s">
        <v>1333</v>
      </c>
      <c r="D22" t="s">
        <v>1371</v>
      </c>
    </row>
    <row r="23" spans="1:4" x14ac:dyDescent="0.25">
      <c r="A23" t="s">
        <v>1331</v>
      </c>
      <c r="B23" t="s">
        <v>1372</v>
      </c>
      <c r="C23" t="s">
        <v>1333</v>
      </c>
      <c r="D23" t="s">
        <v>1373</v>
      </c>
    </row>
    <row r="24" spans="1:4" x14ac:dyDescent="0.25">
      <c r="A24" t="s">
        <v>1331</v>
      </c>
      <c r="B24" t="s">
        <v>1374</v>
      </c>
      <c r="C24" t="s">
        <v>1333</v>
      </c>
      <c r="D24" t="s">
        <v>1375</v>
      </c>
    </row>
    <row r="25" spans="1:4" x14ac:dyDescent="0.25">
      <c r="A25" t="s">
        <v>1331</v>
      </c>
      <c r="B25" t="s">
        <v>1376</v>
      </c>
      <c r="C25" t="s">
        <v>1333</v>
      </c>
      <c r="D25" t="s">
        <v>1377</v>
      </c>
    </row>
    <row r="26" spans="1:4" x14ac:dyDescent="0.25">
      <c r="A26" t="s">
        <v>1331</v>
      </c>
      <c r="B26" t="s">
        <v>1378</v>
      </c>
      <c r="C26" t="s">
        <v>1333</v>
      </c>
      <c r="D26" t="s">
        <v>1379</v>
      </c>
    </row>
    <row r="27" spans="1:4" x14ac:dyDescent="0.25">
      <c r="A27" t="s">
        <v>1331</v>
      </c>
      <c r="B27" t="s">
        <v>1380</v>
      </c>
      <c r="C27" t="s">
        <v>1333</v>
      </c>
      <c r="D27" t="s">
        <v>1381</v>
      </c>
    </row>
    <row r="29" spans="1:4" x14ac:dyDescent="0.25">
      <c r="A29" t="s">
        <v>1382</v>
      </c>
    </row>
    <row r="30" spans="1:4" x14ac:dyDescent="0.25">
      <c r="A30" t="s">
        <v>1331</v>
      </c>
      <c r="B30" t="s">
        <v>1383</v>
      </c>
      <c r="C30" t="s">
        <v>1333</v>
      </c>
      <c r="D30" t="s">
        <v>1384</v>
      </c>
    </row>
    <row r="31" spans="1:4" x14ac:dyDescent="0.25">
      <c r="A31" t="s">
        <v>1331</v>
      </c>
      <c r="B31" t="s">
        <v>1385</v>
      </c>
      <c r="C31" t="s">
        <v>1333</v>
      </c>
      <c r="D31" t="s">
        <v>1386</v>
      </c>
    </row>
    <row r="32" spans="1:4" x14ac:dyDescent="0.25">
      <c r="A32" t="s">
        <v>1331</v>
      </c>
      <c r="B32" t="s">
        <v>1387</v>
      </c>
      <c r="C32" t="s">
        <v>1333</v>
      </c>
      <c r="D32" t="s">
        <v>1388</v>
      </c>
    </row>
    <row r="34" spans="1:4" x14ac:dyDescent="0.25">
      <c r="A34" t="s">
        <v>1389</v>
      </c>
    </row>
    <row r="35" spans="1:4" x14ac:dyDescent="0.25">
      <c r="A35" t="s">
        <v>1331</v>
      </c>
      <c r="B35" t="s">
        <v>1390</v>
      </c>
      <c r="C35" t="s">
        <v>1333</v>
      </c>
      <c r="D35" t="s">
        <v>1391</v>
      </c>
    </row>
    <row r="36" spans="1:4" x14ac:dyDescent="0.25">
      <c r="A36" t="s">
        <v>1331</v>
      </c>
      <c r="B36" t="s">
        <v>1392</v>
      </c>
      <c r="C36" t="s">
        <v>1333</v>
      </c>
      <c r="D36" t="s">
        <v>1393</v>
      </c>
    </row>
    <row r="37" spans="1:4" x14ac:dyDescent="0.25">
      <c r="A37" t="s">
        <v>1331</v>
      </c>
      <c r="B37" t="s">
        <v>1394</v>
      </c>
      <c r="C37" t="s">
        <v>1333</v>
      </c>
      <c r="D37" t="s">
        <v>1395</v>
      </c>
    </row>
    <row r="38" spans="1:4" x14ac:dyDescent="0.25">
      <c r="A38" t="s">
        <v>1331</v>
      </c>
      <c r="B38" t="s">
        <v>1396</v>
      </c>
      <c r="C38" t="s">
        <v>1333</v>
      </c>
      <c r="D38" t="s">
        <v>1397</v>
      </c>
    </row>
    <row r="39" spans="1:4" x14ac:dyDescent="0.25">
      <c r="A39" t="s">
        <v>1331</v>
      </c>
      <c r="B39" t="s">
        <v>1398</v>
      </c>
      <c r="C39" t="s">
        <v>1333</v>
      </c>
      <c r="D39" t="s">
        <v>1399</v>
      </c>
    </row>
    <row r="41" spans="1:4" x14ac:dyDescent="0.25">
      <c r="A41" t="s">
        <v>1400</v>
      </c>
    </row>
    <row r="42" spans="1:4" x14ac:dyDescent="0.25">
      <c r="A42" t="s">
        <v>1331</v>
      </c>
      <c r="B42" t="s">
        <v>1401</v>
      </c>
      <c r="C42" t="s">
        <v>1333</v>
      </c>
      <c r="D42" t="s">
        <v>1402</v>
      </c>
    </row>
    <row r="43" spans="1:4" x14ac:dyDescent="0.25">
      <c r="A43" t="s">
        <v>1331</v>
      </c>
      <c r="B43" t="s">
        <v>1403</v>
      </c>
      <c r="C43" t="s">
        <v>1333</v>
      </c>
      <c r="D43" t="s">
        <v>1404</v>
      </c>
    </row>
    <row r="44" spans="1:4" x14ac:dyDescent="0.25">
      <c r="A44" t="s">
        <v>1331</v>
      </c>
      <c r="B44" t="s">
        <v>1405</v>
      </c>
      <c r="C44" t="s">
        <v>1333</v>
      </c>
      <c r="D44" t="s">
        <v>1406</v>
      </c>
    </row>
    <row r="45" spans="1:4" x14ac:dyDescent="0.25">
      <c r="A45" t="s">
        <v>1331</v>
      </c>
      <c r="B45" t="s">
        <v>1407</v>
      </c>
      <c r="C45" t="s">
        <v>1333</v>
      </c>
      <c r="D45" t="s">
        <v>1408</v>
      </c>
    </row>
    <row r="46" spans="1:4" x14ac:dyDescent="0.25">
      <c r="A46" t="s">
        <v>1331</v>
      </c>
      <c r="B46" t="s">
        <v>1409</v>
      </c>
      <c r="C46" t="s">
        <v>1333</v>
      </c>
      <c r="D46" t="s">
        <v>1410</v>
      </c>
    </row>
    <row r="47" spans="1:4" x14ac:dyDescent="0.25">
      <c r="A47" t="s">
        <v>1331</v>
      </c>
      <c r="B47" t="s">
        <v>1411</v>
      </c>
      <c r="C47" t="s">
        <v>1333</v>
      </c>
      <c r="D47" t="s">
        <v>1412</v>
      </c>
    </row>
    <row r="48" spans="1:4" x14ac:dyDescent="0.25">
      <c r="A48" t="s">
        <v>1331</v>
      </c>
      <c r="B48" t="s">
        <v>1413</v>
      </c>
      <c r="C48" t="s">
        <v>1333</v>
      </c>
      <c r="D48" t="s">
        <v>1414</v>
      </c>
    </row>
    <row r="49" spans="1:4" x14ac:dyDescent="0.25">
      <c r="A49" t="s">
        <v>1331</v>
      </c>
      <c r="B49" t="s">
        <v>1415</v>
      </c>
      <c r="C49" t="s">
        <v>1333</v>
      </c>
      <c r="D49" t="s">
        <v>1416</v>
      </c>
    </row>
    <row r="50" spans="1:4" x14ac:dyDescent="0.25">
      <c r="A50" t="s">
        <v>1331</v>
      </c>
      <c r="B50" t="s">
        <v>1417</v>
      </c>
      <c r="C50" t="s">
        <v>1333</v>
      </c>
      <c r="D50" t="s">
        <v>1418</v>
      </c>
    </row>
    <row r="51" spans="1:4" x14ac:dyDescent="0.25">
      <c r="A51" t="s">
        <v>1331</v>
      </c>
      <c r="B51" t="s">
        <v>1419</v>
      </c>
      <c r="C51" t="s">
        <v>1333</v>
      </c>
      <c r="D51" t="s">
        <v>1420</v>
      </c>
    </row>
    <row r="52" spans="1:4" x14ac:dyDescent="0.25">
      <c r="A52" t="s">
        <v>1331</v>
      </c>
      <c r="B52" t="s">
        <v>1421</v>
      </c>
      <c r="C52" t="s">
        <v>1333</v>
      </c>
      <c r="D52" t="s">
        <v>1422</v>
      </c>
    </row>
    <row r="53" spans="1:4" x14ac:dyDescent="0.25">
      <c r="A53" t="s">
        <v>1331</v>
      </c>
      <c r="B53" t="s">
        <v>1423</v>
      </c>
      <c r="C53" t="s">
        <v>1333</v>
      </c>
      <c r="D53" t="s">
        <v>1424</v>
      </c>
    </row>
    <row r="54" spans="1:4" x14ac:dyDescent="0.25">
      <c r="A54" t="s">
        <v>1331</v>
      </c>
      <c r="B54" t="s">
        <v>1425</v>
      </c>
      <c r="C54" t="s">
        <v>1333</v>
      </c>
      <c r="D54" t="s">
        <v>1426</v>
      </c>
    </row>
    <row r="55" spans="1:4" x14ac:dyDescent="0.25">
      <c r="A55" t="s">
        <v>1331</v>
      </c>
      <c r="B55" t="s">
        <v>1427</v>
      </c>
      <c r="C55" t="s">
        <v>1333</v>
      </c>
      <c r="D55" t="s">
        <v>1428</v>
      </c>
    </row>
    <row r="56" spans="1:4" x14ac:dyDescent="0.25">
      <c r="A56" t="s">
        <v>1331</v>
      </c>
      <c r="B56" t="s">
        <v>1429</v>
      </c>
      <c r="C56" t="s">
        <v>1333</v>
      </c>
      <c r="D56" t="s">
        <v>1430</v>
      </c>
    </row>
    <row r="57" spans="1:4" x14ac:dyDescent="0.25">
      <c r="A57" t="s">
        <v>1331</v>
      </c>
      <c r="B57" t="s">
        <v>1431</v>
      </c>
      <c r="C57" t="s">
        <v>1333</v>
      </c>
      <c r="D57" t="s">
        <v>1432</v>
      </c>
    </row>
    <row r="58" spans="1:4" x14ac:dyDescent="0.25">
      <c r="A58" t="s">
        <v>1331</v>
      </c>
      <c r="B58" t="s">
        <v>1433</v>
      </c>
      <c r="C58" t="s">
        <v>1333</v>
      </c>
      <c r="D58" t="s">
        <v>1434</v>
      </c>
    </row>
    <row r="59" spans="1:4" x14ac:dyDescent="0.25">
      <c r="A59" t="s">
        <v>1331</v>
      </c>
      <c r="B59" t="s">
        <v>1435</v>
      </c>
      <c r="C59" t="s">
        <v>1333</v>
      </c>
      <c r="D59" t="s">
        <v>1436</v>
      </c>
    </row>
    <row r="60" spans="1:4" x14ac:dyDescent="0.25">
      <c r="A60" t="s">
        <v>1331</v>
      </c>
      <c r="B60" t="s">
        <v>1437</v>
      </c>
      <c r="C60" t="s">
        <v>1333</v>
      </c>
      <c r="D60" t="s">
        <v>1438</v>
      </c>
    </row>
    <row r="61" spans="1:4" x14ac:dyDescent="0.25">
      <c r="A61" t="s">
        <v>1331</v>
      </c>
      <c r="B61" t="s">
        <v>1439</v>
      </c>
      <c r="C61" t="s">
        <v>1333</v>
      </c>
      <c r="D61" t="s">
        <v>1440</v>
      </c>
    </row>
    <row r="62" spans="1:4" x14ac:dyDescent="0.25">
      <c r="A62" t="s">
        <v>1331</v>
      </c>
      <c r="B62" t="s">
        <v>1441</v>
      </c>
      <c r="C62" t="s">
        <v>1333</v>
      </c>
      <c r="D62" t="s">
        <v>1442</v>
      </c>
    </row>
    <row r="63" spans="1:4" x14ac:dyDescent="0.25">
      <c r="A63" t="s">
        <v>1331</v>
      </c>
      <c r="B63" t="s">
        <v>1443</v>
      </c>
      <c r="C63" t="s">
        <v>1333</v>
      </c>
      <c r="D63" t="s">
        <v>1444</v>
      </c>
    </row>
    <row r="64" spans="1:4" x14ac:dyDescent="0.25">
      <c r="A64" t="s">
        <v>1331</v>
      </c>
      <c r="B64" t="s">
        <v>1445</v>
      </c>
      <c r="C64" t="s">
        <v>1333</v>
      </c>
      <c r="D64" t="s">
        <v>1446</v>
      </c>
    </row>
    <row r="65" spans="1:4" x14ac:dyDescent="0.25">
      <c r="A65" t="s">
        <v>1331</v>
      </c>
      <c r="B65" t="s">
        <v>1447</v>
      </c>
      <c r="C65" t="s">
        <v>1333</v>
      </c>
      <c r="D65" t="s">
        <v>1448</v>
      </c>
    </row>
    <row r="66" spans="1:4" x14ac:dyDescent="0.25">
      <c r="A66" t="s">
        <v>1331</v>
      </c>
      <c r="B66" t="s">
        <v>1449</v>
      </c>
      <c r="C66" t="s">
        <v>1333</v>
      </c>
      <c r="D66" t="s">
        <v>1450</v>
      </c>
    </row>
    <row r="67" spans="1:4" x14ac:dyDescent="0.25">
      <c r="A67" t="s">
        <v>1331</v>
      </c>
      <c r="B67" t="s">
        <v>1451</v>
      </c>
      <c r="C67" t="s">
        <v>1333</v>
      </c>
      <c r="D67" t="s">
        <v>1452</v>
      </c>
    </row>
    <row r="68" spans="1:4" x14ac:dyDescent="0.25">
      <c r="A68" t="s">
        <v>1331</v>
      </c>
      <c r="B68" t="s">
        <v>1453</v>
      </c>
      <c r="C68" t="s">
        <v>1333</v>
      </c>
      <c r="D68" t="s">
        <v>1454</v>
      </c>
    </row>
    <row r="69" spans="1:4" x14ac:dyDescent="0.25">
      <c r="A69" t="s">
        <v>1331</v>
      </c>
      <c r="B69" t="s">
        <v>1455</v>
      </c>
      <c r="C69" t="s">
        <v>1333</v>
      </c>
      <c r="D69" t="s">
        <v>1456</v>
      </c>
    </row>
    <row r="70" spans="1:4" x14ac:dyDescent="0.25">
      <c r="A70" t="s">
        <v>1331</v>
      </c>
      <c r="B70" t="s">
        <v>1457</v>
      </c>
      <c r="C70" t="s">
        <v>1333</v>
      </c>
      <c r="D70" t="s">
        <v>1458</v>
      </c>
    </row>
    <row r="71" spans="1:4" x14ac:dyDescent="0.25">
      <c r="A71" t="s">
        <v>1331</v>
      </c>
      <c r="B71" t="s">
        <v>1459</v>
      </c>
      <c r="C71" t="s">
        <v>1333</v>
      </c>
      <c r="D71" t="s">
        <v>1460</v>
      </c>
    </row>
    <row r="72" spans="1:4" x14ac:dyDescent="0.25">
      <c r="A72" t="s">
        <v>1331</v>
      </c>
      <c r="B72" t="s">
        <v>1461</v>
      </c>
      <c r="C72" t="s">
        <v>1333</v>
      </c>
      <c r="D72" t="s">
        <v>1462</v>
      </c>
    </row>
    <row r="73" spans="1:4" x14ac:dyDescent="0.25">
      <c r="A73" t="s">
        <v>1331</v>
      </c>
      <c r="B73" t="s">
        <v>1463</v>
      </c>
      <c r="C73" t="s">
        <v>1333</v>
      </c>
      <c r="D73" t="s">
        <v>1464</v>
      </c>
    </row>
    <row r="74" spans="1:4" x14ac:dyDescent="0.25">
      <c r="A74" t="s">
        <v>1331</v>
      </c>
      <c r="B74" t="s">
        <v>1465</v>
      </c>
      <c r="C74" t="s">
        <v>1333</v>
      </c>
      <c r="D74" t="s">
        <v>1466</v>
      </c>
    </row>
    <row r="75" spans="1:4" x14ac:dyDescent="0.25">
      <c r="A75" t="s">
        <v>1331</v>
      </c>
      <c r="B75" t="s">
        <v>1467</v>
      </c>
      <c r="C75" t="s">
        <v>1333</v>
      </c>
      <c r="D75" t="s">
        <v>1468</v>
      </c>
    </row>
    <row r="77" spans="1:4" x14ac:dyDescent="0.25">
      <c r="A77" t="s">
        <v>1469</v>
      </c>
    </row>
    <row r="78" spans="1:4" x14ac:dyDescent="0.25">
      <c r="A78" t="s">
        <v>1331</v>
      </c>
      <c r="B78" t="s">
        <v>1470</v>
      </c>
      <c r="C78" t="s">
        <v>1333</v>
      </c>
      <c r="D78" t="s">
        <v>1471</v>
      </c>
    </row>
    <row r="80" spans="1:4" x14ac:dyDescent="0.25">
      <c r="A80" t="s">
        <v>1331</v>
      </c>
      <c r="B80" t="s">
        <v>1472</v>
      </c>
      <c r="C80" t="s">
        <v>1333</v>
      </c>
      <c r="D80" t="s">
        <v>1473</v>
      </c>
    </row>
    <row r="81" spans="1:4" x14ac:dyDescent="0.25">
      <c r="A81" t="s">
        <v>1474</v>
      </c>
      <c r="B81" t="s">
        <v>1475</v>
      </c>
      <c r="C81" t="s">
        <v>1333</v>
      </c>
      <c r="D81" t="s">
        <v>1476</v>
      </c>
    </row>
    <row r="82" spans="1:4" x14ac:dyDescent="0.25">
      <c r="A82" t="s">
        <v>1474</v>
      </c>
      <c r="B82" t="s">
        <v>1477</v>
      </c>
      <c r="C82" t="s">
        <v>1333</v>
      </c>
      <c r="D82" t="s">
        <v>1478</v>
      </c>
    </row>
    <row r="84" spans="1:4" x14ac:dyDescent="0.25">
      <c r="A84" t="s">
        <v>1331</v>
      </c>
      <c r="B84" t="s">
        <v>1479</v>
      </c>
      <c r="C84" t="s">
        <v>1333</v>
      </c>
      <c r="D84" t="s">
        <v>1480</v>
      </c>
    </row>
    <row r="85" spans="1:4" x14ac:dyDescent="0.25">
      <c r="A85" t="s">
        <v>1474</v>
      </c>
      <c r="B85" t="s">
        <v>1481</v>
      </c>
      <c r="C85" t="s">
        <v>1333</v>
      </c>
      <c r="D85" t="s">
        <v>1482</v>
      </c>
    </row>
    <row r="86" spans="1:4" x14ac:dyDescent="0.25">
      <c r="A86" t="s">
        <v>1474</v>
      </c>
      <c r="B86" t="s">
        <v>1483</v>
      </c>
      <c r="C86" t="s">
        <v>1333</v>
      </c>
      <c r="D86" t="s">
        <v>1484</v>
      </c>
    </row>
    <row r="88" spans="1:4" x14ac:dyDescent="0.25">
      <c r="A88" t="s">
        <v>1331</v>
      </c>
      <c r="B88" t="s">
        <v>1485</v>
      </c>
      <c r="C88" t="s">
        <v>1333</v>
      </c>
      <c r="D88" t="s">
        <v>1486</v>
      </c>
    </row>
    <row r="89" spans="1:4" x14ac:dyDescent="0.25">
      <c r="A89" t="s">
        <v>1474</v>
      </c>
      <c r="B89" t="s">
        <v>1487</v>
      </c>
      <c r="C89" t="s">
        <v>1333</v>
      </c>
      <c r="D89" t="s">
        <v>1488</v>
      </c>
    </row>
    <row r="90" spans="1:4" x14ac:dyDescent="0.25">
      <c r="A90" t="s">
        <v>1474</v>
      </c>
      <c r="B90" t="s">
        <v>1489</v>
      </c>
      <c r="C90" t="s">
        <v>1333</v>
      </c>
      <c r="D90" t="s">
        <v>1490</v>
      </c>
    </row>
    <row r="92" spans="1:4" x14ac:dyDescent="0.25">
      <c r="A92" t="s">
        <v>1331</v>
      </c>
      <c r="B92" t="s">
        <v>1491</v>
      </c>
      <c r="C92" t="s">
        <v>1333</v>
      </c>
      <c r="D92" t="s">
        <v>1492</v>
      </c>
    </row>
    <row r="93" spans="1:4" x14ac:dyDescent="0.25">
      <c r="A93" t="s">
        <v>1474</v>
      </c>
      <c r="B93" t="s">
        <v>1493</v>
      </c>
      <c r="C93" t="s">
        <v>1333</v>
      </c>
      <c r="D93" t="s">
        <v>1494</v>
      </c>
    </row>
    <row r="94" spans="1:4" x14ac:dyDescent="0.25">
      <c r="A94" t="s">
        <v>1474</v>
      </c>
      <c r="B94" t="s">
        <v>1495</v>
      </c>
      <c r="C94" t="s">
        <v>1333</v>
      </c>
      <c r="D94" t="s">
        <v>1496</v>
      </c>
    </row>
    <row r="95" spans="1:4" x14ac:dyDescent="0.25">
      <c r="A95" t="s">
        <v>1474</v>
      </c>
      <c r="B95" t="s">
        <v>1497</v>
      </c>
      <c r="C95" t="s">
        <v>1333</v>
      </c>
      <c r="D95" t="s">
        <v>1498</v>
      </c>
    </row>
    <row r="97" spans="1:4" x14ac:dyDescent="0.25">
      <c r="A97" t="s">
        <v>1331</v>
      </c>
      <c r="B97" t="s">
        <v>1499</v>
      </c>
      <c r="C97" t="s">
        <v>1333</v>
      </c>
      <c r="D97" t="s">
        <v>1500</v>
      </c>
    </row>
    <row r="98" spans="1:4" x14ac:dyDescent="0.25">
      <c r="A98" t="s">
        <v>1474</v>
      </c>
      <c r="B98" t="s">
        <v>1501</v>
      </c>
      <c r="C98" t="s">
        <v>1333</v>
      </c>
      <c r="D98" t="s">
        <v>1502</v>
      </c>
    </row>
    <row r="99" spans="1:4" x14ac:dyDescent="0.25">
      <c r="A99" t="s">
        <v>1474</v>
      </c>
      <c r="B99" t="s">
        <v>1503</v>
      </c>
      <c r="C99" t="s">
        <v>1333</v>
      </c>
      <c r="D99" t="s">
        <v>1504</v>
      </c>
    </row>
    <row r="101" spans="1:4" x14ac:dyDescent="0.25">
      <c r="A101" t="s">
        <v>1331</v>
      </c>
      <c r="B101" t="s">
        <v>1240</v>
      </c>
      <c r="C101" t="s">
        <v>1333</v>
      </c>
      <c r="D101" t="s">
        <v>1505</v>
      </c>
    </row>
    <row r="102" spans="1:4" x14ac:dyDescent="0.25">
      <c r="A102" t="s">
        <v>1474</v>
      </c>
      <c r="B102" t="s">
        <v>1506</v>
      </c>
      <c r="C102" t="s">
        <v>1333</v>
      </c>
      <c r="D102" t="s">
        <v>1507</v>
      </c>
    </row>
    <row r="103" spans="1:4" x14ac:dyDescent="0.25">
      <c r="A103" t="s">
        <v>1474</v>
      </c>
      <c r="B103" t="s">
        <v>1508</v>
      </c>
      <c r="C103" t="s">
        <v>1333</v>
      </c>
      <c r="D103" t="s">
        <v>1509</v>
      </c>
    </row>
    <row r="104" spans="1:4" x14ac:dyDescent="0.25">
      <c r="A104" t="s">
        <v>1474</v>
      </c>
      <c r="B104" t="s">
        <v>1510</v>
      </c>
      <c r="C104" t="s">
        <v>1333</v>
      </c>
      <c r="D104" t="s">
        <v>1511</v>
      </c>
    </row>
    <row r="106" spans="1:4" x14ac:dyDescent="0.25">
      <c r="A106" t="s">
        <v>1331</v>
      </c>
      <c r="B106" t="s">
        <v>1241</v>
      </c>
      <c r="C106" t="s">
        <v>1333</v>
      </c>
      <c r="D106" t="s">
        <v>1512</v>
      </c>
    </row>
    <row r="107" spans="1:4" x14ac:dyDescent="0.25">
      <c r="A107" t="s">
        <v>1474</v>
      </c>
      <c r="B107" t="s">
        <v>1513</v>
      </c>
      <c r="C107" t="s">
        <v>1333</v>
      </c>
      <c r="D107" t="s">
        <v>1514</v>
      </c>
    </row>
    <row r="108" spans="1:4" x14ac:dyDescent="0.25">
      <c r="A108" t="s">
        <v>1474</v>
      </c>
      <c r="B108" t="s">
        <v>1515</v>
      </c>
      <c r="C108" t="s">
        <v>1333</v>
      </c>
      <c r="D108" t="s">
        <v>1516</v>
      </c>
    </row>
    <row r="110" spans="1:4" x14ac:dyDescent="0.25">
      <c r="A110" t="s">
        <v>1331</v>
      </c>
      <c r="B110" t="s">
        <v>1242</v>
      </c>
      <c r="C110" t="s">
        <v>1333</v>
      </c>
      <c r="D110" t="s">
        <v>1517</v>
      </c>
    </row>
    <row r="111" spans="1:4" x14ac:dyDescent="0.25">
      <c r="A111" t="s">
        <v>1474</v>
      </c>
      <c r="B111" t="s">
        <v>1518</v>
      </c>
      <c r="C111" t="s">
        <v>1333</v>
      </c>
      <c r="D111" t="s">
        <v>1519</v>
      </c>
    </row>
    <row r="112" spans="1:4" x14ac:dyDescent="0.25">
      <c r="A112" t="s">
        <v>1474</v>
      </c>
      <c r="B112" t="s">
        <v>1520</v>
      </c>
      <c r="C112" t="s">
        <v>1333</v>
      </c>
      <c r="D112" t="s">
        <v>1521</v>
      </c>
    </row>
    <row r="113" spans="1:4" x14ac:dyDescent="0.25">
      <c r="A113" t="s">
        <v>1474</v>
      </c>
      <c r="B113" t="s">
        <v>1522</v>
      </c>
      <c r="C113" t="s">
        <v>1333</v>
      </c>
      <c r="D113" t="s">
        <v>1523</v>
      </c>
    </row>
    <row r="115" spans="1:4" x14ac:dyDescent="0.25">
      <c r="A115" t="s">
        <v>1331</v>
      </c>
      <c r="B115" t="s">
        <v>1243</v>
      </c>
      <c r="C115" t="s">
        <v>1333</v>
      </c>
      <c r="D115" t="s">
        <v>1524</v>
      </c>
    </row>
    <row r="116" spans="1:4" x14ac:dyDescent="0.25">
      <c r="A116" t="s">
        <v>1474</v>
      </c>
      <c r="B116" t="s">
        <v>1525</v>
      </c>
      <c r="C116" t="s">
        <v>1333</v>
      </c>
      <c r="D116" t="s">
        <v>1526</v>
      </c>
    </row>
    <row r="117" spans="1:4" x14ac:dyDescent="0.25">
      <c r="A117" t="s">
        <v>1474</v>
      </c>
      <c r="B117" t="s">
        <v>1527</v>
      </c>
      <c r="C117" t="s">
        <v>1333</v>
      </c>
      <c r="D117" t="s">
        <v>1528</v>
      </c>
    </row>
    <row r="118" spans="1:4" x14ac:dyDescent="0.25">
      <c r="A118" t="s">
        <v>1474</v>
      </c>
      <c r="B118" t="s">
        <v>1529</v>
      </c>
      <c r="C118" t="s">
        <v>1333</v>
      </c>
      <c r="D118" t="s">
        <v>1530</v>
      </c>
    </row>
    <row r="119" spans="1:4" x14ac:dyDescent="0.25">
      <c r="A119" t="s">
        <v>1474</v>
      </c>
      <c r="B119" t="s">
        <v>1531</v>
      </c>
      <c r="C119" t="s">
        <v>1333</v>
      </c>
      <c r="D119" t="s">
        <v>1532</v>
      </c>
    </row>
    <row r="121" spans="1:4" x14ac:dyDescent="0.25">
      <c r="A121" t="s">
        <v>1331</v>
      </c>
      <c r="B121" t="s">
        <v>1244</v>
      </c>
      <c r="C121" t="s">
        <v>1333</v>
      </c>
      <c r="D121" t="s">
        <v>1533</v>
      </c>
    </row>
    <row r="122" spans="1:4" x14ac:dyDescent="0.25">
      <c r="A122" t="s">
        <v>1474</v>
      </c>
      <c r="B122" t="s">
        <v>1534</v>
      </c>
      <c r="C122" t="s">
        <v>1333</v>
      </c>
      <c r="D122" t="s">
        <v>1535</v>
      </c>
    </row>
    <row r="123" spans="1:4" x14ac:dyDescent="0.25">
      <c r="A123" t="s">
        <v>1474</v>
      </c>
      <c r="B123" t="s">
        <v>1536</v>
      </c>
      <c r="C123" t="s">
        <v>1333</v>
      </c>
      <c r="D123" t="s">
        <v>1537</v>
      </c>
    </row>
    <row r="124" spans="1:4" x14ac:dyDescent="0.25">
      <c r="A124" t="s">
        <v>1474</v>
      </c>
      <c r="B124" t="s">
        <v>1538</v>
      </c>
      <c r="C124" t="s">
        <v>1333</v>
      </c>
      <c r="D124" t="s">
        <v>1539</v>
      </c>
    </row>
    <row r="126" spans="1:4" x14ac:dyDescent="0.25">
      <c r="A126" t="s">
        <v>1331</v>
      </c>
      <c r="B126" t="s">
        <v>1245</v>
      </c>
      <c r="C126" t="s">
        <v>1333</v>
      </c>
      <c r="D126" t="s">
        <v>1540</v>
      </c>
    </row>
    <row r="127" spans="1:4" x14ac:dyDescent="0.25">
      <c r="A127" t="s">
        <v>1474</v>
      </c>
      <c r="B127" t="s">
        <v>1541</v>
      </c>
      <c r="C127" t="s">
        <v>1333</v>
      </c>
      <c r="D127" t="s">
        <v>1542</v>
      </c>
    </row>
    <row r="128" spans="1:4" x14ac:dyDescent="0.25">
      <c r="A128" t="s">
        <v>1474</v>
      </c>
      <c r="B128" t="s">
        <v>1543</v>
      </c>
      <c r="C128" t="s">
        <v>1333</v>
      </c>
      <c r="D128" t="s">
        <v>1544</v>
      </c>
    </row>
    <row r="130" spans="1:4" x14ac:dyDescent="0.25">
      <c r="A130" t="s">
        <v>1331</v>
      </c>
      <c r="B130" t="s">
        <v>1246</v>
      </c>
      <c r="C130" t="s">
        <v>1333</v>
      </c>
      <c r="D130" t="s">
        <v>1545</v>
      </c>
    </row>
    <row r="131" spans="1:4" x14ac:dyDescent="0.25">
      <c r="A131" t="s">
        <v>1474</v>
      </c>
      <c r="B131" t="s">
        <v>1546</v>
      </c>
      <c r="C131" t="s">
        <v>1333</v>
      </c>
      <c r="D131" t="s">
        <v>1547</v>
      </c>
    </row>
    <row r="132" spans="1:4" x14ac:dyDescent="0.25">
      <c r="A132" t="s">
        <v>1474</v>
      </c>
      <c r="B132" t="s">
        <v>1548</v>
      </c>
      <c r="C132" t="s">
        <v>1333</v>
      </c>
      <c r="D132" t="s">
        <v>1549</v>
      </c>
    </row>
    <row r="134" spans="1:4" x14ac:dyDescent="0.25">
      <c r="A134" t="s">
        <v>1331</v>
      </c>
      <c r="B134" t="s">
        <v>1247</v>
      </c>
      <c r="C134" t="s">
        <v>1333</v>
      </c>
      <c r="D134" t="s">
        <v>1550</v>
      </c>
    </row>
    <row r="135" spans="1:4" x14ac:dyDescent="0.25">
      <c r="A135" t="s">
        <v>1474</v>
      </c>
      <c r="B135" t="s">
        <v>1551</v>
      </c>
      <c r="C135" t="s">
        <v>1333</v>
      </c>
      <c r="D135" t="s">
        <v>1552</v>
      </c>
    </row>
    <row r="136" spans="1:4" x14ac:dyDescent="0.25">
      <c r="A136" t="s">
        <v>1474</v>
      </c>
      <c r="B136" t="s">
        <v>1553</v>
      </c>
      <c r="C136" t="s">
        <v>1333</v>
      </c>
      <c r="D136" t="s">
        <v>1554</v>
      </c>
    </row>
    <row r="137" spans="1:4" x14ac:dyDescent="0.25">
      <c r="A137" t="s">
        <v>1474</v>
      </c>
      <c r="B137" t="s">
        <v>1555</v>
      </c>
      <c r="C137" t="s">
        <v>1333</v>
      </c>
      <c r="D137" t="s">
        <v>1556</v>
      </c>
    </row>
    <row r="139" spans="1:4" x14ac:dyDescent="0.25">
      <c r="A139" t="s">
        <v>1331</v>
      </c>
      <c r="B139" t="s">
        <v>1248</v>
      </c>
      <c r="C139" t="s">
        <v>1333</v>
      </c>
      <c r="D139" t="s">
        <v>1557</v>
      </c>
    </row>
    <row r="140" spans="1:4" x14ac:dyDescent="0.25">
      <c r="A140" t="s">
        <v>1474</v>
      </c>
      <c r="B140" t="s">
        <v>1558</v>
      </c>
      <c r="C140" t="s">
        <v>1333</v>
      </c>
      <c r="D140" t="s">
        <v>1559</v>
      </c>
    </row>
    <row r="141" spans="1:4" x14ac:dyDescent="0.25">
      <c r="A141" t="s">
        <v>1474</v>
      </c>
      <c r="B141" t="s">
        <v>1560</v>
      </c>
      <c r="C141" t="s">
        <v>1333</v>
      </c>
      <c r="D141" t="s">
        <v>1561</v>
      </c>
    </row>
    <row r="143" spans="1:4" x14ac:dyDescent="0.25">
      <c r="A143" t="s">
        <v>1331</v>
      </c>
      <c r="B143" t="s">
        <v>1249</v>
      </c>
      <c r="C143" t="s">
        <v>1333</v>
      </c>
      <c r="D143" t="s">
        <v>1562</v>
      </c>
    </row>
    <row r="144" spans="1:4" x14ac:dyDescent="0.25">
      <c r="A144" t="s">
        <v>1474</v>
      </c>
      <c r="B144" t="s">
        <v>1563</v>
      </c>
      <c r="C144" t="s">
        <v>1333</v>
      </c>
      <c r="D144" t="s">
        <v>1564</v>
      </c>
    </row>
    <row r="145" spans="1:4" x14ac:dyDescent="0.25">
      <c r="A145" t="s">
        <v>1474</v>
      </c>
      <c r="B145" t="s">
        <v>1565</v>
      </c>
      <c r="C145" t="s">
        <v>1333</v>
      </c>
      <c r="D145" t="s">
        <v>1566</v>
      </c>
    </row>
    <row r="147" spans="1:4" x14ac:dyDescent="0.25">
      <c r="A147" t="s">
        <v>1331</v>
      </c>
      <c r="B147" t="s">
        <v>1250</v>
      </c>
      <c r="C147" t="s">
        <v>1333</v>
      </c>
      <c r="D147" t="s">
        <v>1567</v>
      </c>
    </row>
    <row r="148" spans="1:4" x14ac:dyDescent="0.25">
      <c r="A148" t="s">
        <v>1474</v>
      </c>
      <c r="B148" t="s">
        <v>1568</v>
      </c>
      <c r="C148" t="s">
        <v>1333</v>
      </c>
      <c r="D148" t="s">
        <v>1569</v>
      </c>
    </row>
    <row r="149" spans="1:4" x14ac:dyDescent="0.25">
      <c r="A149" t="s">
        <v>1474</v>
      </c>
      <c r="B149" t="s">
        <v>1570</v>
      </c>
      <c r="C149" t="s">
        <v>1333</v>
      </c>
      <c r="D149" t="s">
        <v>1571</v>
      </c>
    </row>
    <row r="151" spans="1:4" x14ac:dyDescent="0.25">
      <c r="A151" t="s">
        <v>1331</v>
      </c>
      <c r="B151" t="s">
        <v>1251</v>
      </c>
      <c r="C151" t="s">
        <v>1333</v>
      </c>
      <c r="D151" t="s">
        <v>1572</v>
      </c>
    </row>
    <row r="152" spans="1:4" x14ac:dyDescent="0.25">
      <c r="A152" t="s">
        <v>1474</v>
      </c>
      <c r="B152" t="s">
        <v>1573</v>
      </c>
      <c r="C152" t="s">
        <v>1333</v>
      </c>
      <c r="D152" t="s">
        <v>1574</v>
      </c>
    </row>
    <row r="153" spans="1:4" x14ac:dyDescent="0.25">
      <c r="A153" t="s">
        <v>1474</v>
      </c>
      <c r="B153" t="s">
        <v>1575</v>
      </c>
      <c r="C153" t="s">
        <v>1333</v>
      </c>
      <c r="D153" t="s">
        <v>1576</v>
      </c>
    </row>
    <row r="155" spans="1:4" x14ac:dyDescent="0.25">
      <c r="A155" t="s">
        <v>1331</v>
      </c>
      <c r="B155" t="s">
        <v>1252</v>
      </c>
      <c r="C155" t="s">
        <v>1333</v>
      </c>
      <c r="D155" t="s">
        <v>1577</v>
      </c>
    </row>
    <row r="156" spans="1:4" x14ac:dyDescent="0.25">
      <c r="A156" t="s">
        <v>1474</v>
      </c>
      <c r="B156" t="s">
        <v>1578</v>
      </c>
      <c r="C156" t="s">
        <v>1333</v>
      </c>
      <c r="D156" t="s">
        <v>1579</v>
      </c>
    </row>
    <row r="157" spans="1:4" x14ac:dyDescent="0.25">
      <c r="A157" t="s">
        <v>1474</v>
      </c>
      <c r="B157" t="s">
        <v>1580</v>
      </c>
      <c r="C157" t="s">
        <v>1333</v>
      </c>
      <c r="D157" t="s">
        <v>1581</v>
      </c>
    </row>
    <row r="159" spans="1:4" x14ac:dyDescent="0.25">
      <c r="A159" t="s">
        <v>1331</v>
      </c>
      <c r="B159" t="s">
        <v>1253</v>
      </c>
      <c r="C159" t="s">
        <v>1333</v>
      </c>
      <c r="D159" t="s">
        <v>1582</v>
      </c>
    </row>
    <row r="160" spans="1:4" x14ac:dyDescent="0.25">
      <c r="A160" t="s">
        <v>1474</v>
      </c>
      <c r="B160" t="s">
        <v>1583</v>
      </c>
      <c r="C160" t="s">
        <v>1333</v>
      </c>
      <c r="D160" t="s">
        <v>1584</v>
      </c>
    </row>
    <row r="161" spans="1:4" x14ac:dyDescent="0.25">
      <c r="A161" t="s">
        <v>1474</v>
      </c>
      <c r="B161" t="s">
        <v>1585</v>
      </c>
      <c r="C161" t="s">
        <v>1333</v>
      </c>
      <c r="D161" t="s">
        <v>1586</v>
      </c>
    </row>
    <row r="163" spans="1:4" x14ac:dyDescent="0.25">
      <c r="A163" t="s">
        <v>1331</v>
      </c>
      <c r="B163" t="s">
        <v>1254</v>
      </c>
      <c r="C163" t="s">
        <v>1333</v>
      </c>
      <c r="D163" t="s">
        <v>1587</v>
      </c>
    </row>
    <row r="164" spans="1:4" x14ac:dyDescent="0.25">
      <c r="A164" t="s">
        <v>1474</v>
      </c>
      <c r="B164" t="s">
        <v>1588</v>
      </c>
      <c r="C164" t="s">
        <v>1333</v>
      </c>
      <c r="D164" t="s">
        <v>1589</v>
      </c>
    </row>
    <row r="165" spans="1:4" x14ac:dyDescent="0.25">
      <c r="A165" t="s">
        <v>1474</v>
      </c>
      <c r="B165" t="s">
        <v>1590</v>
      </c>
      <c r="C165" t="s">
        <v>1333</v>
      </c>
      <c r="D165" t="s">
        <v>1591</v>
      </c>
    </row>
    <row r="167" spans="1:4" x14ac:dyDescent="0.25">
      <c r="A167" t="s">
        <v>1331</v>
      </c>
      <c r="B167" t="s">
        <v>1255</v>
      </c>
      <c r="C167" t="s">
        <v>1333</v>
      </c>
      <c r="D167" t="s">
        <v>1592</v>
      </c>
    </row>
    <row r="168" spans="1:4" x14ac:dyDescent="0.25">
      <c r="A168" t="s">
        <v>1474</v>
      </c>
      <c r="B168" t="s">
        <v>1593</v>
      </c>
      <c r="C168" t="s">
        <v>1333</v>
      </c>
      <c r="D168" t="s">
        <v>1594</v>
      </c>
    </row>
    <row r="169" spans="1:4" x14ac:dyDescent="0.25">
      <c r="A169" t="s">
        <v>1474</v>
      </c>
      <c r="B169" t="s">
        <v>1595</v>
      </c>
      <c r="C169" t="s">
        <v>1333</v>
      </c>
      <c r="D169" t="s">
        <v>1596</v>
      </c>
    </row>
    <row r="171" spans="1:4" x14ac:dyDescent="0.25">
      <c r="A171" t="s">
        <v>1331</v>
      </c>
      <c r="B171" t="s">
        <v>1256</v>
      </c>
      <c r="C171" t="s">
        <v>1333</v>
      </c>
      <c r="D171" t="s">
        <v>1597</v>
      </c>
    </row>
    <row r="172" spans="1:4" x14ac:dyDescent="0.25">
      <c r="A172" t="s">
        <v>1474</v>
      </c>
      <c r="B172" t="s">
        <v>1598</v>
      </c>
      <c r="C172" t="s">
        <v>1333</v>
      </c>
      <c r="D172" t="s">
        <v>1599</v>
      </c>
    </row>
    <row r="173" spans="1:4" x14ac:dyDescent="0.25">
      <c r="A173" t="s">
        <v>1474</v>
      </c>
      <c r="B173" t="s">
        <v>1600</v>
      </c>
      <c r="C173" t="s">
        <v>1333</v>
      </c>
      <c r="D173" t="s">
        <v>1601</v>
      </c>
    </row>
    <row r="175" spans="1:4" x14ac:dyDescent="0.25">
      <c r="A175" t="s">
        <v>1331</v>
      </c>
      <c r="B175" t="s">
        <v>1257</v>
      </c>
      <c r="C175" t="s">
        <v>1333</v>
      </c>
      <c r="D175" t="s">
        <v>1602</v>
      </c>
    </row>
    <row r="176" spans="1:4" x14ac:dyDescent="0.25">
      <c r="A176" t="s">
        <v>1474</v>
      </c>
      <c r="B176" t="s">
        <v>1603</v>
      </c>
      <c r="C176" t="s">
        <v>1333</v>
      </c>
      <c r="D176" t="s">
        <v>1604</v>
      </c>
    </row>
    <row r="177" spans="1:4" x14ac:dyDescent="0.25">
      <c r="A177" t="s">
        <v>1474</v>
      </c>
      <c r="B177" t="s">
        <v>1605</v>
      </c>
      <c r="C177" t="s">
        <v>1333</v>
      </c>
      <c r="D177" t="s">
        <v>1606</v>
      </c>
    </row>
    <row r="179" spans="1:4" x14ac:dyDescent="0.25">
      <c r="A179" t="s">
        <v>1331</v>
      </c>
      <c r="B179" t="s">
        <v>1258</v>
      </c>
      <c r="C179" t="s">
        <v>1333</v>
      </c>
      <c r="D179" t="s">
        <v>1607</v>
      </c>
    </row>
    <row r="180" spans="1:4" x14ac:dyDescent="0.25">
      <c r="A180" t="s">
        <v>1474</v>
      </c>
      <c r="B180" t="s">
        <v>1608</v>
      </c>
      <c r="C180" t="s">
        <v>1333</v>
      </c>
      <c r="D180" t="s">
        <v>1609</v>
      </c>
    </row>
    <row r="181" spans="1:4" x14ac:dyDescent="0.25">
      <c r="A181" t="s">
        <v>1474</v>
      </c>
      <c r="B181" t="s">
        <v>1610</v>
      </c>
      <c r="C181" t="s">
        <v>1333</v>
      </c>
      <c r="D181" t="s">
        <v>1611</v>
      </c>
    </row>
    <row r="183" spans="1:4" x14ac:dyDescent="0.25">
      <c r="A183" t="s">
        <v>1331</v>
      </c>
      <c r="B183" t="s">
        <v>1259</v>
      </c>
      <c r="C183" t="s">
        <v>1333</v>
      </c>
      <c r="D183" t="s">
        <v>1612</v>
      </c>
    </row>
    <row r="184" spans="1:4" x14ac:dyDescent="0.25">
      <c r="A184" t="s">
        <v>1474</v>
      </c>
      <c r="B184" t="s">
        <v>1613</v>
      </c>
      <c r="C184" t="s">
        <v>1333</v>
      </c>
      <c r="D184" t="s">
        <v>1614</v>
      </c>
    </row>
    <row r="185" spans="1:4" x14ac:dyDescent="0.25">
      <c r="A185" t="s">
        <v>1474</v>
      </c>
      <c r="B185" t="s">
        <v>1615</v>
      </c>
      <c r="C185" t="s">
        <v>1333</v>
      </c>
      <c r="D185" t="s">
        <v>1616</v>
      </c>
    </row>
    <row r="187" spans="1:4" x14ac:dyDescent="0.25">
      <c r="A187" t="s">
        <v>1331</v>
      </c>
      <c r="B187" t="s">
        <v>1260</v>
      </c>
      <c r="C187" t="s">
        <v>1333</v>
      </c>
      <c r="D187" t="s">
        <v>1617</v>
      </c>
    </row>
    <row r="188" spans="1:4" x14ac:dyDescent="0.25">
      <c r="A188" t="s">
        <v>1474</v>
      </c>
      <c r="B188" t="s">
        <v>1618</v>
      </c>
      <c r="C188" t="s">
        <v>1333</v>
      </c>
      <c r="D188" t="s">
        <v>1579</v>
      </c>
    </row>
    <row r="189" spans="1:4" x14ac:dyDescent="0.25">
      <c r="A189" t="s">
        <v>1474</v>
      </c>
      <c r="B189" t="s">
        <v>1619</v>
      </c>
      <c r="C189" t="s">
        <v>1333</v>
      </c>
      <c r="D189" t="s">
        <v>1581</v>
      </c>
    </row>
    <row r="191" spans="1:4" x14ac:dyDescent="0.25">
      <c r="A191" t="s">
        <v>1331</v>
      </c>
      <c r="B191" t="s">
        <v>1261</v>
      </c>
      <c r="C191" t="s">
        <v>1333</v>
      </c>
      <c r="D191" t="s">
        <v>1620</v>
      </c>
    </row>
    <row r="192" spans="1:4" x14ac:dyDescent="0.25">
      <c r="A192" t="s">
        <v>1474</v>
      </c>
      <c r="B192" t="s">
        <v>1621</v>
      </c>
      <c r="C192" t="s">
        <v>1333</v>
      </c>
      <c r="D192" t="s">
        <v>1622</v>
      </c>
    </row>
    <row r="193" spans="1:4" x14ac:dyDescent="0.25">
      <c r="A193" t="s">
        <v>1474</v>
      </c>
      <c r="B193" t="s">
        <v>1623</v>
      </c>
      <c r="C193" t="s">
        <v>1333</v>
      </c>
      <c r="D193" t="s">
        <v>1624</v>
      </c>
    </row>
    <row r="195" spans="1:4" x14ac:dyDescent="0.25">
      <c r="A195" t="s">
        <v>1331</v>
      </c>
      <c r="B195" t="s">
        <v>1262</v>
      </c>
      <c r="C195" t="s">
        <v>1333</v>
      </c>
      <c r="D195" t="s">
        <v>1617</v>
      </c>
    </row>
    <row r="196" spans="1:4" x14ac:dyDescent="0.25">
      <c r="A196" t="s">
        <v>1474</v>
      </c>
      <c r="B196" t="s">
        <v>1625</v>
      </c>
      <c r="C196" t="s">
        <v>1333</v>
      </c>
      <c r="D196" t="s">
        <v>1579</v>
      </c>
    </row>
    <row r="197" spans="1:4" x14ac:dyDescent="0.25">
      <c r="A197" t="s">
        <v>1474</v>
      </c>
      <c r="B197" t="s">
        <v>1626</v>
      </c>
      <c r="C197" t="s">
        <v>1333</v>
      </c>
      <c r="D197" t="s">
        <v>1581</v>
      </c>
    </row>
    <row r="199" spans="1:4" x14ac:dyDescent="0.25">
      <c r="A199" t="s">
        <v>1331</v>
      </c>
      <c r="B199" t="s">
        <v>1263</v>
      </c>
      <c r="C199" t="s">
        <v>1333</v>
      </c>
      <c r="D199" t="s">
        <v>1617</v>
      </c>
    </row>
    <row r="200" spans="1:4" x14ac:dyDescent="0.25">
      <c r="A200" t="s">
        <v>1474</v>
      </c>
      <c r="B200" t="s">
        <v>1627</v>
      </c>
      <c r="C200" t="s">
        <v>1333</v>
      </c>
      <c r="D200" t="s">
        <v>1579</v>
      </c>
    </row>
    <row r="201" spans="1:4" x14ac:dyDescent="0.25">
      <c r="A201" t="s">
        <v>1474</v>
      </c>
      <c r="B201" t="s">
        <v>1628</v>
      </c>
      <c r="C201" t="s">
        <v>1333</v>
      </c>
      <c r="D201" t="s">
        <v>1581</v>
      </c>
    </row>
    <row r="203" spans="1:4" x14ac:dyDescent="0.25">
      <c r="A203" t="s">
        <v>1331</v>
      </c>
      <c r="B203" t="s">
        <v>1264</v>
      </c>
      <c r="C203" t="s">
        <v>1333</v>
      </c>
      <c r="D203" t="s">
        <v>1629</v>
      </c>
    </row>
    <row r="204" spans="1:4" x14ac:dyDescent="0.25">
      <c r="A204" t="s">
        <v>1474</v>
      </c>
      <c r="B204" t="s">
        <v>1630</v>
      </c>
      <c r="C204" t="s">
        <v>1333</v>
      </c>
      <c r="D204" t="s">
        <v>1631</v>
      </c>
    </row>
    <row r="205" spans="1:4" x14ac:dyDescent="0.25">
      <c r="A205" t="s">
        <v>1474</v>
      </c>
      <c r="B205" t="s">
        <v>1632</v>
      </c>
      <c r="C205" t="s">
        <v>1333</v>
      </c>
      <c r="D205" t="s">
        <v>1633</v>
      </c>
    </row>
    <row r="207" spans="1:4" x14ac:dyDescent="0.25">
      <c r="A207" t="s">
        <v>1331</v>
      </c>
      <c r="B207" t="s">
        <v>1265</v>
      </c>
      <c r="C207" t="s">
        <v>1333</v>
      </c>
      <c r="D207" t="s">
        <v>1634</v>
      </c>
    </row>
    <row r="208" spans="1:4" x14ac:dyDescent="0.25">
      <c r="A208" t="s">
        <v>1474</v>
      </c>
      <c r="B208" t="s">
        <v>1635</v>
      </c>
      <c r="C208" t="s">
        <v>1333</v>
      </c>
      <c r="D208" t="s">
        <v>1636</v>
      </c>
    </row>
    <row r="209" spans="1:4" x14ac:dyDescent="0.25">
      <c r="A209" t="s">
        <v>1474</v>
      </c>
      <c r="B209" t="s">
        <v>1637</v>
      </c>
      <c r="C209" t="s">
        <v>1333</v>
      </c>
      <c r="D209" t="s">
        <v>1638</v>
      </c>
    </row>
    <row r="211" spans="1:4" x14ac:dyDescent="0.25">
      <c r="A211" t="s">
        <v>1331</v>
      </c>
      <c r="B211" t="s">
        <v>1266</v>
      </c>
      <c r="C211" t="s">
        <v>1333</v>
      </c>
      <c r="D211" t="s">
        <v>1562</v>
      </c>
    </row>
    <row r="212" spans="1:4" x14ac:dyDescent="0.25">
      <c r="A212" t="s">
        <v>1474</v>
      </c>
      <c r="B212" t="s">
        <v>1639</v>
      </c>
      <c r="C212" t="s">
        <v>1333</v>
      </c>
      <c r="D212" t="s">
        <v>1564</v>
      </c>
    </row>
    <row r="213" spans="1:4" x14ac:dyDescent="0.25">
      <c r="A213" t="s">
        <v>1474</v>
      </c>
      <c r="B213" t="s">
        <v>1640</v>
      </c>
      <c r="C213" t="s">
        <v>1333</v>
      </c>
      <c r="D213" t="s">
        <v>1566</v>
      </c>
    </row>
    <row r="215" spans="1:4" x14ac:dyDescent="0.25">
      <c r="A215" t="s">
        <v>1331</v>
      </c>
      <c r="B215" t="s">
        <v>1267</v>
      </c>
      <c r="C215" t="s">
        <v>1333</v>
      </c>
      <c r="D215" t="s">
        <v>1641</v>
      </c>
    </row>
    <row r="216" spans="1:4" x14ac:dyDescent="0.25">
      <c r="A216" t="s">
        <v>1474</v>
      </c>
      <c r="B216" t="s">
        <v>1642</v>
      </c>
      <c r="C216" t="s">
        <v>1333</v>
      </c>
      <c r="D216" t="s">
        <v>1643</v>
      </c>
    </row>
    <row r="217" spans="1:4" x14ac:dyDescent="0.25">
      <c r="A217" t="s">
        <v>1474</v>
      </c>
      <c r="B217" t="s">
        <v>1644</v>
      </c>
      <c r="C217" t="s">
        <v>1333</v>
      </c>
      <c r="D217" t="s">
        <v>1645</v>
      </c>
    </row>
    <row r="218" spans="1:4" x14ac:dyDescent="0.25">
      <c r="A218" t="s">
        <v>1474</v>
      </c>
      <c r="B218" t="s">
        <v>1646</v>
      </c>
      <c r="C218" t="s">
        <v>1333</v>
      </c>
      <c r="D218" t="s">
        <v>1647</v>
      </c>
    </row>
    <row r="220" spans="1:4" x14ac:dyDescent="0.25">
      <c r="A220" t="s">
        <v>1331</v>
      </c>
      <c r="B220" t="s">
        <v>1268</v>
      </c>
      <c r="C220" t="s">
        <v>1333</v>
      </c>
      <c r="D220" t="s">
        <v>1648</v>
      </c>
    </row>
    <row r="221" spans="1:4" x14ac:dyDescent="0.25">
      <c r="A221" t="s">
        <v>1474</v>
      </c>
      <c r="B221" t="s">
        <v>1649</v>
      </c>
      <c r="C221" t="s">
        <v>1333</v>
      </c>
      <c r="D221" t="s">
        <v>1650</v>
      </c>
    </row>
    <row r="222" spans="1:4" x14ac:dyDescent="0.25">
      <c r="A222" t="s">
        <v>1474</v>
      </c>
      <c r="B222" t="s">
        <v>1651</v>
      </c>
      <c r="C222" t="s">
        <v>1333</v>
      </c>
      <c r="D222" t="s">
        <v>1652</v>
      </c>
    </row>
    <row r="223" spans="1:4" x14ac:dyDescent="0.25">
      <c r="A223" t="s">
        <v>1474</v>
      </c>
      <c r="B223" t="s">
        <v>1653</v>
      </c>
      <c r="C223" t="s">
        <v>1333</v>
      </c>
      <c r="D223" t="s">
        <v>1654</v>
      </c>
    </row>
    <row r="224" spans="1:4" x14ac:dyDescent="0.25">
      <c r="A224" t="s">
        <v>1474</v>
      </c>
      <c r="B224" t="s">
        <v>1655</v>
      </c>
      <c r="C224" t="s">
        <v>1333</v>
      </c>
      <c r="D224" t="s">
        <v>1656</v>
      </c>
    </row>
    <row r="226" spans="1:4" x14ac:dyDescent="0.25">
      <c r="A226" t="s">
        <v>1331</v>
      </c>
      <c r="B226" t="s">
        <v>1269</v>
      </c>
      <c r="C226" t="s">
        <v>1333</v>
      </c>
      <c r="D226" t="s">
        <v>1657</v>
      </c>
    </row>
    <row r="227" spans="1:4" x14ac:dyDescent="0.25">
      <c r="A227" t="s">
        <v>1474</v>
      </c>
      <c r="B227" t="s">
        <v>1658</v>
      </c>
      <c r="C227" t="s">
        <v>1333</v>
      </c>
      <c r="D227" t="s">
        <v>1659</v>
      </c>
    </row>
    <row r="228" spans="1:4" x14ac:dyDescent="0.25">
      <c r="A228" t="s">
        <v>1474</v>
      </c>
      <c r="B228" t="s">
        <v>1660</v>
      </c>
      <c r="C228" t="s">
        <v>1333</v>
      </c>
      <c r="D228" t="s">
        <v>1661</v>
      </c>
    </row>
    <row r="229" spans="1:4" x14ac:dyDescent="0.25">
      <c r="A229" t="s">
        <v>1474</v>
      </c>
      <c r="B229" t="s">
        <v>1662</v>
      </c>
      <c r="C229" t="s">
        <v>1333</v>
      </c>
      <c r="D229" t="s">
        <v>1663</v>
      </c>
    </row>
    <row r="231" spans="1:4" x14ac:dyDescent="0.25">
      <c r="A231" t="s">
        <v>1331</v>
      </c>
      <c r="B231" t="s">
        <v>1270</v>
      </c>
      <c r="C231" t="s">
        <v>1333</v>
      </c>
      <c r="D231" t="s">
        <v>1664</v>
      </c>
    </row>
    <row r="232" spans="1:4" x14ac:dyDescent="0.25">
      <c r="A232" t="s">
        <v>1474</v>
      </c>
      <c r="B232" t="s">
        <v>1665</v>
      </c>
      <c r="C232" t="s">
        <v>1333</v>
      </c>
      <c r="D232" t="s">
        <v>1666</v>
      </c>
    </row>
    <row r="233" spans="1:4" x14ac:dyDescent="0.25">
      <c r="A233" t="s">
        <v>1474</v>
      </c>
      <c r="B233" t="s">
        <v>1667</v>
      </c>
      <c r="C233" t="s">
        <v>1333</v>
      </c>
      <c r="D233" t="s">
        <v>1668</v>
      </c>
    </row>
    <row r="234" spans="1:4" x14ac:dyDescent="0.25">
      <c r="A234" t="s">
        <v>1474</v>
      </c>
      <c r="B234" t="s">
        <v>1669</v>
      </c>
      <c r="C234" t="s">
        <v>1333</v>
      </c>
      <c r="D234" t="s">
        <v>1670</v>
      </c>
    </row>
    <row r="235" spans="1:4" x14ac:dyDescent="0.25">
      <c r="A235" t="s">
        <v>1474</v>
      </c>
      <c r="B235" t="s">
        <v>1671</v>
      </c>
      <c r="C235" t="s">
        <v>1333</v>
      </c>
      <c r="D235" t="s">
        <v>1672</v>
      </c>
    </row>
    <row r="237" spans="1:4" x14ac:dyDescent="0.25">
      <c r="A237" t="s">
        <v>1331</v>
      </c>
      <c r="B237" t="s">
        <v>1271</v>
      </c>
      <c r="C237" t="s">
        <v>1333</v>
      </c>
      <c r="D237" t="s">
        <v>1673</v>
      </c>
    </row>
    <row r="238" spans="1:4" x14ac:dyDescent="0.25">
      <c r="A238" t="s">
        <v>1474</v>
      </c>
      <c r="B238" t="s">
        <v>1674</v>
      </c>
      <c r="C238" t="s">
        <v>1333</v>
      </c>
      <c r="D238" t="s">
        <v>1675</v>
      </c>
    </row>
    <row r="239" spans="1:4" x14ac:dyDescent="0.25">
      <c r="A239" t="s">
        <v>1474</v>
      </c>
      <c r="B239" t="s">
        <v>1676</v>
      </c>
      <c r="C239" t="s">
        <v>1333</v>
      </c>
      <c r="D239" t="s">
        <v>1677</v>
      </c>
    </row>
    <row r="241" spans="1:4" x14ac:dyDescent="0.25">
      <c r="A241" t="s">
        <v>1331</v>
      </c>
      <c r="B241" t="s">
        <v>1272</v>
      </c>
      <c r="C241" t="s">
        <v>1333</v>
      </c>
      <c r="D241" t="s">
        <v>1678</v>
      </c>
    </row>
    <row r="242" spans="1:4" x14ac:dyDescent="0.25">
      <c r="A242" t="s">
        <v>1474</v>
      </c>
      <c r="B242" t="s">
        <v>1679</v>
      </c>
      <c r="C242" t="s">
        <v>1333</v>
      </c>
      <c r="D242" t="s">
        <v>1680</v>
      </c>
    </row>
    <row r="243" spans="1:4" x14ac:dyDescent="0.25">
      <c r="A243" t="s">
        <v>1474</v>
      </c>
      <c r="B243" t="s">
        <v>1681</v>
      </c>
      <c r="C243" t="s">
        <v>1333</v>
      </c>
      <c r="D243" t="s">
        <v>1682</v>
      </c>
    </row>
    <row r="244" spans="1:4" x14ac:dyDescent="0.25">
      <c r="A244" t="s">
        <v>1474</v>
      </c>
      <c r="B244" t="s">
        <v>1683</v>
      </c>
      <c r="C244" t="s">
        <v>1333</v>
      </c>
      <c r="D244" t="s">
        <v>1684</v>
      </c>
    </row>
    <row r="246" spans="1:4" x14ac:dyDescent="0.25">
      <c r="A246" t="s">
        <v>1331</v>
      </c>
      <c r="B246" t="s">
        <v>1273</v>
      </c>
      <c r="C246" t="s">
        <v>1333</v>
      </c>
      <c r="D246" t="s">
        <v>1685</v>
      </c>
    </row>
    <row r="247" spans="1:4" x14ac:dyDescent="0.25">
      <c r="A247" t="s">
        <v>1474</v>
      </c>
      <c r="B247" t="s">
        <v>1686</v>
      </c>
      <c r="C247" t="s">
        <v>1333</v>
      </c>
      <c r="D247" t="s">
        <v>1687</v>
      </c>
    </row>
    <row r="248" spans="1:4" x14ac:dyDescent="0.25">
      <c r="A248" t="s">
        <v>1474</v>
      </c>
      <c r="B248" t="s">
        <v>1688</v>
      </c>
      <c r="C248" t="s">
        <v>1333</v>
      </c>
      <c r="D248" t="s">
        <v>1689</v>
      </c>
    </row>
    <row r="249" spans="1:4" x14ac:dyDescent="0.25">
      <c r="A249" t="s">
        <v>1474</v>
      </c>
      <c r="B249" t="s">
        <v>1690</v>
      </c>
      <c r="C249" t="s">
        <v>1333</v>
      </c>
      <c r="D249" t="s">
        <v>1691</v>
      </c>
    </row>
    <row r="251" spans="1:4" x14ac:dyDescent="0.25">
      <c r="A251" t="s">
        <v>1331</v>
      </c>
      <c r="B251" t="s">
        <v>1274</v>
      </c>
      <c r="C251" t="s">
        <v>1333</v>
      </c>
      <c r="D251" t="s">
        <v>1692</v>
      </c>
    </row>
    <row r="252" spans="1:4" x14ac:dyDescent="0.25">
      <c r="A252" t="s">
        <v>1474</v>
      </c>
      <c r="B252" t="s">
        <v>1693</v>
      </c>
      <c r="C252" t="s">
        <v>1333</v>
      </c>
      <c r="D252" t="s">
        <v>1650</v>
      </c>
    </row>
    <row r="253" spans="1:4" x14ac:dyDescent="0.25">
      <c r="A253" t="s">
        <v>1474</v>
      </c>
      <c r="B253" t="s">
        <v>1694</v>
      </c>
      <c r="C253" t="s">
        <v>1333</v>
      </c>
      <c r="D253" t="s">
        <v>1652</v>
      </c>
    </row>
    <row r="254" spans="1:4" x14ac:dyDescent="0.25">
      <c r="A254" t="s">
        <v>1474</v>
      </c>
      <c r="B254" t="s">
        <v>1695</v>
      </c>
      <c r="C254" t="s">
        <v>1333</v>
      </c>
      <c r="D254" t="s">
        <v>1654</v>
      </c>
    </row>
    <row r="255" spans="1:4" x14ac:dyDescent="0.25">
      <c r="A255" t="s">
        <v>1474</v>
      </c>
      <c r="B255" t="s">
        <v>1696</v>
      </c>
      <c r="C255" t="s">
        <v>1333</v>
      </c>
      <c r="D255" t="s">
        <v>1697</v>
      </c>
    </row>
    <row r="257" spans="1:4" x14ac:dyDescent="0.25">
      <c r="A257" t="s">
        <v>1331</v>
      </c>
      <c r="B257" t="s">
        <v>1275</v>
      </c>
      <c r="C257" t="s">
        <v>1333</v>
      </c>
      <c r="D257" t="s">
        <v>1698</v>
      </c>
    </row>
    <row r="258" spans="1:4" x14ac:dyDescent="0.25">
      <c r="A258" t="s">
        <v>1474</v>
      </c>
      <c r="B258" t="s">
        <v>1699</v>
      </c>
      <c r="C258" t="s">
        <v>1333</v>
      </c>
      <c r="D258" t="s">
        <v>1700</v>
      </c>
    </row>
    <row r="259" spans="1:4" x14ac:dyDescent="0.25">
      <c r="A259" t="s">
        <v>1474</v>
      </c>
      <c r="B259" t="s">
        <v>1701</v>
      </c>
      <c r="C259" t="s">
        <v>1333</v>
      </c>
      <c r="D259" t="s">
        <v>1702</v>
      </c>
    </row>
    <row r="261" spans="1:4" x14ac:dyDescent="0.25">
      <c r="A261" t="s">
        <v>1331</v>
      </c>
      <c r="B261" t="s">
        <v>1276</v>
      </c>
      <c r="C261" t="s">
        <v>1333</v>
      </c>
      <c r="D261" t="s">
        <v>1703</v>
      </c>
    </row>
    <row r="262" spans="1:4" x14ac:dyDescent="0.25">
      <c r="A262" t="s">
        <v>1474</v>
      </c>
      <c r="B262" t="s">
        <v>1704</v>
      </c>
      <c r="C262" t="s">
        <v>1333</v>
      </c>
      <c r="D262" t="s">
        <v>1705</v>
      </c>
    </row>
    <row r="263" spans="1:4" x14ac:dyDescent="0.25">
      <c r="A263" t="s">
        <v>1474</v>
      </c>
      <c r="B263" t="s">
        <v>1706</v>
      </c>
      <c r="C263" t="s">
        <v>1333</v>
      </c>
      <c r="D263" t="s">
        <v>1707</v>
      </c>
    </row>
    <row r="264" spans="1:4" x14ac:dyDescent="0.25">
      <c r="A264" t="s">
        <v>1474</v>
      </c>
      <c r="B264" t="s">
        <v>1708</v>
      </c>
      <c r="C264" t="s">
        <v>1333</v>
      </c>
      <c r="D264" t="s">
        <v>1709</v>
      </c>
    </row>
    <row r="266" spans="1:4" x14ac:dyDescent="0.25">
      <c r="A266" t="s">
        <v>1331</v>
      </c>
      <c r="B266" t="s">
        <v>1277</v>
      </c>
      <c r="C266" t="s">
        <v>1333</v>
      </c>
      <c r="D266" t="s">
        <v>1710</v>
      </c>
    </row>
    <row r="267" spans="1:4" x14ac:dyDescent="0.25">
      <c r="A267" t="s">
        <v>1474</v>
      </c>
      <c r="B267" t="s">
        <v>1711</v>
      </c>
      <c r="C267" t="s">
        <v>1333</v>
      </c>
      <c r="D267" t="s">
        <v>1712</v>
      </c>
    </row>
    <row r="268" spans="1:4" x14ac:dyDescent="0.25">
      <c r="A268" t="s">
        <v>1474</v>
      </c>
      <c r="B268" t="s">
        <v>1713</v>
      </c>
      <c r="C268" t="s">
        <v>1333</v>
      </c>
      <c r="D268" t="s">
        <v>1714</v>
      </c>
    </row>
    <row r="270" spans="1:4" x14ac:dyDescent="0.25">
      <c r="A270" t="s">
        <v>1331</v>
      </c>
      <c r="B270" t="s">
        <v>1278</v>
      </c>
      <c r="C270" t="s">
        <v>1333</v>
      </c>
      <c r="D270" t="s">
        <v>1715</v>
      </c>
    </row>
    <row r="271" spans="1:4" x14ac:dyDescent="0.25">
      <c r="A271" t="s">
        <v>1474</v>
      </c>
      <c r="B271" t="s">
        <v>1716</v>
      </c>
      <c r="C271" t="s">
        <v>1333</v>
      </c>
      <c r="D271" t="s">
        <v>1717</v>
      </c>
    </row>
    <row r="272" spans="1:4" x14ac:dyDescent="0.25">
      <c r="A272" t="s">
        <v>1474</v>
      </c>
      <c r="B272" t="s">
        <v>1718</v>
      </c>
      <c r="C272" t="s">
        <v>1333</v>
      </c>
      <c r="D272" t="s">
        <v>1719</v>
      </c>
    </row>
    <row r="273" spans="1:4" x14ac:dyDescent="0.25">
      <c r="A273" t="s">
        <v>1474</v>
      </c>
      <c r="B273" t="s">
        <v>1720</v>
      </c>
      <c r="C273" t="s">
        <v>1333</v>
      </c>
      <c r="D273" t="s">
        <v>1721</v>
      </c>
    </row>
    <row r="275" spans="1:4" x14ac:dyDescent="0.25">
      <c r="A275" t="s">
        <v>1331</v>
      </c>
      <c r="B275" t="s">
        <v>1279</v>
      </c>
      <c r="C275" t="s">
        <v>1333</v>
      </c>
      <c r="D275" t="s">
        <v>1722</v>
      </c>
    </row>
    <row r="276" spans="1:4" x14ac:dyDescent="0.25">
      <c r="A276" t="s">
        <v>1474</v>
      </c>
      <c r="B276" t="s">
        <v>1723</v>
      </c>
      <c r="C276" t="s">
        <v>1333</v>
      </c>
      <c r="D276" t="s">
        <v>1724</v>
      </c>
    </row>
    <row r="277" spans="1:4" x14ac:dyDescent="0.25">
      <c r="A277" t="s">
        <v>1474</v>
      </c>
      <c r="B277" t="s">
        <v>1725</v>
      </c>
      <c r="C277" t="s">
        <v>1333</v>
      </c>
      <c r="D277" t="s">
        <v>1726</v>
      </c>
    </row>
    <row r="278" spans="1:4" x14ac:dyDescent="0.25">
      <c r="A278" t="s">
        <v>1474</v>
      </c>
      <c r="B278" t="s">
        <v>1727</v>
      </c>
      <c r="C278" t="s">
        <v>1333</v>
      </c>
      <c r="D278" t="s">
        <v>1728</v>
      </c>
    </row>
    <row r="280" spans="1:4" x14ac:dyDescent="0.25">
      <c r="A280" t="s">
        <v>1331</v>
      </c>
      <c r="B280" t="s">
        <v>1280</v>
      </c>
      <c r="C280" t="s">
        <v>1333</v>
      </c>
      <c r="D280" t="s">
        <v>1729</v>
      </c>
    </row>
    <row r="281" spans="1:4" x14ac:dyDescent="0.25">
      <c r="A281" t="s">
        <v>1474</v>
      </c>
      <c r="B281" t="s">
        <v>1730</v>
      </c>
      <c r="C281" t="s">
        <v>1333</v>
      </c>
      <c r="D281" t="s">
        <v>1731</v>
      </c>
    </row>
    <row r="282" spans="1:4" x14ac:dyDescent="0.25">
      <c r="A282" t="s">
        <v>1474</v>
      </c>
      <c r="B282" t="s">
        <v>1732</v>
      </c>
      <c r="C282" t="s">
        <v>1333</v>
      </c>
      <c r="D282" t="s">
        <v>1733</v>
      </c>
    </row>
    <row r="284" spans="1:4" x14ac:dyDescent="0.25">
      <c r="A284" t="s">
        <v>1331</v>
      </c>
      <c r="B284" t="s">
        <v>1281</v>
      </c>
      <c r="C284" t="s">
        <v>1333</v>
      </c>
      <c r="D284" t="s">
        <v>1734</v>
      </c>
    </row>
    <row r="285" spans="1:4" x14ac:dyDescent="0.25">
      <c r="A285" t="s">
        <v>1474</v>
      </c>
      <c r="B285" t="s">
        <v>1735</v>
      </c>
      <c r="C285" t="s">
        <v>1333</v>
      </c>
      <c r="D285" t="s">
        <v>1736</v>
      </c>
    </row>
    <row r="286" spans="1:4" x14ac:dyDescent="0.25">
      <c r="A286" t="s">
        <v>1474</v>
      </c>
      <c r="B286" t="s">
        <v>1737</v>
      </c>
      <c r="C286" t="s">
        <v>1333</v>
      </c>
      <c r="D286" t="s">
        <v>1726</v>
      </c>
    </row>
    <row r="287" spans="1:4" x14ac:dyDescent="0.25">
      <c r="A287" t="s">
        <v>1474</v>
      </c>
      <c r="B287" t="s">
        <v>1738</v>
      </c>
      <c r="C287" t="s">
        <v>1333</v>
      </c>
      <c r="D287" t="s">
        <v>1739</v>
      </c>
    </row>
    <row r="288" spans="1:4" x14ac:dyDescent="0.25">
      <c r="A288" t="s">
        <v>1474</v>
      </c>
      <c r="B288" t="s">
        <v>1740</v>
      </c>
      <c r="C288" t="s">
        <v>1333</v>
      </c>
      <c r="D288" t="s">
        <v>1741</v>
      </c>
    </row>
    <row r="290" spans="1:4" x14ac:dyDescent="0.25">
      <c r="A290" t="s">
        <v>1331</v>
      </c>
      <c r="B290" t="s">
        <v>1282</v>
      </c>
      <c r="C290" t="s">
        <v>1333</v>
      </c>
      <c r="D290" t="s">
        <v>1742</v>
      </c>
    </row>
    <row r="291" spans="1:4" x14ac:dyDescent="0.25">
      <c r="A291" t="s">
        <v>1474</v>
      </c>
      <c r="B291" t="s">
        <v>1743</v>
      </c>
      <c r="C291" t="s">
        <v>1333</v>
      </c>
      <c r="D291" t="s">
        <v>1744</v>
      </c>
    </row>
    <row r="292" spans="1:4" x14ac:dyDescent="0.25">
      <c r="A292" t="s">
        <v>1474</v>
      </c>
      <c r="B292" t="s">
        <v>1745</v>
      </c>
      <c r="C292" t="s">
        <v>1333</v>
      </c>
      <c r="D292" t="s">
        <v>1707</v>
      </c>
    </row>
    <row r="293" spans="1:4" x14ac:dyDescent="0.25">
      <c r="A293" t="s">
        <v>1474</v>
      </c>
      <c r="B293" t="s">
        <v>1746</v>
      </c>
      <c r="C293" t="s">
        <v>1333</v>
      </c>
      <c r="D293" t="s">
        <v>1747</v>
      </c>
    </row>
    <row r="295" spans="1:4" x14ac:dyDescent="0.25">
      <c r="A295" t="s">
        <v>1331</v>
      </c>
      <c r="B295" t="s">
        <v>1748</v>
      </c>
      <c r="C295" t="s">
        <v>1333</v>
      </c>
      <c r="D295" t="s">
        <v>1749</v>
      </c>
    </row>
    <row r="296" spans="1:4" x14ac:dyDescent="0.25">
      <c r="A296" t="s">
        <v>1474</v>
      </c>
      <c r="B296" t="s">
        <v>1750</v>
      </c>
      <c r="C296" t="s">
        <v>1333</v>
      </c>
      <c r="D296" t="s">
        <v>1751</v>
      </c>
    </row>
    <row r="297" spans="1:4" x14ac:dyDescent="0.25">
      <c r="A297" t="s">
        <v>1474</v>
      </c>
      <c r="B297" t="s">
        <v>1752</v>
      </c>
      <c r="C297" t="s">
        <v>1333</v>
      </c>
      <c r="D297" t="s">
        <v>1753</v>
      </c>
    </row>
    <row r="299" spans="1:4" x14ac:dyDescent="0.25">
      <c r="A299" t="s">
        <v>1331</v>
      </c>
      <c r="B299" t="s">
        <v>1283</v>
      </c>
      <c r="C299" t="s">
        <v>1333</v>
      </c>
      <c r="D299" t="s">
        <v>1754</v>
      </c>
    </row>
    <row r="300" spans="1:4" x14ac:dyDescent="0.25">
      <c r="A300" t="s">
        <v>1474</v>
      </c>
      <c r="B300" t="s">
        <v>1755</v>
      </c>
      <c r="C300" t="s">
        <v>1333</v>
      </c>
      <c r="D300" t="s">
        <v>1631</v>
      </c>
    </row>
    <row r="301" spans="1:4" x14ac:dyDescent="0.25">
      <c r="A301" t="s">
        <v>1474</v>
      </c>
      <c r="B301" t="s">
        <v>1756</v>
      </c>
      <c r="C301" t="s">
        <v>1333</v>
      </c>
      <c r="D301" t="s">
        <v>1757</v>
      </c>
    </row>
    <row r="303" spans="1:4" x14ac:dyDescent="0.25">
      <c r="A303" t="s">
        <v>1331</v>
      </c>
      <c r="B303" t="s">
        <v>1284</v>
      </c>
      <c r="C303" t="s">
        <v>1333</v>
      </c>
      <c r="D303" t="s">
        <v>1758</v>
      </c>
    </row>
    <row r="304" spans="1:4" x14ac:dyDescent="0.25">
      <c r="A304" t="s">
        <v>1474</v>
      </c>
      <c r="B304" t="s">
        <v>1759</v>
      </c>
      <c r="C304" t="s">
        <v>1333</v>
      </c>
      <c r="D304" t="s">
        <v>1760</v>
      </c>
    </row>
    <row r="305" spans="1:4" x14ac:dyDescent="0.25">
      <c r="A305" t="s">
        <v>1474</v>
      </c>
      <c r="B305" t="s">
        <v>1761</v>
      </c>
      <c r="C305" t="s">
        <v>1333</v>
      </c>
      <c r="D305" t="s">
        <v>1762</v>
      </c>
    </row>
    <row r="307" spans="1:4" x14ac:dyDescent="0.25">
      <c r="A307" t="s">
        <v>1331</v>
      </c>
      <c r="B307" t="s">
        <v>1285</v>
      </c>
      <c r="C307" t="s">
        <v>1333</v>
      </c>
      <c r="D307" t="s">
        <v>1763</v>
      </c>
    </row>
    <row r="308" spans="1:4" x14ac:dyDescent="0.25">
      <c r="A308" t="s">
        <v>1474</v>
      </c>
      <c r="B308" t="s">
        <v>1764</v>
      </c>
      <c r="C308" t="s">
        <v>1333</v>
      </c>
      <c r="D308" t="s">
        <v>1765</v>
      </c>
    </row>
    <row r="309" spans="1:4" x14ac:dyDescent="0.25">
      <c r="A309" t="s">
        <v>1474</v>
      </c>
      <c r="B309" t="s">
        <v>1766</v>
      </c>
      <c r="C309" t="s">
        <v>1333</v>
      </c>
      <c r="D309" t="s">
        <v>1767</v>
      </c>
    </row>
    <row r="311" spans="1:4" x14ac:dyDescent="0.25">
      <c r="A311" t="s">
        <v>1331</v>
      </c>
      <c r="B311" t="s">
        <v>1286</v>
      </c>
      <c r="C311" t="s">
        <v>1333</v>
      </c>
      <c r="D311" t="s">
        <v>1768</v>
      </c>
    </row>
    <row r="312" spans="1:4" x14ac:dyDescent="0.25">
      <c r="A312" t="s">
        <v>1474</v>
      </c>
      <c r="B312" t="s">
        <v>1769</v>
      </c>
      <c r="C312" t="s">
        <v>1333</v>
      </c>
      <c r="D312" t="s">
        <v>1770</v>
      </c>
    </row>
    <row r="313" spans="1:4" x14ac:dyDescent="0.25">
      <c r="A313" t="s">
        <v>1474</v>
      </c>
      <c r="B313" t="s">
        <v>1771</v>
      </c>
      <c r="C313" t="s">
        <v>1333</v>
      </c>
      <c r="D313" t="s">
        <v>1772</v>
      </c>
    </row>
    <row r="314" spans="1:4" x14ac:dyDescent="0.25">
      <c r="A314" t="s">
        <v>1474</v>
      </c>
      <c r="B314" t="s">
        <v>1773</v>
      </c>
      <c r="C314" t="s">
        <v>1333</v>
      </c>
      <c r="D314" t="s">
        <v>1774</v>
      </c>
    </row>
    <row r="316" spans="1:4" x14ac:dyDescent="0.25">
      <c r="A316" t="s">
        <v>1331</v>
      </c>
      <c r="B316" t="s">
        <v>1287</v>
      </c>
      <c r="C316" t="s">
        <v>1333</v>
      </c>
      <c r="D316" t="s">
        <v>1775</v>
      </c>
    </row>
    <row r="317" spans="1:4" x14ac:dyDescent="0.25">
      <c r="A317" t="s">
        <v>1474</v>
      </c>
      <c r="B317" t="s">
        <v>1776</v>
      </c>
      <c r="C317" t="s">
        <v>1333</v>
      </c>
      <c r="D317" t="s">
        <v>1777</v>
      </c>
    </row>
    <row r="318" spans="1:4" x14ac:dyDescent="0.25">
      <c r="A318" t="s">
        <v>1474</v>
      </c>
      <c r="B318" t="s">
        <v>1778</v>
      </c>
      <c r="C318" t="s">
        <v>1333</v>
      </c>
      <c r="D318" t="s">
        <v>1772</v>
      </c>
    </row>
    <row r="319" spans="1:4" x14ac:dyDescent="0.25">
      <c r="A319" t="s">
        <v>1474</v>
      </c>
      <c r="B319" t="s">
        <v>1779</v>
      </c>
      <c r="C319" t="s">
        <v>1333</v>
      </c>
      <c r="D319" t="s">
        <v>1780</v>
      </c>
    </row>
    <row r="321" spans="1:4" x14ac:dyDescent="0.25">
      <c r="A321" t="s">
        <v>1331</v>
      </c>
      <c r="B321" t="s">
        <v>1288</v>
      </c>
      <c r="C321" t="s">
        <v>1333</v>
      </c>
      <c r="D321" t="s">
        <v>1781</v>
      </c>
    </row>
    <row r="322" spans="1:4" x14ac:dyDescent="0.25">
      <c r="A322" t="s">
        <v>1474</v>
      </c>
      <c r="B322" t="s">
        <v>1782</v>
      </c>
      <c r="C322" t="s">
        <v>1333</v>
      </c>
      <c r="D322" t="s">
        <v>1783</v>
      </c>
    </row>
    <row r="323" spans="1:4" x14ac:dyDescent="0.25">
      <c r="A323" t="s">
        <v>1474</v>
      </c>
      <c r="B323" t="s">
        <v>1784</v>
      </c>
      <c r="C323" t="s">
        <v>1333</v>
      </c>
      <c r="D323" t="s">
        <v>1785</v>
      </c>
    </row>
    <row r="324" spans="1:4" x14ac:dyDescent="0.25">
      <c r="A324" t="s">
        <v>1474</v>
      </c>
      <c r="B324" t="s">
        <v>1786</v>
      </c>
      <c r="C324" t="s">
        <v>1333</v>
      </c>
      <c r="D324" t="s">
        <v>1787</v>
      </c>
    </row>
    <row r="325" spans="1:4" x14ac:dyDescent="0.25">
      <c r="A325" t="s">
        <v>1474</v>
      </c>
      <c r="B325" t="s">
        <v>1788</v>
      </c>
      <c r="C325" t="s">
        <v>1333</v>
      </c>
      <c r="D325" t="s">
        <v>1789</v>
      </c>
    </row>
    <row r="327" spans="1:4" x14ac:dyDescent="0.25">
      <c r="A327" t="s">
        <v>1331</v>
      </c>
      <c r="B327" t="s">
        <v>1289</v>
      </c>
      <c r="C327" t="s">
        <v>1333</v>
      </c>
      <c r="D327" t="s">
        <v>1790</v>
      </c>
    </row>
    <row r="328" spans="1:4" x14ac:dyDescent="0.25">
      <c r="A328" t="s">
        <v>1474</v>
      </c>
      <c r="B328" t="s">
        <v>1791</v>
      </c>
      <c r="C328" t="s">
        <v>1333</v>
      </c>
      <c r="D328" t="s">
        <v>1666</v>
      </c>
    </row>
    <row r="329" spans="1:4" x14ac:dyDescent="0.25">
      <c r="A329" t="s">
        <v>1474</v>
      </c>
      <c r="B329" t="s">
        <v>1792</v>
      </c>
      <c r="C329" t="s">
        <v>1333</v>
      </c>
      <c r="D329" t="s">
        <v>1793</v>
      </c>
    </row>
    <row r="330" spans="1:4" x14ac:dyDescent="0.25">
      <c r="A330" t="s">
        <v>1474</v>
      </c>
      <c r="B330" t="s">
        <v>1794</v>
      </c>
      <c r="C330" t="s">
        <v>1333</v>
      </c>
      <c r="D330" t="s">
        <v>1670</v>
      </c>
    </row>
    <row r="331" spans="1:4" x14ac:dyDescent="0.25">
      <c r="A331" t="s">
        <v>1474</v>
      </c>
      <c r="B331" t="s">
        <v>1795</v>
      </c>
      <c r="C331" t="s">
        <v>1333</v>
      </c>
      <c r="D331" t="s">
        <v>1796</v>
      </c>
    </row>
    <row r="333" spans="1:4" x14ac:dyDescent="0.25">
      <c r="A333" t="s">
        <v>1331</v>
      </c>
      <c r="B333" t="s">
        <v>1290</v>
      </c>
      <c r="C333" t="s">
        <v>1333</v>
      </c>
      <c r="D333" t="s">
        <v>1797</v>
      </c>
    </row>
    <row r="334" spans="1:4" x14ac:dyDescent="0.25">
      <c r="A334" t="s">
        <v>1474</v>
      </c>
      <c r="B334" t="s">
        <v>1798</v>
      </c>
      <c r="C334" t="s">
        <v>1333</v>
      </c>
      <c r="D334" t="s">
        <v>1799</v>
      </c>
    </row>
    <row r="335" spans="1:4" x14ac:dyDescent="0.25">
      <c r="A335" t="s">
        <v>1474</v>
      </c>
      <c r="B335" t="s">
        <v>1800</v>
      </c>
      <c r="C335" t="s">
        <v>1333</v>
      </c>
      <c r="D335" t="s">
        <v>1785</v>
      </c>
    </row>
    <row r="336" spans="1:4" x14ac:dyDescent="0.25">
      <c r="A336" t="s">
        <v>1474</v>
      </c>
      <c r="B336" t="s">
        <v>1801</v>
      </c>
      <c r="C336" t="s">
        <v>1333</v>
      </c>
      <c r="D336" t="s">
        <v>1802</v>
      </c>
    </row>
    <row r="337" spans="1:4" x14ac:dyDescent="0.25">
      <c r="A337" t="s">
        <v>1474</v>
      </c>
      <c r="B337" t="s">
        <v>1803</v>
      </c>
      <c r="C337" t="s">
        <v>1333</v>
      </c>
      <c r="D337" t="s">
        <v>1789</v>
      </c>
    </row>
    <row r="339" spans="1:4" x14ac:dyDescent="0.25">
      <c r="A339" t="s">
        <v>1331</v>
      </c>
      <c r="B339" t="s">
        <v>1291</v>
      </c>
      <c r="C339" t="s">
        <v>1333</v>
      </c>
      <c r="D339" t="s">
        <v>1804</v>
      </c>
    </row>
    <row r="340" spans="1:4" x14ac:dyDescent="0.25">
      <c r="A340" t="s">
        <v>1474</v>
      </c>
      <c r="B340" t="s">
        <v>1805</v>
      </c>
      <c r="C340" t="s">
        <v>1333</v>
      </c>
      <c r="D340" t="s">
        <v>1806</v>
      </c>
    </row>
    <row r="342" spans="1:4" x14ac:dyDescent="0.25">
      <c r="A342" t="s">
        <v>1331</v>
      </c>
      <c r="B342" t="s">
        <v>1292</v>
      </c>
      <c r="C342" t="s">
        <v>1333</v>
      </c>
      <c r="D342" t="s">
        <v>1807</v>
      </c>
    </row>
    <row r="343" spans="1:4" x14ac:dyDescent="0.25">
      <c r="A343" t="s">
        <v>1474</v>
      </c>
      <c r="B343" t="s">
        <v>1808</v>
      </c>
      <c r="C343" t="s">
        <v>1333</v>
      </c>
      <c r="D343" t="s">
        <v>1809</v>
      </c>
    </row>
    <row r="344" spans="1:4" x14ac:dyDescent="0.25">
      <c r="A344" t="s">
        <v>1474</v>
      </c>
      <c r="B344" t="s">
        <v>1810</v>
      </c>
      <c r="C344" t="s">
        <v>1333</v>
      </c>
      <c r="D344" t="s">
        <v>1811</v>
      </c>
    </row>
    <row r="345" spans="1:4" x14ac:dyDescent="0.25">
      <c r="A345" t="s">
        <v>1474</v>
      </c>
      <c r="B345" t="s">
        <v>1812</v>
      </c>
      <c r="C345" t="s">
        <v>1333</v>
      </c>
      <c r="D345" t="s">
        <v>1813</v>
      </c>
    </row>
    <row r="347" spans="1:4" x14ac:dyDescent="0.25">
      <c r="A347" t="s">
        <v>1331</v>
      </c>
      <c r="B347" t="s">
        <v>1293</v>
      </c>
      <c r="C347" t="s">
        <v>1333</v>
      </c>
      <c r="D347" t="s">
        <v>1814</v>
      </c>
    </row>
    <row r="348" spans="1:4" x14ac:dyDescent="0.25">
      <c r="A348" t="s">
        <v>1474</v>
      </c>
      <c r="B348" t="s">
        <v>1815</v>
      </c>
      <c r="C348" t="s">
        <v>1333</v>
      </c>
      <c r="D348" t="s">
        <v>1816</v>
      </c>
    </row>
    <row r="349" spans="1:4" x14ac:dyDescent="0.25">
      <c r="A349" t="s">
        <v>1474</v>
      </c>
      <c r="B349" t="s">
        <v>1817</v>
      </c>
      <c r="C349" t="s">
        <v>1333</v>
      </c>
      <c r="D349" t="s">
        <v>1818</v>
      </c>
    </row>
    <row r="350" spans="1:4" x14ac:dyDescent="0.25">
      <c r="A350" t="s">
        <v>1474</v>
      </c>
      <c r="B350" t="s">
        <v>1819</v>
      </c>
      <c r="C350" t="s">
        <v>1333</v>
      </c>
      <c r="D350" t="s">
        <v>1820</v>
      </c>
    </row>
    <row r="352" spans="1:4" x14ac:dyDescent="0.25">
      <c r="A352" t="s">
        <v>1331</v>
      </c>
      <c r="B352" t="s">
        <v>1294</v>
      </c>
      <c r="C352" t="s">
        <v>1333</v>
      </c>
      <c r="D352" t="s">
        <v>1821</v>
      </c>
    </row>
    <row r="353" spans="1:4" x14ac:dyDescent="0.25">
      <c r="A353" t="s">
        <v>1474</v>
      </c>
      <c r="B353" t="s">
        <v>1822</v>
      </c>
      <c r="C353" t="s">
        <v>1333</v>
      </c>
      <c r="D353" t="s">
        <v>1823</v>
      </c>
    </row>
    <row r="354" spans="1:4" x14ac:dyDescent="0.25">
      <c r="A354" t="s">
        <v>1474</v>
      </c>
      <c r="B354" t="s">
        <v>1824</v>
      </c>
      <c r="C354" t="s">
        <v>1333</v>
      </c>
      <c r="D354" t="s">
        <v>1825</v>
      </c>
    </row>
    <row r="356" spans="1:4" x14ac:dyDescent="0.25">
      <c r="A356" t="s">
        <v>1331</v>
      </c>
      <c r="B356" t="s">
        <v>1295</v>
      </c>
      <c r="C356" t="s">
        <v>1333</v>
      </c>
      <c r="D356" t="s">
        <v>1826</v>
      </c>
    </row>
    <row r="357" spans="1:4" x14ac:dyDescent="0.25">
      <c r="A357" t="s">
        <v>1474</v>
      </c>
      <c r="B357" t="s">
        <v>1827</v>
      </c>
      <c r="C357" t="s">
        <v>1333</v>
      </c>
      <c r="D357" t="s">
        <v>1828</v>
      </c>
    </row>
    <row r="358" spans="1:4" x14ac:dyDescent="0.25">
      <c r="A358" t="s">
        <v>1474</v>
      </c>
      <c r="B358" t="s">
        <v>1829</v>
      </c>
      <c r="C358" t="s">
        <v>1333</v>
      </c>
      <c r="D358" t="s">
        <v>1707</v>
      </c>
    </row>
    <row r="359" spans="1:4" x14ac:dyDescent="0.25">
      <c r="A359" t="s">
        <v>1474</v>
      </c>
      <c r="B359" t="s">
        <v>1830</v>
      </c>
      <c r="C359" t="s">
        <v>1333</v>
      </c>
      <c r="D359" t="s">
        <v>1831</v>
      </c>
    </row>
    <row r="361" spans="1:4" x14ac:dyDescent="0.25">
      <c r="A361" t="s">
        <v>1331</v>
      </c>
      <c r="B361" t="s">
        <v>1296</v>
      </c>
      <c r="C361" t="s">
        <v>1333</v>
      </c>
      <c r="D361" t="s">
        <v>1832</v>
      </c>
    </row>
    <row r="362" spans="1:4" x14ac:dyDescent="0.25">
      <c r="A362" t="s">
        <v>1474</v>
      </c>
      <c r="B362" t="s">
        <v>1833</v>
      </c>
      <c r="C362" t="s">
        <v>1333</v>
      </c>
      <c r="D362" t="s">
        <v>1834</v>
      </c>
    </row>
    <row r="363" spans="1:4" x14ac:dyDescent="0.25">
      <c r="A363" t="s">
        <v>1474</v>
      </c>
      <c r="B363" t="s">
        <v>1835</v>
      </c>
      <c r="C363" t="s">
        <v>1333</v>
      </c>
      <c r="D363" t="s">
        <v>1726</v>
      </c>
    </row>
    <row r="364" spans="1:4" x14ac:dyDescent="0.25">
      <c r="A364" t="s">
        <v>1474</v>
      </c>
      <c r="B364" t="s">
        <v>1836</v>
      </c>
      <c r="C364" t="s">
        <v>1333</v>
      </c>
      <c r="D364" t="s">
        <v>1837</v>
      </c>
    </row>
    <row r="366" spans="1:4" x14ac:dyDescent="0.25">
      <c r="A366" t="s">
        <v>1331</v>
      </c>
      <c r="B366" t="s">
        <v>1297</v>
      </c>
      <c r="C366" t="s">
        <v>1333</v>
      </c>
      <c r="D366" t="s">
        <v>1838</v>
      </c>
    </row>
    <row r="367" spans="1:4" x14ac:dyDescent="0.25">
      <c r="A367" t="s">
        <v>1474</v>
      </c>
      <c r="B367" t="s">
        <v>1839</v>
      </c>
      <c r="C367" t="s">
        <v>1333</v>
      </c>
      <c r="D367" t="s">
        <v>1840</v>
      </c>
    </row>
    <row r="368" spans="1:4" x14ac:dyDescent="0.25">
      <c r="A368" t="s">
        <v>1474</v>
      </c>
      <c r="B368" t="s">
        <v>1841</v>
      </c>
      <c r="C368" t="s">
        <v>1333</v>
      </c>
      <c r="D368" t="s">
        <v>1726</v>
      </c>
    </row>
    <row r="369" spans="1:4" x14ac:dyDescent="0.25">
      <c r="A369" t="s">
        <v>1474</v>
      </c>
      <c r="B369" t="s">
        <v>1842</v>
      </c>
      <c r="C369" t="s">
        <v>1333</v>
      </c>
      <c r="D369" t="s">
        <v>1843</v>
      </c>
    </row>
    <row r="370" spans="1:4" x14ac:dyDescent="0.25">
      <c r="A370" t="s">
        <v>1474</v>
      </c>
      <c r="B370" t="s">
        <v>1844</v>
      </c>
      <c r="C370" t="s">
        <v>1333</v>
      </c>
      <c r="D370" t="s">
        <v>1845</v>
      </c>
    </row>
    <row r="372" spans="1:4" x14ac:dyDescent="0.25">
      <c r="A372" t="s">
        <v>1331</v>
      </c>
      <c r="B372" t="s">
        <v>1298</v>
      </c>
      <c r="C372" t="s">
        <v>1333</v>
      </c>
      <c r="D372" t="s">
        <v>1838</v>
      </c>
    </row>
    <row r="373" spans="1:4" x14ac:dyDescent="0.25">
      <c r="A373" t="s">
        <v>1474</v>
      </c>
      <c r="B373" t="s">
        <v>1846</v>
      </c>
      <c r="C373" t="s">
        <v>1333</v>
      </c>
      <c r="D373" t="s">
        <v>1840</v>
      </c>
    </row>
    <row r="374" spans="1:4" x14ac:dyDescent="0.25">
      <c r="A374" t="s">
        <v>1474</v>
      </c>
      <c r="B374" t="s">
        <v>1847</v>
      </c>
      <c r="C374" t="s">
        <v>1333</v>
      </c>
      <c r="D374" t="s">
        <v>1726</v>
      </c>
    </row>
    <row r="375" spans="1:4" x14ac:dyDescent="0.25">
      <c r="A375" t="s">
        <v>1474</v>
      </c>
      <c r="B375" t="s">
        <v>1848</v>
      </c>
      <c r="C375" t="s">
        <v>1333</v>
      </c>
      <c r="D375" t="s">
        <v>1843</v>
      </c>
    </row>
    <row r="376" spans="1:4" x14ac:dyDescent="0.25">
      <c r="A376" t="s">
        <v>1474</v>
      </c>
      <c r="B376" t="s">
        <v>1849</v>
      </c>
      <c r="C376" t="s">
        <v>1333</v>
      </c>
      <c r="D376" t="s">
        <v>1845</v>
      </c>
    </row>
    <row r="378" spans="1:4" x14ac:dyDescent="0.25">
      <c r="A378" t="s">
        <v>1331</v>
      </c>
      <c r="B378" t="s">
        <v>1299</v>
      </c>
      <c r="C378" t="s">
        <v>1333</v>
      </c>
      <c r="D378" t="s">
        <v>1850</v>
      </c>
    </row>
    <row r="379" spans="1:4" x14ac:dyDescent="0.25">
      <c r="A379" t="s">
        <v>1474</v>
      </c>
      <c r="B379" t="s">
        <v>1851</v>
      </c>
      <c r="C379" t="s">
        <v>1333</v>
      </c>
      <c r="D379" t="s">
        <v>1852</v>
      </c>
    </row>
    <row r="380" spans="1:4" x14ac:dyDescent="0.25">
      <c r="A380" t="s">
        <v>1474</v>
      </c>
      <c r="B380" t="s">
        <v>1853</v>
      </c>
      <c r="C380" t="s">
        <v>1333</v>
      </c>
      <c r="D380" t="s">
        <v>1726</v>
      </c>
    </row>
    <row r="381" spans="1:4" x14ac:dyDescent="0.25">
      <c r="A381" t="s">
        <v>1474</v>
      </c>
      <c r="B381" t="s">
        <v>1854</v>
      </c>
      <c r="C381" t="s">
        <v>1333</v>
      </c>
      <c r="D381" t="s">
        <v>1855</v>
      </c>
    </row>
    <row r="382" spans="1:4" x14ac:dyDescent="0.25">
      <c r="A382" t="s">
        <v>1474</v>
      </c>
      <c r="B382" t="s">
        <v>1856</v>
      </c>
      <c r="C382" t="s">
        <v>1333</v>
      </c>
      <c r="D382" t="s">
        <v>1857</v>
      </c>
    </row>
    <row r="384" spans="1:4" x14ac:dyDescent="0.25">
      <c r="A384" t="s">
        <v>1331</v>
      </c>
      <c r="B384" t="s">
        <v>1300</v>
      </c>
      <c r="C384" t="s">
        <v>1333</v>
      </c>
      <c r="D384" t="s">
        <v>1858</v>
      </c>
    </row>
    <row r="385" spans="1:4" x14ac:dyDescent="0.25">
      <c r="A385" t="s">
        <v>1474</v>
      </c>
      <c r="B385" t="s">
        <v>1859</v>
      </c>
      <c r="C385" t="s">
        <v>1333</v>
      </c>
      <c r="D385" t="s">
        <v>1860</v>
      </c>
    </row>
    <row r="386" spans="1:4" x14ac:dyDescent="0.25">
      <c r="A386" t="s">
        <v>1474</v>
      </c>
      <c r="B386" t="s">
        <v>1861</v>
      </c>
      <c r="C386" t="s">
        <v>1333</v>
      </c>
      <c r="D386" t="s">
        <v>1862</v>
      </c>
    </row>
    <row r="387" spans="1:4" x14ac:dyDescent="0.25">
      <c r="A387" t="s">
        <v>1474</v>
      </c>
      <c r="B387" t="s">
        <v>1863</v>
      </c>
      <c r="C387" t="s">
        <v>1333</v>
      </c>
      <c r="D387" t="s">
        <v>1864</v>
      </c>
    </row>
    <row r="389" spans="1:4" x14ac:dyDescent="0.25">
      <c r="A389" t="s">
        <v>1331</v>
      </c>
      <c r="B389" t="s">
        <v>1301</v>
      </c>
      <c r="C389" t="s">
        <v>1333</v>
      </c>
      <c r="D389" t="s">
        <v>1865</v>
      </c>
    </row>
    <row r="390" spans="1:4" x14ac:dyDescent="0.25">
      <c r="A390" t="s">
        <v>1474</v>
      </c>
      <c r="B390" t="s">
        <v>1866</v>
      </c>
      <c r="C390" t="s">
        <v>1333</v>
      </c>
      <c r="D390" t="s">
        <v>1867</v>
      </c>
    </row>
    <row r="391" spans="1:4" x14ac:dyDescent="0.25">
      <c r="A391" t="s">
        <v>1474</v>
      </c>
      <c r="B391" t="s">
        <v>1868</v>
      </c>
      <c r="C391" t="s">
        <v>1333</v>
      </c>
      <c r="D391" t="s">
        <v>1869</v>
      </c>
    </row>
    <row r="393" spans="1:4" x14ac:dyDescent="0.25">
      <c r="A393" t="s">
        <v>1331</v>
      </c>
      <c r="B393" t="s">
        <v>1302</v>
      </c>
      <c r="C393" t="s">
        <v>1333</v>
      </c>
      <c r="D393" t="s">
        <v>1870</v>
      </c>
    </row>
    <row r="394" spans="1:4" x14ac:dyDescent="0.25">
      <c r="A394" t="s">
        <v>1474</v>
      </c>
      <c r="B394" t="s">
        <v>1871</v>
      </c>
      <c r="C394" t="s">
        <v>1333</v>
      </c>
      <c r="D394" t="s">
        <v>1476</v>
      </c>
    </row>
    <row r="395" spans="1:4" x14ac:dyDescent="0.25">
      <c r="A395" t="s">
        <v>1474</v>
      </c>
      <c r="B395" t="s">
        <v>1872</v>
      </c>
      <c r="C395" t="s">
        <v>1333</v>
      </c>
      <c r="D395" t="s">
        <v>1873</v>
      </c>
    </row>
    <row r="397" spans="1:4" x14ac:dyDescent="0.25">
      <c r="A397" t="s">
        <v>1331</v>
      </c>
      <c r="B397" t="s">
        <v>1303</v>
      </c>
      <c r="C397" t="s">
        <v>1333</v>
      </c>
      <c r="D397" t="s">
        <v>1874</v>
      </c>
    </row>
    <row r="398" spans="1:4" x14ac:dyDescent="0.25">
      <c r="A398" t="s">
        <v>1474</v>
      </c>
      <c r="B398" t="s">
        <v>1875</v>
      </c>
      <c r="C398" t="s">
        <v>1333</v>
      </c>
      <c r="D398" t="s">
        <v>1876</v>
      </c>
    </row>
    <row r="399" spans="1:4" x14ac:dyDescent="0.25">
      <c r="A399" t="s">
        <v>1474</v>
      </c>
      <c r="B399" t="s">
        <v>1877</v>
      </c>
      <c r="C399" t="s">
        <v>1333</v>
      </c>
      <c r="D399" t="s">
        <v>1878</v>
      </c>
    </row>
    <row r="401" spans="1:4" x14ac:dyDescent="0.25">
      <c r="A401" t="s">
        <v>1331</v>
      </c>
      <c r="B401" t="s">
        <v>1304</v>
      </c>
      <c r="C401" t="s">
        <v>1333</v>
      </c>
      <c r="D401" t="s">
        <v>1879</v>
      </c>
    </row>
    <row r="402" spans="1:4" x14ac:dyDescent="0.25">
      <c r="A402" t="s">
        <v>1474</v>
      </c>
      <c r="B402" t="s">
        <v>1880</v>
      </c>
      <c r="C402" t="s">
        <v>1333</v>
      </c>
      <c r="D402" t="s">
        <v>1881</v>
      </c>
    </row>
    <row r="403" spans="1:4" x14ac:dyDescent="0.25">
      <c r="A403" t="s">
        <v>1474</v>
      </c>
      <c r="B403" t="s">
        <v>1882</v>
      </c>
      <c r="C403" t="s">
        <v>1333</v>
      </c>
      <c r="D403" t="s">
        <v>1883</v>
      </c>
    </row>
    <row r="405" spans="1:4" x14ac:dyDescent="0.25">
      <c r="A405" t="s">
        <v>1331</v>
      </c>
      <c r="B405" t="s">
        <v>1305</v>
      </c>
      <c r="C405" t="s">
        <v>1333</v>
      </c>
      <c r="D405" t="s">
        <v>1884</v>
      </c>
    </row>
    <row r="406" spans="1:4" x14ac:dyDescent="0.25">
      <c r="A406" t="s">
        <v>1474</v>
      </c>
      <c r="B406" t="s">
        <v>1885</v>
      </c>
      <c r="C406" t="s">
        <v>1333</v>
      </c>
      <c r="D406" t="s">
        <v>1886</v>
      </c>
    </row>
    <row r="407" spans="1:4" x14ac:dyDescent="0.25">
      <c r="A407" t="s">
        <v>1474</v>
      </c>
      <c r="B407" t="s">
        <v>1887</v>
      </c>
      <c r="C407" t="s">
        <v>1333</v>
      </c>
      <c r="D407" t="s">
        <v>1888</v>
      </c>
    </row>
    <row r="409" spans="1:4" x14ac:dyDescent="0.25">
      <c r="A409" t="s">
        <v>1331</v>
      </c>
      <c r="B409" t="s">
        <v>1306</v>
      </c>
      <c r="C409" t="s">
        <v>1333</v>
      </c>
      <c r="D409" t="s">
        <v>1889</v>
      </c>
    </row>
    <row r="410" spans="1:4" x14ac:dyDescent="0.25">
      <c r="A410" t="s">
        <v>1474</v>
      </c>
      <c r="B410" t="s">
        <v>1890</v>
      </c>
      <c r="C410" t="s">
        <v>1333</v>
      </c>
      <c r="D410" t="s">
        <v>1502</v>
      </c>
    </row>
    <row r="411" spans="1:4" x14ac:dyDescent="0.25">
      <c r="A411" t="s">
        <v>1474</v>
      </c>
      <c r="B411" t="s">
        <v>1891</v>
      </c>
      <c r="C411" t="s">
        <v>1333</v>
      </c>
      <c r="D411" t="s">
        <v>1892</v>
      </c>
    </row>
    <row r="413" spans="1:4" x14ac:dyDescent="0.25">
      <c r="A413" t="s">
        <v>1331</v>
      </c>
      <c r="B413" t="s">
        <v>1307</v>
      </c>
      <c r="C413" t="s">
        <v>1333</v>
      </c>
      <c r="D413" t="s">
        <v>1893</v>
      </c>
    </row>
    <row r="414" spans="1:4" x14ac:dyDescent="0.25">
      <c r="A414" t="s">
        <v>1474</v>
      </c>
      <c r="B414" t="s">
        <v>1894</v>
      </c>
      <c r="C414" t="s">
        <v>1333</v>
      </c>
      <c r="D414" t="s">
        <v>1895</v>
      </c>
    </row>
    <row r="415" spans="1:4" x14ac:dyDescent="0.25">
      <c r="A415" t="s">
        <v>1474</v>
      </c>
      <c r="B415" t="s">
        <v>1896</v>
      </c>
      <c r="C415" t="s">
        <v>1333</v>
      </c>
      <c r="D415" t="s">
        <v>1897</v>
      </c>
    </row>
    <row r="417" spans="1:4" x14ac:dyDescent="0.25">
      <c r="A417" t="s">
        <v>1331</v>
      </c>
      <c r="B417" t="s">
        <v>1308</v>
      </c>
      <c r="C417" t="s">
        <v>1333</v>
      </c>
      <c r="D417" t="s">
        <v>1898</v>
      </c>
    </row>
    <row r="418" spans="1:4" x14ac:dyDescent="0.25">
      <c r="A418" t="s">
        <v>1474</v>
      </c>
      <c r="B418" t="s">
        <v>1899</v>
      </c>
      <c r="C418" t="s">
        <v>1333</v>
      </c>
      <c r="D418" t="s">
        <v>1514</v>
      </c>
    </row>
    <row r="419" spans="1:4" x14ac:dyDescent="0.25">
      <c r="A419" t="s">
        <v>1474</v>
      </c>
      <c r="B419" t="s">
        <v>1900</v>
      </c>
      <c r="C419" t="s">
        <v>1333</v>
      </c>
      <c r="D419" t="s">
        <v>1901</v>
      </c>
    </row>
    <row r="421" spans="1:4" x14ac:dyDescent="0.25">
      <c r="A421" t="s">
        <v>1331</v>
      </c>
      <c r="B421" t="s">
        <v>1309</v>
      </c>
      <c r="C421" t="s">
        <v>1333</v>
      </c>
      <c r="D421" t="s">
        <v>1517</v>
      </c>
    </row>
    <row r="422" spans="1:4" x14ac:dyDescent="0.25">
      <c r="A422" t="s">
        <v>1474</v>
      </c>
      <c r="B422" t="s">
        <v>1902</v>
      </c>
      <c r="C422" t="s">
        <v>1333</v>
      </c>
      <c r="D422" t="s">
        <v>1519</v>
      </c>
    </row>
    <row r="423" spans="1:4" x14ac:dyDescent="0.25">
      <c r="A423" t="s">
        <v>1474</v>
      </c>
      <c r="B423" t="s">
        <v>1903</v>
      </c>
      <c r="C423" t="s">
        <v>1333</v>
      </c>
      <c r="D423" t="s">
        <v>1521</v>
      </c>
    </row>
    <row r="424" spans="1:4" x14ac:dyDescent="0.25">
      <c r="A424" t="s">
        <v>1474</v>
      </c>
      <c r="B424" t="s">
        <v>1904</v>
      </c>
      <c r="C424" t="s">
        <v>1333</v>
      </c>
      <c r="D424" t="s">
        <v>1905</v>
      </c>
    </row>
    <row r="426" spans="1:4" x14ac:dyDescent="0.25">
      <c r="A426" t="s">
        <v>1331</v>
      </c>
      <c r="B426" t="s">
        <v>1310</v>
      </c>
      <c r="C426" t="s">
        <v>1333</v>
      </c>
      <c r="D426" t="s">
        <v>1906</v>
      </c>
    </row>
    <row r="427" spans="1:4" x14ac:dyDescent="0.25">
      <c r="A427" t="s">
        <v>1474</v>
      </c>
      <c r="B427" t="s">
        <v>1907</v>
      </c>
      <c r="C427" t="s">
        <v>1333</v>
      </c>
      <c r="D427" t="s">
        <v>1908</v>
      </c>
    </row>
    <row r="428" spans="1:4" x14ac:dyDescent="0.25">
      <c r="A428" t="s">
        <v>1474</v>
      </c>
      <c r="B428" t="s">
        <v>1909</v>
      </c>
      <c r="C428" t="s">
        <v>1333</v>
      </c>
      <c r="D428" t="s">
        <v>1910</v>
      </c>
    </row>
    <row r="430" spans="1:4" x14ac:dyDescent="0.25">
      <c r="A430" t="s">
        <v>1331</v>
      </c>
      <c r="B430" t="s">
        <v>1311</v>
      </c>
      <c r="C430" t="s">
        <v>1333</v>
      </c>
      <c r="D430" t="s">
        <v>1911</v>
      </c>
    </row>
    <row r="431" spans="1:4" x14ac:dyDescent="0.25">
      <c r="A431" t="s">
        <v>1474</v>
      </c>
      <c r="B431" t="s">
        <v>1912</v>
      </c>
      <c r="C431" t="s">
        <v>1333</v>
      </c>
      <c r="D431" t="s">
        <v>1913</v>
      </c>
    </row>
    <row r="432" spans="1:4" x14ac:dyDescent="0.25">
      <c r="A432" t="s">
        <v>1474</v>
      </c>
      <c r="B432" t="s">
        <v>1914</v>
      </c>
      <c r="C432" t="s">
        <v>1333</v>
      </c>
      <c r="D432" t="s">
        <v>1915</v>
      </c>
    </row>
    <row r="434" spans="1:4" x14ac:dyDescent="0.25">
      <c r="A434" t="s">
        <v>1331</v>
      </c>
      <c r="B434" t="s">
        <v>1312</v>
      </c>
      <c r="C434" t="s">
        <v>1333</v>
      </c>
      <c r="D434" t="s">
        <v>1916</v>
      </c>
    </row>
    <row r="435" spans="1:4" x14ac:dyDescent="0.25">
      <c r="A435" t="s">
        <v>1474</v>
      </c>
      <c r="B435" t="s">
        <v>1917</v>
      </c>
      <c r="C435" t="s">
        <v>1333</v>
      </c>
      <c r="D435" t="s">
        <v>1542</v>
      </c>
    </row>
    <row r="436" spans="1:4" x14ac:dyDescent="0.25">
      <c r="A436" t="s">
        <v>1474</v>
      </c>
      <c r="B436" t="s">
        <v>1918</v>
      </c>
      <c r="C436" t="s">
        <v>1333</v>
      </c>
      <c r="D436" t="s">
        <v>1919</v>
      </c>
    </row>
    <row r="438" spans="1:4" x14ac:dyDescent="0.25">
      <c r="A438" t="s">
        <v>1331</v>
      </c>
      <c r="B438" t="s">
        <v>1313</v>
      </c>
      <c r="C438" t="s">
        <v>1333</v>
      </c>
      <c r="D438" t="s">
        <v>1920</v>
      </c>
    </row>
    <row r="439" spans="1:4" x14ac:dyDescent="0.25">
      <c r="A439" t="s">
        <v>1474</v>
      </c>
      <c r="B439" t="s">
        <v>1921</v>
      </c>
      <c r="C439" t="s">
        <v>1333</v>
      </c>
      <c r="D439" t="s">
        <v>1547</v>
      </c>
    </row>
    <row r="440" spans="1:4" x14ac:dyDescent="0.25">
      <c r="A440" t="s">
        <v>1474</v>
      </c>
      <c r="B440" t="s">
        <v>1922</v>
      </c>
      <c r="C440" t="s">
        <v>1333</v>
      </c>
      <c r="D440" t="s">
        <v>1923</v>
      </c>
    </row>
    <row r="442" spans="1:4" x14ac:dyDescent="0.25">
      <c r="A442" t="s">
        <v>1331</v>
      </c>
      <c r="B442" t="s">
        <v>1314</v>
      </c>
      <c r="C442" t="s">
        <v>1333</v>
      </c>
      <c r="D442" t="s">
        <v>1924</v>
      </c>
    </row>
    <row r="443" spans="1:4" x14ac:dyDescent="0.25">
      <c r="A443" t="s">
        <v>1474</v>
      </c>
      <c r="B443" t="s">
        <v>1925</v>
      </c>
      <c r="C443" t="s">
        <v>1333</v>
      </c>
      <c r="D443" t="s">
        <v>1926</v>
      </c>
    </row>
    <row r="444" spans="1:4" x14ac:dyDescent="0.25">
      <c r="A444" t="s">
        <v>1474</v>
      </c>
      <c r="B444" t="s">
        <v>1927</v>
      </c>
      <c r="C444" t="s">
        <v>1333</v>
      </c>
      <c r="D444" t="s">
        <v>1928</v>
      </c>
    </row>
    <row r="446" spans="1:4" x14ac:dyDescent="0.25">
      <c r="A446" t="s">
        <v>1331</v>
      </c>
      <c r="B446" t="s">
        <v>1315</v>
      </c>
      <c r="C446" t="s">
        <v>1333</v>
      </c>
      <c r="D446" t="s">
        <v>1929</v>
      </c>
    </row>
    <row r="447" spans="1:4" x14ac:dyDescent="0.25">
      <c r="A447" t="s">
        <v>1474</v>
      </c>
      <c r="B447" t="s">
        <v>1930</v>
      </c>
      <c r="C447" t="s">
        <v>1333</v>
      </c>
      <c r="D447" t="s">
        <v>1931</v>
      </c>
    </row>
    <row r="448" spans="1:4" x14ac:dyDescent="0.25">
      <c r="A448" t="s">
        <v>1474</v>
      </c>
      <c r="B448" t="s">
        <v>1932</v>
      </c>
      <c r="C448" t="s">
        <v>1333</v>
      </c>
      <c r="D448" t="s">
        <v>1933</v>
      </c>
    </row>
    <row r="450" spans="1:4" x14ac:dyDescent="0.25">
      <c r="A450" t="s">
        <v>1331</v>
      </c>
      <c r="B450" t="s">
        <v>1316</v>
      </c>
      <c r="C450" t="s">
        <v>1333</v>
      </c>
      <c r="D450" t="s">
        <v>1934</v>
      </c>
    </row>
    <row r="451" spans="1:4" x14ac:dyDescent="0.25">
      <c r="A451" t="s">
        <v>1474</v>
      </c>
      <c r="B451" t="s">
        <v>1935</v>
      </c>
      <c r="C451" t="s">
        <v>1333</v>
      </c>
      <c r="D451" t="s">
        <v>1604</v>
      </c>
    </row>
    <row r="452" spans="1:4" x14ac:dyDescent="0.25">
      <c r="A452" t="s">
        <v>1474</v>
      </c>
      <c r="B452" t="s">
        <v>1936</v>
      </c>
      <c r="C452" t="s">
        <v>1333</v>
      </c>
      <c r="D452" t="s">
        <v>1937</v>
      </c>
    </row>
    <row r="454" spans="1:4" x14ac:dyDescent="0.25">
      <c r="A454" t="s">
        <v>1331</v>
      </c>
      <c r="B454" t="s">
        <v>1317</v>
      </c>
      <c r="C454" t="s">
        <v>1333</v>
      </c>
      <c r="D454" t="s">
        <v>1938</v>
      </c>
    </row>
    <row r="455" spans="1:4" x14ac:dyDescent="0.25">
      <c r="A455" t="s">
        <v>1474</v>
      </c>
      <c r="B455" t="s">
        <v>1939</v>
      </c>
      <c r="C455" t="s">
        <v>1333</v>
      </c>
      <c r="D455" t="s">
        <v>1940</v>
      </c>
    </row>
    <row r="456" spans="1:4" x14ac:dyDescent="0.25">
      <c r="A456" t="s">
        <v>1474</v>
      </c>
      <c r="B456" t="s">
        <v>1941</v>
      </c>
      <c r="C456" t="s">
        <v>1333</v>
      </c>
      <c r="D456" t="s">
        <v>1942</v>
      </c>
    </row>
    <row r="458" spans="1:4" x14ac:dyDescent="0.25">
      <c r="A458" t="s">
        <v>1331</v>
      </c>
      <c r="B458" t="s">
        <v>1318</v>
      </c>
      <c r="C458" t="s">
        <v>1333</v>
      </c>
      <c r="D458" t="s">
        <v>1943</v>
      </c>
    </row>
    <row r="459" spans="1:4" x14ac:dyDescent="0.25">
      <c r="A459" t="s">
        <v>1474</v>
      </c>
      <c r="B459" t="s">
        <v>1944</v>
      </c>
      <c r="C459" t="s">
        <v>1333</v>
      </c>
      <c r="D459" t="s">
        <v>1945</v>
      </c>
    </row>
    <row r="460" spans="1:4" x14ac:dyDescent="0.25">
      <c r="A460" t="s">
        <v>1474</v>
      </c>
      <c r="B460" t="s">
        <v>1946</v>
      </c>
      <c r="C460" t="s">
        <v>1333</v>
      </c>
      <c r="D460" t="s">
        <v>1947</v>
      </c>
    </row>
    <row r="462" spans="1:4" x14ac:dyDescent="0.25">
      <c r="A462" t="s">
        <v>1331</v>
      </c>
      <c r="B462" t="s">
        <v>1319</v>
      </c>
      <c r="C462" t="s">
        <v>1333</v>
      </c>
      <c r="D462" t="s">
        <v>1948</v>
      </c>
    </row>
    <row r="463" spans="1:4" x14ac:dyDescent="0.25">
      <c r="A463" t="s">
        <v>1474</v>
      </c>
      <c r="B463" t="s">
        <v>1949</v>
      </c>
      <c r="C463" t="s">
        <v>1333</v>
      </c>
      <c r="D463" t="s">
        <v>1950</v>
      </c>
    </row>
    <row r="464" spans="1:4" x14ac:dyDescent="0.25">
      <c r="A464" t="s">
        <v>1474</v>
      </c>
      <c r="B464" t="s">
        <v>1951</v>
      </c>
      <c r="C464" t="s">
        <v>1333</v>
      </c>
      <c r="D464" t="s">
        <v>1952</v>
      </c>
    </row>
    <row r="466" spans="1:4" x14ac:dyDescent="0.25">
      <c r="A466" t="s">
        <v>1331</v>
      </c>
      <c r="B466" t="s">
        <v>1320</v>
      </c>
      <c r="C466" t="s">
        <v>1333</v>
      </c>
      <c r="D466" t="s">
        <v>1597</v>
      </c>
    </row>
    <row r="467" spans="1:4" x14ac:dyDescent="0.25">
      <c r="A467" t="s">
        <v>1474</v>
      </c>
      <c r="B467" t="s">
        <v>1953</v>
      </c>
      <c r="C467" t="s">
        <v>1333</v>
      </c>
      <c r="D467" t="s">
        <v>1599</v>
      </c>
    </row>
    <row r="468" spans="1:4" x14ac:dyDescent="0.25">
      <c r="A468" t="s">
        <v>1474</v>
      </c>
      <c r="B468" t="s">
        <v>1954</v>
      </c>
      <c r="C468" t="s">
        <v>1333</v>
      </c>
      <c r="D468" t="s">
        <v>1601</v>
      </c>
    </row>
    <row r="470" spans="1:4" x14ac:dyDescent="0.25">
      <c r="A470" t="s">
        <v>1331</v>
      </c>
      <c r="B470" t="s">
        <v>1321</v>
      </c>
      <c r="C470" t="s">
        <v>1333</v>
      </c>
      <c r="D470" t="s">
        <v>1955</v>
      </c>
    </row>
    <row r="471" spans="1:4" x14ac:dyDescent="0.25">
      <c r="A471" t="s">
        <v>1474</v>
      </c>
      <c r="B471" t="s">
        <v>1956</v>
      </c>
      <c r="C471" t="s">
        <v>1333</v>
      </c>
      <c r="D471" t="s">
        <v>1957</v>
      </c>
    </row>
    <row r="472" spans="1:4" x14ac:dyDescent="0.25">
      <c r="A472" t="s">
        <v>1474</v>
      </c>
      <c r="B472" t="s">
        <v>1958</v>
      </c>
      <c r="C472" t="s">
        <v>1333</v>
      </c>
      <c r="D472" t="s">
        <v>1959</v>
      </c>
    </row>
    <row r="474" spans="1:4" x14ac:dyDescent="0.25">
      <c r="A474" t="s">
        <v>1331</v>
      </c>
      <c r="B474" t="s">
        <v>1322</v>
      </c>
      <c r="C474" t="s">
        <v>1333</v>
      </c>
      <c r="D474" t="s">
        <v>1960</v>
      </c>
    </row>
    <row r="475" spans="1:4" x14ac:dyDescent="0.25">
      <c r="A475" t="s">
        <v>1474</v>
      </c>
      <c r="B475" t="s">
        <v>1961</v>
      </c>
      <c r="C475" t="s">
        <v>1333</v>
      </c>
      <c r="D475" t="s">
        <v>1962</v>
      </c>
    </row>
    <row r="476" spans="1:4" x14ac:dyDescent="0.25">
      <c r="A476" t="s">
        <v>1474</v>
      </c>
      <c r="B476" t="s">
        <v>1963</v>
      </c>
      <c r="C476" t="s">
        <v>1333</v>
      </c>
      <c r="D476" t="s">
        <v>1964</v>
      </c>
    </row>
    <row r="478" spans="1:4" x14ac:dyDescent="0.25">
      <c r="A478" t="s">
        <v>1331</v>
      </c>
      <c r="B478" t="s">
        <v>1323</v>
      </c>
      <c r="C478" t="s">
        <v>1333</v>
      </c>
      <c r="D478" t="s">
        <v>1965</v>
      </c>
    </row>
    <row r="479" spans="1:4" x14ac:dyDescent="0.25">
      <c r="A479" t="s">
        <v>1474</v>
      </c>
      <c r="B479" t="s">
        <v>1966</v>
      </c>
      <c r="C479" t="s">
        <v>1333</v>
      </c>
      <c r="D479" t="s">
        <v>1967</v>
      </c>
    </row>
    <row r="480" spans="1:4" x14ac:dyDescent="0.25">
      <c r="A480" t="s">
        <v>1474</v>
      </c>
      <c r="B480" t="s">
        <v>1968</v>
      </c>
      <c r="C480" t="s">
        <v>1333</v>
      </c>
      <c r="D480" t="s">
        <v>1969</v>
      </c>
    </row>
    <row r="481" spans="1:4" x14ac:dyDescent="0.25">
      <c r="A481" t="s">
        <v>1474</v>
      </c>
      <c r="B481" t="s">
        <v>1970</v>
      </c>
      <c r="C481" t="s">
        <v>1333</v>
      </c>
      <c r="D481" t="s">
        <v>1971</v>
      </c>
    </row>
    <row r="482" spans="1:4" x14ac:dyDescent="0.25">
      <c r="A482" t="s">
        <v>1474</v>
      </c>
      <c r="B482" t="s">
        <v>1972</v>
      </c>
      <c r="C482" t="s">
        <v>1333</v>
      </c>
      <c r="D482" t="s">
        <v>1973</v>
      </c>
    </row>
    <row r="484" spans="1:4" x14ac:dyDescent="0.25">
      <c r="A484" t="s">
        <v>1331</v>
      </c>
      <c r="B484" t="s">
        <v>1324</v>
      </c>
      <c r="C484" t="s">
        <v>1333</v>
      </c>
      <c r="D484" t="s">
        <v>1758</v>
      </c>
    </row>
    <row r="485" spans="1:4" x14ac:dyDescent="0.25">
      <c r="A485" t="s">
        <v>1474</v>
      </c>
      <c r="B485" t="s">
        <v>1974</v>
      </c>
      <c r="C485" t="s">
        <v>1333</v>
      </c>
      <c r="D485" t="s">
        <v>1622</v>
      </c>
    </row>
    <row r="486" spans="1:4" x14ac:dyDescent="0.25">
      <c r="A486" t="s">
        <v>1474</v>
      </c>
      <c r="B486" t="s">
        <v>1975</v>
      </c>
      <c r="C486" t="s">
        <v>1333</v>
      </c>
      <c r="D486" t="s">
        <v>1624</v>
      </c>
    </row>
    <row r="488" spans="1:4" x14ac:dyDescent="0.25">
      <c r="A488" t="s">
        <v>1331</v>
      </c>
      <c r="B488" t="s">
        <v>1325</v>
      </c>
      <c r="C488" t="s">
        <v>1333</v>
      </c>
      <c r="D488" t="s">
        <v>1948</v>
      </c>
    </row>
    <row r="489" spans="1:4" x14ac:dyDescent="0.25">
      <c r="A489" t="s">
        <v>1474</v>
      </c>
      <c r="B489" t="s">
        <v>1976</v>
      </c>
      <c r="C489" t="s">
        <v>1333</v>
      </c>
      <c r="D489" t="s">
        <v>1950</v>
      </c>
    </row>
    <row r="490" spans="1:4" x14ac:dyDescent="0.25">
      <c r="A490" t="s">
        <v>1474</v>
      </c>
      <c r="B490" t="s">
        <v>1977</v>
      </c>
      <c r="C490" t="s">
        <v>1333</v>
      </c>
      <c r="D490" t="s">
        <v>1952</v>
      </c>
    </row>
    <row r="492" spans="1:4" x14ac:dyDescent="0.25">
      <c r="A492" t="s">
        <v>1331</v>
      </c>
      <c r="B492" t="s">
        <v>1326</v>
      </c>
      <c r="C492" t="s">
        <v>1333</v>
      </c>
      <c r="D492" t="s">
        <v>1978</v>
      </c>
    </row>
    <row r="493" spans="1:4" x14ac:dyDescent="0.25">
      <c r="A493" t="s">
        <v>1474</v>
      </c>
      <c r="B493" t="s">
        <v>1979</v>
      </c>
      <c r="C493" t="s">
        <v>1333</v>
      </c>
      <c r="D493" t="s">
        <v>1980</v>
      </c>
    </row>
    <row r="494" spans="1:4" x14ac:dyDescent="0.25">
      <c r="A494" t="s">
        <v>1474</v>
      </c>
      <c r="B494" t="s">
        <v>1981</v>
      </c>
      <c r="C494" t="s">
        <v>1333</v>
      </c>
      <c r="D494" t="s">
        <v>1982</v>
      </c>
    </row>
    <row r="496" spans="1:4" x14ac:dyDescent="0.25">
      <c r="A496" t="s">
        <v>1331</v>
      </c>
      <c r="B496" t="s">
        <v>1327</v>
      </c>
      <c r="C496" t="s">
        <v>1333</v>
      </c>
      <c r="D496" t="s">
        <v>1597</v>
      </c>
    </row>
    <row r="497" spans="1:4" x14ac:dyDescent="0.25">
      <c r="A497" t="s">
        <v>1474</v>
      </c>
      <c r="B497" t="s">
        <v>1983</v>
      </c>
      <c r="C497" t="s">
        <v>1333</v>
      </c>
      <c r="D497" t="s">
        <v>1881</v>
      </c>
    </row>
    <row r="498" spans="1:4" x14ac:dyDescent="0.25">
      <c r="A498" t="s">
        <v>1474</v>
      </c>
      <c r="B498" t="s">
        <v>1984</v>
      </c>
      <c r="C498" t="s">
        <v>1333</v>
      </c>
      <c r="D498" t="s">
        <v>1490</v>
      </c>
    </row>
    <row r="500" spans="1:4" x14ac:dyDescent="0.25">
      <c r="A500" t="s">
        <v>1331</v>
      </c>
      <c r="B500" t="s">
        <v>1328</v>
      </c>
      <c r="C500" t="s">
        <v>1333</v>
      </c>
      <c r="D500" t="s">
        <v>1985</v>
      </c>
    </row>
    <row r="501" spans="1:4" x14ac:dyDescent="0.25">
      <c r="A501" t="s">
        <v>1474</v>
      </c>
      <c r="B501" t="s">
        <v>1986</v>
      </c>
      <c r="C501" t="s">
        <v>1333</v>
      </c>
      <c r="D501" t="s">
        <v>1650</v>
      </c>
    </row>
    <row r="502" spans="1:4" x14ac:dyDescent="0.25">
      <c r="A502" t="s">
        <v>1474</v>
      </c>
      <c r="B502" t="s">
        <v>1987</v>
      </c>
      <c r="C502" t="s">
        <v>1333</v>
      </c>
      <c r="D502" t="s">
        <v>1652</v>
      </c>
    </row>
    <row r="503" spans="1:4" x14ac:dyDescent="0.25">
      <c r="A503" t="s">
        <v>1474</v>
      </c>
      <c r="B503" t="s">
        <v>1988</v>
      </c>
      <c r="C503" t="s">
        <v>1333</v>
      </c>
      <c r="D503" t="s">
        <v>1654</v>
      </c>
    </row>
    <row r="504" spans="1:4" x14ac:dyDescent="0.25">
      <c r="A504" t="s">
        <v>1474</v>
      </c>
      <c r="B504" t="s">
        <v>1989</v>
      </c>
      <c r="C504" t="s">
        <v>1333</v>
      </c>
      <c r="D504" t="s">
        <v>1656</v>
      </c>
    </row>
    <row r="506" spans="1:4" x14ac:dyDescent="0.25">
      <c r="A506" t="s">
        <v>1331</v>
      </c>
      <c r="B506" t="s">
        <v>1329</v>
      </c>
      <c r="C506" t="s">
        <v>1333</v>
      </c>
      <c r="D506" t="s">
        <v>1678</v>
      </c>
    </row>
    <row r="507" spans="1:4" x14ac:dyDescent="0.25">
      <c r="A507" t="s">
        <v>1474</v>
      </c>
      <c r="B507" t="s">
        <v>1990</v>
      </c>
      <c r="C507" t="s">
        <v>1333</v>
      </c>
      <c r="D507" t="s">
        <v>1680</v>
      </c>
    </row>
    <row r="508" spans="1:4" x14ac:dyDescent="0.25">
      <c r="A508" t="s">
        <v>1474</v>
      </c>
      <c r="B508" t="s">
        <v>1991</v>
      </c>
      <c r="C508" t="s">
        <v>1333</v>
      </c>
      <c r="D508" t="s">
        <v>1707</v>
      </c>
    </row>
    <row r="509" spans="1:4" x14ac:dyDescent="0.25">
      <c r="A509" t="s">
        <v>1474</v>
      </c>
      <c r="B509" t="s">
        <v>1992</v>
      </c>
      <c r="C509" t="s">
        <v>1333</v>
      </c>
      <c r="D509" t="s">
        <v>1993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81</v>
      </c>
      <c r="C58" s="6" t="s">
        <v>18</v>
      </c>
    </row>
    <row r="59" spans="1:7" x14ac:dyDescent="0.25">
      <c r="A59" s="1">
        <v>59</v>
      </c>
      <c r="B59" t="s">
        <v>82</v>
      </c>
      <c r="C59" s="7" t="s">
        <v>29</v>
      </c>
      <c r="D59" s="8" t="s">
        <v>30</v>
      </c>
      <c r="E59" s="6" t="s">
        <v>18</v>
      </c>
    </row>
    <row r="60" spans="1:7" x14ac:dyDescent="0.25">
      <c r="A60" s="1">
        <v>60</v>
      </c>
      <c r="B60" t="s">
        <v>83</v>
      </c>
      <c r="C60" t="s">
        <v>23</v>
      </c>
      <c r="D60" s="6" t="s">
        <v>18</v>
      </c>
    </row>
    <row r="61" spans="1:7" x14ac:dyDescent="0.25">
      <c r="A61" s="1">
        <v>61</v>
      </c>
      <c r="B61" t="s">
        <v>84</v>
      </c>
      <c r="C61" s="2" t="s">
        <v>12</v>
      </c>
      <c r="D61" s="3" t="s">
        <v>13</v>
      </c>
      <c r="E61" t="s">
        <v>48</v>
      </c>
      <c r="F61" s="6" t="s">
        <v>18</v>
      </c>
    </row>
    <row r="62" spans="1:7" x14ac:dyDescent="0.25">
      <c r="A62" s="1">
        <v>62</v>
      </c>
      <c r="B62" t="s">
        <v>85</v>
      </c>
      <c r="C62" t="s">
        <v>64</v>
      </c>
      <c r="D62" s="6" t="s">
        <v>18</v>
      </c>
    </row>
    <row r="63" spans="1:7" x14ac:dyDescent="0.25">
      <c r="A63" s="1">
        <v>63</v>
      </c>
      <c r="B63" t="s">
        <v>86</v>
      </c>
      <c r="C63" s="6" t="s">
        <v>18</v>
      </c>
      <c r="D63" s="7" t="s">
        <v>29</v>
      </c>
      <c r="E63" s="8" t="s">
        <v>30</v>
      </c>
      <c r="F63" s="5" t="s">
        <v>17</v>
      </c>
    </row>
    <row r="64" spans="1:7" x14ac:dyDescent="0.25">
      <c r="A64" s="1">
        <v>64</v>
      </c>
      <c r="B64" t="s">
        <v>87</v>
      </c>
      <c r="C64" t="s">
        <v>48</v>
      </c>
      <c r="D64" s="4" t="s">
        <v>15</v>
      </c>
    </row>
    <row r="65" spans="1:8" x14ac:dyDescent="0.25">
      <c r="A65" s="1">
        <v>65</v>
      </c>
      <c r="B65" t="s">
        <v>88</v>
      </c>
      <c r="C65" t="s">
        <v>48</v>
      </c>
      <c r="D65" s="4" t="s">
        <v>15</v>
      </c>
    </row>
    <row r="66" spans="1:8" x14ac:dyDescent="0.25">
      <c r="A66" s="1">
        <v>66</v>
      </c>
      <c r="B66" t="s">
        <v>89</v>
      </c>
      <c r="C66" s="2" t="s">
        <v>12</v>
      </c>
      <c r="D66" s="3" t="s">
        <v>13</v>
      </c>
      <c r="E66" t="s">
        <v>64</v>
      </c>
      <c r="F66" s="4" t="s">
        <v>15</v>
      </c>
    </row>
    <row r="67" spans="1:8" x14ac:dyDescent="0.25">
      <c r="A67" s="1">
        <v>67</v>
      </c>
      <c r="B67" t="s">
        <v>90</v>
      </c>
      <c r="C67" t="s">
        <v>48</v>
      </c>
      <c r="D67" t="s">
        <v>46</v>
      </c>
      <c r="E67" s="6" t="s">
        <v>18</v>
      </c>
    </row>
    <row r="68" spans="1:8" x14ac:dyDescent="0.25">
      <c r="A68" s="1">
        <v>68</v>
      </c>
      <c r="B68" t="s">
        <v>91</v>
      </c>
      <c r="C68" s="2" t="s">
        <v>12</v>
      </c>
      <c r="D68" s="3" t="s">
        <v>13</v>
      </c>
      <c r="E68" t="s">
        <v>23</v>
      </c>
      <c r="F68" t="s">
        <v>48</v>
      </c>
    </row>
    <row r="69" spans="1:8" x14ac:dyDescent="0.25">
      <c r="A69" s="1">
        <v>69</v>
      </c>
      <c r="B69" t="s">
        <v>92</v>
      </c>
      <c r="C69" s="6" t="s">
        <v>18</v>
      </c>
    </row>
    <row r="70" spans="1:8" x14ac:dyDescent="0.25">
      <c r="A70" s="1">
        <v>70</v>
      </c>
      <c r="B70" t="s">
        <v>93</v>
      </c>
      <c r="C70" s="7" t="s">
        <v>29</v>
      </c>
      <c r="D70" s="8" t="s">
        <v>30</v>
      </c>
      <c r="E70" t="s">
        <v>23</v>
      </c>
      <c r="F70" t="s">
        <v>48</v>
      </c>
      <c r="G70" s="6" t="s">
        <v>18</v>
      </c>
    </row>
    <row r="71" spans="1:8" x14ac:dyDescent="0.25">
      <c r="A71" s="1">
        <v>71</v>
      </c>
      <c r="B71" t="s">
        <v>94</v>
      </c>
      <c r="C71" s="6" t="s">
        <v>18</v>
      </c>
    </row>
    <row r="72" spans="1:8" x14ac:dyDescent="0.25">
      <c r="A72" s="1">
        <v>72</v>
      </c>
      <c r="B72" t="s">
        <v>95</v>
      </c>
      <c r="C72" s="2" t="s">
        <v>12</v>
      </c>
      <c r="D72" s="3" t="s">
        <v>13</v>
      </c>
      <c r="E72" s="4" t="s">
        <v>15</v>
      </c>
    </row>
    <row r="73" spans="1:8" x14ac:dyDescent="0.25">
      <c r="A73" s="1">
        <v>73</v>
      </c>
      <c r="B73" t="s">
        <v>96</v>
      </c>
      <c r="C73" t="s">
        <v>34</v>
      </c>
    </row>
    <row r="74" spans="1:8" x14ac:dyDescent="0.25">
      <c r="A74" s="1">
        <v>74</v>
      </c>
      <c r="B74" t="s">
        <v>97</v>
      </c>
      <c r="C74" s="7" t="s">
        <v>29</v>
      </c>
      <c r="D74" s="8" t="s">
        <v>30</v>
      </c>
      <c r="E74" s="5" t="s">
        <v>17</v>
      </c>
      <c r="F74" t="s">
        <v>64</v>
      </c>
    </row>
    <row r="75" spans="1:8" x14ac:dyDescent="0.25">
      <c r="A75" s="1">
        <v>75</v>
      </c>
      <c r="B75" t="s">
        <v>98</v>
      </c>
      <c r="C75" s="2" t="s">
        <v>12</v>
      </c>
      <c r="D75" s="3" t="s">
        <v>13</v>
      </c>
      <c r="E75" t="s">
        <v>48</v>
      </c>
      <c r="F75" t="s">
        <v>23</v>
      </c>
      <c r="G75" s="6" t="s">
        <v>18</v>
      </c>
    </row>
    <row r="76" spans="1:8" x14ac:dyDescent="0.25">
      <c r="A76" s="1">
        <v>76</v>
      </c>
      <c r="B76" t="s">
        <v>99</v>
      </c>
      <c r="C76" s="6" t="s">
        <v>18</v>
      </c>
    </row>
    <row r="77" spans="1:8" x14ac:dyDescent="0.25">
      <c r="A77" s="1">
        <v>77</v>
      </c>
      <c r="B77" t="s">
        <v>100</v>
      </c>
      <c r="C77" s="2" t="s">
        <v>12</v>
      </c>
      <c r="D77" s="3" t="s">
        <v>13</v>
      </c>
      <c r="E77" t="s">
        <v>34</v>
      </c>
      <c r="F77" t="s">
        <v>48</v>
      </c>
      <c r="G77" t="s">
        <v>46</v>
      </c>
      <c r="H77" s="6" t="s">
        <v>18</v>
      </c>
    </row>
    <row r="78" spans="1:8" x14ac:dyDescent="0.25">
      <c r="A78" s="1">
        <v>78</v>
      </c>
      <c r="B78" t="s">
        <v>101</v>
      </c>
      <c r="C78" s="2" t="s">
        <v>12</v>
      </c>
      <c r="D78" s="3" t="s">
        <v>13</v>
      </c>
      <c r="E78" t="s">
        <v>48</v>
      </c>
      <c r="F78" t="s">
        <v>46</v>
      </c>
      <c r="G78" s="6" t="s">
        <v>18</v>
      </c>
    </row>
    <row r="79" spans="1:8" x14ac:dyDescent="0.25">
      <c r="A79" s="1">
        <v>79</v>
      </c>
      <c r="B79" t="s">
        <v>102</v>
      </c>
      <c r="C79" t="s">
        <v>23</v>
      </c>
    </row>
    <row r="80" spans="1:8" x14ac:dyDescent="0.25">
      <c r="A80" s="1">
        <v>80</v>
      </c>
      <c r="B80" t="s">
        <v>103</v>
      </c>
      <c r="C80" s="5" t="s">
        <v>17</v>
      </c>
      <c r="D80" s="6" t="s">
        <v>18</v>
      </c>
    </row>
    <row r="81" spans="1:7" x14ac:dyDescent="0.25">
      <c r="A81" s="1">
        <v>81</v>
      </c>
      <c r="B81" t="s">
        <v>104</v>
      </c>
      <c r="C81" s="5" t="s">
        <v>17</v>
      </c>
      <c r="D81" t="s">
        <v>64</v>
      </c>
      <c r="E81" s="6" t="s">
        <v>18</v>
      </c>
    </row>
    <row r="82" spans="1:7" x14ac:dyDescent="0.25">
      <c r="A82" s="1">
        <v>82</v>
      </c>
      <c r="B82" t="s">
        <v>105</v>
      </c>
      <c r="C82" s="7" t="s">
        <v>29</v>
      </c>
      <c r="D82" s="8" t="s">
        <v>30</v>
      </c>
      <c r="E82" t="s">
        <v>23</v>
      </c>
      <c r="F82" s="4" t="s">
        <v>15</v>
      </c>
    </row>
    <row r="83" spans="1:7" x14ac:dyDescent="0.25">
      <c r="A83" s="1">
        <v>83</v>
      </c>
      <c r="B83" t="s">
        <v>106</v>
      </c>
      <c r="C83" s="5" t="s">
        <v>17</v>
      </c>
      <c r="D83" s="6" t="s">
        <v>18</v>
      </c>
    </row>
    <row r="84" spans="1:7" x14ac:dyDescent="0.25">
      <c r="A84" s="1">
        <v>84</v>
      </c>
      <c r="B84" t="s">
        <v>107</v>
      </c>
      <c r="C84" s="5" t="s">
        <v>17</v>
      </c>
      <c r="D84" t="s">
        <v>64</v>
      </c>
      <c r="E84" s="4" t="s">
        <v>15</v>
      </c>
    </row>
    <row r="85" spans="1:7" x14ac:dyDescent="0.25">
      <c r="A85" s="1">
        <v>85</v>
      </c>
      <c r="B85" t="s">
        <v>108</v>
      </c>
      <c r="C85" s="2" t="s">
        <v>12</v>
      </c>
      <c r="D85" s="3" t="s">
        <v>13</v>
      </c>
    </row>
    <row r="86" spans="1:7" x14ac:dyDescent="0.25">
      <c r="A86" s="1">
        <v>86</v>
      </c>
      <c r="B86" t="s">
        <v>109</v>
      </c>
      <c r="C86" s="2" t="s">
        <v>12</v>
      </c>
      <c r="D86" s="3" t="s">
        <v>13</v>
      </c>
      <c r="E86" t="s">
        <v>48</v>
      </c>
      <c r="F86" s="4" t="s">
        <v>15</v>
      </c>
    </row>
    <row r="87" spans="1:7" x14ac:dyDescent="0.25">
      <c r="A87" s="1">
        <v>87</v>
      </c>
      <c r="B87" t="s">
        <v>110</v>
      </c>
      <c r="C87" s="2" t="s">
        <v>12</v>
      </c>
      <c r="D87" s="3" t="s">
        <v>13</v>
      </c>
      <c r="E87" t="s">
        <v>64</v>
      </c>
      <c r="F87" s="4" t="s">
        <v>15</v>
      </c>
    </row>
    <row r="88" spans="1:7" x14ac:dyDescent="0.25">
      <c r="A88" s="1">
        <v>88</v>
      </c>
      <c r="B88" t="s">
        <v>111</v>
      </c>
      <c r="C88" s="7" t="s">
        <v>29</v>
      </c>
      <c r="D88" s="8" t="s">
        <v>30</v>
      </c>
    </row>
    <row r="89" spans="1:7" x14ac:dyDescent="0.25">
      <c r="A89" s="1">
        <v>89</v>
      </c>
      <c r="B89" t="s">
        <v>112</v>
      </c>
      <c r="C89" s="2" t="s">
        <v>12</v>
      </c>
      <c r="D89" s="3" t="s">
        <v>13</v>
      </c>
    </row>
    <row r="90" spans="1:7" x14ac:dyDescent="0.25">
      <c r="A90" s="1">
        <v>90</v>
      </c>
      <c r="B90" t="s">
        <v>113</v>
      </c>
      <c r="C90" s="2" t="s">
        <v>12</v>
      </c>
      <c r="D90" s="3" t="s">
        <v>13</v>
      </c>
    </row>
    <row r="91" spans="1:7" x14ac:dyDescent="0.25">
      <c r="A91" s="1">
        <v>91</v>
      </c>
      <c r="B91" t="s">
        <v>114</v>
      </c>
      <c r="C91" s="2" t="s">
        <v>12</v>
      </c>
      <c r="D91" s="3" t="s">
        <v>13</v>
      </c>
      <c r="E91" t="s">
        <v>48</v>
      </c>
      <c r="F91" t="s">
        <v>46</v>
      </c>
      <c r="G91" s="6" t="s">
        <v>18</v>
      </c>
    </row>
    <row r="92" spans="1:7" x14ac:dyDescent="0.25">
      <c r="A92" s="1">
        <v>92</v>
      </c>
      <c r="B92" t="s">
        <v>115</v>
      </c>
      <c r="C92" s="2" t="s">
        <v>12</v>
      </c>
      <c r="D92" s="3" t="s">
        <v>13</v>
      </c>
      <c r="E92" t="s">
        <v>46</v>
      </c>
      <c r="F92" s="4" t="s">
        <v>15</v>
      </c>
    </row>
    <row r="93" spans="1:7" x14ac:dyDescent="0.25">
      <c r="A93" s="1">
        <v>93</v>
      </c>
      <c r="B93" t="s">
        <v>116</v>
      </c>
      <c r="C93" s="5" t="s">
        <v>17</v>
      </c>
      <c r="D93" t="s">
        <v>64</v>
      </c>
    </row>
    <row r="94" spans="1:7" x14ac:dyDescent="0.25">
      <c r="A94" s="1">
        <v>94</v>
      </c>
      <c r="B94" t="s">
        <v>117</v>
      </c>
      <c r="C94" s="2" t="s">
        <v>12</v>
      </c>
      <c r="D94" s="3" t="s">
        <v>13</v>
      </c>
      <c r="E94" t="s">
        <v>34</v>
      </c>
      <c r="F94" s="6" t="s">
        <v>18</v>
      </c>
    </row>
    <row r="95" spans="1:7" x14ac:dyDescent="0.25">
      <c r="A95" s="1">
        <v>95</v>
      </c>
      <c r="B95" t="s">
        <v>118</v>
      </c>
      <c r="C95" s="4" t="s">
        <v>15</v>
      </c>
    </row>
    <row r="96" spans="1:7" x14ac:dyDescent="0.25">
      <c r="A96" s="1">
        <v>96</v>
      </c>
      <c r="B96" t="s">
        <v>119</v>
      </c>
      <c r="C96" s="9" t="s">
        <v>42</v>
      </c>
      <c r="D96" s="7" t="s">
        <v>29</v>
      </c>
      <c r="E96" s="8" t="s">
        <v>30</v>
      </c>
      <c r="F96" s="4" t="s">
        <v>15</v>
      </c>
    </row>
    <row r="97" spans="1:8" x14ac:dyDescent="0.25">
      <c r="A97" s="1">
        <v>97</v>
      </c>
      <c r="B97" t="s">
        <v>120</v>
      </c>
      <c r="C97" s="9" t="s">
        <v>42</v>
      </c>
      <c r="D97" s="5" t="s">
        <v>17</v>
      </c>
      <c r="E97" s="6" t="s">
        <v>18</v>
      </c>
    </row>
    <row r="98" spans="1:8" x14ac:dyDescent="0.25">
      <c r="A98" s="1">
        <v>98</v>
      </c>
      <c r="B98" t="s">
        <v>121</v>
      </c>
      <c r="C98" s="5" t="s">
        <v>17</v>
      </c>
    </row>
    <row r="99" spans="1:8" x14ac:dyDescent="0.25">
      <c r="A99" s="1">
        <v>99</v>
      </c>
      <c r="B99" t="s">
        <v>122</v>
      </c>
      <c r="C99" s="9" t="s">
        <v>42</v>
      </c>
      <c r="D99" s="5" t="s">
        <v>17</v>
      </c>
    </row>
    <row r="100" spans="1:8" x14ac:dyDescent="0.25">
      <c r="A100" s="1">
        <v>100</v>
      </c>
      <c r="B100" t="s">
        <v>123</v>
      </c>
      <c r="C100" t="s">
        <v>46</v>
      </c>
      <c r="D100" s="4" t="s">
        <v>15</v>
      </c>
    </row>
    <row r="101" spans="1:8" x14ac:dyDescent="0.25">
      <c r="A101" s="1">
        <v>101</v>
      </c>
      <c r="B101" t="s">
        <v>124</v>
      </c>
      <c r="C101" s="2" t="s">
        <v>12</v>
      </c>
      <c r="D101" s="3" t="s">
        <v>13</v>
      </c>
      <c r="E101" t="s">
        <v>48</v>
      </c>
      <c r="F101" s="6" t="s">
        <v>18</v>
      </c>
    </row>
    <row r="102" spans="1:8" x14ac:dyDescent="0.25">
      <c r="A102" s="1">
        <v>102</v>
      </c>
      <c r="B102" t="s">
        <v>125</v>
      </c>
      <c r="C102" s="5" t="s">
        <v>17</v>
      </c>
      <c r="D102" s="7" t="s">
        <v>29</v>
      </c>
      <c r="E102" s="8" t="s">
        <v>30</v>
      </c>
      <c r="F102" s="4" t="s">
        <v>15</v>
      </c>
    </row>
    <row r="103" spans="1:8" x14ac:dyDescent="0.25">
      <c r="A103" s="1">
        <v>103</v>
      </c>
      <c r="B103" t="s">
        <v>126</v>
      </c>
      <c r="C103" s="2" t="s">
        <v>12</v>
      </c>
      <c r="D103" s="3" t="s">
        <v>13</v>
      </c>
    </row>
    <row r="104" spans="1:8" x14ac:dyDescent="0.25">
      <c r="A104" s="1">
        <v>105</v>
      </c>
      <c r="B104" t="s">
        <v>127</v>
      </c>
      <c r="C104" s="5" t="s">
        <v>17</v>
      </c>
      <c r="D104" t="s">
        <v>23</v>
      </c>
      <c r="E104" s="6" t="s">
        <v>18</v>
      </c>
    </row>
    <row r="105" spans="1:8" x14ac:dyDescent="0.25">
      <c r="A105" s="1">
        <v>106</v>
      </c>
      <c r="B105" t="s">
        <v>128</v>
      </c>
      <c r="C105" s="5" t="s">
        <v>17</v>
      </c>
      <c r="D105" s="7" t="s">
        <v>29</v>
      </c>
      <c r="E105" s="8" t="s">
        <v>30</v>
      </c>
      <c r="F105" t="s">
        <v>23</v>
      </c>
      <c r="G105" s="6" t="s">
        <v>18</v>
      </c>
    </row>
    <row r="106" spans="1:8" x14ac:dyDescent="0.25">
      <c r="A106" s="1">
        <v>107</v>
      </c>
      <c r="B106" t="s">
        <v>129</v>
      </c>
      <c r="C106" s="7" t="s">
        <v>29</v>
      </c>
      <c r="D106" s="8" t="s">
        <v>30</v>
      </c>
      <c r="E106" s="2" t="s">
        <v>12</v>
      </c>
      <c r="F106" s="3" t="s">
        <v>13</v>
      </c>
      <c r="G106" t="s">
        <v>46</v>
      </c>
      <c r="H106" s="4" t="s">
        <v>15</v>
      </c>
    </row>
    <row r="107" spans="1:8" x14ac:dyDescent="0.25">
      <c r="A107" s="1">
        <v>108</v>
      </c>
      <c r="B107" t="s">
        <v>130</v>
      </c>
      <c r="C107" s="9" t="s">
        <v>42</v>
      </c>
      <c r="D107" s="4" t="s">
        <v>15</v>
      </c>
    </row>
    <row r="108" spans="1:8" x14ac:dyDescent="0.25">
      <c r="A108" s="1">
        <v>109</v>
      </c>
      <c r="B108" t="s">
        <v>131</v>
      </c>
      <c r="C108" s="9" t="s">
        <v>42</v>
      </c>
      <c r="D108" s="2" t="s">
        <v>12</v>
      </c>
      <c r="E108" t="s">
        <v>48</v>
      </c>
      <c r="F108" s="3" t="s">
        <v>13</v>
      </c>
    </row>
    <row r="109" spans="1:8" x14ac:dyDescent="0.25">
      <c r="A109" s="1">
        <v>110</v>
      </c>
      <c r="B109" t="s">
        <v>132</v>
      </c>
      <c r="C109" s="9" t="s">
        <v>42</v>
      </c>
      <c r="D109" s="4" t="s">
        <v>15</v>
      </c>
    </row>
    <row r="110" spans="1:8" x14ac:dyDescent="0.25">
      <c r="A110" s="1">
        <v>111</v>
      </c>
      <c r="B110" t="s">
        <v>133</v>
      </c>
      <c r="C110" s="9" t="s">
        <v>42</v>
      </c>
      <c r="D110" s="5" t="s">
        <v>17</v>
      </c>
      <c r="E110" t="s">
        <v>64</v>
      </c>
      <c r="F110" s="4" t="s">
        <v>15</v>
      </c>
    </row>
    <row r="111" spans="1:8" x14ac:dyDescent="0.25">
      <c r="A111" s="1">
        <v>112</v>
      </c>
      <c r="B111" t="s">
        <v>134</v>
      </c>
      <c r="C111" s="9" t="s">
        <v>42</v>
      </c>
      <c r="D111" s="7" t="s">
        <v>29</v>
      </c>
      <c r="E111" s="8" t="s">
        <v>30</v>
      </c>
    </row>
    <row r="112" spans="1:8" x14ac:dyDescent="0.25">
      <c r="A112" s="1">
        <v>113</v>
      </c>
      <c r="B112" t="s">
        <v>135</v>
      </c>
      <c r="C112" s="9" t="s">
        <v>42</v>
      </c>
      <c r="D112" s="5" t="s">
        <v>17</v>
      </c>
    </row>
    <row r="113" spans="1:6" x14ac:dyDescent="0.25">
      <c r="A113" s="1">
        <v>114</v>
      </c>
      <c r="B113" t="s">
        <v>136</v>
      </c>
      <c r="C113" s="2" t="s">
        <v>12</v>
      </c>
      <c r="D113" s="3" t="s">
        <v>13</v>
      </c>
      <c r="E113" t="s">
        <v>23</v>
      </c>
      <c r="F113" s="6" t="s">
        <v>18</v>
      </c>
    </row>
    <row r="114" spans="1:6" x14ac:dyDescent="0.25">
      <c r="A114" s="1">
        <v>115</v>
      </c>
      <c r="B114" t="s">
        <v>137</v>
      </c>
      <c r="C114" s="6" t="s">
        <v>18</v>
      </c>
    </row>
    <row r="115" spans="1:6" x14ac:dyDescent="0.25">
      <c r="A115" s="1">
        <v>116</v>
      </c>
      <c r="B115" t="s">
        <v>138</v>
      </c>
      <c r="C115" t="s">
        <v>34</v>
      </c>
      <c r="D115" s="6" t="s">
        <v>18</v>
      </c>
    </row>
    <row r="116" spans="1:6" x14ac:dyDescent="0.25">
      <c r="A116" s="1">
        <v>117</v>
      </c>
      <c r="B116" t="s">
        <v>139</v>
      </c>
      <c r="C116" s="5" t="s">
        <v>17</v>
      </c>
      <c r="D116" s="6" t="s">
        <v>18</v>
      </c>
    </row>
    <row r="117" spans="1:6" x14ac:dyDescent="0.25">
      <c r="A117" s="1">
        <v>118</v>
      </c>
      <c r="B117" t="s">
        <v>140</v>
      </c>
      <c r="C117" s="5" t="s">
        <v>17</v>
      </c>
      <c r="D117" s="6" t="s">
        <v>18</v>
      </c>
    </row>
    <row r="118" spans="1:6" x14ac:dyDescent="0.25">
      <c r="A118" s="1">
        <v>119</v>
      </c>
      <c r="B118" t="s">
        <v>141</v>
      </c>
      <c r="C118" s="6" t="s">
        <v>18</v>
      </c>
    </row>
    <row r="119" spans="1:6" x14ac:dyDescent="0.25">
      <c r="A119" s="1">
        <v>120</v>
      </c>
      <c r="B119" t="s">
        <v>142</v>
      </c>
      <c r="C119" s="2" t="s">
        <v>12</v>
      </c>
      <c r="D119" s="3" t="s">
        <v>13</v>
      </c>
      <c r="E119" s="4" t="s">
        <v>15</v>
      </c>
    </row>
    <row r="120" spans="1:6" x14ac:dyDescent="0.25">
      <c r="A120" s="1">
        <v>121</v>
      </c>
      <c r="B120" t="s">
        <v>143</v>
      </c>
      <c r="C120" t="s">
        <v>64</v>
      </c>
      <c r="D120" s="6" t="s">
        <v>18</v>
      </c>
    </row>
    <row r="121" spans="1:6" x14ac:dyDescent="0.25">
      <c r="A121" s="1">
        <v>122</v>
      </c>
      <c r="B121" t="s">
        <v>144</v>
      </c>
      <c r="C121" s="2" t="s">
        <v>12</v>
      </c>
      <c r="D121" s="3" t="s">
        <v>13</v>
      </c>
      <c r="E121" s="4" t="s">
        <v>15</v>
      </c>
    </row>
    <row r="122" spans="1:6" x14ac:dyDescent="0.25">
      <c r="A122" s="1">
        <v>123</v>
      </c>
      <c r="B122" t="s">
        <v>145</v>
      </c>
      <c r="C122" s="7" t="s">
        <v>29</v>
      </c>
      <c r="D122" s="8" t="s">
        <v>30</v>
      </c>
      <c r="E122" s="6" t="s">
        <v>18</v>
      </c>
    </row>
    <row r="123" spans="1:6" x14ac:dyDescent="0.25">
      <c r="A123" s="1">
        <v>124</v>
      </c>
      <c r="B123" t="s">
        <v>146</v>
      </c>
      <c r="C123" s="6" t="s">
        <v>18</v>
      </c>
    </row>
    <row r="124" spans="1:6" x14ac:dyDescent="0.25">
      <c r="A124" s="1">
        <v>125</v>
      </c>
      <c r="B124" t="s">
        <v>147</v>
      </c>
      <c r="C124" s="6" t="s">
        <v>18</v>
      </c>
    </row>
    <row r="125" spans="1:6" x14ac:dyDescent="0.25">
      <c r="A125" s="1">
        <v>126</v>
      </c>
      <c r="B125" t="s">
        <v>148</v>
      </c>
      <c r="C125" s="5" t="s">
        <v>17</v>
      </c>
      <c r="D125" t="s">
        <v>64</v>
      </c>
    </row>
    <row r="126" spans="1:6" x14ac:dyDescent="0.25">
      <c r="A126" s="1">
        <v>127</v>
      </c>
      <c r="B126" t="s">
        <v>149</v>
      </c>
      <c r="C126" s="2" t="s">
        <v>12</v>
      </c>
      <c r="D126" s="3" t="s">
        <v>13</v>
      </c>
      <c r="E126" t="s">
        <v>48</v>
      </c>
      <c r="F126" s="4" t="s">
        <v>15</v>
      </c>
    </row>
    <row r="127" spans="1:6" x14ac:dyDescent="0.25">
      <c r="A127" s="1">
        <v>128</v>
      </c>
      <c r="B127" t="s">
        <v>150</v>
      </c>
      <c r="C127" t="s">
        <v>23</v>
      </c>
      <c r="D127" s="6" t="s">
        <v>18</v>
      </c>
    </row>
    <row r="128" spans="1:6" x14ac:dyDescent="0.25">
      <c r="A128" s="1">
        <v>129</v>
      </c>
      <c r="B128" t="s">
        <v>151</v>
      </c>
      <c r="C128" s="2" t="s">
        <v>12</v>
      </c>
      <c r="D128" s="3" t="s">
        <v>13</v>
      </c>
      <c r="E128" t="s">
        <v>23</v>
      </c>
      <c r="F128" s="6" t="s">
        <v>18</v>
      </c>
    </row>
    <row r="129" spans="1:7" x14ac:dyDescent="0.25">
      <c r="A129" s="1">
        <v>130</v>
      </c>
      <c r="B129" t="s">
        <v>152</v>
      </c>
      <c r="C129" s="9" t="s">
        <v>42</v>
      </c>
      <c r="D129" s="2" t="s">
        <v>12</v>
      </c>
      <c r="E129" s="3" t="s">
        <v>13</v>
      </c>
    </row>
    <row r="130" spans="1:7" x14ac:dyDescent="0.25">
      <c r="A130" s="1">
        <v>131</v>
      </c>
      <c r="B130" t="s">
        <v>13</v>
      </c>
      <c r="C130" s="2" t="s">
        <v>12</v>
      </c>
      <c r="D130" s="3" t="s">
        <v>13</v>
      </c>
      <c r="E130" t="s">
        <v>48</v>
      </c>
    </row>
    <row r="131" spans="1:7" x14ac:dyDescent="0.25">
      <c r="A131" s="1">
        <v>132</v>
      </c>
      <c r="B131" t="s">
        <v>153</v>
      </c>
      <c r="C131" t="s">
        <v>34</v>
      </c>
      <c r="D131" s="6" t="s">
        <v>18</v>
      </c>
    </row>
    <row r="132" spans="1:7" x14ac:dyDescent="0.25">
      <c r="A132" s="1">
        <v>133</v>
      </c>
      <c r="B132" t="s">
        <v>154</v>
      </c>
      <c r="C132" s="2" t="s">
        <v>12</v>
      </c>
      <c r="D132" s="3" t="s">
        <v>13</v>
      </c>
      <c r="E132" t="s">
        <v>31</v>
      </c>
    </row>
    <row r="133" spans="1:7" x14ac:dyDescent="0.25">
      <c r="A133" s="1">
        <v>134</v>
      </c>
      <c r="B133" t="s">
        <v>155</v>
      </c>
      <c r="C133" s="5" t="s">
        <v>17</v>
      </c>
      <c r="D133" s="6" t="s">
        <v>18</v>
      </c>
    </row>
    <row r="134" spans="1:7" x14ac:dyDescent="0.25">
      <c r="A134" s="1">
        <v>135</v>
      </c>
      <c r="B134" t="s">
        <v>156</v>
      </c>
      <c r="C134" s="5" t="s">
        <v>17</v>
      </c>
      <c r="D134" s="4" t="s">
        <v>15</v>
      </c>
    </row>
    <row r="135" spans="1:7" x14ac:dyDescent="0.25">
      <c r="A135" s="1">
        <v>136</v>
      </c>
      <c r="B135" t="s">
        <v>157</v>
      </c>
      <c r="C135" s="5" t="s">
        <v>17</v>
      </c>
      <c r="D135" t="s">
        <v>23</v>
      </c>
      <c r="E135" s="6" t="s">
        <v>18</v>
      </c>
    </row>
    <row r="136" spans="1:7" x14ac:dyDescent="0.25">
      <c r="A136" s="1">
        <v>137</v>
      </c>
      <c r="B136" t="s">
        <v>158</v>
      </c>
      <c r="C136" s="6" t="s">
        <v>18</v>
      </c>
      <c r="D136" t="s">
        <v>34</v>
      </c>
    </row>
    <row r="137" spans="1:7" x14ac:dyDescent="0.25">
      <c r="A137" s="1">
        <v>138</v>
      </c>
      <c r="B137" t="s">
        <v>159</v>
      </c>
      <c r="C137" s="2" t="s">
        <v>12</v>
      </c>
      <c r="D137" s="3" t="s">
        <v>13</v>
      </c>
      <c r="E137" t="s">
        <v>48</v>
      </c>
      <c r="F137" t="s">
        <v>46</v>
      </c>
      <c r="G137" s="6" t="s">
        <v>18</v>
      </c>
    </row>
    <row r="138" spans="1:7" x14ac:dyDescent="0.25">
      <c r="A138" s="1">
        <v>139</v>
      </c>
      <c r="B138" t="s">
        <v>160</v>
      </c>
      <c r="C138" s="5" t="s">
        <v>17</v>
      </c>
      <c r="D138" t="s">
        <v>48</v>
      </c>
      <c r="E138" s="4" t="s">
        <v>15</v>
      </c>
    </row>
    <row r="139" spans="1:7" x14ac:dyDescent="0.25">
      <c r="A139" s="1">
        <v>140</v>
      </c>
      <c r="B139" t="s">
        <v>161</v>
      </c>
      <c r="C139" s="2" t="s">
        <v>12</v>
      </c>
      <c r="D139" s="3" t="s">
        <v>13</v>
      </c>
      <c r="E139" t="s">
        <v>46</v>
      </c>
    </row>
    <row r="140" spans="1:7" x14ac:dyDescent="0.25">
      <c r="A140" s="1">
        <v>141</v>
      </c>
      <c r="B140" t="s">
        <v>162</v>
      </c>
      <c r="C140" s="5" t="s">
        <v>17</v>
      </c>
      <c r="D140" s="6" t="s">
        <v>18</v>
      </c>
    </row>
    <row r="141" spans="1:7" x14ac:dyDescent="0.25">
      <c r="A141" s="1">
        <v>142</v>
      </c>
      <c r="B141" t="s">
        <v>163</v>
      </c>
      <c r="C141" s="2" t="s">
        <v>12</v>
      </c>
      <c r="D141" s="3" t="s">
        <v>13</v>
      </c>
      <c r="E141" t="s">
        <v>48</v>
      </c>
    </row>
    <row r="142" spans="1:7" x14ac:dyDescent="0.25">
      <c r="A142" s="1">
        <v>143</v>
      </c>
      <c r="B142" t="s">
        <v>164</v>
      </c>
      <c r="C142" s="2" t="s">
        <v>12</v>
      </c>
      <c r="D142" s="3" t="s">
        <v>13</v>
      </c>
      <c r="E142" s="4" t="s">
        <v>15</v>
      </c>
    </row>
    <row r="143" spans="1:7" x14ac:dyDescent="0.25">
      <c r="A143" s="1">
        <v>144</v>
      </c>
      <c r="B143" t="s">
        <v>165</v>
      </c>
      <c r="C143" s="9" t="s">
        <v>42</v>
      </c>
    </row>
    <row r="144" spans="1:7" x14ac:dyDescent="0.25">
      <c r="A144" s="1">
        <v>145</v>
      </c>
      <c r="B144" t="s">
        <v>166</v>
      </c>
      <c r="C144" t="s">
        <v>31</v>
      </c>
      <c r="D144" t="s">
        <v>34</v>
      </c>
    </row>
    <row r="145" spans="1:6" x14ac:dyDescent="0.25">
      <c r="A145" s="1">
        <v>146</v>
      </c>
      <c r="B145" t="s">
        <v>167</v>
      </c>
      <c r="C145" s="5" t="s">
        <v>17</v>
      </c>
    </row>
    <row r="146" spans="1:6" x14ac:dyDescent="0.25">
      <c r="A146" s="1">
        <v>147</v>
      </c>
      <c r="B146" t="s">
        <v>168</v>
      </c>
      <c r="C146" s="5" t="s">
        <v>17</v>
      </c>
      <c r="D146" s="6" t="s">
        <v>18</v>
      </c>
    </row>
    <row r="147" spans="1:6" x14ac:dyDescent="0.25">
      <c r="A147" s="1">
        <v>148</v>
      </c>
      <c r="B147" t="s">
        <v>169</v>
      </c>
      <c r="C147" s="4" t="s">
        <v>15</v>
      </c>
    </row>
    <row r="148" spans="1:6" x14ac:dyDescent="0.25">
      <c r="A148" s="1">
        <v>149</v>
      </c>
      <c r="B148" t="s">
        <v>170</v>
      </c>
      <c r="C148" s="9" t="s">
        <v>42</v>
      </c>
    </row>
    <row r="149" spans="1:6" x14ac:dyDescent="0.25">
      <c r="A149" s="1">
        <v>150</v>
      </c>
      <c r="B149" t="s">
        <v>171</v>
      </c>
      <c r="C149" t="s">
        <v>23</v>
      </c>
      <c r="D149" s="6" t="s">
        <v>18</v>
      </c>
    </row>
    <row r="150" spans="1:6" x14ac:dyDescent="0.25">
      <c r="A150" s="1">
        <v>151</v>
      </c>
      <c r="B150" t="s">
        <v>172</v>
      </c>
      <c r="C150" s="4" t="s">
        <v>15</v>
      </c>
    </row>
    <row r="151" spans="1:6" x14ac:dyDescent="0.25">
      <c r="A151" s="1">
        <v>152</v>
      </c>
      <c r="B151" t="s">
        <v>173</v>
      </c>
      <c r="C151" s="6" t="s">
        <v>18</v>
      </c>
    </row>
    <row r="152" spans="1:6" x14ac:dyDescent="0.25">
      <c r="A152" s="1">
        <v>153</v>
      </c>
      <c r="B152" t="s">
        <v>174</v>
      </c>
      <c r="C152" s="5" t="s">
        <v>17</v>
      </c>
      <c r="D152" s="6" t="s">
        <v>18</v>
      </c>
    </row>
    <row r="153" spans="1:6" x14ac:dyDescent="0.25">
      <c r="A153" s="1">
        <v>154</v>
      </c>
      <c r="B153" t="s">
        <v>175</v>
      </c>
      <c r="C153" s="9" t="s">
        <v>42</v>
      </c>
      <c r="D153" t="s">
        <v>46</v>
      </c>
      <c r="E153" s="6" t="s">
        <v>18</v>
      </c>
    </row>
    <row r="154" spans="1:6" x14ac:dyDescent="0.25">
      <c r="A154" s="1">
        <v>155</v>
      </c>
      <c r="B154" t="s">
        <v>176</v>
      </c>
      <c r="C154" s="9" t="s">
        <v>42</v>
      </c>
      <c r="D154" s="5" t="s">
        <v>17</v>
      </c>
      <c r="E154" t="s">
        <v>64</v>
      </c>
    </row>
    <row r="155" spans="1:6" x14ac:dyDescent="0.25">
      <c r="A155" s="1">
        <v>156</v>
      </c>
      <c r="B155" t="s">
        <v>177</v>
      </c>
      <c r="C155" s="9" t="s">
        <v>42</v>
      </c>
      <c r="D155" s="5" t="s">
        <v>17</v>
      </c>
      <c r="E155" t="s">
        <v>64</v>
      </c>
    </row>
    <row r="156" spans="1:6" x14ac:dyDescent="0.25">
      <c r="A156" s="1">
        <v>157</v>
      </c>
      <c r="B156" t="s">
        <v>178</v>
      </c>
      <c r="C156" s="2" t="s">
        <v>12</v>
      </c>
      <c r="D156" s="3" t="s">
        <v>13</v>
      </c>
      <c r="E156" s="6" t="s">
        <v>18</v>
      </c>
      <c r="F156" t="s">
        <v>34</v>
      </c>
    </row>
    <row r="157" spans="1:6" x14ac:dyDescent="0.25">
      <c r="A157" s="1">
        <v>158</v>
      </c>
      <c r="B157" t="s">
        <v>179</v>
      </c>
      <c r="C157" s="5" t="s">
        <v>17</v>
      </c>
      <c r="D157" s="6" t="s">
        <v>18</v>
      </c>
    </row>
    <row r="158" spans="1:6" x14ac:dyDescent="0.25">
      <c r="A158" s="1">
        <v>159</v>
      </c>
      <c r="B158" t="s">
        <v>180</v>
      </c>
      <c r="C158" s="5" t="s">
        <v>17</v>
      </c>
      <c r="D158" s="6" t="s">
        <v>18</v>
      </c>
    </row>
    <row r="159" spans="1:6" x14ac:dyDescent="0.25">
      <c r="A159" s="1">
        <v>160</v>
      </c>
      <c r="B159" t="s">
        <v>181</v>
      </c>
      <c r="C159" s="9" t="s">
        <v>42</v>
      </c>
      <c r="D159" s="2" t="s">
        <v>12</v>
      </c>
      <c r="E159" s="3" t="s">
        <v>13</v>
      </c>
      <c r="F159" t="s">
        <v>64</v>
      </c>
    </row>
    <row r="160" spans="1:6" x14ac:dyDescent="0.25">
      <c r="A160" s="1">
        <v>161</v>
      </c>
      <c r="B160" t="s">
        <v>182</v>
      </c>
      <c r="C160" s="5" t="s">
        <v>17</v>
      </c>
      <c r="D160" t="s">
        <v>23</v>
      </c>
      <c r="E160" s="6" t="s">
        <v>18</v>
      </c>
    </row>
    <row r="161" spans="1:9" x14ac:dyDescent="0.25">
      <c r="A161" s="1">
        <v>162</v>
      </c>
      <c r="B161" t="s">
        <v>183</v>
      </c>
      <c r="C161" s="7" t="s">
        <v>29</v>
      </c>
      <c r="D161" s="8" t="s">
        <v>30</v>
      </c>
      <c r="E161" s="2" t="s">
        <v>12</v>
      </c>
      <c r="F161" s="3" t="s">
        <v>13</v>
      </c>
      <c r="G161" t="s">
        <v>48</v>
      </c>
      <c r="H161" s="6" t="s">
        <v>18</v>
      </c>
    </row>
    <row r="162" spans="1:9" x14ac:dyDescent="0.25">
      <c r="A162" s="1">
        <v>163</v>
      </c>
      <c r="B162" t="s">
        <v>184</v>
      </c>
      <c r="C162" s="9" t="s">
        <v>42</v>
      </c>
      <c r="D162" s="7" t="s">
        <v>29</v>
      </c>
      <c r="E162" s="8" t="s">
        <v>30</v>
      </c>
      <c r="F162" s="2" t="s">
        <v>12</v>
      </c>
      <c r="G162" s="3" t="s">
        <v>13</v>
      </c>
      <c r="H162" t="s">
        <v>46</v>
      </c>
      <c r="I162" s="4" t="s">
        <v>15</v>
      </c>
    </row>
    <row r="163" spans="1:9" x14ac:dyDescent="0.25">
      <c r="A163" s="1">
        <v>164</v>
      </c>
      <c r="B163" t="s">
        <v>185</v>
      </c>
      <c r="C163" s="7" t="s">
        <v>29</v>
      </c>
      <c r="D163" s="8" t="s">
        <v>30</v>
      </c>
      <c r="E163" t="s">
        <v>31</v>
      </c>
    </row>
    <row r="164" spans="1:9" x14ac:dyDescent="0.25">
      <c r="A164" s="1">
        <v>165</v>
      </c>
      <c r="B164" t="s">
        <v>186</v>
      </c>
      <c r="C164" s="7" t="s">
        <v>29</v>
      </c>
      <c r="D164" s="8" t="s">
        <v>30</v>
      </c>
      <c r="E164" t="s">
        <v>31</v>
      </c>
    </row>
    <row r="165" spans="1:9" x14ac:dyDescent="0.25">
      <c r="A165" s="1">
        <v>166</v>
      </c>
      <c r="B165" t="s">
        <v>187</v>
      </c>
      <c r="C165" s="2" t="s">
        <v>12</v>
      </c>
      <c r="D165" s="3" t="s">
        <v>13</v>
      </c>
      <c r="E165" t="s">
        <v>23</v>
      </c>
      <c r="F165" t="s">
        <v>48</v>
      </c>
      <c r="G165" s="6" t="s">
        <v>18</v>
      </c>
    </row>
    <row r="166" spans="1:9" x14ac:dyDescent="0.25">
      <c r="A166" s="1">
        <v>167</v>
      </c>
      <c r="B166" t="s">
        <v>188</v>
      </c>
      <c r="C166" s="2" t="s">
        <v>12</v>
      </c>
      <c r="D166" s="3" t="s">
        <v>13</v>
      </c>
    </row>
    <row r="167" spans="1:9" x14ac:dyDescent="0.25">
      <c r="A167" s="1">
        <v>168</v>
      </c>
      <c r="B167" t="s">
        <v>189</v>
      </c>
      <c r="C167" s="7" t="s">
        <v>29</v>
      </c>
      <c r="D167" s="8" t="s">
        <v>30</v>
      </c>
      <c r="E167" s="4" t="s">
        <v>15</v>
      </c>
    </row>
    <row r="168" spans="1:9" x14ac:dyDescent="0.25">
      <c r="A168" s="1">
        <v>169</v>
      </c>
      <c r="B168" t="s">
        <v>190</v>
      </c>
      <c r="C168" s="2" t="s">
        <v>12</v>
      </c>
      <c r="D168" s="3" t="s">
        <v>13</v>
      </c>
    </row>
    <row r="169" spans="1:9" x14ac:dyDescent="0.25">
      <c r="A169" s="1">
        <v>170</v>
      </c>
      <c r="B169" t="s">
        <v>191</v>
      </c>
      <c r="C169" s="7" t="s">
        <v>29</v>
      </c>
      <c r="D169" s="8" t="s">
        <v>30</v>
      </c>
      <c r="E169" s="4" t="s">
        <v>15</v>
      </c>
      <c r="F169" s="6" t="s">
        <v>18</v>
      </c>
    </row>
    <row r="170" spans="1:9" x14ac:dyDescent="0.25">
      <c r="A170" s="1">
        <v>171</v>
      </c>
      <c r="B170" t="s">
        <v>192</v>
      </c>
      <c r="C170" s="9" t="s">
        <v>42</v>
      </c>
      <c r="D170" s="7" t="s">
        <v>29</v>
      </c>
      <c r="E170" s="8" t="s">
        <v>30</v>
      </c>
    </row>
    <row r="171" spans="1:9" x14ac:dyDescent="0.25">
      <c r="A171" s="1">
        <v>172</v>
      </c>
      <c r="B171" t="s">
        <v>193</v>
      </c>
      <c r="C171" s="7" t="s">
        <v>29</v>
      </c>
      <c r="D171" s="8" t="s">
        <v>30</v>
      </c>
      <c r="E171" s="4" t="s">
        <v>15</v>
      </c>
    </row>
    <row r="172" spans="1:9" x14ac:dyDescent="0.25">
      <c r="A172" s="1">
        <v>173</v>
      </c>
      <c r="B172" t="s">
        <v>194</v>
      </c>
      <c r="C172" s="4" t="s">
        <v>15</v>
      </c>
    </row>
    <row r="173" spans="1:9" x14ac:dyDescent="0.25">
      <c r="A173" s="1">
        <v>174</v>
      </c>
      <c r="B173" t="s">
        <v>195</v>
      </c>
      <c r="C173" s="7" t="s">
        <v>29</v>
      </c>
      <c r="D173" s="8" t="s">
        <v>30</v>
      </c>
      <c r="E173" t="s">
        <v>31</v>
      </c>
    </row>
    <row r="174" spans="1:9" x14ac:dyDescent="0.25">
      <c r="A174" s="1">
        <v>175</v>
      </c>
      <c r="B174" t="s">
        <v>196</v>
      </c>
      <c r="C174" s="5" t="s">
        <v>17</v>
      </c>
      <c r="D174" s="6" t="s">
        <v>18</v>
      </c>
    </row>
    <row r="175" spans="1:9" x14ac:dyDescent="0.25">
      <c r="A175" s="1">
        <v>176</v>
      </c>
      <c r="B175" t="s">
        <v>197</v>
      </c>
      <c r="C175" t="s">
        <v>23</v>
      </c>
      <c r="D175" s="6" t="s">
        <v>18</v>
      </c>
    </row>
    <row r="176" spans="1:9" x14ac:dyDescent="0.25">
      <c r="A176" s="1">
        <v>177</v>
      </c>
      <c r="B176" t="s">
        <v>198</v>
      </c>
      <c r="C176" t="s">
        <v>23</v>
      </c>
      <c r="D176" t="s">
        <v>46</v>
      </c>
      <c r="E176" s="6" t="s">
        <v>18</v>
      </c>
    </row>
    <row r="177" spans="1:5" x14ac:dyDescent="0.25">
      <c r="A177" s="1">
        <v>178</v>
      </c>
      <c r="B177" t="s">
        <v>199</v>
      </c>
      <c r="C177" s="5" t="s">
        <v>17</v>
      </c>
      <c r="D177" t="s">
        <v>23</v>
      </c>
      <c r="E177" s="4" t="s">
        <v>15</v>
      </c>
    </row>
    <row r="178" spans="1:5" x14ac:dyDescent="0.25">
      <c r="A178" s="10">
        <v>179</v>
      </c>
      <c r="B178" s="11" t="s">
        <v>200</v>
      </c>
      <c r="C178" s="5"/>
      <c r="E178" s="4"/>
    </row>
    <row r="179" spans="1:5" x14ac:dyDescent="0.25">
      <c r="A179" s="12">
        <v>180</v>
      </c>
      <c r="B179" s="13" t="s">
        <v>201</v>
      </c>
      <c r="C179" s="5"/>
      <c r="E179" s="4"/>
    </row>
    <row r="180" spans="1:5" x14ac:dyDescent="0.25">
      <c r="A180" s="10">
        <v>181</v>
      </c>
      <c r="B180" s="11" t="s">
        <v>202</v>
      </c>
      <c r="C180" s="2" t="s">
        <v>12</v>
      </c>
      <c r="E180" s="4"/>
    </row>
    <row r="181" spans="1:5" x14ac:dyDescent="0.25">
      <c r="A181" s="12">
        <v>182</v>
      </c>
      <c r="B181" s="13" t="s">
        <v>203</v>
      </c>
      <c r="C181" s="5"/>
      <c r="E181" s="4"/>
    </row>
    <row r="182" spans="1:5" x14ac:dyDescent="0.25">
      <c r="A182" s="10">
        <v>183</v>
      </c>
      <c r="B182" s="11" t="s">
        <v>204</v>
      </c>
      <c r="C182" s="5"/>
      <c r="E182" s="4"/>
    </row>
    <row r="183" spans="1:5" x14ac:dyDescent="0.25">
      <c r="A183" s="12">
        <v>185</v>
      </c>
      <c r="B183" s="13" t="s">
        <v>205</v>
      </c>
      <c r="C183" s="5"/>
      <c r="E183" s="4"/>
    </row>
    <row r="184" spans="1:5" x14ac:dyDescent="0.25">
      <c r="A184" s="10">
        <v>186</v>
      </c>
      <c r="B184" s="11" t="s">
        <v>206</v>
      </c>
      <c r="C184" s="5"/>
      <c r="E184" s="4"/>
    </row>
    <row r="185" spans="1:5" x14ac:dyDescent="0.25">
      <c r="A185" s="12">
        <v>187</v>
      </c>
      <c r="B185" s="13" t="s">
        <v>207</v>
      </c>
      <c r="C185" s="5"/>
      <c r="E185" s="4"/>
    </row>
    <row r="186" spans="1:5" x14ac:dyDescent="0.25">
      <c r="A186" s="10">
        <v>188</v>
      </c>
      <c r="B186" s="11" t="s">
        <v>208</v>
      </c>
      <c r="C186" s="5" t="s">
        <v>30</v>
      </c>
      <c r="D186" t="s">
        <v>209</v>
      </c>
      <c r="E186" s="4" t="s">
        <v>12</v>
      </c>
    </row>
    <row r="187" spans="1:5" x14ac:dyDescent="0.25">
      <c r="A187" s="12">
        <v>189</v>
      </c>
      <c r="B187" s="13" t="s">
        <v>210</v>
      </c>
      <c r="C187" s="5"/>
      <c r="E187" s="4"/>
    </row>
    <row r="188" spans="1:5" x14ac:dyDescent="0.25">
      <c r="A188" s="10">
        <v>191</v>
      </c>
      <c r="B188" s="11" t="s">
        <v>211</v>
      </c>
      <c r="C188" s="5"/>
      <c r="E188" s="4"/>
    </row>
    <row r="189" spans="1:5" x14ac:dyDescent="0.25">
      <c r="A189" s="12">
        <v>192</v>
      </c>
      <c r="B189" s="13" t="s">
        <v>211</v>
      </c>
      <c r="C189" s="5" t="s">
        <v>212</v>
      </c>
      <c r="E189" s="4"/>
    </row>
    <row r="190" spans="1:5" x14ac:dyDescent="0.25">
      <c r="A190" s="10">
        <v>193</v>
      </c>
      <c r="B190" s="11" t="s">
        <v>213</v>
      </c>
      <c r="C190" s="5"/>
      <c r="E190" s="4"/>
    </row>
    <row r="191" spans="1:5" x14ac:dyDescent="0.25">
      <c r="A191" s="12">
        <v>194</v>
      </c>
      <c r="B191" s="13" t="s">
        <v>214</v>
      </c>
      <c r="C191" s="5"/>
      <c r="E191" s="4"/>
    </row>
    <row r="192" spans="1:5" x14ac:dyDescent="0.25">
      <c r="A192" s="10">
        <v>197</v>
      </c>
      <c r="B192" s="11" t="s">
        <v>215</v>
      </c>
      <c r="C192" s="5"/>
      <c r="E192" s="4"/>
    </row>
    <row r="193" spans="1:5" x14ac:dyDescent="0.25">
      <c r="A193" s="12">
        <v>200</v>
      </c>
      <c r="B193" s="13" t="s">
        <v>216</v>
      </c>
      <c r="C193" s="5"/>
      <c r="E193" s="4"/>
    </row>
    <row r="194" spans="1:5" x14ac:dyDescent="0.25">
      <c r="A194" s="10">
        <v>204</v>
      </c>
      <c r="B194" s="11" t="s">
        <v>217</v>
      </c>
      <c r="C194" s="5" t="s">
        <v>29</v>
      </c>
      <c r="D194" t="s">
        <v>30</v>
      </c>
      <c r="E194" s="4"/>
    </row>
    <row r="195" spans="1:5" x14ac:dyDescent="0.25">
      <c r="A195" s="12">
        <v>205</v>
      </c>
      <c r="B195" s="13" t="s">
        <v>218</v>
      </c>
      <c r="C195" s="5" t="s">
        <v>12</v>
      </c>
      <c r="E195" s="4"/>
    </row>
    <row r="196" spans="1:5" x14ac:dyDescent="0.25">
      <c r="A196" s="10">
        <v>206</v>
      </c>
      <c r="B196" s="11" t="s">
        <v>219</v>
      </c>
      <c r="C196" s="5" t="s">
        <v>12</v>
      </c>
      <c r="E196" s="4"/>
    </row>
    <row r="197" spans="1:5" x14ac:dyDescent="0.25">
      <c r="A197" s="12">
        <v>208</v>
      </c>
      <c r="B197" s="13" t="s">
        <v>220</v>
      </c>
      <c r="C197" s="5"/>
      <c r="E197" s="4"/>
    </row>
    <row r="198" spans="1:5" x14ac:dyDescent="0.25">
      <c r="A198" s="10">
        <v>209</v>
      </c>
      <c r="B198" s="11" t="s">
        <v>221</v>
      </c>
      <c r="C198" s="5"/>
      <c r="E198" s="4"/>
    </row>
    <row r="199" spans="1:5" x14ac:dyDescent="0.25">
      <c r="A199" s="12">
        <v>210</v>
      </c>
      <c r="B199" s="13" t="s">
        <v>222</v>
      </c>
      <c r="C199" s="5"/>
      <c r="E199" s="4"/>
    </row>
    <row r="200" spans="1:5" x14ac:dyDescent="0.25">
      <c r="A200" s="10">
        <v>211</v>
      </c>
      <c r="B200" s="11" t="s">
        <v>223</v>
      </c>
      <c r="C200" s="5"/>
      <c r="E200" s="4"/>
    </row>
    <row r="201" spans="1:5" x14ac:dyDescent="0.25">
      <c r="A201" s="12">
        <v>212</v>
      </c>
      <c r="B201" s="13" t="s">
        <v>224</v>
      </c>
      <c r="C201" s="5"/>
      <c r="E201" s="4"/>
    </row>
    <row r="202" spans="1:5" x14ac:dyDescent="0.25">
      <c r="A202" s="10">
        <v>214</v>
      </c>
      <c r="B202" s="11" t="s">
        <v>225</v>
      </c>
      <c r="C202" s="5"/>
      <c r="E202" s="4"/>
    </row>
    <row r="203" spans="1:5" x14ac:dyDescent="0.25">
      <c r="A203" s="12">
        <v>215</v>
      </c>
      <c r="B203" s="13" t="s">
        <v>226</v>
      </c>
      <c r="C203" s="5"/>
      <c r="E203" s="4"/>
    </row>
    <row r="204" spans="1:5" x14ac:dyDescent="0.25">
      <c r="A204" s="10">
        <v>216</v>
      </c>
      <c r="B204" s="11" t="s">
        <v>227</v>
      </c>
      <c r="C204" s="5"/>
      <c r="E204" s="4"/>
    </row>
    <row r="205" spans="1:5" x14ac:dyDescent="0.25">
      <c r="A205" s="12">
        <v>217</v>
      </c>
      <c r="B205" s="13" t="s">
        <v>228</v>
      </c>
      <c r="C205" s="5"/>
      <c r="E205" s="4"/>
    </row>
    <row r="206" spans="1:5" x14ac:dyDescent="0.25">
      <c r="A206" s="10">
        <v>218</v>
      </c>
      <c r="B206" s="11" t="s">
        <v>229</v>
      </c>
      <c r="C206" s="5"/>
      <c r="E206" s="4"/>
    </row>
    <row r="207" spans="1:5" x14ac:dyDescent="0.25">
      <c r="A207" s="12">
        <v>219</v>
      </c>
      <c r="B207" s="13" t="s">
        <v>230</v>
      </c>
      <c r="C207" s="5"/>
      <c r="E207" s="4"/>
    </row>
    <row r="208" spans="1:5" x14ac:dyDescent="0.25">
      <c r="A208" s="10">
        <v>220</v>
      </c>
      <c r="B208" s="11" t="s">
        <v>231</v>
      </c>
      <c r="C208" s="5"/>
      <c r="E208" s="4"/>
    </row>
    <row r="209" spans="1:6" x14ac:dyDescent="0.25">
      <c r="A209" s="14">
        <v>221</v>
      </c>
      <c r="B209" s="15" t="s">
        <v>232</v>
      </c>
      <c r="C209" s="5"/>
      <c r="E209" s="4"/>
    </row>
    <row r="210" spans="1:6" x14ac:dyDescent="0.25">
      <c r="A210" s="16">
        <v>222</v>
      </c>
      <c r="B210" s="17" t="s">
        <v>233</v>
      </c>
      <c r="C210" t="s">
        <v>48</v>
      </c>
      <c r="D210" s="6" t="s">
        <v>18</v>
      </c>
    </row>
    <row r="211" spans="1:6" x14ac:dyDescent="0.25">
      <c r="A211" s="14">
        <v>223</v>
      </c>
      <c r="B211" s="15" t="s">
        <v>234</v>
      </c>
      <c r="C211" s="9" t="s">
        <v>42</v>
      </c>
      <c r="D211" s="6" t="s">
        <v>18</v>
      </c>
    </row>
    <row r="212" spans="1:6" x14ac:dyDescent="0.25">
      <c r="A212" s="16">
        <v>224</v>
      </c>
      <c r="B212" s="17" t="s">
        <v>235</v>
      </c>
      <c r="C212" t="s">
        <v>48</v>
      </c>
      <c r="D212" s="4" t="s">
        <v>15</v>
      </c>
    </row>
    <row r="213" spans="1:6" x14ac:dyDescent="0.25">
      <c r="A213" s="14">
        <v>225</v>
      </c>
      <c r="B213" s="15" t="s">
        <v>236</v>
      </c>
      <c r="C213" s="4" t="s">
        <v>15</v>
      </c>
    </row>
    <row r="214" spans="1:6" x14ac:dyDescent="0.25">
      <c r="A214" s="16">
        <v>226</v>
      </c>
      <c r="B214" s="17" t="s">
        <v>237</v>
      </c>
      <c r="C214" s="5" t="s">
        <v>17</v>
      </c>
    </row>
    <row r="215" spans="1:6" x14ac:dyDescent="0.25">
      <c r="A215" s="14">
        <v>227</v>
      </c>
      <c r="B215" s="15" t="s">
        <v>238</v>
      </c>
      <c r="C215" s="5"/>
    </row>
    <row r="216" spans="1:6" x14ac:dyDescent="0.25">
      <c r="A216" s="16">
        <v>228</v>
      </c>
      <c r="B216" s="17" t="s">
        <v>239</v>
      </c>
      <c r="C216" s="6" t="s">
        <v>18</v>
      </c>
    </row>
    <row r="217" spans="1:6" x14ac:dyDescent="0.25">
      <c r="A217" s="14">
        <v>229</v>
      </c>
      <c r="B217" s="15" t="s">
        <v>240</v>
      </c>
      <c r="C217" s="4" t="s">
        <v>15</v>
      </c>
    </row>
    <row r="218" spans="1:6" x14ac:dyDescent="0.25">
      <c r="A218" s="16">
        <v>230</v>
      </c>
      <c r="B218" s="17" t="s">
        <v>241</v>
      </c>
      <c r="C218" s="4" t="s">
        <v>15</v>
      </c>
    </row>
    <row r="219" spans="1:6" x14ac:dyDescent="0.25">
      <c r="A219" s="14">
        <v>231</v>
      </c>
      <c r="B219" s="15" t="s">
        <v>242</v>
      </c>
      <c r="C219" s="5" t="s">
        <v>17</v>
      </c>
      <c r="D219" s="6" t="s">
        <v>18</v>
      </c>
    </row>
    <row r="220" spans="1:6" x14ac:dyDescent="0.25">
      <c r="A220" s="16">
        <v>232</v>
      </c>
      <c r="B220" s="17" t="s">
        <v>243</v>
      </c>
      <c r="C220" s="6" t="s">
        <v>18</v>
      </c>
    </row>
    <row r="221" spans="1:6" x14ac:dyDescent="0.25">
      <c r="A221" s="14">
        <v>233</v>
      </c>
      <c r="B221" s="15" t="s">
        <v>244</v>
      </c>
      <c r="C221" s="6" t="s">
        <v>18</v>
      </c>
    </row>
    <row r="222" spans="1:6" x14ac:dyDescent="0.25">
      <c r="A222" s="16">
        <v>234</v>
      </c>
      <c r="B222" s="17" t="s">
        <v>245</v>
      </c>
      <c r="C222" s="6" t="s">
        <v>18</v>
      </c>
    </row>
    <row r="223" spans="1:6" x14ac:dyDescent="0.25">
      <c r="A223" s="14">
        <v>235</v>
      </c>
      <c r="B223" s="15" t="s">
        <v>246</v>
      </c>
      <c r="C223" s="5" t="s">
        <v>17</v>
      </c>
    </row>
    <row r="224" spans="1:6" x14ac:dyDescent="0.25">
      <c r="A224" s="16">
        <v>236</v>
      </c>
      <c r="B224" s="17" t="s">
        <v>247</v>
      </c>
      <c r="C224" s="7" t="s">
        <v>29</v>
      </c>
      <c r="D224" s="8" t="s">
        <v>30</v>
      </c>
      <c r="E224" s="5" t="s">
        <v>17</v>
      </c>
      <c r="F224" s="6" t="s">
        <v>18</v>
      </c>
    </row>
    <row r="225" spans="1:5" x14ac:dyDescent="0.25">
      <c r="A225" s="18">
        <v>237</v>
      </c>
      <c r="B225" s="19" t="s">
        <v>248</v>
      </c>
      <c r="C225" s="2" t="s">
        <v>12</v>
      </c>
      <c r="D225" s="3" t="s">
        <v>13</v>
      </c>
    </row>
    <row r="226" spans="1:5" x14ac:dyDescent="0.25">
      <c r="A226" s="20">
        <v>238</v>
      </c>
      <c r="B226" s="21" t="s">
        <v>249</v>
      </c>
      <c r="C226" s="2"/>
      <c r="D226" s="3"/>
    </row>
    <row r="227" spans="1:5" x14ac:dyDescent="0.25">
      <c r="A227" s="18">
        <v>239</v>
      </c>
      <c r="B227" s="19" t="s">
        <v>250</v>
      </c>
      <c r="C227" s="2"/>
      <c r="D227" s="3"/>
    </row>
    <row r="228" spans="1:5" x14ac:dyDescent="0.25">
      <c r="A228" s="20">
        <v>240</v>
      </c>
      <c r="B228" s="21" t="s">
        <v>251</v>
      </c>
      <c r="C228" s="6" t="s">
        <v>18</v>
      </c>
    </row>
    <row r="229" spans="1:5" x14ac:dyDescent="0.25">
      <c r="A229" s="18">
        <v>241</v>
      </c>
      <c r="B229" s="19" t="s">
        <v>252</v>
      </c>
      <c r="C229" s="2" t="s">
        <v>12</v>
      </c>
      <c r="D229" s="3" t="s">
        <v>13</v>
      </c>
      <c r="E229" s="6" t="s">
        <v>18</v>
      </c>
    </row>
    <row r="230" spans="1:5" x14ac:dyDescent="0.25">
      <c r="A230" s="20">
        <v>242</v>
      </c>
      <c r="B230" s="21" t="s">
        <v>253</v>
      </c>
      <c r="C230" s="2"/>
      <c r="D230" s="3"/>
      <c r="E230" s="6"/>
    </row>
    <row r="231" spans="1:5" x14ac:dyDescent="0.25">
      <c r="A231" s="18">
        <v>243</v>
      </c>
      <c r="B231" s="19" t="s">
        <v>254</v>
      </c>
      <c r="C231" s="6" t="s">
        <v>18</v>
      </c>
    </row>
    <row r="232" spans="1:5" x14ac:dyDescent="0.2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sheetPr codeName="Sheet8"/>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9" sqref="E9"/>
    </sheetView>
  </sheetViews>
  <sheetFormatPr defaultRowHeight="15" x14ac:dyDescent="0.25"/>
  <cols>
    <col min="1" max="1" width="0.7109375" customWidth="1"/>
    <col min="2" max="2" width="6.5703125" style="1" bestFit="1" customWidth="1"/>
    <col min="3" max="3" width="9.5703125" style="1" bestFit="1" customWidth="1"/>
    <col min="4" max="4" width="18.42578125" style="1" bestFit="1" customWidth="1"/>
    <col min="5" max="5" width="10.28515625" style="1" bestFit="1" customWidth="1"/>
    <col min="6" max="6" width="6.5703125" style="1" bestFit="1" customWidth="1"/>
    <col min="7" max="7" width="88" customWidth="1"/>
    <col min="8" max="8" width="79" style="1" bestFit="1" customWidth="1"/>
  </cols>
  <sheetData>
    <row r="1" spans="2:9" hidden="1" x14ac:dyDescent="0.25"/>
    <row r="2" spans="2:9" x14ac:dyDescent="0.25">
      <c r="B2" s="1" t="s">
        <v>1227</v>
      </c>
      <c r="C2" s="1" t="s">
        <v>258</v>
      </c>
      <c r="D2" s="1" t="s">
        <v>989</v>
      </c>
      <c r="E2" s="1" t="s">
        <v>992</v>
      </c>
      <c r="F2" s="1" t="s">
        <v>991</v>
      </c>
      <c r="G2" t="s">
        <v>1038</v>
      </c>
      <c r="H2" t="s">
        <v>1116</v>
      </c>
      <c r="I2" s="1" t="s">
        <v>1025</v>
      </c>
    </row>
    <row r="3" spans="2:9" ht="45" x14ac:dyDescent="0.25">
      <c r="B3" s="42">
        <v>1</v>
      </c>
      <c r="C3" s="42" t="str">
        <f t="shared" ref="C3:C34" si="0">LOWER(_xlfn.CONCAT("ait",LEFT(D3,1)&amp;"s"&amp;E3&amp;F3))</f>
        <v>aitos1c</v>
      </c>
      <c r="D3" s="1" t="s">
        <v>990</v>
      </c>
      <c r="E3" s="1">
        <v>1</v>
      </c>
      <c r="F3" s="1" t="s">
        <v>987</v>
      </c>
      <c r="G3" s="38" t="s">
        <v>1026</v>
      </c>
      <c r="H3" s="41" t="s">
        <v>1179</v>
      </c>
      <c r="I3" s="1" t="s">
        <v>1011</v>
      </c>
    </row>
    <row r="4" spans="2:9" ht="30" x14ac:dyDescent="0.25">
      <c r="B4" s="42">
        <v>2</v>
      </c>
      <c r="C4" s="42" t="str">
        <f t="shared" si="0"/>
        <v>aitos2c</v>
      </c>
      <c r="D4" s="1" t="s">
        <v>990</v>
      </c>
      <c r="E4" s="1">
        <v>2</v>
      </c>
      <c r="F4" s="1" t="s">
        <v>987</v>
      </c>
      <c r="G4" s="38" t="s">
        <v>1002</v>
      </c>
      <c r="H4" s="41" t="s">
        <v>1117</v>
      </c>
      <c r="I4" s="1" t="s">
        <v>1011</v>
      </c>
    </row>
    <row r="5" spans="2:9" ht="30" x14ac:dyDescent="0.25">
      <c r="B5" s="42">
        <v>3</v>
      </c>
      <c r="C5" s="42" t="str">
        <f t="shared" si="0"/>
        <v>aitos3c</v>
      </c>
      <c r="D5" s="1" t="s">
        <v>990</v>
      </c>
      <c r="E5" s="1">
        <v>3</v>
      </c>
      <c r="F5" s="1" t="s">
        <v>987</v>
      </c>
      <c r="G5" s="38" t="s">
        <v>1003</v>
      </c>
      <c r="H5" s="41" t="s">
        <v>1086</v>
      </c>
      <c r="I5" s="1" t="s">
        <v>1011</v>
      </c>
    </row>
    <row r="6" spans="2:9" ht="30" x14ac:dyDescent="0.25">
      <c r="B6" s="42">
        <v>4</v>
      </c>
      <c r="C6" s="42" t="str">
        <f t="shared" si="0"/>
        <v>aitos4c</v>
      </c>
      <c r="D6" s="1" t="s">
        <v>990</v>
      </c>
      <c r="E6" s="1">
        <v>4</v>
      </c>
      <c r="F6" s="1" t="s">
        <v>987</v>
      </c>
      <c r="G6" s="38" t="s">
        <v>1004</v>
      </c>
      <c r="H6" s="41" t="s">
        <v>1086</v>
      </c>
      <c r="I6" s="1" t="s">
        <v>1011</v>
      </c>
    </row>
    <row r="7" spans="2:9" ht="45" x14ac:dyDescent="0.25">
      <c r="B7" s="42">
        <v>5</v>
      </c>
      <c r="C7" s="42" t="str">
        <f t="shared" si="0"/>
        <v>aitos5c</v>
      </c>
      <c r="D7" s="1" t="s">
        <v>990</v>
      </c>
      <c r="E7" s="1">
        <v>5</v>
      </c>
      <c r="F7" s="1" t="s">
        <v>987</v>
      </c>
      <c r="G7" s="38" t="s">
        <v>1006</v>
      </c>
      <c r="H7" s="41" t="s">
        <v>1118</v>
      </c>
      <c r="I7" s="1" t="s">
        <v>1011</v>
      </c>
    </row>
    <row r="8" spans="2:9" ht="45" x14ac:dyDescent="0.25">
      <c r="B8" s="42">
        <v>6</v>
      </c>
      <c r="C8" s="42" t="str">
        <f t="shared" si="0"/>
        <v>aitos6c</v>
      </c>
      <c r="D8" s="1" t="s">
        <v>990</v>
      </c>
      <c r="E8" s="1">
        <v>6</v>
      </c>
      <c r="F8" s="1" t="s">
        <v>987</v>
      </c>
      <c r="G8" s="38" t="s">
        <v>1005</v>
      </c>
      <c r="H8" s="41" t="s">
        <v>1119</v>
      </c>
      <c r="I8" s="1" t="s">
        <v>1011</v>
      </c>
    </row>
    <row r="9" spans="2:9" ht="60" x14ac:dyDescent="0.25">
      <c r="B9" s="42">
        <v>7</v>
      </c>
      <c r="C9" s="42" t="str">
        <f t="shared" si="0"/>
        <v>aitos7c</v>
      </c>
      <c r="D9" s="1" t="s">
        <v>990</v>
      </c>
      <c r="E9" s="1">
        <v>7</v>
      </c>
      <c r="F9" s="1" t="s">
        <v>987</v>
      </c>
      <c r="G9" s="38" t="s">
        <v>1007</v>
      </c>
      <c r="H9" s="41" t="s">
        <v>1120</v>
      </c>
      <c r="I9" s="1" t="s">
        <v>1011</v>
      </c>
    </row>
    <row r="10" spans="2:9" ht="30" x14ac:dyDescent="0.25">
      <c r="B10" s="42">
        <v>8</v>
      </c>
      <c r="C10" s="42" t="str">
        <f t="shared" si="0"/>
        <v>aitos8c</v>
      </c>
      <c r="D10" s="1" t="s">
        <v>990</v>
      </c>
      <c r="E10" s="1">
        <v>8</v>
      </c>
      <c r="F10" s="1" t="s">
        <v>987</v>
      </c>
      <c r="G10" s="38" t="s">
        <v>1008</v>
      </c>
      <c r="H10" s="41" t="s">
        <v>1066</v>
      </c>
      <c r="I10" s="1" t="s">
        <v>1011</v>
      </c>
    </row>
    <row r="11" spans="2:9" ht="60" x14ac:dyDescent="0.25">
      <c r="B11" s="42">
        <v>9</v>
      </c>
      <c r="C11" s="42" t="str">
        <f t="shared" si="0"/>
        <v>aitos9c</v>
      </c>
      <c r="D11" s="1" t="s">
        <v>990</v>
      </c>
      <c r="E11" s="1">
        <v>9</v>
      </c>
      <c r="F11" s="1" t="s">
        <v>987</v>
      </c>
      <c r="G11" s="38" t="s">
        <v>1009</v>
      </c>
      <c r="H11" s="41" t="s">
        <v>1121</v>
      </c>
      <c r="I11" s="1" t="s">
        <v>1011</v>
      </c>
    </row>
    <row r="12" spans="2:9" ht="30" x14ac:dyDescent="0.25">
      <c r="B12" s="42">
        <v>10</v>
      </c>
      <c r="C12" s="42" t="str">
        <f t="shared" si="0"/>
        <v>aitos10c</v>
      </c>
      <c r="D12" s="1" t="s">
        <v>990</v>
      </c>
      <c r="E12" s="1">
        <v>10</v>
      </c>
      <c r="F12" s="1" t="s">
        <v>987</v>
      </c>
      <c r="G12" s="38" t="s">
        <v>1010</v>
      </c>
      <c r="H12" s="41" t="s">
        <v>1085</v>
      </c>
      <c r="I12" s="1" t="s">
        <v>1011</v>
      </c>
    </row>
    <row r="13" spans="2:9" ht="30" x14ac:dyDescent="0.25">
      <c r="B13" s="42">
        <v>11</v>
      </c>
      <c r="C13" s="42" t="str">
        <f t="shared" si="0"/>
        <v>aitos11c</v>
      </c>
      <c r="D13" s="1" t="s">
        <v>990</v>
      </c>
      <c r="E13" s="1">
        <v>11</v>
      </c>
      <c r="F13" s="1" t="s">
        <v>987</v>
      </c>
      <c r="G13" s="38" t="s">
        <v>1013</v>
      </c>
      <c r="H13" s="41" t="s">
        <v>1122</v>
      </c>
      <c r="I13" s="1" t="s">
        <v>1011</v>
      </c>
    </row>
    <row r="14" spans="2:9" ht="45" x14ac:dyDescent="0.25">
      <c r="B14" s="42">
        <v>12</v>
      </c>
      <c r="C14" s="42" t="str">
        <f t="shared" si="0"/>
        <v>aitos12c</v>
      </c>
      <c r="D14" s="1" t="s">
        <v>990</v>
      </c>
      <c r="E14" s="1">
        <v>12</v>
      </c>
      <c r="F14" s="1" t="s">
        <v>987</v>
      </c>
      <c r="G14" s="38" t="s">
        <v>1014</v>
      </c>
      <c r="H14" s="41" t="s">
        <v>1063</v>
      </c>
      <c r="I14" s="1" t="s">
        <v>1011</v>
      </c>
    </row>
    <row r="15" spans="2:9" ht="30" x14ac:dyDescent="0.25">
      <c r="B15" s="42">
        <v>13</v>
      </c>
      <c r="C15" s="42" t="str">
        <f t="shared" si="0"/>
        <v>aitos13c</v>
      </c>
      <c r="D15" s="1" t="s">
        <v>990</v>
      </c>
      <c r="E15" s="1">
        <v>13</v>
      </c>
      <c r="F15" s="1" t="s">
        <v>987</v>
      </c>
      <c r="G15" s="38" t="s">
        <v>1015</v>
      </c>
      <c r="H15" s="41" t="s">
        <v>1123</v>
      </c>
      <c r="I15" s="1" t="s">
        <v>1011</v>
      </c>
    </row>
    <row r="16" spans="2:9" ht="60" x14ac:dyDescent="0.25">
      <c r="B16" s="42">
        <v>14</v>
      </c>
      <c r="C16" s="42" t="str">
        <f t="shared" si="0"/>
        <v>aitos14c</v>
      </c>
      <c r="D16" s="1" t="s">
        <v>990</v>
      </c>
      <c r="E16" s="1">
        <v>14</v>
      </c>
      <c r="F16" s="1" t="s">
        <v>987</v>
      </c>
      <c r="G16" s="38" t="s">
        <v>1016</v>
      </c>
      <c r="H16" s="41" t="s">
        <v>1124</v>
      </c>
      <c r="I16" s="1" t="s">
        <v>1011</v>
      </c>
    </row>
    <row r="17" spans="2:9" ht="30" x14ac:dyDescent="0.25">
      <c r="B17" s="42">
        <v>15</v>
      </c>
      <c r="C17" s="42" t="str">
        <f t="shared" si="0"/>
        <v>aitos15c</v>
      </c>
      <c r="D17" s="1" t="s">
        <v>990</v>
      </c>
      <c r="E17" s="1">
        <v>15</v>
      </c>
      <c r="F17" s="1" t="s">
        <v>987</v>
      </c>
      <c r="G17" s="38" t="s">
        <v>1017</v>
      </c>
      <c r="H17" s="41" t="s">
        <v>1125</v>
      </c>
      <c r="I17" s="1" t="s">
        <v>1011</v>
      </c>
    </row>
    <row r="18" spans="2:9" ht="45" x14ac:dyDescent="0.25">
      <c r="B18" s="42">
        <v>16</v>
      </c>
      <c r="C18" s="42" t="str">
        <f t="shared" si="0"/>
        <v>aitos16c</v>
      </c>
      <c r="D18" s="1" t="s">
        <v>990</v>
      </c>
      <c r="E18" s="1">
        <v>16</v>
      </c>
      <c r="F18" s="1" t="s">
        <v>987</v>
      </c>
      <c r="G18" s="38" t="s">
        <v>1018</v>
      </c>
      <c r="H18" s="41" t="s">
        <v>1126</v>
      </c>
      <c r="I18" s="1" t="s">
        <v>1011</v>
      </c>
    </row>
    <row r="19" spans="2:9" ht="30" x14ac:dyDescent="0.25">
      <c r="B19" s="42">
        <v>17</v>
      </c>
      <c r="C19" s="42" t="str">
        <f t="shared" si="0"/>
        <v>aitos17c</v>
      </c>
      <c r="D19" s="1" t="s">
        <v>990</v>
      </c>
      <c r="E19" s="1">
        <v>17</v>
      </c>
      <c r="F19" s="1" t="s">
        <v>987</v>
      </c>
      <c r="G19" s="38" t="s">
        <v>1019</v>
      </c>
      <c r="H19" s="41" t="s">
        <v>1127</v>
      </c>
      <c r="I19" s="1" t="s">
        <v>1011</v>
      </c>
    </row>
    <row r="20" spans="2:9" ht="30" x14ac:dyDescent="0.25">
      <c r="B20" s="42">
        <v>18</v>
      </c>
      <c r="C20" s="42" t="str">
        <f t="shared" si="0"/>
        <v>aitos18c</v>
      </c>
      <c r="D20" s="1" t="s">
        <v>990</v>
      </c>
      <c r="E20" s="1">
        <v>18</v>
      </c>
      <c r="F20" s="1" t="s">
        <v>987</v>
      </c>
      <c r="G20" s="38" t="s">
        <v>1020</v>
      </c>
      <c r="H20" s="41" t="s">
        <v>1108</v>
      </c>
      <c r="I20" s="1" t="s">
        <v>1011</v>
      </c>
    </row>
    <row r="21" spans="2:9" ht="45" x14ac:dyDescent="0.25">
      <c r="B21" s="42">
        <v>19</v>
      </c>
      <c r="C21" s="42" t="str">
        <f t="shared" si="0"/>
        <v>aitos19c</v>
      </c>
      <c r="D21" s="1" t="s">
        <v>990</v>
      </c>
      <c r="E21" s="1">
        <v>19</v>
      </c>
      <c r="F21" s="1" t="s">
        <v>987</v>
      </c>
      <c r="G21" s="38" t="s">
        <v>1021</v>
      </c>
      <c r="H21" s="41" t="s">
        <v>1128</v>
      </c>
      <c r="I21" s="1" t="s">
        <v>1011</v>
      </c>
    </row>
    <row r="22" spans="2:9" ht="45" x14ac:dyDescent="0.25">
      <c r="B22" s="42">
        <v>20</v>
      </c>
      <c r="C22" s="42" t="str">
        <f t="shared" si="0"/>
        <v>aitos20c</v>
      </c>
      <c r="D22" s="1" t="s">
        <v>990</v>
      </c>
      <c r="E22" s="1">
        <v>20</v>
      </c>
      <c r="F22" s="1" t="s">
        <v>987</v>
      </c>
      <c r="G22" s="38" t="s">
        <v>1022</v>
      </c>
      <c r="H22" s="41" t="s">
        <v>1063</v>
      </c>
      <c r="I22" s="1" t="s">
        <v>1011</v>
      </c>
    </row>
    <row r="23" spans="2:9" ht="45" x14ac:dyDescent="0.25">
      <c r="B23" s="42">
        <v>21</v>
      </c>
      <c r="C23" s="42" t="str">
        <f t="shared" si="0"/>
        <v>aitos21c</v>
      </c>
      <c r="D23" s="1" t="s">
        <v>990</v>
      </c>
      <c r="E23" s="1">
        <v>21</v>
      </c>
      <c r="F23" s="1" t="s">
        <v>987</v>
      </c>
      <c r="G23" s="38" t="s">
        <v>1023</v>
      </c>
      <c r="H23" s="41" t="s">
        <v>1129</v>
      </c>
      <c r="I23" s="1" t="s">
        <v>1011</v>
      </c>
    </row>
    <row r="24" spans="2:9" ht="45" x14ac:dyDescent="0.25">
      <c r="B24" s="42">
        <v>22</v>
      </c>
      <c r="C24" s="42" t="str">
        <f t="shared" si="0"/>
        <v>aitos22c</v>
      </c>
      <c r="D24" s="1" t="s">
        <v>990</v>
      </c>
      <c r="E24" s="1">
        <v>22</v>
      </c>
      <c r="F24" s="1" t="s">
        <v>987</v>
      </c>
      <c r="G24" s="38" t="s">
        <v>1024</v>
      </c>
      <c r="H24" s="41" t="s">
        <v>1130</v>
      </c>
      <c r="I24" s="1" t="s">
        <v>1011</v>
      </c>
    </row>
    <row r="25" spans="2:9" ht="30" x14ac:dyDescent="0.25">
      <c r="B25" s="42">
        <v>23</v>
      </c>
      <c r="C25" s="42" t="str">
        <f t="shared" si="0"/>
        <v>aitos23c</v>
      </c>
      <c r="D25" s="1" t="s">
        <v>990</v>
      </c>
      <c r="E25" s="1">
        <v>23</v>
      </c>
      <c r="F25" s="1" t="s">
        <v>987</v>
      </c>
      <c r="G25" s="38" t="s">
        <v>995</v>
      </c>
      <c r="H25" s="41" t="s">
        <v>1131</v>
      </c>
      <c r="I25" s="1" t="s">
        <v>1012</v>
      </c>
    </row>
    <row r="26" spans="2:9" ht="30" x14ac:dyDescent="0.25">
      <c r="B26" s="42">
        <v>24</v>
      </c>
      <c r="C26" s="42" t="str">
        <f t="shared" si="0"/>
        <v>aitos24c</v>
      </c>
      <c r="D26" s="1" t="s">
        <v>990</v>
      </c>
      <c r="E26" s="1">
        <v>24</v>
      </c>
      <c r="F26" s="1" t="s">
        <v>987</v>
      </c>
      <c r="G26" s="39" t="s">
        <v>998</v>
      </c>
      <c r="H26" s="41" t="s">
        <v>1058</v>
      </c>
      <c r="I26" s="1" t="s">
        <v>1012</v>
      </c>
    </row>
    <row r="27" spans="2:9" ht="30" x14ac:dyDescent="0.25">
      <c r="B27" s="42">
        <v>25</v>
      </c>
      <c r="C27" s="42" t="str">
        <f t="shared" si="0"/>
        <v>aitos25c</v>
      </c>
      <c r="D27" s="1" t="s">
        <v>990</v>
      </c>
      <c r="E27" s="1">
        <v>25</v>
      </c>
      <c r="F27" s="1" t="s">
        <v>987</v>
      </c>
      <c r="G27" s="40" t="s">
        <v>1001</v>
      </c>
      <c r="H27" s="41" t="s">
        <v>1132</v>
      </c>
      <c r="I27" s="1" t="s">
        <v>1012</v>
      </c>
    </row>
    <row r="28" spans="2:9" ht="30" x14ac:dyDescent="0.25">
      <c r="B28" s="42">
        <v>26</v>
      </c>
      <c r="C28" s="42" t="str">
        <f t="shared" si="0"/>
        <v>aitos26c</v>
      </c>
      <c r="D28" s="1" t="s">
        <v>990</v>
      </c>
      <c r="E28" s="1">
        <v>26</v>
      </c>
      <c r="F28" s="1" t="s">
        <v>987</v>
      </c>
      <c r="G28" s="40" t="s">
        <v>1001</v>
      </c>
      <c r="H28" s="41" t="s">
        <v>1132</v>
      </c>
      <c r="I28" s="1" t="s">
        <v>1012</v>
      </c>
    </row>
    <row r="29" spans="2:9" ht="30" x14ac:dyDescent="0.25">
      <c r="B29" s="42">
        <v>27</v>
      </c>
      <c r="C29" s="42" t="str">
        <f t="shared" si="0"/>
        <v>aitos27c</v>
      </c>
      <c r="D29" s="1" t="s">
        <v>990</v>
      </c>
      <c r="E29" s="1">
        <v>27</v>
      </c>
      <c r="F29" s="1" t="s">
        <v>987</v>
      </c>
      <c r="G29" s="38" t="s">
        <v>1000</v>
      </c>
      <c r="H29" s="41" t="s">
        <v>1133</v>
      </c>
      <c r="I29" s="1" t="s">
        <v>1012</v>
      </c>
    </row>
    <row r="30" spans="2:9" ht="31.5" customHeight="1" x14ac:dyDescent="0.25">
      <c r="B30" s="42">
        <v>28</v>
      </c>
      <c r="C30" s="42" t="str">
        <f t="shared" si="0"/>
        <v>aitos28c</v>
      </c>
      <c r="D30" s="1" t="s">
        <v>990</v>
      </c>
      <c r="E30" s="1">
        <v>28</v>
      </c>
      <c r="F30" s="1" t="s">
        <v>987</v>
      </c>
      <c r="G30" s="38" t="s">
        <v>999</v>
      </c>
      <c r="H30" s="41" t="s">
        <v>1134</v>
      </c>
      <c r="I30" s="1" t="s">
        <v>1012</v>
      </c>
    </row>
    <row r="31" spans="2:9" ht="30" x14ac:dyDescent="0.25">
      <c r="B31" s="42">
        <v>29</v>
      </c>
      <c r="C31" s="42" t="str">
        <f t="shared" si="0"/>
        <v>aitos29c</v>
      </c>
      <c r="D31" s="1" t="s">
        <v>990</v>
      </c>
      <c r="E31" s="1">
        <v>29</v>
      </c>
      <c r="F31" s="1" t="s">
        <v>987</v>
      </c>
      <c r="G31" s="38" t="s">
        <v>1036</v>
      </c>
      <c r="H31" s="41" t="s">
        <v>1135</v>
      </c>
      <c r="I31" s="1" t="s">
        <v>1012</v>
      </c>
    </row>
    <row r="32" spans="2:9" ht="31.5" customHeight="1" x14ac:dyDescent="0.25">
      <c r="B32" s="42">
        <v>30</v>
      </c>
      <c r="C32" s="42" t="str">
        <f t="shared" si="0"/>
        <v>aitos30c</v>
      </c>
      <c r="D32" s="1" t="s">
        <v>990</v>
      </c>
      <c r="E32" s="1">
        <v>30</v>
      </c>
      <c r="F32" s="1" t="s">
        <v>987</v>
      </c>
      <c r="G32" s="39" t="s">
        <v>998</v>
      </c>
      <c r="H32" s="41" t="s">
        <v>1136</v>
      </c>
      <c r="I32" s="1" t="s">
        <v>1012</v>
      </c>
    </row>
    <row r="33" spans="2:9" ht="45" x14ac:dyDescent="0.25">
      <c r="B33" s="42">
        <v>31</v>
      </c>
      <c r="C33" s="42" t="str">
        <f t="shared" si="0"/>
        <v>aitos31c</v>
      </c>
      <c r="D33" s="1" t="s">
        <v>990</v>
      </c>
      <c r="E33" s="1">
        <v>31</v>
      </c>
      <c r="F33" s="1" t="s">
        <v>987</v>
      </c>
      <c r="G33" s="38" t="s">
        <v>997</v>
      </c>
      <c r="H33" s="41" t="s">
        <v>1121</v>
      </c>
      <c r="I33" s="1" t="s">
        <v>1012</v>
      </c>
    </row>
    <row r="34" spans="2:9" ht="30" x14ac:dyDescent="0.25">
      <c r="B34" s="42">
        <v>32</v>
      </c>
      <c r="C34" s="42" t="str">
        <f t="shared" si="0"/>
        <v>aitos32c</v>
      </c>
      <c r="D34" s="1" t="s">
        <v>990</v>
      </c>
      <c r="E34" s="1">
        <v>32</v>
      </c>
      <c r="F34" s="1" t="s">
        <v>987</v>
      </c>
      <c r="G34" s="38" t="s">
        <v>996</v>
      </c>
      <c r="H34" s="41" t="s">
        <v>1137</v>
      </c>
      <c r="I34" s="1" t="s">
        <v>1012</v>
      </c>
    </row>
    <row r="35" spans="2:9" ht="30" x14ac:dyDescent="0.25">
      <c r="B35" s="42">
        <v>33</v>
      </c>
      <c r="C35" s="42" t="str">
        <f t="shared" ref="C35:C66" si="1">LOWER(_xlfn.CONCAT("ait",LEFT(D35,1)&amp;"s"&amp;E35&amp;F35))</f>
        <v>aitos33c</v>
      </c>
      <c r="D35" s="1" t="s">
        <v>990</v>
      </c>
      <c r="E35" s="1">
        <v>33</v>
      </c>
      <c r="F35" s="1" t="s">
        <v>987</v>
      </c>
      <c r="G35" s="38" t="s">
        <v>994</v>
      </c>
      <c r="H35" s="41" t="s">
        <v>1138</v>
      </c>
      <c r="I35" s="1" t="s">
        <v>1012</v>
      </c>
    </row>
    <row r="36" spans="2:9" ht="30" x14ac:dyDescent="0.25">
      <c r="B36" s="42">
        <v>34</v>
      </c>
      <c r="C36" s="42" t="str">
        <f t="shared" si="1"/>
        <v>aitos34c</v>
      </c>
      <c r="D36" s="1" t="s">
        <v>990</v>
      </c>
      <c r="E36" s="1">
        <v>34</v>
      </c>
      <c r="F36" s="1" t="s">
        <v>987</v>
      </c>
      <c r="G36" s="38" t="s">
        <v>993</v>
      </c>
      <c r="H36" s="41" t="s">
        <v>1075</v>
      </c>
      <c r="I36" s="1" t="s">
        <v>1012</v>
      </c>
    </row>
    <row r="37" spans="2:9" ht="45" x14ac:dyDescent="0.25">
      <c r="B37" s="42">
        <v>35</v>
      </c>
      <c r="C37" s="42" t="str">
        <f t="shared" si="1"/>
        <v>aitos1a</v>
      </c>
      <c r="D37" s="1" t="s">
        <v>990</v>
      </c>
      <c r="E37" s="1">
        <v>1</v>
      </c>
      <c r="F37" s="1" t="s">
        <v>1027</v>
      </c>
      <c r="G37" s="38" t="s">
        <v>1029</v>
      </c>
      <c r="H37" s="41" t="s">
        <v>1139</v>
      </c>
      <c r="I37" s="1" t="s">
        <v>1011</v>
      </c>
    </row>
    <row r="38" spans="2:9" ht="30" x14ac:dyDescent="0.25">
      <c r="B38" s="42">
        <v>36</v>
      </c>
      <c r="C38" s="42" t="str">
        <f t="shared" si="1"/>
        <v>aitos2a</v>
      </c>
      <c r="D38" s="1" t="s">
        <v>990</v>
      </c>
      <c r="E38" s="1">
        <v>2</v>
      </c>
      <c r="F38" s="1" t="s">
        <v>1027</v>
      </c>
      <c r="G38" s="38" t="s">
        <v>1030</v>
      </c>
      <c r="H38" s="41" t="s">
        <v>1140</v>
      </c>
      <c r="I38" s="1" t="s">
        <v>1011</v>
      </c>
    </row>
    <row r="39" spans="2:9" ht="30" x14ac:dyDescent="0.25">
      <c r="B39" s="42">
        <v>37</v>
      </c>
      <c r="C39" s="42" t="str">
        <f t="shared" si="1"/>
        <v>aitos3a</v>
      </c>
      <c r="D39" s="1" t="s">
        <v>990</v>
      </c>
      <c r="E39" s="1">
        <v>3</v>
      </c>
      <c r="F39" s="1" t="s">
        <v>1027</v>
      </c>
      <c r="G39" s="38" t="s">
        <v>1031</v>
      </c>
      <c r="H39" s="41" t="s">
        <v>1052</v>
      </c>
      <c r="I39" s="1" t="s">
        <v>1011</v>
      </c>
    </row>
    <row r="40" spans="2:9" ht="30" x14ac:dyDescent="0.25">
      <c r="B40" s="42">
        <v>38</v>
      </c>
      <c r="C40" s="42" t="str">
        <f t="shared" si="1"/>
        <v>aitos4a</v>
      </c>
      <c r="D40" s="1" t="s">
        <v>990</v>
      </c>
      <c r="E40" s="1">
        <v>4</v>
      </c>
      <c r="F40" s="1" t="s">
        <v>1027</v>
      </c>
      <c r="G40" s="38" t="s">
        <v>1032</v>
      </c>
      <c r="H40" s="41" t="s">
        <v>1141</v>
      </c>
      <c r="I40" s="1" t="s">
        <v>1011</v>
      </c>
    </row>
    <row r="41" spans="2:9" ht="45" x14ac:dyDescent="0.25">
      <c r="B41" s="42">
        <v>39</v>
      </c>
      <c r="C41" s="42" t="str">
        <f t="shared" si="1"/>
        <v>aitos5a</v>
      </c>
      <c r="D41" s="1" t="s">
        <v>990</v>
      </c>
      <c r="E41" s="1">
        <v>5</v>
      </c>
      <c r="F41" s="1" t="s">
        <v>1027</v>
      </c>
      <c r="G41" s="38" t="s">
        <v>1033</v>
      </c>
      <c r="H41" s="41" t="s">
        <v>1142</v>
      </c>
      <c r="I41" s="1" t="s">
        <v>1011</v>
      </c>
    </row>
    <row r="42" spans="2:9" ht="45" x14ac:dyDescent="0.25">
      <c r="B42" s="42">
        <v>40</v>
      </c>
      <c r="C42" s="42" t="str">
        <f t="shared" si="1"/>
        <v>aitos6a</v>
      </c>
      <c r="D42" s="1" t="s">
        <v>990</v>
      </c>
      <c r="E42" s="1">
        <v>6</v>
      </c>
      <c r="F42" s="1" t="s">
        <v>1027</v>
      </c>
      <c r="G42" s="38" t="s">
        <v>1034</v>
      </c>
      <c r="H42" s="41" t="s">
        <v>1143</v>
      </c>
      <c r="I42" s="1" t="s">
        <v>1011</v>
      </c>
    </row>
    <row r="43" spans="2:9" ht="45" x14ac:dyDescent="0.25">
      <c r="B43" s="42">
        <v>41</v>
      </c>
      <c r="C43" s="42" t="str">
        <f t="shared" si="1"/>
        <v>aitos7a</v>
      </c>
      <c r="D43" s="1" t="s">
        <v>990</v>
      </c>
      <c r="E43" s="1">
        <v>7</v>
      </c>
      <c r="F43" s="1" t="s">
        <v>1027</v>
      </c>
      <c r="G43" s="38" t="s">
        <v>1035</v>
      </c>
      <c r="H43" s="41" t="s">
        <v>1144</v>
      </c>
      <c r="I43" s="1" t="s">
        <v>1011</v>
      </c>
    </row>
    <row r="44" spans="2:9" ht="30" x14ac:dyDescent="0.25">
      <c r="B44" s="42">
        <v>42</v>
      </c>
      <c r="C44" s="42" t="str">
        <f t="shared" si="1"/>
        <v>aitos8a</v>
      </c>
      <c r="D44" s="1" t="s">
        <v>990</v>
      </c>
      <c r="E44" s="1">
        <v>8</v>
      </c>
      <c r="F44" s="1" t="s">
        <v>1027</v>
      </c>
      <c r="G44" s="38" t="s">
        <v>1036</v>
      </c>
      <c r="H44" s="41" t="s">
        <v>1135</v>
      </c>
      <c r="I44" s="1" t="s">
        <v>1011</v>
      </c>
    </row>
    <row r="45" spans="2:9" ht="60" x14ac:dyDescent="0.25">
      <c r="B45" s="42">
        <v>43</v>
      </c>
      <c r="C45" s="42" t="str">
        <f t="shared" si="1"/>
        <v>aitos9a</v>
      </c>
      <c r="D45" s="1" t="s">
        <v>990</v>
      </c>
      <c r="E45" s="1">
        <v>9</v>
      </c>
      <c r="F45" s="1" t="s">
        <v>1027</v>
      </c>
      <c r="G45" s="38" t="s">
        <v>1037</v>
      </c>
      <c r="H45" s="41" t="s">
        <v>1145</v>
      </c>
      <c r="I45" s="1" t="s">
        <v>1011</v>
      </c>
    </row>
    <row r="46" spans="2:9" ht="45" x14ac:dyDescent="0.25">
      <c r="B46" s="42">
        <v>44</v>
      </c>
      <c r="C46" s="42" t="str">
        <f t="shared" si="1"/>
        <v>aitos10a</v>
      </c>
      <c r="D46" s="1" t="s">
        <v>990</v>
      </c>
      <c r="E46" s="1">
        <v>10</v>
      </c>
      <c r="F46" s="1" t="s">
        <v>1027</v>
      </c>
      <c r="G46" s="38" t="s">
        <v>1039</v>
      </c>
      <c r="H46" s="41" t="s">
        <v>1086</v>
      </c>
      <c r="I46" s="1" t="s">
        <v>1011</v>
      </c>
    </row>
    <row r="47" spans="2:9" ht="30" x14ac:dyDescent="0.25">
      <c r="B47" s="42">
        <v>45</v>
      </c>
      <c r="C47" s="42" t="str">
        <f t="shared" si="1"/>
        <v>aitos11a</v>
      </c>
      <c r="D47" s="1" t="s">
        <v>990</v>
      </c>
      <c r="E47" s="1">
        <v>11</v>
      </c>
      <c r="F47" s="1" t="s">
        <v>1027</v>
      </c>
      <c r="G47" s="38" t="s">
        <v>1040</v>
      </c>
      <c r="H47" s="41" t="s">
        <v>1080</v>
      </c>
      <c r="I47" s="1" t="s">
        <v>1011</v>
      </c>
    </row>
    <row r="48" spans="2:9" ht="45" x14ac:dyDescent="0.25">
      <c r="B48" s="42">
        <v>46</v>
      </c>
      <c r="C48" s="42" t="str">
        <f t="shared" si="1"/>
        <v>aitos12a</v>
      </c>
      <c r="D48" s="1" t="s">
        <v>990</v>
      </c>
      <c r="E48" s="1">
        <v>12</v>
      </c>
      <c r="F48" s="1" t="s">
        <v>1027</v>
      </c>
      <c r="G48" s="38" t="s">
        <v>1041</v>
      </c>
      <c r="H48" s="41" t="s">
        <v>1042</v>
      </c>
      <c r="I48" s="1" t="s">
        <v>1011</v>
      </c>
    </row>
    <row r="49" spans="2:9" ht="75" x14ac:dyDescent="0.25">
      <c r="B49" s="42">
        <v>47</v>
      </c>
      <c r="C49" s="42" t="str">
        <f t="shared" si="1"/>
        <v>aitos13a</v>
      </c>
      <c r="D49" s="1" t="s">
        <v>990</v>
      </c>
      <c r="E49" s="1">
        <v>13</v>
      </c>
      <c r="F49" s="1" t="s">
        <v>1027</v>
      </c>
      <c r="G49" s="38" t="s">
        <v>1043</v>
      </c>
      <c r="H49" s="41" t="s">
        <v>1044</v>
      </c>
      <c r="I49" s="1" t="s">
        <v>1011</v>
      </c>
    </row>
    <row r="50" spans="2:9" ht="45" x14ac:dyDescent="0.25">
      <c r="B50" s="42">
        <v>48</v>
      </c>
      <c r="C50" s="42" t="str">
        <f t="shared" si="1"/>
        <v>aitos14a</v>
      </c>
      <c r="D50" s="1" t="s">
        <v>990</v>
      </c>
      <c r="E50" s="1">
        <v>14</v>
      </c>
      <c r="F50" s="1" t="s">
        <v>1027</v>
      </c>
      <c r="G50" s="38" t="s">
        <v>1034</v>
      </c>
      <c r="H50" s="41" t="s">
        <v>1045</v>
      </c>
      <c r="I50" s="1" t="s">
        <v>1011</v>
      </c>
    </row>
    <row r="51" spans="2:9" ht="30" x14ac:dyDescent="0.25">
      <c r="B51" s="42">
        <v>49</v>
      </c>
      <c r="C51" s="42" t="str">
        <f t="shared" si="1"/>
        <v>aitos15a</v>
      </c>
      <c r="D51" s="1" t="s">
        <v>990</v>
      </c>
      <c r="E51" s="1">
        <v>15</v>
      </c>
      <c r="F51" s="1" t="s">
        <v>1027</v>
      </c>
      <c r="G51" s="38" t="s">
        <v>1046</v>
      </c>
      <c r="H51" s="41"/>
      <c r="I51" s="1" t="s">
        <v>1011</v>
      </c>
    </row>
    <row r="52" spans="2:9" ht="45" x14ac:dyDescent="0.25">
      <c r="B52" s="42">
        <v>50</v>
      </c>
      <c r="C52" s="42" t="str">
        <f t="shared" si="1"/>
        <v>aitos16a</v>
      </c>
      <c r="D52" s="1" t="s">
        <v>990</v>
      </c>
      <c r="E52" s="1">
        <v>16</v>
      </c>
      <c r="F52" s="1" t="s">
        <v>1027</v>
      </c>
      <c r="G52" s="38" t="s">
        <v>1034</v>
      </c>
      <c r="H52" s="41" t="s">
        <v>1045</v>
      </c>
      <c r="I52" s="1" t="s">
        <v>1011</v>
      </c>
    </row>
    <row r="53" spans="2:9" ht="45" x14ac:dyDescent="0.25">
      <c r="B53" s="42">
        <v>51</v>
      </c>
      <c r="C53" s="42" t="str">
        <f t="shared" si="1"/>
        <v>aitos17a</v>
      </c>
      <c r="D53" s="1" t="s">
        <v>990</v>
      </c>
      <c r="E53" s="1">
        <v>17</v>
      </c>
      <c r="F53" s="1" t="s">
        <v>1027</v>
      </c>
      <c r="G53" s="38" t="s">
        <v>1047</v>
      </c>
      <c r="H53" s="41" t="s">
        <v>1045</v>
      </c>
      <c r="I53" s="1" t="s">
        <v>1011</v>
      </c>
    </row>
    <row r="54" spans="2:9" ht="30" x14ac:dyDescent="0.25">
      <c r="B54" s="42">
        <v>52</v>
      </c>
      <c r="C54" s="42" t="str">
        <f t="shared" si="1"/>
        <v>aitos18a</v>
      </c>
      <c r="D54" s="1" t="s">
        <v>990</v>
      </c>
      <c r="E54" s="1">
        <v>18</v>
      </c>
      <c r="F54" s="1" t="s">
        <v>1027</v>
      </c>
      <c r="G54" s="38" t="s">
        <v>1048</v>
      </c>
      <c r="H54" s="41" t="s">
        <v>1049</v>
      </c>
      <c r="I54" s="1" t="s">
        <v>1011</v>
      </c>
    </row>
    <row r="55" spans="2:9" ht="30" x14ac:dyDescent="0.25">
      <c r="B55" s="42">
        <v>53</v>
      </c>
      <c r="C55" s="42" t="str">
        <f t="shared" si="1"/>
        <v>aitos19a</v>
      </c>
      <c r="D55" s="1" t="s">
        <v>990</v>
      </c>
      <c r="E55" s="1">
        <v>19</v>
      </c>
      <c r="F55" s="1" t="s">
        <v>1027</v>
      </c>
      <c r="G55" s="38" t="s">
        <v>1050</v>
      </c>
      <c r="H55" s="41" t="s">
        <v>1051</v>
      </c>
      <c r="I55" s="1" t="s">
        <v>1011</v>
      </c>
    </row>
    <row r="56" spans="2:9" ht="30" x14ac:dyDescent="0.25">
      <c r="B56" s="42">
        <v>54</v>
      </c>
      <c r="C56" s="42" t="str">
        <f t="shared" si="1"/>
        <v>aitos20a</v>
      </c>
      <c r="D56" s="1" t="s">
        <v>990</v>
      </c>
      <c r="E56" s="1">
        <v>20</v>
      </c>
      <c r="F56" s="1" t="s">
        <v>1027</v>
      </c>
      <c r="G56" s="38" t="s">
        <v>1031</v>
      </c>
      <c r="H56" s="41" t="s">
        <v>1052</v>
      </c>
      <c r="I56" s="1" t="s">
        <v>1011</v>
      </c>
    </row>
    <row r="57" spans="2:9" ht="45" x14ac:dyDescent="0.25">
      <c r="B57" s="42">
        <v>55</v>
      </c>
      <c r="C57" s="42" t="str">
        <f t="shared" si="1"/>
        <v>aitos21a</v>
      </c>
      <c r="D57" s="1" t="s">
        <v>990</v>
      </c>
      <c r="E57" s="1">
        <v>21</v>
      </c>
      <c r="F57" s="1" t="s">
        <v>1027</v>
      </c>
      <c r="G57" s="38" t="s">
        <v>1053</v>
      </c>
      <c r="H57" s="41" t="s">
        <v>1054</v>
      </c>
      <c r="I57" s="1" t="s">
        <v>1011</v>
      </c>
    </row>
    <row r="58" spans="2:9" ht="60" x14ac:dyDescent="0.25">
      <c r="B58" s="42">
        <v>56</v>
      </c>
      <c r="C58" s="42" t="str">
        <f t="shared" si="1"/>
        <v>aitos22a</v>
      </c>
      <c r="D58" s="1" t="s">
        <v>990</v>
      </c>
      <c r="E58" s="1">
        <v>22</v>
      </c>
      <c r="F58" s="1" t="s">
        <v>1027</v>
      </c>
      <c r="G58" s="38" t="s">
        <v>1055</v>
      </c>
      <c r="H58" s="41" t="s">
        <v>1056</v>
      </c>
      <c r="I58" s="1" t="s">
        <v>1011</v>
      </c>
    </row>
    <row r="59" spans="2:9" ht="45" x14ac:dyDescent="0.25">
      <c r="B59" s="42">
        <v>57</v>
      </c>
      <c r="C59" s="42" t="str">
        <f t="shared" si="1"/>
        <v>aitos23a</v>
      </c>
      <c r="D59" s="1" t="s">
        <v>990</v>
      </c>
      <c r="E59" s="1">
        <v>23</v>
      </c>
      <c r="F59" s="1" t="s">
        <v>1027</v>
      </c>
      <c r="G59" s="38" t="s">
        <v>1057</v>
      </c>
      <c r="H59" s="41" t="s">
        <v>1058</v>
      </c>
      <c r="I59" s="1" t="s">
        <v>1011</v>
      </c>
    </row>
    <row r="60" spans="2:9" ht="60" x14ac:dyDescent="0.25">
      <c r="B60" s="42">
        <v>58</v>
      </c>
      <c r="C60" s="42" t="str">
        <f t="shared" si="1"/>
        <v>aitos24a</v>
      </c>
      <c r="D60" s="1" t="s">
        <v>990</v>
      </c>
      <c r="E60" s="1">
        <v>24</v>
      </c>
      <c r="F60" s="1" t="s">
        <v>1027</v>
      </c>
      <c r="G60" s="38" t="s">
        <v>1007</v>
      </c>
      <c r="H60" s="41" t="s">
        <v>1059</v>
      </c>
      <c r="I60" s="1" t="s">
        <v>1011</v>
      </c>
    </row>
    <row r="61" spans="2:9" ht="30" x14ac:dyDescent="0.25">
      <c r="B61" s="42">
        <v>59</v>
      </c>
      <c r="C61" s="42" t="str">
        <f t="shared" si="1"/>
        <v>aitos25a</v>
      </c>
      <c r="D61" s="1" t="s">
        <v>990</v>
      </c>
      <c r="E61" s="1">
        <v>25</v>
      </c>
      <c r="F61" s="1" t="s">
        <v>1027</v>
      </c>
      <c r="G61" s="38" t="s">
        <v>1060</v>
      </c>
      <c r="H61" s="41" t="s">
        <v>1061</v>
      </c>
      <c r="I61" s="1" t="s">
        <v>1011</v>
      </c>
    </row>
    <row r="62" spans="2:9" ht="45" x14ac:dyDescent="0.25">
      <c r="B62" s="42">
        <v>60</v>
      </c>
      <c r="C62" s="42" t="str">
        <f t="shared" si="1"/>
        <v>aitos26a</v>
      </c>
      <c r="D62" s="1" t="s">
        <v>990</v>
      </c>
      <c r="E62" s="1">
        <v>26</v>
      </c>
      <c r="F62" s="1" t="s">
        <v>1027</v>
      </c>
      <c r="G62" s="38" t="s">
        <v>1062</v>
      </c>
      <c r="H62" s="41" t="s">
        <v>1063</v>
      </c>
      <c r="I62" s="1" t="s">
        <v>1011</v>
      </c>
    </row>
    <row r="63" spans="2:9" ht="45" x14ac:dyDescent="0.25">
      <c r="B63" s="42">
        <v>61</v>
      </c>
      <c r="C63" s="42" t="str">
        <f t="shared" si="1"/>
        <v>aitos27a</v>
      </c>
      <c r="D63" s="1" t="s">
        <v>990</v>
      </c>
      <c r="E63" s="1">
        <v>27</v>
      </c>
      <c r="F63" s="1" t="s">
        <v>1027</v>
      </c>
      <c r="G63" s="38" t="s">
        <v>1064</v>
      </c>
      <c r="H63" s="41" t="s">
        <v>1065</v>
      </c>
      <c r="I63" s="1" t="s">
        <v>1011</v>
      </c>
    </row>
    <row r="64" spans="2:9" ht="60" x14ac:dyDescent="0.25">
      <c r="B64" s="42">
        <v>62</v>
      </c>
      <c r="C64" s="42" t="str">
        <f t="shared" si="1"/>
        <v>aitos28a</v>
      </c>
      <c r="D64" s="1" t="s">
        <v>990</v>
      </c>
      <c r="E64" s="1">
        <v>28</v>
      </c>
      <c r="F64" s="1" t="s">
        <v>1027</v>
      </c>
      <c r="G64" s="38" t="s">
        <v>1055</v>
      </c>
      <c r="H64" s="41" t="s">
        <v>1056</v>
      </c>
      <c r="I64" s="1" t="s">
        <v>1011</v>
      </c>
    </row>
    <row r="65" spans="2:9" ht="30" x14ac:dyDescent="0.25">
      <c r="B65" s="42">
        <v>63</v>
      </c>
      <c r="C65" s="42" t="str">
        <f t="shared" si="1"/>
        <v>aitos29a</v>
      </c>
      <c r="D65" s="1" t="s">
        <v>990</v>
      </c>
      <c r="E65" s="1">
        <v>29</v>
      </c>
      <c r="F65" s="1" t="s">
        <v>1027</v>
      </c>
      <c r="G65" s="38" t="s">
        <v>1008</v>
      </c>
      <c r="H65" s="41" t="s">
        <v>1066</v>
      </c>
      <c r="I65" s="1" t="s">
        <v>1011</v>
      </c>
    </row>
    <row r="66" spans="2:9" ht="45" x14ac:dyDescent="0.25">
      <c r="B66" s="42">
        <v>64</v>
      </c>
      <c r="C66" s="42" t="str">
        <f t="shared" si="1"/>
        <v>aitos30a</v>
      </c>
      <c r="D66" s="1" t="s">
        <v>990</v>
      </c>
      <c r="E66" s="1">
        <v>30</v>
      </c>
      <c r="F66" s="1" t="s">
        <v>1027</v>
      </c>
      <c r="G66" s="38" t="s">
        <v>1067</v>
      </c>
      <c r="H66" s="41" t="s">
        <v>1068</v>
      </c>
      <c r="I66" s="1" t="s">
        <v>1011</v>
      </c>
    </row>
    <row r="67" spans="2:9" ht="30" x14ac:dyDescent="0.25">
      <c r="B67" s="42">
        <v>65</v>
      </c>
      <c r="C67" s="42" t="str">
        <f t="shared" ref="C67:C98" si="2">LOWER(_xlfn.CONCAT("ait",LEFT(D67,1)&amp;"s"&amp;E67&amp;F67))</f>
        <v>aitos31a</v>
      </c>
      <c r="D67" s="1" t="s">
        <v>990</v>
      </c>
      <c r="E67" s="1">
        <v>31</v>
      </c>
      <c r="F67" s="1" t="s">
        <v>1027</v>
      </c>
      <c r="G67" s="38" t="s">
        <v>1069</v>
      </c>
      <c r="H67" s="41" t="s">
        <v>1070</v>
      </c>
      <c r="I67" s="1" t="s">
        <v>1011</v>
      </c>
    </row>
    <row r="68" spans="2:9" ht="45" x14ac:dyDescent="0.25">
      <c r="B68" s="42">
        <v>66</v>
      </c>
      <c r="C68" s="42" t="str">
        <f t="shared" si="2"/>
        <v>aitos32a</v>
      </c>
      <c r="D68" s="1" t="s">
        <v>990</v>
      </c>
      <c r="E68" s="1">
        <v>32</v>
      </c>
      <c r="F68" s="1" t="s">
        <v>1027</v>
      </c>
      <c r="G68" s="38" t="s">
        <v>1021</v>
      </c>
      <c r="H68" s="41" t="s">
        <v>1071</v>
      </c>
      <c r="I68" s="1" t="s">
        <v>1011</v>
      </c>
    </row>
    <row r="69" spans="2:9" ht="45" x14ac:dyDescent="0.25">
      <c r="B69" s="42">
        <v>67</v>
      </c>
      <c r="C69" s="42" t="str">
        <f t="shared" si="2"/>
        <v>aitos33a</v>
      </c>
      <c r="D69" s="1" t="s">
        <v>990</v>
      </c>
      <c r="E69" s="1">
        <v>33</v>
      </c>
      <c r="F69" s="1" t="s">
        <v>1027</v>
      </c>
      <c r="G69" s="38" t="s">
        <v>1072</v>
      </c>
      <c r="H69" s="41" t="s">
        <v>1073</v>
      </c>
      <c r="I69" s="1" t="s">
        <v>1011</v>
      </c>
    </row>
    <row r="70" spans="2:9" ht="30" x14ac:dyDescent="0.25">
      <c r="B70" s="42">
        <v>68</v>
      </c>
      <c r="C70" s="42" t="str">
        <f t="shared" si="2"/>
        <v>aitos34a</v>
      </c>
      <c r="D70" s="1" t="s">
        <v>990</v>
      </c>
      <c r="E70" s="1">
        <v>34</v>
      </c>
      <c r="F70" s="1" t="s">
        <v>1027</v>
      </c>
      <c r="G70" s="38" t="s">
        <v>1074</v>
      </c>
      <c r="H70" s="41" t="s">
        <v>1075</v>
      </c>
      <c r="I70" s="1" t="s">
        <v>1011</v>
      </c>
    </row>
    <row r="71" spans="2:9" ht="45" x14ac:dyDescent="0.25">
      <c r="B71" s="42">
        <v>69</v>
      </c>
      <c r="C71" s="42" t="str">
        <f t="shared" si="2"/>
        <v>aitos1b</v>
      </c>
      <c r="D71" s="1" t="s">
        <v>990</v>
      </c>
      <c r="E71" s="1">
        <v>1</v>
      </c>
      <c r="F71" s="1" t="s">
        <v>1028</v>
      </c>
      <c r="G71" s="38" t="s">
        <v>1026</v>
      </c>
      <c r="H71" s="41" t="s">
        <v>1076</v>
      </c>
      <c r="I71" s="1" t="s">
        <v>1011</v>
      </c>
    </row>
    <row r="72" spans="2:9" ht="30" x14ac:dyDescent="0.25">
      <c r="B72" s="42">
        <v>70</v>
      </c>
      <c r="C72" s="42" t="str">
        <f t="shared" si="2"/>
        <v>aitos2b</v>
      </c>
      <c r="D72" s="1" t="s">
        <v>990</v>
      </c>
      <c r="E72" s="1">
        <v>2</v>
      </c>
      <c r="F72" s="1" t="s">
        <v>1028</v>
      </c>
      <c r="G72" s="38" t="s">
        <v>1077</v>
      </c>
      <c r="H72" s="41" t="s">
        <v>1078</v>
      </c>
      <c r="I72" s="1" t="s">
        <v>1011</v>
      </c>
    </row>
    <row r="73" spans="2:9" ht="30" x14ac:dyDescent="0.25">
      <c r="B73" s="42">
        <v>71</v>
      </c>
      <c r="C73" s="42" t="str">
        <f t="shared" si="2"/>
        <v>aitos3b</v>
      </c>
      <c r="D73" s="1" t="s">
        <v>990</v>
      </c>
      <c r="E73" s="1">
        <v>3</v>
      </c>
      <c r="F73" s="1" t="s">
        <v>1028</v>
      </c>
      <c r="G73" s="38" t="s">
        <v>1079</v>
      </c>
      <c r="H73" s="41" t="s">
        <v>1080</v>
      </c>
      <c r="I73" s="1" t="s">
        <v>1011</v>
      </c>
    </row>
    <row r="74" spans="2:9" ht="45" x14ac:dyDescent="0.25">
      <c r="B74" s="42">
        <v>72</v>
      </c>
      <c r="C74" s="42" t="str">
        <f t="shared" si="2"/>
        <v>aitos4b</v>
      </c>
      <c r="D74" s="1" t="s">
        <v>990</v>
      </c>
      <c r="E74" s="1">
        <v>4</v>
      </c>
      <c r="F74" s="1" t="s">
        <v>1028</v>
      </c>
      <c r="G74" s="38" t="s">
        <v>1081</v>
      </c>
      <c r="H74" s="41" t="s">
        <v>1082</v>
      </c>
      <c r="I74" s="1" t="s">
        <v>1011</v>
      </c>
    </row>
    <row r="75" spans="2:9" ht="30" x14ac:dyDescent="0.25">
      <c r="B75" s="42">
        <v>73</v>
      </c>
      <c r="C75" s="42" t="str">
        <f t="shared" si="2"/>
        <v>aitos5b</v>
      </c>
      <c r="D75" s="1" t="s">
        <v>990</v>
      </c>
      <c r="E75" s="1">
        <v>5</v>
      </c>
      <c r="F75" s="1" t="s">
        <v>1028</v>
      </c>
      <c r="G75" s="38" t="s">
        <v>1083</v>
      </c>
      <c r="H75" s="41" t="s">
        <v>1084</v>
      </c>
      <c r="I75" s="1" t="s">
        <v>1011</v>
      </c>
    </row>
    <row r="76" spans="2:9" ht="30" x14ac:dyDescent="0.25">
      <c r="B76" s="42">
        <v>74</v>
      </c>
      <c r="C76" s="42" t="str">
        <f t="shared" si="2"/>
        <v>aitos6b</v>
      </c>
      <c r="D76" s="1" t="s">
        <v>990</v>
      </c>
      <c r="E76" s="1">
        <v>6</v>
      </c>
      <c r="F76" s="1" t="s">
        <v>1028</v>
      </c>
      <c r="G76" s="38" t="s">
        <v>1010</v>
      </c>
      <c r="H76" s="41" t="s">
        <v>1085</v>
      </c>
      <c r="I76" s="1" t="s">
        <v>1011</v>
      </c>
    </row>
    <row r="77" spans="2:9" ht="30" x14ac:dyDescent="0.25">
      <c r="B77" s="42">
        <v>75</v>
      </c>
      <c r="C77" s="42" t="str">
        <f t="shared" si="2"/>
        <v>aitos7b</v>
      </c>
      <c r="D77" s="1" t="s">
        <v>990</v>
      </c>
      <c r="E77" s="1">
        <v>7</v>
      </c>
      <c r="F77" s="1" t="s">
        <v>1028</v>
      </c>
      <c r="G77" s="38" t="s">
        <v>1003</v>
      </c>
      <c r="H77" s="41" t="s">
        <v>1086</v>
      </c>
      <c r="I77" s="1" t="s">
        <v>1011</v>
      </c>
    </row>
    <row r="78" spans="2:9" ht="30" x14ac:dyDescent="0.25">
      <c r="B78" s="42">
        <v>76</v>
      </c>
      <c r="C78" s="42" t="str">
        <f t="shared" si="2"/>
        <v>aitos8b</v>
      </c>
      <c r="D78" s="1" t="s">
        <v>990</v>
      </c>
      <c r="E78" s="1">
        <v>8</v>
      </c>
      <c r="F78" s="1" t="s">
        <v>1028</v>
      </c>
      <c r="G78" s="38" t="s">
        <v>1087</v>
      </c>
      <c r="H78" s="41" t="s">
        <v>1088</v>
      </c>
      <c r="I78" s="1" t="s">
        <v>1011</v>
      </c>
    </row>
    <row r="79" spans="2:9" ht="30" x14ac:dyDescent="0.25">
      <c r="B79" s="42">
        <v>77</v>
      </c>
      <c r="C79" s="42" t="str">
        <f t="shared" si="2"/>
        <v>aitos9b</v>
      </c>
      <c r="D79" s="1" t="s">
        <v>990</v>
      </c>
      <c r="E79" s="1">
        <v>9</v>
      </c>
      <c r="F79" s="1" t="s">
        <v>1028</v>
      </c>
      <c r="G79" s="38" t="s">
        <v>1089</v>
      </c>
      <c r="H79" s="41" t="s">
        <v>1090</v>
      </c>
      <c r="I79" s="1" t="s">
        <v>1011</v>
      </c>
    </row>
    <row r="80" spans="2:9" ht="60" x14ac:dyDescent="0.25">
      <c r="B80" s="42">
        <v>78</v>
      </c>
      <c r="C80" s="42" t="str">
        <f t="shared" si="2"/>
        <v>aitos10b</v>
      </c>
      <c r="D80" s="1" t="s">
        <v>990</v>
      </c>
      <c r="E80" s="1">
        <v>10</v>
      </c>
      <c r="F80" s="1" t="s">
        <v>1028</v>
      </c>
      <c r="G80" s="38" t="s">
        <v>1091</v>
      </c>
      <c r="H80" s="41" t="s">
        <v>1092</v>
      </c>
      <c r="I80" s="1" t="s">
        <v>1011</v>
      </c>
    </row>
    <row r="81" spans="2:9" ht="30" x14ac:dyDescent="0.25">
      <c r="B81" s="42">
        <v>79</v>
      </c>
      <c r="C81" s="42" t="str">
        <f t="shared" si="2"/>
        <v>aitos11b</v>
      </c>
      <c r="D81" s="1" t="s">
        <v>990</v>
      </c>
      <c r="E81" s="1">
        <v>11</v>
      </c>
      <c r="F81" s="1" t="s">
        <v>1028</v>
      </c>
      <c r="G81" s="38" t="s">
        <v>1046</v>
      </c>
      <c r="H81" s="41" t="s">
        <v>988</v>
      </c>
      <c r="I81" s="1" t="s">
        <v>1011</v>
      </c>
    </row>
    <row r="82" spans="2:9" ht="30" x14ac:dyDescent="0.25">
      <c r="B82" s="42">
        <v>80</v>
      </c>
      <c r="C82" s="42" t="str">
        <f t="shared" si="2"/>
        <v>aitos12b</v>
      </c>
      <c r="D82" s="1" t="s">
        <v>990</v>
      </c>
      <c r="E82" s="1">
        <v>12</v>
      </c>
      <c r="F82" s="1" t="s">
        <v>1028</v>
      </c>
      <c r="G82" s="38" t="s">
        <v>1010</v>
      </c>
      <c r="H82" s="41" t="s">
        <v>1085</v>
      </c>
      <c r="I82" s="1" t="s">
        <v>1011</v>
      </c>
    </row>
    <row r="83" spans="2:9" ht="30" x14ac:dyDescent="0.25">
      <c r="B83" s="42">
        <v>81</v>
      </c>
      <c r="C83" s="42" t="str">
        <f t="shared" si="2"/>
        <v>aitos13b</v>
      </c>
      <c r="D83" s="1" t="s">
        <v>990</v>
      </c>
      <c r="E83" s="1">
        <v>13</v>
      </c>
      <c r="F83" s="1" t="s">
        <v>1028</v>
      </c>
      <c r="G83" s="38" t="s">
        <v>1093</v>
      </c>
      <c r="H83" s="41" t="s">
        <v>1094</v>
      </c>
      <c r="I83" s="1" t="s">
        <v>1011</v>
      </c>
    </row>
    <row r="84" spans="2:9" ht="30" x14ac:dyDescent="0.25">
      <c r="B84" s="42">
        <v>82</v>
      </c>
      <c r="C84" s="42" t="str">
        <f t="shared" si="2"/>
        <v>aitos14b</v>
      </c>
      <c r="D84" s="1" t="s">
        <v>990</v>
      </c>
      <c r="E84" s="1">
        <v>14</v>
      </c>
      <c r="F84" s="1" t="s">
        <v>1028</v>
      </c>
      <c r="G84" s="38" t="s">
        <v>1095</v>
      </c>
      <c r="H84" s="41" t="s">
        <v>1086</v>
      </c>
      <c r="I84" s="1" t="s">
        <v>1011</v>
      </c>
    </row>
    <row r="85" spans="2:9" ht="60" x14ac:dyDescent="0.25">
      <c r="B85" s="42">
        <v>83</v>
      </c>
      <c r="C85" s="42" t="str">
        <f t="shared" si="2"/>
        <v>aitos15b</v>
      </c>
      <c r="D85" s="1" t="s">
        <v>990</v>
      </c>
      <c r="E85" s="1">
        <v>15</v>
      </c>
      <c r="F85" s="1" t="s">
        <v>1028</v>
      </c>
      <c r="G85" s="38" t="s">
        <v>1055</v>
      </c>
      <c r="H85" s="41" t="s">
        <v>1056</v>
      </c>
      <c r="I85" s="1" t="s">
        <v>1011</v>
      </c>
    </row>
    <row r="86" spans="2:9" ht="45" x14ac:dyDescent="0.25">
      <c r="B86" s="42">
        <v>84</v>
      </c>
      <c r="C86" s="42" t="str">
        <f t="shared" si="2"/>
        <v>aitos16b</v>
      </c>
      <c r="D86" s="1" t="s">
        <v>990</v>
      </c>
      <c r="E86" s="1">
        <v>16</v>
      </c>
      <c r="F86" s="1" t="s">
        <v>1028</v>
      </c>
      <c r="G86" s="38" t="s">
        <v>1014</v>
      </c>
      <c r="H86" s="41" t="s">
        <v>1063</v>
      </c>
      <c r="I86" s="1" t="s">
        <v>1011</v>
      </c>
    </row>
    <row r="87" spans="2:9" ht="30" x14ac:dyDescent="0.25">
      <c r="B87" s="42">
        <v>85</v>
      </c>
      <c r="C87" s="42" t="str">
        <f t="shared" si="2"/>
        <v>aitos17b</v>
      </c>
      <c r="D87" s="1" t="s">
        <v>990</v>
      </c>
      <c r="E87" s="1">
        <v>17</v>
      </c>
      <c r="F87" s="1" t="s">
        <v>1028</v>
      </c>
      <c r="G87" s="38" t="s">
        <v>1010</v>
      </c>
      <c r="H87" s="41" t="s">
        <v>1085</v>
      </c>
      <c r="I87" s="1" t="s">
        <v>1011</v>
      </c>
    </row>
    <row r="88" spans="2:9" ht="30" x14ac:dyDescent="0.25">
      <c r="B88" s="42">
        <v>86</v>
      </c>
      <c r="C88" s="42" t="str">
        <f t="shared" si="2"/>
        <v>aitos18b</v>
      </c>
      <c r="D88" s="1" t="s">
        <v>990</v>
      </c>
      <c r="E88" s="1">
        <v>18</v>
      </c>
      <c r="F88" s="1" t="s">
        <v>1028</v>
      </c>
      <c r="G88" s="38" t="s">
        <v>1048</v>
      </c>
      <c r="H88" s="41" t="s">
        <v>1049</v>
      </c>
      <c r="I88" s="1" t="s">
        <v>1011</v>
      </c>
    </row>
    <row r="89" spans="2:9" ht="45" x14ac:dyDescent="0.25">
      <c r="B89" s="42">
        <v>87</v>
      </c>
      <c r="C89" s="42" t="str">
        <f t="shared" si="2"/>
        <v>aitos19b</v>
      </c>
      <c r="D89" s="1" t="s">
        <v>990</v>
      </c>
      <c r="E89" s="1">
        <v>19</v>
      </c>
      <c r="F89" s="1" t="s">
        <v>1028</v>
      </c>
      <c r="G89" s="38" t="s">
        <v>1096</v>
      </c>
      <c r="H89" s="41" t="s">
        <v>1097</v>
      </c>
      <c r="I89" s="1" t="s">
        <v>1011</v>
      </c>
    </row>
    <row r="90" spans="2:9" ht="45" x14ac:dyDescent="0.25">
      <c r="B90" s="42">
        <v>88</v>
      </c>
      <c r="C90" s="42" t="str">
        <f t="shared" si="2"/>
        <v>aitos20b</v>
      </c>
      <c r="D90" s="1" t="s">
        <v>990</v>
      </c>
      <c r="E90" s="1">
        <v>20</v>
      </c>
      <c r="F90" s="1" t="s">
        <v>1028</v>
      </c>
      <c r="G90" s="38" t="s">
        <v>1098</v>
      </c>
      <c r="H90" s="41" t="s">
        <v>1099</v>
      </c>
      <c r="I90" s="1" t="s">
        <v>1011</v>
      </c>
    </row>
    <row r="91" spans="2:9" ht="30" x14ac:dyDescent="0.25">
      <c r="B91" s="42">
        <v>89</v>
      </c>
      <c r="C91" s="42" t="str">
        <f t="shared" si="2"/>
        <v>aitos21b</v>
      </c>
      <c r="D91" s="1" t="s">
        <v>990</v>
      </c>
      <c r="E91" s="1">
        <v>21</v>
      </c>
      <c r="F91" s="1" t="s">
        <v>1028</v>
      </c>
      <c r="G91" s="38" t="s">
        <v>1017</v>
      </c>
      <c r="H91" s="41" t="s">
        <v>1100</v>
      </c>
      <c r="I91" s="1" t="s">
        <v>1011</v>
      </c>
    </row>
    <row r="92" spans="2:9" ht="30" x14ac:dyDescent="0.25">
      <c r="B92" s="42">
        <v>90</v>
      </c>
      <c r="C92" s="42" t="str">
        <f t="shared" si="2"/>
        <v>aitos22b</v>
      </c>
      <c r="D92" s="1" t="s">
        <v>990</v>
      </c>
      <c r="E92" s="1">
        <v>22</v>
      </c>
      <c r="F92" s="1" t="s">
        <v>1028</v>
      </c>
      <c r="G92" s="38" t="s">
        <v>1087</v>
      </c>
      <c r="H92" s="41" t="s">
        <v>1088</v>
      </c>
      <c r="I92" s="1" t="s">
        <v>1011</v>
      </c>
    </row>
    <row r="93" spans="2:9" ht="30" x14ac:dyDescent="0.25">
      <c r="B93" s="42">
        <v>91</v>
      </c>
      <c r="C93" s="42" t="str">
        <f t="shared" si="2"/>
        <v>aitos23b</v>
      </c>
      <c r="D93" s="1" t="s">
        <v>990</v>
      </c>
      <c r="E93" s="1">
        <v>23</v>
      </c>
      <c r="F93" s="1" t="s">
        <v>1028</v>
      </c>
      <c r="G93" s="38" t="s">
        <v>1031</v>
      </c>
      <c r="H93" s="41" t="s">
        <v>1052</v>
      </c>
      <c r="I93" s="1" t="s">
        <v>1011</v>
      </c>
    </row>
    <row r="94" spans="2:9" ht="45" x14ac:dyDescent="0.25">
      <c r="B94" s="42">
        <v>92</v>
      </c>
      <c r="C94" s="42" t="str">
        <f t="shared" si="2"/>
        <v>aitos24b</v>
      </c>
      <c r="D94" s="1" t="s">
        <v>990</v>
      </c>
      <c r="E94" s="1">
        <v>24</v>
      </c>
      <c r="F94" s="1" t="s">
        <v>1028</v>
      </c>
      <c r="G94" s="38" t="s">
        <v>1101</v>
      </c>
      <c r="H94" s="41" t="s">
        <v>1102</v>
      </c>
      <c r="I94" s="1" t="s">
        <v>1011</v>
      </c>
    </row>
    <row r="95" spans="2:9" ht="30" x14ac:dyDescent="0.25">
      <c r="B95" s="42">
        <v>93</v>
      </c>
      <c r="C95" s="42" t="str">
        <f t="shared" si="2"/>
        <v>aitos25b</v>
      </c>
      <c r="D95" s="1" t="s">
        <v>990</v>
      </c>
      <c r="E95" s="1">
        <v>25</v>
      </c>
      <c r="F95" s="1" t="s">
        <v>1028</v>
      </c>
      <c r="G95" s="38" t="s">
        <v>1103</v>
      </c>
      <c r="H95" s="41" t="s">
        <v>1104</v>
      </c>
      <c r="I95" s="1" t="s">
        <v>1011</v>
      </c>
    </row>
    <row r="96" spans="2:9" ht="30" x14ac:dyDescent="0.25">
      <c r="B96" s="42">
        <v>94</v>
      </c>
      <c r="C96" s="42" t="str">
        <f t="shared" si="2"/>
        <v>aitos26b</v>
      </c>
      <c r="D96" s="1" t="s">
        <v>990</v>
      </c>
      <c r="E96" s="1">
        <v>26</v>
      </c>
      <c r="F96" s="1" t="s">
        <v>1028</v>
      </c>
      <c r="G96" s="38" t="s">
        <v>1089</v>
      </c>
      <c r="H96" s="41" t="s">
        <v>1105</v>
      </c>
      <c r="I96" s="1" t="s">
        <v>1011</v>
      </c>
    </row>
    <row r="97" spans="2:9" ht="30" x14ac:dyDescent="0.25">
      <c r="B97" s="42">
        <v>95</v>
      </c>
      <c r="C97" s="42" t="str">
        <f t="shared" si="2"/>
        <v>aitos27b</v>
      </c>
      <c r="D97" s="1" t="s">
        <v>990</v>
      </c>
      <c r="E97" s="1">
        <v>27</v>
      </c>
      <c r="F97" s="1" t="s">
        <v>1028</v>
      </c>
      <c r="G97" s="38" t="s">
        <v>1106</v>
      </c>
      <c r="H97" s="41" t="s">
        <v>1107</v>
      </c>
      <c r="I97" s="1" t="s">
        <v>1011</v>
      </c>
    </row>
    <row r="98" spans="2:9" ht="30" x14ac:dyDescent="0.25">
      <c r="B98" s="42">
        <v>96</v>
      </c>
      <c r="C98" s="42" t="str">
        <f t="shared" si="2"/>
        <v>aitos28b</v>
      </c>
      <c r="D98" s="1" t="s">
        <v>990</v>
      </c>
      <c r="E98" s="1">
        <v>28</v>
      </c>
      <c r="F98" s="1" t="s">
        <v>1028</v>
      </c>
      <c r="G98" s="38" t="s">
        <v>1020</v>
      </c>
      <c r="H98" s="41" t="s">
        <v>1108</v>
      </c>
      <c r="I98" s="1" t="s">
        <v>1011</v>
      </c>
    </row>
    <row r="99" spans="2:9" ht="30" x14ac:dyDescent="0.25">
      <c r="B99" s="42">
        <v>97</v>
      </c>
      <c r="C99" s="42" t="str">
        <f t="shared" ref="C99:C130" si="3">LOWER(_xlfn.CONCAT("ait",LEFT(D99,1)&amp;"s"&amp;E99&amp;F99))</f>
        <v>aitos29b</v>
      </c>
      <c r="D99" s="1" t="s">
        <v>990</v>
      </c>
      <c r="E99" s="1">
        <v>29</v>
      </c>
      <c r="F99" s="1" t="s">
        <v>1028</v>
      </c>
      <c r="G99" s="38" t="s">
        <v>1109</v>
      </c>
      <c r="H99" s="41" t="s">
        <v>1110</v>
      </c>
      <c r="I99" s="1" t="s">
        <v>1011</v>
      </c>
    </row>
    <row r="100" spans="2:9" ht="30" x14ac:dyDescent="0.25">
      <c r="B100" s="42">
        <v>98</v>
      </c>
      <c r="C100" s="42" t="str">
        <f t="shared" si="3"/>
        <v>aitos30b</v>
      </c>
      <c r="D100" s="1" t="s">
        <v>990</v>
      </c>
      <c r="E100" s="1">
        <v>30</v>
      </c>
      <c r="F100" s="1" t="s">
        <v>1028</v>
      </c>
      <c r="G100" s="38" t="s">
        <v>1093</v>
      </c>
      <c r="H100" s="41" t="s">
        <v>1111</v>
      </c>
      <c r="I100" s="1" t="s">
        <v>1011</v>
      </c>
    </row>
    <row r="101" spans="2:9" ht="45" x14ac:dyDescent="0.25">
      <c r="B101" s="42">
        <v>99</v>
      </c>
      <c r="C101" s="42" t="str">
        <f t="shared" si="3"/>
        <v>aitos31b</v>
      </c>
      <c r="D101" s="1" t="s">
        <v>990</v>
      </c>
      <c r="E101" s="1">
        <v>31</v>
      </c>
      <c r="F101" s="1" t="s">
        <v>1028</v>
      </c>
      <c r="G101" s="38" t="s">
        <v>1067</v>
      </c>
      <c r="H101" s="41" t="s">
        <v>1068</v>
      </c>
      <c r="I101" s="1" t="s">
        <v>1011</v>
      </c>
    </row>
    <row r="102" spans="2:9" ht="30" x14ac:dyDescent="0.25">
      <c r="B102" s="42">
        <v>100</v>
      </c>
      <c r="C102" s="42" t="str">
        <f t="shared" si="3"/>
        <v>aitos32b</v>
      </c>
      <c r="D102" s="1" t="s">
        <v>990</v>
      </c>
      <c r="E102" s="1">
        <v>32</v>
      </c>
      <c r="F102" s="1" t="s">
        <v>1028</v>
      </c>
      <c r="G102" s="38" t="s">
        <v>1020</v>
      </c>
      <c r="H102" s="41" t="s">
        <v>1108</v>
      </c>
      <c r="I102" s="1" t="s">
        <v>1011</v>
      </c>
    </row>
    <row r="103" spans="2:9" ht="45" x14ac:dyDescent="0.25">
      <c r="B103" s="42">
        <v>101</v>
      </c>
      <c r="C103" s="42" t="str">
        <f t="shared" si="3"/>
        <v>aitos33b</v>
      </c>
      <c r="D103" s="1" t="s">
        <v>990</v>
      </c>
      <c r="E103" s="1">
        <v>33</v>
      </c>
      <c r="F103" s="1" t="s">
        <v>1028</v>
      </c>
      <c r="G103" s="38" t="s">
        <v>1114</v>
      </c>
      <c r="H103" s="41" t="s">
        <v>1115</v>
      </c>
      <c r="I103" s="1" t="s">
        <v>1011</v>
      </c>
    </row>
    <row r="104" spans="2:9" ht="30" x14ac:dyDescent="0.25">
      <c r="B104" s="42">
        <v>102</v>
      </c>
      <c r="C104" s="42" t="str">
        <f t="shared" si="3"/>
        <v>aitos34b</v>
      </c>
      <c r="D104" s="1" t="s">
        <v>990</v>
      </c>
      <c r="E104" s="1">
        <v>34</v>
      </c>
      <c r="F104" s="1" t="s">
        <v>1028</v>
      </c>
      <c r="G104" s="38" t="s">
        <v>1074</v>
      </c>
      <c r="H104" s="41" t="s">
        <v>1113</v>
      </c>
      <c r="I104" s="1" t="s">
        <v>1112</v>
      </c>
    </row>
    <row r="105" spans="2:9" ht="30" x14ac:dyDescent="0.25">
      <c r="B105" s="42">
        <v>103</v>
      </c>
      <c r="C105" s="1" t="str">
        <f t="shared" si="3"/>
        <v>aitas1a</v>
      </c>
      <c r="D105" s="1" t="s">
        <v>29</v>
      </c>
      <c r="E105" s="1">
        <v>1</v>
      </c>
      <c r="F105" s="1" t="s">
        <v>1027</v>
      </c>
      <c r="G105" s="38" t="s">
        <v>1146</v>
      </c>
      <c r="H105" s="41" t="s">
        <v>1147</v>
      </c>
      <c r="I105" s="1" t="s">
        <v>1011</v>
      </c>
    </row>
    <row r="106" spans="2:9" ht="30" x14ac:dyDescent="0.25">
      <c r="B106" s="42">
        <v>104</v>
      </c>
      <c r="C106" s="1" t="str">
        <f t="shared" si="3"/>
        <v>aitas2a</v>
      </c>
      <c r="D106" s="1" t="s">
        <v>29</v>
      </c>
      <c r="E106" s="1">
        <v>2</v>
      </c>
      <c r="F106" s="1" t="s">
        <v>1027</v>
      </c>
      <c r="G106" s="38" t="s">
        <v>1148</v>
      </c>
      <c r="H106" s="41" t="s">
        <v>1149</v>
      </c>
      <c r="I106" s="1" t="s">
        <v>1011</v>
      </c>
    </row>
    <row r="107" spans="2:9" ht="30" x14ac:dyDescent="0.25">
      <c r="B107" s="42">
        <v>105</v>
      </c>
      <c r="C107" s="1" t="str">
        <f t="shared" si="3"/>
        <v>aitas3a</v>
      </c>
      <c r="D107" s="1" t="s">
        <v>29</v>
      </c>
      <c r="E107" s="1">
        <v>3</v>
      </c>
      <c r="F107" s="1" t="s">
        <v>1027</v>
      </c>
      <c r="G107" s="38" t="s">
        <v>1095</v>
      </c>
      <c r="H107" s="41" t="s">
        <v>1086</v>
      </c>
      <c r="I107" s="1" t="s">
        <v>1011</v>
      </c>
    </row>
    <row r="108" spans="2:9" ht="45" x14ac:dyDescent="0.25">
      <c r="B108" s="42">
        <v>106</v>
      </c>
      <c r="C108" s="1" t="str">
        <f t="shared" si="3"/>
        <v>aitas4a</v>
      </c>
      <c r="D108" s="1" t="s">
        <v>29</v>
      </c>
      <c r="E108" s="1">
        <v>4</v>
      </c>
      <c r="F108" s="1" t="s">
        <v>1027</v>
      </c>
      <c r="G108" s="38" t="s">
        <v>1150</v>
      </c>
      <c r="H108" s="41" t="s">
        <v>1151</v>
      </c>
      <c r="I108" s="1" t="s">
        <v>1011</v>
      </c>
    </row>
    <row r="109" spans="2:9" ht="30" x14ac:dyDescent="0.25">
      <c r="B109" s="42">
        <v>107</v>
      </c>
      <c r="C109" s="1" t="str">
        <f t="shared" si="3"/>
        <v>aitas1b</v>
      </c>
      <c r="D109" s="1" t="s">
        <v>29</v>
      </c>
      <c r="E109" s="1">
        <v>1</v>
      </c>
      <c r="F109" s="1" t="s">
        <v>1028</v>
      </c>
      <c r="G109" s="38" t="s">
        <v>1152</v>
      </c>
      <c r="H109" s="41" t="s">
        <v>1153</v>
      </c>
      <c r="I109" s="1" t="s">
        <v>1011</v>
      </c>
    </row>
    <row r="110" spans="2:9" ht="30" x14ac:dyDescent="0.25">
      <c r="B110" s="42">
        <v>108</v>
      </c>
      <c r="C110" s="1" t="str">
        <f t="shared" si="3"/>
        <v>aitas2b</v>
      </c>
      <c r="D110" s="1" t="s">
        <v>29</v>
      </c>
      <c r="E110" s="1">
        <v>2</v>
      </c>
      <c r="F110" s="1" t="s">
        <v>1028</v>
      </c>
      <c r="G110" s="38" t="s">
        <v>1154</v>
      </c>
      <c r="H110" s="41" t="s">
        <v>1155</v>
      </c>
      <c r="I110" s="1" t="s">
        <v>1011</v>
      </c>
    </row>
    <row r="111" spans="2:9" ht="30" x14ac:dyDescent="0.25">
      <c r="B111" s="42">
        <v>109</v>
      </c>
      <c r="C111" s="1" t="str">
        <f t="shared" si="3"/>
        <v>aitas3b</v>
      </c>
      <c r="D111" s="1" t="s">
        <v>29</v>
      </c>
      <c r="E111" s="1">
        <v>3</v>
      </c>
      <c r="F111" s="1" t="s">
        <v>1028</v>
      </c>
      <c r="G111" s="38" t="s">
        <v>1095</v>
      </c>
      <c r="H111" s="41" t="s">
        <v>1086</v>
      </c>
      <c r="I111" s="1" t="s">
        <v>1011</v>
      </c>
    </row>
    <row r="112" spans="2:9" ht="30" x14ac:dyDescent="0.25">
      <c r="B112" s="42">
        <v>110</v>
      </c>
      <c r="C112" s="1" t="str">
        <f t="shared" si="3"/>
        <v>aitas4b</v>
      </c>
      <c r="D112" s="1" t="s">
        <v>29</v>
      </c>
      <c r="E112" s="1">
        <v>4</v>
      </c>
      <c r="F112" s="1" t="s">
        <v>1028</v>
      </c>
      <c r="G112" s="38" t="s">
        <v>1156</v>
      </c>
      <c r="H112" s="41" t="s">
        <v>1157</v>
      </c>
      <c r="I112" s="1" t="s">
        <v>1011</v>
      </c>
    </row>
    <row r="113" spans="2:9" ht="30" x14ac:dyDescent="0.25">
      <c r="B113" s="42">
        <v>111</v>
      </c>
      <c r="C113" s="1" t="str">
        <f t="shared" si="3"/>
        <v>aitas1c</v>
      </c>
      <c r="D113" s="1" t="s">
        <v>29</v>
      </c>
      <c r="E113" s="1">
        <v>1</v>
      </c>
      <c r="F113" s="1" t="s">
        <v>987</v>
      </c>
      <c r="G113" s="38" t="s">
        <v>1152</v>
      </c>
      <c r="H113" s="41" t="s">
        <v>1153</v>
      </c>
      <c r="I113" s="1" t="s">
        <v>1011</v>
      </c>
    </row>
    <row r="114" spans="2:9" ht="30" x14ac:dyDescent="0.25">
      <c r="B114" s="42">
        <v>112</v>
      </c>
      <c r="C114" s="1" t="str">
        <f t="shared" si="3"/>
        <v>aitas2c</v>
      </c>
      <c r="D114" s="1" t="s">
        <v>29</v>
      </c>
      <c r="E114" s="1">
        <v>2</v>
      </c>
      <c r="F114" s="1" t="s">
        <v>987</v>
      </c>
      <c r="G114" s="38" t="s">
        <v>1154</v>
      </c>
      <c r="H114" s="41" t="s">
        <v>1155</v>
      </c>
      <c r="I114" s="1" t="s">
        <v>1011</v>
      </c>
    </row>
    <row r="115" spans="2:9" ht="30" x14ac:dyDescent="0.25">
      <c r="B115" s="42">
        <v>113</v>
      </c>
      <c r="C115" s="1" t="str">
        <f t="shared" si="3"/>
        <v>aitas3c</v>
      </c>
      <c r="D115" s="1" t="s">
        <v>29</v>
      </c>
      <c r="E115" s="1">
        <v>3</v>
      </c>
      <c r="F115" s="1" t="s">
        <v>987</v>
      </c>
      <c r="G115" s="38" t="s">
        <v>1095</v>
      </c>
      <c r="H115" s="41" t="s">
        <v>1086</v>
      </c>
      <c r="I115" s="1" t="s">
        <v>1011</v>
      </c>
    </row>
    <row r="116" spans="2:9" ht="30" x14ac:dyDescent="0.25">
      <c r="B116" s="42">
        <v>114</v>
      </c>
      <c r="C116" s="1" t="str">
        <f t="shared" si="3"/>
        <v>aitas4c</v>
      </c>
      <c r="D116" s="1" t="s">
        <v>29</v>
      </c>
      <c r="E116" s="1">
        <v>4</v>
      </c>
      <c r="F116" s="1" t="s">
        <v>987</v>
      </c>
      <c r="G116" s="38" t="s">
        <v>1156</v>
      </c>
      <c r="H116" s="41" t="s">
        <v>1157</v>
      </c>
      <c r="I116" s="1" t="s">
        <v>1011</v>
      </c>
    </row>
    <row r="117" spans="2:9" ht="30" x14ac:dyDescent="0.25">
      <c r="B117" s="42">
        <v>115</v>
      </c>
      <c r="C117" s="1" t="str">
        <f t="shared" si="3"/>
        <v>aitns25dicmva</v>
      </c>
      <c r="D117" s="1" t="s">
        <v>30</v>
      </c>
      <c r="E117" s="1" t="s">
        <v>1166</v>
      </c>
      <c r="F117" s="1" t="s">
        <v>1027</v>
      </c>
      <c r="G117" s="38" t="s">
        <v>1158</v>
      </c>
      <c r="H117" s="41" t="s">
        <v>1160</v>
      </c>
      <c r="I117" s="1" t="s">
        <v>1011</v>
      </c>
    </row>
    <row r="118" spans="2:9" ht="30" x14ac:dyDescent="0.25">
      <c r="B118" s="42">
        <v>116</v>
      </c>
      <c r="C118" s="1" t="str">
        <f t="shared" si="3"/>
        <v>aitns25dicmvb</v>
      </c>
      <c r="D118" s="1" t="s">
        <v>30</v>
      </c>
      <c r="E118" s="1" t="s">
        <v>1166</v>
      </c>
      <c r="F118" s="1" t="s">
        <v>1028</v>
      </c>
      <c r="G118" s="38" t="s">
        <v>1158</v>
      </c>
      <c r="H118" s="41" t="s">
        <v>1160</v>
      </c>
      <c r="I118" s="1" t="s">
        <v>1011</v>
      </c>
    </row>
    <row r="119" spans="2:9" ht="30" x14ac:dyDescent="0.25">
      <c r="B119" s="42">
        <v>117</v>
      </c>
      <c r="C119" s="1" t="str">
        <f t="shared" si="3"/>
        <v>aitns25dicmvc</v>
      </c>
      <c r="D119" s="1" t="s">
        <v>30</v>
      </c>
      <c r="E119" s="1" t="s">
        <v>1166</v>
      </c>
      <c r="F119" s="1" t="s">
        <v>987</v>
      </c>
      <c r="G119" s="38" t="s">
        <v>1158</v>
      </c>
      <c r="H119" s="41" t="s">
        <v>1160</v>
      </c>
      <c r="I119" s="1" t="s">
        <v>1011</v>
      </c>
    </row>
    <row r="120" spans="2:9" ht="45" x14ac:dyDescent="0.25">
      <c r="B120" s="42">
        <v>118</v>
      </c>
      <c r="C120" s="1" t="str">
        <f t="shared" si="3"/>
        <v>aitns25dicmma</v>
      </c>
      <c r="D120" s="1" t="s">
        <v>30</v>
      </c>
      <c r="E120" s="1" t="s">
        <v>1165</v>
      </c>
      <c r="F120" s="1" t="s">
        <v>1027</v>
      </c>
      <c r="G120" s="38" t="s">
        <v>1159</v>
      </c>
      <c r="H120" s="41" t="s">
        <v>1161</v>
      </c>
      <c r="I120" s="1" t="s">
        <v>1011</v>
      </c>
    </row>
    <row r="121" spans="2:9" ht="45" x14ac:dyDescent="0.25">
      <c r="B121" s="42">
        <v>119</v>
      </c>
      <c r="C121" s="1" t="str">
        <f t="shared" si="3"/>
        <v>aitns25dicmmb</v>
      </c>
      <c r="D121" s="1" t="s">
        <v>30</v>
      </c>
      <c r="E121" s="1" t="s">
        <v>1165</v>
      </c>
      <c r="F121" s="1" t="s">
        <v>1028</v>
      </c>
      <c r="G121" s="38" t="s">
        <v>1159</v>
      </c>
      <c r="H121" s="41" t="s">
        <v>1161</v>
      </c>
      <c r="I121" s="1" t="s">
        <v>1011</v>
      </c>
    </row>
    <row r="122" spans="2:9" ht="45" x14ac:dyDescent="0.25">
      <c r="B122" s="42">
        <v>120</v>
      </c>
      <c r="C122" s="1" t="str">
        <f t="shared" si="3"/>
        <v>aitns25dicmmc</v>
      </c>
      <c r="D122" s="1" t="s">
        <v>30</v>
      </c>
      <c r="E122" s="1" t="s">
        <v>1165</v>
      </c>
      <c r="F122" s="1" t="s">
        <v>987</v>
      </c>
      <c r="G122" s="38" t="s">
        <v>1159</v>
      </c>
      <c r="H122" s="41" t="s">
        <v>1161</v>
      </c>
      <c r="I122" s="1" t="s">
        <v>1011</v>
      </c>
    </row>
    <row r="123" spans="2:9" ht="30" x14ac:dyDescent="0.25">
      <c r="B123" s="42">
        <v>121</v>
      </c>
      <c r="C123" s="1" t="str">
        <f t="shared" si="3"/>
        <v>aitns25dicmaa</v>
      </c>
      <c r="D123" s="1" t="s">
        <v>30</v>
      </c>
      <c r="E123" s="1" t="s">
        <v>1164</v>
      </c>
      <c r="F123" s="1" t="s">
        <v>1027</v>
      </c>
      <c r="G123" s="38" t="s">
        <v>1162</v>
      </c>
      <c r="H123" s="41" t="s">
        <v>1163</v>
      </c>
      <c r="I123" s="1" t="s">
        <v>1011</v>
      </c>
    </row>
    <row r="124" spans="2:9" ht="30" x14ac:dyDescent="0.25">
      <c r="B124" s="42">
        <v>122</v>
      </c>
      <c r="C124" s="1" t="str">
        <f t="shared" si="3"/>
        <v>aitns25dicmab</v>
      </c>
      <c r="D124" s="1" t="s">
        <v>30</v>
      </c>
      <c r="E124" s="1" t="s">
        <v>1164</v>
      </c>
      <c r="F124" s="1" t="s">
        <v>1028</v>
      </c>
      <c r="G124" s="38" t="s">
        <v>1162</v>
      </c>
      <c r="H124" s="41" t="s">
        <v>1163</v>
      </c>
      <c r="I124" s="1" t="s">
        <v>1011</v>
      </c>
    </row>
    <row r="125" spans="2:9" ht="30" x14ac:dyDescent="0.25">
      <c r="B125" s="42">
        <v>123</v>
      </c>
      <c r="C125" s="1" t="str">
        <f t="shared" si="3"/>
        <v>aitns25dicmac</v>
      </c>
      <c r="D125" s="1" t="s">
        <v>30</v>
      </c>
      <c r="E125" s="1" t="s">
        <v>1164</v>
      </c>
      <c r="F125" s="1" t="s">
        <v>987</v>
      </c>
      <c r="G125" s="38" t="s">
        <v>1162</v>
      </c>
      <c r="H125" s="41" t="s">
        <v>1163</v>
      </c>
      <c r="I125" s="1" t="s">
        <v>1011</v>
      </c>
    </row>
    <row r="126" spans="2:9" ht="45" x14ac:dyDescent="0.25">
      <c r="B126" s="42">
        <v>124</v>
      </c>
      <c r="C126" s="1" t="str">
        <f t="shared" si="3"/>
        <v>aitns25dicmda</v>
      </c>
      <c r="D126" s="1" t="s">
        <v>30</v>
      </c>
      <c r="E126" s="1" t="s">
        <v>1169</v>
      </c>
      <c r="F126" s="1" t="s">
        <v>1027</v>
      </c>
      <c r="G126" s="38" t="s">
        <v>1167</v>
      </c>
      <c r="H126" s="41" t="s">
        <v>1168</v>
      </c>
      <c r="I126" s="1" t="s">
        <v>1011</v>
      </c>
    </row>
    <row r="127" spans="2:9" ht="45" x14ac:dyDescent="0.25">
      <c r="B127" s="42">
        <v>125</v>
      </c>
      <c r="C127" s="1" t="str">
        <f t="shared" si="3"/>
        <v>aitns25dicmdb</v>
      </c>
      <c r="D127" s="1" t="s">
        <v>30</v>
      </c>
      <c r="E127" s="1" t="s">
        <v>1169</v>
      </c>
      <c r="F127" s="1" t="s">
        <v>1028</v>
      </c>
      <c r="G127" s="38" t="s">
        <v>1167</v>
      </c>
      <c r="H127" s="41" t="s">
        <v>1168</v>
      </c>
      <c r="I127" s="1" t="s">
        <v>1011</v>
      </c>
    </row>
    <row r="128" spans="2:9" ht="45" x14ac:dyDescent="0.25">
      <c r="B128" s="42">
        <v>126</v>
      </c>
      <c r="C128" s="1" t="str">
        <f t="shared" si="3"/>
        <v>aitns25dicmdc</v>
      </c>
      <c r="D128" s="1" t="s">
        <v>30</v>
      </c>
      <c r="E128" s="1" t="s">
        <v>1169</v>
      </c>
      <c r="F128" s="1" t="s">
        <v>987</v>
      </c>
      <c r="G128" s="38" t="s">
        <v>1167</v>
      </c>
      <c r="H128" s="41" t="s">
        <v>1168</v>
      </c>
      <c r="I128" s="1" t="s">
        <v>1011</v>
      </c>
    </row>
    <row r="129" spans="2:9" ht="60" x14ac:dyDescent="0.25">
      <c r="B129" s="42">
        <v>127</v>
      </c>
      <c r="C129" s="1" t="str">
        <f t="shared" si="3"/>
        <v>aitnssfa</v>
      </c>
      <c r="D129" s="1" t="s">
        <v>30</v>
      </c>
      <c r="E129" s="1" t="s">
        <v>1170</v>
      </c>
      <c r="F129" s="1" t="s">
        <v>1027</v>
      </c>
      <c r="G129" s="38" t="s">
        <v>1016</v>
      </c>
      <c r="H129" s="41" t="s">
        <v>1217</v>
      </c>
      <c r="I129" s="1" t="s">
        <v>1011</v>
      </c>
    </row>
    <row r="130" spans="2:9" ht="60" x14ac:dyDescent="0.25">
      <c r="B130" s="42">
        <v>128</v>
      </c>
      <c r="C130" s="1" t="str">
        <f t="shared" si="3"/>
        <v>aitnssfb</v>
      </c>
      <c r="D130" s="1" t="s">
        <v>30</v>
      </c>
      <c r="E130" s="1" t="s">
        <v>1170</v>
      </c>
      <c r="F130" s="1" t="s">
        <v>1028</v>
      </c>
      <c r="G130" s="38" t="s">
        <v>1016</v>
      </c>
      <c r="H130" s="41" t="s">
        <v>1217</v>
      </c>
      <c r="I130" s="1" t="s">
        <v>1011</v>
      </c>
    </row>
    <row r="131" spans="2:9" ht="60" x14ac:dyDescent="0.25">
      <c r="B131" s="42">
        <v>129</v>
      </c>
      <c r="C131" s="1" t="str">
        <f t="shared" ref="C131:C162" si="4">LOWER(_xlfn.CONCAT("ait",LEFT(D131,1)&amp;"s"&amp;E131&amp;F131))</f>
        <v>aitnssfc</v>
      </c>
      <c r="D131" s="1" t="s">
        <v>30</v>
      </c>
      <c r="E131" s="1" t="s">
        <v>1170</v>
      </c>
      <c r="F131" s="1" t="s">
        <v>987</v>
      </c>
      <c r="G131" s="38" t="s">
        <v>1016</v>
      </c>
      <c r="H131" s="41" t="s">
        <v>1217</v>
      </c>
      <c r="I131" s="1" t="s">
        <v>1011</v>
      </c>
    </row>
    <row r="132" spans="2:9" ht="45" x14ac:dyDescent="0.25">
      <c r="B132" s="42">
        <v>130</v>
      </c>
      <c r="C132" s="1" t="str">
        <f t="shared" si="4"/>
        <v>aitns1eneroa</v>
      </c>
      <c r="D132" s="1" t="s">
        <v>30</v>
      </c>
      <c r="E132" s="1" t="s">
        <v>1171</v>
      </c>
      <c r="F132" s="1" t="s">
        <v>1027</v>
      </c>
      <c r="G132" s="38" t="s">
        <v>1218</v>
      </c>
      <c r="H132" s="41" t="s">
        <v>1172</v>
      </c>
      <c r="I132" s="1" t="s">
        <v>1011</v>
      </c>
    </row>
    <row r="133" spans="2:9" ht="45" x14ac:dyDescent="0.25">
      <c r="B133" s="42">
        <v>131</v>
      </c>
      <c r="C133" s="1" t="str">
        <f t="shared" si="4"/>
        <v>aitns1enerob</v>
      </c>
      <c r="D133" s="1" t="s">
        <v>30</v>
      </c>
      <c r="E133" s="1" t="s">
        <v>1171</v>
      </c>
      <c r="F133" s="1" t="s">
        <v>1028</v>
      </c>
      <c r="G133" s="38" t="s">
        <v>1218</v>
      </c>
      <c r="H133" s="41" t="s">
        <v>1172</v>
      </c>
      <c r="I133" s="1" t="s">
        <v>1011</v>
      </c>
    </row>
    <row r="134" spans="2:9" ht="45" x14ac:dyDescent="0.25">
      <c r="B134" s="42">
        <v>132</v>
      </c>
      <c r="C134" s="1" t="str">
        <f t="shared" si="4"/>
        <v>aitns1eneroc</v>
      </c>
      <c r="D134" s="1" t="s">
        <v>30</v>
      </c>
      <c r="E134" s="1" t="s">
        <v>1171</v>
      </c>
      <c r="F134" s="1" t="s">
        <v>987</v>
      </c>
      <c r="G134" s="38" t="s">
        <v>1218</v>
      </c>
      <c r="H134" s="41" t="s">
        <v>1172</v>
      </c>
      <c r="I134" s="1" t="s">
        <v>1011</v>
      </c>
    </row>
    <row r="135" spans="2:9" ht="30" x14ac:dyDescent="0.25">
      <c r="B135" s="42">
        <v>133</v>
      </c>
      <c r="C135" s="1" t="str">
        <f t="shared" si="4"/>
        <v>aitns2domingoa</v>
      </c>
      <c r="D135" s="1" t="s">
        <v>30</v>
      </c>
      <c r="E135" s="1" t="s">
        <v>1173</v>
      </c>
      <c r="F135" s="1" t="s">
        <v>1027</v>
      </c>
      <c r="G135" s="38" t="s">
        <v>1174</v>
      </c>
      <c r="H135" s="41" t="s">
        <v>1175</v>
      </c>
      <c r="I135" s="1" t="s">
        <v>1011</v>
      </c>
    </row>
    <row r="136" spans="2:9" ht="30" x14ac:dyDescent="0.25">
      <c r="B136" s="42">
        <v>134</v>
      </c>
      <c r="C136" s="1" t="str">
        <f t="shared" si="4"/>
        <v>aitns2domingob</v>
      </c>
      <c r="D136" s="1" t="s">
        <v>30</v>
      </c>
      <c r="E136" s="1" t="s">
        <v>1173</v>
      </c>
      <c r="F136" s="1" t="s">
        <v>1028</v>
      </c>
      <c r="G136" s="38" t="s">
        <v>1174</v>
      </c>
      <c r="H136" s="41" t="s">
        <v>1175</v>
      </c>
      <c r="I136" s="1" t="s">
        <v>1011</v>
      </c>
    </row>
    <row r="137" spans="2:9" ht="30" x14ac:dyDescent="0.25">
      <c r="B137" s="42">
        <v>135</v>
      </c>
      <c r="C137" s="1" t="str">
        <f t="shared" si="4"/>
        <v>aitns2domingoc</v>
      </c>
      <c r="D137" s="1" t="s">
        <v>30</v>
      </c>
      <c r="E137" s="1" t="s">
        <v>1173</v>
      </c>
      <c r="F137" s="1" t="s">
        <v>987</v>
      </c>
      <c r="G137" s="38" t="s">
        <v>1174</v>
      </c>
      <c r="H137" s="41" t="s">
        <v>1175</v>
      </c>
      <c r="I137" s="1" t="s">
        <v>1011</v>
      </c>
    </row>
    <row r="138" spans="2:9" ht="30" x14ac:dyDescent="0.25">
      <c r="B138" s="42">
        <v>136</v>
      </c>
      <c r="C138" s="1" t="str">
        <f t="shared" si="4"/>
        <v>aitns6eneroa</v>
      </c>
      <c r="D138" s="1" t="s">
        <v>30</v>
      </c>
      <c r="E138" s="1" t="s">
        <v>1176</v>
      </c>
      <c r="F138" s="1" t="s">
        <v>1027</v>
      </c>
      <c r="G138" s="38" t="s">
        <v>1177</v>
      </c>
      <c r="H138" s="41" t="s">
        <v>1178</v>
      </c>
      <c r="I138" s="1" t="s">
        <v>1011</v>
      </c>
    </row>
    <row r="139" spans="2:9" ht="30" x14ac:dyDescent="0.25">
      <c r="B139" s="42">
        <v>137</v>
      </c>
      <c r="C139" s="1" t="str">
        <f t="shared" si="4"/>
        <v>aitns6enerob</v>
      </c>
      <c r="D139" s="1" t="s">
        <v>30</v>
      </c>
      <c r="E139" s="1" t="s">
        <v>1176</v>
      </c>
      <c r="F139" s="1" t="s">
        <v>1028</v>
      </c>
      <c r="G139" s="38" t="s">
        <v>1177</v>
      </c>
      <c r="H139" s="41" t="s">
        <v>1178</v>
      </c>
      <c r="I139" s="1" t="s">
        <v>1011</v>
      </c>
    </row>
    <row r="140" spans="2:9" ht="30" x14ac:dyDescent="0.25">
      <c r="B140" s="42">
        <v>138</v>
      </c>
      <c r="C140" s="1" t="str">
        <f t="shared" si="4"/>
        <v>aitns6eneroc</v>
      </c>
      <c r="D140" s="1" t="s">
        <v>30</v>
      </c>
      <c r="E140" s="1" t="s">
        <v>1176</v>
      </c>
      <c r="F140" s="1" t="s">
        <v>987</v>
      </c>
      <c r="G140" s="38" t="s">
        <v>1177</v>
      </c>
      <c r="H140" s="41" t="s">
        <v>1178</v>
      </c>
      <c r="I140" s="1" t="s">
        <v>1011</v>
      </c>
    </row>
    <row r="141" spans="2:9" ht="30" x14ac:dyDescent="0.25">
      <c r="B141" s="42">
        <v>139</v>
      </c>
      <c r="C141" s="1" t="str">
        <f t="shared" si="4"/>
        <v>aitcs1a</v>
      </c>
      <c r="D141" s="1" t="s">
        <v>17</v>
      </c>
      <c r="E141" s="1">
        <v>1</v>
      </c>
      <c r="F141" s="1" t="s">
        <v>1027</v>
      </c>
      <c r="G141" s="38" t="s">
        <v>1048</v>
      </c>
      <c r="H141" s="41" t="s">
        <v>1049</v>
      </c>
      <c r="I141" s="1" t="s">
        <v>1011</v>
      </c>
    </row>
    <row r="142" spans="2:9" ht="30" x14ac:dyDescent="0.25">
      <c r="B142" s="42">
        <v>140</v>
      </c>
      <c r="C142" s="1" t="str">
        <f t="shared" si="4"/>
        <v>aitcs2a</v>
      </c>
      <c r="D142" s="1" t="s">
        <v>17</v>
      </c>
      <c r="E142" s="1">
        <v>2</v>
      </c>
      <c r="F142" s="1" t="s">
        <v>1027</v>
      </c>
      <c r="G142" s="38" t="s">
        <v>1180</v>
      </c>
      <c r="H142" s="41" t="s">
        <v>988</v>
      </c>
      <c r="I142" s="1" t="s">
        <v>1011</v>
      </c>
    </row>
    <row r="143" spans="2:9" ht="30" x14ac:dyDescent="0.25">
      <c r="B143" s="42">
        <v>141</v>
      </c>
      <c r="C143" s="1" t="str">
        <f t="shared" si="4"/>
        <v>aitcs3a</v>
      </c>
      <c r="D143" s="1" t="s">
        <v>17</v>
      </c>
      <c r="E143" s="1">
        <v>3</v>
      </c>
      <c r="F143" s="1" t="s">
        <v>1027</v>
      </c>
      <c r="G143" s="38" t="s">
        <v>1181</v>
      </c>
      <c r="H143" s="41" t="s">
        <v>1182</v>
      </c>
      <c r="I143" s="1" t="s">
        <v>1011</v>
      </c>
    </row>
    <row r="144" spans="2:9" ht="45" x14ac:dyDescent="0.25">
      <c r="B144" s="42">
        <v>142</v>
      </c>
      <c r="C144" s="1" t="str">
        <f t="shared" si="4"/>
        <v>aitcs4a</v>
      </c>
      <c r="D144" s="1" t="s">
        <v>17</v>
      </c>
      <c r="E144" s="1">
        <v>4</v>
      </c>
      <c r="F144" s="1" t="s">
        <v>1027</v>
      </c>
      <c r="G144" s="38" t="s">
        <v>1183</v>
      </c>
      <c r="H144" s="41" t="s">
        <v>1184</v>
      </c>
      <c r="I144" s="1" t="s">
        <v>1011</v>
      </c>
    </row>
    <row r="145" spans="2:9" ht="45" x14ac:dyDescent="0.25">
      <c r="B145" s="42">
        <v>143</v>
      </c>
      <c r="C145" s="1" t="str">
        <f t="shared" si="4"/>
        <v>aitcs5a</v>
      </c>
      <c r="D145" s="1" t="s">
        <v>17</v>
      </c>
      <c r="E145" s="1">
        <v>5</v>
      </c>
      <c r="F145" s="1" t="s">
        <v>1027</v>
      </c>
      <c r="G145" s="38" t="s">
        <v>1185</v>
      </c>
      <c r="H145" s="41" t="s">
        <v>1186</v>
      </c>
      <c r="I145" s="1" t="s">
        <v>1011</v>
      </c>
    </row>
    <row r="146" spans="2:9" ht="60" x14ac:dyDescent="0.25">
      <c r="B146" s="42">
        <v>144</v>
      </c>
      <c r="C146" s="1" t="str">
        <f t="shared" si="4"/>
        <v>aitcs6a</v>
      </c>
      <c r="D146" s="1" t="s">
        <v>17</v>
      </c>
      <c r="E146" s="1">
        <v>6</v>
      </c>
      <c r="F146" s="1" t="s">
        <v>1027</v>
      </c>
      <c r="G146" s="38" t="s">
        <v>1187</v>
      </c>
      <c r="H146" s="41" t="s">
        <v>1188</v>
      </c>
      <c r="I146" s="1" t="s">
        <v>1011</v>
      </c>
    </row>
    <row r="147" spans="2:9" ht="60" x14ac:dyDescent="0.25">
      <c r="B147" s="42">
        <v>145</v>
      </c>
      <c r="C147" s="1" t="str">
        <f t="shared" si="4"/>
        <v>aitcsjsa</v>
      </c>
      <c r="D147" s="1" t="s">
        <v>17</v>
      </c>
      <c r="E147" s="1" t="s">
        <v>1189</v>
      </c>
      <c r="F147" s="1" t="s">
        <v>1027</v>
      </c>
      <c r="G147" s="38" t="s">
        <v>1190</v>
      </c>
      <c r="H147" s="41" t="s">
        <v>1191</v>
      </c>
      <c r="I147" s="1" t="s">
        <v>1011</v>
      </c>
    </row>
    <row r="148" spans="2:9" ht="60" x14ac:dyDescent="0.25">
      <c r="B148" s="42">
        <v>146</v>
      </c>
      <c r="C148" s="1" t="str">
        <f t="shared" si="4"/>
        <v>aitcsjsb</v>
      </c>
      <c r="D148" s="1" t="s">
        <v>17</v>
      </c>
      <c r="E148" s="1" t="s">
        <v>1189</v>
      </c>
      <c r="F148" s="1" t="s">
        <v>1028</v>
      </c>
      <c r="G148" s="38" t="s">
        <v>1190</v>
      </c>
      <c r="H148" s="41" t="s">
        <v>1191</v>
      </c>
      <c r="I148" s="1" t="s">
        <v>1011</v>
      </c>
    </row>
    <row r="149" spans="2:9" ht="60" x14ac:dyDescent="0.25">
      <c r="B149" s="42">
        <v>147</v>
      </c>
      <c r="C149" s="1" t="str">
        <f t="shared" si="4"/>
        <v>aitcsjsc</v>
      </c>
      <c r="D149" s="1" t="s">
        <v>17</v>
      </c>
      <c r="E149" s="1" t="s">
        <v>1189</v>
      </c>
      <c r="F149" s="1" t="s">
        <v>987</v>
      </c>
      <c r="G149" s="38" t="s">
        <v>1190</v>
      </c>
      <c r="H149" s="41" t="s">
        <v>1191</v>
      </c>
      <c r="I149" s="1" t="s">
        <v>1011</v>
      </c>
    </row>
    <row r="150" spans="2:9" ht="60" x14ac:dyDescent="0.25">
      <c r="B150" s="42">
        <v>148</v>
      </c>
      <c r="C150" s="1" t="str">
        <f t="shared" si="4"/>
        <v>aitcsvsa</v>
      </c>
      <c r="D150" s="1" t="s">
        <v>17</v>
      </c>
      <c r="E150" s="1" t="s">
        <v>1192</v>
      </c>
      <c r="F150" s="1" t="s">
        <v>1027</v>
      </c>
      <c r="G150" s="38" t="s">
        <v>1194</v>
      </c>
      <c r="H150" s="41" t="s">
        <v>1193</v>
      </c>
      <c r="I150" s="1" t="s">
        <v>1011</v>
      </c>
    </row>
    <row r="151" spans="2:9" ht="60" x14ac:dyDescent="0.25">
      <c r="B151" s="42">
        <v>149</v>
      </c>
      <c r="C151" s="1" t="str">
        <f t="shared" si="4"/>
        <v>aitcsvsb</v>
      </c>
      <c r="D151" s="1" t="s">
        <v>17</v>
      </c>
      <c r="E151" s="1" t="s">
        <v>1192</v>
      </c>
      <c r="F151" s="1" t="s">
        <v>1028</v>
      </c>
      <c r="G151" s="38" t="s">
        <v>1194</v>
      </c>
      <c r="H151" s="41" t="s">
        <v>1193</v>
      </c>
      <c r="I151" s="1" t="s">
        <v>1011</v>
      </c>
    </row>
    <row r="152" spans="2:9" ht="60" x14ac:dyDescent="0.25">
      <c r="B152" s="42">
        <v>150</v>
      </c>
      <c r="C152" s="1" t="str">
        <f t="shared" si="4"/>
        <v>aitcsvsc</v>
      </c>
      <c r="D152" s="1" t="s">
        <v>17</v>
      </c>
      <c r="E152" s="1" t="s">
        <v>1192</v>
      </c>
      <c r="F152" s="1" t="s">
        <v>987</v>
      </c>
      <c r="G152" s="38" t="s">
        <v>1194</v>
      </c>
      <c r="H152" s="41" t="s">
        <v>1193</v>
      </c>
      <c r="I152" s="1" t="s">
        <v>1011</v>
      </c>
    </row>
    <row r="153" spans="2:9" x14ac:dyDescent="0.25">
      <c r="B153" s="42">
        <v>151</v>
      </c>
      <c r="C153" s="1" t="str">
        <f t="shared" si="4"/>
        <v>aitpsssa</v>
      </c>
      <c r="D153" s="1" t="s">
        <v>12</v>
      </c>
      <c r="E153" s="1" t="s">
        <v>1195</v>
      </c>
      <c r="F153" s="1" t="s">
        <v>1027</v>
      </c>
      <c r="G153" s="38" t="s">
        <v>1198</v>
      </c>
      <c r="H153" s="41" t="s">
        <v>1232</v>
      </c>
      <c r="I153" s="1" t="s">
        <v>1011</v>
      </c>
    </row>
    <row r="154" spans="2:9" x14ac:dyDescent="0.25">
      <c r="B154" s="42">
        <v>152</v>
      </c>
      <c r="C154" s="1" t="str">
        <f t="shared" si="4"/>
        <v>aitpsssb</v>
      </c>
      <c r="D154" s="1" t="s">
        <v>12</v>
      </c>
      <c r="E154" s="1" t="s">
        <v>1195</v>
      </c>
      <c r="F154" s="1" t="s">
        <v>1028</v>
      </c>
      <c r="G154" s="38" t="s">
        <v>1198</v>
      </c>
      <c r="H154" s="41" t="s">
        <v>1232</v>
      </c>
      <c r="I154" s="1" t="s">
        <v>1011</v>
      </c>
    </row>
    <row r="155" spans="2:9" x14ac:dyDescent="0.25">
      <c r="B155" s="42">
        <v>153</v>
      </c>
      <c r="C155" s="1" t="str">
        <f t="shared" si="4"/>
        <v>aitpsssc</v>
      </c>
      <c r="D155" s="1" t="s">
        <v>12</v>
      </c>
      <c r="E155" s="1" t="s">
        <v>1195</v>
      </c>
      <c r="F155" s="1" t="s">
        <v>987</v>
      </c>
      <c r="G155" s="38" t="s">
        <v>1198</v>
      </c>
      <c r="H155" s="41" t="s">
        <v>1232</v>
      </c>
      <c r="I155" s="1" t="s">
        <v>1011</v>
      </c>
    </row>
    <row r="156" spans="2:9" ht="45" x14ac:dyDescent="0.25">
      <c r="B156" s="42">
        <v>154</v>
      </c>
      <c r="C156" s="1" t="str">
        <f t="shared" si="4"/>
        <v>aitps1a</v>
      </c>
      <c r="D156" s="1" t="s">
        <v>12</v>
      </c>
      <c r="E156" s="1">
        <v>1</v>
      </c>
      <c r="F156" s="1" t="s">
        <v>1027</v>
      </c>
      <c r="G156" s="38" t="s">
        <v>1196</v>
      </c>
      <c r="H156" s="41" t="s">
        <v>1197</v>
      </c>
      <c r="I156" s="1" t="s">
        <v>1011</v>
      </c>
    </row>
    <row r="157" spans="2:9" ht="45" x14ac:dyDescent="0.25">
      <c r="B157" s="42">
        <v>155</v>
      </c>
      <c r="C157" s="1" t="str">
        <f t="shared" si="4"/>
        <v>aitps1b</v>
      </c>
      <c r="D157" s="1" t="s">
        <v>12</v>
      </c>
      <c r="E157" s="1">
        <v>1</v>
      </c>
      <c r="F157" s="1" t="s">
        <v>1028</v>
      </c>
      <c r="G157" s="38" t="s">
        <v>1196</v>
      </c>
      <c r="H157" s="41" t="s">
        <v>1197</v>
      </c>
      <c r="I157" s="1" t="s">
        <v>1011</v>
      </c>
    </row>
    <row r="158" spans="2:9" ht="45" x14ac:dyDescent="0.25">
      <c r="B158" s="42">
        <v>156</v>
      </c>
      <c r="C158" s="1" t="str">
        <f t="shared" si="4"/>
        <v>aitps1c</v>
      </c>
      <c r="D158" s="1" t="s">
        <v>12</v>
      </c>
      <c r="E158" s="1">
        <v>1</v>
      </c>
      <c r="F158" s="1" t="s">
        <v>987</v>
      </c>
      <c r="G158" s="38" t="s">
        <v>1196</v>
      </c>
      <c r="H158" s="41" t="s">
        <v>1197</v>
      </c>
      <c r="I158" s="1" t="s">
        <v>1011</v>
      </c>
    </row>
    <row r="159" spans="2:9" ht="45" x14ac:dyDescent="0.25">
      <c r="B159" s="42">
        <v>157</v>
      </c>
      <c r="C159" s="1" t="str">
        <f t="shared" si="4"/>
        <v>aitps2a</v>
      </c>
      <c r="D159" s="1" t="s">
        <v>12</v>
      </c>
      <c r="E159" s="1">
        <v>2</v>
      </c>
      <c r="F159" s="1" t="s">
        <v>1027</v>
      </c>
      <c r="G159" s="38" t="s">
        <v>1199</v>
      </c>
      <c r="H159" s="41" t="s">
        <v>1200</v>
      </c>
      <c r="I159" s="1" t="s">
        <v>1011</v>
      </c>
    </row>
    <row r="160" spans="2:9" ht="30" x14ac:dyDescent="0.25">
      <c r="B160" s="42">
        <v>158</v>
      </c>
      <c r="C160" s="1" t="str">
        <f t="shared" si="4"/>
        <v>aitps3a</v>
      </c>
      <c r="D160" s="1" t="s">
        <v>12</v>
      </c>
      <c r="E160" s="1">
        <v>3</v>
      </c>
      <c r="F160" s="1" t="s">
        <v>1027</v>
      </c>
      <c r="G160" s="38" t="s">
        <v>1201</v>
      </c>
      <c r="H160" s="41" t="s">
        <v>1202</v>
      </c>
      <c r="I160" s="1" t="s">
        <v>1011</v>
      </c>
    </row>
    <row r="161" spans="2:9" ht="45" x14ac:dyDescent="0.25">
      <c r="B161" s="42">
        <v>159</v>
      </c>
      <c r="C161" s="1" t="str">
        <f t="shared" si="4"/>
        <v>aitps4a</v>
      </c>
      <c r="D161" s="1" t="s">
        <v>12</v>
      </c>
      <c r="E161" s="1">
        <v>4</v>
      </c>
      <c r="F161" s="1" t="s">
        <v>1027</v>
      </c>
      <c r="G161" s="38" t="s">
        <v>1203</v>
      </c>
      <c r="H161" s="41" t="s">
        <v>1204</v>
      </c>
      <c r="I161" s="1" t="s">
        <v>1011</v>
      </c>
    </row>
    <row r="162" spans="2:9" ht="45" x14ac:dyDescent="0.25">
      <c r="B162" s="42">
        <v>160</v>
      </c>
      <c r="C162" s="1" t="str">
        <f t="shared" si="4"/>
        <v>aitps5a</v>
      </c>
      <c r="D162" s="1" t="s">
        <v>12</v>
      </c>
      <c r="E162" s="1">
        <v>5</v>
      </c>
      <c r="F162" s="1" t="s">
        <v>1027</v>
      </c>
      <c r="G162" s="38" t="s">
        <v>1023</v>
      </c>
      <c r="H162" s="41" t="s">
        <v>1129</v>
      </c>
      <c r="I162" s="1" t="s">
        <v>1011</v>
      </c>
    </row>
    <row r="163" spans="2:9" ht="60" x14ac:dyDescent="0.25">
      <c r="B163" s="42">
        <v>161</v>
      </c>
      <c r="C163" s="1" t="str">
        <f t="shared" ref="C163:C195" si="5">LOWER(_xlfn.CONCAT("ait",LEFT(D163,1)&amp;"s"&amp;E163&amp;F163))</f>
        <v>aitps6a</v>
      </c>
      <c r="D163" s="1" t="s">
        <v>12</v>
      </c>
      <c r="E163" s="1">
        <v>6</v>
      </c>
      <c r="F163" s="1" t="s">
        <v>1027</v>
      </c>
      <c r="G163" s="38" t="s">
        <v>1205</v>
      </c>
      <c r="H163" s="41" t="s">
        <v>1206</v>
      </c>
      <c r="I163" s="1" t="s">
        <v>1011</v>
      </c>
    </row>
    <row r="164" spans="2:9" ht="60" x14ac:dyDescent="0.25">
      <c r="B164" s="42">
        <v>162</v>
      </c>
      <c r="C164" s="1" t="str">
        <f t="shared" si="5"/>
        <v>aitpsasa</v>
      </c>
      <c r="D164" s="1" t="s">
        <v>12</v>
      </c>
      <c r="E164" s="1" t="s">
        <v>975</v>
      </c>
      <c r="F164" s="1" t="s">
        <v>1027</v>
      </c>
      <c r="G164" s="38" t="s">
        <v>1207</v>
      </c>
      <c r="H164" s="41" t="s">
        <v>1208</v>
      </c>
      <c r="I164" s="1" t="s">
        <v>1011</v>
      </c>
    </row>
    <row r="165" spans="2:9" ht="60" x14ac:dyDescent="0.25">
      <c r="B165" s="42">
        <v>163</v>
      </c>
      <c r="C165" s="1" t="str">
        <f t="shared" si="5"/>
        <v>aitpsasb</v>
      </c>
      <c r="D165" s="1" t="s">
        <v>12</v>
      </c>
      <c r="E165" s="1" t="s">
        <v>975</v>
      </c>
      <c r="F165" s="1" t="s">
        <v>1028</v>
      </c>
      <c r="G165" s="38" t="s">
        <v>1207</v>
      </c>
      <c r="H165" s="41" t="s">
        <v>1208</v>
      </c>
      <c r="I165" s="1" t="s">
        <v>1011</v>
      </c>
    </row>
    <row r="166" spans="2:9" ht="60" x14ac:dyDescent="0.25">
      <c r="B166" s="42">
        <v>163</v>
      </c>
      <c r="C166" s="1" t="str">
        <f t="shared" ref="C166" si="6">LOWER(_xlfn.CONCAT("ait",LEFT(D166,1)&amp;"s"&amp;E166&amp;F166))</f>
        <v>aitpsasc</v>
      </c>
      <c r="D166" s="1" t="s">
        <v>12</v>
      </c>
      <c r="E166" s="1" t="s">
        <v>975</v>
      </c>
      <c r="F166" s="1" t="s">
        <v>987</v>
      </c>
      <c r="G166" s="38" t="s">
        <v>1207</v>
      </c>
      <c r="H166" s="41" t="s">
        <v>1208</v>
      </c>
      <c r="I166" s="1" t="s">
        <v>1011</v>
      </c>
    </row>
    <row r="167" spans="2:9" ht="60" x14ac:dyDescent="0.25">
      <c r="B167" s="42">
        <v>164</v>
      </c>
      <c r="C167" s="1" t="str">
        <f t="shared" si="5"/>
        <v>aitps7a</v>
      </c>
      <c r="D167" s="1" t="s">
        <v>12</v>
      </c>
      <c r="E167" s="1">
        <v>7</v>
      </c>
      <c r="F167" s="1" t="s">
        <v>1027</v>
      </c>
      <c r="G167" s="38" t="s">
        <v>1205</v>
      </c>
      <c r="H167" s="41" t="s">
        <v>1206</v>
      </c>
      <c r="I167" s="1" t="s">
        <v>1011</v>
      </c>
    </row>
    <row r="168" spans="2:9" ht="45" x14ac:dyDescent="0.25">
      <c r="B168" s="42">
        <v>165</v>
      </c>
      <c r="C168" s="1" t="str">
        <f t="shared" si="5"/>
        <v>aitps8a</v>
      </c>
      <c r="D168" s="1" t="s">
        <v>12</v>
      </c>
      <c r="E168" s="1">
        <v>8</v>
      </c>
      <c r="F168" s="1" t="s">
        <v>1027</v>
      </c>
      <c r="G168" s="38" t="s">
        <v>1209</v>
      </c>
      <c r="H168" s="41" t="s">
        <v>1210</v>
      </c>
      <c r="I168" s="1" t="s">
        <v>1011</v>
      </c>
    </row>
    <row r="169" spans="2:9" ht="45" x14ac:dyDescent="0.25">
      <c r="B169" s="42">
        <v>166</v>
      </c>
      <c r="C169" s="1" t="str">
        <f t="shared" si="5"/>
        <v>aitps8b</v>
      </c>
      <c r="D169" s="1" t="s">
        <v>12</v>
      </c>
      <c r="E169" s="1">
        <v>8</v>
      </c>
      <c r="F169" s="1" t="s">
        <v>1028</v>
      </c>
      <c r="G169" s="38" t="s">
        <v>1209</v>
      </c>
      <c r="H169" s="41" t="s">
        <v>1210</v>
      </c>
      <c r="I169" s="1" t="s">
        <v>1011</v>
      </c>
    </row>
    <row r="170" spans="2:9" ht="45" x14ac:dyDescent="0.25">
      <c r="B170" s="42">
        <v>167</v>
      </c>
      <c r="C170" s="1" t="str">
        <f t="shared" si="5"/>
        <v>aitps8c</v>
      </c>
      <c r="D170" s="1" t="s">
        <v>12</v>
      </c>
      <c r="E170" s="1">
        <v>8</v>
      </c>
      <c r="F170" s="1" t="s">
        <v>987</v>
      </c>
      <c r="G170" s="38" t="s">
        <v>1209</v>
      </c>
      <c r="H170" s="41" t="s">
        <v>1210</v>
      </c>
      <c r="I170" s="1" t="s">
        <v>1011</v>
      </c>
    </row>
    <row r="171" spans="2:9" ht="30" x14ac:dyDescent="0.25">
      <c r="B171" s="42">
        <v>168</v>
      </c>
      <c r="C171" s="1" t="str">
        <f t="shared" si="5"/>
        <v>aitps9a</v>
      </c>
      <c r="D171" s="1" t="s">
        <v>12</v>
      </c>
      <c r="E171" s="1">
        <v>9</v>
      </c>
      <c r="F171" s="1" t="s">
        <v>1027</v>
      </c>
      <c r="G171" s="38" t="s">
        <v>1211</v>
      </c>
      <c r="H171" s="41" t="s">
        <v>1212</v>
      </c>
      <c r="I171" s="1" t="s">
        <v>1011</v>
      </c>
    </row>
    <row r="172" spans="2:9" ht="30" x14ac:dyDescent="0.25">
      <c r="B172" s="42">
        <v>169</v>
      </c>
      <c r="C172" s="1" t="str">
        <f t="shared" si="5"/>
        <v>aitps9b</v>
      </c>
      <c r="D172" s="1" t="s">
        <v>12</v>
      </c>
      <c r="E172" s="1">
        <v>9</v>
      </c>
      <c r="F172" s="1" t="s">
        <v>1028</v>
      </c>
      <c r="G172" s="38" t="s">
        <v>1211</v>
      </c>
      <c r="H172" s="41" t="s">
        <v>1212</v>
      </c>
      <c r="I172" s="1" t="s">
        <v>1011</v>
      </c>
    </row>
    <row r="173" spans="2:9" ht="30" x14ac:dyDescent="0.25">
      <c r="B173" s="42">
        <v>170</v>
      </c>
      <c r="C173" s="1" t="str">
        <f t="shared" si="5"/>
        <v>aitps9c</v>
      </c>
      <c r="D173" s="1" t="s">
        <v>12</v>
      </c>
      <c r="E173" s="1">
        <v>9</v>
      </c>
      <c r="F173" s="1" t="s">
        <v>987</v>
      </c>
      <c r="G173" s="38" t="s">
        <v>1211</v>
      </c>
      <c r="H173" s="41" t="s">
        <v>1212</v>
      </c>
      <c r="I173" s="1" t="s">
        <v>1011</v>
      </c>
    </row>
    <row r="174" spans="2:9" ht="60" x14ac:dyDescent="0.25">
      <c r="B174" s="42">
        <v>171</v>
      </c>
      <c r="C174" s="1" t="str">
        <f t="shared" si="5"/>
        <v>aitosscsca</v>
      </c>
      <c r="D174" s="1" t="s">
        <v>990</v>
      </c>
      <c r="E174" s="1" t="s">
        <v>1215</v>
      </c>
      <c r="F174" s="1" t="s">
        <v>1027</v>
      </c>
      <c r="G174" s="38" t="s">
        <v>1213</v>
      </c>
      <c r="H174" s="41" t="s">
        <v>1214</v>
      </c>
      <c r="I174" s="1" t="s">
        <v>1011</v>
      </c>
    </row>
    <row r="175" spans="2:9" ht="60" x14ac:dyDescent="0.25">
      <c r="B175" s="42">
        <v>172</v>
      </c>
      <c r="C175" s="1" t="str">
        <f t="shared" si="5"/>
        <v>aitosscscb</v>
      </c>
      <c r="D175" s="1" t="s">
        <v>990</v>
      </c>
      <c r="E175" s="1" t="s">
        <v>1215</v>
      </c>
      <c r="F175" s="1" t="s">
        <v>1028</v>
      </c>
      <c r="G175" s="38" t="s">
        <v>1213</v>
      </c>
      <c r="H175" s="41" t="s">
        <v>1214</v>
      </c>
      <c r="I175" s="1" t="s">
        <v>1011</v>
      </c>
    </row>
    <row r="176" spans="2:9" ht="60" x14ac:dyDescent="0.25">
      <c r="B176" s="42">
        <v>173</v>
      </c>
      <c r="C176" s="1" t="str">
        <f t="shared" si="5"/>
        <v>aitosscscc</v>
      </c>
      <c r="D176" s="1" t="s">
        <v>990</v>
      </c>
      <c r="E176" s="1" t="s">
        <v>1215</v>
      </c>
      <c r="F176" s="1" t="s">
        <v>987</v>
      </c>
      <c r="G176" s="38" t="s">
        <v>1213</v>
      </c>
      <c r="H176" s="41" t="s">
        <v>1214</v>
      </c>
      <c r="I176" s="1" t="s">
        <v>1011</v>
      </c>
    </row>
    <row r="177" spans="2:9" ht="135" x14ac:dyDescent="0.25">
      <c r="B177" s="42">
        <v>174</v>
      </c>
      <c r="C177" s="1" t="str">
        <f t="shared" si="5"/>
        <v>aitosviernesa</v>
      </c>
      <c r="D177" s="1" t="s">
        <v>990</v>
      </c>
      <c r="E177" s="1" t="s">
        <v>1216</v>
      </c>
      <c r="F177" s="1" t="s">
        <v>1027</v>
      </c>
      <c r="G177" s="38" t="s">
        <v>1225</v>
      </c>
      <c r="H177" s="41" t="s">
        <v>1226</v>
      </c>
      <c r="I177" s="1" t="s">
        <v>1011</v>
      </c>
    </row>
    <row r="178" spans="2:9" ht="135" x14ac:dyDescent="0.25">
      <c r="B178" s="42">
        <v>175</v>
      </c>
      <c r="C178" s="1" t="str">
        <f t="shared" si="5"/>
        <v>aitosviernesb</v>
      </c>
      <c r="D178" s="1" t="s">
        <v>990</v>
      </c>
      <c r="E178" s="1" t="s">
        <v>1216</v>
      </c>
      <c r="F178" s="1" t="s">
        <v>1028</v>
      </c>
      <c r="G178" s="38" t="s">
        <v>1225</v>
      </c>
      <c r="H178" s="41" t="s">
        <v>1226</v>
      </c>
      <c r="I178" s="1" t="s">
        <v>1011</v>
      </c>
    </row>
    <row r="179" spans="2:9" ht="135" x14ac:dyDescent="0.25">
      <c r="B179" s="42">
        <v>176</v>
      </c>
      <c r="C179" s="1" t="str">
        <f t="shared" si="5"/>
        <v>aitosviernesc</v>
      </c>
      <c r="D179" s="1" t="s">
        <v>990</v>
      </c>
      <c r="E179" s="1" t="s">
        <v>1216</v>
      </c>
      <c r="F179" s="1" t="s">
        <v>987</v>
      </c>
      <c r="G179" s="38" t="s">
        <v>1225</v>
      </c>
      <c r="H179" s="41" t="s">
        <v>1226</v>
      </c>
      <c r="I179" s="1" t="s">
        <v>1011</v>
      </c>
    </row>
    <row r="180" spans="2:9" ht="30" x14ac:dyDescent="0.25">
      <c r="B180" s="42">
        <v>177</v>
      </c>
      <c r="C180" s="1" t="str">
        <f t="shared" si="5"/>
        <v>aitcs1b</v>
      </c>
      <c r="D180" s="1" t="s">
        <v>17</v>
      </c>
      <c r="E180" s="1">
        <v>1</v>
      </c>
      <c r="F180" s="1" t="s">
        <v>1028</v>
      </c>
      <c r="G180" s="38" t="s">
        <v>1048</v>
      </c>
      <c r="H180" s="41" t="s">
        <v>1049</v>
      </c>
      <c r="I180" s="1" t="s">
        <v>1011</v>
      </c>
    </row>
    <row r="181" spans="2:9" ht="30" x14ac:dyDescent="0.25">
      <c r="B181" s="42">
        <v>178</v>
      </c>
      <c r="C181" s="1" t="str">
        <f t="shared" si="5"/>
        <v>aitcs2b</v>
      </c>
      <c r="D181" s="1" t="s">
        <v>17</v>
      </c>
      <c r="E181" s="1">
        <v>2</v>
      </c>
      <c r="F181" s="1" t="s">
        <v>1028</v>
      </c>
      <c r="G181" s="38" t="s">
        <v>1219</v>
      </c>
      <c r="H181" s="41" t="s">
        <v>988</v>
      </c>
      <c r="I181" s="1" t="s">
        <v>1011</v>
      </c>
    </row>
    <row r="182" spans="2:9" ht="30" x14ac:dyDescent="0.25">
      <c r="B182" s="42">
        <v>179</v>
      </c>
      <c r="C182" s="1" t="str">
        <f t="shared" si="5"/>
        <v>aitcs3b</v>
      </c>
      <c r="D182" s="1" t="s">
        <v>17</v>
      </c>
      <c r="E182" s="1">
        <v>3</v>
      </c>
      <c r="F182" s="1" t="s">
        <v>1028</v>
      </c>
      <c r="G182" s="38" t="s">
        <v>1181</v>
      </c>
      <c r="H182" s="41" t="s">
        <v>1182</v>
      </c>
      <c r="I182" s="1" t="s">
        <v>1011</v>
      </c>
    </row>
    <row r="183" spans="2:9" ht="45" x14ac:dyDescent="0.25">
      <c r="B183" s="42">
        <v>180</v>
      </c>
      <c r="C183" s="1" t="str">
        <f t="shared" si="5"/>
        <v>aitcs4b</v>
      </c>
      <c r="D183" s="1" t="s">
        <v>17</v>
      </c>
      <c r="E183" s="1">
        <v>4</v>
      </c>
      <c r="F183" s="1" t="s">
        <v>1028</v>
      </c>
      <c r="G183" s="38" t="s">
        <v>1033</v>
      </c>
      <c r="H183" s="41" t="s">
        <v>1220</v>
      </c>
      <c r="I183" s="1" t="s">
        <v>1011</v>
      </c>
    </row>
    <row r="184" spans="2:9" ht="45" x14ac:dyDescent="0.25">
      <c r="B184" s="42">
        <v>181</v>
      </c>
      <c r="C184" s="1" t="str">
        <f t="shared" si="5"/>
        <v>aitcs5b</v>
      </c>
      <c r="D184" s="1" t="s">
        <v>17</v>
      </c>
      <c r="E184" s="1">
        <v>5</v>
      </c>
      <c r="F184" s="1" t="s">
        <v>1028</v>
      </c>
      <c r="G184" s="38" t="s">
        <v>1221</v>
      </c>
      <c r="H184" s="41" t="s">
        <v>1186</v>
      </c>
      <c r="I184" s="1" t="s">
        <v>1011</v>
      </c>
    </row>
    <row r="185" spans="2:9" ht="60" x14ac:dyDescent="0.25">
      <c r="B185" s="42">
        <v>182</v>
      </c>
      <c r="C185" s="1" t="str">
        <f t="shared" si="5"/>
        <v>aitcs6b</v>
      </c>
      <c r="D185" s="1" t="s">
        <v>17</v>
      </c>
      <c r="E185" s="1">
        <v>6</v>
      </c>
      <c r="F185" s="1" t="s">
        <v>1028</v>
      </c>
      <c r="G185" s="38" t="s">
        <v>1194</v>
      </c>
      <c r="H185" s="41" t="s">
        <v>1222</v>
      </c>
      <c r="I185" s="1" t="s">
        <v>1011</v>
      </c>
    </row>
    <row r="186" spans="2:9" ht="45" x14ac:dyDescent="0.25">
      <c r="B186" s="42">
        <v>183</v>
      </c>
      <c r="C186" s="1" t="str">
        <f t="shared" si="5"/>
        <v>aitps2b</v>
      </c>
      <c r="D186" s="1" t="s">
        <v>12</v>
      </c>
      <c r="E186" s="1">
        <v>2</v>
      </c>
      <c r="F186" s="1" t="s">
        <v>1028</v>
      </c>
      <c r="G186" s="38" t="s">
        <v>1223</v>
      </c>
      <c r="H186" s="41" t="s">
        <v>1200</v>
      </c>
      <c r="I186" s="1" t="s">
        <v>1011</v>
      </c>
    </row>
    <row r="187" spans="2:9" ht="30" x14ac:dyDescent="0.25">
      <c r="B187" s="42">
        <v>184</v>
      </c>
      <c r="C187" s="1" t="str">
        <f t="shared" si="5"/>
        <v>aitps3b</v>
      </c>
      <c r="D187" s="1" t="s">
        <v>12</v>
      </c>
      <c r="E187" s="1">
        <v>3</v>
      </c>
      <c r="F187" s="1" t="s">
        <v>1028</v>
      </c>
      <c r="G187" s="38" t="s">
        <v>1201</v>
      </c>
      <c r="H187" s="41" t="s">
        <v>1202</v>
      </c>
      <c r="I187" s="1" t="s">
        <v>1011</v>
      </c>
    </row>
    <row r="188" spans="2:9" ht="45" x14ac:dyDescent="0.25">
      <c r="B188" s="42">
        <v>185</v>
      </c>
      <c r="C188" s="1" t="str">
        <f t="shared" si="5"/>
        <v>aitps4b</v>
      </c>
      <c r="D188" s="1" t="s">
        <v>12</v>
      </c>
      <c r="E188" s="1">
        <v>4</v>
      </c>
      <c r="F188" s="1" t="s">
        <v>1028</v>
      </c>
      <c r="G188" s="38" t="s">
        <v>1203</v>
      </c>
      <c r="H188" s="41" t="s">
        <v>1204</v>
      </c>
      <c r="I188" s="1" t="s">
        <v>1011</v>
      </c>
    </row>
    <row r="189" spans="2:9" ht="45" x14ac:dyDescent="0.25">
      <c r="B189" s="42">
        <v>186</v>
      </c>
      <c r="C189" s="1" t="str">
        <f t="shared" si="5"/>
        <v>aitps5b</v>
      </c>
      <c r="D189" s="1" t="s">
        <v>12</v>
      </c>
      <c r="E189" s="1">
        <v>5</v>
      </c>
      <c r="F189" s="1" t="s">
        <v>1028</v>
      </c>
      <c r="G189" s="38" t="s">
        <v>1072</v>
      </c>
      <c r="H189" s="41" t="s">
        <v>1224</v>
      </c>
      <c r="I189" s="1" t="s">
        <v>1011</v>
      </c>
    </row>
    <row r="190" spans="2:9" ht="45" x14ac:dyDescent="0.25">
      <c r="B190" s="42">
        <v>187</v>
      </c>
      <c r="C190" s="1" t="str">
        <f t="shared" si="5"/>
        <v>aitps6b</v>
      </c>
      <c r="D190" s="1" t="s">
        <v>12</v>
      </c>
      <c r="E190" s="1">
        <v>6</v>
      </c>
      <c r="F190" s="1" t="s">
        <v>1028</v>
      </c>
      <c r="G190" s="38" t="s">
        <v>1067</v>
      </c>
      <c r="H190" s="41" t="s">
        <v>1068</v>
      </c>
      <c r="I190" s="1" t="s">
        <v>1011</v>
      </c>
    </row>
    <row r="191" spans="2:9" ht="60" x14ac:dyDescent="0.25">
      <c r="B191" s="42">
        <v>188</v>
      </c>
      <c r="C191" s="1" t="str">
        <f t="shared" si="5"/>
        <v>aitps7b</v>
      </c>
      <c r="D191" s="1" t="s">
        <v>12</v>
      </c>
      <c r="E191" s="1">
        <v>7</v>
      </c>
      <c r="F191" s="1" t="s">
        <v>1028</v>
      </c>
      <c r="G191" s="38" t="s">
        <v>1205</v>
      </c>
      <c r="H191" s="41" t="s">
        <v>1206</v>
      </c>
      <c r="I191" s="1" t="s">
        <v>1011</v>
      </c>
    </row>
    <row r="192" spans="2:9" ht="30" x14ac:dyDescent="0.25">
      <c r="B192" s="42">
        <v>189</v>
      </c>
      <c r="C192" s="1" t="str">
        <f t="shared" si="5"/>
        <v>aitcs1c</v>
      </c>
      <c r="D192" s="1" t="s">
        <v>17</v>
      </c>
      <c r="E192" s="1">
        <v>1</v>
      </c>
      <c r="F192" s="1" t="s">
        <v>987</v>
      </c>
      <c r="G192" s="38" t="s">
        <v>1048</v>
      </c>
      <c r="H192" s="41" t="s">
        <v>1049</v>
      </c>
      <c r="I192" s="1"/>
    </row>
    <row r="193" spans="2:9" ht="30" x14ac:dyDescent="0.25">
      <c r="B193" s="42">
        <v>190</v>
      </c>
      <c r="C193" s="1" t="str">
        <f t="shared" si="5"/>
        <v>aitcs2c</v>
      </c>
      <c r="D193" s="1" t="s">
        <v>17</v>
      </c>
      <c r="E193" s="1">
        <v>2</v>
      </c>
      <c r="F193" s="1" t="s">
        <v>987</v>
      </c>
      <c r="G193" s="38" t="s">
        <v>1180</v>
      </c>
      <c r="H193" s="41" t="s">
        <v>988</v>
      </c>
      <c r="I193" s="1"/>
    </row>
    <row r="194" spans="2:9" ht="30" x14ac:dyDescent="0.25">
      <c r="B194" s="42">
        <v>191</v>
      </c>
      <c r="C194" s="1" t="str">
        <f t="shared" si="5"/>
        <v>aitcs3c</v>
      </c>
      <c r="D194" s="1" t="s">
        <v>17</v>
      </c>
      <c r="E194" s="1">
        <v>3</v>
      </c>
      <c r="F194" s="1" t="s">
        <v>987</v>
      </c>
      <c r="G194" s="38" t="s">
        <v>1181</v>
      </c>
      <c r="H194" s="41" t="s">
        <v>1182</v>
      </c>
      <c r="I194" s="1"/>
    </row>
    <row r="195" spans="2:9" ht="30" x14ac:dyDescent="0.25">
      <c r="B195" s="1">
        <v>192</v>
      </c>
      <c r="C195" s="1" t="str">
        <f t="shared" si="5"/>
        <v>aitcs4c</v>
      </c>
      <c r="D195" s="1" t="s">
        <v>17</v>
      </c>
      <c r="E195" s="1">
        <v>4</v>
      </c>
      <c r="F195" s="1" t="s">
        <v>987</v>
      </c>
      <c r="G195" s="38" t="s">
        <v>1228</v>
      </c>
      <c r="H195" s="41" t="s">
        <v>1229</v>
      </c>
      <c r="I195" s="1"/>
    </row>
    <row r="196" spans="2:9" ht="60" x14ac:dyDescent="0.25">
      <c r="B196" s="1">
        <v>193</v>
      </c>
      <c r="C196" s="1" t="str">
        <f t="shared" ref="C196:C197" si="7">LOWER(_xlfn.CONCAT("ait",LEFT(D196,1)&amp;"s"&amp;E196&amp;F196))</f>
        <v>aitcs5c</v>
      </c>
      <c r="D196" s="1" t="s">
        <v>17</v>
      </c>
      <c r="E196" s="1">
        <v>5</v>
      </c>
      <c r="F196" s="1" t="s">
        <v>987</v>
      </c>
      <c r="G196" s="38" t="s">
        <v>1230</v>
      </c>
      <c r="H196" s="41" t="s">
        <v>1231</v>
      </c>
      <c r="I196" s="1"/>
    </row>
    <row r="197" spans="2:9" ht="60" x14ac:dyDescent="0.25">
      <c r="B197" s="1">
        <v>194</v>
      </c>
      <c r="C197" s="1" t="str">
        <f t="shared" si="7"/>
        <v>aitcs6c</v>
      </c>
      <c r="D197" s="1" t="s">
        <v>17</v>
      </c>
      <c r="E197" s="1">
        <v>6</v>
      </c>
      <c r="F197" s="1" t="s">
        <v>987</v>
      </c>
      <c r="G197" s="38" t="s">
        <v>1194</v>
      </c>
      <c r="H197" s="41" t="s">
        <v>1188</v>
      </c>
      <c r="I197" s="1"/>
    </row>
    <row r="198" spans="2:9" ht="45" x14ac:dyDescent="0.25">
      <c r="B198" s="1">
        <v>195</v>
      </c>
      <c r="C198" s="1" t="str">
        <f>LOWER(_xlfn.CONCAT("ait",LEFT(D198,1)&amp;"s"&amp;E198&amp;F198))</f>
        <v>aitps2c</v>
      </c>
      <c r="D198" s="1" t="s">
        <v>12</v>
      </c>
      <c r="E198" s="1">
        <v>2</v>
      </c>
      <c r="F198" s="1" t="s">
        <v>987</v>
      </c>
      <c r="G198" s="38" t="s">
        <v>1233</v>
      </c>
      <c r="H198" s="41" t="s">
        <v>1200</v>
      </c>
      <c r="I198" s="1"/>
    </row>
    <row r="199" spans="2:9" ht="30" x14ac:dyDescent="0.25">
      <c r="B199" s="1">
        <v>196</v>
      </c>
      <c r="C199" s="1" t="str">
        <f>LOWER(_xlfn.CONCAT("ait",LEFT(D199,1)&amp;"s"&amp;E199&amp;F199))</f>
        <v>aitps3c</v>
      </c>
      <c r="D199" s="1" t="s">
        <v>12</v>
      </c>
      <c r="E199" s="1">
        <v>3</v>
      </c>
      <c r="F199" s="1" t="s">
        <v>987</v>
      </c>
      <c r="G199" s="38" t="s">
        <v>1234</v>
      </c>
      <c r="H199" s="41" t="s">
        <v>988</v>
      </c>
      <c r="I199" s="1"/>
    </row>
    <row r="200" spans="2:9" ht="45" x14ac:dyDescent="0.25">
      <c r="B200" s="1">
        <v>197</v>
      </c>
      <c r="C200" s="1" t="str">
        <f>LOWER(_xlfn.CONCAT("ait",LEFT(D200,1)&amp;"s"&amp;E200&amp;F200))</f>
        <v>aitps4c</v>
      </c>
      <c r="D200" s="1" t="s">
        <v>12</v>
      </c>
      <c r="E200" s="1">
        <v>4</v>
      </c>
      <c r="F200" s="1" t="s">
        <v>987</v>
      </c>
      <c r="G200" s="38" t="s">
        <v>1235</v>
      </c>
      <c r="H200" s="41" t="s">
        <v>1204</v>
      </c>
      <c r="I200" s="1"/>
    </row>
    <row r="201" spans="2:9" ht="60" x14ac:dyDescent="0.25">
      <c r="B201" s="1">
        <v>198</v>
      </c>
      <c r="C201" s="1" t="str">
        <f>LOWER(_xlfn.CONCAT("ait",LEFT(D201,1)&amp;"s"&amp;E201&amp;F201))</f>
        <v>aitps5c</v>
      </c>
      <c r="D201" s="1" t="s">
        <v>12</v>
      </c>
      <c r="E201" s="1">
        <v>5</v>
      </c>
      <c r="F201" s="1" t="s">
        <v>987</v>
      </c>
      <c r="G201" s="38" t="s">
        <v>1007</v>
      </c>
      <c r="H201" s="41" t="s">
        <v>1059</v>
      </c>
      <c r="I201" s="1"/>
    </row>
    <row r="202" spans="2:9" ht="45" x14ac:dyDescent="0.25">
      <c r="B202" s="1">
        <v>199</v>
      </c>
      <c r="C202" s="1" t="str">
        <f>LOWER(_xlfn.CONCAT("ait",LEFT(D202,1)&amp;"s"&amp;E202&amp;F202))</f>
        <v>aitps6c</v>
      </c>
      <c r="D202" s="1" t="s">
        <v>12</v>
      </c>
      <c r="E202" s="1">
        <v>6</v>
      </c>
      <c r="F202" s="1" t="s">
        <v>987</v>
      </c>
      <c r="G202" s="38" t="s">
        <v>1067</v>
      </c>
      <c r="H202" s="41" t="s">
        <v>1068</v>
      </c>
      <c r="I202" s="1"/>
    </row>
    <row r="203" spans="2:9" ht="60" x14ac:dyDescent="0.25">
      <c r="B203" s="1">
        <v>200</v>
      </c>
      <c r="C203" s="1" t="str">
        <f t="shared" ref="C203" si="8">LOWER(_xlfn.CONCAT("ait",LEFT(D203,1)&amp;"s"&amp;E203&amp;F203))</f>
        <v>aitps7c</v>
      </c>
      <c r="D203" s="1" t="s">
        <v>12</v>
      </c>
      <c r="E203" s="1">
        <v>7</v>
      </c>
      <c r="F203" s="1" t="s">
        <v>987</v>
      </c>
      <c r="G203" s="38" t="s">
        <v>1205</v>
      </c>
      <c r="H203" s="41" t="s">
        <v>1206</v>
      </c>
      <c r="I203" s="1"/>
    </row>
  </sheetData>
  <pageMargins left="0.7" right="0.7" top="0.75" bottom="0.75" header="0.3" footer="0.3"/>
  <legacyDrawing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4"/>
  <sheetViews>
    <sheetView zoomScale="145" zoomScaleNormal="145" workbookViewId="0">
      <pane xSplit="2" ySplit="2" topLeftCell="C63" activePane="bottomRight" state="frozen"/>
      <selection pane="topRight" activeCell="C1" sqref="C1"/>
      <selection pane="bottomLeft" activeCell="A3" sqref="A3"/>
      <selection pane="bottomRight" activeCell="E87" sqref="E87"/>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256</v>
      </c>
      <c r="D1" s="49" t="s">
        <v>964</v>
      </c>
      <c r="E1" s="49"/>
      <c r="F1" s="49"/>
      <c r="G1" s="49"/>
      <c r="H1" s="49"/>
    </row>
    <row r="2" spans="2:77" x14ac:dyDescent="0.25">
      <c r="B2" t="s">
        <v>0</v>
      </c>
      <c r="C2" t="s">
        <v>258</v>
      </c>
      <c r="D2" t="s">
        <v>482</v>
      </c>
      <c r="E2" t="s">
        <v>965</v>
      </c>
      <c r="F2" t="s">
        <v>967</v>
      </c>
      <c r="G2" t="s">
        <v>968</v>
      </c>
      <c r="H2" t="s">
        <v>946</v>
      </c>
      <c r="I2" t="s">
        <v>969</v>
      </c>
      <c r="BY2" t="s">
        <v>941</v>
      </c>
    </row>
    <row r="3" spans="2:77" x14ac:dyDescent="0.25">
      <c r="B3" s="24">
        <v>237</v>
      </c>
      <c r="C3" t="s">
        <v>966</v>
      </c>
      <c r="D3" t="str">
        <f>_xlfn.CONCAT("""",VLOOKUP(B3,'Index Web'!A$4:O$236,13,FALSE),"""",",")</f>
        <v>"alacenadelcordero",</v>
      </c>
      <c r="E3" t="str">
        <f>_xlfn.CONCAT("""titulo""",": ","""",VLOOKUP(B3,'Index Web'!A$4:L$236,3,FALSE),"""",",")</f>
        <v>"titulo": "A la cena del Cordero",</v>
      </c>
      <c r="F3" t="str">
        <f>_xlfn.CONCAT("""salmo""",": ","""",VLOOKUP(B3,'Index Web'!A$4:L$236,4,FALSE),"""",",")</f>
        <v>"salmo": "Himno lat. «Ad cenam Agni providi»",</v>
      </c>
      <c r="G3" t="str">
        <f>_xlfn.CONCAT("""letra""",": ","""",Table46[[#This Row],[Pg]],"|",VLOOKUP(B3,'Index Web'!A$4:O$236,15,FALSE)," ",VLOOKUP(B3,'Index Web'!A$4:O$236,13,FALSE),"""",",")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Web'!A$4:N$236,13,FALSE),"""","},"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966</v>
      </c>
      <c r="D4" t="str">
        <f>_xlfn.CONCAT("""",VLOOKUP(B4,'Index Web'!A$4:O$236,13,FALSE),"""",",")</f>
        <v>"alavictimapascual",</v>
      </c>
      <c r="E4" t="str">
        <f>_xlfn.CONCAT("""titulo""",": ","""",VLOOKUP(B4,'Index Web'!A$4:L$236,3,FALSE),"""",",")</f>
        <v>"titulo": "A la víctima pascual",</v>
      </c>
      <c r="F4" t="str">
        <f>_xlfn.CONCAT("""salmo""",": ","""",VLOOKUP(B4,'Index Web'!A$4:L$236,4,FALSE),"""",",")</f>
        <v>"salmo": "Secuencia de Pascua - Himno lat. «Victimae paschall laudes» ",</v>
      </c>
      <c r="G4" t="str">
        <f>_xlfn.CONCAT("""letra""",": ","""",Table46[[#This Row],[Pg]],"|",VLOOKUP(B4,'Index Web'!A$4:O$236,15,FALSE)," ",VLOOKUP(B4,'Index Web'!A$4:O$236,13,FALSE),"""",",")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Web'!A$4:N$236,13,FALSE),"""","},"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966</v>
      </c>
      <c r="D5" t="str">
        <f>_xlfn.CONCAT("""",VLOOKUP(B5,'Index Web'!A$4:O$236,13,FALSE),"""",",")</f>
        <v>"anadiedemosocasiondetropiezo",</v>
      </c>
      <c r="E5" t="str">
        <f>_xlfn.CONCAT("""titulo""",": ","""",VLOOKUP(B5,'Index Web'!A$4:L$236,3,FALSE),"""",",")</f>
        <v>"titulo": "A nadie demos ocasión de tropiezo",</v>
      </c>
      <c r="F5" t="str">
        <f>_xlfn.CONCAT("""salmo""",": ","""",VLOOKUP(B5,'Index Web'!A$4:L$236,4,FALSE),"""",",")</f>
        <v>"salmo": "2ª Corintios 6,3ss",</v>
      </c>
      <c r="G5" t="str">
        <f>_xlfn.CONCAT("""letra""",": ","""",Table46[[#This Row],[Pg]],"|",VLOOKUP(B5,'Index Web'!A$4:O$236,15,FALSE)," ",VLOOKUP(B5,'Index Web'!A$4:O$236,13,FALSE),"""",",")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Web'!A$4:N$236,13,FALSE),"""","},"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966</v>
      </c>
      <c r="D6" t="str">
        <f>_xlfn.CONCAT("""",VLOOKUP(B6,'Index Web'!A$4:O$236,13,FALSE),"""",",")</f>
        <v>"atilevantomisojos",</v>
      </c>
      <c r="E6" t="str">
        <f>_xlfn.CONCAT("""titulo""",": ","""",VLOOKUP(B6,'Index Web'!A$4:L$236,3,FALSE),"""",",")</f>
        <v>"titulo": "A ti levanto mis ojos",</v>
      </c>
      <c r="F6" t="str">
        <f>_xlfn.CONCAT("""salmo""",": ","""",VLOOKUP(B6,'Index Web'!A$4:L$236,4,FALSE),"""",",")</f>
        <v>"salmo": "Salmo 123 (122)",</v>
      </c>
      <c r="G6" t="str">
        <f>_xlfn.CONCAT("""letra""",": ","""",Table46[[#This Row],[Pg]],"|",VLOOKUP(B6,'Index Web'!A$4:O$236,15,FALSE)," ",VLOOKUP(B6,'Index Web'!A$4:O$236,13,FALSE),"""",",")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Web'!A$4:N$236,13,FALSE),"""","},"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966</v>
      </c>
      <c r="D7" t="str">
        <f>_xlfn.CONCAT("""",VLOOKUP(B7,'Index Web'!A$4:O$236,13,FALSE),"""",",")</f>
        <v>"atisenorenmiclamorimploro",</v>
      </c>
      <c r="E7" t="str">
        <f>_xlfn.CONCAT("""titulo""",": ","""",VLOOKUP(B7,'Index Web'!A$4:L$236,3,FALSE),"""",",")</f>
        <v>"titulo": "A ti, Señor, en mi clamor imploro",</v>
      </c>
      <c r="F7" t="str">
        <f>_xlfn.CONCAT("""salmo""",": ","""",VLOOKUP(B7,'Index Web'!A$4:L$236,4,FALSE),"""",",")</f>
        <v>"salmo": "Salmo 142 (141)",</v>
      </c>
      <c r="G7" t="str">
        <f>_xlfn.CONCAT("""letra""",": ","""",Table46[[#This Row],[Pg]],"|",VLOOKUP(B7,'Index Web'!A$4:O$236,15,FALSE)," ",VLOOKUP(B7,'Index Web'!A$4:O$236,13,FALSE),"""",",")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Web'!A$4:N$236,13,FALSE),"""","},"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966</v>
      </c>
      <c r="D8" t="str">
        <f>_xlfn.CONCAT("""",VLOOKUP(B8,'Index Web'!A$4:O$236,13,FALSE),"""",",")</f>
        <v>"atisenorlevantomialma",</v>
      </c>
      <c r="E8" t="str">
        <f>_xlfn.CONCAT("""titulo""",": ","""",VLOOKUP(B8,'Index Web'!A$4:L$236,3,FALSE),"""",",")</f>
        <v>"titulo": "A ti, Señor, levanto mi alma",</v>
      </c>
      <c r="F8" t="str">
        <f>_xlfn.CONCAT("""salmo""",": ","""",VLOOKUP(B8,'Index Web'!A$4:L$236,4,FALSE),"""",",")</f>
        <v>"salmo": "Salmo 25 (24)",</v>
      </c>
      <c r="G8" t="str">
        <f>_xlfn.CONCAT("""letra""",": ","""",Table46[[#This Row],[Pg]],"|",VLOOKUP(B8,'Index Web'!A$4:O$236,15,FALSE)," ",VLOOKUP(B8,'Index Web'!A$4:O$236,13,FALSE),"""",",")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Web'!A$4:N$236,13,FALSE),"""","},"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966</v>
      </c>
      <c r="D9" t="str">
        <f>_xlfn.CONCAT("""",VLOOKUP(B9,'Index Web'!A$4:O$236,13,FALSE),"""",",")</f>
        <v>"atisenorsedebelaalabanzaension",</v>
      </c>
      <c r="E9" t="str">
        <f>_xlfn.CONCAT("""titulo""",": ","""",VLOOKUP(B9,'Index Web'!A$4:L$236,3,FALSE),"""",",")</f>
        <v>"titulo": "A ti, Señor, se debe la alabanza en Sión",</v>
      </c>
      <c r="F9" t="str">
        <f>_xlfn.CONCAT("""salmo""",": ","""",VLOOKUP(B9,'Index Web'!A$4:L$236,4,FALSE),"""",",")</f>
        <v>"salmo": "Salmo 65 (64)",</v>
      </c>
      <c r="G9" t="str">
        <f>_xlfn.CONCAT("""letra""",": ","""",Table46[[#This Row],[Pg]],"|",VLOOKUP(B9,'Index Web'!A$4:O$236,15,FALSE)," ",VLOOKUP(B9,'Index Web'!A$4:O$236,13,FALSE),"""",",")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Web'!A$4:N$236,13,FALSE),"""","},"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966</v>
      </c>
      <c r="D10" t="str">
        <f>_xlfn.CONCAT("""",VLOOKUP(B10,'Index Web'!A$4:O$236,13,FALSE),"""",",")</f>
        <v>"abbapadre",</v>
      </c>
      <c r="E10" t="str">
        <f>_xlfn.CONCAT("""titulo""",": ","""",VLOOKUP(B10,'Index Web'!A$4:L$236,3,FALSE),"""",",")</f>
        <v>"titulo": "Abbá, Padre",</v>
      </c>
      <c r="F10" t="str">
        <f>_xlfn.CONCAT("""salmo""",": ","""",VLOOKUP(B10,'Index Web'!A$4:L$236,4,FALSE),"""",",")</f>
        <v>"salmo": "Romanos 8,15–17",</v>
      </c>
      <c r="G10" t="str">
        <f>_xlfn.CONCAT("""letra""",": ","""",Table46[[#This Row],[Pg]],"|",VLOOKUP(B10,'Index Web'!A$4:O$236,15,FALSE)," ",VLOOKUP(B10,'Index Web'!A$4:O$236,13,FALSE),"""",",")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Web'!A$4:N$236,13,FALSE),"""","},"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966</v>
      </c>
      <c r="D11" t="str">
        <f>_xlfn.CONCAT("""",VLOOKUP(B11,'Index Web'!A$4:O$236,13,FALSE),"""",",")</f>
        <v>"abraham",</v>
      </c>
      <c r="E11" t="str">
        <f>_xlfn.CONCAT("""titulo""",": ","""",VLOOKUP(B11,'Index Web'!A$4:L$236,3,FALSE),"""",",")</f>
        <v>"titulo": "Abraham",</v>
      </c>
      <c r="F11" t="str">
        <f>_xlfn.CONCAT("""salmo""",": ","""",VLOOKUP(B11,'Index Web'!A$4:L$236,4,FALSE),"""",",")</f>
        <v>"salmo": "Génesis 18,1–5 – Teofanía de Mambré",</v>
      </c>
      <c r="G11" t="str">
        <f>_xlfn.CONCAT("""letra""",": ","""",Table46[[#This Row],[Pg]],"|",VLOOKUP(B11,'Index Web'!A$4:O$236,15,FALSE)," ",VLOOKUP(B11,'Index Web'!A$4:O$236,13,FALSE),"""",",")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Web'!A$4:N$236,13,FALSE),"""","},"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966</v>
      </c>
      <c r="D12" t="str">
        <f>_xlfn.CONCAT("""",VLOOKUP(B12,'Index Web'!A$4:O$236,13,FALSE),"""",",")</f>
        <v>"aclamacionesalaoraciondelosfieles",</v>
      </c>
      <c r="E12" t="str">
        <f>_xlfn.CONCAT("""titulo""",": ","""",VLOOKUP(B12,'Index Web'!A$4:L$236,3,FALSE),"""",",")</f>
        <v>"titulo": "Aclamaciones a la oración de los fieles",</v>
      </c>
      <c r="F12" t="str">
        <f>_xlfn.CONCAT("""salmo""",": ","""",VLOOKUP(B12,'Index Web'!A$4:L$236,4,FALSE),"""",",")</f>
        <v>"salmo": "Respuestas a las oraciones de los fieles, Modelo I, II, III, IV",</v>
      </c>
      <c r="G12" t="str">
        <f>_xlfn.CONCAT("""letra""",": ","""",Table46[[#This Row],[Pg]],"|",VLOOKUP(B12,'Index Web'!A$4:O$236,15,FALSE)," ",VLOOKUP(B12,'Index Web'!A$4:O$236,13,FALSE),"""",",")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Web'!A$4:N$236,13,FALSE),"""","},"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966</v>
      </c>
      <c r="D13" t="str">
        <f>_xlfn.CONCAT("""",VLOOKUP(B13,'Index Web'!A$4:O$236,13,FALSE),"""",",")</f>
        <v>"aclamadalsenor",</v>
      </c>
      <c r="E13" t="str">
        <f>_xlfn.CONCAT("""titulo""",": ","""",VLOOKUP(B13,'Index Web'!A$4:L$236,3,FALSE),"""",",")</f>
        <v>"titulo": "Aclamad al Señor",</v>
      </c>
      <c r="F13" t="str">
        <f>_xlfn.CONCAT("""salmo""",": ","""",VLOOKUP(B13,'Index Web'!A$4:L$236,4,FALSE),"""",",")</f>
        <v>"salmo": "Salmo 100 (99)",</v>
      </c>
      <c r="G13" t="str">
        <f>_xlfn.CONCAT("""letra""",": ","""",Table46[[#This Row],[Pg]],"|",VLOOKUP(B13,'Index Web'!A$4:O$236,15,FALSE)," ",VLOOKUP(B13,'Index Web'!A$4:O$236,13,FALSE),"""",",")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Web'!A$4:N$236,13,FALSE),"""","},"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966</v>
      </c>
      <c r="D14" t="str">
        <f>_xlfn.CONCAT("""",VLOOKUP(B14,'Index Web'!A$4:O$236,13,FALSE),"""",",")</f>
        <v>"adondeteescondisteamado",</v>
      </c>
      <c r="E14" t="str">
        <f>_xlfn.CONCAT("""titulo""",": ","""",VLOOKUP(B14,'Index Web'!A$4:L$236,3,FALSE),"""",",")</f>
        <v>"titulo": "Adónde te escondiste, amado ",</v>
      </c>
      <c r="F14" t="str">
        <f>_xlfn.CONCAT("""salmo""",": ","""",VLOOKUP(B14,'Index Web'!A$4:L$236,4,FALSE),"""",",")</f>
        <v>"salmo": "Cántico espiritual (San Juan de la Cruz) ",</v>
      </c>
      <c r="G14" t="str">
        <f>_xlfn.CONCAT("""letra""",": ","""",Table46[[#This Row],[Pg]],"|",VLOOKUP(B14,'Index Web'!A$4:O$236,15,FALSE)," ",VLOOKUP(B14,'Index Web'!A$4:O$236,13,FALSE),"""",",")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Web'!A$4:N$236,13,FALSE),"""","},"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966</v>
      </c>
      <c r="D15" t="str">
        <f>_xlfn.CONCAT("""",VLOOKUP(B15,'Index Web'!A$4:O$236,13,FALSE),"""",",")</f>
        <v>"aldespertar",</v>
      </c>
      <c r="E15" t="str">
        <f>_xlfn.CONCAT("""titulo""",": ","""",VLOOKUP(B15,'Index Web'!A$4:L$236,3,FALSE),"""",",")</f>
        <v>"titulo": "Al despertar",</v>
      </c>
      <c r="F15" t="str">
        <f>_xlfn.CONCAT("""salmo""",": ","""",VLOOKUP(B15,'Index Web'!A$4:L$236,4,FALSE),"""",",")</f>
        <v>"salmo": "Salmo 17 (16) ",</v>
      </c>
      <c r="G15" t="str">
        <f>_xlfn.CONCAT("""letra""",": ","""",Table46[[#This Row],[Pg]],"|",VLOOKUP(B15,'Index Web'!A$4:O$236,15,FALSE)," ",VLOOKUP(B15,'Index Web'!A$4:O$236,13,FALSE),"""",",")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Web'!A$4:N$236,13,FALSE),"""","},"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966</v>
      </c>
      <c r="D16" t="str">
        <f>_xlfn.CONCAT("""",VLOOKUP(B16,'Index Web'!A$4:O$236,13,FALSE),"""",",")</f>
        <v>"alabadalsenorenelcielo",</v>
      </c>
      <c r="E16" t="str">
        <f>_xlfn.CONCAT("""titulo""",": ","""",VLOOKUP(B16,'Index Web'!A$4:L$236,3,FALSE),"""",",")</f>
        <v>"titulo": "Alabad al Señor en el cielo ",</v>
      </c>
      <c r="F16" t="str">
        <f>_xlfn.CONCAT("""salmo""",": ","""",VLOOKUP(B16,'Index Web'!A$4:L$236,4,FALSE),"""",",")</f>
        <v>"salmo": "Salmo 148 ",</v>
      </c>
      <c r="G16" t="str">
        <f>_xlfn.CONCAT("""letra""",": ","""",Table46[[#This Row],[Pg]],"|",VLOOKUP(B16,'Index Web'!A$4:O$236,15,FALSE)," ",VLOOKUP(B16,'Index Web'!A$4:O$236,13,FALSE),"""",",")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Web'!A$4:N$236,13,FALSE),"""","},"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966</v>
      </c>
      <c r="D17" t="str">
        <f>_xlfn.CONCAT("""",VLOOKUP(B17,'Index Web'!A$4:O$236,13,FALSE),"""",",")</f>
        <v>"alegriahanacidoelsalvador",</v>
      </c>
      <c r="E17" t="str">
        <f>_xlfn.CONCAT("""titulo""",": ","""",VLOOKUP(B17,'Index Web'!A$4:L$236,3,FALSE),"""",",")</f>
        <v>"titulo": "Alegría, ha nacido el Salvador",</v>
      </c>
      <c r="F17" t="str">
        <f>_xlfn.CONCAT("""salmo""",": ","""",VLOOKUP(B17,'Index Web'!A$4:L$236,4,FALSE),"""",",")</f>
        <v>"salmo": "Villancico (Kiko Argüello)",</v>
      </c>
      <c r="G17" t="str">
        <f>_xlfn.CONCAT("""letra""",": ","""",Table46[[#This Row],[Pg]],"|",VLOOKUP(B17,'Index Web'!A$4:O$236,15,FALSE)," ",VLOOKUP(B17,'Index Web'!A$4:O$236,13,FALSE),"""",",")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Web'!A$4:N$236,13,FALSE),"""","},"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966</v>
      </c>
      <c r="D18" t="str">
        <f>_xlfn.CONCAT("""",VLOOKUP(B18,'Index Web'!A$4:O$236,13,FALSE),"""",",")</f>
        <v>"aleluyainterleccional",</v>
      </c>
      <c r="E18" t="str">
        <f>_xlfn.CONCAT("""titulo""",": ","""",VLOOKUP(B18,'Index Web'!A$4:L$236,3,FALSE),"""",",")</f>
        <v>"titulo": "Aleluya interleccional",</v>
      </c>
      <c r="F18" t="str">
        <f>_xlfn.CONCAT("""salmo""",": ","""",VLOOKUP(B18,'Index Web'!A$4:L$236,4,FALSE),"""",",")</f>
        <v>"salmo": "Modelo I, II, III",</v>
      </c>
      <c r="G18" t="str">
        <f>_xlfn.CONCAT("""letra""",": ","""",Table46[[#This Row],[Pg]],"|",VLOOKUP(B18,'Index Web'!A$4:O$236,15,FALSE)," ",VLOOKUP(B18,'Index Web'!A$4:O$236,13,FALSE),"""",",")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Web'!A$4:N$236,13,FALSE),"""","},"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966</v>
      </c>
      <c r="D19" t="str">
        <f>_xlfn.CONCAT("""",VLOOKUP(B19,'Index Web'!A$4:O$236,13,FALSE),"""",",")</f>
        <v>"aleluyapascual",</v>
      </c>
      <c r="E19" t="str">
        <f>_xlfn.CONCAT("""titulo""",": ","""",VLOOKUP(B19,'Index Web'!A$4:L$236,3,FALSE),"""",",")</f>
        <v>"titulo": "Aleluya Pascual",</v>
      </c>
      <c r="F19" t="str">
        <f>_xlfn.CONCAT("""salmo""",": ","""",VLOOKUP(B19,'Index Web'!A$4:L$236,4,FALSE),"""",",")</f>
        <v>"salmo": "Apropiado para el tiempo Pascual",</v>
      </c>
      <c r="G19" t="str">
        <f>_xlfn.CONCAT("""letra""",": ","""",Table46[[#This Row],[Pg]],"|",VLOOKUP(B19,'Index Web'!A$4:O$236,15,FALSE)," ",VLOOKUP(B19,'Index Web'!A$4:O$236,13,FALSE),"""",",")</f>
        <v>"letra": "181|aleluya Pascual cristo jesús ha resucitado. aleluya. aleluyapascual",</v>
      </c>
      <c r="H19" t="str">
        <f>_xlfn.CONCAT("""archivo""",": ","""/resucito/src/index.html?canto=",VLOOKUP(B19,'Index Web'!A$4:N$236,13,FALSE),"""","},"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966</v>
      </c>
      <c r="D20" t="str">
        <f>_xlfn.CONCAT("""",VLOOKUP(B20,'Index Web'!A$4:O$236,13,FALSE),"""",",")</f>
        <v>"aleluyaalabadalsenor",</v>
      </c>
      <c r="E20" t="str">
        <f>_xlfn.CONCAT("""titulo""",": ","""",VLOOKUP(B20,'Index Web'!A$4:L$236,3,FALSE),"""",",")</f>
        <v>"titulo": "Aleluya, Alabad al Señor ",</v>
      </c>
      <c r="F20" t="str">
        <f>_xlfn.CONCAT("""salmo""",": ","""",VLOOKUP(B20,'Index Web'!A$4:L$236,4,FALSE),"""",",")</f>
        <v>"salmo": "Salmo 150",</v>
      </c>
      <c r="G20" t="str">
        <f>_xlfn.CONCAT("""letra""",": ","""",Table46[[#This Row],[Pg]],"|",VLOOKUP(B20,'Index Web'!A$4:O$236,15,FALSE)," ",VLOOKUP(B20,'Index Web'!A$4:O$236,13,FALSE),"""",",")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Web'!A$4:N$236,13,FALSE),"""","},"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966</v>
      </c>
      <c r="D21" t="str">
        <f>_xlfn.CONCAT("""",VLOOKUP(B21,'Index Web'!A$4:O$236,13,FALSE),"""",",")</f>
        <v>"aleluyabendecidalsenor",</v>
      </c>
      <c r="E21" t="str">
        <f>_xlfn.CONCAT("""titulo""",": ","""",VLOOKUP(B21,'Index Web'!A$4:L$236,3,FALSE),"""",",")</f>
        <v>"titulo": "Aleluya, bendecid al Señor",</v>
      </c>
      <c r="F21" t="str">
        <f>_xlfn.CONCAT("""salmo""",": ","""",VLOOKUP(B21,'Index Web'!A$4:L$236,4,FALSE),"""",",")</f>
        <v>"salmo": "Salmo 1.34 (1.33) - Melodía hebraica",</v>
      </c>
      <c r="G21" t="str">
        <f>_xlfn.CONCAT("""letra""",": ","""",Table46[[#This Row],[Pg]],"|",VLOOKUP(B21,'Index Web'!A$4:O$236,15,FALSE)," ",VLOOKUP(B21,'Index Web'!A$4:O$236,13,FALSE),"""",",")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Web'!A$4:N$236,13,FALSE),"""","},"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966</v>
      </c>
      <c r="D22" t="str">
        <f>_xlfn.CONCAT("""",VLOOKUP(B22,'Index Web'!A$4:O$236,13,FALSE),"""",",")</f>
        <v>"aleluyayallegoelreino",</v>
      </c>
      <c r="E22" t="str">
        <f>_xlfn.CONCAT("""titulo""",": ","""",VLOOKUP(B22,'Index Web'!A$4:L$236,3,FALSE),"""",",")</f>
        <v>"titulo": "Aleluya, ya llegó el Reino",</v>
      </c>
      <c r="F22" t="str">
        <f>_xlfn.CONCAT("""salmo""",": ","""",VLOOKUP(B22,'Index Web'!A$4:L$236,4,FALSE),"""",",")</f>
        <v>"salmo": "Apocalipsis 19,6-9",</v>
      </c>
      <c r="G22" t="str">
        <f>_xlfn.CONCAT("""letra""",": ","""",Table46[[#This Row],[Pg]],"|",VLOOKUP(B22,'Index Web'!A$4:O$236,15,FALSE)," ",VLOOKUP(B22,'Index Web'!A$4:O$236,13,FALSE),"""",",")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Web'!A$4:N$236,13,FALSE),"""","},"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966</v>
      </c>
      <c r="D23" t="str">
        <f>_xlfn.CONCAT("""",VLOOKUP(B23,'Index Web'!A$4:O$236,13,FALSE),"""",",")</f>
        <v>"alzaospuertas",</v>
      </c>
      <c r="E23" t="str">
        <f>_xlfn.CONCAT("""titulo""",": ","""",VLOOKUP(B23,'Index Web'!A$4:L$236,3,FALSE),"""",",")</f>
        <v>"titulo": "Alzaos puertas",</v>
      </c>
      <c r="F23" t="str">
        <f>_xlfn.CONCAT("""salmo""",": ","""",VLOOKUP(B23,'Index Web'!A$4:L$236,4,FALSE),"""",",")</f>
        <v>"salmo": "Salmo 24 (23)",</v>
      </c>
      <c r="G23" t="str">
        <f>_xlfn.CONCAT("""letra""",": ","""",Table46[[#This Row],[Pg]],"|",VLOOKUP(B23,'Index Web'!A$4:O$236,15,FALSE)," ",VLOOKUP(B23,'Index Web'!A$4:O$236,13,FALSE),"""",",")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Web'!A$4:N$236,13,FALSE),"""","},"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966</v>
      </c>
      <c r="D24" t="str">
        <f>_xlfn.CONCAT("""",VLOOKUP(B24,'Index Web'!A$4:O$236,13,FALSE),"""",",")</f>
        <v>"amenamenamen",</v>
      </c>
      <c r="E24" t="str">
        <f>_xlfn.CONCAT("""titulo""",": ","""",VLOOKUP(B24,'Index Web'!A$4:L$236,3,FALSE),"""",",")</f>
        <v>"titulo": "Amén, amén, amén",</v>
      </c>
      <c r="F24" t="str">
        <f>_xlfn.CONCAT("""salmo""",": ","""",VLOOKUP(B24,'Index Web'!A$4:L$236,4,FALSE),"""",",")</f>
        <v>"salmo": "Apocalipsis 7,12-14 ",</v>
      </c>
      <c r="G24" t="str">
        <f>_xlfn.CONCAT("""letra""",": ","""",Table46[[#This Row],[Pg]],"|",VLOOKUP(B24,'Index Web'!A$4:O$236,15,FALSE)," ",VLOOKUP(B24,'Index Web'!A$4:O$236,13,FALSE),"""",",")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Web'!A$4:N$236,13,FALSE),"""","},"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966</v>
      </c>
      <c r="D25" t="str">
        <f>_xlfn.CONCAT("""",VLOOKUP(B25,'Index Web'!A$4:O$236,13,FALSE),"""",",")</f>
        <v>"amoalsenor",</v>
      </c>
      <c r="E25" t="str">
        <f>_xlfn.CONCAT("""titulo""",": ","""",VLOOKUP(B25,'Index Web'!A$4:L$236,3,FALSE),"""",",")</f>
        <v>"titulo": "Amo al Señor",</v>
      </c>
      <c r="F25" t="str">
        <f>_xlfn.CONCAT("""salmo""",": ","""",VLOOKUP(B25,'Index Web'!A$4:L$236,4,FALSE),"""",",")</f>
        <v>"salmo": "Salmo 116 (114-115)",</v>
      </c>
      <c r="G25" t="str">
        <f>_xlfn.CONCAT("""letra""",": ","""",Table46[[#This Row],[Pg]],"|",VLOOKUP(B25,'Index Web'!A$4:O$236,15,FALSE)," ",VLOOKUP(B25,'Index Web'!A$4:O$236,13,FALSE),"""",",")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Web'!A$4:N$236,13,FALSE),"""","},"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966</v>
      </c>
      <c r="D26" t="str">
        <f>_xlfn.CONCAT("""",VLOOKUP(B26,'Index Web'!A$4:O$236,13,FALSE),"""",",")</f>
        <v>"antifonaparaelevangelio",</v>
      </c>
      <c r="E26" t="str">
        <f>_xlfn.CONCAT("""titulo""",": ","""",VLOOKUP(B26,'Index Web'!A$4:L$236,3,FALSE),"""",",")</f>
        <v>"titulo": "Antífona para el evangelio",</v>
      </c>
      <c r="F26" t="str">
        <f>_xlfn.CONCAT("""salmo""",": ","""",VLOOKUP(B26,'Index Web'!A$4:L$236,4,FALSE),"""",",")</f>
        <v>"salmo": "Tiempo de Cuaresma",</v>
      </c>
      <c r="G26" t="str">
        <f>_xlfn.CONCAT("""letra""",": ","""",Table46[[#This Row],[Pg]],"|",VLOOKUP(B26,'Index Web'!A$4:O$236,15,FALSE)," ",VLOOKUP(B26,'Index Web'!A$4:O$236,13,FALSE),"""",",")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Web'!A$4:N$236,13,FALSE),"""","},"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966</v>
      </c>
      <c r="D27" t="str">
        <f>_xlfn.CONCAT("""",VLOOKUP(B27,'Index Web'!A$4:O$236,13,FALSE),"""",",")</f>
        <v>"aquedah",</v>
      </c>
      <c r="E27" t="str">
        <f>_xlfn.CONCAT("""titulo""",": ","""",VLOOKUP(B27,'Index Web'!A$4:L$236,3,FALSE),"""",",")</f>
        <v>"titulo": "Aquedah",</v>
      </c>
      <c r="F27" t="str">
        <f>_xlfn.CONCAT("""salmo""",": ","""",VLOOKUP(B27,'Index Web'!A$4:L$236,4,FALSE),"""",",")</f>
        <v>"salmo": "Gn 22,1-19 - Del Targum Neofiti sobre el sacrificio de Isaac",</v>
      </c>
      <c r="G27" t="str">
        <f>_xlfn.CONCAT("""letra""",": ","""",Table46[[#This Row],[Pg]],"|",VLOOKUP(B27,'Index Web'!A$4:O$236,15,FALSE)," ",VLOOKUP(B27,'Index Web'!A$4:O$236,13,FALSE),"""",",")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Web'!A$4:N$236,13,FALSE),"""","},"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966</v>
      </c>
      <c r="D28" t="str">
        <f>_xlfn.CONCAT("""",VLOOKUP(B28,'Index Web'!A$4:O$236,13,FALSE),"""",",")</f>
        <v>"asihablaelamen",</v>
      </c>
      <c r="E28" t="str">
        <f>_xlfn.CONCAT("""titulo""",": ","""",VLOOKUP(B28,'Index Web'!A$4:L$236,3,FALSE),"""",",")</f>
        <v>"titulo": "Así habla el amén",</v>
      </c>
      <c r="F28" t="str">
        <f>_xlfn.CONCAT("""salmo""",": ","""",VLOOKUP(B28,'Index Web'!A$4:L$236,4,FALSE),"""",",")</f>
        <v>"salmo": "Ap 3,14-20",</v>
      </c>
      <c r="G28" t="str">
        <f>_xlfn.CONCAT("""letra""",": ","""",Table46[[#This Row],[Pg]],"|",VLOOKUP(B28,'Index Web'!A$4:O$236,15,FALSE)," ",VLOOKUP(B28,'Index Web'!A$4:O$236,13,FALSE),"""",",")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Web'!A$4:N$236,13,FALSE),"""","},"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966</v>
      </c>
      <c r="D29" t="str">
        <f>_xlfn.CONCAT("""",VLOOKUP(B29,'Index Web'!A$4:O$236,13,FALSE),"""",",")</f>
        <v>"avemariai",</v>
      </c>
      <c r="E29" t="str">
        <f>_xlfn.CONCAT("""titulo""",": ","""",VLOOKUP(B29,'Index Web'!A$4:L$236,3,FALSE),"""",",")</f>
        <v>"titulo": "Ave María I",</v>
      </c>
      <c r="F29" t="str">
        <f>_xlfn.CONCAT("""salmo""",": ","""",VLOOKUP(B29,'Index Web'!A$4:L$236,4,FALSE),"""",",")</f>
        <v>"salmo": "Lucas  1,28ss",</v>
      </c>
      <c r="G29" t="str">
        <f>_xlfn.CONCAT("""letra""",": ","""",Table46[[#This Row],[Pg]],"|",VLOOKUP(B29,'Index Web'!A$4:O$236,15,FALSE)," ",VLOOKUP(B29,'Index Web'!A$4:O$236,13,FALSE),"""",",")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Web'!A$4:N$236,13,FALSE),"""","},"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966</v>
      </c>
      <c r="D30" t="str">
        <f>_xlfn.CONCAT("""",VLOOKUP(B30,'Index Web'!A$4:O$236,13,FALSE),"""",",")</f>
        <v>"avemariaii(1984)",</v>
      </c>
      <c r="E30" t="str">
        <f>_xlfn.CONCAT("""titulo""",": ","""",VLOOKUP(B30,'Index Web'!A$4:L$236,3,FALSE),"""",",")</f>
        <v>"titulo": "Ave María II (1984)",</v>
      </c>
      <c r="F30" t="str">
        <f>_xlfn.CONCAT("""salmo""",": ","""",VLOOKUP(B30,'Index Web'!A$4:L$236,4,FALSE),"""",",")</f>
        <v>"salmo": "Lucas  1,28ss - 1984 ",</v>
      </c>
      <c r="G30" t="str">
        <f>_xlfn.CONCAT("""letra""",": ","""",Table46[[#This Row],[Pg]],"|",VLOOKUP(B30,'Index Web'!A$4:O$236,15,FALSE)," ",VLOOKUP(B30,'Index Web'!A$4:O$236,13,FALSE),"""",",")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Web'!A$4:N$236,13,FALSE),"""","},"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966</v>
      </c>
      <c r="D31" t="str">
        <f>_xlfn.CONCAT("""",VLOOKUP(B31,'Index Web'!A$4:O$236,13,FALSE),"""",",")</f>
        <v>"babiloniacriminal",</v>
      </c>
      <c r="E31" t="str">
        <f>_xlfn.CONCAT("""titulo""",": ","""",VLOOKUP(B31,'Index Web'!A$4:L$236,3,FALSE),"""",",")</f>
        <v>"titulo": "Babilonia criminal",</v>
      </c>
      <c r="F31" t="str">
        <f>_xlfn.CONCAT("""salmo""",": ","""",VLOOKUP(B31,'Index Web'!A$4:L$236,4,FALSE),"""",",")</f>
        <v>"salmo": "Salmo 137 (136)",</v>
      </c>
      <c r="G31" t="str">
        <f>_xlfn.CONCAT("""letra""",": ","""",Table46[[#This Row],[Pg]],"|",VLOOKUP(B31,'Index Web'!A$4:O$236,15,FALSE)," ",VLOOKUP(B31,'Index Web'!A$4:O$236,13,FALSE),"""",",")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Web'!A$4:N$236,13,FALSE),"""","},"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966</v>
      </c>
      <c r="D32" t="str">
        <f>_xlfn.CONCAT("""",VLOOKUP(B32,'Index Web'!A$4:O$236,13,FALSE),"""",",")</f>
        <v>"balaam",</v>
      </c>
      <c r="E32" t="str">
        <f>_xlfn.CONCAT("""titulo""",": ","""",VLOOKUP(B32,'Index Web'!A$4:L$236,3,FALSE),"""",",")</f>
        <v>"titulo": "Balaam",</v>
      </c>
      <c r="F32" t="str">
        <f>_xlfn.CONCAT("""salmo""",": ","""",VLOOKUP(B32,'Index Web'!A$4:L$236,4,FALSE),"""",",")</f>
        <v>"salmo": "Nm 23,7-24",</v>
      </c>
      <c r="G32" t="str">
        <f>_xlfn.CONCAT("""letra""",": ","""",Table46[[#This Row],[Pg]],"|",VLOOKUP(B32,'Index Web'!A$4:O$236,15,FALSE)," ",VLOOKUP(B32,'Index Web'!A$4:O$236,13,FALSE),"""",",")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Web'!A$4:N$236,13,FALSE),"""","},"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966</v>
      </c>
      <c r="D33" t="str">
        <f>_xlfn.CONCAT("""",VLOOKUP(B33,'Index Web'!A$4:O$236,13,FALSE),"""",",")</f>
        <v>"bendecirealsenorentodotiempo",</v>
      </c>
      <c r="E33" t="str">
        <f>_xlfn.CONCAT("""titulo""",": ","""",VLOOKUP(B33,'Index Web'!A$4:L$236,3,FALSE),"""",",")</f>
        <v>"titulo": "Bendeciré al Señor en todo tiempo",</v>
      </c>
      <c r="F33" t="str">
        <f>_xlfn.CONCAT("""salmo""",": ","""",VLOOKUP(B33,'Index Web'!A$4:L$236,4,FALSE),"""",",")</f>
        <v>"salmo": "Salmo 34 (33)",</v>
      </c>
      <c r="G33" t="str">
        <f>_xlfn.CONCAT("""letra""",": ","""",Table46[[#This Row],[Pg]],"|",VLOOKUP(B33,'Index Web'!A$4:O$236,15,FALSE)," ",VLOOKUP(B33,'Index Web'!A$4:O$236,13,FALSE),"""",",")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Web'!A$4:N$236,13,FALSE),"""","},"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966</v>
      </c>
      <c r="D34" t="str">
        <f>_xlfn.CONCAT("""",VLOOKUP(B34,'Index Web'!A$4:O$236,13,FALSE),"""",",")</f>
        <v>"bendicealmamiaayahveh",</v>
      </c>
      <c r="E34" t="str">
        <f>_xlfn.CONCAT("""titulo""",": ","""",VLOOKUP(B34,'Index Web'!A$4:L$236,3,FALSE),"""",",")</f>
        <v>"titulo": "Bendice, alma mía, a Yahveh",</v>
      </c>
      <c r="F34" t="str">
        <f>_xlfn.CONCAT("""salmo""",": ","""",VLOOKUP(B34,'Index Web'!A$4:L$236,4,FALSE),"""",",")</f>
        <v>"salmo": "Salmo 103 (102)",</v>
      </c>
      <c r="G34" t="str">
        <f>_xlfn.CONCAT("""letra""",": ","""",Table46[[#This Row],[Pg]],"|",VLOOKUP(B34,'Index Web'!A$4:O$236,15,FALSE)," ",VLOOKUP(B34,'Index Web'!A$4:O$236,13,FALSE),"""",",")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Web'!A$4:N$236,13,FALSE),"""","},"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966</v>
      </c>
      <c r="D35" t="str">
        <f>_xlfn.CONCAT("""",VLOOKUP(B35,'Index Web'!A$4:O$236,13,FALSE),"""",",")</f>
        <v>"bendiciondelagua",</v>
      </c>
      <c r="E35" t="str">
        <f>_xlfn.CONCAT("""titulo""",": ","""",VLOOKUP(B35,'Index Web'!A$4:L$236,3,FALSE),"""",",")</f>
        <v>"titulo": "Bendición del agua",</v>
      </c>
      <c r="F35" t="str">
        <f>_xlfn.CONCAT("""salmo""",": ","""",VLOOKUP(B35,'Index Web'!A$4:L$236,4,FALSE),"""",",")</f>
        <v>"salmo": "De la liturgia bautismal de la Vigilia Pascual",</v>
      </c>
      <c r="G35" t="str">
        <f>_xlfn.CONCAT("""letra""",": ","""",Table46[[#This Row],[Pg]],"|",VLOOKUP(B35,'Index Web'!A$4:O$236,15,FALSE)," ",VLOOKUP(B35,'Index Web'!A$4:O$236,13,FALSE),"""",",")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Web'!A$4:N$236,13,FALSE),"""","},"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966</v>
      </c>
      <c r="D36" t="str">
        <f>_xlfn.CONCAT("""",VLOOKUP(B36,'Index Web'!A$4:O$236,13,FALSE),"""",",")</f>
        <v>"benditaerestumaria",</v>
      </c>
      <c r="E36" t="str">
        <f>_xlfn.CONCAT("""titulo""",": ","""",VLOOKUP(B36,'Index Web'!A$4:L$236,3,FALSE),"""",",")</f>
        <v>"titulo": "Bendita eres tú, María",</v>
      </c>
      <c r="F36" t="str">
        <f>_xlfn.CONCAT("""salmo""",": ","""",VLOOKUP(B36,'Index Web'!A$4:L$236,4,FALSE),"""",",")</f>
        <v>"salmo": "Lucas 1,42-45",</v>
      </c>
      <c r="G36" t="str">
        <f>_xlfn.CONCAT("""letra""",": ","""",Table46[[#This Row],[Pg]],"|",VLOOKUP(B36,'Index Web'!A$4:O$236,15,FALSE)," ",VLOOKUP(B36,'Index Web'!A$4:O$236,13,FALSE),"""",",")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Web'!A$4:N$236,13,FALSE),"""","},"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966</v>
      </c>
      <c r="D37" t="str">
        <f>_xlfn.CONCAT("""",VLOOKUP(B37,'Index Web'!A$4:O$236,13,FALSE),"""",",")</f>
        <v>"benditoeressenor",</v>
      </c>
      <c r="E37" t="str">
        <f>_xlfn.CONCAT("""titulo""",": ","""",VLOOKUP(B37,'Index Web'!A$4:L$236,3,FALSE),"""",",")</f>
        <v>"titulo": "Bendito eres, Señor ",</v>
      </c>
      <c r="F37" t="str">
        <f>_xlfn.CONCAT("""salmo""",": ","""",VLOOKUP(B37,'Index Web'!A$4:L$236,4,FALSE),"""",",")</f>
        <v>"salmo": "Daniel 3,52-57",</v>
      </c>
      <c r="G37" t="str">
        <f>_xlfn.CONCAT("""letra""",": ","""",Table46[[#This Row],[Pg]],"|",VLOOKUP(B37,'Index Web'!A$4:O$236,15,FALSE)," ",VLOOKUP(B37,'Index Web'!A$4:O$236,13,FALSE),"""",",")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Web'!A$4:N$236,13,FALSE),"""","},"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966</v>
      </c>
      <c r="D38" t="str">
        <f>_xlfn.CONCAT("""",VLOOKUP(B38,'Index Web'!A$4:O$236,13,FALSE),"""",",")</f>
        <v>"benditoseadios",</v>
      </c>
      <c r="E38" t="str">
        <f>_xlfn.CONCAT("""titulo""",": ","""",VLOOKUP(B38,'Index Web'!A$4:L$236,3,FALSE),"""",",")</f>
        <v>"titulo": "Bendito sea Dios",</v>
      </c>
      <c r="F38" t="str">
        <f>_xlfn.CONCAT("""salmo""",": ","""",VLOOKUP(B38,'Index Web'!A$4:L$236,4,FALSE),"""",",")</f>
        <v>"salmo": "Efesios 1,3-13",</v>
      </c>
      <c r="G38" t="str">
        <f>_xlfn.CONCAT("""letra""",": ","""",Table46[[#This Row],[Pg]],"|",VLOOKUP(B38,'Index Web'!A$4:O$236,15,FALSE)," ",VLOOKUP(B38,'Index Web'!A$4:O$236,13,FALSE),"""",",")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Web'!A$4:N$236,13,FALSE),"""","},"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966</v>
      </c>
      <c r="D39" t="str">
        <f>_xlfn.CONCAT("""",VLOOKUP(B39,'Index Web'!A$4:O$236,13,FALSE),"""",",")</f>
        <v>"benedictus",</v>
      </c>
      <c r="E39" t="str">
        <f>_xlfn.CONCAT("""titulo""",": ","""",VLOOKUP(B39,'Index Web'!A$4:L$236,3,FALSE),"""",",")</f>
        <v>"titulo": "Benedictus ",</v>
      </c>
      <c r="F39" t="str">
        <f>_xlfn.CONCAT("""salmo""",": ","""",VLOOKUP(B39,'Index Web'!A$4:L$236,4,FALSE),"""",",")</f>
        <v>"salmo": "Lucas 1,67-80",</v>
      </c>
      <c r="G39" t="str">
        <f>_xlfn.CONCAT("""letra""",": ","""",Table46[[#This Row],[Pg]],"|",VLOOKUP(B39,'Index Web'!A$4:O$236,15,FALSE)," ",VLOOKUP(B39,'Index Web'!A$4:O$236,13,FALSE),"""",",")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Web'!A$4:N$236,13,FALSE),"""","},"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966</v>
      </c>
      <c r="D40" t="str">
        <f>_xlfn.CONCAT("""",VLOOKUP(B40,'Index Web'!A$4:O$236,13,FALSE),"""",",")</f>
        <v>"cantadadios",</v>
      </c>
      <c r="E40" t="str">
        <f>_xlfn.CONCAT("""titulo""",": ","""",VLOOKUP(B40,'Index Web'!A$4:L$236,3,FALSE),"""",",")</f>
        <v>"titulo": "Cantad a Dios ",</v>
      </c>
      <c r="F40" t="str">
        <f>_xlfn.CONCAT("""salmo""",": ","""",VLOOKUP(B40,'Index Web'!A$4:L$236,4,FALSE),"""",",")</f>
        <v>"salmo": "Salmo 67 (68) 2.4-7",</v>
      </c>
      <c r="G40" t="str">
        <f>_xlfn.CONCAT("""letra""",": ","""",Table46[[#This Row],[Pg]],"|",VLOOKUP(B40,'Index Web'!A$4:O$236,15,FALSE)," ",VLOOKUP(B40,'Index Web'!A$4:O$236,13,FALSE),"""",",")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Web'!A$4:N$236,13,FALSE),"""","},"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966</v>
      </c>
      <c r="D41" t="str">
        <f>_xlfn.CONCAT("""",VLOOKUP(B41,'Index Web'!A$4:O$236,13,FALSE),"""",",")</f>
        <v>"cantadalsenor",</v>
      </c>
      <c r="E41" t="str">
        <f>_xlfn.CONCAT("""titulo""",": ","""",VLOOKUP(B41,'Index Web'!A$4:L$236,3,FALSE),"""",",")</f>
        <v>"titulo": "Cantad al Señor",</v>
      </c>
      <c r="F41" t="str">
        <f>_xlfn.CONCAT("""salmo""",": ","""",VLOOKUP(B41,'Index Web'!A$4:L$236,4,FALSE),"""",",")</f>
        <v>"salmo": "Salmo 117 (116)",</v>
      </c>
      <c r="G41" t="str">
        <f>_xlfn.CONCAT("""letra""",": ","""",Table46[[#This Row],[Pg]],"|",VLOOKUP(B41,'Index Web'!A$4:O$236,15,FALSE)," ",VLOOKUP(B41,'Index Web'!A$4:O$236,13,FALSE),"""",",")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Web'!A$4:N$236,13,FALSE),"""","},"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966</v>
      </c>
      <c r="D42" t="str">
        <f>_xlfn.CONCAT("""",VLOOKUP(B42,'Index Web'!A$4:O$236,13,FALSE),"""",",")</f>
        <v>"canticodelostresjovenes",</v>
      </c>
      <c r="E42" t="str">
        <f>_xlfn.CONCAT("""titulo""",": ","""",VLOOKUP(B42,'Index Web'!A$4:L$236,3,FALSE),"""",",")</f>
        <v>"titulo": "Cántico de los tres jóvenes ",</v>
      </c>
      <c r="F42" t="str">
        <f>_xlfn.CONCAT("""salmo""",": ","""",VLOOKUP(B42,'Index Web'!A$4:L$236,4,FALSE),"""",",")</f>
        <v>"salmo": "Daniel 3,57-58",</v>
      </c>
      <c r="G42" t="str">
        <f>_xlfn.CONCAT("""letra""",": ","""",Table46[[#This Row],[Pg]],"|",VLOOKUP(B42,'Index Web'!A$4:O$236,15,FALSE)," ",VLOOKUP(B42,'Index Web'!A$4:O$236,13,FALSE),"""",",")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Web'!A$4:N$236,13,FALSE),"""","},"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966</v>
      </c>
      <c r="D43" t="str">
        <f>_xlfn.CONCAT("""",VLOOKUP(B43,'Index Web'!A$4:O$236,13,FALSE),"""",",")</f>
        <v>"cantodemoises",</v>
      </c>
      <c r="E43" t="str">
        <f>_xlfn.CONCAT("""titulo""",": ","""",VLOOKUP(B43,'Index Web'!A$4:L$236,3,FALSE),"""",",")</f>
        <v>"titulo": "Canto de Moisés",</v>
      </c>
      <c r="F43" t="str">
        <f>_xlfn.CONCAT("""salmo""",": ","""",VLOOKUP(B43,'Index Web'!A$4:L$236,4,FALSE),"""",",")</f>
        <v>"salmo": "Éxodo 15,1-18",</v>
      </c>
      <c r="G43" t="str">
        <f>_xlfn.CONCAT("""letra""",": ","""",Table46[[#This Row],[Pg]],"|",VLOOKUP(B43,'Index Web'!A$4:O$236,15,FALSE)," ",VLOOKUP(B43,'Index Web'!A$4:O$236,13,FALSE),"""",",")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Web'!A$4:N$236,13,FALSE),"""","},"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966</v>
      </c>
      <c r="D44" t="str">
        <f>_xlfn.CONCAT("""",VLOOKUP(B44,'Index Web'!A$4:O$236,13,FALSE),"""",",")</f>
        <v>"caritaschristiurgetnos",</v>
      </c>
      <c r="E44" t="str">
        <f>_xlfn.CONCAT("""titulo""",": ","""",VLOOKUP(B44,'Index Web'!A$4:L$236,3,FALSE),"""",",")</f>
        <v>"titulo": "Caritas Christi urget nos",</v>
      </c>
      <c r="F44" t="str">
        <f>_xlfn.CONCAT("""salmo""",": ","""",VLOOKUP(B44,'Index Web'!A$4:L$236,4,FALSE),"""",",")</f>
        <v>"salmo": "2ª Corintios 5,14.15.17.21",</v>
      </c>
      <c r="G44" t="str">
        <f>_xlfn.CONCAT("""letra""",": ","""",Table46[[#This Row],[Pg]],"|",VLOOKUP(B44,'Index Web'!A$4:O$236,15,FALSE)," ",VLOOKUP(B44,'Index Web'!A$4:O$236,13,FALSE),"""",",")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Web'!A$4:N$236,13,FALSE),"""","},"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966</v>
      </c>
      <c r="D45" t="str">
        <f>_xlfn.CONCAT("""",VLOOKUP(B45,'Index Web'!A$4:O$236,13,FALSE),"""",",")</f>
        <v>"carmen63",</v>
      </c>
      <c r="E45" t="str">
        <f>_xlfn.CONCAT("""titulo""",": ","""",VLOOKUP(B45,'Index Web'!A$4:L$236,3,FALSE),"""",",")</f>
        <v>"titulo": "Carmen 63",</v>
      </c>
      <c r="F45" t="str">
        <f>_xlfn.CONCAT("""salmo""",": ","""",VLOOKUP(B45,'Index Web'!A$4:L$236,4,FALSE),"""",",")</f>
        <v>"salmo": "(Rabindranath Tagore)*",</v>
      </c>
      <c r="G45" t="str">
        <f>_xlfn.CONCAT("""letra""",": ","""",Table46[[#This Row],[Pg]],"|",VLOOKUP(B45,'Index Web'!A$4:O$236,15,FALSE)," ",VLOOKUP(B45,'Index Web'!A$4:O$236,13,FALSE),"""",",")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Web'!A$4:N$236,13,FALSE),"""","},"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966</v>
      </c>
      <c r="D46" t="str">
        <f>_xlfn.CONCAT("""",VLOOKUP(B46,'Index Web'!A$4:O$236,13,FALSE),"""",",")</f>
        <v>"celebracionpenitencial",</v>
      </c>
      <c r="E46" t="str">
        <f>_xlfn.CONCAT("""titulo""",": ","""",VLOOKUP(B46,'Index Web'!A$4:L$236,3,FALSE),"""",",")</f>
        <v>"titulo": "Celebración penitencial",</v>
      </c>
      <c r="F46" t="str">
        <f>_xlfn.CONCAT("""salmo""",": ","""",VLOOKUP(B46,'Index Web'!A$4:L$236,4,FALSE),"""",",")</f>
        <v>"salmo": "Acción de gracias",</v>
      </c>
      <c r="G46" t="str">
        <f>_xlfn.CONCAT("""letra""",": ","""",Table46[[#This Row],[Pg]],"|",VLOOKUP(B46,'Index Web'!A$4:O$236,15,FALSE)," ",VLOOKUP(B46,'Index Web'!A$4:O$236,13,FALSE),"""",",")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v>
      </c>
      <c r="H46" t="str">
        <f>_xlfn.CONCAT("""archivo""",": ","""/resucito/src/index.html?canto=",VLOOKUP(B46,'Index Web'!A$4:N$236,13,FALSE),"""","}," )</f>
        <v>"archivo": "/resucito/src/index.html?canto=celebracionpenitencial"},</v>
      </c>
      <c r="I46" t="str">
        <f>_xlfn.CONCAT(Table46[[#This Row],[id]:[URL]])</f>
        <v>{"id":"celebracionpenitencial","titulo": "Celebración penitencial","salmo":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celebracionpenitencial","archivo": "/resucito/src/index.html?canto=celebracionpenitencial"},</v>
      </c>
    </row>
    <row r="47" spans="2:9" x14ac:dyDescent="0.25">
      <c r="B47" s="26">
        <v>37</v>
      </c>
      <c r="C47" t="s">
        <v>966</v>
      </c>
      <c r="D47" t="str">
        <f>_xlfn.CONCAT("""",VLOOKUP(B47,'Index Web'!A$4:O$236,13,FALSE),"""",",")</f>
        <v>"comocondenadosamuerte",</v>
      </c>
      <c r="E47" t="str">
        <f>_xlfn.CONCAT("""titulo""",": ","""",VLOOKUP(B47,'Index Web'!A$4:L$236,3,FALSE),"""",",")</f>
        <v>"titulo": "Como condenados a muerte ",</v>
      </c>
      <c r="F47" t="str">
        <f>_xlfn.CONCAT("""salmo""",": ","""",VLOOKUP(B47,'Index Web'!A$4:L$236,4,FALSE),"""",",")</f>
        <v>"salmo": "1ª Corintios 4,9-13",</v>
      </c>
      <c r="G47" t="str">
        <f>_xlfn.CONCAT("""letra""",": ","""",Table46[[#This Row],[Pg]],"|",VLOOKUP(B47,'Index Web'!A$4:O$236,15,FALSE)," ",VLOOKUP(B47,'Index Web'!A$4:O$236,13,FALSE),"""",",")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Web'!A$4:N$236,13,FALSE),"""","},"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966</v>
      </c>
      <c r="D48" t="str">
        <f>_xlfn.CONCAT("""",VLOOKUP(B48,'Index Web'!A$4:O$236,13,FALSE),"""",",")</f>
        <v>"comodestilalamiel",</v>
      </c>
      <c r="E48" t="str">
        <f>_xlfn.CONCAT("""titulo""",": ","""",VLOOKUP(B48,'Index Web'!A$4:L$236,3,FALSE),"""",",")</f>
        <v>"titulo": "Como destila la miel",</v>
      </c>
      <c r="F48" t="str">
        <f>_xlfn.CONCAT("""salmo""",": ","""",VLOOKUP(B48,'Index Web'!A$4:L$236,4,FALSE),"""",",")</f>
        <v>"salmo": "Oda XL de Salomón",</v>
      </c>
      <c r="G48" t="str">
        <f>_xlfn.CONCAT("""letra""",": ","""",Table46[[#This Row],[Pg]],"|",VLOOKUP(B48,'Index Web'!A$4:O$236,15,FALSE)," ",VLOOKUP(B48,'Index Web'!A$4:O$236,13,FALSE),"""",",")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Web'!A$4:N$236,13,FALSE),"""","},"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966</v>
      </c>
      <c r="D49" t="str">
        <f>_xlfn.CONCAT("""",VLOOKUP(B49,'Index Web'!A$4:O$236,13,FALSE),"""",",")</f>
        <v>"comoelimpulsoquesientelaira",</v>
      </c>
      <c r="E49" t="str">
        <f>_xlfn.CONCAT("""titulo""",": ","""",VLOOKUP(B49,'Index Web'!A$4:L$236,3,FALSE),"""",",")</f>
        <v>"titulo": "Como el impulso que siente la ira",</v>
      </c>
      <c r="F49" t="str">
        <f>_xlfn.CONCAT("""salmo""",": ","""",VLOOKUP(B49,'Index Web'!A$4:L$236,4,FALSE),"""",",")</f>
        <v>"salmo": "Oda VII de Salomón",</v>
      </c>
      <c r="G49" t="str">
        <f>_xlfn.CONCAT("""letra""",": ","""",Table46[[#This Row],[Pg]],"|",VLOOKUP(B49,'Index Web'!A$4:O$236,15,FALSE)," ",VLOOKUP(B49,'Index Web'!A$4:O$236,13,FALSE),"""",",")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Web'!A$4:N$236,13,FALSE),"""","},"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966</v>
      </c>
      <c r="D50" t="str">
        <f>_xlfn.CONCAT("""",VLOOKUP(B50,'Index Web'!A$4:O$236,13,FALSE),"""",",")</f>
        <v>"comoesmaravilloso",</v>
      </c>
      <c r="E50" t="str">
        <f>_xlfn.CONCAT("""titulo""",": ","""",VLOOKUP(B50,'Index Web'!A$4:L$236,3,FALSE),"""",",")</f>
        <v>"titulo": "Cómo es maravilloso",</v>
      </c>
      <c r="F50" t="str">
        <f>_xlfn.CONCAT("""salmo""",": ","""",VLOOKUP(B50,'Index Web'!A$4:L$236,4,FALSE),"""",",")</f>
        <v>"salmo": "Salmo 133 (132)",</v>
      </c>
      <c r="G50" t="str">
        <f>_xlfn.CONCAT("""letra""",": ","""",Table46[[#This Row],[Pg]],"|",VLOOKUP(B50,'Index Web'!A$4:O$236,15,FALSE)," ",VLOOKUP(B50,'Index Web'!A$4:O$236,13,FALSE),"""",",")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Web'!A$4:N$236,13,FALSE),"""","},"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966</v>
      </c>
      <c r="D51" t="str">
        <f>_xlfn.CONCAT("""",VLOOKUP(B51,'Index Web'!A$4:O$236,13,FALSE),"""",",")</f>
        <v>"comolacierva",</v>
      </c>
      <c r="E51" t="str">
        <f>_xlfn.CONCAT("""titulo""",": ","""",VLOOKUP(B51,'Index Web'!A$4:L$236,3,FALSE),"""",",")</f>
        <v>"titulo": "Como la cierva",</v>
      </c>
      <c r="F51" t="str">
        <f>_xlfn.CONCAT("""salmo""",": ","""",VLOOKUP(B51,'Index Web'!A$4:L$236,4,FALSE),"""",",")</f>
        <v>"salmo": "Salmo 42-43 (41-42)",</v>
      </c>
      <c r="G51" t="str">
        <f>_xlfn.CONCAT("""letra""",": ","""",Table46[[#This Row],[Pg]],"|",VLOOKUP(B51,'Index Web'!A$4:O$236,15,FALSE)," ",VLOOKUP(B51,'Index Web'!A$4:O$236,13,FALSE),"""",",")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Web'!A$4:N$236,13,FALSE),"""","},"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966</v>
      </c>
      <c r="D52" t="str">
        <f>_xlfn.CONCAT("""",VLOOKUP(B52,'Index Web'!A$4:O$236,13,FALSE),"""",",")</f>
        <v>"comolirioentreloscardos",</v>
      </c>
      <c r="E52" t="str">
        <f>_xlfn.CONCAT("""titulo""",": ","""",VLOOKUP(B52,'Index Web'!A$4:L$236,3,FALSE),"""",",")</f>
        <v>"titulo": "Como lirio entre los cardos ",</v>
      </c>
      <c r="F52" t="str">
        <f>_xlfn.CONCAT("""salmo""",": ","""",VLOOKUP(B52,'Index Web'!A$4:L$236,4,FALSE),"""",",")</f>
        <v>"salmo": "Cantar de los cantares 1,13ss ",</v>
      </c>
      <c r="G52" t="str">
        <f>_xlfn.CONCAT("""letra""",": ","""",Table46[[#This Row],[Pg]],"|",VLOOKUP(B52,'Index Web'!A$4:O$236,15,FALSE)," ",VLOOKUP(B52,'Index Web'!A$4:O$236,13,FALSE),"""",",")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Web'!A$4:N$236,13,FALSE),"""","},"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966</v>
      </c>
      <c r="D53" t="str">
        <f>_xlfn.CONCAT("""",VLOOKUP(B53,'Index Web'!A$4:O$236,13,FALSE),"""",",")</f>
        <v>"comoovejaqueve",</v>
      </c>
      <c r="E53" t="str">
        <f>_xlfn.CONCAT("""titulo""",": ","""",VLOOKUP(B53,'Index Web'!A$4:L$236,3,FALSE),"""",",")</f>
        <v>"titulo": "Como oveja que ve",</v>
      </c>
      <c r="F53" t="str">
        <f>_xlfn.CONCAT("""salmo""",": ","""",VLOOKUP(B53,'Index Web'!A$4:L$236,4,FALSE),"""",",")</f>
        <v>"salmo": "Kontáklon (Romano el Meloda)",</v>
      </c>
      <c r="G53" t="str">
        <f>_xlfn.CONCAT("""letra""",": ","""",Table46[[#This Row],[Pg]],"|",VLOOKUP(B53,'Index Web'!A$4:O$236,15,FALSE)," ",VLOOKUP(B53,'Index Web'!A$4:O$236,13,FALSE),"""",",")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Web'!A$4:N$236,13,FALSE),"""","},"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966</v>
      </c>
      <c r="D54" t="str">
        <f>_xlfn.CONCAT("""",VLOOKUP(B54,'Index Web'!A$4:O$236,13,FALSE),"""",",")</f>
        <v>"consoladamipueblo",</v>
      </c>
      <c r="E54" t="str">
        <f>_xlfn.CONCAT("""titulo""",": ","""",VLOOKUP(B54,'Index Web'!A$4:L$236,3,FALSE),"""",",")</f>
        <v>"titulo": "Consolad a mi pueblo",</v>
      </c>
      <c r="F54" t="str">
        <f>_xlfn.CONCAT("""salmo""",": ","""",VLOOKUP(B54,'Index Web'!A$4:L$236,4,FALSE),"""",",")</f>
        <v>"salmo": "Isaías 40,1-11 - Melodía hebraica ",</v>
      </c>
      <c r="G54" t="str">
        <f>_xlfn.CONCAT("""letra""",": ","""",Table46[[#This Row],[Pg]],"|",VLOOKUP(B54,'Index Web'!A$4:O$236,15,FALSE)," ",VLOOKUP(B54,'Index Web'!A$4:O$236,13,FALSE),"""",",")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Web'!A$4:N$236,13,FALSE),"""","},"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966</v>
      </c>
      <c r="D55" t="str">
        <f>_xlfn.CONCAT("""",VLOOKUP(B55,'Index Web'!A$4:O$236,13,FALSE),"""",",")</f>
        <v>"corderodedios",</v>
      </c>
      <c r="E55" t="str">
        <f>_xlfn.CONCAT("""titulo""",": ","""",VLOOKUP(B55,'Index Web'!A$4:L$236,3,FALSE),"""",",")</f>
        <v>"titulo": "Cordero de Dios",</v>
      </c>
      <c r="F55" t="str">
        <f>_xlfn.CONCAT("""salmo""",": ","""",VLOOKUP(B55,'Index Web'!A$4:L$236,4,FALSE),"""",",")</f>
        <v>"salmo": "Después de la consagración",</v>
      </c>
      <c r="G55" t="str">
        <f>_xlfn.CONCAT("""letra""",": ","""",Table46[[#This Row],[Pg]],"|",VLOOKUP(B55,'Index Web'!A$4:O$236,15,FALSE)," ",VLOOKUP(B55,'Index Web'!A$4:O$236,13,FALSE),"""",",")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Web'!A$4:N$236,13,FALSE),"""","},"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966</v>
      </c>
      <c r="D56" t="str">
        <f>_xlfn.CONCAT("""",VLOOKUP(B56,'Index Web'!A$4:O$236,13,FALSE),"""",",")</f>
        <v>"credo",</v>
      </c>
      <c r="E56" t="str">
        <f>_xlfn.CONCAT("""titulo""",": ","""",VLOOKUP(B56,'Index Web'!A$4:L$236,3,FALSE),"""",",")</f>
        <v>"titulo": "Credo",</v>
      </c>
      <c r="F56" t="str">
        <f>_xlfn.CONCAT("""salmo""",": ","""",VLOOKUP(B56,'Index Web'!A$4:L$236,4,FALSE),"""",",")</f>
        <v>"salmo": "Símbolo Apostólico",</v>
      </c>
      <c r="G56" t="str">
        <f>_xlfn.CONCAT("""letra""",": ","""",Table46[[#This Row],[Pg]],"|",VLOOKUP(B56,'Index Web'!A$4:O$236,15,FALSE)," ",VLOOKUP(B56,'Index Web'!A$4:O$236,13,FALSE),"""",",")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Web'!A$4:N$236,13,FALSE),"""","},"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966</v>
      </c>
      <c r="D57" t="str">
        <f>_xlfn.CONCAT("""",VLOOKUP(B57,'Index Web'!A$4:O$236,13,FALSE),"""",",")</f>
        <v>"cristoeslaluz",</v>
      </c>
      <c r="E57" t="str">
        <f>_xlfn.CONCAT("""titulo""",": ","""",VLOOKUP(B57,'Index Web'!A$4:L$236,3,FALSE),"""",",")</f>
        <v>"titulo": "Cristo es la luz",</v>
      </c>
      <c r="F57" t="str">
        <f>_xlfn.CONCAT("""salmo""",": ","""",VLOOKUP(B57,'Index Web'!A$4:L$236,4,FALSE),"""",",")</f>
        <v>"salmo": "Himno - Juan 8,12; 14,6",</v>
      </c>
      <c r="G57" t="str">
        <f>_xlfn.CONCAT("""letra""",": ","""",Table46[[#This Row],[Pg]],"|",VLOOKUP(B57,'Index Web'!A$4:O$236,15,FALSE)," ",VLOOKUP(B57,'Index Web'!A$4:O$236,13,FALSE),"""",",")</f>
        <v>"letra": "42|cristo es la luz juan 8,12; 14,6 cristo es la luz. él es la salvación cristo es el camino. cristo es la verdad. cristo es la vida. cristoeslaluz",</v>
      </c>
      <c r="H57" t="str">
        <f>_xlfn.CONCAT("""archivo""",": ","""/resucito/src/index.html?canto=",VLOOKUP(B57,'Index Web'!A$4:N$236,13,FALSE),"""","},"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966</v>
      </c>
      <c r="D58" t="str">
        <f>_xlfn.CONCAT("""",VLOOKUP(B58,'Index Web'!A$4:O$236,13,FALSE),"""",",")</f>
        <v>"cuandodormia",</v>
      </c>
      <c r="E58" t="str">
        <f>_xlfn.CONCAT("""titulo""",": ","""",VLOOKUP(B58,'Index Web'!A$4:L$236,3,FALSE),"""",",")</f>
        <v>"titulo": "Cuando dormía",</v>
      </c>
      <c r="F58" t="str">
        <f>_xlfn.CONCAT("""salmo""",": ","""",VLOOKUP(B58,'Index Web'!A$4:L$236,4,FALSE),"""",",")</f>
        <v>"salmo": "Cantar de los Cantares 5,2ss ",</v>
      </c>
      <c r="G58" t="str">
        <f>_xlfn.CONCAT("""letra""",": ","""",Table46[[#This Row],[Pg]],"|",VLOOKUP(B58,'Index Web'!A$4:O$236,15,FALSE)," ",VLOOKUP(B58,'Index Web'!A$4:O$236,13,FALSE),"""",",")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Web'!A$4:N$236,13,FALSE),"""","},"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966</v>
      </c>
      <c r="D59" t="str">
        <f>_xlfn.CONCAT("""",VLOOKUP(B59,'Index Web'!A$4:O$236,13,FALSE),"""",",")</f>
        <v>"cuandoelsenor",</v>
      </c>
      <c r="E59" t="str">
        <f>_xlfn.CONCAT("""titulo""",": ","""",VLOOKUP(B59,'Index Web'!A$4:L$236,3,FALSE),"""",",")</f>
        <v>"titulo": "Cuando el Señor ",</v>
      </c>
      <c r="F59" t="str">
        <f>_xlfn.CONCAT("""salmo""",": ","""",VLOOKUP(B59,'Index Web'!A$4:L$236,4,FALSE),"""",",")</f>
        <v>"salmo": "Salmo 126 (125)",</v>
      </c>
      <c r="G59" t="str">
        <f>_xlfn.CONCAT("""letra""",": ","""",Table46[[#This Row],[Pg]],"|",VLOOKUP(B59,'Index Web'!A$4:O$236,15,FALSE)," ",VLOOKUP(B59,'Index Web'!A$4:O$236,13,FALSE),"""",",")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Web'!A$4:N$236,13,FALSE),"""","},"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966</v>
      </c>
      <c r="D60" t="str">
        <f>_xlfn.CONCAT("""",VLOOKUP(B60,'Index Web'!A$4:O$236,13,FALSE),"""",",")</f>
        <v>"cuandoisraelsaliodeegipto",</v>
      </c>
      <c r="E60" t="str">
        <f>_xlfn.CONCAT("""titulo""",": ","""",VLOOKUP(B60,'Index Web'!A$4:L$236,3,FALSE),"""",",")</f>
        <v>"titulo": "Cuando Israel salió de Egipto",</v>
      </c>
      <c r="F60" t="str">
        <f>_xlfn.CONCAT("""salmo""",": ","""",VLOOKUP(B60,'Index Web'!A$4:L$236,4,FALSE),"""",",")</f>
        <v>"salmo": "Salmo 114 (113)",</v>
      </c>
      <c r="G60" t="str">
        <f>_xlfn.CONCAT("""letra""",": ","""",Table46[[#This Row],[Pg]],"|",VLOOKUP(B60,'Index Web'!A$4:O$236,15,FALSE)," ",VLOOKUP(B60,'Index Web'!A$4:O$236,13,FALSE),"""",",")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Web'!A$4:N$236,13,FALSE),"""","},"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966</v>
      </c>
      <c r="D61" t="str">
        <f>_xlfn.CONCAT("""",VLOOKUP(B61,'Index Web'!A$4:O$236,13,FALSE),"""",",")</f>
        <v>"dayenu",</v>
      </c>
      <c r="E61" t="str">
        <f>_xlfn.CONCAT("""titulo""",": ","""",VLOOKUP(B61,'Index Web'!A$4:L$236,3,FALSE),"""",",")</f>
        <v>"titulo": "Dayenú",</v>
      </c>
      <c r="F61" t="str">
        <f>_xlfn.CONCAT("""salmo""",": ","""",VLOOKUP(B61,'Index Web'!A$4:L$236,4,FALSE),"""",",")</f>
        <v>"salmo": "De la Hagadá de Pésaj hebrea",</v>
      </c>
      <c r="G61" t="str">
        <f>_xlfn.CONCAT("""letra""",": ","""",Table46[[#This Row],[Pg]],"|",VLOOKUP(B61,'Index Web'!A$4:O$236,15,FALSE)," ",VLOOKUP(B61,'Index Web'!A$4:O$236,13,FALSE),"""",",")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Web'!A$4:N$236,13,FALSE),"""","},"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966</v>
      </c>
      <c r="D62" t="str">
        <f>_xlfn.CONCAT("""",VLOOKUP(B62,'Index Web'!A$4:O$236,13,FALSE),"""",",")</f>
        <v>"deprofundis",</v>
      </c>
      <c r="E62" t="str">
        <f>_xlfn.CONCAT("""titulo""",": ","""",VLOOKUP(B62,'Index Web'!A$4:L$236,3,FALSE),"""",",")</f>
        <v>"titulo": "De Profundis",</v>
      </c>
      <c r="F62" t="str">
        <f>_xlfn.CONCAT("""salmo""",": ","""",VLOOKUP(B62,'Index Web'!A$4:L$236,4,FALSE),"""",",")</f>
        <v>"salmo": "Salmo 130 (129)",</v>
      </c>
      <c r="G62" t="str">
        <f>_xlfn.CONCAT("""letra""",": ","""",Table46[[#This Row],[Pg]],"|",VLOOKUP(B62,'Index Web'!A$4:O$236,15,FALSE)," ",VLOOKUP(B62,'Index Web'!A$4:O$236,13,FALSE),"""",",")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Web'!A$4:N$236,13,FALSE),"""","},"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966</v>
      </c>
      <c r="D63" t="str">
        <f>_xlfn.CONCAT("""",VLOOKUP(B63,'Index Web'!A$4:O$236,13,FALSE),"""",",")</f>
        <v>"debora",</v>
      </c>
      <c r="E63" t="str">
        <f>_xlfn.CONCAT("""titulo""",": ","""",VLOOKUP(B63,'Index Web'!A$4:L$236,3,FALSE),"""",",")</f>
        <v>"titulo": "Débora",</v>
      </c>
      <c r="F63" t="str">
        <f>_xlfn.CONCAT("""salmo""",": ","""",VLOOKUP(B63,'Index Web'!A$4:L$236,4,FALSE),"""",",")</f>
        <v>"salmo": "Jueces 5",</v>
      </c>
      <c r="G63" t="str">
        <f>_xlfn.CONCAT("""letra""",": ","""",Table46[[#This Row],[Pg]],"|",VLOOKUP(B63,'Index Web'!A$4:O$236,15,FALSE)," ",VLOOKUP(B63,'Index Web'!A$4:O$236,13,FALSE),"""",",")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Web'!A$4:N$236,13,FALSE),"""","},"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966</v>
      </c>
      <c r="D64" t="str">
        <f>_xlfn.CONCAT("""",VLOOKUP(B64,'Index Web'!A$4:O$236,13,FALSE),"""",",")</f>
        <v>"decidlealosdecorazoncansado",</v>
      </c>
      <c r="E64" t="str">
        <f>_xlfn.CONCAT("""titulo""",": ","""",VLOOKUP(B64,'Index Web'!A$4:L$236,3,FALSE),"""",",")</f>
        <v>"titulo": "Decidle a los de corazón cansado",</v>
      </c>
      <c r="F64" t="str">
        <f>_xlfn.CONCAT("""salmo""",": ","""",VLOOKUP(B64,'Index Web'!A$4:L$236,4,FALSE),"""",",")</f>
        <v>"salmo": "Isaías 35,4ss",</v>
      </c>
      <c r="G64" t="str">
        <f>_xlfn.CONCAT("""letra""",": ","""",Table46[[#This Row],[Pg]],"|",VLOOKUP(B64,'Index Web'!A$4:O$236,15,FALSE)," ",VLOOKUP(B64,'Index Web'!A$4:O$236,13,FALSE),"""",",")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Web'!A$4:N$236,13,FALSE),"""","},"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966</v>
      </c>
      <c r="D65" t="str">
        <f>_xlfn.CONCAT("""",VLOOKUP(B65,'Index Web'!A$4:O$236,13,FALSE),"""",",")</f>
        <v>"delantedelosangeles",</v>
      </c>
      <c r="E65" t="str">
        <f>_xlfn.CONCAT("""titulo""",": ","""",VLOOKUP(B65,'Index Web'!A$4:L$236,3,FALSE),"""",",")</f>
        <v>"titulo": "Delante de los ángeles ",</v>
      </c>
      <c r="F65" t="str">
        <f>_xlfn.CONCAT("""salmo""",": ","""",VLOOKUP(B65,'Index Web'!A$4:L$236,4,FALSE),"""",",")</f>
        <v>"salmo": "Salmo 138 (137)",</v>
      </c>
      <c r="G65" t="str">
        <f>_xlfn.CONCAT("""letra""",": ","""",Table46[[#This Row],[Pg]],"|",VLOOKUP(B65,'Index Web'!A$4:O$236,15,FALSE)," ",VLOOKUP(B65,'Index Web'!A$4:O$236,13,FALSE),"""",",")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Web'!A$4:N$236,13,FALSE),"""","},"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966</v>
      </c>
      <c r="D66" t="str">
        <f>_xlfn.CONCAT("""",VLOOKUP(B66,'Index Web'!A$4:O$236,13,FALSE),"""",",")</f>
        <v>"diadereposo",</v>
      </c>
      <c r="E66" t="str">
        <f>_xlfn.CONCAT("""titulo""",": ","""",VLOOKUP(B66,'Index Web'!A$4:L$236,3,FALSE),"""",",")</f>
        <v>"titulo": "Día de reposo",</v>
      </c>
      <c r="F66" t="str">
        <f>_xlfn.CONCAT("""salmo""",": ","""",VLOOKUP(B66,'Index Web'!A$4:L$236,4,FALSE),"""",",")</f>
        <v>"salmo": "Juan 8,52",</v>
      </c>
      <c r="G66" t="str">
        <f>_xlfn.CONCAT("""letra""",": ","""",Table46[[#This Row],[Pg]],"|",VLOOKUP(B66,'Index Web'!A$4:O$236,15,FALSE)," ",VLOOKUP(B66,'Index Web'!A$4:O$236,13,FALSE),"""",",")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Web'!A$4:N$236,13,FALSE),"""","},"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966</v>
      </c>
      <c r="D67" t="str">
        <f>_xlfn.CONCAT("""",VLOOKUP(B67,'Index Web'!A$4:O$236,13,FALSE),"""",",")</f>
        <v>"diceelsenoramisenor",</v>
      </c>
      <c r="E67" t="str">
        <f>_xlfn.CONCAT("""titulo""",": ","""",VLOOKUP(B67,'Index Web'!A$4:L$236,3,FALSE),"""",",")</f>
        <v>"titulo": "Dice el Señor a mi Señor",</v>
      </c>
      <c r="F67" t="str">
        <f>_xlfn.CONCAT("""salmo""",": ","""",VLOOKUP(B67,'Index Web'!A$4:L$236,4,FALSE),"""",",")</f>
        <v>"salmo": "Salmo 110 (109)",</v>
      </c>
      <c r="G67" t="str">
        <f>_xlfn.CONCAT("""letra""",": ","""",Table46[[#This Row],[Pg]],"|",VLOOKUP(B67,'Index Web'!A$4:O$236,15,FALSE)," ",VLOOKUP(B67,'Index Web'!A$4:O$236,13,FALSE),"""",",")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Web'!A$4:N$236,13,FALSE),"""","},"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966</v>
      </c>
      <c r="D68" t="str">
        <f>_xlfn.CONCAT("""",VLOOKUP(B68,'Index Web'!A$4:O$236,13,FALSE),"""",",")</f>
        <v>"dichosoelhombre",</v>
      </c>
      <c r="E68" t="str">
        <f>_xlfn.CONCAT("""titulo""",": ","""",VLOOKUP(B68,'Index Web'!A$4:L$236,3,FALSE),"""",",")</f>
        <v>"titulo": "Dichoso el hombre ",</v>
      </c>
      <c r="F68" t="str">
        <f>_xlfn.CONCAT("""salmo""",": ","""",VLOOKUP(B68,'Index Web'!A$4:L$236,4,FALSE),"""",",")</f>
        <v>"salmo": "Salmo 1",</v>
      </c>
      <c r="G68" t="str">
        <f>_xlfn.CONCAT("""letra""",": ","""",Table46[[#This Row],[Pg]],"|",VLOOKUP(B68,'Index Web'!A$4:O$236,15,FALSE)," ",VLOOKUP(B68,'Index Web'!A$4:O$236,13,FALSE),"""",",")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Web'!A$4:N$236,13,FALSE),"""","},"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966</v>
      </c>
      <c r="D69" t="str">
        <f>_xlfn.CONCAT("""",VLOOKUP(B69,'Index Web'!A$4:O$236,13,FALSE),"""",",")</f>
        <v>"elcombateescatologico",</v>
      </c>
      <c r="E69" t="str">
        <f>_xlfn.CONCAT("""titulo""",": ","""",VLOOKUP(B69,'Index Web'!A$4:L$236,3,FALSE),"""",",")</f>
        <v>"titulo": "El combate escatológico",</v>
      </c>
      <c r="F69" t="str">
        <f>_xlfn.CONCAT("""salmo""",": ","""",VLOOKUP(B69,'Index Web'!A$4:L$236,4,FALSE),"""",",")</f>
        <v>"salmo": "Apocalipsis 19,11-20",</v>
      </c>
      <c r="G69" t="str">
        <f>_xlfn.CONCAT("""letra""",": ","""",Table46[[#This Row],[Pg]],"|",VLOOKUP(B69,'Index Web'!A$4:O$236,15,FALSE)," ",VLOOKUP(B69,'Index Web'!A$4:O$236,13,FALSE),"""",",")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Web'!A$4:N$236,13,FALSE),"""","},"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966</v>
      </c>
      <c r="D70" t="str">
        <f>_xlfn.CONCAT("""",VLOOKUP(B70,'Index Web'!A$4:O$236,13,FALSE),"""",",")</f>
        <v>"elespiritudelsenorestasobremi",</v>
      </c>
      <c r="E70" t="str">
        <f>_xlfn.CONCAT("""titulo""",": ","""",VLOOKUP(B70,'Index Web'!A$4:L$236,3,FALSE),"""",",")</f>
        <v>"titulo": "El Espíritu del Señor está sobre mí",</v>
      </c>
      <c r="F70" t="str">
        <f>_xlfn.CONCAT("""salmo""",": ","""",VLOOKUP(B70,'Index Web'!A$4:L$236,4,FALSE),"""",",")</f>
        <v>"salmo": "Lucas 4,18 – Isaías 61,1-3",</v>
      </c>
      <c r="G70" t="str">
        <f>_xlfn.CONCAT("""letra""",": ","""",Table46[[#This Row],[Pg]],"|",VLOOKUP(B70,'Index Web'!A$4:O$236,15,FALSE)," ",VLOOKUP(B70,'Index Web'!A$4:O$236,13,FALSE),"""",",")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Web'!A$4:N$236,13,FALSE),"""","},"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966</v>
      </c>
      <c r="D71" t="str">
        <f>_xlfn.CONCAT("""",VLOOKUP(B71,'Index Web'!A$4:O$236,13,FALSE),"""",",")</f>
        <v>"eljacaldelospastores",</v>
      </c>
      <c r="E71" t="str">
        <f>_xlfn.CONCAT("""titulo""",": ","""",VLOOKUP(B71,'Index Web'!A$4:L$236,3,FALSE),"""",",")</f>
        <v>"titulo": "El jacal de los pastores",</v>
      </c>
      <c r="F71" t="str">
        <f>_xlfn.CONCAT("""salmo""",": ","""",VLOOKUP(B71,'Index Web'!A$4:L$236,4,FALSE),"""",",")</f>
        <v>"salmo": "Cantar de los Cantares 1,2-8",</v>
      </c>
      <c r="G71" t="str">
        <f>_xlfn.CONCAT("""letra""",": ","""",Table46[[#This Row],[Pg]],"|",VLOOKUP(B71,'Index Web'!A$4:O$236,15,FALSE)," ",VLOOKUP(B71,'Index Web'!A$4:O$236,13,FALSE),"""",",")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Web'!A$4:N$236,13,FALSE),"""","},"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966</v>
      </c>
      <c r="D72" t="str">
        <f>_xlfn.CONCAT("""",VLOOKUP(B72,'Index Web'!A$4:O$236,13,FALSE),"""",",")</f>
        <v>"ellagarero",</v>
      </c>
      <c r="E72" t="str">
        <f>_xlfn.CONCAT("""titulo""",": ","""",VLOOKUP(B72,'Index Web'!A$4:L$236,3,FALSE),"""",",")</f>
        <v>"titulo": "El lagarero",</v>
      </c>
      <c r="F72" t="str">
        <f>_xlfn.CONCAT("""salmo""",": ","""",VLOOKUP(B72,'Index Web'!A$4:L$236,4,FALSE),"""",",")</f>
        <v>"salmo": "Isaías 63,1-6",</v>
      </c>
      <c r="G72" t="str">
        <f>_xlfn.CONCAT("""letra""",": ","""",Table46[[#This Row],[Pg]],"|",VLOOKUP(B72,'Index Web'!A$4:O$236,15,FALSE)," ",VLOOKUP(B72,'Index Web'!A$4:O$236,13,FALSE),"""",",")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Web'!A$4:N$236,13,FALSE),"""","},"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966</v>
      </c>
      <c r="D73" t="str">
        <f>_xlfn.CONCAT("""",VLOOKUP(B73,'Index Web'!A$4:O$236,13,FALSE),"""",",")</f>
        <v>"elmesiasleon",</v>
      </c>
      <c r="E73" t="str">
        <f>_xlfn.CONCAT("""titulo""",": ","""",VLOOKUP(B73,'Index Web'!A$4:L$236,3,FALSE),"""",",")</f>
        <v>"titulo": "El Mesías león",</v>
      </c>
      <c r="F73" t="str">
        <f>_xlfn.CONCAT("""salmo""",": ","""",VLOOKUP(B73,'Index Web'!A$4:L$236,4,FALSE),"""",",")</f>
        <v>"salmo": "Comentario al Apocalipsis (Victorino de Pettau)",</v>
      </c>
      <c r="G73" t="str">
        <f>_xlfn.CONCAT("""letra""",": ","""",Table46[[#This Row],[Pg]],"|",VLOOKUP(B73,'Index Web'!A$4:O$236,15,FALSE)," ",VLOOKUP(B73,'Index Web'!A$4:O$236,13,FALSE),"""",",")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Web'!A$4:N$236,13,FALSE),"""","},"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966</v>
      </c>
      <c r="D74" t="str">
        <f>_xlfn.CONCAT("""",VLOOKUP(B74,'Index Web'!A$4:O$236,13,FALSE),"""",",")</f>
        <v>"elmismodios",</v>
      </c>
      <c r="E74" t="str">
        <f>_xlfn.CONCAT("""titulo""",": ","""",VLOOKUP(B74,'Index Web'!A$4:L$236,3,FALSE),"""",",")</f>
        <v>"titulo": "El mismo Dios",</v>
      </c>
      <c r="F74" t="str">
        <f>_xlfn.CONCAT("""salmo""",": ","""",VLOOKUP(B74,'Index Web'!A$4:L$236,4,FALSE),"""",",")</f>
        <v>"salmo": "2 Corintios 4,6-12",</v>
      </c>
      <c r="G74" t="str">
        <f>_xlfn.CONCAT("""letra""",": ","""",Table46[[#This Row],[Pg]],"|",VLOOKUP(B74,'Index Web'!A$4:O$236,15,FALSE)," ",VLOOKUP(B74,'Index Web'!A$4:O$236,13,FALSE),"""",",")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Web'!A$4:N$236,13,FALSE),"""","},"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966</v>
      </c>
      <c r="D75" t="str">
        <f>_xlfn.CONCAT("""",VLOOKUP(B75,'Index Web'!A$4:O$236,13,FALSE),"""",",")</f>
        <v>"elneciopiensaquediosno",</v>
      </c>
      <c r="E75" t="str">
        <f>_xlfn.CONCAT("""titulo""",": ","""",VLOOKUP(B75,'Index Web'!A$4:L$236,3,FALSE),"""",",")</f>
        <v>"titulo": "El necio piensa que Dios no ",</v>
      </c>
      <c r="F75" t="str">
        <f>_xlfn.CONCAT("""salmo""",": ","""",VLOOKUP(B75,'Index Web'!A$4:L$236,4,FALSE),"""",",")</f>
        <v>"salmo": "Salmo 14 (13)",</v>
      </c>
      <c r="G75" t="str">
        <f>_xlfn.CONCAT("""letra""",": ","""",Table46[[#This Row],[Pg]],"|",VLOOKUP(B75,'Index Web'!A$4:O$236,15,FALSE)," ",VLOOKUP(B75,'Index Web'!A$4:O$236,13,FALSE),"""",",")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Web'!A$4:N$236,13,FALSE),"""","},"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966</v>
      </c>
      <c r="D76" t="str">
        <f>_xlfn.CONCAT("""",VLOOKUP(B76,'Index Web'!A$4:O$236,13,FALSE),"""",",")</f>
        <v>"elpuebloquecaminabaenlastinieblas",</v>
      </c>
      <c r="E76" t="str">
        <f>_xlfn.CONCAT("""titulo""",": ","""",VLOOKUP(B76,'Index Web'!A$4:L$236,3,FALSE),"""",",")</f>
        <v>"titulo": "El pueblo que caminaba en las tinieblas",</v>
      </c>
      <c r="F76" t="str">
        <f>_xlfn.CONCAT("""salmo""",": ","""",VLOOKUP(B76,'Index Web'!A$4:L$236,4,FALSE),"""",",")</f>
        <v>"salmo": "Isaías 9,1-5",</v>
      </c>
      <c r="G76" t="str">
        <f>_xlfn.CONCAT("""letra""",": ","""",Table46[[#This Row],[Pg]],"|",VLOOKUP(B76,'Index Web'!A$4:O$236,15,FALSE)," ",VLOOKUP(B76,'Index Web'!A$4:O$236,13,FALSE),"""",",")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Web'!A$4:N$236,13,FALSE),"""","},"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966</v>
      </c>
      <c r="D77" t="str">
        <f>_xlfn.CONCAT("""",VLOOKUP(B77,'Index Web'!A$4:O$236,13,FALSE),"""",",")</f>
        <v>"elsembrador",</v>
      </c>
      <c r="E77" t="str">
        <f>_xlfn.CONCAT("""titulo""",": ","""",VLOOKUP(B77,'Index Web'!A$4:L$236,3,FALSE),"""",",")</f>
        <v>"titulo": "El sembrador ",</v>
      </c>
      <c r="F77" t="str">
        <f>_xlfn.CONCAT("""salmo""",": ","""",VLOOKUP(B77,'Index Web'!A$4:L$236,4,FALSE),"""",",")</f>
        <v>"salmo": "Marcos 4,3ss",</v>
      </c>
      <c r="G77" t="str">
        <f>_xlfn.CONCAT("""letra""",": ","""",Table46[[#This Row],[Pg]],"|",VLOOKUP(B77,'Index Web'!A$4:O$236,15,FALSE)," ",VLOOKUP(B77,'Index Web'!A$4:O$236,13,FALSE),"""",",")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Web'!A$4:N$236,13,FALSE),"""","},"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966</v>
      </c>
      <c r="D78" t="str">
        <f>_xlfn.CONCAT("""",VLOOKUP(B78,'Index Web'!A$4:O$236,13,FALSE),"""",",")</f>
        <v>"elsenoranunciaunanoticia",</v>
      </c>
      <c r="E78" t="str">
        <f>_xlfn.CONCAT("""titulo""",": ","""",VLOOKUP(B78,'Index Web'!A$4:L$236,3,FALSE),"""",",")</f>
        <v>"titulo": "El Señor anuncia una noticia",</v>
      </c>
      <c r="F78" t="str">
        <f>_xlfn.CONCAT("""salmo""",": ","""",VLOOKUP(B78,'Index Web'!A$4:L$236,4,FALSE),"""",",")</f>
        <v>"salmo": "Salmo 68 (67)",</v>
      </c>
      <c r="G78" t="str">
        <f>_xlfn.CONCAT("""letra""",": ","""",Table46[[#This Row],[Pg]],"|",VLOOKUP(B78,'Index Web'!A$4:O$236,15,FALSE)," ",VLOOKUP(B78,'Index Web'!A$4:O$236,13,FALSE),"""",",")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Web'!A$4:N$236,13,FALSE),"""","},"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966</v>
      </c>
      <c r="D79" t="str">
        <f>_xlfn.CONCAT("""",VLOOKUP(B79,'Index Web'!A$4:O$236,13,FALSE),"""",",")</f>
        <v>"elsenoresmipastor",</v>
      </c>
      <c r="E79" t="str">
        <f>_xlfn.CONCAT("""titulo""",": ","""",VLOOKUP(B79,'Index Web'!A$4:L$236,3,FALSE),"""",",")</f>
        <v>"titulo": "El Señor es mi pastor",</v>
      </c>
      <c r="F79" t="str">
        <f>_xlfn.CONCAT("""salmo""",": ","""",VLOOKUP(B79,'Index Web'!A$4:L$236,4,FALSE),"""",",")</f>
        <v>"salmo": "Salmo 23 (22)",</v>
      </c>
      <c r="G79" t="str">
        <f>_xlfn.CONCAT("""letra""",": ","""",Table46[[#This Row],[Pg]],"|",VLOOKUP(B79,'Index Web'!A$4:O$236,15,FALSE)," ",VLOOKUP(B79,'Index Web'!A$4:O$236,13,FALSE),"""",",")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Web'!A$4:N$236,13,FALSE),"""","},"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966</v>
      </c>
      <c r="D80" t="str">
        <f>_xlfn.CONCAT("""",VLOOKUP(B80,'Index Web'!A$4:O$236,13,FALSE),"""",",")</f>
        <v>"elsenormehadado",</v>
      </c>
      <c r="E80" t="str">
        <f>_xlfn.CONCAT("""titulo""",": ","""",VLOOKUP(B80,'Index Web'!A$4:L$236,3,FALSE),"""",",")</f>
        <v>"titulo": "El Señor me ha dado",</v>
      </c>
      <c r="F80" t="str">
        <f>_xlfn.CONCAT("""salmo""",": ","""",VLOOKUP(B80,'Index Web'!A$4:L$236,4,FALSE),"""",",")</f>
        <v>"salmo": "Isaías 50,4-10  - Tercer canto del Siervo de Yahveh",</v>
      </c>
      <c r="G80" t="str">
        <f>_xlfn.CONCAT("""letra""",": ","""",Table46[[#This Row],[Pg]],"|",VLOOKUP(B80,'Index Web'!A$4:O$236,15,FALSE)," ",VLOOKUP(B80,'Index Web'!A$4:O$236,13,FALSE),"""",",")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Web'!A$4:N$236,13,FALSE),"""","},"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966</v>
      </c>
      <c r="D81" t="str">
        <f>_xlfn.CONCAT("""",VLOOKUP(B81,'Index Web'!A$4:O$236,13,FALSE),"""",",")</f>
        <v>"elielilamasabactani",</v>
      </c>
      <c r="E81" t="str">
        <f>_xlfn.CONCAT("""titulo""",": ","""",VLOOKUP(B81,'Index Web'!A$4:L$236,3,FALSE),"""",",")</f>
        <v>"titulo": "Elí, Elí, lamá sabactaní ",</v>
      </c>
      <c r="F81" t="str">
        <f>_xlfn.CONCAT("""salmo""",": ","""",VLOOKUP(B81,'Index Web'!A$4:L$236,4,FALSE),"""",",")</f>
        <v>"salmo": "Salmo 22 (21)",</v>
      </c>
      <c r="G81" t="str">
        <f>_xlfn.CONCAT("""letra""",": ","""",Table46[[#This Row],[Pg]],"|",VLOOKUP(B81,'Index Web'!A$4:O$236,15,FALSE)," ",VLOOKUP(B81,'Index Web'!A$4:O$236,13,FALSE),"""",",")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Web'!A$4:N$236,13,FALSE),"""","},"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966</v>
      </c>
      <c r="D82" t="str">
        <f>_xlfn.CONCAT("""",VLOOKUP(B82,'Index Web'!A$4:O$236,13,FALSE),"""",",")</f>
        <v>"enmediodeaquelgentio",</v>
      </c>
      <c r="E82" t="str">
        <f>_xlfn.CONCAT("""titulo""",": ","""",VLOOKUP(B82,'Index Web'!A$4:L$236,3,FALSE),"""",",")</f>
        <v>"titulo": "En medio de aquel gentío",</v>
      </c>
      <c r="F82" t="str">
        <f>_xlfn.CONCAT("""salmo""",": ","""",VLOOKUP(B82,'Index Web'!A$4:L$236,4,FALSE),"""",",")</f>
        <v>"salmo": "Lucas 8,42b-48",</v>
      </c>
      <c r="G82" t="str">
        <f>_xlfn.CONCAT("""letra""",": ","""",Table46[[#This Row],[Pg]],"|",VLOOKUP(B82,'Index Web'!A$4:O$236,15,FALSE)," ",VLOOKUP(B82,'Index Web'!A$4:O$236,13,FALSE),"""",",")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Web'!A$4:N$236,13,FALSE),"""","},"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966</v>
      </c>
      <c r="D83" t="str">
        <f>_xlfn.CONCAT("""",VLOOKUP(B83,'Index Web'!A$4:O$236,13,FALSE),"""",",")</f>
        <v>"enunanocheoscura",</v>
      </c>
      <c r="E83" t="str">
        <f>_xlfn.CONCAT("""titulo""",": ","""",VLOOKUP(B83,'Index Web'!A$4:L$236,3,FALSE),"""",",")</f>
        <v>"titulo": "En una noche oscura",</v>
      </c>
      <c r="F83" t="str">
        <f>_xlfn.CONCAT("""salmo""",": ","""",VLOOKUP(B83,'Index Web'!A$4:L$236,4,FALSE),"""",",")</f>
        <v>"salmo": "Subida al Monte Carmelo – San Juan de la Cruz",</v>
      </c>
      <c r="G83" t="str">
        <f>_xlfn.CONCAT("""letra""",": ","""",Table46[[#This Row],[Pg]],"|",VLOOKUP(B83,'Index Web'!A$4:O$236,15,FALSE)," ",VLOOKUP(B83,'Index Web'!A$4:O$236,13,FALSE),"""",",")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Web'!A$4:N$236,13,FALSE),"""","},"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966</v>
      </c>
      <c r="D84" t="str">
        <f>_xlfn.CONCAT("""",VLOOKUP(B84,'Index Web'!A$4:O$236,13,FALSE),"""",",")</f>
        <v>"eresdignodetomarellibro",</v>
      </c>
      <c r="E84" t="str">
        <f>_xlfn.CONCAT("""titulo""",": ","""",VLOOKUP(B84,'Index Web'!A$4:L$236,3,FALSE),"""",",")</f>
        <v>"titulo": "Eres digno de tomar el libro",</v>
      </c>
      <c r="F84" t="str">
        <f>_xlfn.CONCAT("""salmo""",": ","""",VLOOKUP(B84,'Index Web'!A$4:L$236,4,FALSE),"""",",")</f>
        <v>"salmo": "Apocalipsis 5,9ss",</v>
      </c>
      <c r="G84" t="str">
        <f>_xlfn.CONCAT("""letra""",": ","""",Table46[[#This Row],[Pg]],"|",VLOOKUP(B84,'Index Web'!A$4:O$236,15,FALSE)," ",VLOOKUP(B84,'Index Web'!A$4:O$236,13,FALSE),"""",",")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Web'!A$4:N$236,13,FALSE),"""","},"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966</v>
      </c>
      <c r="D85" t="str">
        <f>_xlfn.CONCAT("""",VLOOKUP(B85,'Index Web'!A$4:O$236,13,FALSE),"""",",")</f>
        <v>"ereshermoso",</v>
      </c>
      <c r="E85" t="str">
        <f>_xlfn.CONCAT("""titulo""",": ","""",VLOOKUP(B85,'Index Web'!A$4:L$236,3,FALSE),"""",",")</f>
        <v>"titulo": "Eres hermoso",</v>
      </c>
      <c r="F85" t="str">
        <f>_xlfn.CONCAT("""salmo""",": ","""",VLOOKUP(B85,'Index Web'!A$4:L$236,4,FALSE),"""",",")</f>
        <v>"salmo": "Salmo 45 (44) ",</v>
      </c>
      <c r="G85" t="str">
        <f>_xlfn.CONCAT("""letra""",": ","""",Table46[[#This Row],[Pg]],"|",VLOOKUP(B85,'Index Web'!A$4:O$236,15,FALSE)," ",VLOOKUP(B85,'Index Web'!A$4:O$236,13,FALSE),"""",",")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Web'!A$4:N$236,13,FALSE),"""","},"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966</v>
      </c>
      <c r="D86" t="str">
        <f>_xlfn.CONCAT("""",VLOOKUP(B86,'Index Web'!A$4:O$236,13,FALSE),"""",",")</f>
        <v>"espaciente",</v>
      </c>
      <c r="E86" t="str">
        <f>_xlfn.CONCAT("""titulo""",": ","""",VLOOKUP(B86,'Index Web'!A$4:L$236,3,FALSE),"""",",")</f>
        <v>"titulo": "Es paciente",</v>
      </c>
      <c r="F86" t="str">
        <f>_xlfn.CONCAT("""salmo""",": ","""",VLOOKUP(B86,'Index Web'!A$4:L$236,4,FALSE),"""",",")</f>
        <v>"salmo": "Himno al Espíritu Santo (Kiko Argüello) ",</v>
      </c>
      <c r="G86" t="str">
        <f>_xlfn.CONCAT("""letra""",": ","""",Table46[[#This Row],[Pg]],"|",VLOOKUP(B86,'Index Web'!A$4:O$236,15,FALSE)," ",VLOOKUP(B86,'Index Web'!A$4:O$236,13,FALSE),"""",",")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Web'!A$4:N$236,13,FALSE),"""","},"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966</v>
      </c>
      <c r="D87" t="str">
        <f>_xlfn.CONCAT("""",VLOOKUP(B87,'Index Web'!A$4:O$236,13,FALSE),"""",",")</f>
        <v>"escondemeenloocultodetutienda",</v>
      </c>
      <c r="E87" t="str">
        <f>_xlfn.CONCAT("""titulo""",": ","""",VLOOKUP(B87,'Index Web'!A$4:L$236,3,FALSE),"""",",")</f>
        <v>"titulo": "Escóndeme en lo oculto de tu tienda",</v>
      </c>
      <c r="F87" t="str">
        <f>_xlfn.CONCAT("""salmo""",": ","""",VLOOKUP(B87,'Index Web'!A$4:L$236,4,FALSE),"""",",")</f>
        <v>"salmo": "Salmo 27 (26)",</v>
      </c>
      <c r="G87" t="str">
        <f>_xlfn.CONCAT("""letra""",": ","""",Table46[[#This Row],[Pg]],"|",VLOOKUP(B87,'Index Web'!A$4:O$236,15,FALSE)," ",VLOOKUP(B87,'Index Web'!A$4:O$236,13,FALSE),"""",",")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Web'!A$4:N$236,13,FALSE),"""","},"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25">
      <c r="B88" s="25">
        <v>70</v>
      </c>
      <c r="C88" t="s">
        <v>966</v>
      </c>
      <c r="D88" t="str">
        <f>_xlfn.CONCAT("""",VLOOKUP(B88,'Index Web'!A$4:O$236,13,FALSE),"""",",")</f>
        <v>"escuchadislaslejanas",</v>
      </c>
      <c r="E88" t="str">
        <f>_xlfn.CONCAT("""titulo""",": ","""",VLOOKUP(B88,'Index Web'!A$4:L$236,3,FALSE),"""",",")</f>
        <v>"titulo": "Escuchad, islas lejanas",</v>
      </c>
      <c r="F88" t="str">
        <f>_xlfn.CONCAT("""salmo""",": ","""",VLOOKUP(B88,'Index Web'!A$4:L$236,4,FALSE),"""",",")</f>
        <v>"salmo": "Isaias 49,1-16 - Segundo canto de Siervo de Yahveh",</v>
      </c>
      <c r="G88" t="str">
        <f>_xlfn.CONCAT("""letra""",": ","""",Table46[[#This Row],[Pg]],"|",VLOOKUP(B88,'Index Web'!A$4:O$236,15,FALSE)," ",VLOOKUP(B88,'Index Web'!A$4:O$236,13,FALSE),"""",",")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Web'!A$4:N$236,13,FALSE),"""","},"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966</v>
      </c>
      <c r="D89" t="str">
        <f>_xlfn.CONCAT("""",VLOOKUP(B89,'Index Web'!A$4:O$236,13,FALSE),"""",",")</f>
        <v>"esteeseldiaenqueactuo",</v>
      </c>
      <c r="E89" t="str">
        <f>_xlfn.CONCAT("""titulo""",": ","""",VLOOKUP(B89,'Index Web'!A$4:L$236,3,FALSE),"""",",")</f>
        <v>"titulo": "Este es el día en que actuó ",</v>
      </c>
      <c r="F89" t="str">
        <f>_xlfn.CONCAT("""salmo""",": ","""",VLOOKUP(B89,'Index Web'!A$4:L$236,4,FALSE),"""",",")</f>
        <v>"salmo": "Salmo 118 (117)",</v>
      </c>
      <c r="G89" t="str">
        <f>_xlfn.CONCAT("""letra""",": ","""",Table46[[#This Row],[Pg]],"|",VLOOKUP(B89,'Index Web'!A$4:O$236,15,FALSE)," ",VLOOKUP(B89,'Index Web'!A$4:O$236,13,FALSE),"""",",")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Web'!A$4:N$236,13,FALSE),"""","},"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25">
      <c r="B90" s="25">
        <v>72</v>
      </c>
      <c r="C90" t="s">
        <v>966</v>
      </c>
      <c r="D90" t="str">
        <f>_xlfn.CONCAT("""",VLOOKUP(B90,'Index Web'!A$4:O$236,13,FALSE),"""",",")</f>
        <v>"esteeselmandamientomio",</v>
      </c>
      <c r="E90" t="str">
        <f>_xlfn.CONCAT("""titulo""",": ","""",VLOOKUP(B90,'Index Web'!A$4:L$236,3,FALSE),"""",",")</f>
        <v>"titulo": "Este es el mandamiento mío",</v>
      </c>
      <c r="F90" t="str">
        <f>_xlfn.CONCAT("""salmo""",": ","""",VLOOKUP(B90,'Index Web'!A$4:L$236,4,FALSE),"""",",")</f>
        <v>"salmo": "Juan 15,12ss",</v>
      </c>
      <c r="G90" t="str">
        <f>_xlfn.CONCAT("""letra""",": ","""",Table46[[#This Row],[Pg]],"|",VLOOKUP(B90,'Index Web'!A$4:O$236,15,FALSE)," ",VLOOKUP(B90,'Index Web'!A$4:O$236,13,FALSE),"""",",")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Web'!A$4:N$236,13,FALSE),"""","},"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966</v>
      </c>
      <c r="D91" t="str">
        <f>_xlfn.CONCAT("""",VLOOKUP(B91,'Index Web'!A$4:O$236,13,FALSE),"""",",")</f>
        <v>"evenushalomalejem",</v>
      </c>
      <c r="E91" t="str">
        <f>_xlfn.CONCAT("""titulo""",": ","""",VLOOKUP(B91,'Index Web'!A$4:L$236,3,FALSE),"""",",")</f>
        <v>"titulo": "Evenu shalom alejem",</v>
      </c>
      <c r="F91" t="str">
        <f>_xlfn.CONCAT("""salmo""",": ","""",VLOOKUP(B91,'Index Web'!A$4:L$236,4,FALSE),"""",",")</f>
        <v>"salmo": "Melodía hebraica",</v>
      </c>
      <c r="G91" t="str">
        <f>_xlfn.CONCAT("""letra""",": ","""",Table46[[#This Row],[Pg]],"|",VLOOKUP(B91,'Index Web'!A$4:O$236,15,FALSE)," ",VLOOKUP(B91,'Index Web'!A$4:O$236,13,FALSE),"""",",")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Web'!A$4:N$236,13,FALSE),"""","},"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966</v>
      </c>
      <c r="D92" t="str">
        <f>_xlfn.CONCAT("""",VLOOKUP(B92,'Index Web'!A$4:O$236,13,FALSE),"""",",")</f>
        <v>"extiendomismanos",</v>
      </c>
      <c r="E92" t="str">
        <f>_xlfn.CONCAT("""titulo""",": ","""",VLOOKUP(B92,'Index Web'!A$4:L$236,3,FALSE),"""",",")</f>
        <v>"titulo": "Extiendo mis manos",</v>
      </c>
      <c r="F92" t="str">
        <f>_xlfn.CONCAT("""salmo""",": ","""",VLOOKUP(B92,'Index Web'!A$4:L$236,4,FALSE),"""",",")</f>
        <v>"salmo": "Oda XXVII de Salomón",</v>
      </c>
      <c r="G92" t="str">
        <f>_xlfn.CONCAT("""letra""",": ","""",Table46[[#This Row],[Pg]],"|",VLOOKUP(B92,'Index Web'!A$4:O$236,15,FALSE)," ",VLOOKUP(B92,'Index Web'!A$4:O$236,13,FALSE),"""",",")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Web'!A$4:N$236,13,FALSE),"""","},"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966</v>
      </c>
      <c r="D93" t="str">
        <f>_xlfn.CONCAT("""",VLOOKUP(B93,'Index Web'!A$4:O$236,13,FALSE),"""",",")</f>
        <v>"exultadjustosenelsenor",</v>
      </c>
      <c r="E93" t="str">
        <f>_xlfn.CONCAT("""titulo""",": ","""",VLOOKUP(B93,'Index Web'!A$4:L$236,3,FALSE),"""",",")</f>
        <v>"titulo": "Exultad, justos, en el Señor",</v>
      </c>
      <c r="F93" t="str">
        <f>_xlfn.CONCAT("""salmo""",": ","""",VLOOKUP(B93,'Index Web'!A$4:L$236,4,FALSE),"""",",")</f>
        <v>"salmo": "Salmo 33 (32)",</v>
      </c>
      <c r="G93" t="str">
        <f>_xlfn.CONCAT("""letra""",": ","""",Table46[[#This Row],[Pg]],"|",VLOOKUP(B93,'Index Web'!A$4:O$236,15,FALSE)," ",VLOOKUP(B93,'Index Web'!A$4:O$236,13,FALSE),"""",",")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Web'!A$4:N$236,13,FALSE),"""","},"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966</v>
      </c>
      <c r="D94" t="str">
        <f>_xlfn.CONCAT("""",VLOOKUP(B94,'Index Web'!A$4:O$236,13,FALSE),"""",",")</f>
        <v>"felicidadparaelhombre",</v>
      </c>
      <c r="E94" t="str">
        <f>_xlfn.CONCAT("""titulo""",": ","""",VLOOKUP(B94,'Index Web'!A$4:L$236,3,FALSE),"""",",")</f>
        <v>"titulo": "Felicidad para el hombre ",</v>
      </c>
      <c r="F94" t="str">
        <f>_xlfn.CONCAT("""salmo""",": ","""",VLOOKUP(B94,'Index Web'!A$4:L$236,4,FALSE),"""",",")</f>
        <v>"salmo": "Salmo 128 (127)",</v>
      </c>
      <c r="G94" t="str">
        <f>_xlfn.CONCAT("""letra""",": ","""",Table46[[#This Row],[Pg]],"|",VLOOKUP(B94,'Index Web'!A$4:O$236,15,FALSE)," ",VLOOKUP(B94,'Index Web'!A$4:O$236,13,FALSE),"""",",")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Web'!A$4:N$236,13,FALSE),"""","},"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966</v>
      </c>
      <c r="D95" t="str">
        <f>_xlfn.CONCAT("""",VLOOKUP(B95,'Index Web'!A$4:O$236,13,FALSE),"""",",")</f>
        <v>"gloriaadiosenloaltodelcielo",</v>
      </c>
      <c r="E95" t="str">
        <f>_xlfn.CONCAT("""titulo""",": ","""",VLOOKUP(B95,'Index Web'!A$4:L$236,3,FALSE),"""",",")</f>
        <v>"titulo": "Gloria a Dios en lo alto del cielo",</v>
      </c>
      <c r="F95" t="str">
        <f>_xlfn.CONCAT("""salmo""",": ","""",VLOOKUP(B95,'Index Web'!A$4:L$236,4,FALSE),"""",",")</f>
        <v>"salmo": "Himno Litúrgico",</v>
      </c>
      <c r="G95" t="str">
        <f>_xlfn.CONCAT("""letra""",": ","""",Table46[[#This Row],[Pg]],"|",VLOOKUP(B95,'Index Web'!A$4:O$236,15,FALSE)," ",VLOOKUP(B95,'Index Web'!A$4:O$236,13,FALSE),"""",",")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Web'!A$4:N$236,13,FALSE),"""","},"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966</v>
      </c>
      <c r="D96" t="str">
        <f>_xlfn.CONCAT("""",VLOOKUP(B96,'Index Web'!A$4:O$236,13,FALSE),"""",",")</f>
        <v>"graciasayahveh",</v>
      </c>
      <c r="E96" t="str">
        <f>_xlfn.CONCAT("""titulo""",": ","""",VLOOKUP(B96,'Index Web'!A$4:L$236,3,FALSE),"""",",")</f>
        <v>"titulo": "Gracias a Yahveh",</v>
      </c>
      <c r="F96" t="str">
        <f>_xlfn.CONCAT("""salmo""",": ","""",VLOOKUP(B96,'Index Web'!A$4:L$236,4,FALSE),"""",",")</f>
        <v>"salmo": "Salmo 136 (135) - Melodía hebraica",</v>
      </c>
      <c r="G96" t="str">
        <f>_xlfn.CONCAT("""letra""",": ","""",Table46[[#This Row],[Pg]],"|",VLOOKUP(B96,'Index Web'!A$4:O$236,15,FALSE)," ",VLOOKUP(B96,'Index Web'!A$4:O$236,13,FALSE),"""",",")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Web'!A$4:N$236,13,FALSE),"""","},"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966</v>
      </c>
      <c r="D97" t="str">
        <f>_xlfn.CONCAT("""",VLOOKUP(B97,'Index Web'!A$4:O$236,13,FALSE),"""",",")</f>
        <v>"gritadjubilosos",</v>
      </c>
      <c r="E97" t="str">
        <f>_xlfn.CONCAT("""titulo""",": ","""",VLOOKUP(B97,'Index Web'!A$4:L$236,3,FALSE),"""",",")</f>
        <v>"titulo": "Gritad jubilosos",</v>
      </c>
      <c r="F97" t="str">
        <f>_xlfn.CONCAT("""salmo""",": ","""",VLOOKUP(B97,'Index Web'!A$4:L$236,4,FALSE),"""",",")</f>
        <v>"salmo": "Isaías 12,1ss",</v>
      </c>
      <c r="G97" t="str">
        <f>_xlfn.CONCAT("""letra""",": ","""",Table46[[#This Row],[Pg]],"|",VLOOKUP(B97,'Index Web'!A$4:O$236,15,FALSE)," ",VLOOKUP(B97,'Index Web'!A$4:O$236,13,FALSE),"""",",")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Web'!A$4:N$236,13,FALSE),"""","},"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966</v>
      </c>
      <c r="D98" t="str">
        <f>_xlfn.CONCAT("""",VLOOKUP(B98,'Index Web'!A$4:O$236,13,FALSE),"""",",")</f>
        <v>"haciatimoradasanta",</v>
      </c>
      <c r="E98" t="str">
        <f>_xlfn.CONCAT("""titulo""",": ","""",VLOOKUP(B98,'Index Web'!A$4:L$236,3,FALSE),"""",",")</f>
        <v>"titulo": "Hacia ti, morada santa",</v>
      </c>
      <c r="F98" t="str">
        <f>_xlfn.CONCAT("""salmo""",": ","""",VLOOKUP(B98,'Index Web'!A$4:L$236,4,FALSE),"""",",")</f>
        <v>"salmo": "Himno procesional eucarístico (Kiko Argüello)",</v>
      </c>
      <c r="G98" t="str">
        <f>_xlfn.CONCAT("""letra""",": ","""",Table46[[#This Row],[Pg]],"|",VLOOKUP(B98,'Index Web'!A$4:O$236,15,FALSE)," ",VLOOKUP(B98,'Index Web'!A$4:O$236,13,FALSE),"""",",")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Web'!A$4:N$236,13,FALSE),"""","},"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966</v>
      </c>
      <c r="D99" t="str">
        <f>_xlfn.CONCAT("""",VLOOKUP(B99,'Index Web'!A$4:O$236,13,FALSE),"""",",")</f>
        <v>"hastacuando",</v>
      </c>
      <c r="E99" t="str">
        <f>_xlfn.CONCAT("""titulo""",": ","""",VLOOKUP(B99,'Index Web'!A$4:L$236,3,FALSE),"""",",")</f>
        <v>"titulo": "Hasta cuándo",</v>
      </c>
      <c r="F99" t="str">
        <f>_xlfn.CONCAT("""salmo""",": ","""",VLOOKUP(B99,'Index Web'!A$4:L$236,4,FALSE),"""",",")</f>
        <v>"salmo": "Salmo 13 (12)",</v>
      </c>
      <c r="G99" t="str">
        <f>_xlfn.CONCAT("""letra""",": ","""",Table46[[#This Row],[Pg]],"|",VLOOKUP(B99,'Index Web'!A$4:O$236,15,FALSE)," ",VLOOKUP(B99,'Index Web'!A$4:O$236,13,FALSE),"""",",")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Web'!A$4:N$236,13,FALSE),"""","},"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966</v>
      </c>
      <c r="D100" t="str">
        <f>_xlfn.CONCAT("""",VLOOKUP(B100,'Index Web'!A$4:O$236,13,FALSE),"""",",")</f>
        <v>"heaquimisiervo",</v>
      </c>
      <c r="E100" t="str">
        <f>_xlfn.CONCAT("""titulo""",": ","""",VLOOKUP(B100,'Index Web'!A$4:L$236,3,FALSE),"""",",")</f>
        <v>"titulo": "He aquí mi siervo",</v>
      </c>
      <c r="F100" t="str">
        <f>_xlfn.CONCAT("""salmo""",": ","""",VLOOKUP(B100,'Index Web'!A$4:L$236,4,FALSE),"""",",")</f>
        <v>"salmo": "Isaías 42,1-4; Mateo 12,18-21 - Primer canto de Siervo de Yahveh",</v>
      </c>
      <c r="G100" t="str">
        <f>_xlfn.CONCAT("""letra""",": ","""",Table46[[#This Row],[Pg]],"|",VLOOKUP(B100,'Index Web'!A$4:O$236,15,FALSE)," ",VLOOKUP(B100,'Index Web'!A$4:O$236,13,FALSE),"""",",")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Web'!A$4:N$236,13,FALSE),"""","},"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966</v>
      </c>
      <c r="D101" t="str">
        <f>_xlfn.CONCAT("""",VLOOKUP(B101,'Index Web'!A$4:O$236,13,FALSE),"""",",")</f>
        <v>"heaquiquenuestroespejoeselsenor",</v>
      </c>
      <c r="E101" t="str">
        <f>_xlfn.CONCAT("""titulo""",": ","""",VLOOKUP(B101,'Index Web'!A$4:L$236,3,FALSE),"""",",")</f>
        <v>"titulo": "He aquí que nuestro espejo es el Señor",</v>
      </c>
      <c r="F101" t="str">
        <f>_xlfn.CONCAT("""salmo""",": ","""",VLOOKUP(B101,'Index Web'!A$4:L$236,4,FALSE),"""",",")</f>
        <v>"salmo": "Oda XIII de Salomón",</v>
      </c>
      <c r="G101" t="str">
        <f>_xlfn.CONCAT("""letra""",": ","""",Table46[[#This Row],[Pg]],"|",VLOOKUP(B101,'Index Web'!A$4:O$236,15,FALSE)," ",VLOOKUP(B101,'Index Web'!A$4:O$236,13,FALSE),"""",",")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Web'!A$4:N$236,13,FALSE),"""","},"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966</v>
      </c>
      <c r="D102" t="str">
        <f>_xlfn.CONCAT("""",VLOOKUP(B102,'Index Web'!A$4:O$236,13,FALSE),"""",",")</f>
        <v>"heaquiquevengopresto",</v>
      </c>
      <c r="E102" t="str">
        <f>_xlfn.CONCAT("""titulo""",": ","""",VLOOKUP(B102,'Index Web'!A$4:L$236,3,FALSE),"""",",")</f>
        <v>"titulo": "He aquí que vengo presto",</v>
      </c>
      <c r="F102" t="str">
        <f>_xlfn.CONCAT("""salmo""",": ","""",VLOOKUP(B102,'Index Web'!A$4:L$236,4,FALSE),"""",",")</f>
        <v>"salmo": "Apocalipsis 22,12-16",</v>
      </c>
      <c r="G102" t="str">
        <f>_xlfn.CONCAT("""letra""",": ","""",Table46[[#This Row],[Pg]],"|",VLOOKUP(B102,'Index Web'!A$4:O$236,15,FALSE)," ",VLOOKUP(B102,'Index Web'!A$4:O$236,13,FALSE),"""",",")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Web'!A$4:N$236,13,FALSE),"""","},"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966</v>
      </c>
      <c r="D103" t="str">
        <f>_xlfn.CONCAT("""",VLOOKUP(B103,'Index Web'!A$4:O$236,13,FALSE),"""",",")</f>
        <v>"heesperadoenelsenor",</v>
      </c>
      <c r="E103" t="str">
        <f>_xlfn.CONCAT("""titulo""",": ","""",VLOOKUP(B103,'Index Web'!A$4:L$236,3,FALSE),"""",",")</f>
        <v>"titulo": "He esperado en el Señor",</v>
      </c>
      <c r="F103" t="str">
        <f>_xlfn.CONCAT("""salmo""",": ","""",VLOOKUP(B103,'Index Web'!A$4:L$236,4,FALSE),"""",",")</f>
        <v>"salmo": "Salmo 40 (39)",</v>
      </c>
      <c r="G103" t="str">
        <f>_xlfn.CONCAT("""letra""",": ","""",Table46[[#This Row],[Pg]],"|",VLOOKUP(B103,'Index Web'!A$4:O$236,15,FALSE)," ",VLOOKUP(B103,'Index Web'!A$4:O$236,13,FALSE),"""",",")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Web'!A$4:N$236,13,FALSE),"""","},"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966</v>
      </c>
      <c r="D104" t="str">
        <f>_xlfn.CONCAT("""",VLOOKUP(B104,'Index Web'!A$4:O$236,13,FALSE),"""",",")</f>
        <v>"hermosaeresamigamia",</v>
      </c>
      <c r="E104" t="str">
        <f>_xlfn.CONCAT("""titulo""",": ","""",VLOOKUP(B104,'Index Web'!A$4:L$236,3,FALSE),"""",",")</f>
        <v>"titulo": "Hermosa eres, amiga mía",</v>
      </c>
      <c r="F104" t="str">
        <f>_xlfn.CONCAT("""salmo""",": ","""",VLOOKUP(B104,'Index Web'!A$4:L$236,4,FALSE),"""",",")</f>
        <v>"salmo": "Cantar de los cantares 6-7",</v>
      </c>
      <c r="G104" t="str">
        <f>_xlfn.CONCAT("""letra""",": ","""",Table46[[#This Row],[Pg]],"|",VLOOKUP(B104,'Index Web'!A$4:O$236,15,FALSE)," ",VLOOKUP(B104,'Index Web'!A$4:O$236,13,FALSE),"""",",")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Web'!A$4:N$236,13,FALSE),"""","},"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966</v>
      </c>
      <c r="D105" t="str">
        <f>_xlfn.CONCAT("""",VLOOKUP(B105,'Index Web'!A$4:O$236,13,FALSE),"""",",")</f>
        <v>"hijasdejerusalen",</v>
      </c>
      <c r="E105" t="str">
        <f>_xlfn.CONCAT("""titulo""",": ","""",VLOOKUP(B105,'Index Web'!A$4:L$236,3,FALSE),"""",",")</f>
        <v>"titulo": "Hijas de Jerusalén",</v>
      </c>
      <c r="F105" t="str">
        <f>_xlfn.CONCAT("""salmo""",": ","""",VLOOKUP(B105,'Index Web'!A$4:L$236,4,FALSE),"""",",")</f>
        <v>"salmo": "Lucas 23,28-46",</v>
      </c>
      <c r="G105" t="str">
        <f>_xlfn.CONCAT("""letra""",": ","""",Table46[[#This Row],[Pg]],"|",VLOOKUP(B105,'Index Web'!A$4:O$236,15,FALSE)," ",VLOOKUP(B105,'Index Web'!A$4:O$236,13,FALSE),"""",",")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Web'!A$4:N$236,13,FALSE),"""","},"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966</v>
      </c>
      <c r="D106" t="str">
        <f>_xlfn.CONCAT("""",VLOOKUP(B106,'Index Web'!A$4:O$236,13,FALSE),"""",",")</f>
        <v>"himnoacristoluz",</v>
      </c>
      <c r="E106" t="str">
        <f>_xlfn.CONCAT("""titulo""",": ","""",VLOOKUP(B106,'Index Web'!A$4:L$236,3,FALSE),"""",",")</f>
        <v>"titulo": "Himno a Cristo luz",</v>
      </c>
      <c r="F106" t="str">
        <f>_xlfn.CONCAT("""salmo""",": ","""",VLOOKUP(B106,'Index Web'!A$4:L$236,4,FALSE),"""",",")</f>
        <v>"salmo": "Himno vespertino (San Gregorio Nacianceno)",</v>
      </c>
      <c r="G106" t="str">
        <f>_xlfn.CONCAT("""letra""",": ","""",Table46[[#This Row],[Pg]],"|",VLOOKUP(B106,'Index Web'!A$4:O$236,15,FALSE)," ",VLOOKUP(B106,'Index Web'!A$4:O$236,13,FALSE),"""",",")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Web'!A$4:N$236,13,FALSE),"""","},"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966</v>
      </c>
      <c r="D107" t="str">
        <f>_xlfn.CONCAT("""",VLOOKUP(B107,'Index Web'!A$4:O$236,13,FALSE),"""",",")</f>
        <v>"himnoalacaridad",</v>
      </c>
      <c r="E107" t="str">
        <f>_xlfn.CONCAT("""titulo""",": ","""",VLOOKUP(B107,'Index Web'!A$4:L$236,3,FALSE),"""",",")</f>
        <v>"titulo": "Himno a la caridad",</v>
      </c>
      <c r="F107" t="str">
        <f>_xlfn.CONCAT("""salmo""",": ","""",VLOOKUP(B107,'Index Web'!A$4:L$236,4,FALSE),"""",",")</f>
        <v>"salmo": "1 Corintios 13,1-7",</v>
      </c>
      <c r="G107" t="str">
        <f>_xlfn.CONCAT("""letra""",": ","""",Table46[[#This Row],[Pg]],"|",VLOOKUP(B107,'Index Web'!A$4:O$236,15,FALSE)," ",VLOOKUP(B107,'Index Web'!A$4:O$236,13,FALSE),"""",",")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Web'!A$4:N$236,13,FALSE),"""","},"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966</v>
      </c>
      <c r="D108" t="str">
        <f>_xlfn.CONCAT("""",VLOOKUP(B108,'Index Web'!A$4:O$236,13,FALSE),"""",",")</f>
        <v>"himnoalacruzgloriosa",</v>
      </c>
      <c r="E108" t="str">
        <f>_xlfn.CONCAT("""titulo""",": ","""",VLOOKUP(B108,'Index Web'!A$4:L$236,3,FALSE),"""",",")</f>
        <v>"titulo": "Himno a la Cruz Gloriosa",</v>
      </c>
      <c r="F108" t="str">
        <f>_xlfn.CONCAT("""salmo""",": ","""",VLOOKUP(B108,'Index Web'!A$4:L$236,4,FALSE),"""",",")</f>
        <v>"salmo": "Homilía La Santa Pascua (Anónimo s. II)",</v>
      </c>
      <c r="G108" t="str">
        <f>_xlfn.CONCAT("""letra""",": ","""",Table46[[#This Row],[Pg]],"|",VLOOKUP(B108,'Index Web'!A$4:O$236,15,FALSE)," ",VLOOKUP(B108,'Index Web'!A$4:O$236,13,FALSE),"""",",")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Web'!A$4:N$236,13,FALSE),"""","},"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966</v>
      </c>
      <c r="D109" t="str">
        <f>_xlfn.CONCAT("""",VLOOKUP(B109,'Index Web'!A$4:O$236,13,FALSE),"""",",")</f>
        <v>"himnoalakenosis",</v>
      </c>
      <c r="E109" t="str">
        <f>_xlfn.CONCAT("""titulo""",": ","""",VLOOKUP(B109,'Index Web'!A$4:L$236,3,FALSE),"""",",")</f>
        <v>"titulo": "Himno a la kenosis",</v>
      </c>
      <c r="F109" t="str">
        <f>_xlfn.CONCAT("""salmo""",": ","""",VLOOKUP(B109,'Index Web'!A$4:L$236,4,FALSE),"""",",")</f>
        <v>"salmo": "Filipenses 2,1-11",</v>
      </c>
      <c r="G109" t="str">
        <f>_xlfn.CONCAT("""letra""",": ","""",Table46[[#This Row],[Pg]],"|",VLOOKUP(B109,'Index Web'!A$4:O$236,15,FALSE)," ",VLOOKUP(B109,'Index Web'!A$4:O$236,13,FALSE),"""",",")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Web'!A$4:N$236,13,FALSE),"""","},"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966</v>
      </c>
      <c r="D110" t="str">
        <f>_xlfn.CONCAT("""",VLOOKUP(B110,'Index Web'!A$4:O$236,13,FALSE),"""",",")</f>
        <v>"himnodeadviento",</v>
      </c>
      <c r="E110" t="str">
        <f>_xlfn.CONCAT("""titulo""",": ","""",VLOOKUP(B110,'Index Web'!A$4:L$236,3,FALSE),"""",",")</f>
        <v>"titulo": "Himno de Adviento",</v>
      </c>
      <c r="F110" t="str">
        <f>_xlfn.CONCAT("""salmo""",": ","""",VLOOKUP(B110,'Index Web'!A$4:L$236,4,FALSE),"""",",")</f>
        <v>"salmo": "Himno lat. «Vox clara ecce Intonat»",</v>
      </c>
      <c r="G110" t="str">
        <f>_xlfn.CONCAT("""letra""",": ","""",Table46[[#This Row],[Pg]],"|",VLOOKUP(B110,'Index Web'!A$4:O$236,15,FALSE)," ",VLOOKUP(B110,'Index Web'!A$4:O$236,13,FALSE),"""",",")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Web'!A$4:N$236,13,FALSE),"""","},"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966</v>
      </c>
      <c r="D111" t="str">
        <f>_xlfn.CONCAT("""",VLOOKUP(B111,'Index Web'!A$4:O$236,13,FALSE),"""",",")</f>
        <v>"himnodelaascension",</v>
      </c>
      <c r="E111" t="str">
        <f>_xlfn.CONCAT("""titulo""",": ","""",VLOOKUP(B111,'Index Web'!A$4:L$236,3,FALSE),"""",",")</f>
        <v>"titulo": "Himno de la Ascensión",</v>
      </c>
      <c r="F111" t="str">
        <f>_xlfn.CONCAT("""salmo""",": ","""",VLOOKUP(B111,'Index Web'!A$4:L$236,4,FALSE),"""",",")</f>
        <v>"salmo": "Himno de Laudes del tiempo Pascual, de la Ascensión a Pentecostés  / Himno de la liturgia de las horas ",</v>
      </c>
      <c r="G111" t="str">
        <f>_xlfn.CONCAT("""letra""",": ","""",Table46[[#This Row],[Pg]],"|",VLOOKUP(B111,'Index Web'!A$4:O$236,15,FALSE)," ",VLOOKUP(B111,'Index Web'!A$4:O$236,13,FALSE),"""",",")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Web'!A$4:N$236,13,FALSE),"""","},"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966</v>
      </c>
      <c r="D112" t="str">
        <f>_xlfn.CONCAT("""",VLOOKUP(B112,'Index Web'!A$4:O$236,13,FALSE),"""",",")</f>
        <v>"himnodepascua",</v>
      </c>
      <c r="E112" t="str">
        <f>_xlfn.CONCAT("""titulo""",": ","""",VLOOKUP(B112,'Index Web'!A$4:L$236,3,FALSE),"""",",")</f>
        <v>"titulo": "Himno de Pascua",</v>
      </c>
      <c r="F112" t="str">
        <f>_xlfn.CONCAT("""salmo""",": ","""",VLOOKUP(B112,'Index Web'!A$4:L$236,4,FALSE),"""",",")</f>
        <v>"salmo": "Himno lat. «Aurora lucis rutiiat»",</v>
      </c>
      <c r="G112" t="str">
        <f>_xlfn.CONCAT("""letra""",": ","""",Table46[[#This Row],[Pg]],"|",VLOOKUP(B112,'Index Web'!A$4:O$236,15,FALSE)," ",VLOOKUP(B112,'Index Web'!A$4:O$236,13,FALSE),"""",",")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Web'!A$4:N$236,13,FALSE),"""","},"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966</v>
      </c>
      <c r="D113" t="str">
        <f>_xlfn.CONCAT("""",VLOOKUP(B113,'Index Web'!A$4:O$236,13,FALSE),"""",",")</f>
        <v>"huyeamadomio",</v>
      </c>
      <c r="E113" t="str">
        <f>_xlfn.CONCAT("""titulo""",": ","""",VLOOKUP(B113,'Index Web'!A$4:L$236,3,FALSE),"""",",")</f>
        <v>"titulo": "Huye, amado mío",</v>
      </c>
      <c r="F113" t="str">
        <f>_xlfn.CONCAT("""salmo""",": ","""",VLOOKUP(B113,'Index Web'!A$4:L$236,4,FALSE),"""",",")</f>
        <v>"salmo": "Cantar de los Cantares 8,10-14",</v>
      </c>
      <c r="G113" t="str">
        <f>_xlfn.CONCAT("""letra""",": ","""",Table46[[#This Row],[Pg]],"|",VLOOKUP(B113,'Index Web'!A$4:O$236,15,FALSE)," ",VLOOKUP(B113,'Index Web'!A$4:O$236,13,FALSE),"""",",")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Web'!A$4:N$236,13,FALSE),"""","},"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966</v>
      </c>
      <c r="D114" t="str">
        <f>_xlfn.CONCAT("""",VLOOKUP(B114,'Index Web'!A$4:O$236,13,FALSE),"""",",")</f>
        <v>"idyanunciadamishermanos",</v>
      </c>
      <c r="E114" t="str">
        <f>_xlfn.CONCAT("""titulo""",": ","""",VLOOKUP(B114,'Index Web'!A$4:L$236,3,FALSE),"""",",")</f>
        <v>"titulo": "Id y anunciad a mis hermanos",</v>
      </c>
      <c r="F114" t="str">
        <f>_xlfn.CONCAT("""salmo""",": ","""",VLOOKUP(B114,'Index Web'!A$4:L$236,4,FALSE),"""",",")</f>
        <v>"salmo": "Mateo 28,10.16-20",</v>
      </c>
      <c r="G114" t="str">
        <f>_xlfn.CONCAT("""letra""",": ","""",Table46[[#This Row],[Pg]],"|",VLOOKUP(B114,'Index Web'!A$4:O$236,15,FALSE)," ",VLOOKUP(B114,'Index Web'!A$4:O$236,13,FALSE),"""",",")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Web'!A$4:N$236,13,FALSE),"""","},"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966</v>
      </c>
      <c r="D115" t="str">
        <f>_xlfn.CONCAT("""",VLOOKUP(B115,'Index Web'!A$4:O$236,13,FALSE),"""",",")</f>
        <v>"improperios",</v>
      </c>
      <c r="E115" t="str">
        <f>_xlfn.CONCAT("""titulo""",": ","""",VLOOKUP(B115,'Index Web'!A$4:L$236,3,FALSE),"""",",")</f>
        <v>"titulo": "Improperios",</v>
      </c>
      <c r="F115" t="str">
        <f>_xlfn.CONCAT("""salmo""",": ","""",VLOOKUP(B115,'Index Web'!A$4:L$236,4,FALSE),"""",",")</f>
        <v>"salmo": "Adoración de la santa Cruz el Viernes santo",</v>
      </c>
      <c r="G115" t="str">
        <f>_xlfn.CONCAT("""letra""",": ","""",Table46[[#This Row],[Pg]],"|",VLOOKUP(B115,'Index Web'!A$4:O$236,15,FALSE)," ",VLOOKUP(B115,'Index Web'!A$4:O$236,13,FALSE),"""",",")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Web'!A$4:N$236,13,FALSE),"""","},"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966</v>
      </c>
      <c r="D116" t="str">
        <f>_xlfn.CONCAT("""",VLOOKUP(B116,'Index Web'!A$4:O$236,13,FALSE),"""",",")</f>
        <v>"jacob",</v>
      </c>
      <c r="E116" t="str">
        <f>_xlfn.CONCAT("""titulo""",": ","""",VLOOKUP(B116,'Index Web'!A$4:L$236,3,FALSE),"""",",")</f>
        <v>"titulo": "Jacob ",</v>
      </c>
      <c r="F116" t="str">
        <f>_xlfn.CONCAT("""salmo""",": ","""",VLOOKUP(B116,'Index Web'!A$4:L$236,4,FALSE),"""",",")</f>
        <v>"salmo": "Genesis 32,23-29 ",</v>
      </c>
      <c r="G116" t="str">
        <f>_xlfn.CONCAT("""letra""",": ","""",Table46[[#This Row],[Pg]],"|",VLOOKUP(B116,'Index Web'!A$4:O$236,15,FALSE)," ",VLOOKUP(B116,'Index Web'!A$4:O$236,13,FALSE),"""",",")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Web'!A$4:N$236,13,FALSE),"""","},"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966</v>
      </c>
      <c r="D117" t="str">
        <f>_xlfn.CONCAT("""",VLOOKUP(B117,'Index Web'!A$4:O$236,13,FALSE),"""",",")</f>
        <v>"jerusalenreconstruida",</v>
      </c>
      <c r="E117" t="str">
        <f>_xlfn.CONCAT("""titulo""",": ","""",VLOOKUP(B117,'Index Web'!A$4:L$236,3,FALSE),"""",",")</f>
        <v>"titulo": "Jerusalén reconstruida",</v>
      </c>
      <c r="F117" t="str">
        <f>_xlfn.CONCAT("""salmo""",": ","""",VLOOKUP(B117,'Index Web'!A$4:L$236,4,FALSE),"""",",")</f>
        <v>"salmo": "Tobias 13,11-17",</v>
      </c>
      <c r="G117" t="str">
        <f>_xlfn.CONCAT("""letra""",": ","""",Table46[[#This Row],[Pg]],"|",VLOOKUP(B117,'Index Web'!A$4:O$236,15,FALSE)," ",VLOOKUP(B117,'Index Web'!A$4:O$236,13,FALSE),"""",",")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Web'!A$4:N$236,13,FALSE),"""","},"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966</v>
      </c>
      <c r="D118" t="str">
        <f>_xlfn.CONCAT("""",VLOOKUP(B118,'Index Web'!A$4:O$236,13,FALSE),"""",",")</f>
        <v>"jesusrecorriatodaslasciudades",</v>
      </c>
      <c r="E118" t="str">
        <f>_xlfn.CONCAT("""titulo""",": ","""",VLOOKUP(B118,'Index Web'!A$4:L$236,3,FALSE),"""",",")</f>
        <v>"titulo": "Jesús recorría todas las ciudades",</v>
      </c>
      <c r="F118" t="str">
        <f>_xlfn.CONCAT("""salmo""",": ","""",VLOOKUP(B118,'Index Web'!A$4:L$236,4,FALSE),"""",",")</f>
        <v>"salmo": "Mateo 9,35ss; 10 ",</v>
      </c>
      <c r="G118" t="str">
        <f>_xlfn.CONCAT("""letra""",": ","""",Table46[[#This Row],[Pg]],"|",VLOOKUP(B118,'Index Web'!A$4:O$236,15,FALSE)," ",VLOOKUP(B118,'Index Web'!A$4:O$236,13,FALSE),"""",",")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jesusrecorriatodaslasciudades",</v>
      </c>
      <c r="H118" t="str">
        <f>_xlfn.CONCAT("""archivo""",": ","""/resucito/src/index.html?canto=",VLOOKUP(B118,'Index Web'!A$4:N$236,13,FALSE),"""","}," )</f>
        <v>"archivo": "/resucito/src/index.html?canto=jesusrecorriatodaslasciudades"},</v>
      </c>
      <c r="I118" t="str">
        <f>_xlfn.CONCAT(Table46[[#This Row],[id]:[URL]])</f>
        <v>{"id":"jesusrecorriatodaslasciudades","titulo": "Jesús recorría todas las ciudades","salmo":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jesusrecorriatodaslasciudades","archivo": "/resucito/src/index.html?canto=jesusrecorriatodaslasciudades"},</v>
      </c>
    </row>
    <row r="119" spans="2:9" x14ac:dyDescent="0.25">
      <c r="B119" s="26">
        <v>96</v>
      </c>
      <c r="C119" t="s">
        <v>966</v>
      </c>
      <c r="D119" t="str">
        <f>_xlfn.CONCAT("""",VLOOKUP(B119,'Index Web'!A$4:O$236,13,FALSE),"""",",")</f>
        <v>"lacorderadedios",</v>
      </c>
      <c r="E119" t="str">
        <f>_xlfn.CONCAT("""titulo""",": ","""",VLOOKUP(B119,'Index Web'!A$4:L$236,3,FALSE),"""",",")</f>
        <v>"titulo": "La cordera de Dios",</v>
      </c>
      <c r="F119" t="str">
        <f>_xlfn.CONCAT("""salmo""",": ","""",VLOOKUP(B119,'Index Web'!A$4:L$236,4,FALSE),"""",",")</f>
        <v>"salmo": "Mateo 1,18s; 2,13s.18",</v>
      </c>
      <c r="G119" t="str">
        <f>_xlfn.CONCAT("""letra""",": ","""",Table46[[#This Row],[Pg]],"|",VLOOKUP(B119,'Index Web'!A$4:O$236,15,FALSE)," ",VLOOKUP(B119,'Index Web'!A$4:O$236,13,FALSE),"""",",")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Web'!A$4:N$236,13,FALSE),"""","},"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966</v>
      </c>
      <c r="D120" t="str">
        <f>_xlfn.CONCAT("""",VLOOKUP(B120,'Index Web'!A$4:O$236,13,FALSE),"""",",")</f>
        <v>"laespada",</v>
      </c>
      <c r="E120" t="str">
        <f>_xlfn.CONCAT("""titulo""",": ","""",VLOOKUP(B120,'Index Web'!A$4:L$236,3,FALSE),"""",",")</f>
        <v>"titulo": "La espada",</v>
      </c>
      <c r="F120" t="str">
        <f>_xlfn.CONCAT("""salmo""",": ","""",VLOOKUP(B120,'Index Web'!A$4:L$236,4,FALSE),"""",",")</f>
        <v>"salmo": "Ezequiel 21,14-22",</v>
      </c>
      <c r="G120" t="str">
        <f>_xlfn.CONCAT("""letra""",": ","""",Table46[[#This Row],[Pg]],"|",VLOOKUP(B120,'Index Web'!A$4:O$236,15,FALSE)," ",VLOOKUP(B120,'Index Web'!A$4:O$236,13,FALSE),"""",",")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Web'!A$4:N$236,13,FALSE),"""","},"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966</v>
      </c>
      <c r="D121" t="str">
        <f>_xlfn.CONCAT("""",VLOOKUP(B121,'Index Web'!A$4:O$236,13,FALSE),"""",",")</f>
        <v>"lamarchaesdura",</v>
      </c>
      <c r="E121" t="str">
        <f>_xlfn.CONCAT("""titulo""",": ","""",VLOOKUP(B121,'Index Web'!A$4:L$236,3,FALSE),"""",",")</f>
        <v>"titulo": "La marcha es dura",</v>
      </c>
      <c r="F121" t="str">
        <f>_xlfn.CONCAT("""salmo""",": ","""",VLOOKUP(B121,'Index Web'!A$4:L$236,4,FALSE),"""",",")</f>
        <v>"salmo": "Espiritual negro «Go down, Moses»",</v>
      </c>
      <c r="G121" t="str">
        <f>_xlfn.CONCAT("""letra""",": ","""",Table46[[#This Row],[Pg]],"|",VLOOKUP(B121,'Index Web'!A$4:O$236,15,FALSE)," ",VLOOKUP(B121,'Index Web'!A$4:O$236,13,FALSE),"""",",")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Web'!A$4:N$236,13,FALSE),"""","},"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966</v>
      </c>
      <c r="D122" t="str">
        <f>_xlfn.CONCAT("""",VLOOKUP(B122,'Index Web'!A$4:O$236,13,FALSE),"""",",")</f>
        <v>"lapalomavolo",</v>
      </c>
      <c r="E122" t="str">
        <f>_xlfn.CONCAT("""titulo""",": ","""",VLOOKUP(B122,'Index Web'!A$4:L$236,3,FALSE),"""",",")</f>
        <v>"titulo": "La paloma voló ",</v>
      </c>
      <c r="F122" t="str">
        <f>_xlfn.CONCAT("""salmo""",": ","""",VLOOKUP(B122,'Index Web'!A$4:L$236,4,FALSE),"""",",")</f>
        <v>"salmo": "Oda XXIV de Salomón",</v>
      </c>
      <c r="G122" t="str">
        <f>_xlfn.CONCAT("""letra""",": ","""",Table46[[#This Row],[Pg]],"|",VLOOKUP(B122,'Index Web'!A$4:O$236,15,FALSE)," ",VLOOKUP(B122,'Index Web'!A$4:O$236,13,FALSE),"""",",")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Web'!A$4:N$236,13,FALSE),"""","},"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966</v>
      </c>
      <c r="D123" t="str">
        <f>_xlfn.CONCAT("""",VLOOKUP(B123,'Index Web'!A$4:O$236,13,FALSE),"""",",")</f>
        <v>"lasalve",</v>
      </c>
      <c r="E123" t="str">
        <f>_xlfn.CONCAT("""titulo""",": ","""",VLOOKUP(B123,'Index Web'!A$4:L$236,3,FALSE),"""",",")</f>
        <v>"titulo": "La Salve",</v>
      </c>
      <c r="F123" t="str">
        <f>_xlfn.CONCAT("""salmo""",": ","""",VLOOKUP(B123,'Index Web'!A$4:L$236,4,FALSE),"""",",")</f>
        <v>"salmo": "Himno lat. «Salve Regina»",</v>
      </c>
      <c r="G123" t="str">
        <f>_xlfn.CONCAT("""letra""",": ","""",Table46[[#This Row],[Pg]],"|",VLOOKUP(B123,'Index Web'!A$4:O$236,15,FALSE)," ",VLOOKUP(B123,'Index Web'!A$4:O$236,13,FALSE),"""",",")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Web'!A$4:N$236,13,FALSE),"""","},"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966</v>
      </c>
      <c r="D124" t="str">
        <f>_xlfn.CONCAT("""",VLOOKUP(B124,'Index Web'!A$4:O$236,13,FALSE),"""",",")</f>
        <v>"lasiegadelasnaciones",</v>
      </c>
      <c r="E124" t="str">
        <f>_xlfn.CONCAT("""titulo""",": ","""",VLOOKUP(B124,'Index Web'!A$4:L$236,3,FALSE),"""",",")</f>
        <v>"titulo": "La siega de las naciones",</v>
      </c>
      <c r="F124" t="str">
        <f>_xlfn.CONCAT("""salmo""",": ","""",VLOOKUP(B124,'Index Web'!A$4:L$236,4,FALSE),"""",",")</f>
        <v>"salmo": "Juan 4,31-38",</v>
      </c>
      <c r="G124" t="str">
        <f>_xlfn.CONCAT("""letra""",": ","""",Table46[[#This Row],[Pg]],"|",VLOOKUP(B124,'Index Web'!A$4:O$236,15,FALSE)," ",VLOOKUP(B124,'Index Web'!A$4:O$236,13,FALSE),"""",",")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Web'!A$4:N$236,13,FALSE),"""","},"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966</v>
      </c>
      <c r="D125" t="str">
        <f>_xlfn.CONCAT("""",VLOOKUP(B125,'Index Web'!A$4:O$236,13,FALSE),"""",",")</f>
        <v>"lavozdemiamado",</v>
      </c>
      <c r="E125" t="str">
        <f>_xlfn.CONCAT("""titulo""",": ","""",VLOOKUP(B125,'Index Web'!A$4:L$236,3,FALSE),"""",",")</f>
        <v>"titulo": "La voz de mi amado",</v>
      </c>
      <c r="F125" t="str">
        <f>_xlfn.CONCAT("""salmo""",": ","""",VLOOKUP(B125,'Index Web'!A$4:L$236,4,FALSE),"""",",")</f>
        <v>"salmo": "Cantar de los Cantares 2,8-17",</v>
      </c>
      <c r="G125" t="str">
        <f>_xlfn.CONCAT("""letra""",": ","""",Table46[[#This Row],[Pg]],"|",VLOOKUP(B125,'Index Web'!A$4:O$236,15,FALSE)," ",VLOOKUP(B125,'Index Web'!A$4:O$236,13,FALSE),"""",",")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Web'!A$4:N$236,13,FALSE),"""","},"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966</v>
      </c>
      <c r="D126" t="str">
        <f>_xlfn.CONCAT("""",VLOOKUP(B126,'Index Web'!A$4:O$236,13,FALSE),"""",",")</f>
        <v>"lasarmasdelaluz",</v>
      </c>
      <c r="E126" t="str">
        <f>_xlfn.CONCAT("""titulo""",": ","""",VLOOKUP(B126,'Index Web'!A$4:L$236,3,FALSE),"""",",")</f>
        <v>"titulo": "Las armas de la luz",</v>
      </c>
      <c r="F126" t="str">
        <f>_xlfn.CONCAT("""salmo""",": ","""",VLOOKUP(B126,'Index Web'!A$4:L$236,4,FALSE),"""",",")</f>
        <v>"salmo": "cf Efesios 6,11.ss",</v>
      </c>
      <c r="G126" t="str">
        <f>_xlfn.CONCAT("""letra""",": ","""",Table46[[#This Row],[Pg]],"|",VLOOKUP(B126,'Index Web'!A$4:O$236,15,FALSE)," ",VLOOKUP(B126,'Index Web'!A$4:O$236,13,FALSE),"""",",")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Web'!A$4:N$236,13,FALSE),"""","},"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966</v>
      </c>
      <c r="D127" t="str">
        <f>_xlfn.CONCAT("""",VLOOKUP(B127,'Index Web'!A$4:O$236,13,FALSE),"""",",")</f>
        <v>"laudasion",</v>
      </c>
      <c r="E127" t="str">
        <f>_xlfn.CONCAT("""titulo""",": ","""",VLOOKUP(B127,'Index Web'!A$4:L$236,3,FALSE),"""",",")</f>
        <v>"titulo": "Lauda Sión",</v>
      </c>
      <c r="F127" t="str">
        <f>_xlfn.CONCAT("""salmo""",": ","""",VLOOKUP(B127,'Index Web'!A$4:L$236,4,FALSE),"""",",")</f>
        <v>"salmo": "Secuencia del Corpus Christi (Santo Tomas de Aquino) ",</v>
      </c>
      <c r="G127" t="str">
        <f>_xlfn.CONCAT("""letra""",": ","""",Table46[[#This Row],[Pg]],"|",VLOOKUP(B127,'Index Web'!A$4:O$236,15,FALSE)," ",VLOOKUP(B127,'Index Web'!A$4:O$236,13,FALSE),"""",",")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Web'!A$4:N$236,13,FALSE),"""","},"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966</v>
      </c>
      <c r="D128" t="str">
        <f>_xlfn.CONCAT("""",VLOOKUP(B128,'Index Web'!A$4:O$236,13,FALSE),"""",",")</f>
        <v>"letaniasdelossantos",</v>
      </c>
      <c r="E128" t="str">
        <f>_xlfn.CONCAT("""titulo""",": ","""",VLOOKUP(B128,'Index Web'!A$4:L$236,3,FALSE),"""",",")</f>
        <v>"titulo": "Letanías de los santos",</v>
      </c>
      <c r="F128" t="str">
        <f>_xlfn.CONCAT("""salmo""",": ","""",VLOOKUP(B128,'Index Web'!A$4:L$236,4,FALSE),"""",",")</f>
        <v>"salmo": "De la liturgia bautismal de la Vigilia Pascual",</v>
      </c>
      <c r="G128" t="str">
        <f>_xlfn.CONCAT("""letra""",": ","""",Table46[[#This Row],[Pg]],"|",VLOOKUP(B128,'Index Web'!A$4:O$236,15,FALSE)," ",VLOOKUP(B128,'Index Web'!A$4:O$236,13,FALSE),"""",",")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Web'!A$4:N$236,13,FALSE),"""","},"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966</v>
      </c>
      <c r="D129" t="str">
        <f>_xlfn.CONCAT("""",VLOOKUP(B129,'Index Web'!A$4:O$236,13,FALSE),"""",",")</f>
        <v>"letaniaspenitencialesi",</v>
      </c>
      <c r="E129" t="str">
        <f>_xlfn.CONCAT("""titulo""",": ","""",VLOOKUP(B129,'Index Web'!A$4:L$236,3,FALSE),"""",",")</f>
        <v>"titulo": "Letanías penitenciales i",</v>
      </c>
      <c r="F129" t="str">
        <f>_xlfn.CONCAT("""salmo""",": ","""",VLOOKUP(B129,'Index Web'!A$4:L$236,4,FALSE),"""",",")</f>
        <v>"salmo": "Letanía para la Celebración Penitencial – modelo abreviado",</v>
      </c>
      <c r="G129" t="str">
        <f>_xlfn.CONCAT("""letra""",": ","""",Table46[[#This Row],[Pg]],"|",VLOOKUP(B129,'Index Web'!A$4:O$236,15,FALSE)," ",VLOOKUP(B129,'Index Web'!A$4:O$236,13,FALSE),"""",",")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Web'!A$4:N$236,13,FALSE),"""","},"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966</v>
      </c>
      <c r="D130" t="str">
        <f>_xlfn.CONCAT("""",VLOOKUP(B130,'Index Web'!A$4:O$236,13,FALSE),"""",",")</f>
        <v>"letaniaspenitencialesii",</v>
      </c>
      <c r="E130" t="str">
        <f>_xlfn.CONCAT("""titulo""",": ","""",VLOOKUP(B130,'Index Web'!A$4:L$236,3,FALSE),"""",",")</f>
        <v>"titulo": "Letanías penitenciales ii",</v>
      </c>
      <c r="F130" t="str">
        <f>_xlfn.CONCAT("""salmo""",": ","""",VLOOKUP(B130,'Index Web'!A$4:L$236,4,FALSE),"""",",")</f>
        <v>"salmo": "Letanía para la Celebración Penitencial",</v>
      </c>
      <c r="G130" t="str">
        <f>_xlfn.CONCAT("""letra""",": ","""",Table46[[#This Row],[Pg]],"|",VLOOKUP(B130,'Index Web'!A$4:O$236,15,FALSE)," ",VLOOKUP(B130,'Index Web'!A$4:O$236,13,FALSE),"""",",")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Web'!A$4:N$236,13,FALSE),"""","},"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966</v>
      </c>
      <c r="D131" t="str">
        <f>_xlfn.CONCAT("""",VLOOKUP(B131,'Index Web'!A$4:O$236,13,FALSE),"""",",")</f>
        <v>"levantomisojosalosmontes",</v>
      </c>
      <c r="E131" t="str">
        <f>_xlfn.CONCAT("""titulo""",": ","""",VLOOKUP(B131,'Index Web'!A$4:L$236,3,FALSE),"""",",")</f>
        <v>"titulo": "Levanto mis ojos a los montes",</v>
      </c>
      <c r="F131" t="str">
        <f>_xlfn.CONCAT("""salmo""",": ","""",VLOOKUP(B131,'Index Web'!A$4:L$236,4,FALSE),"""",",")</f>
        <v>"salmo": "Salmo 121 (120)",</v>
      </c>
      <c r="G131" t="str">
        <f>_xlfn.CONCAT("""letra""",": ","""",Table46[[#This Row],[Pg]],"|",VLOOKUP(B131,'Index Web'!A$4:O$236,15,FALSE)," ",VLOOKUP(B131,'Index Web'!A$4:O$236,13,FALSE),"""",",")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Web'!A$4:N$236,13,FALSE),"""","},"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966</v>
      </c>
      <c r="D132" t="str">
        <f>_xlfn.CONCAT("""",VLOOKUP(B132,'Index Web'!A$4:O$236,13,FALSE),"""",",")</f>
        <v>"lleguehastatupresenciamiclamor",</v>
      </c>
      <c r="E132" t="str">
        <f>_xlfn.CONCAT("""titulo""",": ","""",VLOOKUP(B132,'Index Web'!A$4:L$236,3,FALSE),"""",",")</f>
        <v>"titulo": "Llegue hasta tu presencia mi clamor",</v>
      </c>
      <c r="F132" t="str">
        <f>_xlfn.CONCAT("""salmo""",": ","""",VLOOKUP(B132,'Index Web'!A$4:L$236,4,FALSE),"""",",")</f>
        <v>"salmo": "Salmo 119 (118)",</v>
      </c>
      <c r="G132" t="str">
        <f>_xlfn.CONCAT("""letra""",": ","""",Table46[[#This Row],[Pg]],"|",VLOOKUP(B132,'Index Web'!A$4:O$236,15,FALSE)," ",VLOOKUP(B132,'Index Web'!A$4:O$236,13,FALSE),"""",",")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Web'!A$4:N$236,13,FALSE),"""","},"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966</v>
      </c>
      <c r="D133" t="str">
        <f>_xlfn.CONCAT("""",VLOOKUP(B133,'Index Web'!A$4:O$236,13,FALSE),"""",",")</f>
        <v>"llevamealcielo",</v>
      </c>
      <c r="E133" t="str">
        <f>_xlfn.CONCAT("""titulo""",": ","""",VLOOKUP(B133,'Index Web'!A$4:L$236,3,FALSE),"""",",")</f>
        <v>"titulo": "Llévame al cielo",</v>
      </c>
      <c r="F133" t="str">
        <f>_xlfn.CONCAT("""salmo""",": ","""",VLOOKUP(B133,'Index Web'!A$4:L$236,4,FALSE),"""",",")</f>
        <v>"salmo": "Filipenses 1,23",</v>
      </c>
      <c r="G133" t="str">
        <f>_xlfn.CONCAT("""letra""",": ","""",Table46[[#This Row],[Pg]],"|",VLOOKUP(B133,'Index Web'!A$4:O$236,15,FALSE)," ",VLOOKUP(B133,'Index Web'!A$4:O$236,13,FALSE),"""",",")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Web'!A$4:N$236,13,FALSE),"""","},"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966</v>
      </c>
      <c r="D134" t="str">
        <f>_xlfn.CONCAT("""",VLOOKUP(B134,'Index Web'!A$4:O$236,13,FALSE),"""",",")</f>
        <v>"magnificat",</v>
      </c>
      <c r="E134" t="str">
        <f>_xlfn.CONCAT("""titulo""",": ","""",VLOOKUP(B134,'Index Web'!A$4:L$236,3,FALSE),"""",",")</f>
        <v>"titulo": "Magníficat",</v>
      </c>
      <c r="F134" t="str">
        <f>_xlfn.CONCAT("""salmo""",": ","""",VLOOKUP(B134,'Index Web'!A$4:L$236,4,FALSE),"""",",")</f>
        <v>"salmo": "Lucas 1,46-55",</v>
      </c>
      <c r="G134" t="str">
        <f>_xlfn.CONCAT("""letra""",": ","""",Table46[[#This Row],[Pg]],"|",VLOOKUP(B134,'Index Web'!A$4:O$236,15,FALSE)," ",VLOOKUP(B134,'Index Web'!A$4:O$236,13,FALSE),"""",",")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Web'!A$4:N$236,13,FALSE),"""","},"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966</v>
      </c>
      <c r="D135" t="str">
        <f>_xlfn.CONCAT("""",VLOOKUP(B135,'Index Web'!A$4:O$236,13,FALSE),"""",",")</f>
        <v>"mariadejasnagora",</v>
      </c>
      <c r="E135" t="str">
        <f>_xlfn.CONCAT("""titulo""",": ","""",VLOOKUP(B135,'Index Web'!A$4:L$236,3,FALSE),"""",",")</f>
        <v>"titulo": "María de Jasna Góra",</v>
      </c>
      <c r="F135" t="str">
        <f>_xlfn.CONCAT("""salmo""",": ","""",VLOOKUP(B135,'Index Web'!A$4:L$236,4,FALSE),"""",",")</f>
        <v>"salmo": "Himno a la Virgen de Jasna Göra, Częstochowa Polonia (Kiko Argüello) ",</v>
      </c>
      <c r="G135" t="str">
        <f>_xlfn.CONCAT("""letra""",": ","""",Table46[[#This Row],[Pg]],"|",VLOOKUP(B135,'Index Web'!A$4:O$236,15,FALSE)," ",VLOOKUP(B135,'Index Web'!A$4:O$236,13,FALSE),"""",",")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Web'!A$4:N$236,13,FALSE),"""","},"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966</v>
      </c>
      <c r="D136" t="str">
        <f>_xlfn.CONCAT("""",VLOOKUP(B136,'Index Web'!A$4:O$236,13,FALSE),"""",",")</f>
        <v>"mariacasadebendicion",</v>
      </c>
      <c r="E136" t="str">
        <f>_xlfn.CONCAT("""titulo""",": ","""",VLOOKUP(B136,'Index Web'!A$4:L$236,3,FALSE),"""",",")</f>
        <v>"titulo": "María, casa de bendición",</v>
      </c>
      <c r="F136" t="str">
        <f>_xlfn.CONCAT("""salmo""",": ","""",VLOOKUP(B136,'Index Web'!A$4:L$236,4,FALSE),"""",",")</f>
        <v>"salmo": "Juan 2,1–11 – Las Bodas de Caná",</v>
      </c>
      <c r="G136" t="str">
        <f>_xlfn.CONCAT("""letra""",": ","""",Table46[[#This Row],[Pg]],"|",VLOOKUP(B136,'Index Web'!A$4:O$236,15,FALSE)," ",VLOOKUP(B136,'Index Web'!A$4:O$236,13,FALSE),"""",",")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Web'!A$4:N$236,13,FALSE),"""","},"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966</v>
      </c>
      <c r="D137" t="str">
        <f>_xlfn.CONCAT("""",VLOOKUP(B137,'Index Web'!A$4:O$236,13,FALSE),"""",",")</f>
        <v>"mariamadredelaiglesia",</v>
      </c>
      <c r="E137" t="str">
        <f>_xlfn.CONCAT("""titulo""",": ","""",VLOOKUP(B137,'Index Web'!A$4:L$236,3,FALSE),"""",",")</f>
        <v>"titulo": "María, madre de la Iglesia",</v>
      </c>
      <c r="F137" t="str">
        <f>_xlfn.CONCAT("""salmo""",": ","""",VLOOKUP(B137,'Index Web'!A$4:L$236,4,FALSE),"""",",")</f>
        <v>"salmo": "Juan 19,26-34",</v>
      </c>
      <c r="G137" t="str">
        <f>_xlfn.CONCAT("""letra""",": ","""",Table46[[#This Row],[Pg]],"|",VLOOKUP(B137,'Index Web'!A$4:O$236,15,FALSE)," ",VLOOKUP(B137,'Index Web'!A$4:O$236,13,FALSE),"""",",")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Web'!A$4:N$236,13,FALSE),"""","},"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966</v>
      </c>
      <c r="D138" t="str">
        <f>_xlfn.CONCAT("""",VLOOKUP(B138,'Index Web'!A$4:O$236,13,FALSE),"""",",")</f>
        <v>"mariamadredelcaminoardiente",</v>
      </c>
      <c r="E138" t="str">
        <f>_xlfn.CONCAT("""titulo""",": ","""",VLOOKUP(B138,'Index Web'!A$4:L$236,3,FALSE),"""",",")</f>
        <v>"titulo": "María, madre del camino ardiente",</v>
      </c>
      <c r="F138" t="str">
        <f>_xlfn.CONCAT("""salmo""",": ","""",VLOOKUP(B138,'Index Web'!A$4:L$236,4,FALSE),"""",",")</f>
        <v>"salmo": "Himno a la Virgen del Tercer Milenio (Kiko Argüello)",</v>
      </c>
      <c r="G138" t="str">
        <f>_xlfn.CONCAT("""letra""",": ","""",Table46[[#This Row],[Pg]],"|",VLOOKUP(B138,'Index Web'!A$4:O$236,15,FALSE)," ",VLOOKUP(B138,'Index Web'!A$4:O$236,13,FALSE),"""",",")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Web'!A$4:N$236,13,FALSE),"""","},"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966</v>
      </c>
      <c r="D139" t="str">
        <f>_xlfn.CONCAT("""",VLOOKUP(B139,'Index Web'!A$4:O$236,13,FALSE),"""",",")</f>
        <v>"mariapequenamaria",</v>
      </c>
      <c r="E139" t="str">
        <f>_xlfn.CONCAT("""titulo""",": ","""",VLOOKUP(B139,'Index Web'!A$4:L$236,3,FALSE),"""",",")</f>
        <v>"titulo": "María, pequeña María",</v>
      </c>
      <c r="F139" t="str">
        <f>_xlfn.CONCAT("""salmo""",": ","""",VLOOKUP(B139,'Index Web'!A$4:L$236,4,FALSE),"""",",")</f>
        <v>"salmo": "Himno a la Virgen María (Kiko Argüello)",</v>
      </c>
      <c r="G139" t="str">
        <f>_xlfn.CONCAT("""letra""",": ","""",Table46[[#This Row],[Pg]],"|",VLOOKUP(B139,'Index Web'!A$4:O$236,15,FALSE)," ",VLOOKUP(B139,'Index Web'!A$4:O$236,13,FALSE),"""",",")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Web'!A$4:N$236,13,FALSE),"""","},"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966</v>
      </c>
      <c r="D140" t="str">
        <f>_xlfn.CONCAT("""",VLOOKUP(B140,'Index Web'!A$4:O$236,13,FALSE),"""",",")</f>
        <v>"meensenaraselcaminodelavida",</v>
      </c>
      <c r="E140" t="str">
        <f>_xlfn.CONCAT("""titulo""",": ","""",VLOOKUP(B140,'Index Web'!A$4:L$236,3,FALSE),"""",",")</f>
        <v>"titulo": "Me enseñarás el camino de la vida",</v>
      </c>
      <c r="F140" t="str">
        <f>_xlfn.CONCAT("""salmo""",": ","""",VLOOKUP(B140,'Index Web'!A$4:L$236,4,FALSE),"""",",")</f>
        <v>"salmo": "Salmo 16 (15)",</v>
      </c>
      <c r="G140" t="str">
        <f>_xlfn.CONCAT("""letra""",": ","""",Table46[[#This Row],[Pg]],"|",VLOOKUP(B140,'Index Web'!A$4:O$236,15,FALSE)," ",VLOOKUP(B140,'Index Web'!A$4:O$236,13,FALSE),"""",",")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Web'!A$4:N$236,13,FALSE),"""","},"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966</v>
      </c>
      <c r="D141" t="str">
        <f>_xlfn.CONCAT("""",VLOOKUP(B141,'Index Web'!A$4:O$236,13,FALSE),"""",",")</f>
        <v>"mehasseducidosenor",</v>
      </c>
      <c r="E141" t="str">
        <f>_xlfn.CONCAT("""titulo""",": ","""",VLOOKUP(B141,'Index Web'!A$4:L$236,3,FALSE),"""",",")</f>
        <v>"titulo": "Me has seducido, Señor ",</v>
      </c>
      <c r="F141" t="str">
        <f>_xlfn.CONCAT("""salmo""",": ","""",VLOOKUP(B141,'Index Web'!A$4:L$236,4,FALSE),"""",",")</f>
        <v>"salmo": "Jeremias 20,7-18",</v>
      </c>
      <c r="G141" t="str">
        <f>_xlfn.CONCAT("""letra""",": ","""",Table46[[#This Row],[Pg]],"|",VLOOKUP(B141,'Index Web'!A$4:O$236,15,FALSE)," ",VLOOKUP(B141,'Index Web'!A$4:O$236,13,FALSE),"""",",")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Web'!A$4:N$236,13,FALSE),"""","},"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966</v>
      </c>
      <c r="D142" t="str">
        <f>_xlfn.CONCAT("""",VLOOKUP(B142,'Index Web'!A$4:O$236,13,FALSE),"""",",")</f>
        <v>"merobasteelcorazon",</v>
      </c>
      <c r="E142" t="str">
        <f>_xlfn.CONCAT("""titulo""",": ","""",VLOOKUP(B142,'Index Web'!A$4:L$236,3,FALSE),"""",",")</f>
        <v>"titulo": "Me robaste el corazón ",</v>
      </c>
      <c r="F142" t="str">
        <f>_xlfn.CONCAT("""salmo""",": ","""",VLOOKUP(B142,'Index Web'!A$4:L$236,4,FALSE),"""",",")</f>
        <v>"salmo": "Cantar de los cantares 4,9 - 5,1",</v>
      </c>
      <c r="G142" t="str">
        <f>_xlfn.CONCAT("""letra""",": ","""",Table46[[#This Row],[Pg]],"|",VLOOKUP(B142,'Index Web'!A$4:O$236,15,FALSE)," ",VLOOKUP(B142,'Index Web'!A$4:O$236,13,FALSE),"""",",")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Web'!A$4:N$236,13,FALSE),"""","},"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966</v>
      </c>
      <c r="D143" t="str">
        <f>_xlfn.CONCAT("""",VLOOKUP(B143,'Index Web'!A$4:O$236,13,FALSE),"""",",")</f>
        <v>"miradqueestupendo",</v>
      </c>
      <c r="E143" t="str">
        <f>_xlfn.CONCAT("""titulo""",": ","""",VLOOKUP(B143,'Index Web'!A$4:L$236,3,FALSE),"""",",")</f>
        <v>"titulo": "Mirad qué estupendo",</v>
      </c>
      <c r="F143" t="str">
        <f>_xlfn.CONCAT("""salmo""",": ","""",VLOOKUP(B143,'Index Web'!A$4:L$236,4,FALSE),"""",",")</f>
        <v>"salmo": "Salmo 133 (132)",</v>
      </c>
      <c r="G143" t="str">
        <f>_xlfn.CONCAT("""letra""",": ","""",Table46[[#This Row],[Pg]],"|",VLOOKUP(B143,'Index Web'!A$4:O$236,15,FALSE)," ",VLOOKUP(B143,'Index Web'!A$4:O$236,13,FALSE),"""",",")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Web'!A$4:N$236,13,FALSE),"""","},"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966</v>
      </c>
      <c r="D144" t="str">
        <f>_xlfn.CONCAT("""",VLOOKUP(B144,'Index Web'!A$4:O$236,13,FALSE),"""",",")</f>
        <v>"misericordiamiamisericordia",</v>
      </c>
      <c r="E144" t="str">
        <f>_xlfn.CONCAT("""titulo""",": ","""",VLOOKUP(B144,'Index Web'!A$4:L$236,3,FALSE),"""",",")</f>
        <v>"titulo": "Misericordia mía, misericordia",</v>
      </c>
      <c r="F144" t="str">
        <f>_xlfn.CONCAT("""salmo""",": ","""",VLOOKUP(B144,'Index Web'!A$4:L$236,4,FALSE),"""",",")</f>
        <v>"salmo": "Salmo 51 (50)",</v>
      </c>
      <c r="G144" t="str">
        <f>_xlfn.CONCAT("""letra""",": ","""",Table46[[#This Row],[Pg]],"|",VLOOKUP(B144,'Index Web'!A$4:O$236,15,FALSE)," ",VLOOKUP(B144,'Index Web'!A$4:O$236,13,FALSE),"""",",")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Web'!A$4:N$236,13,FALSE),"""","},"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966</v>
      </c>
      <c r="D145" t="str">
        <f>_xlfn.CONCAT("""",VLOOKUP(B145,'Index Web'!A$4:O$236,13,FALSE),"""",",")</f>
        <v>"misericordiadiosmio",</v>
      </c>
      <c r="E145" t="str">
        <f>_xlfn.CONCAT("""titulo""",": ","""",VLOOKUP(B145,'Index Web'!A$4:L$236,3,FALSE),"""",",")</f>
        <v>"titulo": "Misericordia, Dios mío",</v>
      </c>
      <c r="F145" t="str">
        <f>_xlfn.CONCAT("""salmo""",": ","""",VLOOKUP(B145,'Index Web'!A$4:L$236,4,FALSE),"""",",")</f>
        <v>"salmo": "Salmo 51(50)",</v>
      </c>
      <c r="G145" t="str">
        <f>_xlfn.CONCAT("""letra""",": ","""",Table46[[#This Row],[Pg]],"|",VLOOKUP(B145,'Index Web'!A$4:O$236,15,FALSE)," ",VLOOKUP(B145,'Index Web'!A$4:O$236,13,FALSE),"""",",")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Web'!A$4:N$236,13,FALSE),"""","},"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966</v>
      </c>
      <c r="D146" t="str">
        <f>_xlfn.CONCAT("""",VLOOKUP(B146,'Index Web'!A$4:O$236,13,FALSE),"""",",")</f>
        <v>"muchomehanperseguido",</v>
      </c>
      <c r="E146" t="str">
        <f>_xlfn.CONCAT("""titulo""",": ","""",VLOOKUP(B146,'Index Web'!A$4:L$236,3,FALSE),"""",",")</f>
        <v>"titulo": "Mucho me han perseguido ",</v>
      </c>
      <c r="F146" t="str">
        <f>_xlfn.CONCAT("""salmo""",": ","""",VLOOKUP(B146,'Index Web'!A$4:L$236,4,FALSE),"""",",")</f>
        <v>"salmo": "Salmo 129 (128)",</v>
      </c>
      <c r="G146" t="str">
        <f>_xlfn.CONCAT("""letra""",": ","""",Table46[[#This Row],[Pg]],"|",VLOOKUP(B146,'Index Web'!A$4:O$236,15,FALSE)," ",VLOOKUP(B146,'Index Web'!A$4:O$236,13,FALSE),"""",",")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Web'!A$4:N$236,13,FALSE),"""","},"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966</v>
      </c>
      <c r="D147" t="str">
        <f>_xlfn.CONCAT("""",VLOOKUP(B147,'Index Web'!A$4:O$236,13,FALSE),"""",",")</f>
        <v>"ningunopuedeserviradossenores",</v>
      </c>
      <c r="E147" t="str">
        <f>_xlfn.CONCAT("""titulo""",": ","""",VLOOKUP(B147,'Index Web'!A$4:L$236,3,FALSE),"""",",")</f>
        <v>"titulo": "Ninguno puede servir a dos señores",</v>
      </c>
      <c r="F147" t="str">
        <f>_xlfn.CONCAT("""salmo""",": ","""",VLOOKUP(B147,'Index Web'!A$4:L$236,4,FALSE),"""",",")</f>
        <v>"salmo": "Mateo 6,24-33 ",</v>
      </c>
      <c r="G147" t="str">
        <f>_xlfn.CONCAT("""letra""",": ","""",Table46[[#This Row],[Pg]],"|",VLOOKUP(B147,'Index Web'!A$4:O$236,15,FALSE)," ",VLOOKUP(B147,'Index Web'!A$4:O$236,13,FALSE),"""",",")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Web'!A$4:N$236,13,FALSE),"""","},"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966</v>
      </c>
      <c r="D148" t="str">
        <f>_xlfn.CONCAT("""",VLOOKUP(B148,'Index Web'!A$4:O$236,13,FALSE),"""",",")</f>
        <v>"noestaaquiresucito",</v>
      </c>
      <c r="E148" t="str">
        <f>_xlfn.CONCAT("""titulo""",": ","""",VLOOKUP(B148,'Index Web'!A$4:L$236,3,FALSE),"""",",")</f>
        <v>"titulo": "No está aquí, resucitó",</v>
      </c>
      <c r="F148" t="str">
        <f>_xlfn.CONCAT("""salmo""",": ","""",VLOOKUP(B148,'Index Web'!A$4:L$236,4,FALSE),"""",",")</f>
        <v>"salmo": "Mateo 28,1-8",</v>
      </c>
      <c r="G148" t="str">
        <f>_xlfn.CONCAT("""letra""",": ","""",Table46[[#This Row],[Pg]],"|",VLOOKUP(B148,'Index Web'!A$4:O$236,15,FALSE)," ",VLOOKUP(B148,'Index Web'!A$4:O$236,13,FALSE),"""",",")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Web'!A$4:N$236,13,FALSE),"""","},"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966</v>
      </c>
      <c r="D149" t="str">
        <f>_xlfn.CONCAT("""",VLOOKUP(B149,'Index Web'!A$4:O$236,13,FALSE),"""",",")</f>
        <v>"nohayenelparecer",</v>
      </c>
      <c r="E149" t="str">
        <f>_xlfn.CONCAT("""titulo""",": ","""",VLOOKUP(B149,'Index Web'!A$4:L$236,3,FALSE),"""",",")</f>
        <v>"titulo": "No hay en él parecer",</v>
      </c>
      <c r="F149" t="str">
        <f>_xlfn.CONCAT("""salmo""",": ","""",VLOOKUP(B149,'Index Web'!A$4:L$236,4,FALSE),"""",",")</f>
        <v>"salmo": "Isaías 53,2ss - Cuarto canto del Siervo de Yahveh",</v>
      </c>
      <c r="G149" t="str">
        <f>_xlfn.CONCAT("""letra""",": ","""",Table46[[#This Row],[Pg]],"|",VLOOKUP(B149,'Index Web'!A$4:O$236,15,FALSE)," ",VLOOKUP(B149,'Index Web'!A$4:O$236,13,FALSE),"""",",")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Web'!A$4:N$236,13,FALSE),"""","},"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966</v>
      </c>
      <c r="D150" t="str">
        <f>_xlfn.CONCAT("""",VLOOKUP(B150,'Index Web'!A$4:O$236,13,FALSE),"""",",")</f>
        <v>"noresistaisalmal",</v>
      </c>
      <c r="E150" t="str">
        <f>_xlfn.CONCAT("""titulo""",": ","""",VLOOKUP(B150,'Index Web'!A$4:L$236,3,FALSE),"""",",")</f>
        <v>"titulo": "No resistáis al mal ",</v>
      </c>
      <c r="F150" t="str">
        <f>_xlfn.CONCAT("""salmo""",": ","""",VLOOKUP(B150,'Index Web'!A$4:L$236,4,FALSE),"""",",")</f>
        <v>"salmo": "Mateo 5,38ss",</v>
      </c>
      <c r="G150" t="str">
        <f>_xlfn.CONCAT("""letra""",": ","""",Table46[[#This Row],[Pg]],"|",VLOOKUP(B150,'Index Web'!A$4:O$236,15,FALSE)," ",VLOOKUP(B150,'Index Web'!A$4:O$236,13,FALSE),"""",",")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Web'!A$4:N$236,13,FALSE),"""","},"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966</v>
      </c>
      <c r="D151" t="str">
        <f>_xlfn.CONCAT("""",VLOOKUP(B151,'Index Web'!A$4:O$236,13,FALSE),"""",",")</f>
        <v>"nosufrasporlosmalvados",</v>
      </c>
      <c r="E151" t="str">
        <f>_xlfn.CONCAT("""titulo""",": ","""",VLOOKUP(B151,'Index Web'!A$4:L$236,3,FALSE),"""",",")</f>
        <v>"titulo": "No sufras por los malvados",</v>
      </c>
      <c r="F151" t="str">
        <f>_xlfn.CONCAT("""salmo""",": ","""",VLOOKUP(B151,'Index Web'!A$4:L$236,4,FALSE),"""",",")</f>
        <v>"salmo": "Salmo 37 (36)",</v>
      </c>
      <c r="G151" t="str">
        <f>_xlfn.CONCAT("""letra""",": ","""",Table46[[#This Row],[Pg]],"|",VLOOKUP(B151,'Index Web'!A$4:O$236,15,FALSE)," ",VLOOKUP(B151,'Index Web'!A$4:O$236,13,FALSE),"""",",")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Web'!A$4:N$236,13,FALSE),"""","},"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966</v>
      </c>
      <c r="D152" t="str">
        <f>_xlfn.CONCAT("""",VLOOKUP(B152,'Index Web'!A$4:O$236,13,FALSE),"""",",")</f>
        <v>"nolimetangere",</v>
      </c>
      <c r="E152" t="str">
        <f>_xlfn.CONCAT("""titulo""",": ","""",VLOOKUP(B152,'Index Web'!A$4:L$236,3,FALSE),"""",",")</f>
        <v>"titulo": "Noli me tangere",</v>
      </c>
      <c r="F152" t="str">
        <f>_xlfn.CONCAT("""salmo""",": ","""",VLOOKUP(B152,'Index Web'!A$4:L$236,4,FALSE),"""",",")</f>
        <v>"salmo": "Juan 20,15-17",</v>
      </c>
      <c r="G152" t="str">
        <f>_xlfn.CONCAT("""letra""",": ","""",Table46[[#This Row],[Pg]],"|",VLOOKUP(B152,'Index Web'!A$4:O$236,15,FALSE)," ",VLOOKUP(B152,'Index Web'!A$4:O$236,13,FALSE),"""",",")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Web'!A$4:N$236,13,FALSE),"""","},"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966</v>
      </c>
      <c r="D153" t="str">
        <f>_xlfn.CONCAT("""",VLOOKUP(B153,'Index Web'!A$4:O$236,13,FALSE),"""",",")</f>
        <v>"ohcieloslloveddeloalto",</v>
      </c>
      <c r="E153" t="str">
        <f>_xlfn.CONCAT("""titulo""",": ","""",VLOOKUP(B153,'Index Web'!A$4:L$236,3,FALSE),"""",",")</f>
        <v>"titulo": "Oh cielos, lloved de lo alto",</v>
      </c>
      <c r="F153" t="str">
        <f>_xlfn.CONCAT("""salmo""",": ","""",VLOOKUP(B153,'Index Web'!A$4:L$236,4,FALSE),"""",",")</f>
        <v>"salmo": "Isaías 45,8",</v>
      </c>
      <c r="G153" t="str">
        <f>_xlfn.CONCAT("""letra""",": ","""",Table46[[#This Row],[Pg]],"|",VLOOKUP(B153,'Index Web'!A$4:O$236,15,FALSE)," ",VLOOKUP(B153,'Index Web'!A$4:O$236,13,FALSE),"""",",")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Web'!A$4:N$236,13,FALSE),"""","},"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966</v>
      </c>
      <c r="D154" t="str">
        <f>_xlfn.CONCAT("""",VLOOKUP(B154,'Index Web'!A$4:O$236,13,FALSE),"""",",")</f>
        <v>"ohdiosportunombre",</v>
      </c>
      <c r="E154" t="str">
        <f>_xlfn.CONCAT("""titulo""",": ","""",VLOOKUP(B154,'Index Web'!A$4:L$236,3,FALSE),"""",",")</f>
        <v>"titulo": "Oh Dios, por tu nombre ",</v>
      </c>
      <c r="F154" t="str">
        <f>_xlfn.CONCAT("""salmo""",": ","""",VLOOKUP(B154,'Index Web'!A$4:L$236,4,FALSE),"""",",")</f>
        <v>"salmo": "Salmo 54 (53)",</v>
      </c>
      <c r="G154" t="str">
        <f>_xlfn.CONCAT("""letra""",": ","""",Table46[[#This Row],[Pg]],"|",VLOOKUP(B154,'Index Web'!A$4:O$236,15,FALSE)," ",VLOOKUP(B154,'Index Web'!A$4:O$236,13,FALSE),"""",",")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Web'!A$4:N$236,13,FALSE),"""","},"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966</v>
      </c>
      <c r="D155" t="str">
        <f>_xlfn.CONCAT("""",VLOOKUP(B155,'Index Web'!A$4:O$236,13,FALSE),"""",",")</f>
        <v>"ohdiostueresmidios",</v>
      </c>
      <c r="E155" t="str">
        <f>_xlfn.CONCAT("""titulo""",": ","""",VLOOKUP(B155,'Index Web'!A$4:L$236,3,FALSE),"""",",")</f>
        <v>"titulo": "Oh Dios, tú eres mi Dios ",</v>
      </c>
      <c r="F155" t="str">
        <f>_xlfn.CONCAT("""salmo""",": ","""",VLOOKUP(B155,'Index Web'!A$4:L$236,4,FALSE),"""",",")</f>
        <v>"salmo": "Salmo 63 (62)",</v>
      </c>
      <c r="G155" t="str">
        <f>_xlfn.CONCAT("""letra""",": ","""",Table46[[#This Row],[Pg]],"|",VLOOKUP(B155,'Index Web'!A$4:O$236,15,FALSE)," ",VLOOKUP(B155,'Index Web'!A$4:O$236,13,FALSE),"""",",")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Web'!A$4:N$236,13,FALSE),"""","},"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966</v>
      </c>
      <c r="D156" t="str">
        <f>_xlfn.CONCAT("""",VLOOKUP(B156,'Index Web'!A$4:O$236,13,FALSE),"""",",")</f>
        <v>"ohjesusamormio",</v>
      </c>
      <c r="E156" t="str">
        <f>_xlfn.CONCAT("""titulo""",": ","""",VLOOKUP(B156,'Index Web'!A$4:L$236,3,FALSE),"""",",")</f>
        <v>"titulo": "Oh Jesús, amor mío",</v>
      </c>
      <c r="F156" t="str">
        <f>_xlfn.CONCAT("""salmo""",": ","""",VLOOKUP(B156,'Index Web'!A$4:L$236,4,FALSE),"""",",")</f>
        <v>"salmo": "(Kiko Argüello)",</v>
      </c>
      <c r="G156" t="str">
        <f>_xlfn.CONCAT("""letra""",": ","""",Table46[[#This Row],[Pg]],"|",VLOOKUP(B156,'Index Web'!A$4:O$236,15,FALSE)," ",VLOOKUP(B156,'Index Web'!A$4:O$236,13,FALSE),"""",",")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Web'!A$4:N$236,13,FALSE),"""","},"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966</v>
      </c>
      <c r="D157" t="str">
        <f>_xlfn.CONCAT("""",VLOOKUP(B157,'Index Web'!A$4:O$236,13,FALSE),"""",",")</f>
        <v>"ohmuertedondeestatuvictoria",</v>
      </c>
      <c r="E157" t="str">
        <f>_xlfn.CONCAT("""titulo""",": ","""",VLOOKUP(B157,'Index Web'!A$4:L$236,3,FALSE),"""",",")</f>
        <v>"titulo": "Oh muerte ¿dónde está tu victoria?",</v>
      </c>
      <c r="F157" t="str">
        <f>_xlfn.CONCAT("""salmo""",": ","""",VLOOKUP(B157,'Index Web'!A$4:L$236,4,FALSE),"""",",")</f>
        <v>"salmo": "1 Corintios 15",</v>
      </c>
      <c r="G157" t="str">
        <f>_xlfn.CONCAT("""letra""",": ","""",Table46[[#This Row],[Pg]],"|",VLOOKUP(B157,'Index Web'!A$4:O$236,15,FALSE)," ",VLOOKUP(B157,'Index Web'!A$4:O$236,13,FALSE),"""",",")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Web'!A$4:N$236,13,FALSE),"""","},"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966</v>
      </c>
      <c r="D158" t="str">
        <f>_xlfn.CONCAT("""",VLOOKUP(B158,'Index Web'!A$4:O$236,13,FALSE),"""",",")</f>
        <v>"ohsenormicorazonyanoesambicioso",</v>
      </c>
      <c r="E158" t="str">
        <f>_xlfn.CONCAT("""titulo""",": ","""",VLOOKUP(B158,'Index Web'!A$4:L$236,3,FALSE),"""",",")</f>
        <v>"titulo": "Oh Señor, mi corazón ya no es ambicioso",</v>
      </c>
      <c r="F158" t="str">
        <f>_xlfn.CONCAT("""salmo""",": ","""",VLOOKUP(B158,'Index Web'!A$4:L$236,4,FALSE),"""",",")</f>
        <v>"salmo": "Salmo 131 (130)",</v>
      </c>
      <c r="G158" t="str">
        <f>_xlfn.CONCAT("""letra""",": ","""",Table46[[#This Row],[Pg]],"|",VLOOKUP(B158,'Index Web'!A$4:O$236,15,FALSE)," ",VLOOKUP(B158,'Index Web'!A$4:O$236,13,FALSE),"""",",")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Web'!A$4:N$236,13,FALSE),"""","},"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966</v>
      </c>
      <c r="D159" t="str">
        <f>_xlfn.CONCAT("""",VLOOKUP(B159,'Index Web'!A$4:O$236,13,FALSE),"""",",")</f>
        <v>"ohsenornuestrodios",</v>
      </c>
      <c r="E159" t="str">
        <f>_xlfn.CONCAT("""titulo""",": ","""",VLOOKUP(B159,'Index Web'!A$4:L$236,3,FALSE),"""",",")</f>
        <v>"titulo": "Oh Señor, nuestro Dios",</v>
      </c>
      <c r="F159" t="str">
        <f>_xlfn.CONCAT("""salmo""",": ","""",VLOOKUP(B159,'Index Web'!A$4:L$236,4,FALSE),"""",",")</f>
        <v>"salmo": "Salmo 8",</v>
      </c>
      <c r="G159" t="str">
        <f>_xlfn.CONCAT("""letra""",": ","""",Table46[[#This Row],[Pg]],"|",VLOOKUP(B159,'Index Web'!A$4:O$236,15,FALSE)," ",VLOOKUP(B159,'Index Web'!A$4:O$236,13,FALSE),"""",",")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Web'!A$4:N$236,13,FALSE),"""","},"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966</v>
      </c>
      <c r="D160" t="str">
        <f>_xlfn.CONCAT("""",VLOOKUP(B160,'Index Web'!A$4:O$236,13,FALSE),"""",",")</f>
        <v>"ostomaredeentrelasnaciones",</v>
      </c>
      <c r="E160" t="str">
        <f>_xlfn.CONCAT("""titulo""",": ","""",VLOOKUP(B160,'Index Web'!A$4:L$236,3,FALSE),"""",",")</f>
        <v>"titulo": "Os tomaré de entre las naciones",</v>
      </c>
      <c r="F160" t="str">
        <f>_xlfn.CONCAT("""salmo""",": ","""",VLOOKUP(B160,'Index Web'!A$4:L$236,4,FALSE),"""",",")</f>
        <v>"salmo": "Ezequiel 36,24-28",</v>
      </c>
      <c r="G160" t="str">
        <f>_xlfn.CONCAT("""letra""",": ","""",Table46[[#This Row],[Pg]],"|",VLOOKUP(B160,'Index Web'!A$4:O$236,15,FALSE)," ",VLOOKUP(B160,'Index Web'!A$4:O$236,13,FALSE),"""",",")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Web'!A$4:N$236,13,FALSE),"""","},"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966</v>
      </c>
      <c r="D161" t="str">
        <f>_xlfn.CONCAT("""",VLOOKUP(B161,'Index Web'!A$4:O$236,13,FALSE),"""",",")</f>
        <v>"padrenuestro",</v>
      </c>
      <c r="E161" t="str">
        <f>_xlfn.CONCAT("""titulo""",": ","""",VLOOKUP(B161,'Index Web'!A$4:L$236,3,FALSE),"""",",")</f>
        <v>"titulo": "Padre nuestro",</v>
      </c>
      <c r="F161" t="str">
        <f>_xlfn.CONCAT("""salmo""",": ","""",VLOOKUP(B161,'Index Web'!A$4:L$236,4,FALSE),"""",",")</f>
        <v>"salmo": "Tiempo de la Elección",</v>
      </c>
      <c r="G161" t="str">
        <f>_xlfn.CONCAT("""letra""",": ","""",Table46[[#This Row],[Pg]],"|",VLOOKUP(B161,'Index Web'!A$4:O$236,15,FALSE)," ",VLOOKUP(B161,'Index Web'!A$4:O$236,13,FALSE),"""",",")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Web'!A$4:N$236,13,FALSE),"""","},"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966</v>
      </c>
      <c r="D162" t="str">
        <f>_xlfn.CONCAT("""",VLOOKUP(B162,'Index Web'!A$4:O$236,13,FALSE),"""",",")</f>
        <v>"palomaincorrupta",</v>
      </c>
      <c r="E162" t="str">
        <f>_xlfn.CONCAT("""titulo""",": ","""",VLOOKUP(B162,'Index Web'!A$4:L$236,3,FALSE),"""",",")</f>
        <v>"titulo": "Paloma incorrupta",</v>
      </c>
      <c r="F162" t="str">
        <f>_xlfn.CONCAT("""salmo""",": ","""",VLOOKUP(B162,'Index Web'!A$4:L$236,4,FALSE),"""",",")</f>
        <v>"salmo": "Kontákion (Romano el Meloda)",</v>
      </c>
      <c r="G162" t="str">
        <f>_xlfn.CONCAT("""letra""",": ","""",Table46[[#This Row],[Pg]],"|",VLOOKUP(B162,'Index Web'!A$4:O$236,15,FALSE)," ",VLOOKUP(B162,'Index Web'!A$4:O$236,13,FALSE),"""",",")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Web'!A$4:N$236,13,FALSE),"""","},"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966</v>
      </c>
      <c r="D163" t="str">
        <f>_xlfn.CONCAT("""",VLOOKUP(B163,'Index Web'!A$4:O$236,13,FALSE),"""",",")</f>
        <v>"pentecostes",</v>
      </c>
      <c r="E163" t="str">
        <f>_xlfn.CONCAT("""titulo""",": ","""",VLOOKUP(B163,'Index Web'!A$4:L$236,3,FALSE),"""",",")</f>
        <v>"titulo": "Pentecostés",</v>
      </c>
      <c r="F163" t="str">
        <f>_xlfn.CONCAT("""salmo""",": ","""",VLOOKUP(B163,'Index Web'!A$4:L$236,4,FALSE),"""",",")</f>
        <v>"salmo": "Hchos de los Apostoles 2,1-13 ",</v>
      </c>
      <c r="G163" t="str">
        <f>_xlfn.CONCAT("""letra""",": ","""",Table46[[#This Row],[Pg]],"|",VLOOKUP(B163,'Index Web'!A$4:O$236,15,FALSE)," ",VLOOKUP(B163,'Index Web'!A$4:O$236,13,FALSE),"""",",")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Web'!A$4:N$236,13,FALSE),"""","},"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966</v>
      </c>
      <c r="D164" t="str">
        <f>_xlfn.CONCAT("""",VLOOKUP(B164,'Index Web'!A$4:O$236,13,FALSE),"""",",")</f>
        <v>"plegariaeucaristicaiimodeloi",</v>
      </c>
      <c r="E164" t="str">
        <f>_xlfn.CONCAT("""titulo""",": ","""",VLOOKUP(B164,'Index Web'!A$4:L$236,3,FALSE),"""",",")</f>
        <v>"titulo": "Plegaria eucarística ii Modelo I",</v>
      </c>
      <c r="F164" t="str">
        <f>_xlfn.CONCAT("""salmo""",": ","""",VLOOKUP(B164,'Index Web'!A$4:L$236,4,FALSE),"""",",")</f>
        <v>"salmo": "Modelo I",</v>
      </c>
      <c r="G164" t="str">
        <f>_xlfn.CONCAT("""letra""",": ","""",Table46[[#This Row],[Pg]],"|",VLOOKUP(B164,'Index Web'!A$4:O$236,15,FALSE)," ",VLOOKUP(B164,'Index Web'!A$4:O$236,13,FALSE),"""",",")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Web'!A$4:N$236,13,FALSE),"""","},"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966</v>
      </c>
      <c r="D165" t="str">
        <f>_xlfn.CONCAT("""",VLOOKUP(B165,'Index Web'!A$4:O$236,13,FALSE),"""",",")</f>
        <v>"plegariaeucaristicaiimodeloii",</v>
      </c>
      <c r="E165" t="str">
        <f>_xlfn.CONCAT("""titulo""",": ","""",VLOOKUP(B165,'Index Web'!A$4:L$236,3,FALSE),"""",",")</f>
        <v>"titulo": "Plegaria eucarística ii Modelo II",</v>
      </c>
      <c r="F165" t="str">
        <f>_xlfn.CONCAT("""salmo""",": ","""",VLOOKUP(B165,'Index Web'!A$4:L$236,4,FALSE),"""",",")</f>
        <v>"salmo": "Modelo II (1987)",</v>
      </c>
      <c r="G165" t="str">
        <f>_xlfn.CONCAT("""letra""",": ","""",Table46[[#This Row],[Pg]],"|",VLOOKUP(B165,'Index Web'!A$4:O$236,15,FALSE)," ",VLOOKUP(B165,'Index Web'!A$4:O$236,13,FALSE),"""",",")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Web'!A$4:N$236,13,FALSE),"""","},"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966</v>
      </c>
      <c r="D166" t="str">
        <f>_xlfn.CONCAT("""",VLOOKUP(B166,'Index Web'!A$4:O$236,13,FALSE),"""",",")</f>
        <v>"plegariaeucaristicaiv",</v>
      </c>
      <c r="E166" t="str">
        <f>_xlfn.CONCAT("""titulo""",": ","""",VLOOKUP(B166,'Index Web'!A$4:L$236,3,FALSE),"""",",")</f>
        <v>"titulo": "Plegaria eucarística iv ",</v>
      </c>
      <c r="F166" t="str">
        <f>_xlfn.CONCAT("""salmo""",": ","""",VLOOKUP(B166,'Index Web'!A$4:L$236,4,FALSE),"""",",")</f>
        <v>"salmo": "(1988)",</v>
      </c>
      <c r="G166" t="str">
        <f>_xlfn.CONCAT("""letra""",": ","""",Table46[[#This Row],[Pg]],"|",VLOOKUP(B166,'Index Web'!A$4:O$236,15,FALSE)," ",VLOOKUP(B166,'Index Web'!A$4:O$236,13,FALSE),"""",",")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Web'!A$4:N$236,13,FALSE),"""","},"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966</v>
      </c>
      <c r="D167" t="str">
        <f>_xlfn.CONCAT("""",VLOOKUP(B167,'Index Web'!A$4:O$236,13,FALSE),"""",",")</f>
        <v>"porelamordemisamigos",</v>
      </c>
      <c r="E167" t="str">
        <f>_xlfn.CONCAT("""titulo""",": ","""",VLOOKUP(B167,'Index Web'!A$4:L$236,3,FALSE),"""",",")</f>
        <v>"titulo": "Por el amor de mis amigos",</v>
      </c>
      <c r="F167" t="str">
        <f>_xlfn.CONCAT("""salmo""",": ","""",VLOOKUP(B167,'Index Web'!A$4:L$236,4,FALSE),"""",",")</f>
        <v>"salmo": "Salmo 122 (121) - Melodía hebraica ",</v>
      </c>
      <c r="G167" t="str">
        <f>_xlfn.CONCAT("""letra""",": ","""",Table46[[#This Row],[Pg]],"|",VLOOKUP(B167,'Index Web'!A$4:O$236,15,FALSE)," ",VLOOKUP(B167,'Index Web'!A$4:O$236,13,FALSE),"""",",")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Web'!A$4:N$236,13,FALSE),"""","},"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966</v>
      </c>
      <c r="D168" t="str">
        <f>_xlfn.CONCAT("""",VLOOKUP(B168,'Index Web'!A$4:O$236,13,FALSE),"""",",")</f>
        <v>"porqueestanocheesdiferente",</v>
      </c>
      <c r="E168" t="str">
        <f>_xlfn.CONCAT("""titulo""",": ","""",VLOOKUP(B168,'Index Web'!A$4:L$236,3,FALSE),"""",",")</f>
        <v>"titulo": "Por qué esta noche es diferente",</v>
      </c>
      <c r="F168" t="str">
        <f>_xlfn.CONCAT("""salmo""",": ","""",VLOOKUP(B168,'Index Web'!A$4:L$236,4,FALSE),"""",",")</f>
        <v>"salmo": "Haggadá de Pesaj - Melodía hebraica",</v>
      </c>
      <c r="G168" t="str">
        <f>_xlfn.CONCAT("""letra""",": ","""",Table46[[#This Row],[Pg]],"|",VLOOKUP(B168,'Index Web'!A$4:O$236,15,FALSE)," ",VLOOKUP(B168,'Index Web'!A$4:O$236,13,FALSE),"""",",")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Web'!A$4:N$236,13,FALSE),"""","},"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966</v>
      </c>
      <c r="D169" t="str">
        <f>_xlfn.CONCAT("""",VLOOKUP(B169,'Index Web'!A$4:O$236,13,FALSE),"""",",")</f>
        <v>"porquelasgentesconjuran",</v>
      </c>
      <c r="E169" t="str">
        <f>_xlfn.CONCAT("""titulo""",": ","""",VLOOKUP(B169,'Index Web'!A$4:L$236,3,FALSE),"""",",")</f>
        <v>"titulo": "Por qué las gentes conjuran",</v>
      </c>
      <c r="F169" t="str">
        <f>_xlfn.CONCAT("""salmo""",": ","""",VLOOKUP(B169,'Index Web'!A$4:L$236,4,FALSE),"""",",")</f>
        <v>"salmo": "Salmo 2",</v>
      </c>
      <c r="G169" t="str">
        <f>_xlfn.CONCAT("""letra""",": ","""",Table46[[#This Row],[Pg]],"|",VLOOKUP(B169,'Index Web'!A$4:O$236,15,FALSE)," ",VLOOKUP(B169,'Index Web'!A$4:O$236,13,FALSE),"""",",")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Web'!A$4:N$236,13,FALSE),"""","},"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966</v>
      </c>
      <c r="D170" t="str">
        <f>_xlfn.CONCAT("""",VLOOKUP(B170,'Index Web'!A$4:O$236,13,FALSE),"""",",")</f>
        <v>"porquemiyugoessuave",</v>
      </c>
      <c r="E170" t="str">
        <f>_xlfn.CONCAT("""titulo""",": ","""",VLOOKUP(B170,'Index Web'!A$4:L$236,3,FALSE),"""",",")</f>
        <v>"titulo": "Porque mi yugo es suave",</v>
      </c>
      <c r="F170" t="str">
        <f>_xlfn.CONCAT("""salmo""",": ","""",VLOOKUP(B170,'Index Web'!A$4:L$236,4,FALSE),"""",",")</f>
        <v>"salmo": "Mateo 11,28ss",</v>
      </c>
      <c r="G170" t="str">
        <f>_xlfn.CONCAT("""letra""",": ","""",Table46[[#This Row],[Pg]],"|",VLOOKUP(B170,'Index Web'!A$4:O$236,15,FALSE)," ",VLOOKUP(B170,'Index Web'!A$4:O$236,13,FALSE),"""",",")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Web'!A$4:N$236,13,FALSE),"""","},"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966</v>
      </c>
      <c r="D171" t="str">
        <f>_xlfn.CONCAT("""",VLOOKUP(B171,'Index Web'!A$4:O$236,13,FALSE),"""",",")</f>
        <v>"prefacioparaadvientoynavidad",</v>
      </c>
      <c r="E171" t="str">
        <f>_xlfn.CONCAT("""titulo""",": ","""",VLOOKUP(B171,'Index Web'!A$4:L$236,3,FALSE),"""",",")</f>
        <v>"titulo": "Prefacio para Adviento y Navidad",</v>
      </c>
      <c r="F171" t="str">
        <f>_xlfn.CONCAT("""salmo""",": ","""",VLOOKUP(B171,'Index Web'!A$4:L$236,4,FALSE),"""",",")</f>
        <v>"salmo": "Prefacio IV de Adviento*",</v>
      </c>
      <c r="G171" t="str">
        <f>_xlfn.CONCAT("""letra""",": ","""",Table46[[#This Row],[Pg]],"|",VLOOKUP(B171,'Index Web'!A$4:O$236,15,FALSE)," ",VLOOKUP(B171,'Index Web'!A$4:O$236,13,FALSE),"""",",")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Web'!A$4:N$236,13,FALSE),"""","},"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966</v>
      </c>
      <c r="D172" t="str">
        <f>_xlfn.CONCAT("""",VLOOKUP(B172,'Index Web'!A$4:O$236,13,FALSE),"""",",")</f>
        <v>"prefacioparaeltiempopascual",</v>
      </c>
      <c r="E172" t="str">
        <f>_xlfn.CONCAT("""titulo""",": ","""",VLOOKUP(B172,'Index Web'!A$4:L$236,3,FALSE),"""",",")</f>
        <v>"titulo": "Prefacio para el tiempo Pascual",</v>
      </c>
      <c r="F172" t="str">
        <f>_xlfn.CONCAT("""salmo""",": ","""",VLOOKUP(B172,'Index Web'!A$4:L$236,4,FALSE),"""",",")</f>
        <v>"salmo": "Prefacio I de Pascua*",</v>
      </c>
      <c r="G172" t="str">
        <f>_xlfn.CONCAT("""letra""",": ","""",Table46[[#This Row],[Pg]],"|",VLOOKUP(B172,'Index Web'!A$4:O$236,15,FALSE)," ",VLOOKUP(B172,'Index Web'!A$4:O$236,13,FALSE),"""",",")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Web'!A$4:N$236,13,FALSE),"""","},"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966</v>
      </c>
      <c r="D173" t="str">
        <f>_xlfn.CONCAT("""",VLOOKUP(B173,'Index Web'!A$4:O$236,13,FALSE),"""",",")</f>
        <v>"pregonpascual",</v>
      </c>
      <c r="E173" t="str">
        <f>_xlfn.CONCAT("""titulo""",": ","""",VLOOKUP(B173,'Index Web'!A$4:L$236,3,FALSE),"""",",")</f>
        <v>"titulo": "Pregón Pascual",</v>
      </c>
      <c r="F173" t="str">
        <f>_xlfn.CONCAT("""salmo""",": ","""",VLOOKUP(B173,'Index Web'!A$4:L$236,4,FALSE),"""",",")</f>
        <v>"salmo": "«Exsultet»",</v>
      </c>
      <c r="G173" t="str">
        <f>_xlfn.CONCAT("""letra""",": ","""",Table46[[#This Row],[Pg]],"|",VLOOKUP(B173,'Index Web'!A$4:O$236,15,FALSE)," ",VLOOKUP(B173,'Index Web'!A$4:O$236,13,FALSE),"""",",")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Web'!A$4:N$236,13,FALSE),"""","},"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966</v>
      </c>
      <c r="D174" t="str">
        <f>_xlfn.CONCAT("""",VLOOKUP(B174,'Index Web'!A$4:O$236,13,FALSE),"""",",")</f>
        <v>"queamablessontusmoradas",</v>
      </c>
      <c r="E174" t="str">
        <f>_xlfn.CONCAT("""titulo""",": ","""",VLOOKUP(B174,'Index Web'!A$4:L$236,3,FALSE),"""",",")</f>
        <v>"titulo": "Qué amables son tus moradas",</v>
      </c>
      <c r="F174" t="str">
        <f>_xlfn.CONCAT("""salmo""",": ","""",VLOOKUP(B174,'Index Web'!A$4:L$236,4,FALSE),"""",",")</f>
        <v>"salmo": "Salmo 84 (83)",</v>
      </c>
      <c r="G174" t="str">
        <f>_xlfn.CONCAT("""letra""",": ","""",Table46[[#This Row],[Pg]],"|",VLOOKUP(B174,'Index Web'!A$4:O$236,15,FALSE)," ",VLOOKUP(B174,'Index Web'!A$4:O$236,13,FALSE),"""",",")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Web'!A$4:N$236,13,FALSE),"""","},"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966</v>
      </c>
      <c r="D175" t="str">
        <f>_xlfn.CONCAT("""",VLOOKUP(B175,'Index Web'!A$4:O$236,13,FALSE),"""",",")</f>
        <v>"queestupendoquealegria",</v>
      </c>
      <c r="E175" t="str">
        <f>_xlfn.CONCAT("""titulo""",": ","""",VLOOKUP(B175,'Index Web'!A$4:L$236,3,FALSE),"""",",")</f>
        <v>"titulo": "Qué estupendo, qué alegría ",</v>
      </c>
      <c r="F175" t="str">
        <f>_xlfn.CONCAT("""salmo""",": ","""",VLOOKUP(B175,'Index Web'!A$4:L$236,4,FALSE),"""",",")</f>
        <v>"salmo": "Salmo 133 (132)",</v>
      </c>
      <c r="G175" t="str">
        <f>_xlfn.CONCAT("""letra""",": ","""",Table46[[#This Row],[Pg]],"|",VLOOKUP(B175,'Index Web'!A$4:O$236,15,FALSE)," ",VLOOKUP(B175,'Index Web'!A$4:O$236,13,FALSE),"""",",")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Web'!A$4:N$236,13,FALSE),"""","},"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966</v>
      </c>
      <c r="D176" t="str">
        <f>_xlfn.CONCAT("""",VLOOKUP(B176,'Index Web'!A$4:O$236,13,FALSE),"""",",")</f>
        <v>"quienesestaquesubedeldesierto",</v>
      </c>
      <c r="E176" t="str">
        <f>_xlfn.CONCAT("""titulo""",": ","""",VLOOKUP(B176,'Index Web'!A$4:L$236,3,FALSE),"""",",")</f>
        <v>"titulo": "Quién es esta que sube del desierto",</v>
      </c>
      <c r="F176" t="str">
        <f>_xlfn.CONCAT("""salmo""",": ","""",VLOOKUP(B176,'Index Web'!A$4:L$236,4,FALSE),"""",",")</f>
        <v>"salmo": "Cantar de los Cantares 8,5-7",</v>
      </c>
      <c r="G176" t="str">
        <f>_xlfn.CONCAT("""letra""",": ","""",Table46[[#This Row],[Pg]],"|",VLOOKUP(B176,'Index Web'!A$4:O$236,15,FALSE)," ",VLOOKUP(B176,'Index Web'!A$4:O$236,13,FALSE),"""",",")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Web'!A$4:N$236,13,FALSE),"""","},"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966</v>
      </c>
      <c r="D177" t="str">
        <f>_xlfn.CONCAT("""",VLOOKUP(B177,'Index Web'!A$4:O$236,13,FALSE),"""",",")</f>
        <v>"quiennosseparara",</v>
      </c>
      <c r="E177" t="str">
        <f>_xlfn.CONCAT("""titulo""",": ","""",VLOOKUP(B177,'Index Web'!A$4:L$236,3,FALSE),"""",",")</f>
        <v>"titulo": "Quién nos separará",</v>
      </c>
      <c r="F177" t="str">
        <f>_xlfn.CONCAT("""salmo""",": ","""",VLOOKUP(B177,'Index Web'!A$4:L$236,4,FALSE),"""",",")</f>
        <v>"salmo": "Romanos 8,34-39",</v>
      </c>
      <c r="G177" t="str">
        <f>_xlfn.CONCAT("""letra""",": ","""",Table46[[#This Row],[Pg]],"|",VLOOKUP(B177,'Index Web'!A$4:O$236,15,FALSE)," ",VLOOKUP(B177,'Index Web'!A$4:O$236,13,FALSE),"""",",")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Web'!A$4:N$236,13,FALSE),"""","},"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966</v>
      </c>
      <c r="D178" t="str">
        <f>_xlfn.CONCAT("""",VLOOKUP(B178,'Index Web'!A$4:O$236,13,FALSE),"""",",")</f>
        <v>"quieroandarmadreajerusalen",</v>
      </c>
      <c r="E178" t="str">
        <f>_xlfn.CONCAT("""titulo""",": ","""",VLOOKUP(B178,'Index Web'!A$4:L$236,3,FALSE),"""",",")</f>
        <v>"titulo": "Quiero andar, madre, a Jerusalén",</v>
      </c>
      <c r="F178" t="str">
        <f>_xlfn.CONCAT("""salmo""",": ","""",VLOOKUP(B178,'Index Web'!A$4:L$236,4,FALSE),"""",",")</f>
        <v>"salmo": "Canto sefardí",</v>
      </c>
      <c r="G178" t="str">
        <f>_xlfn.CONCAT("""letra""",": ","""",Table46[[#This Row],[Pg]],"|",VLOOKUP(B178,'Index Web'!A$4:O$236,15,FALSE)," ",VLOOKUP(B178,'Index Web'!A$4:O$236,13,FALSE),"""",",")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Web'!A$4:N$236,13,FALSE),"""","},"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966</v>
      </c>
      <c r="D179" t="str">
        <f>_xlfn.CONCAT("""",VLOOKUP(B179,'Index Web'!A$4:O$236,13,FALSE),"""",",")</f>
        <v>"quierocantar",</v>
      </c>
      <c r="E179" t="str">
        <f>_xlfn.CONCAT("""titulo""",": ","""",VLOOKUP(B179,'Index Web'!A$4:L$236,3,FALSE),"""",",")</f>
        <v>"titulo": "Quiero cantar",</v>
      </c>
      <c r="F179" t="str">
        <f>_xlfn.CONCAT("""salmo""",": ","""",VLOOKUP(B179,'Index Web'!A$4:L$236,4,FALSE),"""",",")</f>
        <v>"salmo": "Salmo 57 (56)",</v>
      </c>
      <c r="G179" t="str">
        <f>_xlfn.CONCAT("""letra""",": ","""",Table46[[#This Row],[Pg]],"|",VLOOKUP(B179,'Index Web'!A$4:O$236,15,FALSE)," ",VLOOKUP(B179,'Index Web'!A$4:O$236,13,FALSE),"""",",")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Web'!A$4:N$236,13,FALSE),"""","},"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966</v>
      </c>
      <c r="D180" t="str">
        <f>_xlfn.CONCAT("""",VLOOKUP(B180,'Index Web'!A$4:O$236,13,FALSE),"""",",")</f>
        <v>"resucito",</v>
      </c>
      <c r="E180" t="str">
        <f>_xlfn.CONCAT("""titulo""",": ","""",VLOOKUP(B180,'Index Web'!A$4:L$236,3,FALSE),"""",",")</f>
        <v>"titulo": "Resucitó",</v>
      </c>
      <c r="F180" t="str">
        <f>_xlfn.CONCAT("""salmo""",": ","""",VLOOKUP(B180,'Index Web'!A$4:L$236,4,FALSE),"""",",")</f>
        <v>"salmo": "(Kiko Argüello)",</v>
      </c>
      <c r="G180" t="str">
        <f>_xlfn.CONCAT("""letra""",": ","""",Table46[[#This Row],[Pg]],"|",VLOOKUP(B180,'Index Web'!A$4:O$236,15,FALSE)," ",VLOOKUP(B180,'Index Web'!A$4:O$236,13,FALSE),"""",",")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Web'!A$4:N$236,13,FALSE),"""","},"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966</v>
      </c>
      <c r="D181" t="str">
        <f>_xlfn.CONCAT("""",VLOOKUP(B181,'Index Web'!A$4:O$236,13,FALSE),"""",",")</f>
        <v>"resurrexit",</v>
      </c>
      <c r="E181" t="str">
        <f>_xlfn.CONCAT("""titulo""",": ","""",VLOOKUP(B181,'Index Web'!A$4:L$236,3,FALSE),"""",",")</f>
        <v>"titulo": "Resurrexit",</v>
      </c>
      <c r="F181" t="str">
        <f>_xlfn.CONCAT("""salmo""",": ","""",VLOOKUP(B181,'Index Web'!A$4:L$236,4,FALSE),"""",",")</f>
        <v>"salmo": "Juan 11,25s",</v>
      </c>
      <c r="G181" t="str">
        <f>_xlfn.CONCAT("""letra""",": ","""",Table46[[#This Row],[Pg]],"|",VLOOKUP(B181,'Index Web'!A$4:O$236,15,FALSE)," ",VLOOKUP(B181,'Index Web'!A$4:O$236,13,FALSE),"""",",")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Web'!A$4:N$236,13,FALSE),"""","},"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966</v>
      </c>
      <c r="D182" t="str">
        <f>_xlfn.CONCAT("""",VLOOKUP(B182,'Index Web'!A$4:O$236,13,FALSE),"""",",")</f>
        <v>"salmodiaparaelevangelio",</v>
      </c>
      <c r="E182" t="str">
        <f>_xlfn.CONCAT("""titulo""",": ","""",VLOOKUP(B182,'Index Web'!A$4:L$236,3,FALSE),"""",",")</f>
        <v>"titulo": "Salmodia para el evangelio",</v>
      </c>
      <c r="F182" t="str">
        <f>_xlfn.CONCAT("""salmo""",": ","""",VLOOKUP(B182,'Index Web'!A$4:L$236,4,FALSE),"""",",")</f>
        <v>"salmo": "Juan 3,11-20 ",</v>
      </c>
      <c r="G182" t="str">
        <f>_xlfn.CONCAT("""letra""",": ","""",Table46[[#This Row],[Pg]],"|",VLOOKUP(B182,'Index Web'!A$4:O$236,15,FALSE)," ",VLOOKUP(B182,'Index Web'!A$4:O$236,13,FALSE),"""",",")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Web'!A$4:N$236,13,FALSE),"""","},"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966</v>
      </c>
      <c r="D183" t="str">
        <f>_xlfn.CONCAT("""",VLOOKUP(B183,'Index Web'!A$4:O$236,13,FALSE),"""",",")</f>
        <v>"salmodiaparaelrosario",</v>
      </c>
      <c r="E183" t="str">
        <f>_xlfn.CONCAT("""titulo""",": ","""",VLOOKUP(B183,'Index Web'!A$4:L$236,3,FALSE),"""",",")</f>
        <v>"titulo": "Salmodia para el rosario",</v>
      </c>
      <c r="F183" t="str">
        <f>_xlfn.CONCAT("""salmo""",": ","""",VLOOKUP(B183,'Index Web'!A$4:L$236,4,FALSE),"""",",")</f>
        <v>"salmo": "Santo Rosario",</v>
      </c>
      <c r="G183" t="str">
        <f>_xlfn.CONCAT("""letra""",": ","""",Table46[[#This Row],[Pg]],"|",VLOOKUP(B183,'Index Web'!A$4:O$236,15,FALSE)," ",VLOOKUP(B183,'Index Web'!A$4:O$236,13,FALSE),"""",",")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Web'!A$4:N$236,13,FALSE),"""","},"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966</v>
      </c>
      <c r="D184" t="str">
        <f>_xlfn.CONCAT("""",VLOOKUP(B184,'Index Web'!A$4:O$236,13,FALSE),"""",",")</f>
        <v>"salmodiaparaelsalmoresponsorial",</v>
      </c>
      <c r="E184" t="str">
        <f>_xlfn.CONCAT("""titulo""",": ","""",VLOOKUP(B184,'Index Web'!A$4:L$236,3,FALSE),"""",",")</f>
        <v>"titulo": "Salmodia para el salmo responsorial",</v>
      </c>
      <c r="F184" t="str">
        <f>_xlfn.CONCAT("""salmo""",": ","""",VLOOKUP(B184,'Index Web'!A$4:L$236,4,FALSE),"""",",")</f>
        <v>"salmo": "Modelo I, II, III",</v>
      </c>
      <c r="G184" t="str">
        <f>_xlfn.CONCAT("""letra""",": ","""",Table46[[#This Row],[Pg]],"|",VLOOKUP(B184,'Index Web'!A$4:O$236,15,FALSE)," ",VLOOKUP(B184,'Index Web'!A$4:O$236,13,FALSE),"""",",")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Web'!A$4:N$236,13,FALSE),"""","},"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966</v>
      </c>
      <c r="D185" t="str">
        <f>_xlfn.CONCAT("""",VLOOKUP(B185,'Index Web'!A$4:O$236,13,FALSE),"""",",")</f>
        <v>"salmodiasparalaoraciondelosfieles",</v>
      </c>
      <c r="E185" t="str">
        <f>_xlfn.CONCAT("""titulo""",": ","""",VLOOKUP(B185,'Index Web'!A$4:L$236,3,FALSE),"""",",")</f>
        <v>"titulo": "Salmodias para la oración de los fieles",</v>
      </c>
      <c r="F185" t="str">
        <f>_xlfn.CONCAT("""salmo""",": ","""",VLOOKUP(B185,'Index Web'!A$4:L$236,4,FALSE),"""",",")</f>
        <v>"salmo": "Para las solemnidades",</v>
      </c>
      <c r="G185" t="str">
        <f>_xlfn.CONCAT("""letra""",": ","""",Table46[[#This Row],[Pg]],"|",VLOOKUP(B185,'Index Web'!A$4:O$236,15,FALSE)," ",VLOOKUP(B185,'Index Web'!A$4:O$236,13,FALSE),"""",",")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Web'!A$4:N$236,13,FALSE),"""","},"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966</v>
      </c>
      <c r="D186" t="str">
        <f>_xlfn.CONCAT("""",VLOOKUP(B186,'Index Web'!A$4:O$236,13,FALSE),"""",",")</f>
        <v>"salmodiasparalaudes",</v>
      </c>
      <c r="E186" t="str">
        <f>_xlfn.CONCAT("""titulo""",": ","""",VLOOKUP(B186,'Index Web'!A$4:L$236,3,FALSE),"""",",")</f>
        <v>"titulo": "Salmodias para laudes",</v>
      </c>
      <c r="F186" t="str">
        <f>_xlfn.CONCAT("""salmo""",": ","""",VLOOKUP(B186,'Index Web'!A$4:L$236,4,FALSE),"""",",")</f>
        <v>"salmo": "Modelo I, II, III, IV, V",</v>
      </c>
      <c r="G186" t="str">
        <f>_xlfn.CONCAT("""letra""",": ","""",Table46[[#This Row],[Pg]],"|",VLOOKUP(B186,'Index Web'!A$4:O$236,15,FALSE)," ",VLOOKUP(B186,'Index Web'!A$4:O$236,13,FALSE),"""",",")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Web'!A$4:N$236,13,FALSE),"""","},"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966</v>
      </c>
      <c r="D187" t="str">
        <f>_xlfn.CONCAT("""",VLOOKUP(B187,'Index Web'!A$4:O$236,13,FALSE),"""",",")</f>
        <v>"salvereinadeloscielos",</v>
      </c>
      <c r="E187" t="str">
        <f>_xlfn.CONCAT("""titulo""",": ","""",VLOOKUP(B187,'Index Web'!A$4:L$236,3,FALSE),"""",",")</f>
        <v>"titulo": "Salve, reina de los cielos",</v>
      </c>
      <c r="F187" t="str">
        <f>_xlfn.CONCAT("""salmo""",": ","""",VLOOKUP(B187,'Index Web'!A$4:L$236,4,FALSE),"""",",")</f>
        <v>"salmo": "Himno lat. «Ave, Regina Caelorum»",</v>
      </c>
      <c r="G187" t="str">
        <f>_xlfn.CONCAT("""letra""",": ","""",Table46[[#This Row],[Pg]],"|",VLOOKUP(B187,'Index Web'!A$4:O$236,15,FALSE)," ",VLOOKUP(B187,'Index Web'!A$4:O$236,13,FALSE),"""",",")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Web'!A$4:N$236,13,FALSE),"""","},"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966</v>
      </c>
      <c r="D188" t="str">
        <f>_xlfn.CONCAT("""",VLOOKUP(B188,'Index Web'!A$4:O$236,13,FALSE),"""",",")</f>
        <v>"santo1982",</v>
      </c>
      <c r="E188" t="str">
        <f>_xlfn.CONCAT("""titulo""",": ","""",VLOOKUP(B188,'Index Web'!A$4:L$236,3,FALSE),"""",",")</f>
        <v>"titulo": "Santo 1982",</v>
      </c>
      <c r="F188" t="str">
        <f>_xlfn.CONCAT("""salmo""",": ","""",VLOOKUP(B188,'Index Web'!A$4:L$236,4,FALSE),"""",",")</f>
        <v>"salmo": "1982",</v>
      </c>
      <c r="G188" t="str">
        <f>_xlfn.CONCAT("""letra""",": ","""",Table46[[#This Row],[Pg]],"|",VLOOKUP(B188,'Index Web'!A$4:O$236,15,FALSE)," ",VLOOKUP(B188,'Index Web'!A$4:O$236,13,FALSE),"""",",")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Web'!A$4:N$236,13,FALSE),"""","},"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966</v>
      </c>
      <c r="D189" t="str">
        <f>_xlfn.CONCAT("""",VLOOKUP(B189,'Index Web'!A$4:O$236,13,FALSE),"""",",")</f>
        <v>"santo1988",</v>
      </c>
      <c r="E189" t="str">
        <f>_xlfn.CONCAT("""titulo""",": ","""",VLOOKUP(B189,'Index Web'!A$4:L$236,3,FALSE),"""",",")</f>
        <v>"titulo": "Santo 1988",</v>
      </c>
      <c r="F189" t="str">
        <f>_xlfn.CONCAT("""salmo""",": ","""",VLOOKUP(B189,'Index Web'!A$4:L$236,4,FALSE),"""",",")</f>
        <v>"salmo": "1988",</v>
      </c>
      <c r="G189" t="str">
        <f>_xlfn.CONCAT("""letra""",": ","""",Table46[[#This Row],[Pg]],"|",VLOOKUP(B189,'Index Web'!A$4:O$236,15,FALSE)," ",VLOOKUP(B189,'Index Web'!A$4:O$236,13,FALSE),"""",",")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Web'!A$4:N$236,13,FALSE),"""","},"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966</v>
      </c>
      <c r="D190" t="str">
        <f>_xlfn.CONCAT("""",VLOOKUP(B190,'Index Web'!A$4:O$236,13,FALSE),"""",",")</f>
        <v>"santomelodiahebraica",</v>
      </c>
      <c r="E190" t="str">
        <f>_xlfn.CONCAT("""titulo""",": ","""",VLOOKUP(B190,'Index Web'!A$4:L$236,3,FALSE),"""",",")</f>
        <v>"titulo": "Santo Melodía hebraica",</v>
      </c>
      <c r="F190" t="str">
        <f>_xlfn.CONCAT("""salmo""",": ","""",VLOOKUP(B190,'Index Web'!A$4:L$236,4,FALSE),"""",",")</f>
        <v>"salmo": "Melodía hebraica ",</v>
      </c>
      <c r="G190" t="str">
        <f>_xlfn.CONCAT("""letra""",": ","""",Table46[[#This Row],[Pg]],"|",VLOOKUP(B190,'Index Web'!A$4:O$236,15,FALSE)," ",VLOOKUP(B190,'Index Web'!A$4:O$236,13,FALSE),"""",",")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Web'!A$4:N$236,13,FALSE),"""","},"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966</v>
      </c>
      <c r="D191" t="str">
        <f>_xlfn.CONCAT("""",VLOOKUP(B191,'Index Web'!A$4:O$236,13,FALSE),"""",",")</f>
        <v>"santopalestina74",</v>
      </c>
      <c r="E191" t="str">
        <f>_xlfn.CONCAT("""titulo""",": ","""",VLOOKUP(B191,'Index Web'!A$4:L$236,3,FALSE),"""",",")</f>
        <v>"titulo": "Santo Palestina 74",</v>
      </c>
      <c r="F191" t="str">
        <f>_xlfn.CONCAT("""salmo""",": ","""",VLOOKUP(B191,'Index Web'!A$4:L$236,4,FALSE),"""",",")</f>
        <v>"salmo": "Palestina 74",</v>
      </c>
      <c r="G191" t="str">
        <f>_xlfn.CONCAT("""letra""",": ","""",Table46[[#This Row],[Pg]],"|",VLOOKUP(B191,'Index Web'!A$4:O$236,15,FALSE)," ",VLOOKUP(B191,'Index Web'!A$4:O$236,13,FALSE),"""",",")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Web'!A$4:N$236,13,FALSE),"""","},"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966</v>
      </c>
      <c r="D192" t="str">
        <f>_xlfn.CONCAT("""",VLOOKUP(B192,'Index Web'!A$4:O$236,13,FALSE),"""",",")</f>
        <v>"santopalomeras65",</v>
      </c>
      <c r="E192" t="str">
        <f>_xlfn.CONCAT("""titulo""",": ","""",VLOOKUP(B192,'Index Web'!A$4:L$236,3,FALSE),"""",",")</f>
        <v>"titulo": "Santo Palomeras 65 ",</v>
      </c>
      <c r="F192" t="str">
        <f>_xlfn.CONCAT("""salmo""",": ","""",VLOOKUP(B192,'Index Web'!A$4:L$236,4,FALSE),"""",",")</f>
        <v>"salmo": "Palomeras 65",</v>
      </c>
      <c r="G192" t="str">
        <f>_xlfn.CONCAT("""letra""",": ","""",Table46[[#This Row],[Pg]],"|",VLOOKUP(B192,'Index Web'!A$4:O$236,15,FALSE)," ",VLOOKUP(B192,'Index Web'!A$4:O$236,13,FALSE),"""",",")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Web'!A$4:N$236,13,FALSE),"""","},"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966</v>
      </c>
      <c r="D193" t="str">
        <f>_xlfn.CONCAT("""",VLOOKUP(B193,'Index Web'!A$4:O$236,13,FALSE),"""",",")</f>
        <v>"santoroma77",</v>
      </c>
      <c r="E193" t="str">
        <f>_xlfn.CONCAT("""titulo""",": ","""",VLOOKUP(B193,'Index Web'!A$4:L$236,3,FALSE),"""",",")</f>
        <v>"titulo": "Santo Roma 77",</v>
      </c>
      <c r="F193" t="str">
        <f>_xlfn.CONCAT("""salmo""",": ","""",VLOOKUP(B193,'Index Web'!A$4:L$236,4,FALSE),"""",",")</f>
        <v>"salmo": "Roma 77",</v>
      </c>
      <c r="G193" t="str">
        <f>_xlfn.CONCAT("""letra""",": ","""",Table46[[#This Row],[Pg]],"|",VLOOKUP(B193,'Index Web'!A$4:O$236,15,FALSE)," ",VLOOKUP(B193,'Index Web'!A$4:O$236,13,FALSE),"""",",")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Web'!A$4:N$236,13,FALSE),"""","},"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966</v>
      </c>
      <c r="D194" t="str">
        <f>_xlfn.CONCAT("""",VLOOKUP(B194,'Index Web'!A$4:O$236,13,FALSE),"""",",")</f>
        <v>"seencontrarondosangeles",</v>
      </c>
      <c r="E194" t="str">
        <f>_xlfn.CONCAT("""titulo""",": ","""",VLOOKUP(B194,'Index Web'!A$4:L$236,3,FALSE),"""",",")</f>
        <v>"titulo": "Se encontraron dos ángeles",</v>
      </c>
      <c r="F194" t="str">
        <f>_xlfn.CONCAT("""salmo""",": ","""",VLOOKUP(B194,'Index Web'!A$4:L$236,4,FALSE),"""",",")</f>
        <v>"salmo": "Melodía hebraica",</v>
      </c>
      <c r="G194" t="str">
        <f>_xlfn.CONCAT("""letra""",": ","""",Table46[[#This Row],[Pg]],"|",VLOOKUP(B194,'Index Web'!A$4:O$236,15,FALSE)," ",VLOOKUP(B194,'Index Web'!A$4:O$236,13,FALSE),"""",",")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Web'!A$4:N$236,13,FALSE),"""","},"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966</v>
      </c>
      <c r="D195" t="str">
        <f>_xlfn.CONCAT("""",VLOOKUP(B195,'Index Web'!A$4:O$236,13,FALSE),"""",",")</f>
        <v>"senorayudameanodudardeti",</v>
      </c>
      <c r="E195" t="str">
        <f>_xlfn.CONCAT("""titulo""",": ","""",VLOOKUP(B195,'Index Web'!A$4:L$236,3,FALSE),"""",",")</f>
        <v>"titulo": "Señor, ayúdame a no dudar de ti",</v>
      </c>
      <c r="F195" t="str">
        <f>_xlfn.CONCAT("""salmo""",": ","""",VLOOKUP(B195,'Index Web'!A$4:L$236,4,FALSE),"""",",")</f>
        <v>"salmo": "(Kiko Argüello)",</v>
      </c>
      <c r="G195" t="str">
        <f>_xlfn.CONCAT("""letra""",": ","""",Table46[[#This Row],[Pg]],"|",VLOOKUP(B195,'Index Web'!A$4:O$236,15,FALSE)," ",VLOOKUP(B195,'Index Web'!A$4:O$236,13,FALSE),"""",",")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Web'!A$4:N$236,13,FALSE),"""","},"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966</v>
      </c>
      <c r="D196" t="str">
        <f>_xlfn.CONCAT("""",VLOOKUP(B196,'Index Web'!A$4:O$236,13,FALSE),"""",",")</f>
        <v>"senornomecorrijasentucolera",</v>
      </c>
      <c r="E196" t="str">
        <f>_xlfn.CONCAT("""titulo""",": ","""",VLOOKUP(B196,'Index Web'!A$4:L$236,3,FALSE),"""",",")</f>
        <v>"titulo": "Señor, no me corrijas en tu cólera",</v>
      </c>
      <c r="F196" t="str">
        <f>_xlfn.CONCAT("""salmo""",": ","""",VLOOKUP(B196,'Index Web'!A$4:L$236,4,FALSE),"""",",")</f>
        <v>"salmo": "Salmo 6",</v>
      </c>
      <c r="G196" t="str">
        <f>_xlfn.CONCAT("""letra""",": ","""",Table46[[#This Row],[Pg]],"|",VLOOKUP(B196,'Index Web'!A$4:O$236,15,FALSE)," ",VLOOKUP(B196,'Index Web'!A$4:O$236,13,FALSE),"""",",")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Web'!A$4:N$236,13,FALSE),"""","},"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966</v>
      </c>
      <c r="D197" t="str">
        <f>_xlfn.CONCAT("""",VLOOKUP(B197,'Index Web'!A$4:O$236,13,FALSE),"""",",")</f>
        <v>"senortumeescrutasyconoces",</v>
      </c>
      <c r="E197" t="str">
        <f>_xlfn.CONCAT("""titulo""",": ","""",VLOOKUP(B197,'Index Web'!A$4:L$236,3,FALSE),"""",",")</f>
        <v>"titulo": "Señor, tú me escrutas y conoces",</v>
      </c>
      <c r="F197" t="str">
        <f>_xlfn.CONCAT("""salmo""",": ","""",VLOOKUP(B197,'Index Web'!A$4:L$236,4,FALSE),"""",",")</f>
        <v>"salmo": "Salmo 139 (138)",</v>
      </c>
      <c r="G197" t="str">
        <f>_xlfn.CONCAT("""letra""",": ","""",Table46[[#This Row],[Pg]],"|",VLOOKUP(B197,'Index Web'!A$4:O$236,15,FALSE)," ",VLOOKUP(B197,'Index Web'!A$4:O$236,13,FALSE),"""",",")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Web'!A$4:N$236,13,FALSE),"""","},"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966</v>
      </c>
      <c r="D198" t="str">
        <f>_xlfn.CONCAT("""",VLOOKUP(B198,'Index Web'!A$4:O$236,13,FALSE),"""",",")</f>
        <v>"sermondelamontana",</v>
      </c>
      <c r="E198" t="str">
        <f>_xlfn.CONCAT("""titulo""",": ","""",VLOOKUP(B198,'Index Web'!A$4:L$236,3,FALSE),"""",",")</f>
        <v>"titulo": "Sermón de la montaña ",</v>
      </c>
      <c r="F198" t="str">
        <f>_xlfn.CONCAT("""salmo""",": ","""",VLOOKUP(B198,'Index Web'!A$4:L$236,4,FALSE),"""",",")</f>
        <v>"salmo": "Lucas 6,20-38",</v>
      </c>
      <c r="G198" t="str">
        <f>_xlfn.CONCAT("""letra""",": ","""",Table46[[#This Row],[Pg]],"|",VLOOKUP(B198,'Index Web'!A$4:O$236,15,FALSE)," ",VLOOKUP(B198,'Index Web'!A$4:O$236,13,FALSE),"""",",")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Web'!A$4:N$236,13,FALSE),"""","},"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966</v>
      </c>
      <c r="D199" t="str">
        <f>_xlfn.CONCAT("""",VLOOKUP(B199,'Index Web'!A$4:O$236,13,FALSE),"""",",")</f>
        <v>"shemaisrael",</v>
      </c>
      <c r="E199" t="str">
        <f>_xlfn.CONCAT("""titulo""",": ","""",VLOOKUP(B199,'Index Web'!A$4:L$236,3,FALSE),"""",",")</f>
        <v>"titulo": "Shemá Israel ",</v>
      </c>
      <c r="F199" t="str">
        <f>_xlfn.CONCAT("""salmo""",": ","""",VLOOKUP(B199,'Index Web'!A$4:L$236,4,FALSE),"""",",")</f>
        <v>"salmo": "Deuteronomio 6,4-9",</v>
      </c>
      <c r="G199" t="str">
        <f>_xlfn.CONCAT("""letra""",": ","""",Table46[[#This Row],[Pg]],"|",VLOOKUP(B199,'Index Web'!A$4:O$236,15,FALSE)," ",VLOOKUP(B199,'Index Web'!A$4:O$236,13,FALSE),"""",",")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Web'!A$4:N$236,13,FALSE),"""","},"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966</v>
      </c>
      <c r="D200" t="str">
        <f>_xlfn.CONCAT("""",VLOOKUP(B200,'Index Web'!A$4:O$236,13,FALSE),"""",",")</f>
        <v>"shlomlejmariam",</v>
      </c>
      <c r="E200" t="str">
        <f>_xlfn.CONCAT("""titulo""",": ","""",VLOOKUP(B200,'Index Web'!A$4:L$236,3,FALSE),"""",",")</f>
        <v>"titulo": "Shlom lej Mariam",</v>
      </c>
      <c r="F200" t="str">
        <f>_xlfn.CONCAT("""salmo""",": ","""",VLOOKUP(B200,'Index Web'!A$4:L$236,4,FALSE),"""",",")</f>
        <v>"salmo": "Ave María en arameo antiguo",</v>
      </c>
      <c r="G200" t="str">
        <f>_xlfn.CONCAT("""letra""",": ","""",Table46[[#This Row],[Pg]],"|",VLOOKUP(B200,'Index Web'!A$4:O$236,15,FALSE)," ",VLOOKUP(B200,'Index Web'!A$4:O$236,13,FALSE),"""",",")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Web'!A$4:N$236,13,FALSE),"""","},"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966</v>
      </c>
      <c r="D201" t="str">
        <f>_xlfn.CONCAT("""",VLOOKUP(B201,'Index Web'!A$4:O$236,13,FALSE),"""",",")</f>
        <v>"sielsenornoconstruyelacasa",</v>
      </c>
      <c r="E201" t="str">
        <f>_xlfn.CONCAT("""titulo""",": ","""",VLOOKUP(B201,'Index Web'!A$4:L$236,3,FALSE),"""",",")</f>
        <v>"titulo": "Si el Señor no construye la casa",</v>
      </c>
      <c r="F201" t="str">
        <f>_xlfn.CONCAT("""salmo""",": ","""",VLOOKUP(B201,'Index Web'!A$4:L$236,4,FALSE),"""",",")</f>
        <v>"salmo": "Salmo 127 (126)",</v>
      </c>
      <c r="G201" t="str">
        <f>_xlfn.CONCAT("""letra""",": ","""",Table46[[#This Row],[Pg]],"|",VLOOKUP(B201,'Index Web'!A$4:O$236,15,FALSE)," ",VLOOKUP(B201,'Index Web'!A$4:O$236,13,FALSE),"""",",")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Web'!A$4:N$236,13,FALSE),"""","},"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966</v>
      </c>
      <c r="D202" t="str">
        <f>_xlfn.CONCAT("""",VLOOKUP(B202,'Index Web'!A$4:O$236,13,FALSE),"""",",")</f>
        <v>"sihabeisresucitadoconcristo",</v>
      </c>
      <c r="E202" t="str">
        <f>_xlfn.CONCAT("""titulo""",": ","""",VLOOKUP(B202,'Index Web'!A$4:L$236,3,FALSE),"""",",")</f>
        <v>"titulo": "Si habéis resucitado con Cristo",</v>
      </c>
      <c r="F202" t="str">
        <f>_xlfn.CONCAT("""salmo""",": ","""",VLOOKUP(B202,'Index Web'!A$4:L$236,4,FALSE),"""",",")</f>
        <v>"salmo": "Colosense 3,1-4",</v>
      </c>
      <c r="G202" t="str">
        <f>_xlfn.CONCAT("""letra""",": ","""",Table46[[#This Row],[Pg]],"|",VLOOKUP(B202,'Index Web'!A$4:O$236,15,FALSE)," ",VLOOKUP(B202,'Index Web'!A$4:O$236,13,FALSE),"""",",")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Web'!A$4:N$236,13,FALSE),"""","},"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966</v>
      </c>
      <c r="D203" t="str">
        <f>_xlfn.CONCAT("""",VLOOKUP(B203,'Index Web'!A$4:O$236,13,FALSE),"""",",")</f>
        <v>"sihoyescuchaissuvoz",</v>
      </c>
      <c r="E203" t="str">
        <f>_xlfn.CONCAT("""titulo""",": ","""",VLOOKUP(B203,'Index Web'!A$4:L$236,3,FALSE),"""",",")</f>
        <v>"titulo": "Si hoy escucháis su voz ",</v>
      </c>
      <c r="F203" t="str">
        <f>_xlfn.CONCAT("""salmo""",": ","""",VLOOKUP(B203,'Index Web'!A$4:L$236,4,FALSE),"""",",")</f>
        <v>"salmo": "Salmo 95 (94)",</v>
      </c>
      <c r="G203" t="str">
        <f>_xlfn.CONCAT("""letra""",": ","""",Table46[[#This Row],[Pg]],"|",VLOOKUP(B203,'Index Web'!A$4:O$236,15,FALSE)," ",VLOOKUP(B203,'Index Web'!A$4:O$236,13,FALSE),"""",",")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Web'!A$4:N$236,13,FALSE),"""","},"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966</v>
      </c>
      <c r="D204" t="str">
        <f>_xlfn.CONCAT("""",VLOOKUP(B204,'Index Web'!A$4:O$236,13,FALSE),"""",",")</f>
        <v>"simeherefugiadoenelsenor",</v>
      </c>
      <c r="E204" t="str">
        <f>_xlfn.CONCAT("""titulo""",": ","""",VLOOKUP(B204,'Index Web'!A$4:L$236,3,FALSE),"""",",")</f>
        <v>"titulo": "Si me he refugiado en el Señor",</v>
      </c>
      <c r="F204" t="str">
        <f>_xlfn.CONCAT("""salmo""",": ","""",VLOOKUP(B204,'Index Web'!A$4:L$236,4,FALSE),"""",",")</f>
        <v>"salmo": "Salmo 11(10)",</v>
      </c>
      <c r="G204" t="str">
        <f>_xlfn.CONCAT("""letra""",": ","""",Table46[[#This Row],[Pg]],"|",VLOOKUP(B204,'Index Web'!A$4:O$236,15,FALSE)," ",VLOOKUP(B204,'Index Web'!A$4:O$236,13,FALSE),"""",",")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Web'!A$4:N$236,13,FALSE),"""","},"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966</v>
      </c>
      <c r="D205" t="str">
        <f>_xlfn.CONCAT("""",VLOOKUP(B205,'Index Web'!A$4:O$236,13,FALSE),"""",",")</f>
        <v>"sientatesolitarioysilencioso",</v>
      </c>
      <c r="E205" t="str">
        <f>_xlfn.CONCAT("""titulo""",": ","""",VLOOKUP(B205,'Index Web'!A$4:L$236,3,FALSE),"""",",")</f>
        <v>"titulo": "Sientate solitario y silencioso",</v>
      </c>
      <c r="F205" t="str">
        <f>_xlfn.CONCAT("""salmo""",": ","""",VLOOKUP(B205,'Index Web'!A$4:L$236,4,FALSE),"""",",")</f>
        <v>"salmo": "Lamentaciones 3",</v>
      </c>
      <c r="G205" t="str">
        <f>_xlfn.CONCAT("""letra""",": ","""",Table46[[#This Row],[Pg]],"|",VLOOKUP(B205,'Index Web'!A$4:O$236,15,FALSE)," ",VLOOKUP(B205,'Index Web'!A$4:O$236,13,FALSE),"""",",")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Web'!A$4:N$236,13,FALSE),"""","},"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966</v>
      </c>
      <c r="D206" t="str">
        <f>_xlfn.CONCAT("""",VLOOKUP(B206,'Index Web'!A$4:O$236,13,FALSE),"""",",")</f>
        <v>"sionmadredetodoslospueblos",</v>
      </c>
      <c r="E206" t="str">
        <f>_xlfn.CONCAT("""titulo""",": ","""",VLOOKUP(B206,'Index Web'!A$4:L$236,3,FALSE),"""",",")</f>
        <v>"titulo": "Sión, madre de todos los pueblos",</v>
      </c>
      <c r="F206" t="str">
        <f>_xlfn.CONCAT("""salmo""",": ","""",VLOOKUP(B206,'Index Web'!A$4:L$236,4,FALSE),"""",",")</f>
        <v>"salmo": "Salmo 87 (86)",</v>
      </c>
      <c r="G206" t="str">
        <f>_xlfn.CONCAT("""letra""",": ","""",Table46[[#This Row],[Pg]],"|",VLOOKUP(B206,'Index Web'!A$4:O$236,15,FALSE)," ",VLOOKUP(B206,'Index Web'!A$4:O$236,13,FALSE),"""",",")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Web'!A$4:N$236,13,FALSE),"""","},"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966</v>
      </c>
      <c r="D207" t="str">
        <f>_xlfn.CONCAT("""",VLOOKUP(B207,'Index Web'!A$4:O$236,13,FALSE),"""",",")</f>
        <v>"solaasolo",</v>
      </c>
      <c r="E207" t="str">
        <f>_xlfn.CONCAT("""titulo""",": ","""",VLOOKUP(B207,'Index Web'!A$4:L$236,3,FALSE),"""",",")</f>
        <v>"titulo": "Sola a Solo",</v>
      </c>
      <c r="F207" t="str">
        <f>_xlfn.CONCAT("""salmo""",": ","""",VLOOKUP(B207,'Index Web'!A$4:L$236,4,FALSE),"""",",")</f>
        <v>"salmo": "(Kiko Argüello)",</v>
      </c>
      <c r="G207" t="str">
        <f>_xlfn.CONCAT("""letra""",": ","""",Table46[[#This Row],[Pg]],"|",VLOOKUP(B207,'Index Web'!A$4:O$236,15,FALSE)," ",VLOOKUP(B207,'Index Web'!A$4:O$236,13,FALSE),"""",",")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Web'!A$4:N$236,13,FALSE),"""","},"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966</v>
      </c>
      <c r="D208" t="str">
        <f>_xlfn.CONCAT("""",VLOOKUP(B208,'Index Web'!A$4:O$236,13,FALSE),"""",",")</f>
        <v>"stabatmaterdolorosa",</v>
      </c>
      <c r="E208" t="str">
        <f>_xlfn.CONCAT("""titulo""",": ","""",VLOOKUP(B208,'Index Web'!A$4:L$236,3,FALSE),"""",",")</f>
        <v>"titulo": "Stabat Mater dolorosa",</v>
      </c>
      <c r="F208" t="str">
        <f>_xlfn.CONCAT("""salmo""",": ","""",VLOOKUP(B208,'Index Web'!A$4:L$236,4,FALSE),"""",",")</f>
        <v>"salmo": "Himno latin",</v>
      </c>
      <c r="G208" t="str">
        <f>_xlfn.CONCAT("""letra""",": ","""",Table46[[#This Row],[Pg]],"|",VLOOKUP(B208,'Index Web'!A$4:O$236,15,FALSE)," ",VLOOKUP(B208,'Index Web'!A$4:O$236,13,FALSE),"""",",")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Web'!A$4:N$236,13,FALSE),"""","},"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966</v>
      </c>
      <c r="D209" t="str">
        <f>_xlfn.CONCAT("""",VLOOKUP(B209,'Index Web'!A$4:O$236,13,FALSE),"""",",")</f>
        <v>"subaelesposoallenodesutalamo",</v>
      </c>
      <c r="E209" t="str">
        <f>_xlfn.CONCAT("""titulo""",": ","""",VLOOKUP(B209,'Index Web'!A$4:L$236,3,FALSE),"""",",")</f>
        <v>"titulo": "Suba el esposo al leño de su tálamo ",</v>
      </c>
      <c r="F209" t="str">
        <f>_xlfn.CONCAT("""salmo""",": ","""",VLOOKUP(B209,'Index Web'!A$4:L$236,4,FALSE),"""",",")</f>
        <v>"salmo": "Himno (San Quodvultdeus)",</v>
      </c>
      <c r="G209" t="str">
        <f>_xlfn.CONCAT("""letra""",": ","""",Table46[[#This Row],[Pg]],"|",VLOOKUP(B209,'Index Web'!A$4:O$236,15,FALSE)," ",VLOOKUP(B209,'Index Web'!A$4:O$236,13,FALSE),"""",",")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Web'!A$4:N$236,13,FALSE),"""","},"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966</v>
      </c>
      <c r="D210" t="str">
        <f>_xlfn.CONCAT("""",VLOOKUP(B210,'Index Web'!A$4:O$236,13,FALSE),"""",",")</f>
        <v>"subediosentreaclamaciones",</v>
      </c>
      <c r="E210" t="str">
        <f>_xlfn.CONCAT("""titulo""",": ","""",VLOOKUP(B210,'Index Web'!A$4:L$236,3,FALSE),"""",",")</f>
        <v>"titulo": "Sube Dios entre aclamaciones",</v>
      </c>
      <c r="F210" t="str">
        <f>_xlfn.CONCAT("""salmo""",": ","""",VLOOKUP(B210,'Index Web'!A$4:L$236,4,FALSE),"""",",")</f>
        <v>"salmo": "Salmo 47 (46)",</v>
      </c>
      <c r="G210" t="str">
        <f>_xlfn.CONCAT("""letra""",": ","""",Table46[[#This Row],[Pg]],"|",VLOOKUP(B210,'Index Web'!A$4:O$236,15,FALSE)," ",VLOOKUP(B210,'Index Web'!A$4:O$236,13,FALSE),"""",",")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Web'!A$4:N$236,13,FALSE),"""","},"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966</v>
      </c>
      <c r="D211" t="str">
        <f>_xlfn.CONCAT("""",VLOOKUP(B211,'Index Web'!A$4:O$236,13,FALSE),"""",",")</f>
        <v>"tedeum",</v>
      </c>
      <c r="E211" t="str">
        <f>_xlfn.CONCAT("""titulo""",": ","""",VLOOKUP(B211,'Index Web'!A$4:L$236,3,FALSE),"""",",")</f>
        <v>"titulo": "Te deum",</v>
      </c>
      <c r="F211" t="str">
        <f>_xlfn.CONCAT("""salmo""",": ","""",VLOOKUP(B211,'Index Web'!A$4:L$236,4,FALSE),"""",",")</f>
        <v>"salmo": "Himno",</v>
      </c>
      <c r="G211" t="str">
        <f>_xlfn.CONCAT("""letra""",": ","""",Table46[[#This Row],[Pg]],"|",VLOOKUP(B211,'Index Web'!A$4:O$236,15,FALSE)," ",VLOOKUP(B211,'Index Web'!A$4:O$236,13,FALSE),"""",",")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Web'!A$4:N$236,13,FALSE),"""","},"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966</v>
      </c>
      <c r="D212" t="str">
        <f>_xlfn.CONCAT("""",VLOOKUP(B212,'Index Web'!A$4:O$236,13,FALSE),"""",",")</f>
        <v>"teestoyllamandosenor",</v>
      </c>
      <c r="E212" t="str">
        <f>_xlfn.CONCAT("""titulo""",": ","""",VLOOKUP(B212,'Index Web'!A$4:L$236,3,FALSE),"""",",")</f>
        <v>"titulo": "Te estoy llamando, Señor",</v>
      </c>
      <c r="F212" t="str">
        <f>_xlfn.CONCAT("""salmo""",": ","""",VLOOKUP(B212,'Index Web'!A$4:L$236,4,FALSE),"""",",")</f>
        <v>"salmo": "Salmo 141 (140)",</v>
      </c>
      <c r="G212" t="str">
        <f>_xlfn.CONCAT("""letra""",": ","""",Table46[[#This Row],[Pg]],"|",VLOOKUP(B212,'Index Web'!A$4:O$236,15,FALSE)," ",VLOOKUP(B212,'Index Web'!A$4:O$236,13,FALSE),"""",",")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Web'!A$4:N$236,13,FALSE),"""","},"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966</v>
      </c>
      <c r="D213" t="str">
        <f>_xlfn.CONCAT("""",VLOOKUP(B213,'Index Web'!A$4:O$236,13,FALSE),"""",",")</f>
        <v>"tehemanifestadomipecado",</v>
      </c>
      <c r="E213" t="str">
        <f>_xlfn.CONCAT("""titulo""",": ","""",VLOOKUP(B213,'Index Web'!A$4:L$236,3,FALSE),"""",",")</f>
        <v>"titulo": "Te he manifestado mi pecado",</v>
      </c>
      <c r="F213" t="str">
        <f>_xlfn.CONCAT("""salmo""",": ","""",VLOOKUP(B213,'Index Web'!A$4:L$236,4,FALSE),"""",",")</f>
        <v>"salmo": "Salmo 32 (31)",</v>
      </c>
      <c r="G213" t="str">
        <f>_xlfn.CONCAT("""letra""",": ","""",Table46[[#This Row],[Pg]],"|",VLOOKUP(B213,'Index Web'!A$4:O$236,15,FALSE)," ",VLOOKUP(B213,'Index Web'!A$4:O$236,13,FALSE),"""",",")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Web'!A$4:N$236,13,FALSE),"""","},"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966</v>
      </c>
      <c r="D214" t="str">
        <f>_xlfn.CONCAT("""",VLOOKUP(B214,'Index Web'!A$4:O$236,13,FALSE),"""",",")</f>
        <v>"tueresmiesperanzasenor",</v>
      </c>
      <c r="E214" t="str">
        <f>_xlfn.CONCAT("""titulo""",": ","""",VLOOKUP(B214,'Index Web'!A$4:L$236,3,FALSE),"""",",")</f>
        <v>"titulo": "Tú eres mi esperanza, Señor",</v>
      </c>
      <c r="F214" t="str">
        <f>_xlfn.CONCAT("""salmo""",": ","""",VLOOKUP(B214,'Index Web'!A$4:L$236,4,FALSE),"""",",")</f>
        <v>"salmo": "Oda XXIX de Salomón",</v>
      </c>
      <c r="G214" t="str">
        <f>_xlfn.CONCAT("""letra""",": ","""",Table46[[#This Row],[Pg]],"|",VLOOKUP(B214,'Index Web'!A$4:O$236,15,FALSE)," ",VLOOKUP(B214,'Index Web'!A$4:O$236,13,FALSE),"""",",")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Web'!A$4:N$236,13,FALSE),"""","},"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966</v>
      </c>
      <c r="D215" t="str">
        <f>_xlfn.CONCAT("""",VLOOKUP(B215,'Index Web'!A$4:O$236,13,FALSE),"""",",")</f>
        <v>"tuhascubiertodevergüenzalamuerte",</v>
      </c>
      <c r="E215" t="str">
        <f>_xlfn.CONCAT("""titulo""",": ","""",VLOOKUP(B215,'Index Web'!A$4:L$236,3,FALSE),"""",",")</f>
        <v>"titulo": "Tú has cubierto de vergüenza la muerte",</v>
      </c>
      <c r="F215" t="str">
        <f>_xlfn.CONCAT("""salmo""",": ","""",VLOOKUP(B215,'Index Web'!A$4:L$236,4,FALSE),"""",",")</f>
        <v>"salmo": "Homilía Pascual (Melltón de Sardes)",</v>
      </c>
      <c r="G215" t="str">
        <f>_xlfn.CONCAT("""letra""",": ","""",Table46[[#This Row],[Pg]],"|",VLOOKUP(B215,'Index Web'!A$4:O$236,15,FALSE)," ",VLOOKUP(B215,'Index Web'!A$4:O$236,13,FALSE),"""",",")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Web'!A$4:N$236,13,FALSE),"""","},"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966</v>
      </c>
      <c r="D216" t="str">
        <f>_xlfn.CONCAT("""",VLOOKUP(B216,'Index Web'!A$4:O$236,13,FALSE),"""",",")</f>
        <v>"tuqueeresfiel",</v>
      </c>
      <c r="E216" t="str">
        <f>_xlfn.CONCAT("""titulo""",": ","""",VLOOKUP(B216,'Index Web'!A$4:L$236,3,FALSE),"""",",")</f>
        <v>"titulo": "Tú que eres fiel",</v>
      </c>
      <c r="F216" t="str">
        <f>_xlfn.CONCAT("""salmo""",": ","""",VLOOKUP(B216,'Index Web'!A$4:L$236,4,FALSE),"""",",")</f>
        <v>"salmo": "Salmo 143 (142)",</v>
      </c>
      <c r="G216" t="str">
        <f>_xlfn.CONCAT("""letra""",": ","""",Table46[[#This Row],[Pg]],"|",VLOOKUP(B216,'Index Web'!A$4:O$236,15,FALSE)," ",VLOOKUP(B216,'Index Web'!A$4:O$236,13,FALSE),"""",",")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Web'!A$4:N$236,13,FALSE),"""","},"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966</v>
      </c>
      <c r="D217" t="str">
        <f>_xlfn.CONCAT("""",VLOOKUP(B217,'Index Web'!A$4:O$236,13,FALSE),"""",",")</f>
        <v>"unretonobrotadeltroncodejese",</v>
      </c>
      <c r="E217" t="str">
        <f>_xlfn.CONCAT("""titulo""",": ","""",VLOOKUP(B217,'Index Web'!A$4:L$236,3,FALSE),"""",",")</f>
        <v>"titulo": "Un retoño brota del tronco de Jesé",</v>
      </c>
      <c r="F217" t="str">
        <f>_xlfn.CONCAT("""salmo""",": ","""",VLOOKUP(B217,'Index Web'!A$4:L$236,4,FALSE),"""",",")</f>
        <v>"salmo": "Isaías 11,1-11",</v>
      </c>
      <c r="G217" t="str">
        <f>_xlfn.CONCAT("""letra""",": ","""",Table46[[#This Row],[Pg]],"|",VLOOKUP(B217,'Index Web'!A$4:O$236,15,FALSE)," ",VLOOKUP(B217,'Index Web'!A$4:O$236,13,FALSE),"""",",")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Web'!A$4:N$236,13,FALSE),"""","},"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966</v>
      </c>
      <c r="D218" t="str">
        <f>_xlfn.CONCAT("""",VLOOKUP(B218,'Index Web'!A$4:O$236,13,FALSE),"""",",")</f>
        <v>"unagransenal",</v>
      </c>
      <c r="E218" t="str">
        <f>_xlfn.CONCAT("""titulo""",": ","""",VLOOKUP(B218,'Index Web'!A$4:L$236,3,FALSE),"""",",")</f>
        <v>"titulo": "Una gran señal",</v>
      </c>
      <c r="F218" t="str">
        <f>_xlfn.CONCAT("""salmo""",": ","""",VLOOKUP(B218,'Index Web'!A$4:L$236,4,FALSE),"""",",")</f>
        <v>"salmo": "Apocalipsis 12",</v>
      </c>
      <c r="G218" t="str">
        <f>_xlfn.CONCAT("""letra""",": ","""",Table46[[#This Row],[Pg]],"|",VLOOKUP(B218,'Index Web'!A$4:O$236,15,FALSE)," ",VLOOKUP(B218,'Index Web'!A$4:O$236,13,FALSE),"""",",")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Web'!A$4:N$236,13,FALSE),"""","},"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966</v>
      </c>
      <c r="D219" t="str">
        <f>_xlfn.CONCAT("""",VLOOKUP(B219,'Index Web'!A$4:O$236,13,FALSE),"""",",")</f>
        <v>"uriuriura",</v>
      </c>
      <c r="E219" t="str">
        <f>_xlfn.CONCAT("""titulo""",": ","""",VLOOKUP(B219,'Index Web'!A$4:L$236,3,FALSE),"""",",")</f>
        <v>"titulo": "Urí, urí, urá",</v>
      </c>
      <c r="F219" t="str">
        <f>_xlfn.CONCAT("""salmo""",": ","""",VLOOKUP(B219,'Index Web'!A$4:L$236,4,FALSE),"""",",")</f>
        <v>"salmo": "Villancico (Kiko Argüello)",</v>
      </c>
      <c r="G219" t="str">
        <f>_xlfn.CONCAT("""letra""",": ","""",Table46[[#This Row],[Pg]],"|",VLOOKUP(B219,'Index Web'!A$4:O$236,15,FALSE)," ",VLOOKUP(B219,'Index Web'!A$4:O$236,13,FALSE),"""",",")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Web'!A$4:N$236,13,FALSE),"""","},"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966</v>
      </c>
      <c r="D220" t="str">
        <f>_xlfn.CONCAT("""",VLOOKUP(B220,'Index Web'!A$4:O$236,13,FALSE),"""",",")</f>
        <v>"vamosyapastores",</v>
      </c>
      <c r="E220" t="str">
        <f>_xlfn.CONCAT("""titulo""",": ","""",VLOOKUP(B220,'Index Web'!A$4:L$236,3,FALSE),"""",",")</f>
        <v>"titulo": "Vamos ya, pastores",</v>
      </c>
      <c r="F220" t="str">
        <f>_xlfn.CONCAT("""salmo""",": ","""",VLOOKUP(B220,'Index Web'!A$4:L$236,4,FALSE),"""",",")</f>
        <v>"salmo": "Villancico (Kiko Argüello)",</v>
      </c>
      <c r="G220" t="str">
        <f>_xlfn.CONCAT("""letra""",": ","""",Table46[[#This Row],[Pg]],"|",VLOOKUP(B220,'Index Web'!A$4:O$236,15,FALSE)," ",VLOOKUP(B220,'Index Web'!A$4:O$236,13,FALSE),"""",",")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Web'!A$4:N$236,13,FALSE),"""","},"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966</v>
      </c>
      <c r="D221" t="str">
        <f>_xlfn.CONCAT("""",VLOOKUP(B221,'Index Web'!A$4:O$236,13,FALSE),"""",",")</f>
        <v>"vendellibano",</v>
      </c>
      <c r="E221" t="str">
        <f>_xlfn.CONCAT("""titulo""",": ","""",VLOOKUP(B221,'Index Web'!A$4:L$236,3,FALSE),"""",",")</f>
        <v>"titulo": "Ven del Líbano",</v>
      </c>
      <c r="F221" t="str">
        <f>_xlfn.CONCAT("""salmo""",": ","""",VLOOKUP(B221,'Index Web'!A$4:L$236,4,FALSE),"""",",")</f>
        <v>"salmo": "Cantar de los cantares 4,8ss",</v>
      </c>
      <c r="G221" t="str">
        <f>_xlfn.CONCAT("""letra""",": ","""",Table46[[#This Row],[Pg]],"|",VLOOKUP(B221,'Index Web'!A$4:O$236,15,FALSE)," ",VLOOKUP(B221,'Index Web'!A$4:O$236,13,FALSE),"""",",")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Web'!A$4:N$236,13,FALSE),"""","},"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966</v>
      </c>
      <c r="D222" t="str">
        <f>_xlfn.CONCAT("""",VLOOKUP(B222,'Index Web'!A$4:O$236,13,FALSE),"""",",")</f>
        <v>"venespiritusanto",</v>
      </c>
      <c r="E222" t="str">
        <f>_xlfn.CONCAT("""titulo""",": ","""",VLOOKUP(B222,'Index Web'!A$4:L$236,3,FALSE),"""",",")</f>
        <v>"titulo": "Ven, Espíritu Santo",</v>
      </c>
      <c r="F222" t="str">
        <f>_xlfn.CONCAT("""salmo""",": ","""",VLOOKUP(B222,'Index Web'!A$4:L$236,4,FALSE),"""",",")</f>
        <v>"salmo": "Secuencia de Pentecostés - Himno latin. «Veni, Sancte Spiritus»",</v>
      </c>
      <c r="G222" t="str">
        <f>_xlfn.CONCAT("""letra""",": ","""",Table46[[#This Row],[Pg]],"|",VLOOKUP(B222,'Index Web'!A$4:O$236,15,FALSE)," ",VLOOKUP(B222,'Index Web'!A$4:O$236,13,FALSE),"""",",")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Web'!A$4:N$236,13,FALSE),"""","},"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966</v>
      </c>
      <c r="D223" t="str">
        <f>_xlfn.CONCAT("""",VLOOKUP(B223,'Index Web'!A$4:O$236,13,FALSE),"""",",")</f>
        <v>"venhijodelhombre",</v>
      </c>
      <c r="E223" t="str">
        <f>_xlfn.CONCAT("""titulo""",": ","""",VLOOKUP(B223,'Index Web'!A$4:L$236,3,FALSE),"""",",")</f>
        <v>"titulo": "Ven, Hijo del Hombre",</v>
      </c>
      <c r="F223" t="str">
        <f>_xlfn.CONCAT("""salmo""",": ","""",VLOOKUP(B223,'Index Web'!A$4:L$236,4,FALSE),"""",",")</f>
        <v>"salmo": "Apocalipsis 21,17ss",</v>
      </c>
      <c r="G223" t="str">
        <f>_xlfn.CONCAT("""letra""",": ","""",Table46[[#This Row],[Pg]],"|",VLOOKUP(B223,'Index Web'!A$4:O$236,15,FALSE)," ",VLOOKUP(B223,'Index Web'!A$4:O$236,13,FALSE),"""",",")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Web'!A$4:N$236,13,FALSE),"""","},"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966</v>
      </c>
      <c r="D224" t="str">
        <f>_xlfn.CONCAT("""",VLOOKUP(B224,'Index Web'!A$4:O$236,13,FALSE),"""",",")</f>
        <v>"venicreator",</v>
      </c>
      <c r="E224" t="str">
        <f>_xlfn.CONCAT("""titulo""",": ","""",VLOOKUP(B224,'Index Web'!A$4:L$236,3,FALSE),"""",",")</f>
        <v>"titulo": "Veni creator",</v>
      </c>
      <c r="F224" t="str">
        <f>_xlfn.CONCAT("""salmo""",": ","""",VLOOKUP(B224,'Index Web'!A$4:L$236,4,FALSE),"""",",")</f>
        <v>"salmo": "Himno latin",</v>
      </c>
      <c r="G224" t="str">
        <f>_xlfn.CONCAT("""letra""",": ","""",Table46[[#This Row],[Pg]],"|",VLOOKUP(B224,'Index Web'!A$4:O$236,15,FALSE)," ",VLOOKUP(B224,'Index Web'!A$4:O$236,13,FALSE),"""",",")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Web'!A$4:N$236,13,FALSE),"""","},"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966</v>
      </c>
      <c r="D225" t="str">
        <f>_xlfn.CONCAT("""",VLOOKUP(B225,'Index Web'!A$4:O$236,13,FALSE),"""",",")</f>
        <v>"vieneelsenor",</v>
      </c>
      <c r="E225" t="str">
        <f>_xlfn.CONCAT("""titulo""",": ","""",VLOOKUP(B225,'Index Web'!A$4:L$236,3,FALSE),"""",",")</f>
        <v>"titulo": "Viene el Señor",</v>
      </c>
      <c r="F225" t="str">
        <f>_xlfn.CONCAT("""salmo""",": ","""",VLOOKUP(B225,'Index Web'!A$4:L$236,4,FALSE),"""",",")</f>
        <v>"salmo": "Salmo 93 (92) - Apocalipsis 1,5-7",</v>
      </c>
      <c r="G225" t="str">
        <f>_xlfn.CONCAT("""letra""",": ","""",Table46[[#This Row],[Pg]],"|",VLOOKUP(B225,'Index Web'!A$4:O$236,15,FALSE)," ",VLOOKUP(B225,'Index Web'!A$4:O$236,13,FALSE),"""",",")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Web'!A$4:N$236,13,FALSE),"""","},"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966</v>
      </c>
      <c r="D226" t="str">
        <f>_xlfn.CONCAT("""",VLOOKUP(B226,'Index Web'!A$4:O$236,13,FALSE),"""",",")</f>
        <v>"virgendelamaravilla",</v>
      </c>
      <c r="E226" t="str">
        <f>_xlfn.CONCAT("""titulo""",": ","""",VLOOKUP(B226,'Index Web'!A$4:L$236,3,FALSE),"""",",")</f>
        <v>"titulo": "Virgen de la maravilla",</v>
      </c>
      <c r="F226" t="str">
        <f>_xlfn.CONCAT("""salmo""",": ","""",VLOOKUP(B226,'Index Web'!A$4:L$236,4,FALSE),"""",",")</f>
        <v>"salmo": "(Dante Allghlerl)",</v>
      </c>
      <c r="G226" t="str">
        <f>_xlfn.CONCAT("""letra""",": ","""",Table46[[#This Row],[Pg]],"|",VLOOKUP(B226,'Index Web'!A$4:O$236,15,FALSE)," ",VLOOKUP(B226,'Index Web'!A$4:O$236,13,FALSE),"""",",")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Web'!A$4:N$236,13,FALSE),"""","},"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966</v>
      </c>
      <c r="D227" t="str">
        <f>_xlfn.CONCAT("""",VLOOKUP(B227,'Index Web'!A$4:O$236,13,FALSE),"""",",")</f>
        <v>"vividalegres",</v>
      </c>
      <c r="E227" t="str">
        <f>_xlfn.CONCAT("""titulo""",": ","""",VLOOKUP(B227,'Index Web'!A$4:L$236,3,FALSE),"""",",")</f>
        <v>"titulo": "Vivid alegres",</v>
      </c>
      <c r="F227" t="str">
        <f>_xlfn.CONCAT("""salmo""",": ","""",VLOOKUP(B227,'Index Web'!A$4:L$236,4,FALSE),"""",",")</f>
        <v>"salmo": "Filipenses 4,4ss",</v>
      </c>
      <c r="G227" t="str">
        <f>_xlfn.CONCAT("""letra""",": ","""",Table46[[#This Row],[Pg]],"|",VLOOKUP(B227,'Index Web'!A$4:O$236,15,FALSE)," ",VLOOKUP(B227,'Index Web'!A$4:O$236,13,FALSE),"""",",")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Web'!A$4:N$236,13,FALSE),"""","},"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966</v>
      </c>
      <c r="D228" t="str">
        <f>_xlfn.CONCAT("""",VLOOKUP(B228,'Index Web'!A$4:O$236,13,FALSE),"""",",")</f>
        <v>"vosotrossoislaluzdelmundo",</v>
      </c>
      <c r="E228" t="str">
        <f>_xlfn.CONCAT("""titulo""",": ","""",VLOOKUP(B228,'Index Web'!A$4:L$236,3,FALSE),"""",",")</f>
        <v>"titulo": "Vosotros sois la luz del mundo",</v>
      </c>
      <c r="F228" t="str">
        <f>_xlfn.CONCAT("""salmo""",": ","""",VLOOKUP(B228,'Index Web'!A$4:L$236,4,FALSE),"""",",")</f>
        <v>"salmo": "Mateo 5,14ss ",</v>
      </c>
      <c r="G228" t="str">
        <f>_xlfn.CONCAT("""letra""",": ","""",Table46[[#This Row],[Pg]],"|",VLOOKUP(B228,'Index Web'!A$4:O$236,15,FALSE)," ",VLOOKUP(B228,'Index Web'!A$4:O$236,13,FALSE),"""",",")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Web'!A$4:N$236,13,FALSE),"""","},"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966</v>
      </c>
      <c r="D229" t="str">
        <f>_xlfn.CONCAT("""",VLOOKUP(B229,'Index Web'!A$4:O$236,13,FALSE),"""",",")</f>
        <v>"yavienemidios",</v>
      </c>
      <c r="E229" t="str">
        <f>_xlfn.CONCAT("""titulo""",": ","""",VLOOKUP(B229,'Index Web'!A$4:L$236,3,FALSE),"""",",")</f>
        <v>"titulo": "Ya viene mi Dios",</v>
      </c>
      <c r="F229" t="str">
        <f>_xlfn.CONCAT("""salmo""",": ","""",VLOOKUP(B229,'Index Web'!A$4:L$236,4,FALSE),"""",",")</f>
        <v>"salmo": "Villancico (Kiko Argüello)",</v>
      </c>
      <c r="G229" t="str">
        <f>_xlfn.CONCAT("""letra""",": ","""",Table46[[#This Row],[Pg]],"|",VLOOKUP(B229,'Index Web'!A$4:O$236,15,FALSE)," ",VLOOKUP(B229,'Index Web'!A$4:O$236,13,FALSE),"""",",")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Web'!A$4:N$236,13,FALSE),"""","},"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966</v>
      </c>
      <c r="D230" t="str">
        <f>_xlfn.CONCAT("""",VLOOKUP(B230,'Index Web'!A$4:O$236,13,FALSE),"""",",")</f>
        <v>"yahvehtueresmidios",</v>
      </c>
      <c r="E230" t="str">
        <f>_xlfn.CONCAT("""titulo""",": ","""",VLOOKUP(B230,'Index Web'!A$4:L$236,3,FALSE),"""",",")</f>
        <v>"titulo": "Yahveh, tú eres mi Dios",</v>
      </c>
      <c r="F230" t="str">
        <f>_xlfn.CONCAT("""salmo""",": ","""",VLOOKUP(B230,'Index Web'!A$4:L$236,4,FALSE),"""",",")</f>
        <v>"salmo": "Isaías 25,1-8",</v>
      </c>
      <c r="G230" t="str">
        <f>_xlfn.CONCAT("""letra""",": ","""",Table46[[#This Row],[Pg]],"|",VLOOKUP(B230,'Index Web'!A$4:O$236,15,FALSE)," ",VLOOKUP(B230,'Index Web'!A$4:O$236,13,FALSE),"""",",")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Web'!A$4:N$236,13,FALSE),"""","},"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966</v>
      </c>
      <c r="D231" t="str">
        <f>_xlfn.CONCAT("""",VLOOKUP(B231,'Index Web'!A$4:O$236,13,FALSE),"""",",")</f>
        <v>"yoteamosenor",</v>
      </c>
      <c r="E231" t="str">
        <f>_xlfn.CONCAT("""titulo""",": ","""",VLOOKUP(B231,'Index Web'!A$4:L$236,3,FALSE),"""",",")</f>
        <v>"titulo": "Yo te amo, Señor",</v>
      </c>
      <c r="F231" t="str">
        <f>_xlfn.CONCAT("""salmo""",": ","""",VLOOKUP(B231,'Index Web'!A$4:L$236,4,FALSE),"""",",")</f>
        <v>"salmo": "Salmo 18 (17)",</v>
      </c>
      <c r="G231" t="str">
        <f>_xlfn.CONCAT("""letra""",": ","""",Table46[[#This Row],[Pg]],"|",VLOOKUP(B231,'Index Web'!A$4:O$236,15,FALSE)," ",VLOOKUP(B231,'Index Web'!A$4:O$236,13,FALSE),"""",",")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Web'!A$4:N$236,13,FALSE),"""","},"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966</v>
      </c>
      <c r="D232" t="str">
        <f>_xlfn.CONCAT("""",VLOOKUP(B232,'Index Web'!A$4:O$236,13,FALSE),"""",",")</f>
        <v>"yovengoareunir",</v>
      </c>
      <c r="E232" t="str">
        <f>_xlfn.CONCAT("""titulo""",": ","""",VLOOKUP(B232,'Index Web'!A$4:L$236,3,FALSE),"""",",")</f>
        <v>"titulo": "Yo vengo a reunir",</v>
      </c>
      <c r="F232" t="str">
        <f>_xlfn.CONCAT("""salmo""",": ","""",VLOOKUP(B232,'Index Web'!A$4:L$236,4,FALSE),"""",",")</f>
        <v>"salmo": "Isaías 66,18-21",</v>
      </c>
      <c r="G232" t="str">
        <f>_xlfn.CONCAT("""letra""",": ","""",Table46[[#This Row],[Pg]],"|",VLOOKUP(B232,'Index Web'!A$4:O$236,15,FALSE)," ",VLOOKUP(B232,'Index Web'!A$4:O$236,13,FALSE),"""",",")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Web'!A$4:N$236,13,FALSE),"""","},"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966</v>
      </c>
      <c r="D233" t="str">
        <f>_xlfn.CONCAT("""",VLOOKUP(B233,'Index Web'!A$4:O$236,13,FALSE),"""",",")</f>
        <v>"zaqueo",</v>
      </c>
      <c r="E233" t="str">
        <f>_xlfn.CONCAT("""titulo""",": ","""",VLOOKUP(B233,'Index Web'!A$4:L$236,3,FALSE),"""",",")</f>
        <v>"titulo": "Zaqueo",</v>
      </c>
      <c r="F233" t="str">
        <f>_xlfn.CONCAT("""salmo""",": ","""",VLOOKUP(B233,'Index Web'!A$4:L$236,4,FALSE),"""",",")</f>
        <v>"salmo": "Lucas 19,1-10",</v>
      </c>
      <c r="G233" t="str">
        <f>_xlfn.CONCAT("""letra""",": ","""",Table46[[#This Row],[Pg]],"|",VLOOKUP(B233,'Index Web'!A$4:O$236,15,FALSE)," ",VLOOKUP(B233,'Index Web'!A$4:O$236,13,FALSE),"""",",")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Web'!A$4:N$236,13,FALSE),"""","},"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row r="234" spans="2:9" x14ac:dyDescent="0.25">
      <c r="B234" s="45" t="s">
        <v>2004</v>
      </c>
      <c r="C234" t="s">
        <v>966</v>
      </c>
      <c r="D234" t="str">
        <f>_xlfn.CONCAT("""",VLOOKUP(B234,'Index Web'!A$4:O$236,13,FALSE),"""",",")</f>
        <v>"atuluzsenorvemoslaluz",</v>
      </c>
      <c r="E234" t="str">
        <f>_xlfn.CONCAT("""titulo""",": ","""",VLOOKUP(B234,'Index Web'!A$4:L$236,3,FALSE),"""",",")</f>
        <v>"titulo": "A tu luz, Señor, vemos la luz",</v>
      </c>
      <c r="F234" t="str">
        <f>_xlfn.CONCAT("""salmo""",": ","""",VLOOKUP(B234,'Index Web'!A$4:L$236,4,FALSE),"""",",")</f>
        <v>"salmo": "Apocalipsis 19, 11-20",</v>
      </c>
      <c r="G234" t="str">
        <f>_xlfn.CONCAT("""letra""",": ","""",Table46[[#This Row],[Pg]],"|",VLOOKUP(B234,'Index Web'!A$4:O$236,15,FALSE)," ",VLOOKUP(B234,'Index Web'!A$4:O$236,13,FALSE),"""",",")</f>
        <v>"letra": "7a|A tu luz, Señor, vemos la luz. A TU LUZ, SEÑOR, VEMOS LA LUZ. En el corazón del malvado vive el pecado, ante sus ojos no hay temor de Dios, porque se engaña a sí mismo en buscar su culpa y detestarla. Las palabras de su boca son maldad y traición, renuncia a ser sensato y a obrar bien. A TU LUZ, SEÑOR, VEMOS LA LUZ. A TU LUZ, SEÑOR, VEMOS LA LUZ. Acostado medita el crimen, se obstina en el mal camino, no rechaza aldad. Señor, tu gracia llega hasta el cielo, tu fidelidad hasta las nubes. A TU LUZ, SEÑOR, VEMOS LA LUZ. A TU LUZ, SEÑOR, VEMOS LA LUZ. Tu justicia como las altas montañas, tus sentencias como el océano inmenso. Socorres a hombres y animales, ¡Señor, Señor! A TU LUZ, SEÑOR, VEMOS LA LUZ. A TU LUZ, SEÑOR, VEMOS LA LUZ. ¡Qué preciosa es tu gracia, oh Dios! Los humanos se acogen a la sombra de tus alas; Se sacian de la abundancia de tu casa, les das a beber del torrente de tus delicias. A TU LUZ, SEÑOR, VEMOS LA LUZ. A TU LUZ, SEÑOR, VEMOS LA LUZ. En Ti está la fuente de la vida, Tu luz nos hace ver la luz. Concede tu gracia a los que te conocen, tu justicia a los rectos de corazón. A TU LUZ, SEÑOR, VEMOS LA LUZ. A TU LUZ, SEÑOR, VEMOS LA LUZ. Que no me pisotee el pie del soberbio, que no me eche fuera ano del malvado. Han fracasado los malhechores; derribados, no se pueden levantar. A TU LUZ, SEÑOR, VEMOS LA LUZ. A TU LUZ, SEÑOR, VEMOS LA LUZ. atuluzsenorvemoslaluz",</v>
      </c>
      <c r="H234" t="str">
        <f>_xlfn.CONCAT("""archivo""",": ","""/resucito/src/index.html?canto=",VLOOKUP(B234,'Index Web'!A$4:N$236,13,FALSE),"""","}," )</f>
        <v>"archivo": "/resucito/src/index.html?canto=atuluzsenorvemoslaluz"},</v>
      </c>
      <c r="I234" t="str">
        <f>_xlfn.CONCAT(Table46[[#This Row],[id]:[URL]])</f>
        <v>{"id":"atuluzsenorvemoslaluz","titulo": "A tu luz, Señor, vemos la luz","salmo": "Apocalipsis 19, 11-20","letra": "7a|A tu luz, Señor, vemos la luz. A TU LUZ, SEÑOR, VEMOS LA LUZ. En el corazón del malvado vive el pecado, ante sus ojos no hay temor de Dios, porque se engaña a sí mismo en buscar su culpa y detestarla. Las palabras de su boca son maldad y traición, renuncia a ser sensato y a obrar bien. A TU LUZ, SEÑOR, VEMOS LA LUZ. A TU LUZ, SEÑOR, VEMOS LA LUZ. Acostado medita el crimen, se obstina en el mal camino, no rechaza aldad. Señor, tu gracia llega hasta el cielo, tu fidelidad hasta las nubes. A TU LUZ, SEÑOR, VEMOS LA LUZ. A TU LUZ, SEÑOR, VEMOS LA LUZ. Tu justicia como las altas montañas, tus sentencias como el océano inmenso. Socorres a hombres y animales, ¡Señor, Señor! A TU LUZ, SEÑOR, VEMOS LA LUZ. A TU LUZ, SEÑOR, VEMOS LA LUZ. ¡Qué preciosa es tu gracia, oh Dios! Los humanos se acogen a la sombra de tus alas; Se sacian de la abundancia de tu casa, les das a beber del torrente de tus delicias. A TU LUZ, SEÑOR, VEMOS LA LUZ. A TU LUZ, SEÑOR, VEMOS LA LUZ. En Ti está la fuente de la vida, Tu luz nos hace ver la luz. Concede tu gracia a los que te conocen, tu justicia a los rectos de corazón. A TU LUZ, SEÑOR, VEMOS LA LUZ. A TU LUZ, SEÑOR, VEMOS LA LUZ. Que no me pisotee el pie del soberbio, que no me eche fuera ano del malvado. Han fracasado los malhechores; derribados, no se pueden levantar. A TU LUZ, SEÑOR, VEMOS LA LUZ. A TU LUZ, SEÑOR, VEMOS LA LUZ. atuluzsenorvemoslaluz","archivo": "/resucito/src/index.html?canto=atuluzsenorvemoslaluz"},</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theme="5"/>
  </sheetPr>
  <dimension ref="A1:P242"/>
  <sheetViews>
    <sheetView zoomScale="145" zoomScaleNormal="145" workbookViewId="0">
      <pane xSplit="1" ySplit="2" topLeftCell="B172" activePane="bottomRight" state="frozen"/>
      <selection pane="topRight" activeCell="B1" sqref="B1"/>
      <selection pane="bottomLeft" activeCell="A3" sqref="A3"/>
      <selection pane="bottomRight" activeCell="M188" sqref="M188"/>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709</v>
      </c>
    </row>
    <row r="2" spans="1:16" x14ac:dyDescent="0.25">
      <c r="A2" t="s">
        <v>259</v>
      </c>
      <c r="B2" t="s">
        <v>260</v>
      </c>
      <c r="C2" t="s">
        <v>1</v>
      </c>
      <c r="D2" t="s">
        <v>264</v>
      </c>
      <c r="E2" t="s">
        <v>263</v>
      </c>
      <c r="F2" t="s">
        <v>2</v>
      </c>
      <c r="G2" t="s">
        <v>3</v>
      </c>
      <c r="H2" t="s">
        <v>4</v>
      </c>
      <c r="I2" t="s">
        <v>5</v>
      </c>
      <c r="J2" t="s">
        <v>6</v>
      </c>
      <c r="K2" t="s">
        <v>7</v>
      </c>
      <c r="L2" t="s">
        <v>8</v>
      </c>
      <c r="M2" t="s">
        <v>482</v>
      </c>
      <c r="N2" t="s">
        <v>708</v>
      </c>
      <c r="O2" t="s">
        <v>710</v>
      </c>
      <c r="P2" t="s">
        <v>976</v>
      </c>
    </row>
    <row r="3" spans="1:16" x14ac:dyDescent="0.25">
      <c r="A3" s="1">
        <v>0</v>
      </c>
      <c r="B3" s="1">
        <v>0</v>
      </c>
      <c r="C3" s="21" t="s">
        <v>1996</v>
      </c>
      <c r="D3" s="21" t="s">
        <v>1997</v>
      </c>
      <c r="E3" t="s">
        <v>1998</v>
      </c>
      <c r="F3" s="2" t="s">
        <v>12</v>
      </c>
      <c r="G3" s="3" t="s">
        <v>13</v>
      </c>
      <c r="H3" t="s">
        <v>23</v>
      </c>
      <c r="I3" t="s">
        <v>48</v>
      </c>
      <c r="J3" s="5" t="s">
        <v>17</v>
      </c>
      <c r="M3" t="s">
        <v>1999</v>
      </c>
      <c r="N3" t="str">
        <f>"""" &amp; _xlfn.TEXTJOIN(""",""",TRUE,Table223[[#This Row],[Categoria1]:[Categoria7]]) &amp; """"</f>
        <v>"Pascua","Pentecostés","Entrada","Comunión","Cuaresma"</v>
      </c>
      <c r="P3" t="str">
        <f>"""" &amp; _xlfn.TEXTJOIN(""",""",TRUE,Table223[[#This Row],[Categoria]:[Categoria7]]) &amp; """"</f>
        <v>"Catolicos","Pascua","Pentecostés","Entrada","Comunión","Cuaresma"</v>
      </c>
    </row>
    <row r="4" spans="1:16" x14ac:dyDescent="0.25">
      <c r="A4" s="18">
        <v>237</v>
      </c>
      <c r="B4" s="18">
        <v>1</v>
      </c>
      <c r="C4" s="19" t="s">
        <v>248</v>
      </c>
      <c r="D4" s="19" t="s">
        <v>439</v>
      </c>
      <c r="E4" s="19" t="s">
        <v>960</v>
      </c>
      <c r="F4" s="2" t="s">
        <v>12</v>
      </c>
      <c r="G4" s="3" t="s">
        <v>13</v>
      </c>
      <c r="H4" t="s">
        <v>23</v>
      </c>
      <c r="M4" t="s">
        <v>700</v>
      </c>
      <c r="N4" t="str">
        <f>"""" &amp; _xlfn.TEXTJOIN(""",""",TRUE,Table223[[#This Row],[Categoria1]:[Categoria7]]) &amp; """"</f>
        <v>"Pascua","Pentecostés","Entrada"</v>
      </c>
      <c r="O4" t="s">
        <v>798</v>
      </c>
      <c r="P4" t="str">
        <f>"""" &amp; _xlfn.TEXTJOIN(""",""",TRUE,Table223[[#This Row],[Categoria]:[Categoria7]]) &amp; """"</f>
        <v>"Eleccion","Pascua","Pentecostés","Entrada"</v>
      </c>
    </row>
    <row r="5" spans="1:16" x14ac:dyDescent="0.25">
      <c r="A5" s="1">
        <v>1</v>
      </c>
      <c r="B5" s="1">
        <v>2</v>
      </c>
      <c r="C5" t="s">
        <v>11</v>
      </c>
      <c r="D5" t="s">
        <v>265</v>
      </c>
      <c r="E5" t="s">
        <v>261</v>
      </c>
      <c r="F5" s="2" t="s">
        <v>12</v>
      </c>
      <c r="G5" s="3" t="s">
        <v>13</v>
      </c>
      <c r="H5" t="s">
        <v>48</v>
      </c>
      <c r="M5" t="s">
        <v>483</v>
      </c>
      <c r="N5" t="str">
        <f>"""" &amp; _xlfn.TEXTJOIN(""",""",TRUE,Table223[[#This Row],[Categoria1]:[Categoria7]]) &amp; """"</f>
        <v>"Pascua","Pentecostés","Comunión"</v>
      </c>
      <c r="O5" t="s">
        <v>711</v>
      </c>
      <c r="P5" t="str">
        <f>"""" &amp; _xlfn.TEXTJOIN(""",""",TRUE,Table223[[#This Row],[Categoria]:[Categoria7]]) &amp; """"</f>
        <v>"Precatecumenado","Pascua","Pentecostés","Comunión"</v>
      </c>
    </row>
    <row r="6" spans="1:16" x14ac:dyDescent="0.25">
      <c r="A6" s="1">
        <v>2</v>
      </c>
      <c r="B6" s="1">
        <v>3</v>
      </c>
      <c r="C6" t="s">
        <v>14</v>
      </c>
      <c r="D6" t="s">
        <v>266</v>
      </c>
      <c r="E6" t="s">
        <v>261</v>
      </c>
      <c r="F6" s="4" t="s">
        <v>15</v>
      </c>
      <c r="M6" t="s">
        <v>484</v>
      </c>
      <c r="N6" t="str">
        <f>"""" &amp; _xlfn.TEXTJOIN(""",""",TRUE,Table223[[#This Row],[Categoria1]:[Categoria7]]) &amp; """"</f>
        <v>"Nuevo Testamento"</v>
      </c>
      <c r="O6" t="s">
        <v>712</v>
      </c>
      <c r="P6" t="str">
        <f>"""" &amp; _xlfn.TEXTJOIN(""",""",TRUE,Table223[[#This Row],[Categoria]:[Categoria7]]) &amp; """"</f>
        <v>"Precatecumenado","Nuevo Testamento"</v>
      </c>
    </row>
    <row r="7" spans="1:16" x14ac:dyDescent="0.25">
      <c r="A7" s="1">
        <v>3</v>
      </c>
      <c r="B7" s="1">
        <v>4</v>
      </c>
      <c r="C7" t="s">
        <v>16</v>
      </c>
      <c r="D7" t="s">
        <v>267</v>
      </c>
      <c r="E7" t="s">
        <v>261</v>
      </c>
      <c r="F7" s="5" t="s">
        <v>17</v>
      </c>
      <c r="G7" s="6" t="s">
        <v>18</v>
      </c>
      <c r="M7" t="s">
        <v>485</v>
      </c>
      <c r="N7" t="str">
        <f>"""" &amp; _xlfn.TEXTJOIN(""",""",TRUE,Table223[[#This Row],[Categoria1]:[Categoria7]]) &amp; """"</f>
        <v>"Cuaresma","Antiguo Testamento"</v>
      </c>
      <c r="O7" t="s">
        <v>713</v>
      </c>
      <c r="P7" t="str">
        <f>"""" &amp; _xlfn.TEXTJOIN(""",""",TRUE,Table223[[#This Row],[Categoria]:[Categoria7]]) &amp; """"</f>
        <v>"Precatecumenado","Cuaresma","Antiguo Testamento"</v>
      </c>
    </row>
    <row r="8" spans="1:16" x14ac:dyDescent="0.25">
      <c r="A8" s="1">
        <v>4</v>
      </c>
      <c r="B8" s="1">
        <v>5</v>
      </c>
      <c r="C8" t="s">
        <v>19</v>
      </c>
      <c r="D8" t="s">
        <v>268</v>
      </c>
      <c r="E8" t="s">
        <v>261</v>
      </c>
      <c r="F8" s="5" t="s">
        <v>17</v>
      </c>
      <c r="G8" s="6" t="s">
        <v>18</v>
      </c>
      <c r="M8" t="s">
        <v>486</v>
      </c>
      <c r="N8" t="str">
        <f>"""" &amp; _xlfn.TEXTJOIN(""",""",TRUE,Table223[[#This Row],[Categoria1]:[Categoria7]]) &amp; """"</f>
        <v>"Cuaresma","Antiguo Testamento"</v>
      </c>
      <c r="O8" t="s">
        <v>714</v>
      </c>
      <c r="P8" t="str">
        <f>"""" &amp; _xlfn.TEXTJOIN(""",""",TRUE,Table223[[#This Row],[Categoria]:[Categoria7]]) &amp; """"</f>
        <v>"Precatecumenado","Cuaresma","Antiguo Testamento"</v>
      </c>
    </row>
    <row r="9" spans="1:16" x14ac:dyDescent="0.25">
      <c r="A9" s="1">
        <v>5</v>
      </c>
      <c r="B9" s="1">
        <v>6</v>
      </c>
      <c r="C9" t="s">
        <v>20</v>
      </c>
      <c r="D9" t="s">
        <v>269</v>
      </c>
      <c r="E9" t="s">
        <v>261</v>
      </c>
      <c r="F9" s="5" t="s">
        <v>17</v>
      </c>
      <c r="G9" s="6" t="s">
        <v>18</v>
      </c>
      <c r="M9" t="s">
        <v>487</v>
      </c>
      <c r="N9" t="str">
        <f>"""" &amp; _xlfn.TEXTJOIN(""",""",TRUE,Table223[[#This Row],[Categoria1]:[Categoria7]]) &amp; """"</f>
        <v>"Cuaresma","Antiguo Testamento"</v>
      </c>
      <c r="O9" t="s">
        <v>799</v>
      </c>
      <c r="P9" t="str">
        <f>"""" &amp; _xlfn.TEXTJOIN(""",""",TRUE,Table223[[#This Row],[Categoria]:[Categoria7]]) &amp; """"</f>
        <v>"Precatecumenado","Cuaresma","Antiguo Testamento"</v>
      </c>
    </row>
    <row r="10" spans="1:16" x14ac:dyDescent="0.25">
      <c r="A10" s="1">
        <v>6</v>
      </c>
      <c r="B10" s="1">
        <v>7</v>
      </c>
      <c r="C10" t="s">
        <v>21</v>
      </c>
      <c r="D10" t="s">
        <v>270</v>
      </c>
      <c r="E10" t="s">
        <v>261</v>
      </c>
      <c r="F10" s="5" t="s">
        <v>17</v>
      </c>
      <c r="G10" s="6" t="s">
        <v>18</v>
      </c>
      <c r="M10" t="s">
        <v>488</v>
      </c>
      <c r="N10" t="str">
        <f>"""" &amp; _xlfn.TEXTJOIN(""",""",TRUE,Table223[[#This Row],[Categoria1]:[Categoria7]]) &amp; """"</f>
        <v>"Cuaresma","Antiguo Testamento"</v>
      </c>
      <c r="O10" t="s">
        <v>800</v>
      </c>
      <c r="P10" t="str">
        <f>"""" &amp; _xlfn.TEXTJOIN(""",""",TRUE,Table223[[#This Row],[Categoria]:[Categoria7]]) &amp; """"</f>
        <v>"Precatecumenado","Cuaresma","Antiguo Testamento"</v>
      </c>
    </row>
    <row r="11" spans="1:16" x14ac:dyDescent="0.25">
      <c r="A11" s="1" t="s">
        <v>2004</v>
      </c>
      <c r="B11" s="1">
        <v>8</v>
      </c>
      <c r="C11" s="21" t="s">
        <v>2005</v>
      </c>
      <c r="D11" s="21" t="s">
        <v>2006</v>
      </c>
      <c r="E11" t="s">
        <v>261</v>
      </c>
      <c r="F11" s="5"/>
      <c r="G11" s="6"/>
      <c r="M11" t="s">
        <v>2007</v>
      </c>
      <c r="N11" t="str">
        <f>"""" &amp; _xlfn.TEXTJOIN(""",""",TRUE,Table223[[#This Row],[Categoria1]:[Categoria7]]) &amp; """"</f>
        <v>""</v>
      </c>
      <c r="O11" t="s">
        <v>2008</v>
      </c>
      <c r="P11" t="str">
        <f>"""" &amp; _xlfn.TEXTJOIN(""",""",TRUE,Table223[[#This Row],[Categoria]:[Categoria7]]) &amp; """"</f>
        <v>"Precatecumenado"</v>
      </c>
    </row>
    <row r="12" spans="1:16" x14ac:dyDescent="0.25">
      <c r="A12" s="1">
        <v>7</v>
      </c>
      <c r="B12" s="1">
        <v>9</v>
      </c>
      <c r="C12" t="s">
        <v>22</v>
      </c>
      <c r="D12" t="s">
        <v>271</v>
      </c>
      <c r="E12" t="s">
        <v>261</v>
      </c>
      <c r="F12" s="2" t="s">
        <v>12</v>
      </c>
      <c r="G12" s="3" t="s">
        <v>13</v>
      </c>
      <c r="H12" s="4" t="s">
        <v>15</v>
      </c>
      <c r="I12" t="s">
        <v>23</v>
      </c>
      <c r="M12" t="s">
        <v>489</v>
      </c>
      <c r="N12" t="str">
        <f>"""" &amp; _xlfn.TEXTJOIN(""",""",TRUE,Table223[[#This Row],[Categoria1]:[Categoria7]]) &amp; """"</f>
        <v>"Pascua","Pentecostés","Nuevo Testamento","Entrada"</v>
      </c>
      <c r="O12" t="s">
        <v>715</v>
      </c>
      <c r="P12" t="str">
        <f>"""" &amp; _xlfn.TEXTJOIN(""",""",TRUE,Table223[[#This Row],[Categoria]:[Categoria7]]) &amp; """"</f>
        <v>"Precatecumenado","Pascua","Pentecostés","Nuevo Testamento","Entrada"</v>
      </c>
    </row>
    <row r="13" spans="1:16" x14ac:dyDescent="0.25">
      <c r="A13" s="1">
        <v>8</v>
      </c>
      <c r="B13" s="1">
        <v>10</v>
      </c>
      <c r="C13" t="s">
        <v>24</v>
      </c>
      <c r="D13" t="s">
        <v>272</v>
      </c>
      <c r="E13" t="s">
        <v>261</v>
      </c>
      <c r="F13" t="s">
        <v>23</v>
      </c>
      <c r="G13" s="6" t="s">
        <v>18</v>
      </c>
      <c r="M13" t="s">
        <v>490</v>
      </c>
      <c r="N13" t="str">
        <f>"""" &amp; _xlfn.TEXTJOIN(""",""",TRUE,Table223[[#This Row],[Categoria1]:[Categoria7]]) &amp; """"</f>
        <v>"Entrada","Antiguo Testamento"</v>
      </c>
      <c r="O13" t="s">
        <v>716</v>
      </c>
      <c r="P13" t="str">
        <f>"""" &amp; _xlfn.TEXTJOIN(""",""",TRUE,Table223[[#This Row],[Categoria]:[Categoria7]]) &amp; """"</f>
        <v>"Precatecumenado","Entrada","Antiguo Testamento"</v>
      </c>
    </row>
    <row r="14" spans="1:16" x14ac:dyDescent="0.25">
      <c r="A14" s="10">
        <v>179</v>
      </c>
      <c r="B14" s="1">
        <v>11</v>
      </c>
      <c r="C14" s="11" t="s">
        <v>200</v>
      </c>
      <c r="D14" s="11" t="s">
        <v>400</v>
      </c>
      <c r="E14" s="11" t="s">
        <v>961</v>
      </c>
      <c r="F14" s="5"/>
      <c r="H14" s="4"/>
      <c r="M14" t="s">
        <v>655</v>
      </c>
      <c r="N14" t="str">
        <f>"""" &amp; _xlfn.TEXTJOIN(""",""",TRUE,Table223[[#This Row],[Categoria1]:[Categoria7]]) &amp; """"</f>
        <v>""</v>
      </c>
      <c r="O14" t="s">
        <v>717</v>
      </c>
      <c r="P14" t="str">
        <f>"""" &amp; _xlfn.TEXTJOIN(""",""",TRUE,Table223[[#This Row],[Categoria]:[Categoria7]]) &amp; """"</f>
        <v>"Liturgia"</v>
      </c>
    </row>
    <row r="15" spans="1:16" x14ac:dyDescent="0.25">
      <c r="A15" s="1">
        <v>9</v>
      </c>
      <c r="B15" s="1">
        <v>12</v>
      </c>
      <c r="C15" t="s">
        <v>25</v>
      </c>
      <c r="D15" t="s">
        <v>273</v>
      </c>
      <c r="E15" t="s">
        <v>261</v>
      </c>
      <c r="F15" t="s">
        <v>23</v>
      </c>
      <c r="G15" s="6" t="s">
        <v>18</v>
      </c>
      <c r="M15" t="s">
        <v>491</v>
      </c>
      <c r="N15" t="str">
        <f>"""" &amp; _xlfn.TEXTJOIN(""",""",TRUE,Table223[[#This Row],[Categoria1]:[Categoria7]]) &amp; """"</f>
        <v>"Entrada","Antiguo Testamento"</v>
      </c>
      <c r="O15" t="s">
        <v>718</v>
      </c>
      <c r="P15" t="str">
        <f>"""" &amp; _xlfn.TEXTJOIN(""",""",TRUE,Table223[[#This Row],[Categoria]:[Categoria7]]) &amp; """"</f>
        <v>"Precatecumenado","Entrada","Antiguo Testamento"</v>
      </c>
    </row>
    <row r="16" spans="1:16" x14ac:dyDescent="0.25">
      <c r="A16" s="20">
        <v>238</v>
      </c>
      <c r="B16" s="1">
        <v>13</v>
      </c>
      <c r="C16" s="21" t="s">
        <v>249</v>
      </c>
      <c r="D16" s="21" t="s">
        <v>440</v>
      </c>
      <c r="E16" s="21" t="s">
        <v>960</v>
      </c>
      <c r="F16" s="2"/>
      <c r="G16" s="3"/>
      <c r="M16" t="s">
        <v>701</v>
      </c>
      <c r="N16" t="str">
        <f>"""" &amp; _xlfn.TEXTJOIN(""",""",TRUE,Table223[[#This Row],[Categoria1]:[Categoria7]]) &amp; """"</f>
        <v>""</v>
      </c>
      <c r="O16" t="s">
        <v>801</v>
      </c>
      <c r="P16" t="str">
        <f>"""" &amp; _xlfn.TEXTJOIN(""",""",TRUE,Table223[[#This Row],[Categoria]:[Categoria7]]) &amp; """"</f>
        <v>"Eleccion"</v>
      </c>
    </row>
    <row r="17" spans="1:16" x14ac:dyDescent="0.25">
      <c r="A17" s="1">
        <v>10</v>
      </c>
      <c r="B17" s="1">
        <v>14</v>
      </c>
      <c r="C17" t="s">
        <v>26</v>
      </c>
      <c r="D17" t="s">
        <v>274</v>
      </c>
      <c r="E17" t="s">
        <v>261</v>
      </c>
      <c r="F17" s="5" t="s">
        <v>17</v>
      </c>
      <c r="G17" s="6" t="s">
        <v>18</v>
      </c>
      <c r="M17" t="s">
        <v>492</v>
      </c>
      <c r="N17" t="str">
        <f>"""" &amp; _xlfn.TEXTJOIN(""",""",TRUE,Table223[[#This Row],[Categoria1]:[Categoria7]]) &amp; """"</f>
        <v>"Cuaresma","Antiguo Testamento"</v>
      </c>
      <c r="O17" t="s">
        <v>719</v>
      </c>
      <c r="P17" t="str">
        <f>"""" &amp; _xlfn.TEXTJOIN(""",""",TRUE,Table223[[#This Row],[Categoria]:[Categoria7]]) &amp; """"</f>
        <v>"Precatecumenado","Cuaresma","Antiguo Testamento"</v>
      </c>
    </row>
    <row r="18" spans="1:16" x14ac:dyDescent="0.25">
      <c r="A18" s="1">
        <v>11</v>
      </c>
      <c r="B18" s="1">
        <v>15</v>
      </c>
      <c r="C18" t="s">
        <v>27</v>
      </c>
      <c r="D18" t="s">
        <v>275</v>
      </c>
      <c r="E18" t="s">
        <v>261</v>
      </c>
      <c r="F18" s="6" t="s">
        <v>18</v>
      </c>
      <c r="M18" t="s">
        <v>493</v>
      </c>
      <c r="N18" t="str">
        <f>"""" &amp; _xlfn.TEXTJOIN(""",""",TRUE,Table223[[#This Row],[Categoria1]:[Categoria7]]) &amp; """"</f>
        <v>"Antiguo Testamento"</v>
      </c>
      <c r="O18" t="s">
        <v>720</v>
      </c>
      <c r="P18" t="str">
        <f>"""" &amp; _xlfn.TEXTJOIN(""",""",TRUE,Table223[[#This Row],[Categoria]:[Categoria7]]) &amp; """"</f>
        <v>"Precatecumenado","Antiguo Testamento"</v>
      </c>
    </row>
    <row r="19" spans="1:16" x14ac:dyDescent="0.25">
      <c r="A19" s="1">
        <v>12</v>
      </c>
      <c r="B19" s="1">
        <v>16</v>
      </c>
      <c r="C19" t="s">
        <v>28</v>
      </c>
      <c r="D19" t="s">
        <v>276</v>
      </c>
      <c r="E19" t="s">
        <v>261</v>
      </c>
      <c r="F19" s="7" t="s">
        <v>29</v>
      </c>
      <c r="G19" s="8" t="s">
        <v>30</v>
      </c>
      <c r="H19" t="s">
        <v>31</v>
      </c>
      <c r="M19" t="s">
        <v>494</v>
      </c>
      <c r="N19" t="str">
        <f>"""" &amp; _xlfn.TEXTJOIN(""",""",TRUE,Table223[[#This Row],[Categoria1]:[Categoria7]]) &amp; """"</f>
        <v>"Adviento","Navidad","Niños"</v>
      </c>
      <c r="O19" t="s">
        <v>721</v>
      </c>
      <c r="P19" t="str">
        <f>"""" &amp; _xlfn.TEXTJOIN(""",""",TRUE,Table223[[#This Row],[Categoria]:[Categoria7]]) &amp; """"</f>
        <v>"Precatecumenado","Adviento","Navidad","Niños"</v>
      </c>
    </row>
    <row r="20" spans="1:16" x14ac:dyDescent="0.25">
      <c r="A20" s="12">
        <v>180</v>
      </c>
      <c r="B20" s="1">
        <v>17</v>
      </c>
      <c r="C20" s="13" t="s">
        <v>201</v>
      </c>
      <c r="D20" s="13" t="s">
        <v>401</v>
      </c>
      <c r="E20" s="13" t="s">
        <v>961</v>
      </c>
      <c r="F20" s="5"/>
      <c r="H20" s="4"/>
      <c r="M20" t="s">
        <v>656</v>
      </c>
      <c r="N20" t="str">
        <f>"""" &amp; _xlfn.TEXTJOIN(""",""",TRUE,Table223[[#This Row],[Categoria1]:[Categoria7]]) &amp; """"</f>
        <v>""</v>
      </c>
      <c r="O20" t="s">
        <v>802</v>
      </c>
      <c r="P20" t="str">
        <f>"""" &amp; _xlfn.TEXTJOIN(""",""",TRUE,Table223[[#This Row],[Categoria]:[Categoria7]]) &amp; """"</f>
        <v>"Liturgia"</v>
      </c>
    </row>
    <row r="21" spans="1:16" x14ac:dyDescent="0.25">
      <c r="A21" s="10">
        <v>181</v>
      </c>
      <c r="B21" s="1">
        <v>18</v>
      </c>
      <c r="C21" s="11" t="s">
        <v>202</v>
      </c>
      <c r="D21" s="11" t="s">
        <v>402</v>
      </c>
      <c r="E21" s="11" t="s">
        <v>961</v>
      </c>
      <c r="F21" s="2" t="s">
        <v>12</v>
      </c>
      <c r="H21" s="4"/>
      <c r="M21" t="s">
        <v>657</v>
      </c>
      <c r="N21" t="str">
        <f>"""" &amp; _xlfn.TEXTJOIN(""",""",TRUE,Table223[[#This Row],[Categoria1]:[Categoria7]]) &amp; """"</f>
        <v>"Pascua"</v>
      </c>
      <c r="O21" t="s">
        <v>722</v>
      </c>
      <c r="P21" t="str">
        <f>"""" &amp; _xlfn.TEXTJOIN(""",""",TRUE,Table223[[#This Row],[Categoria]:[Categoria7]]) &amp; """"</f>
        <v>"Liturgia","Pascua"</v>
      </c>
    </row>
    <row r="22" spans="1:16" x14ac:dyDescent="0.25">
      <c r="A22" s="1">
        <v>13</v>
      </c>
      <c r="B22" s="1">
        <v>19</v>
      </c>
      <c r="C22" t="s">
        <v>32</v>
      </c>
      <c r="D22" t="s">
        <v>277</v>
      </c>
      <c r="E22" t="s">
        <v>261</v>
      </c>
      <c r="F22" s="6" t="s">
        <v>18</v>
      </c>
      <c r="M22" t="s">
        <v>495</v>
      </c>
      <c r="N22" t="str">
        <f>"""" &amp; _xlfn.TEXTJOIN(""",""",TRUE,Table223[[#This Row],[Categoria1]:[Categoria7]]) &amp; """"</f>
        <v>"Antiguo Testamento"</v>
      </c>
      <c r="O22" t="s">
        <v>723</v>
      </c>
      <c r="P22" t="str">
        <f>"""" &amp; _xlfn.TEXTJOIN(""",""",TRUE,Table223[[#This Row],[Categoria]:[Categoria7]]) &amp; """"</f>
        <v>"Precatecumenado","Antiguo Testamento"</v>
      </c>
    </row>
    <row r="23" spans="1:16" x14ac:dyDescent="0.25">
      <c r="A23" s="1">
        <v>14</v>
      </c>
      <c r="B23" s="1">
        <v>20</v>
      </c>
      <c r="C23" t="s">
        <v>33</v>
      </c>
      <c r="D23" t="s">
        <v>278</v>
      </c>
      <c r="E23" t="s">
        <v>261</v>
      </c>
      <c r="F23" s="2" t="s">
        <v>12</v>
      </c>
      <c r="G23" s="3" t="s">
        <v>13</v>
      </c>
      <c r="H23" t="s">
        <v>34</v>
      </c>
      <c r="I23" t="s">
        <v>31</v>
      </c>
      <c r="J23" s="6" t="s">
        <v>18</v>
      </c>
      <c r="M23" t="s">
        <v>496</v>
      </c>
      <c r="N23" t="str">
        <f>"""" &amp; _xlfn.TEXTJOIN(""",""",TRUE,Table223[[#This Row],[Categoria1]:[Categoria7]]) &amp; """"</f>
        <v>"Pascua","Pentecostés","Paz","Niños","Antiguo Testamento"</v>
      </c>
      <c r="O23" t="s">
        <v>724</v>
      </c>
      <c r="P23" t="str">
        <f>"""" &amp; _xlfn.TEXTJOIN(""",""",TRUE,Table223[[#This Row],[Categoria]:[Categoria7]]) &amp; """"</f>
        <v>"Precatecumenado","Pascua","Pentecostés","Paz","Niños","Antiguo Testamento"</v>
      </c>
    </row>
    <row r="24" spans="1:16" x14ac:dyDescent="0.25">
      <c r="A24" s="1">
        <v>15</v>
      </c>
      <c r="B24" s="1">
        <v>21</v>
      </c>
      <c r="C24" t="s">
        <v>35</v>
      </c>
      <c r="D24" t="s">
        <v>279</v>
      </c>
      <c r="E24" t="s">
        <v>261</v>
      </c>
      <c r="F24" s="2" t="s">
        <v>12</v>
      </c>
      <c r="G24" s="3" t="s">
        <v>13</v>
      </c>
      <c r="H24" s="4" t="s">
        <v>15</v>
      </c>
      <c r="M24" t="s">
        <v>497</v>
      </c>
      <c r="N24" t="str">
        <f>"""" &amp; _xlfn.TEXTJOIN(""",""",TRUE,Table223[[#This Row],[Categoria1]:[Categoria7]]) &amp; """"</f>
        <v>"Pascua","Pentecostés","Nuevo Testamento"</v>
      </c>
      <c r="O24" t="s">
        <v>725</v>
      </c>
      <c r="P24" t="str">
        <f>"""" &amp; _xlfn.TEXTJOIN(""",""",TRUE,Table223[[#This Row],[Categoria]:[Categoria7]]) &amp; """"</f>
        <v>"Precatecumenado","Pascua","Pentecostés","Nuevo Testamento"</v>
      </c>
    </row>
    <row r="25" spans="1:16" x14ac:dyDescent="0.25">
      <c r="A25" s="1">
        <v>16</v>
      </c>
      <c r="B25" s="1">
        <v>22</v>
      </c>
      <c r="C25" t="s">
        <v>36</v>
      </c>
      <c r="D25" t="s">
        <v>280</v>
      </c>
      <c r="E25" t="s">
        <v>261</v>
      </c>
      <c r="F25" t="s">
        <v>23</v>
      </c>
      <c r="G25" s="6" t="s">
        <v>18</v>
      </c>
      <c r="M25" t="s">
        <v>498</v>
      </c>
      <c r="N25" t="str">
        <f>"""" &amp; _xlfn.TEXTJOIN(""",""",TRUE,Table223[[#This Row],[Categoria1]:[Categoria7]]) &amp; """"</f>
        <v>"Entrada","Antiguo Testamento"</v>
      </c>
      <c r="O25" t="s">
        <v>726</v>
      </c>
      <c r="P25" t="str">
        <f>"""" &amp; _xlfn.TEXTJOIN(""",""",TRUE,Table223[[#This Row],[Categoria]:[Categoria7]]) &amp; """"</f>
        <v>"Precatecumenado","Entrada","Antiguo Testamento"</v>
      </c>
    </row>
    <row r="26" spans="1:16" x14ac:dyDescent="0.25">
      <c r="A26" s="1">
        <v>17</v>
      </c>
      <c r="B26" s="1">
        <v>23</v>
      </c>
      <c r="C26" t="s">
        <v>37</v>
      </c>
      <c r="D26" t="s">
        <v>281</v>
      </c>
      <c r="E26" t="s">
        <v>261</v>
      </c>
      <c r="F26" t="s">
        <v>23</v>
      </c>
      <c r="G26" s="4" t="s">
        <v>15</v>
      </c>
      <c r="M26" t="s">
        <v>499</v>
      </c>
      <c r="N26" t="str">
        <f>"""" &amp; _xlfn.TEXTJOIN(""",""",TRUE,Table223[[#This Row],[Categoria1]:[Categoria7]]) &amp; """"</f>
        <v>"Entrada","Nuevo Testamento"</v>
      </c>
      <c r="O26" t="s">
        <v>727</v>
      </c>
      <c r="P26" t="str">
        <f>"""" &amp; _xlfn.TEXTJOIN(""",""",TRUE,Table223[[#This Row],[Categoria]:[Categoria7]]) &amp; """"</f>
        <v>"Precatecumenado","Entrada","Nuevo Testamento"</v>
      </c>
    </row>
    <row r="27" spans="1:16" x14ac:dyDescent="0.25">
      <c r="A27" s="1">
        <v>18</v>
      </c>
      <c r="B27" s="1">
        <v>24</v>
      </c>
      <c r="C27" t="s">
        <v>38</v>
      </c>
      <c r="D27" t="s">
        <v>282</v>
      </c>
      <c r="E27" t="s">
        <v>261</v>
      </c>
      <c r="F27" s="5" t="s">
        <v>17</v>
      </c>
      <c r="G27" s="6" t="s">
        <v>18</v>
      </c>
      <c r="M27" t="s">
        <v>500</v>
      </c>
      <c r="N27" t="str">
        <f>"""" &amp; _xlfn.TEXTJOIN(""",""",TRUE,Table223[[#This Row],[Categoria1]:[Categoria7]]) &amp; """"</f>
        <v>"Cuaresma","Antiguo Testamento"</v>
      </c>
      <c r="O27" t="s">
        <v>728</v>
      </c>
      <c r="P27" t="str">
        <f>"""" &amp; _xlfn.TEXTJOIN(""",""",TRUE,Table223[[#This Row],[Categoria]:[Categoria7]]) &amp; """"</f>
        <v>"Precatecumenado","Cuaresma","Antiguo Testamento"</v>
      </c>
    </row>
    <row r="28" spans="1:16" x14ac:dyDescent="0.25">
      <c r="A28" s="12">
        <v>182</v>
      </c>
      <c r="B28" s="1">
        <v>25</v>
      </c>
      <c r="C28" s="13" t="s">
        <v>203</v>
      </c>
      <c r="D28" s="13" t="s">
        <v>403</v>
      </c>
      <c r="E28" s="13" t="s">
        <v>961</v>
      </c>
      <c r="F28" s="5"/>
      <c r="H28" s="4"/>
      <c r="M28" t="s">
        <v>658</v>
      </c>
      <c r="N28" t="str">
        <f>"""" &amp; _xlfn.TEXTJOIN(""",""",TRUE,Table223[[#This Row],[Categoria1]:[Categoria7]]) &amp; """"</f>
        <v>""</v>
      </c>
      <c r="O28" t="s">
        <v>803</v>
      </c>
      <c r="P28" t="str">
        <f>"""" &amp; _xlfn.TEXTJOIN(""",""",TRUE,Table223[[#This Row],[Categoria]:[Categoria7]]) &amp; """"</f>
        <v>"Liturgia"</v>
      </c>
    </row>
    <row r="29" spans="1:16" x14ac:dyDescent="0.25">
      <c r="A29" s="1">
        <v>19</v>
      </c>
      <c r="B29" s="1">
        <v>26</v>
      </c>
      <c r="C29" t="s">
        <v>39</v>
      </c>
      <c r="D29" t="s">
        <v>283</v>
      </c>
      <c r="E29" t="s">
        <v>261</v>
      </c>
      <c r="F29" s="2" t="s">
        <v>12</v>
      </c>
      <c r="G29" s="3" t="s">
        <v>13</v>
      </c>
      <c r="H29" s="6" t="s">
        <v>18</v>
      </c>
      <c r="M29" t="s">
        <v>501</v>
      </c>
      <c r="N29" t="str">
        <f>"""" &amp; _xlfn.TEXTJOIN(""",""",TRUE,Table223[[#This Row],[Categoria1]:[Categoria7]]) &amp; """"</f>
        <v>"Pascua","Pentecostés","Antiguo Testamento"</v>
      </c>
      <c r="O29" t="s">
        <v>729</v>
      </c>
      <c r="P29" t="str">
        <f>"""" &amp; _xlfn.TEXTJOIN(""",""",TRUE,Table223[[#This Row],[Categoria]:[Categoria7]]) &amp; """"</f>
        <v>"Precatecumenado","Pascua","Pentecostés","Antiguo Testamento"</v>
      </c>
    </row>
    <row r="30" spans="1:16" x14ac:dyDescent="0.25">
      <c r="A30" s="1">
        <v>20</v>
      </c>
      <c r="B30" s="1">
        <v>27</v>
      </c>
      <c r="C30" t="s">
        <v>40</v>
      </c>
      <c r="D30" t="s">
        <v>284</v>
      </c>
      <c r="E30" t="s">
        <v>261</v>
      </c>
      <c r="F30" s="5" t="s">
        <v>17</v>
      </c>
      <c r="G30" s="4" t="s">
        <v>15</v>
      </c>
      <c r="M30" t="s">
        <v>502</v>
      </c>
      <c r="N30" t="str">
        <f>"""" &amp; _xlfn.TEXTJOIN(""",""",TRUE,Table223[[#This Row],[Categoria1]:[Categoria7]]) &amp; """"</f>
        <v>"Cuaresma","Nuevo Testamento"</v>
      </c>
      <c r="O30" t="s">
        <v>730</v>
      </c>
      <c r="P30" t="str">
        <f>"""" &amp; _xlfn.TEXTJOIN(""",""",TRUE,Table223[[#This Row],[Categoria]:[Categoria7]]) &amp; """"</f>
        <v>"Precatecumenado","Cuaresma","Nuevo Testamento"</v>
      </c>
    </row>
    <row r="31" spans="1:16" x14ac:dyDescent="0.25">
      <c r="A31" s="1">
        <v>21</v>
      </c>
      <c r="B31" s="1">
        <v>28</v>
      </c>
      <c r="C31" t="s">
        <v>41</v>
      </c>
      <c r="D31" t="s">
        <v>478</v>
      </c>
      <c r="E31" t="s">
        <v>261</v>
      </c>
      <c r="F31" s="9" t="s">
        <v>42</v>
      </c>
      <c r="G31" s="4" t="s">
        <v>15</v>
      </c>
      <c r="M31" t="s">
        <v>503</v>
      </c>
      <c r="N31" t="str">
        <f>"""" &amp; _xlfn.TEXTJOIN(""",""",TRUE,Table223[[#This Row],[Categoria1]:[Categoria7]]) &amp; """"</f>
        <v>"Vírgen María","Nuevo Testamento"</v>
      </c>
      <c r="O31" t="s">
        <v>731</v>
      </c>
      <c r="P31" t="str">
        <f>"""" &amp; _xlfn.TEXTJOIN(""",""",TRUE,Table223[[#This Row],[Categoria]:[Categoria7]]) &amp; """"</f>
        <v>"Precatecumenado","Vírgen María","Nuevo Testamento"</v>
      </c>
    </row>
    <row r="32" spans="1:16" x14ac:dyDescent="0.25">
      <c r="A32" s="1">
        <v>22</v>
      </c>
      <c r="B32" s="1">
        <v>29</v>
      </c>
      <c r="C32" t="s">
        <v>962</v>
      </c>
      <c r="D32" t="s">
        <v>479</v>
      </c>
      <c r="E32" t="s">
        <v>261</v>
      </c>
      <c r="F32" s="9" t="s">
        <v>42</v>
      </c>
      <c r="G32" s="4" t="s">
        <v>15</v>
      </c>
      <c r="M32" t="s">
        <v>963</v>
      </c>
      <c r="N32" t="str">
        <f>"""" &amp; _xlfn.TEXTJOIN(""",""",TRUE,Table223[[#This Row],[Categoria1]:[Categoria7]]) &amp; """"</f>
        <v>"Vírgen María","Nuevo Testamento"</v>
      </c>
      <c r="O32" t="s">
        <v>732</v>
      </c>
      <c r="P32" t="str">
        <f>"""" &amp; _xlfn.TEXTJOIN(""",""",TRUE,Table223[[#This Row],[Categoria]:[Categoria7]]) &amp; """"</f>
        <v>"Precatecumenado","Vírgen María","Nuevo Testamento"</v>
      </c>
    </row>
    <row r="33" spans="1:16" x14ac:dyDescent="0.25">
      <c r="A33" s="1">
        <v>23</v>
      </c>
      <c r="B33" s="1">
        <v>30</v>
      </c>
      <c r="C33" t="s">
        <v>44</v>
      </c>
      <c r="D33" t="s">
        <v>447</v>
      </c>
      <c r="E33" t="s">
        <v>261</v>
      </c>
      <c r="F33" s="5" t="s">
        <v>17</v>
      </c>
      <c r="G33" s="6" t="s">
        <v>18</v>
      </c>
      <c r="M33" t="s">
        <v>504</v>
      </c>
      <c r="N33" t="str">
        <f>"""" &amp; _xlfn.TEXTJOIN(""",""",TRUE,Table223[[#This Row],[Categoria1]:[Categoria7]]) &amp; """"</f>
        <v>"Cuaresma","Antiguo Testamento"</v>
      </c>
      <c r="O33" t="s">
        <v>804</v>
      </c>
      <c r="P33" t="str">
        <f>"""" &amp; _xlfn.TEXTJOIN(""",""",TRUE,Table223[[#This Row],[Categoria]:[Categoria7]]) &amp; """"</f>
        <v>"Precatecumenado","Cuaresma","Antiguo Testamento"</v>
      </c>
    </row>
    <row r="34" spans="1:16" x14ac:dyDescent="0.25">
      <c r="A34" s="1">
        <v>24</v>
      </c>
      <c r="B34" s="1">
        <v>31</v>
      </c>
      <c r="C34" t="s">
        <v>45</v>
      </c>
      <c r="D34" t="s">
        <v>285</v>
      </c>
      <c r="E34" t="s">
        <v>261</v>
      </c>
      <c r="F34" t="s">
        <v>34</v>
      </c>
      <c r="G34" t="s">
        <v>46</v>
      </c>
      <c r="H34" s="6" t="s">
        <v>18</v>
      </c>
      <c r="M34" t="s">
        <v>505</v>
      </c>
      <c r="N34" t="str">
        <f>"""" &amp; _xlfn.TEXTJOIN(""",""",TRUE,Table223[[#This Row],[Categoria1]:[Categoria7]]) &amp; """"</f>
        <v>"Paz","Final","Antiguo Testamento"</v>
      </c>
      <c r="O34" t="s">
        <v>805</v>
      </c>
      <c r="P34" t="str">
        <f>"""" &amp; _xlfn.TEXTJOIN(""",""",TRUE,Table223[[#This Row],[Categoria]:[Categoria7]]) &amp; """"</f>
        <v>"Precatecumenado","Paz","Final","Antiguo Testamento"</v>
      </c>
    </row>
    <row r="35" spans="1:16" x14ac:dyDescent="0.25">
      <c r="A35" s="1">
        <v>25</v>
      </c>
      <c r="B35" s="1">
        <v>32</v>
      </c>
      <c r="C35" t="s">
        <v>47</v>
      </c>
      <c r="D35" t="s">
        <v>448</v>
      </c>
      <c r="E35" t="s">
        <v>261</v>
      </c>
      <c r="F35" s="5" t="s">
        <v>17</v>
      </c>
      <c r="G35" t="s">
        <v>48</v>
      </c>
      <c r="H35" s="6" t="s">
        <v>18</v>
      </c>
      <c r="M35" t="s">
        <v>506</v>
      </c>
      <c r="N35" t="str">
        <f>"""" &amp; _xlfn.TEXTJOIN(""",""",TRUE,Table223[[#This Row],[Categoria1]:[Categoria7]]) &amp; """"</f>
        <v>"Cuaresma","Comunión","Antiguo Testamento"</v>
      </c>
      <c r="O35" t="s">
        <v>806</v>
      </c>
      <c r="P35" t="str">
        <f>"""" &amp; _xlfn.TEXTJOIN(""",""",TRUE,Table223[[#This Row],[Categoria]:[Categoria7]]) &amp; """"</f>
        <v>"Precatecumenado","Cuaresma","Comunión","Antiguo Testamento"</v>
      </c>
    </row>
    <row r="36" spans="1:16" x14ac:dyDescent="0.25">
      <c r="A36" s="1">
        <v>26</v>
      </c>
      <c r="B36" s="1">
        <v>33</v>
      </c>
      <c r="C36" t="s">
        <v>49</v>
      </c>
      <c r="D36" t="s">
        <v>449</v>
      </c>
      <c r="E36" t="s">
        <v>261</v>
      </c>
      <c r="F36" s="5" t="s">
        <v>17</v>
      </c>
      <c r="G36" s="6" t="s">
        <v>18</v>
      </c>
      <c r="M36" t="s">
        <v>507</v>
      </c>
      <c r="N36" t="str">
        <f>"""" &amp; _xlfn.TEXTJOIN(""",""",TRUE,Table223[[#This Row],[Categoria1]:[Categoria7]]) &amp; """"</f>
        <v>"Cuaresma","Antiguo Testamento"</v>
      </c>
      <c r="O36" t="s">
        <v>733</v>
      </c>
      <c r="P36" t="str">
        <f>"""" &amp; _xlfn.TEXTJOIN(""",""",TRUE,Table223[[#This Row],[Categoria]:[Categoria7]]) &amp; """"</f>
        <v>"Precatecumenado","Cuaresma","Antiguo Testamento"</v>
      </c>
    </row>
    <row r="37" spans="1:16" x14ac:dyDescent="0.25">
      <c r="A37" s="10">
        <v>183</v>
      </c>
      <c r="B37" s="1">
        <v>34</v>
      </c>
      <c r="C37" s="11" t="s">
        <v>204</v>
      </c>
      <c r="D37" s="11" t="s">
        <v>404</v>
      </c>
      <c r="E37" s="11" t="s">
        <v>961</v>
      </c>
      <c r="F37" s="5"/>
      <c r="H37" s="4"/>
      <c r="M37" t="s">
        <v>659</v>
      </c>
      <c r="N37" t="str">
        <f>"""" &amp; _xlfn.TEXTJOIN(""",""",TRUE,Table223[[#This Row],[Categoria1]:[Categoria7]]) &amp; """"</f>
        <v>""</v>
      </c>
      <c r="O37" t="s">
        <v>734</v>
      </c>
      <c r="P37" t="str">
        <f>"""" &amp; _xlfn.TEXTJOIN(""",""",TRUE,Table223[[#This Row],[Categoria]:[Categoria7]]) &amp; """"</f>
        <v>"Liturgia"</v>
      </c>
    </row>
    <row r="38" spans="1:16" x14ac:dyDescent="0.25">
      <c r="A38" s="1">
        <v>27</v>
      </c>
      <c r="B38" s="1">
        <v>35</v>
      </c>
      <c r="C38" t="s">
        <v>50</v>
      </c>
      <c r="D38" t="s">
        <v>286</v>
      </c>
      <c r="E38" t="s">
        <v>261</v>
      </c>
      <c r="F38" s="9" t="s">
        <v>42</v>
      </c>
      <c r="G38" t="s">
        <v>23</v>
      </c>
      <c r="H38" s="4" t="s">
        <v>15</v>
      </c>
      <c r="M38" t="s">
        <v>508</v>
      </c>
      <c r="N38" t="str">
        <f>"""" &amp; _xlfn.TEXTJOIN(""",""",TRUE,Table223[[#This Row],[Categoria1]:[Categoria7]]) &amp; """"</f>
        <v>"Vírgen María","Entrada","Nuevo Testamento"</v>
      </c>
      <c r="O38" t="s">
        <v>807</v>
      </c>
      <c r="P38" t="str">
        <f>"""" &amp; _xlfn.TEXTJOIN(""",""",TRUE,Table223[[#This Row],[Categoria]:[Categoria7]]) &amp; """"</f>
        <v>"Precatecumenado","Vírgen María","Entrada","Nuevo Testamento"</v>
      </c>
    </row>
    <row r="39" spans="1:16" x14ac:dyDescent="0.25">
      <c r="A39" s="1">
        <v>28</v>
      </c>
      <c r="B39" s="1">
        <v>36</v>
      </c>
      <c r="C39" t="s">
        <v>51</v>
      </c>
      <c r="D39" t="s">
        <v>287</v>
      </c>
      <c r="E39" t="s">
        <v>261</v>
      </c>
      <c r="F39" s="6" t="s">
        <v>18</v>
      </c>
      <c r="M39" t="s">
        <v>509</v>
      </c>
      <c r="N39" t="str">
        <f>"""" &amp; _xlfn.TEXTJOIN(""",""",TRUE,Table223[[#This Row],[Categoria1]:[Categoria7]]) &amp; """"</f>
        <v>"Antiguo Testamento"</v>
      </c>
      <c r="O39" t="s">
        <v>808</v>
      </c>
      <c r="P39" t="str">
        <f>"""" &amp; _xlfn.TEXTJOIN(""",""",TRUE,Table223[[#This Row],[Categoria]:[Categoria7]]) &amp; """"</f>
        <v>"Precatecumenado","Antiguo Testamento"</v>
      </c>
    </row>
    <row r="40" spans="1:16" x14ac:dyDescent="0.25">
      <c r="A40" s="1">
        <v>29</v>
      </c>
      <c r="B40" s="1">
        <v>37</v>
      </c>
      <c r="C40" t="s">
        <v>52</v>
      </c>
      <c r="D40" t="s">
        <v>288</v>
      </c>
      <c r="E40" t="s">
        <v>261</v>
      </c>
      <c r="F40" s="7" t="s">
        <v>29</v>
      </c>
      <c r="G40" s="8" t="s">
        <v>30</v>
      </c>
      <c r="H40" s="4" t="s">
        <v>15</v>
      </c>
      <c r="M40" t="s">
        <v>510</v>
      </c>
      <c r="N40" t="str">
        <f>"""" &amp; _xlfn.TEXTJOIN(""",""",TRUE,Table223[[#This Row],[Categoria1]:[Categoria7]]) &amp; """"</f>
        <v>"Adviento","Navidad","Nuevo Testamento"</v>
      </c>
      <c r="O40" t="s">
        <v>809</v>
      </c>
      <c r="P40" t="str">
        <f>"""" &amp; _xlfn.TEXTJOIN(""",""",TRUE,Table223[[#This Row],[Categoria]:[Categoria7]]) &amp; """"</f>
        <v>"Precatecumenado","Adviento","Navidad","Nuevo Testamento"</v>
      </c>
    </row>
    <row r="41" spans="1:16" x14ac:dyDescent="0.25">
      <c r="A41" s="1">
        <v>30</v>
      </c>
      <c r="B41" s="1">
        <v>38</v>
      </c>
      <c r="C41" t="s">
        <v>53</v>
      </c>
      <c r="D41" t="s">
        <v>289</v>
      </c>
      <c r="E41" t="s">
        <v>261</v>
      </c>
      <c r="F41" s="4" t="s">
        <v>15</v>
      </c>
      <c r="M41" t="s">
        <v>511</v>
      </c>
      <c r="N41" t="str">
        <f>"""" &amp; _xlfn.TEXTJOIN(""",""",TRUE,Table223[[#This Row],[Categoria1]:[Categoria7]]) &amp; """"</f>
        <v>"Nuevo Testamento"</v>
      </c>
      <c r="O41" t="s">
        <v>810</v>
      </c>
      <c r="P41" t="str">
        <f>"""" &amp; _xlfn.TEXTJOIN(""",""",TRUE,Table223[[#This Row],[Categoria]:[Categoria7]]) &amp; """"</f>
        <v>"Precatecumenado","Nuevo Testamento"</v>
      </c>
    </row>
    <row r="42" spans="1:16" x14ac:dyDescent="0.25">
      <c r="A42" s="1">
        <v>31</v>
      </c>
      <c r="B42" s="1">
        <v>39</v>
      </c>
      <c r="C42" t="s">
        <v>54</v>
      </c>
      <c r="D42" t="s">
        <v>290</v>
      </c>
      <c r="E42" t="s">
        <v>261</v>
      </c>
      <c r="F42" s="6" t="s">
        <v>18</v>
      </c>
      <c r="M42" t="s">
        <v>512</v>
      </c>
      <c r="N42" t="str">
        <f>"""" &amp; _xlfn.TEXTJOIN(""",""",TRUE,Table223[[#This Row],[Categoria1]:[Categoria7]]) &amp; """"</f>
        <v>"Antiguo Testamento"</v>
      </c>
      <c r="O42" t="s">
        <v>735</v>
      </c>
      <c r="P42" t="str">
        <f>"""" &amp; _xlfn.TEXTJOIN(""",""",TRUE,Table223[[#This Row],[Categoria]:[Categoria7]]) &amp; """"</f>
        <v>"Precatecumenado","Antiguo Testamento"</v>
      </c>
    </row>
    <row r="43" spans="1:16" x14ac:dyDescent="0.25">
      <c r="A43" s="1">
        <v>32</v>
      </c>
      <c r="B43" s="1">
        <v>40</v>
      </c>
      <c r="C43" t="s">
        <v>55</v>
      </c>
      <c r="D43" t="s">
        <v>291</v>
      </c>
      <c r="E43" t="s">
        <v>261</v>
      </c>
      <c r="F43" t="s">
        <v>23</v>
      </c>
      <c r="G43" s="6" t="s">
        <v>18</v>
      </c>
      <c r="M43" t="s">
        <v>513</v>
      </c>
      <c r="N43" t="str">
        <f>"""" &amp; _xlfn.TEXTJOIN(""",""",TRUE,Table223[[#This Row],[Categoria1]:[Categoria7]]) &amp; """"</f>
        <v>"Entrada","Antiguo Testamento"</v>
      </c>
      <c r="O43" t="s">
        <v>811</v>
      </c>
      <c r="P43" t="str">
        <f>"""" &amp; _xlfn.TEXTJOIN(""",""",TRUE,Table223[[#This Row],[Categoria]:[Categoria7]]) &amp; """"</f>
        <v>"Precatecumenado","Entrada","Antiguo Testamento"</v>
      </c>
    </row>
    <row r="44" spans="1:16" x14ac:dyDescent="0.25">
      <c r="A44" s="1">
        <v>33</v>
      </c>
      <c r="B44" s="1">
        <v>41</v>
      </c>
      <c r="C44" t="s">
        <v>56</v>
      </c>
      <c r="D44" t="s">
        <v>292</v>
      </c>
      <c r="E44" t="s">
        <v>261</v>
      </c>
      <c r="F44" s="6" t="s">
        <v>18</v>
      </c>
      <c r="M44" t="s">
        <v>514</v>
      </c>
      <c r="N44" t="str">
        <f>"""" &amp; _xlfn.TEXTJOIN(""",""",TRUE,Table223[[#This Row],[Categoria1]:[Categoria7]]) &amp; """"</f>
        <v>"Antiguo Testamento"</v>
      </c>
      <c r="O44" t="s">
        <v>736</v>
      </c>
      <c r="P44" t="str">
        <f>"""" &amp; _xlfn.TEXTJOIN(""",""",TRUE,Table223[[#This Row],[Categoria]:[Categoria7]]) &amp; """"</f>
        <v>"Precatecumenado","Antiguo Testamento"</v>
      </c>
    </row>
    <row r="45" spans="1:16" x14ac:dyDescent="0.25">
      <c r="A45" s="1">
        <v>34</v>
      </c>
      <c r="B45" s="1">
        <v>42</v>
      </c>
      <c r="C45" t="s">
        <v>57</v>
      </c>
      <c r="D45" t="s">
        <v>293</v>
      </c>
      <c r="E45" t="s">
        <v>261</v>
      </c>
      <c r="F45" s="2" t="s">
        <v>12</v>
      </c>
      <c r="G45" s="3" t="s">
        <v>13</v>
      </c>
      <c r="H45" s="6" t="s">
        <v>18</v>
      </c>
      <c r="M45" t="s">
        <v>515</v>
      </c>
      <c r="N45" t="str">
        <f>"""" &amp; _xlfn.TEXTJOIN(""",""",TRUE,Table223[[#This Row],[Categoria1]:[Categoria7]]) &amp; """"</f>
        <v>"Pascua","Pentecostés","Antiguo Testamento"</v>
      </c>
      <c r="O45" t="s">
        <v>737</v>
      </c>
      <c r="P45" t="str">
        <f>"""" &amp; _xlfn.TEXTJOIN(""",""",TRUE,Table223[[#This Row],[Categoria]:[Categoria7]]) &amp; """"</f>
        <v>"Precatecumenado","Pascua","Pentecostés","Antiguo Testamento"</v>
      </c>
    </row>
    <row r="46" spans="1:16" x14ac:dyDescent="0.25">
      <c r="A46" s="1">
        <v>35</v>
      </c>
      <c r="B46" s="1">
        <v>43</v>
      </c>
      <c r="C46" t="s">
        <v>58</v>
      </c>
      <c r="D46" t="s">
        <v>294</v>
      </c>
      <c r="E46" t="s">
        <v>261</v>
      </c>
      <c r="F46" s="5" t="s">
        <v>17</v>
      </c>
      <c r="G46" s="4" t="s">
        <v>15</v>
      </c>
      <c r="M46" t="s">
        <v>516</v>
      </c>
      <c r="N46" t="str">
        <f>"""" &amp; _xlfn.TEXTJOIN(""",""",TRUE,Table223[[#This Row],[Categoria1]:[Categoria7]]) &amp; """"</f>
        <v>"Cuaresma","Nuevo Testamento"</v>
      </c>
      <c r="O46" t="s">
        <v>812</v>
      </c>
      <c r="P46" t="str">
        <f>"""" &amp; _xlfn.TEXTJOIN(""",""",TRUE,Table223[[#This Row],[Categoria]:[Categoria7]]) &amp; """"</f>
        <v>"Precatecumenado","Cuaresma","Nuevo Testamento"</v>
      </c>
    </row>
    <row r="47" spans="1:16" x14ac:dyDescent="0.25">
      <c r="A47" s="1">
        <v>36</v>
      </c>
      <c r="B47" s="1">
        <v>44</v>
      </c>
      <c r="C47" t="s">
        <v>59</v>
      </c>
      <c r="D47" t="s">
        <v>295</v>
      </c>
      <c r="E47" t="s">
        <v>261</v>
      </c>
      <c r="F47" t="s">
        <v>48</v>
      </c>
      <c r="G47" t="s">
        <v>46</v>
      </c>
      <c r="M47" t="s">
        <v>517</v>
      </c>
      <c r="N47" t="str">
        <f>"""" &amp; _xlfn.TEXTJOIN(""",""",TRUE,Table223[[#This Row],[Categoria1]:[Categoria7]]) &amp; """"</f>
        <v>"Comunión","Final"</v>
      </c>
      <c r="O47" t="s">
        <v>813</v>
      </c>
      <c r="P47" t="str">
        <f>"""" &amp; _xlfn.TEXTJOIN(""",""",TRUE,Table223[[#This Row],[Categoria]:[Categoria7]]) &amp; """"</f>
        <v>"Precatecumenado","Comunión","Final"</v>
      </c>
    </row>
    <row r="48" spans="1:16" x14ac:dyDescent="0.25">
      <c r="A48" s="12">
        <v>185</v>
      </c>
      <c r="B48" s="1">
        <v>45</v>
      </c>
      <c r="C48" s="13" t="s">
        <v>2047</v>
      </c>
      <c r="D48" s="13" t="s">
        <v>405</v>
      </c>
      <c r="E48" s="13" t="s">
        <v>961</v>
      </c>
      <c r="F48" s="5"/>
      <c r="H48" s="4"/>
      <c r="M48" t="s">
        <v>2046</v>
      </c>
      <c r="N48" t="str">
        <f>"""" &amp; _xlfn.TEXTJOIN(""",""",TRUE,Table223[[#This Row],[Categoria1]:[Categoria7]]) &amp; """"</f>
        <v>""</v>
      </c>
      <c r="O48" t="s">
        <v>814</v>
      </c>
      <c r="P48" t="str">
        <f>"""" &amp; _xlfn.TEXTJOIN(""",""",TRUE,Table223[[#This Row],[Categoria]:[Categoria7]]) &amp; """"</f>
        <v>"Liturgia"</v>
      </c>
    </row>
    <row r="49" spans="1:16" x14ac:dyDescent="0.25">
      <c r="A49" s="1">
        <v>37</v>
      </c>
      <c r="B49" s="1">
        <v>46</v>
      </c>
      <c r="C49" t="s">
        <v>60</v>
      </c>
      <c r="D49" t="s">
        <v>296</v>
      </c>
      <c r="E49" t="s">
        <v>261</v>
      </c>
      <c r="F49" s="4" t="s">
        <v>15</v>
      </c>
      <c r="M49" t="s">
        <v>518</v>
      </c>
      <c r="N49" t="str">
        <f>"""" &amp; _xlfn.TEXTJOIN(""",""",TRUE,Table223[[#This Row],[Categoria1]:[Categoria7]]) &amp; """"</f>
        <v>"Nuevo Testamento"</v>
      </c>
      <c r="O49" t="s">
        <v>815</v>
      </c>
      <c r="P49" t="str">
        <f>"""" &amp; _xlfn.TEXTJOIN(""",""",TRUE,Table223[[#This Row],[Categoria]:[Categoria7]]) &amp; """"</f>
        <v>"Precatecumenado","Nuevo Testamento"</v>
      </c>
    </row>
    <row r="50" spans="1:16" x14ac:dyDescent="0.25">
      <c r="A50" s="18">
        <v>239</v>
      </c>
      <c r="B50" s="1">
        <v>47</v>
      </c>
      <c r="C50" s="19" t="s">
        <v>250</v>
      </c>
      <c r="D50" s="19" t="s">
        <v>441</v>
      </c>
      <c r="E50" s="19" t="s">
        <v>960</v>
      </c>
      <c r="F50" s="2"/>
      <c r="G50" s="3"/>
      <c r="M50" t="s">
        <v>702</v>
      </c>
      <c r="N50" t="str">
        <f>"""" &amp; _xlfn.TEXTJOIN(""",""",TRUE,Table223[[#This Row],[Categoria1]:[Categoria7]]) &amp; """"</f>
        <v>""</v>
      </c>
      <c r="O50" t="s">
        <v>738</v>
      </c>
      <c r="P50" t="str">
        <f>"""" &amp; _xlfn.TEXTJOIN(""",""",TRUE,Table223[[#This Row],[Categoria]:[Categoria7]]) &amp; """"</f>
        <v>"Eleccion"</v>
      </c>
    </row>
    <row r="51" spans="1:16" x14ac:dyDescent="0.25">
      <c r="A51" s="14">
        <v>221</v>
      </c>
      <c r="B51" s="1">
        <v>48</v>
      </c>
      <c r="C51" s="15" t="s">
        <v>232</v>
      </c>
      <c r="D51" s="15" t="s">
        <v>427</v>
      </c>
      <c r="E51" s="15" t="s">
        <v>262</v>
      </c>
      <c r="F51" s="5"/>
      <c r="H51" s="4"/>
      <c r="M51" t="s">
        <v>684</v>
      </c>
      <c r="N51" t="str">
        <f>"""" &amp; _xlfn.TEXTJOIN(""",""",TRUE,Table223[[#This Row],[Categoria1]:[Categoria7]]) &amp; """"</f>
        <v>""</v>
      </c>
      <c r="O51" t="s">
        <v>816</v>
      </c>
      <c r="P51" t="str">
        <f>"""" &amp; _xlfn.TEXTJOIN(""",""",TRUE,Table223[[#This Row],[Categoria]:[Categoria7]]) &amp; """"</f>
        <v>"Catecumenado"</v>
      </c>
    </row>
    <row r="52" spans="1:16" x14ac:dyDescent="0.25">
      <c r="A52" s="1">
        <v>38</v>
      </c>
      <c r="B52" s="1">
        <v>49</v>
      </c>
      <c r="C52" t="s">
        <v>61</v>
      </c>
      <c r="D52" t="s">
        <v>297</v>
      </c>
      <c r="E52" t="s">
        <v>261</v>
      </c>
      <c r="F52" t="s">
        <v>34</v>
      </c>
      <c r="G52" s="6" t="s">
        <v>18</v>
      </c>
      <c r="M52" t="s">
        <v>519</v>
      </c>
      <c r="N52" t="str">
        <f>"""" &amp; _xlfn.TEXTJOIN(""",""",TRUE,Table223[[#This Row],[Categoria1]:[Categoria7]]) &amp; """"</f>
        <v>"Paz","Antiguo Testamento"</v>
      </c>
      <c r="O52" t="s">
        <v>739</v>
      </c>
      <c r="P52" t="str">
        <f>"""" &amp; _xlfn.TEXTJOIN(""",""",TRUE,Table223[[#This Row],[Categoria]:[Categoria7]]) &amp; """"</f>
        <v>"Precatecumenado","Paz","Antiguo Testamento"</v>
      </c>
    </row>
    <row r="53" spans="1:16" x14ac:dyDescent="0.25">
      <c r="A53" s="1">
        <v>39</v>
      </c>
      <c r="B53" s="1">
        <v>50</v>
      </c>
      <c r="C53" t="s">
        <v>62</v>
      </c>
      <c r="D53" t="s">
        <v>298</v>
      </c>
      <c r="E53" t="s">
        <v>261</v>
      </c>
      <c r="F53" s="5" t="s">
        <v>17</v>
      </c>
      <c r="G53" s="6" t="s">
        <v>18</v>
      </c>
      <c r="M53" t="s">
        <v>520</v>
      </c>
      <c r="N53" t="str">
        <f>"""" &amp; _xlfn.TEXTJOIN(""",""",TRUE,Table223[[#This Row],[Categoria1]:[Categoria7]]) &amp; """"</f>
        <v>"Cuaresma","Antiguo Testamento"</v>
      </c>
      <c r="O53" t="s">
        <v>817</v>
      </c>
      <c r="P53" t="str">
        <f>"""" &amp; _xlfn.TEXTJOIN(""",""",TRUE,Table223[[#This Row],[Categoria]:[Categoria7]]) &amp; """"</f>
        <v>"Precatecumenado","Cuaresma","Antiguo Testamento"</v>
      </c>
    </row>
    <row r="54" spans="1:16" x14ac:dyDescent="0.25">
      <c r="A54" s="20">
        <v>240</v>
      </c>
      <c r="B54" s="1">
        <v>51</v>
      </c>
      <c r="C54" s="21" t="s">
        <v>251</v>
      </c>
      <c r="D54" s="21" t="s">
        <v>442</v>
      </c>
      <c r="E54" s="21" t="s">
        <v>960</v>
      </c>
      <c r="F54" s="6" t="s">
        <v>18</v>
      </c>
      <c r="M54" t="s">
        <v>703</v>
      </c>
      <c r="N54" t="str">
        <f>"""" &amp; _xlfn.TEXTJOIN(""",""",TRUE,Table223[[#This Row],[Categoria1]:[Categoria7]]) &amp; """"</f>
        <v>"Antiguo Testamento"</v>
      </c>
      <c r="O54" t="s">
        <v>740</v>
      </c>
      <c r="P54" t="str">
        <f>"""" &amp; _xlfn.TEXTJOIN(""",""",TRUE,Table223[[#This Row],[Categoria]:[Categoria7]]) &amp; """"</f>
        <v>"Eleccion","Antiguo Testamento"</v>
      </c>
    </row>
    <row r="55" spans="1:16" x14ac:dyDescent="0.25">
      <c r="A55" s="1">
        <v>40</v>
      </c>
      <c r="B55" s="1">
        <v>52</v>
      </c>
      <c r="C55" t="s">
        <v>63</v>
      </c>
      <c r="D55" t="s">
        <v>299</v>
      </c>
      <c r="E55" t="s">
        <v>261</v>
      </c>
      <c r="F55" s="9" t="s">
        <v>42</v>
      </c>
      <c r="G55" s="5" t="s">
        <v>17</v>
      </c>
      <c r="H55" s="2" t="s">
        <v>12</v>
      </c>
      <c r="I55" s="3" t="s">
        <v>13</v>
      </c>
      <c r="J55" t="s">
        <v>64</v>
      </c>
      <c r="M55" t="s">
        <v>521</v>
      </c>
      <c r="N55" t="str">
        <f>"""" &amp; _xlfn.TEXTJOIN(""",""",TRUE,Table223[[#This Row],[Categoria1]:[Categoria7]]) &amp; """"</f>
        <v>"Vírgen María","Cuaresma","Pascua","Pentecostés","Fracción Del Pan"</v>
      </c>
      <c r="O55" t="s">
        <v>818</v>
      </c>
      <c r="P55" t="str">
        <f>"""" &amp; _xlfn.TEXTJOIN(""",""",TRUE,Table223[[#This Row],[Categoria]:[Categoria7]]) &amp; """"</f>
        <v>"Precatecumenado","Vírgen María","Cuaresma","Pascua","Pentecostés","Fracción Del Pan"</v>
      </c>
    </row>
    <row r="56" spans="1:16" x14ac:dyDescent="0.25">
      <c r="A56" s="1">
        <v>41</v>
      </c>
      <c r="B56" s="1">
        <v>53</v>
      </c>
      <c r="C56" t="s">
        <v>65</v>
      </c>
      <c r="D56" t="s">
        <v>300</v>
      </c>
      <c r="E56" t="s">
        <v>261</v>
      </c>
      <c r="F56" s="7" t="s">
        <v>29</v>
      </c>
      <c r="G56" s="8" t="s">
        <v>30</v>
      </c>
      <c r="H56" t="s">
        <v>23</v>
      </c>
      <c r="I56" s="6" t="s">
        <v>18</v>
      </c>
      <c r="J56" t="s">
        <v>34</v>
      </c>
      <c r="K56" t="s">
        <v>46</v>
      </c>
      <c r="M56" t="s">
        <v>522</v>
      </c>
      <c r="N56" t="str">
        <f>"""" &amp; _xlfn.TEXTJOIN(""",""",TRUE,Table223[[#This Row],[Categoria1]:[Categoria7]]) &amp; """"</f>
        <v>"Adviento","Navidad","Entrada","Antiguo Testamento","Paz","Final"</v>
      </c>
      <c r="O56" t="s">
        <v>819</v>
      </c>
      <c r="P56" t="str">
        <f>"""" &amp; _xlfn.TEXTJOIN(""",""",TRUE,Table223[[#This Row],[Categoria]:[Categoria7]]) &amp; """"</f>
        <v>"Precatecumenado","Adviento","Navidad","Entrada","Antiguo Testamento","Paz","Final"</v>
      </c>
    </row>
    <row r="57" spans="1:16" x14ac:dyDescent="0.25">
      <c r="A57" s="10">
        <v>186</v>
      </c>
      <c r="B57" s="1">
        <v>54</v>
      </c>
      <c r="C57" s="11" t="s">
        <v>206</v>
      </c>
      <c r="D57" s="11" t="s">
        <v>406</v>
      </c>
      <c r="E57" s="11" t="s">
        <v>961</v>
      </c>
      <c r="F57" s="5"/>
      <c r="H57" s="4"/>
      <c r="M57" t="s">
        <v>660</v>
      </c>
      <c r="N57" t="str">
        <f>"""" &amp; _xlfn.TEXTJOIN(""",""",TRUE,Table223[[#This Row],[Categoria1]:[Categoria7]]) &amp; """"</f>
        <v>""</v>
      </c>
      <c r="O57" t="s">
        <v>741</v>
      </c>
      <c r="P57" t="str">
        <f>"""" &amp; _xlfn.TEXTJOIN(""",""",TRUE,Table223[[#This Row],[Categoria]:[Categoria7]]) &amp; """"</f>
        <v>"Liturgia"</v>
      </c>
    </row>
    <row r="58" spans="1:16" x14ac:dyDescent="0.25">
      <c r="A58" s="12">
        <v>187</v>
      </c>
      <c r="B58" s="1">
        <v>55</v>
      </c>
      <c r="C58" s="13" t="s">
        <v>207</v>
      </c>
      <c r="D58" s="13" t="s">
        <v>407</v>
      </c>
      <c r="E58" s="13" t="s">
        <v>961</v>
      </c>
      <c r="F58" s="5"/>
      <c r="H58" s="4"/>
      <c r="M58" t="s">
        <v>661</v>
      </c>
      <c r="N58" t="str">
        <f>"""" &amp; _xlfn.TEXTJOIN(""",""",TRUE,Table223[[#This Row],[Categoria1]:[Categoria7]]) &amp; """"</f>
        <v>""</v>
      </c>
      <c r="O58" t="s">
        <v>742</v>
      </c>
      <c r="P58" t="str">
        <f>"""" &amp; _xlfn.TEXTJOIN(""",""",TRUE,Table223[[#This Row],[Categoria]:[Categoria7]]) &amp; """"</f>
        <v>"Liturgia"</v>
      </c>
    </row>
    <row r="59" spans="1:16" x14ac:dyDescent="0.25">
      <c r="A59" s="1">
        <v>42</v>
      </c>
      <c r="B59" s="1">
        <v>56</v>
      </c>
      <c r="C59" t="s">
        <v>66</v>
      </c>
      <c r="D59" t="s">
        <v>301</v>
      </c>
      <c r="E59" t="s">
        <v>261</v>
      </c>
      <c r="F59" s="2" t="s">
        <v>12</v>
      </c>
      <c r="G59" s="3" t="s">
        <v>13</v>
      </c>
      <c r="H59" s="4" t="s">
        <v>15</v>
      </c>
      <c r="M59" t="s">
        <v>523</v>
      </c>
      <c r="N59" t="str">
        <f>"""" &amp; _xlfn.TEXTJOIN(""",""",TRUE,Table223[[#This Row],[Categoria1]:[Categoria7]]) &amp; """"</f>
        <v>"Pascua","Pentecostés","Nuevo Testamento"</v>
      </c>
      <c r="O59" t="s">
        <v>743</v>
      </c>
      <c r="P59" t="str">
        <f>"""" &amp; _xlfn.TEXTJOIN(""",""",TRUE,Table223[[#This Row],[Categoria]:[Categoria7]]) &amp; """"</f>
        <v>"Precatecumenado","Pascua","Pentecostés","Nuevo Testamento"</v>
      </c>
    </row>
    <row r="60" spans="1:16" x14ac:dyDescent="0.25">
      <c r="A60" s="16">
        <v>222</v>
      </c>
      <c r="B60" s="1">
        <v>57</v>
      </c>
      <c r="C60" s="17" t="s">
        <v>233</v>
      </c>
      <c r="D60" s="17" t="s">
        <v>428</v>
      </c>
      <c r="E60" s="17" t="s">
        <v>262</v>
      </c>
      <c r="F60" t="s">
        <v>48</v>
      </c>
      <c r="G60" s="6" t="s">
        <v>18</v>
      </c>
      <c r="M60" t="s">
        <v>685</v>
      </c>
      <c r="N60" t="str">
        <f>"""" &amp; _xlfn.TEXTJOIN(""",""",TRUE,Table223[[#This Row],[Categoria1]:[Categoria7]]) &amp; """"</f>
        <v>"Comunión","Antiguo Testamento"</v>
      </c>
      <c r="O60" t="s">
        <v>820</v>
      </c>
      <c r="P60" t="str">
        <f>"""" &amp; _xlfn.TEXTJOIN(""",""",TRUE,Table223[[#This Row],[Categoria]:[Categoria7]]) &amp; """"</f>
        <v>"Catecumenado","Comunión","Antiguo Testamento"</v>
      </c>
    </row>
    <row r="61" spans="1:16" x14ac:dyDescent="0.25">
      <c r="A61" s="1">
        <v>43</v>
      </c>
      <c r="B61" s="1">
        <v>58</v>
      </c>
      <c r="C61" t="s">
        <v>67</v>
      </c>
      <c r="D61" t="s">
        <v>302</v>
      </c>
      <c r="E61" t="s">
        <v>261</v>
      </c>
      <c r="F61" s="5" t="s">
        <v>17</v>
      </c>
      <c r="G61" s="7" t="s">
        <v>29</v>
      </c>
      <c r="H61" s="8" t="s">
        <v>30</v>
      </c>
      <c r="I61" s="6" t="s">
        <v>18</v>
      </c>
      <c r="J61" t="s">
        <v>23</v>
      </c>
      <c r="M61" t="s">
        <v>524</v>
      </c>
      <c r="N61" t="str">
        <f>"""" &amp; _xlfn.TEXTJOIN(""",""",TRUE,Table223[[#This Row],[Categoria1]:[Categoria7]]) &amp; """"</f>
        <v>"Cuaresma","Adviento","Navidad","Antiguo Testamento","Entrada"</v>
      </c>
      <c r="O61" t="s">
        <v>744</v>
      </c>
      <c r="P61" t="str">
        <f>"""" &amp; _xlfn.TEXTJOIN(""",""",TRUE,Table223[[#This Row],[Categoria]:[Categoria7]]) &amp; """"</f>
        <v>"Precatecumenado","Cuaresma","Adviento","Navidad","Antiguo Testamento","Entrada"</v>
      </c>
    </row>
    <row r="62" spans="1:16" x14ac:dyDescent="0.25">
      <c r="A62" s="1">
        <v>44</v>
      </c>
      <c r="B62" s="1">
        <v>59</v>
      </c>
      <c r="C62" t="s">
        <v>68</v>
      </c>
      <c r="D62" t="s">
        <v>303</v>
      </c>
      <c r="E62" t="s">
        <v>261</v>
      </c>
      <c r="F62" s="2" t="s">
        <v>12</v>
      </c>
      <c r="G62" s="3" t="s">
        <v>13</v>
      </c>
      <c r="H62" s="6" t="s">
        <v>18</v>
      </c>
      <c r="M62" t="s">
        <v>525</v>
      </c>
      <c r="N62" t="str">
        <f>"""" &amp; _xlfn.TEXTJOIN(""",""",TRUE,Table223[[#This Row],[Categoria1]:[Categoria7]]) &amp; """"</f>
        <v>"Pascua","Pentecostés","Antiguo Testamento"</v>
      </c>
      <c r="O62" t="s">
        <v>745</v>
      </c>
      <c r="P62" t="str">
        <f>"""" &amp; _xlfn.TEXTJOIN(""",""",TRUE,Table223[[#This Row],[Categoria]:[Categoria7]]) &amp; """"</f>
        <v>"Precatecumenado","Pascua","Pentecostés","Antiguo Testamento"</v>
      </c>
    </row>
    <row r="63" spans="1:16" x14ac:dyDescent="0.25">
      <c r="A63" s="1">
        <v>45</v>
      </c>
      <c r="B63" s="1">
        <v>60</v>
      </c>
      <c r="C63" t="s">
        <v>69</v>
      </c>
      <c r="D63" t="s">
        <v>304</v>
      </c>
      <c r="E63" t="s">
        <v>261</v>
      </c>
      <c r="F63" s="2" t="s">
        <v>12</v>
      </c>
      <c r="G63" s="3" t="s">
        <v>13</v>
      </c>
      <c r="H63" t="s">
        <v>34</v>
      </c>
      <c r="M63" t="s">
        <v>526</v>
      </c>
      <c r="N63" t="str">
        <f>"""" &amp; _xlfn.TEXTJOIN(""",""",TRUE,Table223[[#This Row],[Categoria1]:[Categoria7]]) &amp; """"</f>
        <v>"Pascua","Pentecostés","Paz"</v>
      </c>
      <c r="O63" t="s">
        <v>821</v>
      </c>
      <c r="P63" t="str">
        <f>"""" &amp; _xlfn.TEXTJOIN(""",""",TRUE,Table223[[#This Row],[Categoria]:[Categoria7]]) &amp; """"</f>
        <v>"Precatecumenado","Pascua","Pentecostés","Paz"</v>
      </c>
    </row>
    <row r="64" spans="1:16" x14ac:dyDescent="0.25">
      <c r="A64" s="1">
        <v>47</v>
      </c>
      <c r="B64" s="1">
        <v>61</v>
      </c>
      <c r="C64" t="s">
        <v>70</v>
      </c>
      <c r="D64" t="s">
        <v>305</v>
      </c>
      <c r="E64" t="s">
        <v>261</v>
      </c>
      <c r="F64" s="5" t="s">
        <v>17</v>
      </c>
      <c r="G64" s="7" t="s">
        <v>29</v>
      </c>
      <c r="H64" s="8" t="s">
        <v>30</v>
      </c>
      <c r="I64" s="6" t="s">
        <v>18</v>
      </c>
      <c r="M64" t="s">
        <v>527</v>
      </c>
      <c r="N64" t="str">
        <f>"""" &amp; _xlfn.TEXTJOIN(""",""",TRUE,Table223[[#This Row],[Categoria1]:[Categoria7]]) &amp; """"</f>
        <v>"Cuaresma","Adviento","Navidad","Antiguo Testamento"</v>
      </c>
      <c r="O64" t="s">
        <v>746</v>
      </c>
      <c r="P64" t="str">
        <f>"""" &amp; _xlfn.TEXTJOIN(""",""",TRUE,Table223[[#This Row],[Categoria]:[Categoria7]]) &amp; """"</f>
        <v>"Precatecumenado","Cuaresma","Adviento","Navidad","Antiguo Testamento"</v>
      </c>
    </row>
    <row r="65" spans="1:16" x14ac:dyDescent="0.25">
      <c r="A65" s="14">
        <v>223</v>
      </c>
      <c r="B65" s="1">
        <v>62</v>
      </c>
      <c r="C65" s="15" t="s">
        <v>234</v>
      </c>
      <c r="D65" s="15" t="s">
        <v>429</v>
      </c>
      <c r="E65" s="15" t="s">
        <v>262</v>
      </c>
      <c r="F65" s="9" t="s">
        <v>42</v>
      </c>
      <c r="G65" s="6" t="s">
        <v>18</v>
      </c>
      <c r="M65" t="s">
        <v>686</v>
      </c>
      <c r="N65" t="str">
        <f>"""" &amp; _xlfn.TEXTJOIN(""",""",TRUE,Table223[[#This Row],[Categoria1]:[Categoria7]]) &amp; """"</f>
        <v>"Vírgen María","Antiguo Testamento"</v>
      </c>
      <c r="O65" t="s">
        <v>822</v>
      </c>
      <c r="P65" t="str">
        <f>"""" &amp; _xlfn.TEXTJOIN(""",""",TRUE,Table223[[#This Row],[Categoria]:[Categoria7]]) &amp; """"</f>
        <v>"Catecumenado","Vírgen María","Antiguo Testamento"</v>
      </c>
    </row>
    <row r="66" spans="1:16" x14ac:dyDescent="0.25">
      <c r="A66" s="1">
        <v>48</v>
      </c>
      <c r="B66" s="1">
        <v>63</v>
      </c>
      <c r="C66" t="s">
        <v>71</v>
      </c>
      <c r="D66" t="s">
        <v>306</v>
      </c>
      <c r="E66" t="s">
        <v>261</v>
      </c>
      <c r="F66" s="5" t="s">
        <v>17</v>
      </c>
      <c r="G66" s="7" t="s">
        <v>29</v>
      </c>
      <c r="H66" s="8" t="s">
        <v>30</v>
      </c>
      <c r="I66" t="s">
        <v>23</v>
      </c>
      <c r="J66" s="6" t="s">
        <v>18</v>
      </c>
      <c r="M66" t="s">
        <v>528</v>
      </c>
      <c r="N66" t="str">
        <f>"""" &amp; _xlfn.TEXTJOIN(""",""",TRUE,Table223[[#This Row],[Categoria1]:[Categoria7]]) &amp; """"</f>
        <v>"Cuaresma","Adviento","Navidad","Entrada","Antiguo Testamento"</v>
      </c>
      <c r="O66" t="s">
        <v>747</v>
      </c>
      <c r="P66" t="str">
        <f>"""" &amp; _xlfn.TEXTJOIN(""",""",TRUE,Table223[[#This Row],[Categoria]:[Categoria7]]) &amp; """"</f>
        <v>"Precatecumenado","Cuaresma","Adviento","Navidad","Entrada","Antiguo Testamento"</v>
      </c>
    </row>
    <row r="67" spans="1:16" x14ac:dyDescent="0.25">
      <c r="A67" s="1">
        <v>49</v>
      </c>
      <c r="B67" s="1">
        <v>64</v>
      </c>
      <c r="C67" t="s">
        <v>72</v>
      </c>
      <c r="D67" t="s">
        <v>307</v>
      </c>
      <c r="E67" t="s">
        <v>261</v>
      </c>
      <c r="F67" s="6" t="s">
        <v>18</v>
      </c>
      <c r="M67" t="s">
        <v>529</v>
      </c>
      <c r="N67" t="str">
        <f>"""" &amp; _xlfn.TEXTJOIN(""",""",TRUE,Table223[[#This Row],[Categoria1]:[Categoria7]]) &amp; """"</f>
        <v>"Antiguo Testamento"</v>
      </c>
      <c r="O67" t="s">
        <v>823</v>
      </c>
      <c r="P67" t="str">
        <f>"""" &amp; _xlfn.TEXTJOIN(""",""",TRUE,Table223[[#This Row],[Categoria]:[Categoria7]]) &amp; """"</f>
        <v>"Precatecumenado","Antiguo Testamento"</v>
      </c>
    </row>
    <row r="68" spans="1:16" x14ac:dyDescent="0.25">
      <c r="A68" s="1">
        <v>50</v>
      </c>
      <c r="B68" s="1">
        <v>65</v>
      </c>
      <c r="C68" t="s">
        <v>73</v>
      </c>
      <c r="D68" t="s">
        <v>308</v>
      </c>
      <c r="E68" t="s">
        <v>261</v>
      </c>
      <c r="F68" t="s">
        <v>46</v>
      </c>
      <c r="G68" s="4" t="s">
        <v>15</v>
      </c>
      <c r="M68" t="s">
        <v>530</v>
      </c>
      <c r="N68" t="str">
        <f>"""" &amp; _xlfn.TEXTJOIN(""",""",TRUE,Table223[[#This Row],[Categoria1]:[Categoria7]]) &amp; """"</f>
        <v>"Final","Nuevo Testamento"</v>
      </c>
      <c r="O68" t="s">
        <v>748</v>
      </c>
      <c r="P68" t="str">
        <f>"""" &amp; _xlfn.TEXTJOIN(""",""",TRUE,Table223[[#This Row],[Categoria]:[Categoria7]]) &amp; """"</f>
        <v>"Precatecumenado","Final","Nuevo Testamento"</v>
      </c>
    </row>
    <row r="69" spans="1:16" x14ac:dyDescent="0.25">
      <c r="A69" s="1">
        <v>51</v>
      </c>
      <c r="B69" s="1">
        <v>66</v>
      </c>
      <c r="C69" t="s">
        <v>74</v>
      </c>
      <c r="D69" t="s">
        <v>309</v>
      </c>
      <c r="E69" t="s">
        <v>261</v>
      </c>
      <c r="F69" s="2" t="s">
        <v>12</v>
      </c>
      <c r="G69" s="3" t="s">
        <v>13</v>
      </c>
      <c r="H69" s="6" t="s">
        <v>18</v>
      </c>
      <c r="M69" t="s">
        <v>531</v>
      </c>
      <c r="N69" t="str">
        <f>"""" &amp; _xlfn.TEXTJOIN(""",""",TRUE,Table223[[#This Row],[Categoria1]:[Categoria7]]) &amp; """"</f>
        <v>"Pascua","Pentecostés","Antiguo Testamento"</v>
      </c>
      <c r="O69" t="s">
        <v>824</v>
      </c>
      <c r="P69" t="str">
        <f>"""" &amp; _xlfn.TEXTJOIN(""",""",TRUE,Table223[[#This Row],[Categoria]:[Categoria7]]) &amp; """"</f>
        <v>"Precatecumenado","Pascua","Pentecostés","Antiguo Testamento"</v>
      </c>
    </row>
    <row r="70" spans="1:16" x14ac:dyDescent="0.25">
      <c r="A70" s="1">
        <v>52</v>
      </c>
      <c r="B70" s="1">
        <v>67</v>
      </c>
      <c r="C70" t="s">
        <v>75</v>
      </c>
      <c r="D70" t="s">
        <v>310</v>
      </c>
      <c r="E70" t="s">
        <v>261</v>
      </c>
      <c r="F70" s="6" t="s">
        <v>18</v>
      </c>
      <c r="M70" t="s">
        <v>532</v>
      </c>
      <c r="N70" t="str">
        <f>"""" &amp; _xlfn.TEXTJOIN(""",""",TRUE,Table223[[#This Row],[Categoria1]:[Categoria7]]) &amp; """"</f>
        <v>"Antiguo Testamento"</v>
      </c>
      <c r="O70" t="s">
        <v>825</v>
      </c>
      <c r="P70" t="str">
        <f>"""" &amp; _xlfn.TEXTJOIN(""",""",TRUE,Table223[[#This Row],[Categoria]:[Categoria7]]) &amp; """"</f>
        <v>"Precatecumenado","Antiguo Testamento"</v>
      </c>
    </row>
    <row r="71" spans="1:16" x14ac:dyDescent="0.25">
      <c r="A71" s="1">
        <v>53</v>
      </c>
      <c r="B71" s="1">
        <v>68</v>
      </c>
      <c r="C71" t="s">
        <v>76</v>
      </c>
      <c r="D71" t="s">
        <v>311</v>
      </c>
      <c r="E71" t="s">
        <v>261</v>
      </c>
      <c r="F71" s="2" t="s">
        <v>12</v>
      </c>
      <c r="G71" s="3" t="s">
        <v>13</v>
      </c>
      <c r="H71" t="s">
        <v>23</v>
      </c>
      <c r="I71" s="4" t="s">
        <v>15</v>
      </c>
      <c r="M71" t="s">
        <v>533</v>
      </c>
      <c r="N71" t="str">
        <f>"""" &amp; _xlfn.TEXTJOIN(""",""",TRUE,Table223[[#This Row],[Categoria1]:[Categoria7]]) &amp; """"</f>
        <v>"Pascua","Pentecostés","Entrada","Nuevo Testamento"</v>
      </c>
      <c r="O71" t="s">
        <v>749</v>
      </c>
      <c r="P71" t="str">
        <f>"""" &amp; _xlfn.TEXTJOIN(""",""",TRUE,Table223[[#This Row],[Categoria]:[Categoria7]]) &amp; """"</f>
        <v>"Precatecumenado","Pascua","Pentecostés","Entrada","Nuevo Testamento"</v>
      </c>
    </row>
    <row r="72" spans="1:16" x14ac:dyDescent="0.25">
      <c r="A72" s="1">
        <v>54</v>
      </c>
      <c r="B72" s="1">
        <v>69</v>
      </c>
      <c r="C72" t="s">
        <v>77</v>
      </c>
      <c r="D72" t="s">
        <v>312</v>
      </c>
      <c r="E72" t="s">
        <v>261</v>
      </c>
      <c r="F72" s="2" t="s">
        <v>12</v>
      </c>
      <c r="G72" s="3" t="s">
        <v>13</v>
      </c>
      <c r="H72" t="s">
        <v>23</v>
      </c>
      <c r="I72" t="s">
        <v>48</v>
      </c>
      <c r="J72" s="4" t="s">
        <v>15</v>
      </c>
      <c r="M72" t="s">
        <v>534</v>
      </c>
      <c r="N72" t="str">
        <f>"""" &amp; _xlfn.TEXTJOIN(""",""",TRUE,Table223[[#This Row],[Categoria1]:[Categoria7]]) &amp; """"</f>
        <v>"Pascua","Pentecostés","Entrada","Comunión","Nuevo Testamento"</v>
      </c>
      <c r="O72" t="s">
        <v>826</v>
      </c>
      <c r="P72" t="str">
        <f>"""" &amp; _xlfn.TEXTJOIN(""",""",TRUE,Table223[[#This Row],[Categoria]:[Categoria7]]) &amp; """"</f>
        <v>"Precatecumenado","Pascua","Pentecostés","Entrada","Comunión","Nuevo Testamento"</v>
      </c>
    </row>
    <row r="73" spans="1:16" x14ac:dyDescent="0.25">
      <c r="A73" s="1">
        <v>55</v>
      </c>
      <c r="B73" s="1">
        <v>70</v>
      </c>
      <c r="C73" t="s">
        <v>78</v>
      </c>
      <c r="D73" t="s">
        <v>313</v>
      </c>
      <c r="E73" t="s">
        <v>261</v>
      </c>
      <c r="F73" s="2" t="s">
        <v>12</v>
      </c>
      <c r="G73" s="3" t="s">
        <v>13</v>
      </c>
      <c r="H73" t="s">
        <v>48</v>
      </c>
      <c r="I73" s="6" t="s">
        <v>18</v>
      </c>
      <c r="M73" t="s">
        <v>535</v>
      </c>
      <c r="N73" t="str">
        <f>"""" &amp; _xlfn.TEXTJOIN(""",""",TRUE,Table223[[#This Row],[Categoria1]:[Categoria7]]) &amp; """"</f>
        <v>"Pascua","Pentecostés","Comunión","Antiguo Testamento"</v>
      </c>
      <c r="O73" t="s">
        <v>750</v>
      </c>
      <c r="P73" t="str">
        <f>"""" &amp; _xlfn.TEXTJOIN(""",""",TRUE,Table223[[#This Row],[Categoria]:[Categoria7]]) &amp; """"</f>
        <v>"Precatecumenado","Pascua","Pentecostés","Comunión","Antiguo Testamento"</v>
      </c>
    </row>
    <row r="74" spans="1:16" x14ac:dyDescent="0.25">
      <c r="A74" s="1">
        <v>56</v>
      </c>
      <c r="B74" s="1">
        <v>71</v>
      </c>
      <c r="C74" t="s">
        <v>79</v>
      </c>
      <c r="D74" t="s">
        <v>314</v>
      </c>
      <c r="E74" t="s">
        <v>261</v>
      </c>
      <c r="F74" t="s">
        <v>64</v>
      </c>
      <c r="G74" s="6" t="s">
        <v>18</v>
      </c>
      <c r="M74" t="s">
        <v>536</v>
      </c>
      <c r="N74" t="str">
        <f>"""" &amp; _xlfn.TEXTJOIN(""",""",TRUE,Table223[[#This Row],[Categoria1]:[Categoria7]]) &amp; """"</f>
        <v>"Fracción Del Pan","Antiguo Testamento"</v>
      </c>
      <c r="O74" t="s">
        <v>827</v>
      </c>
      <c r="P74" t="str">
        <f>"""" &amp; _xlfn.TEXTJOIN(""",""",TRUE,Table223[[#This Row],[Categoria]:[Categoria7]]) &amp; """"</f>
        <v>"Precatecumenado","Fracción Del Pan","Antiguo Testamento"</v>
      </c>
    </row>
    <row r="75" spans="1:16" x14ac:dyDescent="0.25">
      <c r="A75" s="1">
        <v>57</v>
      </c>
      <c r="B75" s="1">
        <v>72</v>
      </c>
      <c r="C75" t="s">
        <v>80</v>
      </c>
      <c r="D75" t="s">
        <v>315</v>
      </c>
      <c r="E75" t="s">
        <v>261</v>
      </c>
      <c r="F75" s="2" t="s">
        <v>12</v>
      </c>
      <c r="G75" s="3" t="s">
        <v>13</v>
      </c>
      <c r="H75" t="s">
        <v>64</v>
      </c>
      <c r="M75" t="s">
        <v>537</v>
      </c>
      <c r="N75" t="str">
        <f>"""" &amp; _xlfn.TEXTJOIN(""",""",TRUE,Table223[[#This Row],[Categoria1]:[Categoria7]]) &amp; """"</f>
        <v>"Pascua","Pentecostés","Fracción Del Pan"</v>
      </c>
      <c r="O75" t="s">
        <v>828</v>
      </c>
      <c r="P75" t="str">
        <f>"""" &amp; _xlfn.TEXTJOIN(""",""",TRUE,Table223[[#This Row],[Categoria]:[Categoria7]]) &amp; """"</f>
        <v>"Precatecumenado","Pascua","Pentecostés","Fracción Del Pan"</v>
      </c>
    </row>
    <row r="76" spans="1:16" x14ac:dyDescent="0.25">
      <c r="A76" s="16">
        <v>224</v>
      </c>
      <c r="B76" s="1">
        <v>73</v>
      </c>
      <c r="C76" s="17" t="s">
        <v>235</v>
      </c>
      <c r="D76" s="17" t="s">
        <v>430</v>
      </c>
      <c r="E76" s="17" t="s">
        <v>262</v>
      </c>
      <c r="F76" t="s">
        <v>48</v>
      </c>
      <c r="G76" s="4" t="s">
        <v>15</v>
      </c>
      <c r="M76" t="s">
        <v>687</v>
      </c>
      <c r="N76" t="str">
        <f>"""" &amp; _xlfn.TEXTJOIN(""",""",TRUE,Table223[[#This Row],[Categoria1]:[Categoria7]]) &amp; """"</f>
        <v>"Comunión","Nuevo Testamento"</v>
      </c>
      <c r="O76" t="s">
        <v>829</v>
      </c>
      <c r="P76" t="str">
        <f>"""" &amp; _xlfn.TEXTJOIN(""",""",TRUE,Table223[[#This Row],[Categoria]:[Categoria7]]) &amp; """"</f>
        <v>"Catecumenado","Comunión","Nuevo Testamento"</v>
      </c>
    </row>
    <row r="77" spans="1:16" x14ac:dyDescent="0.25">
      <c r="A77" s="1">
        <v>58</v>
      </c>
      <c r="B77" s="1">
        <v>74</v>
      </c>
      <c r="C77" t="s">
        <v>81</v>
      </c>
      <c r="D77" t="s">
        <v>316</v>
      </c>
      <c r="E77" t="s">
        <v>261</v>
      </c>
      <c r="F77" s="6" t="s">
        <v>18</v>
      </c>
      <c r="M77" t="s">
        <v>538</v>
      </c>
      <c r="N77" t="str">
        <f>"""" &amp; _xlfn.TEXTJOIN(""",""",TRUE,Table223[[#This Row],[Categoria1]:[Categoria7]]) &amp; """"</f>
        <v>"Antiguo Testamento"</v>
      </c>
      <c r="O77" t="s">
        <v>830</v>
      </c>
      <c r="P77" t="str">
        <f>"""" &amp; _xlfn.TEXTJOIN(""",""",TRUE,Table223[[#This Row],[Categoria]:[Categoria7]]) &amp; """"</f>
        <v>"Precatecumenado","Antiguo Testamento"</v>
      </c>
    </row>
    <row r="78" spans="1:16" x14ac:dyDescent="0.25">
      <c r="A78" s="1">
        <v>59</v>
      </c>
      <c r="B78" s="1">
        <v>75</v>
      </c>
      <c r="C78" t="s">
        <v>82</v>
      </c>
      <c r="D78" t="s">
        <v>317</v>
      </c>
      <c r="E78" t="s">
        <v>261</v>
      </c>
      <c r="F78" s="7" t="s">
        <v>29</v>
      </c>
      <c r="G78" s="8" t="s">
        <v>30</v>
      </c>
      <c r="H78" s="6" t="s">
        <v>18</v>
      </c>
      <c r="M78" t="s">
        <v>539</v>
      </c>
      <c r="N78" t="str">
        <f>"""" &amp; _xlfn.TEXTJOIN(""",""",TRUE,Table223[[#This Row],[Categoria1]:[Categoria7]]) &amp; """"</f>
        <v>"Adviento","Navidad","Antiguo Testamento"</v>
      </c>
      <c r="O78" t="s">
        <v>831</v>
      </c>
      <c r="P78" t="str">
        <f>"""" &amp; _xlfn.TEXTJOIN(""",""",TRUE,Table223[[#This Row],[Categoria]:[Categoria7]]) &amp; """"</f>
        <v>"Precatecumenado","Adviento","Navidad","Antiguo Testamento"</v>
      </c>
    </row>
    <row r="79" spans="1:16" x14ac:dyDescent="0.25">
      <c r="A79" s="14">
        <v>225</v>
      </c>
      <c r="B79" s="1">
        <v>76</v>
      </c>
      <c r="C79" s="15" t="s">
        <v>236</v>
      </c>
      <c r="D79" s="15" t="s">
        <v>431</v>
      </c>
      <c r="E79" s="15" t="s">
        <v>262</v>
      </c>
      <c r="F79" s="4" t="s">
        <v>15</v>
      </c>
      <c r="M79" t="s">
        <v>688</v>
      </c>
      <c r="N79" t="str">
        <f>"""" &amp; _xlfn.TEXTJOIN(""",""",TRUE,Table223[[#This Row],[Categoria1]:[Categoria7]]) &amp; """"</f>
        <v>"Nuevo Testamento"</v>
      </c>
      <c r="O79" t="s">
        <v>751</v>
      </c>
      <c r="P79" t="str">
        <f>"""" &amp; _xlfn.TEXTJOIN(""",""",TRUE,Table223[[#This Row],[Categoria]:[Categoria7]]) &amp; """"</f>
        <v>"Catecumenado","Nuevo Testamento"</v>
      </c>
    </row>
    <row r="80" spans="1:16" x14ac:dyDescent="0.25">
      <c r="A80" s="1">
        <v>60</v>
      </c>
      <c r="B80" s="1">
        <v>77</v>
      </c>
      <c r="C80" t="s">
        <v>83</v>
      </c>
      <c r="D80" t="s">
        <v>318</v>
      </c>
      <c r="E80" t="s">
        <v>261</v>
      </c>
      <c r="F80" t="s">
        <v>23</v>
      </c>
      <c r="G80" s="6" t="s">
        <v>18</v>
      </c>
      <c r="M80" t="s">
        <v>540</v>
      </c>
      <c r="N80" t="str">
        <f>"""" &amp; _xlfn.TEXTJOIN(""",""",TRUE,Table223[[#This Row],[Categoria1]:[Categoria7]]) &amp; """"</f>
        <v>"Entrada","Antiguo Testamento"</v>
      </c>
      <c r="O80" t="s">
        <v>832</v>
      </c>
      <c r="P80" t="str">
        <f>"""" &amp; _xlfn.TEXTJOIN(""",""",TRUE,Table223[[#This Row],[Categoria]:[Categoria7]]) &amp; """"</f>
        <v>"Precatecumenado","Entrada","Antiguo Testamento"</v>
      </c>
    </row>
    <row r="81" spans="1:16" x14ac:dyDescent="0.25">
      <c r="A81" s="1">
        <v>61</v>
      </c>
      <c r="B81" s="1">
        <v>78</v>
      </c>
      <c r="C81" t="s">
        <v>84</v>
      </c>
      <c r="D81" t="s">
        <v>319</v>
      </c>
      <c r="E81" t="s">
        <v>261</v>
      </c>
      <c r="F81" s="2" t="s">
        <v>12</v>
      </c>
      <c r="G81" s="3" t="s">
        <v>13</v>
      </c>
      <c r="H81" t="s">
        <v>48</v>
      </c>
      <c r="I81" s="6" t="s">
        <v>18</v>
      </c>
      <c r="M81" t="s">
        <v>541</v>
      </c>
      <c r="N81" t="str">
        <f>"""" &amp; _xlfn.TEXTJOIN(""",""",TRUE,Table223[[#This Row],[Categoria1]:[Categoria7]]) &amp; """"</f>
        <v>"Pascua","Pentecostés","Comunión","Antiguo Testamento"</v>
      </c>
      <c r="O81" t="s">
        <v>833</v>
      </c>
      <c r="P81" t="str">
        <f>"""" &amp; _xlfn.TEXTJOIN(""",""",TRUE,Table223[[#This Row],[Categoria]:[Categoria7]]) &amp; """"</f>
        <v>"Precatecumenado","Pascua","Pentecostés","Comunión","Antiguo Testamento"</v>
      </c>
    </row>
    <row r="82" spans="1:16" x14ac:dyDescent="0.25">
      <c r="A82" s="1">
        <v>62</v>
      </c>
      <c r="B82" s="1">
        <v>79</v>
      </c>
      <c r="C82" t="s">
        <v>85</v>
      </c>
      <c r="D82" t="s">
        <v>320</v>
      </c>
      <c r="E82" t="s">
        <v>261</v>
      </c>
      <c r="F82" t="s">
        <v>64</v>
      </c>
      <c r="G82" s="6" t="s">
        <v>18</v>
      </c>
      <c r="M82" t="s">
        <v>542</v>
      </c>
      <c r="N82" t="str">
        <f>"""" &amp; _xlfn.TEXTJOIN(""",""",TRUE,Table223[[#This Row],[Categoria1]:[Categoria7]]) &amp; """"</f>
        <v>"Fracción Del Pan","Antiguo Testamento"</v>
      </c>
      <c r="O82" t="s">
        <v>834</v>
      </c>
      <c r="P82" t="str">
        <f>"""" &amp; _xlfn.TEXTJOIN(""",""",TRUE,Table223[[#This Row],[Categoria]:[Categoria7]]) &amp; """"</f>
        <v>"Precatecumenado","Fracción Del Pan","Antiguo Testamento"</v>
      </c>
    </row>
    <row r="83" spans="1:16" x14ac:dyDescent="0.25">
      <c r="A83" s="1">
        <v>63</v>
      </c>
      <c r="B83" s="1">
        <v>80</v>
      </c>
      <c r="C83" t="s">
        <v>86</v>
      </c>
      <c r="D83" t="s">
        <v>321</v>
      </c>
      <c r="E83" t="s">
        <v>261</v>
      </c>
      <c r="F83" s="6" t="s">
        <v>18</v>
      </c>
      <c r="G83" s="7" t="s">
        <v>29</v>
      </c>
      <c r="H83" s="8" t="s">
        <v>30</v>
      </c>
      <c r="I83" s="5" t="s">
        <v>17</v>
      </c>
      <c r="M83" t="s">
        <v>543</v>
      </c>
      <c r="N83" t="str">
        <f>"""" &amp; _xlfn.TEXTJOIN(""",""",TRUE,Table223[[#This Row],[Categoria1]:[Categoria7]]) &amp; """"</f>
        <v>"Antiguo Testamento","Adviento","Navidad","Cuaresma"</v>
      </c>
      <c r="O83" t="s">
        <v>835</v>
      </c>
      <c r="P83" t="str">
        <f>"""" &amp; _xlfn.TEXTJOIN(""",""",TRUE,Table223[[#This Row],[Categoria]:[Categoria7]]) &amp; """"</f>
        <v>"Precatecumenado","Antiguo Testamento","Adviento","Navidad","Cuaresma"</v>
      </c>
    </row>
    <row r="84" spans="1:16" x14ac:dyDescent="0.25">
      <c r="A84" s="1">
        <v>64</v>
      </c>
      <c r="B84" s="1">
        <v>81</v>
      </c>
      <c r="C84" t="s">
        <v>87</v>
      </c>
      <c r="D84" t="s">
        <v>322</v>
      </c>
      <c r="E84" t="s">
        <v>261</v>
      </c>
      <c r="F84" t="s">
        <v>48</v>
      </c>
      <c r="G84" s="4" t="s">
        <v>15</v>
      </c>
      <c r="M84" t="s">
        <v>544</v>
      </c>
      <c r="N84" t="str">
        <f>"""" &amp; _xlfn.TEXTJOIN(""",""",TRUE,Table223[[#This Row],[Categoria1]:[Categoria7]]) &amp; """"</f>
        <v>"Comunión","Nuevo Testamento"</v>
      </c>
      <c r="O84" t="s">
        <v>836</v>
      </c>
      <c r="P84" t="str">
        <f>"""" &amp; _xlfn.TEXTJOIN(""",""",TRUE,Table223[[#This Row],[Categoria]:[Categoria7]]) &amp; """"</f>
        <v>"Precatecumenado","Comunión","Nuevo Testamento"</v>
      </c>
    </row>
    <row r="85" spans="1:16" x14ac:dyDescent="0.25">
      <c r="A85" s="1">
        <v>65</v>
      </c>
      <c r="B85" s="1">
        <v>82</v>
      </c>
      <c r="C85" t="s">
        <v>88</v>
      </c>
      <c r="D85" t="s">
        <v>323</v>
      </c>
      <c r="E85" t="s">
        <v>261</v>
      </c>
      <c r="F85" t="s">
        <v>48</v>
      </c>
      <c r="G85" s="4" t="s">
        <v>15</v>
      </c>
      <c r="M85" t="s">
        <v>545</v>
      </c>
      <c r="N85" t="str">
        <f>"""" &amp; _xlfn.TEXTJOIN(""",""",TRUE,Table223[[#This Row],[Categoria1]:[Categoria7]]) &amp; """"</f>
        <v>"Comunión","Nuevo Testamento"</v>
      </c>
      <c r="O85" t="s">
        <v>752</v>
      </c>
      <c r="P85" t="str">
        <f>"""" &amp; _xlfn.TEXTJOIN(""",""",TRUE,Table223[[#This Row],[Categoria]:[Categoria7]]) &amp; """"</f>
        <v>"Precatecumenado","Comunión","Nuevo Testamento"</v>
      </c>
    </row>
    <row r="86" spans="1:16" x14ac:dyDescent="0.25">
      <c r="A86" s="1">
        <v>66</v>
      </c>
      <c r="B86" s="1">
        <v>83</v>
      </c>
      <c r="C86" t="s">
        <v>89</v>
      </c>
      <c r="D86" t="s">
        <v>324</v>
      </c>
      <c r="E86" t="s">
        <v>261</v>
      </c>
      <c r="F86" s="2" t="s">
        <v>12</v>
      </c>
      <c r="G86" s="3" t="s">
        <v>13</v>
      </c>
      <c r="H86" t="s">
        <v>64</v>
      </c>
      <c r="I86" s="4" t="s">
        <v>15</v>
      </c>
      <c r="M86" t="s">
        <v>546</v>
      </c>
      <c r="N86" t="str">
        <f>"""" &amp; _xlfn.TEXTJOIN(""",""",TRUE,Table223[[#This Row],[Categoria1]:[Categoria7]]) &amp; """"</f>
        <v>"Pascua","Pentecostés","Fracción Del Pan","Nuevo Testamento"</v>
      </c>
      <c r="O86" t="s">
        <v>753</v>
      </c>
      <c r="P86" t="str">
        <f>"""" &amp; _xlfn.TEXTJOIN(""",""",TRUE,Table223[[#This Row],[Categoria]:[Categoria7]]) &amp; """"</f>
        <v>"Precatecumenado","Pascua","Pentecostés","Fracción Del Pan","Nuevo Testamento"</v>
      </c>
    </row>
    <row r="87" spans="1:16" x14ac:dyDescent="0.25">
      <c r="A87" s="1">
        <v>67</v>
      </c>
      <c r="B87" s="1">
        <v>84</v>
      </c>
      <c r="C87" t="s">
        <v>90</v>
      </c>
      <c r="D87" t="s">
        <v>325</v>
      </c>
      <c r="E87" t="s">
        <v>261</v>
      </c>
      <c r="F87" t="s">
        <v>48</v>
      </c>
      <c r="G87" t="s">
        <v>46</v>
      </c>
      <c r="H87" s="6" t="s">
        <v>18</v>
      </c>
      <c r="M87" t="s">
        <v>547</v>
      </c>
      <c r="N87" t="str">
        <f>"""" &amp; _xlfn.TEXTJOIN(""",""",TRUE,Table223[[#This Row],[Categoria1]:[Categoria7]]) &amp; """"</f>
        <v>"Comunión","Final","Antiguo Testamento"</v>
      </c>
      <c r="O87" t="s">
        <v>837</v>
      </c>
      <c r="P87" t="str">
        <f>"""" &amp; _xlfn.TEXTJOIN(""",""",TRUE,Table223[[#This Row],[Categoria]:[Categoria7]]) &amp; """"</f>
        <v>"Precatecumenado","Comunión","Final","Antiguo Testamento"</v>
      </c>
    </row>
    <row r="88" spans="1:16" x14ac:dyDescent="0.25">
      <c r="A88" s="1">
        <v>68</v>
      </c>
      <c r="B88" s="1">
        <v>85</v>
      </c>
      <c r="C88" t="s">
        <v>91</v>
      </c>
      <c r="D88" t="s">
        <v>326</v>
      </c>
      <c r="E88" t="s">
        <v>261</v>
      </c>
      <c r="F88" s="2" t="s">
        <v>12</v>
      </c>
      <c r="G88" s="3" t="s">
        <v>13</v>
      </c>
      <c r="H88" t="s">
        <v>23</v>
      </c>
      <c r="I88" t="s">
        <v>48</v>
      </c>
      <c r="M88" t="s">
        <v>548</v>
      </c>
      <c r="N88" t="str">
        <f>"""" &amp; _xlfn.TEXTJOIN(""",""",TRUE,Table223[[#This Row],[Categoria1]:[Categoria7]]) &amp; """"</f>
        <v>"Pascua","Pentecostés","Entrada","Comunión"</v>
      </c>
      <c r="O88" t="s">
        <v>838</v>
      </c>
      <c r="P88" t="str">
        <f>"""" &amp; _xlfn.TEXTJOIN(""",""",TRUE,Table223[[#This Row],[Categoria]:[Categoria7]]) &amp; """"</f>
        <v>"Precatecumenado","Pascua","Pentecostés","Entrada","Comunión"</v>
      </c>
    </row>
    <row r="89" spans="1:16" x14ac:dyDescent="0.25">
      <c r="A89" s="1">
        <v>69</v>
      </c>
      <c r="B89" s="1">
        <v>86</v>
      </c>
      <c r="C89" t="s">
        <v>2107</v>
      </c>
      <c r="D89" t="s">
        <v>327</v>
      </c>
      <c r="E89" t="s">
        <v>261</v>
      </c>
      <c r="F89" s="6" t="s">
        <v>18</v>
      </c>
      <c r="M89" t="s">
        <v>2106</v>
      </c>
      <c r="N89" t="str">
        <f>"""" &amp; _xlfn.TEXTJOIN(""",""",TRUE,Table223[[#This Row],[Categoria1]:[Categoria7]]) &amp; """"</f>
        <v>"Antiguo Testamento"</v>
      </c>
      <c r="O89" t="s">
        <v>839</v>
      </c>
      <c r="P89" t="str">
        <f>"""" &amp; _xlfn.TEXTJOIN(""",""",TRUE,Table223[[#This Row],[Categoria]:[Categoria7]]) &amp; """"</f>
        <v>"Precatecumenado","Antiguo Testamento"</v>
      </c>
    </row>
    <row r="90" spans="1:16" x14ac:dyDescent="0.25">
      <c r="A90" s="1">
        <v>70</v>
      </c>
      <c r="B90" s="1">
        <v>87</v>
      </c>
      <c r="C90" t="s">
        <v>93</v>
      </c>
      <c r="D90" t="s">
        <v>328</v>
      </c>
      <c r="E90" t="s">
        <v>261</v>
      </c>
      <c r="F90" s="7" t="s">
        <v>29</v>
      </c>
      <c r="G90" s="8" t="s">
        <v>30</v>
      </c>
      <c r="H90" t="s">
        <v>23</v>
      </c>
      <c r="I90" t="s">
        <v>48</v>
      </c>
      <c r="J90" s="6" t="s">
        <v>18</v>
      </c>
      <c r="M90" t="s">
        <v>549</v>
      </c>
      <c r="N90" t="str">
        <f>"""" &amp; _xlfn.TEXTJOIN(""",""",TRUE,Table223[[#This Row],[Categoria1]:[Categoria7]]) &amp; """"</f>
        <v>"Adviento","Navidad","Entrada","Comunión","Antiguo Testamento"</v>
      </c>
      <c r="O90" t="s">
        <v>840</v>
      </c>
      <c r="P90" t="str">
        <f>"""" &amp; _xlfn.TEXTJOIN(""",""",TRUE,Table223[[#This Row],[Categoria]:[Categoria7]]) &amp; """"</f>
        <v>"Precatecumenado","Adviento","Navidad","Entrada","Comunión","Antiguo Testamento"</v>
      </c>
    </row>
    <row r="91" spans="1:16" x14ac:dyDescent="0.25">
      <c r="A91" s="1">
        <v>71</v>
      </c>
      <c r="B91" s="1">
        <v>88</v>
      </c>
      <c r="C91" t="s">
        <v>94</v>
      </c>
      <c r="D91" t="s">
        <v>450</v>
      </c>
      <c r="E91" t="s">
        <v>261</v>
      </c>
      <c r="F91" s="6" t="s">
        <v>18</v>
      </c>
      <c r="M91" t="s">
        <v>550</v>
      </c>
      <c r="N91" t="str">
        <f>"""" &amp; _xlfn.TEXTJOIN(""",""",TRUE,Table223[[#This Row],[Categoria1]:[Categoria7]]) &amp; """"</f>
        <v>"Antiguo Testamento"</v>
      </c>
      <c r="O91" t="s">
        <v>841</v>
      </c>
      <c r="P91" t="str">
        <f>"""" &amp; _xlfn.TEXTJOIN(""",""",TRUE,Table223[[#This Row],[Categoria]:[Categoria7]]) &amp; """"</f>
        <v>"Precatecumenado","Antiguo Testamento"</v>
      </c>
    </row>
    <row r="92" spans="1:16" x14ac:dyDescent="0.25">
      <c r="A92" s="1">
        <v>72</v>
      </c>
      <c r="B92" s="1">
        <v>89</v>
      </c>
      <c r="C92" t="s">
        <v>95</v>
      </c>
      <c r="D92" t="s">
        <v>480</v>
      </c>
      <c r="E92" t="s">
        <v>261</v>
      </c>
      <c r="F92" s="2" t="s">
        <v>12</v>
      </c>
      <c r="G92" s="3" t="s">
        <v>13</v>
      </c>
      <c r="H92" s="4" t="s">
        <v>15</v>
      </c>
      <c r="M92" t="s">
        <v>551</v>
      </c>
      <c r="N92" t="str">
        <f>"""" &amp; _xlfn.TEXTJOIN(""",""",TRUE,Table223[[#This Row],[Categoria1]:[Categoria7]]) &amp; """"</f>
        <v>"Pascua","Pentecostés","Nuevo Testamento"</v>
      </c>
      <c r="O92" t="s">
        <v>754</v>
      </c>
      <c r="P92" t="str">
        <f>"""" &amp; _xlfn.TEXTJOIN(""",""",TRUE,Table223[[#This Row],[Categoria]:[Categoria7]]) &amp; """"</f>
        <v>"Precatecumenado","Pascua","Pentecostés","Nuevo Testamento"</v>
      </c>
    </row>
    <row r="93" spans="1:16" x14ac:dyDescent="0.25">
      <c r="A93" s="1">
        <v>73</v>
      </c>
      <c r="B93" s="1">
        <v>90</v>
      </c>
      <c r="C93" t="s">
        <v>96</v>
      </c>
      <c r="D93" t="s">
        <v>329</v>
      </c>
      <c r="E93" t="s">
        <v>261</v>
      </c>
      <c r="F93" t="s">
        <v>34</v>
      </c>
      <c r="M93" t="s">
        <v>552</v>
      </c>
      <c r="N93" t="str">
        <f>"""" &amp; _xlfn.TEXTJOIN(""",""",TRUE,Table223[[#This Row],[Categoria1]:[Categoria7]]) &amp; """"</f>
        <v>"Paz"</v>
      </c>
      <c r="O93" t="s">
        <v>842</v>
      </c>
      <c r="P93" t="str">
        <f>"""" &amp; _xlfn.TEXTJOIN(""",""",TRUE,Table223[[#This Row],[Categoria]:[Categoria7]]) &amp; """"</f>
        <v>"Precatecumenado","Paz"</v>
      </c>
    </row>
    <row r="94" spans="1:16" x14ac:dyDescent="0.25">
      <c r="A94" s="1">
        <v>74</v>
      </c>
      <c r="B94" s="1">
        <v>91</v>
      </c>
      <c r="C94" t="s">
        <v>97</v>
      </c>
      <c r="D94" t="s">
        <v>330</v>
      </c>
      <c r="E94" t="s">
        <v>261</v>
      </c>
      <c r="F94" s="7" t="s">
        <v>29</v>
      </c>
      <c r="G94" s="8" t="s">
        <v>30</v>
      </c>
      <c r="H94" s="5" t="s">
        <v>17</v>
      </c>
      <c r="I94" t="s">
        <v>64</v>
      </c>
      <c r="M94" t="s">
        <v>553</v>
      </c>
      <c r="N94" t="str">
        <f>"""" &amp; _xlfn.TEXTJOIN(""",""",TRUE,Table223[[#This Row],[Categoria1]:[Categoria7]]) &amp; """"</f>
        <v>"Adviento","Navidad","Cuaresma","Fracción Del Pan"</v>
      </c>
      <c r="O94" t="s">
        <v>843</v>
      </c>
      <c r="P94" t="str">
        <f>"""" &amp; _xlfn.TEXTJOIN(""",""",TRUE,Table223[[#This Row],[Categoria]:[Categoria7]]) &amp; """"</f>
        <v>"Precatecumenado","Adviento","Navidad","Cuaresma","Fracción Del Pan"</v>
      </c>
    </row>
    <row r="95" spans="1:16" x14ac:dyDescent="0.25">
      <c r="A95" s="1">
        <v>75</v>
      </c>
      <c r="B95" s="1">
        <v>92</v>
      </c>
      <c r="C95" t="s">
        <v>98</v>
      </c>
      <c r="D95" t="s">
        <v>451</v>
      </c>
      <c r="E95" t="s">
        <v>261</v>
      </c>
      <c r="F95" s="2" t="s">
        <v>12</v>
      </c>
      <c r="G95" s="3" t="s">
        <v>13</v>
      </c>
      <c r="H95" t="s">
        <v>48</v>
      </c>
      <c r="I95" t="s">
        <v>23</v>
      </c>
      <c r="J95" s="6" t="s">
        <v>18</v>
      </c>
      <c r="M95" t="s">
        <v>554</v>
      </c>
      <c r="N95" t="str">
        <f>"""" &amp; _xlfn.TEXTJOIN(""",""",TRUE,Table223[[#This Row],[Categoria1]:[Categoria7]]) &amp; """"</f>
        <v>"Pascua","Pentecostés","Comunión","Entrada","Antiguo Testamento"</v>
      </c>
      <c r="O95" t="s">
        <v>844</v>
      </c>
      <c r="P95" t="str">
        <f>"""" &amp; _xlfn.TEXTJOIN(""",""",TRUE,Table223[[#This Row],[Categoria]:[Categoria7]]) &amp; """"</f>
        <v>"Precatecumenado","Pascua","Pentecostés","Comunión","Entrada","Antiguo Testamento"</v>
      </c>
    </row>
    <row r="96" spans="1:16" x14ac:dyDescent="0.25">
      <c r="A96" s="1">
        <v>76</v>
      </c>
      <c r="B96" s="1">
        <v>93</v>
      </c>
      <c r="C96" t="s">
        <v>99</v>
      </c>
      <c r="D96" t="s">
        <v>452</v>
      </c>
      <c r="E96" t="s">
        <v>261</v>
      </c>
      <c r="F96" s="6" t="s">
        <v>18</v>
      </c>
      <c r="M96" t="s">
        <v>555</v>
      </c>
      <c r="N96" t="str">
        <f>"""" &amp; _xlfn.TEXTJOIN(""",""",TRUE,Table223[[#This Row],[Categoria1]:[Categoria7]]) &amp; """"</f>
        <v>"Antiguo Testamento"</v>
      </c>
      <c r="O96" t="s">
        <v>845</v>
      </c>
      <c r="P96" t="str">
        <f>"""" &amp; _xlfn.TEXTJOIN(""",""",TRUE,Table223[[#This Row],[Categoria]:[Categoria7]]) &amp; """"</f>
        <v>"Precatecumenado","Antiguo Testamento"</v>
      </c>
    </row>
    <row r="97" spans="1:16" x14ac:dyDescent="0.25">
      <c r="A97" s="10">
        <v>188</v>
      </c>
      <c r="B97" s="1">
        <v>94</v>
      </c>
      <c r="C97" s="11" t="s">
        <v>208</v>
      </c>
      <c r="D97" s="11" t="s">
        <v>408</v>
      </c>
      <c r="E97" s="11" t="s">
        <v>961</v>
      </c>
      <c r="F97" s="5" t="s">
        <v>30</v>
      </c>
      <c r="G97" t="s">
        <v>209</v>
      </c>
      <c r="H97" s="4" t="s">
        <v>12</v>
      </c>
      <c r="M97" t="s">
        <v>662</v>
      </c>
      <c r="N97" t="str">
        <f>"""" &amp; _xlfn.TEXTJOIN(""",""",TRUE,Table223[[#This Row],[Categoria1]:[Categoria7]]) &amp; """"</f>
        <v>"Navidad","Orinario","Pascua"</v>
      </c>
      <c r="O97" t="s">
        <v>755</v>
      </c>
      <c r="P97" t="str">
        <f>"""" &amp; _xlfn.TEXTJOIN(""",""",TRUE,Table223[[#This Row],[Categoria]:[Categoria7]]) &amp; """"</f>
        <v>"Liturgia","Navidad","Orinario","Pascua"</v>
      </c>
    </row>
    <row r="98" spans="1:16" x14ac:dyDescent="0.25">
      <c r="A98" s="1">
        <v>77</v>
      </c>
      <c r="B98" s="1">
        <v>95</v>
      </c>
      <c r="C98" t="s">
        <v>100</v>
      </c>
      <c r="D98" t="s">
        <v>453</v>
      </c>
      <c r="E98" t="s">
        <v>261</v>
      </c>
      <c r="F98" s="2" t="s">
        <v>12</v>
      </c>
      <c r="G98" s="3" t="s">
        <v>13</v>
      </c>
      <c r="H98" t="s">
        <v>34</v>
      </c>
      <c r="I98" t="s">
        <v>48</v>
      </c>
      <c r="J98" t="s">
        <v>46</v>
      </c>
      <c r="K98" s="6" t="s">
        <v>18</v>
      </c>
      <c r="M98" t="s">
        <v>556</v>
      </c>
      <c r="N98" t="str">
        <f>"""" &amp; _xlfn.TEXTJOIN(""",""",TRUE,Table223[[#This Row],[Categoria1]:[Categoria7]]) &amp; """"</f>
        <v>"Pascua","Pentecostés","Paz","Comunión","Final","Antiguo Testamento"</v>
      </c>
      <c r="O98" t="s">
        <v>846</v>
      </c>
      <c r="P98" t="str">
        <f>"""" &amp; _xlfn.TEXTJOIN(""",""",TRUE,Table223[[#This Row],[Categoria]:[Categoria7]]) &amp; """"</f>
        <v>"Precatecumenado","Pascua","Pentecostés","Paz","Comunión","Final","Antiguo Testamento"</v>
      </c>
    </row>
    <row r="99" spans="1:16" x14ac:dyDescent="0.25">
      <c r="A99" s="1">
        <v>78</v>
      </c>
      <c r="B99" s="1">
        <v>96</v>
      </c>
      <c r="C99" t="s">
        <v>101</v>
      </c>
      <c r="D99" t="s">
        <v>331</v>
      </c>
      <c r="E99" t="s">
        <v>261</v>
      </c>
      <c r="F99" s="2" t="s">
        <v>12</v>
      </c>
      <c r="G99" s="3" t="s">
        <v>13</v>
      </c>
      <c r="H99" t="s">
        <v>48</v>
      </c>
      <c r="I99" t="s">
        <v>46</v>
      </c>
      <c r="J99" s="6" t="s">
        <v>18</v>
      </c>
      <c r="M99" t="s">
        <v>557</v>
      </c>
      <c r="N99" t="str">
        <f>"""" &amp; _xlfn.TEXTJOIN(""",""",TRUE,Table223[[#This Row],[Categoria1]:[Categoria7]]) &amp; """"</f>
        <v>"Pascua","Pentecostés","Comunión","Final","Antiguo Testamento"</v>
      </c>
      <c r="O99" t="s">
        <v>847</v>
      </c>
      <c r="P99" t="str">
        <f>"""" &amp; _xlfn.TEXTJOIN(""",""",TRUE,Table223[[#This Row],[Categoria]:[Categoria7]]) &amp; """"</f>
        <v>"Precatecumenado","Pascua","Pentecostés","Comunión","Final","Antiguo Testamento"</v>
      </c>
    </row>
    <row r="100" spans="1:16" x14ac:dyDescent="0.25">
      <c r="A100" s="1">
        <v>79</v>
      </c>
      <c r="B100" s="1">
        <v>97</v>
      </c>
      <c r="C100" t="s">
        <v>102</v>
      </c>
      <c r="D100" t="s">
        <v>332</v>
      </c>
      <c r="E100" t="s">
        <v>261</v>
      </c>
      <c r="F100" t="s">
        <v>23</v>
      </c>
      <c r="M100" t="s">
        <v>558</v>
      </c>
      <c r="N100" t="str">
        <f>"""" &amp; _xlfn.TEXTJOIN(""",""",TRUE,Table223[[#This Row],[Categoria1]:[Categoria7]]) &amp; """"</f>
        <v>"Entrada"</v>
      </c>
      <c r="O100" t="s">
        <v>848</v>
      </c>
      <c r="P100" t="str">
        <f>"""" &amp; _xlfn.TEXTJOIN(""",""",TRUE,Table223[[#This Row],[Categoria]:[Categoria7]]) &amp; """"</f>
        <v>"Precatecumenado","Entrada"</v>
      </c>
    </row>
    <row r="101" spans="1:16" x14ac:dyDescent="0.25">
      <c r="A101" s="1">
        <v>80</v>
      </c>
      <c r="B101" s="1">
        <v>98</v>
      </c>
      <c r="C101" t="s">
        <v>103</v>
      </c>
      <c r="D101" t="s">
        <v>454</v>
      </c>
      <c r="E101" t="s">
        <v>261</v>
      </c>
      <c r="F101" s="5" t="s">
        <v>17</v>
      </c>
      <c r="G101" s="6" t="s">
        <v>18</v>
      </c>
      <c r="M101" t="s">
        <v>559</v>
      </c>
      <c r="N101" t="str">
        <f>"""" &amp; _xlfn.TEXTJOIN(""",""",TRUE,Table223[[#This Row],[Categoria1]:[Categoria7]]) &amp; """"</f>
        <v>"Cuaresma","Antiguo Testamento"</v>
      </c>
      <c r="O101" t="s">
        <v>849</v>
      </c>
      <c r="P101" t="str">
        <f>"""" &amp; _xlfn.TEXTJOIN(""",""",TRUE,Table223[[#This Row],[Categoria]:[Categoria7]]) &amp; """"</f>
        <v>"Precatecumenado","Cuaresma","Antiguo Testamento"</v>
      </c>
    </row>
    <row r="102" spans="1:16" x14ac:dyDescent="0.25">
      <c r="A102" s="1">
        <v>81</v>
      </c>
      <c r="B102" s="1">
        <v>99</v>
      </c>
      <c r="C102" t="s">
        <v>104</v>
      </c>
      <c r="D102" t="s">
        <v>333</v>
      </c>
      <c r="E102" t="s">
        <v>261</v>
      </c>
      <c r="F102" s="5" t="s">
        <v>17</v>
      </c>
      <c r="G102" t="s">
        <v>64</v>
      </c>
      <c r="H102" s="6" t="s">
        <v>18</v>
      </c>
      <c r="M102" t="s">
        <v>560</v>
      </c>
      <c r="N102" t="str">
        <f>"""" &amp; _xlfn.TEXTJOIN(""",""",TRUE,Table223[[#This Row],[Categoria1]:[Categoria7]]) &amp; """"</f>
        <v>"Cuaresma","Fracción Del Pan","Antiguo Testamento"</v>
      </c>
      <c r="O102" t="s">
        <v>756</v>
      </c>
      <c r="P102" t="str">
        <f>"""" &amp; _xlfn.TEXTJOIN(""",""",TRUE,Table223[[#This Row],[Categoria]:[Categoria7]]) &amp; """"</f>
        <v>"Precatecumenado","Cuaresma","Fracción Del Pan","Antiguo Testamento"</v>
      </c>
    </row>
    <row r="103" spans="1:16" x14ac:dyDescent="0.25">
      <c r="A103" s="16">
        <v>226</v>
      </c>
      <c r="B103" s="1">
        <v>100</v>
      </c>
      <c r="C103" s="17" t="s">
        <v>237</v>
      </c>
      <c r="D103" s="17" t="s">
        <v>432</v>
      </c>
      <c r="E103" s="17" t="s">
        <v>262</v>
      </c>
      <c r="F103" s="5" t="s">
        <v>17</v>
      </c>
      <c r="M103" t="s">
        <v>689</v>
      </c>
      <c r="N103" t="str">
        <f>"""" &amp; _xlfn.TEXTJOIN(""",""",TRUE,Table223[[#This Row],[Categoria1]:[Categoria7]]) &amp; """"</f>
        <v>"Cuaresma"</v>
      </c>
      <c r="O103" t="s">
        <v>757</v>
      </c>
      <c r="P103" t="str">
        <f>"""" &amp; _xlfn.TEXTJOIN(""",""",TRUE,Table223[[#This Row],[Categoria]:[Categoria7]]) &amp; """"</f>
        <v>"Catecumenado","Cuaresma"</v>
      </c>
    </row>
    <row r="104" spans="1:16" x14ac:dyDescent="0.25">
      <c r="A104" s="1">
        <v>82</v>
      </c>
      <c r="B104" s="1">
        <v>101</v>
      </c>
      <c r="C104" t="s">
        <v>105</v>
      </c>
      <c r="D104" t="s">
        <v>334</v>
      </c>
      <c r="E104" t="s">
        <v>261</v>
      </c>
      <c r="F104" s="7" t="s">
        <v>29</v>
      </c>
      <c r="G104" s="8" t="s">
        <v>30</v>
      </c>
      <c r="H104" t="s">
        <v>23</v>
      </c>
      <c r="I104" s="4" t="s">
        <v>15</v>
      </c>
      <c r="M104" t="s">
        <v>561</v>
      </c>
      <c r="N104" t="str">
        <f>"""" &amp; _xlfn.TEXTJOIN(""",""",TRUE,Table223[[#This Row],[Categoria1]:[Categoria7]]) &amp; """"</f>
        <v>"Adviento","Navidad","Entrada","Nuevo Testamento"</v>
      </c>
      <c r="O104" t="s">
        <v>758</v>
      </c>
      <c r="P104" t="str">
        <f>"""" &amp; _xlfn.TEXTJOIN(""",""",TRUE,Table223[[#This Row],[Categoria]:[Categoria7]]) &amp; """"</f>
        <v>"Precatecumenado","Adviento","Navidad","Entrada","Nuevo Testamento"</v>
      </c>
    </row>
    <row r="105" spans="1:16" x14ac:dyDescent="0.25">
      <c r="A105" s="1">
        <v>83</v>
      </c>
      <c r="B105" s="1">
        <v>102</v>
      </c>
      <c r="C105" t="s">
        <v>106</v>
      </c>
      <c r="D105" t="s">
        <v>335</v>
      </c>
      <c r="E105" t="s">
        <v>261</v>
      </c>
      <c r="F105" s="5" t="s">
        <v>17</v>
      </c>
      <c r="G105" s="6" t="s">
        <v>18</v>
      </c>
      <c r="M105" t="s">
        <v>562</v>
      </c>
      <c r="N105" t="str">
        <f>"""" &amp; _xlfn.TEXTJOIN(""",""",TRUE,Table223[[#This Row],[Categoria1]:[Categoria7]]) &amp; """"</f>
        <v>"Cuaresma","Antiguo Testamento"</v>
      </c>
      <c r="O105" t="s">
        <v>850</v>
      </c>
      <c r="P105" t="str">
        <f>"""" &amp; _xlfn.TEXTJOIN(""",""",TRUE,Table223[[#This Row],[Categoria]:[Categoria7]]) &amp; """"</f>
        <v>"Precatecumenado","Cuaresma","Antiguo Testamento"</v>
      </c>
    </row>
    <row r="106" spans="1:16" x14ac:dyDescent="0.25">
      <c r="A106" s="18">
        <v>241</v>
      </c>
      <c r="B106" s="1">
        <v>103</v>
      </c>
      <c r="C106" s="19" t="s">
        <v>252</v>
      </c>
      <c r="D106" s="19" t="s">
        <v>443</v>
      </c>
      <c r="E106" s="19" t="s">
        <v>960</v>
      </c>
      <c r="F106" s="2" t="s">
        <v>12</v>
      </c>
      <c r="G106" s="3" t="s">
        <v>13</v>
      </c>
      <c r="H106" s="6" t="s">
        <v>18</v>
      </c>
      <c r="M106" t="s">
        <v>704</v>
      </c>
      <c r="N106" t="str">
        <f>"""" &amp; _xlfn.TEXTJOIN(""",""",TRUE,Table223[[#This Row],[Categoria1]:[Categoria7]]) &amp; """"</f>
        <v>"Pascua","Pentecostés","Antiguo Testamento"</v>
      </c>
      <c r="O106" t="s">
        <v>851</v>
      </c>
      <c r="P106" t="str">
        <f>"""" &amp; _xlfn.TEXTJOIN(""",""",TRUE,Table223[[#This Row],[Categoria]:[Categoria7]]) &amp; """"</f>
        <v>"Eleccion","Pascua","Pentecostés","Antiguo Testamento"</v>
      </c>
    </row>
    <row r="107" spans="1:16" x14ac:dyDescent="0.25">
      <c r="A107" s="1">
        <v>84</v>
      </c>
      <c r="B107" s="1">
        <v>104</v>
      </c>
      <c r="C107" t="s">
        <v>107</v>
      </c>
      <c r="D107" t="s">
        <v>336</v>
      </c>
      <c r="E107" t="s">
        <v>261</v>
      </c>
      <c r="F107" s="5" t="s">
        <v>17</v>
      </c>
      <c r="G107" t="s">
        <v>64</v>
      </c>
      <c r="H107" s="4" t="s">
        <v>15</v>
      </c>
      <c r="M107" t="s">
        <v>563</v>
      </c>
      <c r="N107" t="str">
        <f>"""" &amp; _xlfn.TEXTJOIN(""",""",TRUE,Table223[[#This Row],[Categoria1]:[Categoria7]]) &amp; """"</f>
        <v>"Cuaresma","Fracción Del Pan","Nuevo Testamento"</v>
      </c>
      <c r="O107" t="s">
        <v>852</v>
      </c>
      <c r="P107" t="str">
        <f>"""" &amp; _xlfn.TEXTJOIN(""",""",TRUE,Table223[[#This Row],[Categoria]:[Categoria7]]) &amp; """"</f>
        <v>"Precatecumenado","Cuaresma","Fracción Del Pan","Nuevo Testamento"</v>
      </c>
    </row>
    <row r="108" spans="1:16" x14ac:dyDescent="0.25">
      <c r="A108" s="1">
        <v>85</v>
      </c>
      <c r="B108" s="1">
        <v>105</v>
      </c>
      <c r="C108" t="s">
        <v>108</v>
      </c>
      <c r="D108" t="s">
        <v>337</v>
      </c>
      <c r="E108" t="s">
        <v>261</v>
      </c>
      <c r="F108" s="2" t="s">
        <v>12</v>
      </c>
      <c r="G108" s="3" t="s">
        <v>13</v>
      </c>
      <c r="M108" t="s">
        <v>564</v>
      </c>
      <c r="N108" t="str">
        <f>"""" &amp; _xlfn.TEXTJOIN(""",""",TRUE,Table223[[#This Row],[Categoria1]:[Categoria7]]) &amp; """"</f>
        <v>"Pascua","Pentecostés"</v>
      </c>
      <c r="O108" t="s">
        <v>759</v>
      </c>
      <c r="P108" t="str">
        <f>"""" &amp; _xlfn.TEXTJOIN(""",""",TRUE,Table223[[#This Row],[Categoria]:[Categoria7]]) &amp; """"</f>
        <v>"Precatecumenado","Pascua","Pentecostés"</v>
      </c>
    </row>
    <row r="109" spans="1:16" x14ac:dyDescent="0.25">
      <c r="A109" s="1">
        <v>86</v>
      </c>
      <c r="B109" s="1">
        <v>106</v>
      </c>
      <c r="C109" t="s">
        <v>109</v>
      </c>
      <c r="D109" t="s">
        <v>338</v>
      </c>
      <c r="E109" t="s">
        <v>261</v>
      </c>
      <c r="F109" s="2" t="s">
        <v>12</v>
      </c>
      <c r="G109" s="3" t="s">
        <v>13</v>
      </c>
      <c r="H109" t="s">
        <v>48</v>
      </c>
      <c r="I109" s="4" t="s">
        <v>15</v>
      </c>
      <c r="M109" t="s">
        <v>565</v>
      </c>
      <c r="N109" t="str">
        <f>"""" &amp; _xlfn.TEXTJOIN(""",""",TRUE,Table223[[#This Row],[Categoria1]:[Categoria7]]) &amp; """"</f>
        <v>"Pascua","Pentecostés","Comunión","Nuevo Testamento"</v>
      </c>
      <c r="O109" t="s">
        <v>760</v>
      </c>
      <c r="P109" t="str">
        <f>"""" &amp; _xlfn.TEXTJOIN(""",""",TRUE,Table223[[#This Row],[Categoria]:[Categoria7]]) &amp; """"</f>
        <v>"Precatecumenado","Pascua","Pentecostés","Comunión","Nuevo Testamento"</v>
      </c>
    </row>
    <row r="110" spans="1:16" x14ac:dyDescent="0.25">
      <c r="A110" s="14">
        <v>227</v>
      </c>
      <c r="B110" s="1">
        <v>107</v>
      </c>
      <c r="C110" s="15" t="s">
        <v>238</v>
      </c>
      <c r="D110" s="15" t="s">
        <v>433</v>
      </c>
      <c r="E110" s="15" t="s">
        <v>262</v>
      </c>
      <c r="F110" s="5"/>
      <c r="M110" t="s">
        <v>690</v>
      </c>
      <c r="N110" t="str">
        <f>"""" &amp; _xlfn.TEXTJOIN(""",""",TRUE,Table223[[#This Row],[Categoria1]:[Categoria7]]) &amp; """"</f>
        <v>""</v>
      </c>
      <c r="O110" t="s">
        <v>853</v>
      </c>
      <c r="P110" t="str">
        <f>"""" &amp; _xlfn.TEXTJOIN(""",""",TRUE,Table223[[#This Row],[Categoria]:[Categoria7]]) &amp; """"</f>
        <v>"Catecumenado"</v>
      </c>
    </row>
    <row r="111" spans="1:16" x14ac:dyDescent="0.25">
      <c r="A111" s="1">
        <v>87</v>
      </c>
      <c r="B111" s="1">
        <v>108</v>
      </c>
      <c r="C111" t="s">
        <v>110</v>
      </c>
      <c r="D111" t="s">
        <v>339</v>
      </c>
      <c r="E111" t="s">
        <v>261</v>
      </c>
      <c r="F111" s="2" t="s">
        <v>12</v>
      </c>
      <c r="G111" s="3" t="s">
        <v>13</v>
      </c>
      <c r="H111" t="s">
        <v>64</v>
      </c>
      <c r="I111" s="4" t="s">
        <v>15</v>
      </c>
      <c r="M111" t="s">
        <v>566</v>
      </c>
      <c r="N111" t="str">
        <f>"""" &amp; _xlfn.TEXTJOIN(""",""",TRUE,Table223[[#This Row],[Categoria1]:[Categoria7]]) &amp; """"</f>
        <v>"Pascua","Pentecostés","Fracción Del Pan","Nuevo Testamento"</v>
      </c>
      <c r="O111" t="s">
        <v>854</v>
      </c>
      <c r="P111" t="str">
        <f>"""" &amp; _xlfn.TEXTJOIN(""",""",TRUE,Table223[[#This Row],[Categoria]:[Categoria7]]) &amp; """"</f>
        <v>"Precatecumenado","Pascua","Pentecostés","Fracción Del Pan","Nuevo Testamento"</v>
      </c>
    </row>
    <row r="112" spans="1:16" x14ac:dyDescent="0.25">
      <c r="A112" s="1">
        <v>88</v>
      </c>
      <c r="B112" s="1">
        <v>109</v>
      </c>
      <c r="C112" t="s">
        <v>111</v>
      </c>
      <c r="D112" t="s">
        <v>340</v>
      </c>
      <c r="E112" t="s">
        <v>261</v>
      </c>
      <c r="F112" s="7" t="s">
        <v>29</v>
      </c>
      <c r="G112" s="8" t="s">
        <v>30</v>
      </c>
      <c r="M112" t="s">
        <v>567</v>
      </c>
      <c r="N112" t="str">
        <f>"""" &amp; _xlfn.TEXTJOIN(""",""",TRUE,Table223[[#This Row],[Categoria1]:[Categoria7]]) &amp; """"</f>
        <v>"Adviento","Navidad"</v>
      </c>
      <c r="O112" t="s">
        <v>761</v>
      </c>
      <c r="P112" t="str">
        <f>"""" &amp; _xlfn.TEXTJOIN(""",""",TRUE,Table223[[#This Row],[Categoria]:[Categoria7]]) &amp; """"</f>
        <v>"Precatecumenado","Adviento","Navidad"</v>
      </c>
    </row>
    <row r="113" spans="1:16" x14ac:dyDescent="0.25">
      <c r="A113" s="1">
        <v>89</v>
      </c>
      <c r="B113" s="1">
        <v>110</v>
      </c>
      <c r="C113" t="s">
        <v>112</v>
      </c>
      <c r="D113" t="s">
        <v>341</v>
      </c>
      <c r="E113" t="s">
        <v>261</v>
      </c>
      <c r="F113" s="2" t="s">
        <v>12</v>
      </c>
      <c r="G113" s="3" t="s">
        <v>13</v>
      </c>
      <c r="M113" t="s">
        <v>568</v>
      </c>
      <c r="N113" t="str">
        <f>"""" &amp; _xlfn.TEXTJOIN(""",""",TRUE,Table223[[#This Row],[Categoria1]:[Categoria7]]) &amp; """"</f>
        <v>"Pascua","Pentecostés"</v>
      </c>
      <c r="O113" t="s">
        <v>855</v>
      </c>
      <c r="P113" t="str">
        <f>"""" &amp; _xlfn.TEXTJOIN(""",""",TRUE,Table223[[#This Row],[Categoria]:[Categoria7]]) &amp; """"</f>
        <v>"Precatecumenado","Pascua","Pentecostés"</v>
      </c>
    </row>
    <row r="114" spans="1:16" x14ac:dyDescent="0.25">
      <c r="A114" s="1">
        <v>90</v>
      </c>
      <c r="B114" s="1">
        <v>111</v>
      </c>
      <c r="C114" t="s">
        <v>113</v>
      </c>
      <c r="D114" t="s">
        <v>342</v>
      </c>
      <c r="E114" t="s">
        <v>261</v>
      </c>
      <c r="F114" s="2" t="s">
        <v>12</v>
      </c>
      <c r="G114" s="3" t="s">
        <v>13</v>
      </c>
      <c r="M114" t="s">
        <v>569</v>
      </c>
      <c r="N114" t="str">
        <f>"""" &amp; _xlfn.TEXTJOIN(""",""",TRUE,Table223[[#This Row],[Categoria1]:[Categoria7]]) &amp; """"</f>
        <v>"Pascua","Pentecostés"</v>
      </c>
      <c r="O114" t="s">
        <v>762</v>
      </c>
      <c r="P114" t="str">
        <f>"""" &amp; _xlfn.TEXTJOIN(""",""",TRUE,Table223[[#This Row],[Categoria]:[Categoria7]]) &amp; """"</f>
        <v>"Precatecumenado","Pascua","Pentecostés"</v>
      </c>
    </row>
    <row r="115" spans="1:16" x14ac:dyDescent="0.25">
      <c r="A115" s="1">
        <v>91</v>
      </c>
      <c r="B115" s="1">
        <v>112</v>
      </c>
      <c r="C115" t="s">
        <v>114</v>
      </c>
      <c r="D115" t="s">
        <v>343</v>
      </c>
      <c r="E115" t="s">
        <v>261</v>
      </c>
      <c r="F115" s="2" t="s">
        <v>12</v>
      </c>
      <c r="G115" s="3" t="s">
        <v>13</v>
      </c>
      <c r="H115" t="s">
        <v>48</v>
      </c>
      <c r="I115" t="s">
        <v>46</v>
      </c>
      <c r="J115" s="6" t="s">
        <v>18</v>
      </c>
      <c r="M115" t="s">
        <v>570</v>
      </c>
      <c r="N115" t="str">
        <f>"""" &amp; _xlfn.TEXTJOIN(""",""",TRUE,Table223[[#This Row],[Categoria1]:[Categoria7]]) &amp; """"</f>
        <v>"Pascua","Pentecostés","Comunión","Final","Antiguo Testamento"</v>
      </c>
      <c r="O115" t="s">
        <v>856</v>
      </c>
      <c r="P115" t="str">
        <f>"""" &amp; _xlfn.TEXTJOIN(""",""",TRUE,Table223[[#This Row],[Categoria]:[Categoria7]]) &amp; """"</f>
        <v>"Precatecumenado","Pascua","Pentecostés","Comunión","Final","Antiguo Testamento"</v>
      </c>
    </row>
    <row r="116" spans="1:16" x14ac:dyDescent="0.25">
      <c r="A116" s="1">
        <v>92</v>
      </c>
      <c r="B116" s="1">
        <v>113</v>
      </c>
      <c r="C116" t="s">
        <v>115</v>
      </c>
      <c r="D116" t="s">
        <v>344</v>
      </c>
      <c r="E116" t="s">
        <v>261</v>
      </c>
      <c r="F116" s="2" t="s">
        <v>12</v>
      </c>
      <c r="G116" s="3" t="s">
        <v>13</v>
      </c>
      <c r="H116" t="s">
        <v>46</v>
      </c>
      <c r="I116" s="4" t="s">
        <v>15</v>
      </c>
      <c r="M116" t="s">
        <v>571</v>
      </c>
      <c r="N116" t="str">
        <f>"""" &amp; _xlfn.TEXTJOIN(""",""",TRUE,Table223[[#This Row],[Categoria1]:[Categoria7]]) &amp; """"</f>
        <v>"Pascua","Pentecostés","Final","Nuevo Testamento"</v>
      </c>
      <c r="O116" t="s">
        <v>857</v>
      </c>
      <c r="P116" t="str">
        <f>"""" &amp; _xlfn.TEXTJOIN(""",""",TRUE,Table223[[#This Row],[Categoria]:[Categoria7]]) &amp; """"</f>
        <v>"Precatecumenado","Pascua","Pentecostés","Final","Nuevo Testamento"</v>
      </c>
    </row>
    <row r="117" spans="1:16" x14ac:dyDescent="0.25">
      <c r="A117" s="1">
        <v>93</v>
      </c>
      <c r="B117" s="1">
        <v>114</v>
      </c>
      <c r="C117" t="s">
        <v>116</v>
      </c>
      <c r="D117" t="s">
        <v>345</v>
      </c>
      <c r="E117" t="s">
        <v>261</v>
      </c>
      <c r="F117" s="5" t="s">
        <v>17</v>
      </c>
      <c r="G117" t="s">
        <v>64</v>
      </c>
      <c r="M117" t="s">
        <v>572</v>
      </c>
      <c r="N117" t="str">
        <f>"""" &amp; _xlfn.TEXTJOIN(""",""",TRUE,Table223[[#This Row],[Categoria1]:[Categoria7]]) &amp; """"</f>
        <v>"Cuaresma","Fracción Del Pan"</v>
      </c>
      <c r="O117" t="s">
        <v>858</v>
      </c>
      <c r="P117" t="str">
        <f>"""" &amp; _xlfn.TEXTJOIN(""",""",TRUE,Table223[[#This Row],[Categoria]:[Categoria7]]) &amp; """"</f>
        <v>"Precatecumenado","Cuaresma","Fracción Del Pan"</v>
      </c>
    </row>
    <row r="118" spans="1:16" x14ac:dyDescent="0.25">
      <c r="A118" s="16">
        <v>228</v>
      </c>
      <c r="B118" s="1">
        <v>115</v>
      </c>
      <c r="C118" s="17" t="s">
        <v>239</v>
      </c>
      <c r="D118" s="17" t="s">
        <v>434</v>
      </c>
      <c r="E118" s="17" t="s">
        <v>262</v>
      </c>
      <c r="F118" s="6" t="s">
        <v>18</v>
      </c>
      <c r="M118" t="s">
        <v>691</v>
      </c>
      <c r="N118" t="str">
        <f>"""" &amp; _xlfn.TEXTJOIN(""",""",TRUE,Table223[[#This Row],[Categoria1]:[Categoria7]]) &amp; """"</f>
        <v>"Antiguo Testamento"</v>
      </c>
      <c r="O118" t="s">
        <v>763</v>
      </c>
      <c r="P118" t="str">
        <f>"""" &amp; _xlfn.TEXTJOIN(""",""",TRUE,Table223[[#This Row],[Categoria]:[Categoria7]]) &amp; """"</f>
        <v>"Catecumenado","Antiguo Testamento"</v>
      </c>
    </row>
    <row r="119" spans="1:16" x14ac:dyDescent="0.25">
      <c r="A119" s="1">
        <v>94</v>
      </c>
      <c r="B119" s="1">
        <v>116</v>
      </c>
      <c r="C119" t="s">
        <v>117</v>
      </c>
      <c r="D119" t="s">
        <v>346</v>
      </c>
      <c r="E119" t="s">
        <v>261</v>
      </c>
      <c r="F119" s="2" t="s">
        <v>12</v>
      </c>
      <c r="G119" s="3" t="s">
        <v>13</v>
      </c>
      <c r="H119" t="s">
        <v>34</v>
      </c>
      <c r="I119" s="6" t="s">
        <v>18</v>
      </c>
      <c r="M119" t="s">
        <v>573</v>
      </c>
      <c r="N119" t="str">
        <f>"""" &amp; _xlfn.TEXTJOIN(""",""",TRUE,Table223[[#This Row],[Categoria1]:[Categoria7]]) &amp; """"</f>
        <v>"Pascua","Pentecostés","Paz","Antiguo Testamento"</v>
      </c>
      <c r="O119" t="s">
        <v>859</v>
      </c>
      <c r="P119" t="str">
        <f>"""" &amp; _xlfn.TEXTJOIN(""",""",TRUE,Table223[[#This Row],[Categoria]:[Categoria7]]) &amp; """"</f>
        <v>"Precatecumenado","Pascua","Pentecostés","Paz","Antiguo Testamento"</v>
      </c>
    </row>
    <row r="120" spans="1:16" x14ac:dyDescent="0.25">
      <c r="A120" s="1">
        <v>95</v>
      </c>
      <c r="B120" s="1">
        <v>117</v>
      </c>
      <c r="C120" t="s">
        <v>2066</v>
      </c>
      <c r="D120" t="s">
        <v>347</v>
      </c>
      <c r="E120" t="s">
        <v>261</v>
      </c>
      <c r="F120" s="4" t="s">
        <v>15</v>
      </c>
      <c r="M120" t="s">
        <v>2065</v>
      </c>
      <c r="N120" t="str">
        <f>"""" &amp; _xlfn.TEXTJOIN(""",""",TRUE,Table223[[#This Row],[Categoria1]:[Categoria7]]) &amp; """"</f>
        <v>"Nuevo Testamento"</v>
      </c>
      <c r="O120" t="s">
        <v>764</v>
      </c>
      <c r="P120" t="str">
        <f>"""" &amp; _xlfn.TEXTJOIN(""",""",TRUE,Table223[[#This Row],[Categoria]:[Categoria7]]) &amp; """"</f>
        <v>"Precatecumenado","Nuevo Testamento"</v>
      </c>
    </row>
    <row r="121" spans="1:16" x14ac:dyDescent="0.25">
      <c r="A121" s="1">
        <v>96</v>
      </c>
      <c r="B121" s="1">
        <v>118</v>
      </c>
      <c r="C121" t="s">
        <v>119</v>
      </c>
      <c r="D121" t="s">
        <v>348</v>
      </c>
      <c r="E121" t="s">
        <v>261</v>
      </c>
      <c r="F121" s="9" t="s">
        <v>42</v>
      </c>
      <c r="G121" s="7" t="s">
        <v>29</v>
      </c>
      <c r="H121" s="8" t="s">
        <v>30</v>
      </c>
      <c r="I121" s="4" t="s">
        <v>15</v>
      </c>
      <c r="M121" t="s">
        <v>574</v>
      </c>
      <c r="N121" t="str">
        <f>"""" &amp; _xlfn.TEXTJOIN(""",""",TRUE,Table223[[#This Row],[Categoria1]:[Categoria7]]) &amp; """"</f>
        <v>"Vírgen María","Adviento","Navidad","Nuevo Testamento"</v>
      </c>
      <c r="O121" t="s">
        <v>860</v>
      </c>
      <c r="P121" t="str">
        <f>"""" &amp; _xlfn.TEXTJOIN(""",""",TRUE,Table223[[#This Row],[Categoria]:[Categoria7]]) &amp; """"</f>
        <v>"Precatecumenado","Vírgen María","Adviento","Navidad","Nuevo Testamento"</v>
      </c>
    </row>
    <row r="122" spans="1:16" x14ac:dyDescent="0.25">
      <c r="A122" s="1">
        <v>97</v>
      </c>
      <c r="B122" s="1">
        <v>119</v>
      </c>
      <c r="C122" t="s">
        <v>120</v>
      </c>
      <c r="D122" t="s">
        <v>349</v>
      </c>
      <c r="E122" t="s">
        <v>261</v>
      </c>
      <c r="F122" s="9" t="s">
        <v>42</v>
      </c>
      <c r="G122" s="5" t="s">
        <v>17</v>
      </c>
      <c r="H122" s="6" t="s">
        <v>18</v>
      </c>
      <c r="M122" t="s">
        <v>575</v>
      </c>
      <c r="N122" t="str">
        <f>"""" &amp; _xlfn.TEXTJOIN(""",""",TRUE,Table223[[#This Row],[Categoria1]:[Categoria7]]) &amp; """"</f>
        <v>"Vírgen María","Cuaresma","Antiguo Testamento"</v>
      </c>
      <c r="O122" t="s">
        <v>861</v>
      </c>
      <c r="P122" t="str">
        <f>"""" &amp; _xlfn.TEXTJOIN(""",""",TRUE,Table223[[#This Row],[Categoria]:[Categoria7]]) &amp; """"</f>
        <v>"Precatecumenado","Vírgen María","Cuaresma","Antiguo Testamento"</v>
      </c>
    </row>
    <row r="123" spans="1:16" x14ac:dyDescent="0.25">
      <c r="A123" s="1">
        <v>98</v>
      </c>
      <c r="B123" s="1">
        <v>120</v>
      </c>
      <c r="C123" t="s">
        <v>121</v>
      </c>
      <c r="D123" t="s">
        <v>350</v>
      </c>
      <c r="E123" t="s">
        <v>261</v>
      </c>
      <c r="F123" s="5" t="s">
        <v>17</v>
      </c>
      <c r="M123" t="s">
        <v>576</v>
      </c>
      <c r="N123" t="str">
        <f>"""" &amp; _xlfn.TEXTJOIN(""",""",TRUE,Table223[[#This Row],[Categoria1]:[Categoria7]]) &amp; """"</f>
        <v>"Cuaresma"</v>
      </c>
      <c r="O123" t="s">
        <v>765</v>
      </c>
      <c r="P123" t="str">
        <f>"""" &amp; _xlfn.TEXTJOIN(""",""",TRUE,Table223[[#This Row],[Categoria]:[Categoria7]]) &amp; """"</f>
        <v>"Precatecumenado","Cuaresma"</v>
      </c>
    </row>
    <row r="124" spans="1:16" x14ac:dyDescent="0.25">
      <c r="A124" s="20">
        <v>242</v>
      </c>
      <c r="B124" s="1">
        <v>121</v>
      </c>
      <c r="C124" s="21" t="s">
        <v>253</v>
      </c>
      <c r="D124" s="21" t="s">
        <v>444</v>
      </c>
      <c r="E124" s="21" t="s">
        <v>960</v>
      </c>
      <c r="F124" s="2"/>
      <c r="G124" s="3"/>
      <c r="H124" s="6"/>
      <c r="M124" t="s">
        <v>705</v>
      </c>
      <c r="N124" t="str">
        <f>"""" &amp; _xlfn.TEXTJOIN(""",""",TRUE,Table223[[#This Row],[Categoria1]:[Categoria7]]) &amp; """"</f>
        <v>""</v>
      </c>
      <c r="O124" t="s">
        <v>862</v>
      </c>
      <c r="P124" t="str">
        <f>"""" &amp; _xlfn.TEXTJOIN(""",""",TRUE,Table223[[#This Row],[Categoria]:[Categoria7]]) &amp; """"</f>
        <v>"Eleccion"</v>
      </c>
    </row>
    <row r="125" spans="1:16" x14ac:dyDescent="0.25">
      <c r="A125" s="1">
        <v>99</v>
      </c>
      <c r="B125" s="1">
        <v>122</v>
      </c>
      <c r="C125" t="s">
        <v>122</v>
      </c>
      <c r="D125" t="s">
        <v>351</v>
      </c>
      <c r="E125" t="s">
        <v>261</v>
      </c>
      <c r="F125" s="9" t="s">
        <v>42</v>
      </c>
      <c r="G125" s="5" t="s">
        <v>17</v>
      </c>
      <c r="M125" t="s">
        <v>577</v>
      </c>
      <c r="N125" t="str">
        <f>"""" &amp; _xlfn.TEXTJOIN(""",""",TRUE,Table223[[#This Row],[Categoria1]:[Categoria7]]) &amp; """"</f>
        <v>"Vírgen María","Cuaresma"</v>
      </c>
      <c r="O125" t="s">
        <v>766</v>
      </c>
      <c r="P125" t="str">
        <f>"""" &amp; _xlfn.TEXTJOIN(""",""",TRUE,Table223[[#This Row],[Categoria]:[Categoria7]]) &amp; """"</f>
        <v>"Precatecumenado","Vírgen María","Cuaresma"</v>
      </c>
    </row>
    <row r="126" spans="1:16" x14ac:dyDescent="0.25">
      <c r="A126" s="1">
        <v>100</v>
      </c>
      <c r="B126" s="1">
        <v>123</v>
      </c>
      <c r="C126" t="s">
        <v>123</v>
      </c>
      <c r="D126" t="s">
        <v>352</v>
      </c>
      <c r="E126" t="s">
        <v>261</v>
      </c>
      <c r="F126" t="s">
        <v>46</v>
      </c>
      <c r="G126" s="4" t="s">
        <v>15</v>
      </c>
      <c r="M126" t="s">
        <v>578</v>
      </c>
      <c r="N126" t="str">
        <f>"""" &amp; _xlfn.TEXTJOIN(""",""",TRUE,Table223[[#This Row],[Categoria1]:[Categoria7]]) &amp; """"</f>
        <v>"Final","Nuevo Testamento"</v>
      </c>
      <c r="O126" t="s">
        <v>863</v>
      </c>
      <c r="P126" t="str">
        <f>"""" &amp; _xlfn.TEXTJOIN(""",""",TRUE,Table223[[#This Row],[Categoria]:[Categoria7]]) &amp; """"</f>
        <v>"Precatecumenado","Final","Nuevo Testamento"</v>
      </c>
    </row>
    <row r="127" spans="1:16" x14ac:dyDescent="0.25">
      <c r="A127" s="1">
        <v>101</v>
      </c>
      <c r="B127" s="1">
        <v>124</v>
      </c>
      <c r="C127" t="s">
        <v>124</v>
      </c>
      <c r="D127" t="s">
        <v>353</v>
      </c>
      <c r="E127" t="s">
        <v>261</v>
      </c>
      <c r="F127" s="2" t="s">
        <v>12</v>
      </c>
      <c r="G127" s="3" t="s">
        <v>13</v>
      </c>
      <c r="H127" t="s">
        <v>48</v>
      </c>
      <c r="I127" s="6" t="s">
        <v>18</v>
      </c>
      <c r="M127" t="s">
        <v>579</v>
      </c>
      <c r="N127" t="str">
        <f>"""" &amp; _xlfn.TEXTJOIN(""",""",TRUE,Table223[[#This Row],[Categoria1]:[Categoria7]]) &amp; """"</f>
        <v>"Pascua","Pentecostés","Comunión","Antiguo Testamento"</v>
      </c>
      <c r="O127" t="s">
        <v>864</v>
      </c>
      <c r="P127" t="str">
        <f>"""" &amp; _xlfn.TEXTJOIN(""",""",TRUE,Table223[[#This Row],[Categoria]:[Categoria7]]) &amp; """"</f>
        <v>"Precatecumenado","Pascua","Pentecostés","Comunión","Antiguo Testamento"</v>
      </c>
    </row>
    <row r="128" spans="1:16" x14ac:dyDescent="0.25">
      <c r="A128" s="1">
        <v>102</v>
      </c>
      <c r="B128" s="1">
        <v>125</v>
      </c>
      <c r="C128" t="s">
        <v>125</v>
      </c>
      <c r="D128" t="s">
        <v>354</v>
      </c>
      <c r="E128" t="s">
        <v>261</v>
      </c>
      <c r="F128" s="5" t="s">
        <v>17</v>
      </c>
      <c r="G128" s="7" t="s">
        <v>29</v>
      </c>
      <c r="H128" s="8" t="s">
        <v>30</v>
      </c>
      <c r="I128" s="4" t="s">
        <v>15</v>
      </c>
      <c r="M128" t="s">
        <v>580</v>
      </c>
      <c r="N128" t="str">
        <f>"""" &amp; _xlfn.TEXTJOIN(""",""",TRUE,Table223[[#This Row],[Categoria1]:[Categoria7]]) &amp; """"</f>
        <v>"Cuaresma","Adviento","Navidad","Nuevo Testamento"</v>
      </c>
      <c r="O128" t="s">
        <v>767</v>
      </c>
      <c r="P128" t="str">
        <f>"""" &amp; _xlfn.TEXTJOIN(""",""",TRUE,Table223[[#This Row],[Categoria]:[Categoria7]]) &amp; """"</f>
        <v>"Precatecumenado","Cuaresma","Adviento","Navidad","Nuevo Testamento"</v>
      </c>
    </row>
    <row r="129" spans="1:16" x14ac:dyDescent="0.25">
      <c r="A129" s="1">
        <v>103</v>
      </c>
      <c r="B129" s="1">
        <v>126</v>
      </c>
      <c r="C129" t="s">
        <v>126</v>
      </c>
      <c r="D129" t="s">
        <v>355</v>
      </c>
      <c r="E129" t="s">
        <v>261</v>
      </c>
      <c r="F129" s="2" t="s">
        <v>12</v>
      </c>
      <c r="G129" s="3" t="s">
        <v>13</v>
      </c>
      <c r="M129" t="s">
        <v>581</v>
      </c>
      <c r="N129" t="str">
        <f>"""" &amp; _xlfn.TEXTJOIN(""",""",TRUE,Table223[[#This Row],[Categoria1]:[Categoria7]]) &amp; """"</f>
        <v>"Pascua","Pentecostés"</v>
      </c>
      <c r="O129" t="s">
        <v>865</v>
      </c>
      <c r="P129" t="str">
        <f>"""" &amp; _xlfn.TEXTJOIN(""",""",TRUE,Table223[[#This Row],[Categoria]:[Categoria7]]) &amp; """"</f>
        <v>"Precatecumenado","Pascua","Pentecostés"</v>
      </c>
    </row>
    <row r="130" spans="1:16" x14ac:dyDescent="0.25">
      <c r="A130" s="12">
        <v>189</v>
      </c>
      <c r="B130" s="1">
        <v>127</v>
      </c>
      <c r="C130" s="13" t="s">
        <v>210</v>
      </c>
      <c r="D130" s="13" t="s">
        <v>404</v>
      </c>
      <c r="E130" s="13" t="s">
        <v>961</v>
      </c>
      <c r="F130" s="5"/>
      <c r="H130" s="4"/>
      <c r="M130" t="s">
        <v>663</v>
      </c>
      <c r="N130" t="str">
        <f>"""" &amp; _xlfn.TEXTJOIN(""",""",TRUE,Table223[[#This Row],[Categoria1]:[Categoria7]]) &amp; """"</f>
        <v>""</v>
      </c>
      <c r="O130" t="s">
        <v>866</v>
      </c>
      <c r="P130" t="str">
        <f>"""" &amp; _xlfn.TEXTJOIN(""",""",TRUE,Table223[[#This Row],[Categoria]:[Categoria7]]) &amp; """"</f>
        <v>"Liturgia"</v>
      </c>
    </row>
    <row r="131" spans="1:16" x14ac:dyDescent="0.25">
      <c r="A131" s="10">
        <v>191</v>
      </c>
      <c r="B131" s="1">
        <v>128</v>
      </c>
      <c r="C131" s="11" t="s">
        <v>211</v>
      </c>
      <c r="D131" s="11" t="s">
        <v>409</v>
      </c>
      <c r="E131" s="11" t="s">
        <v>961</v>
      </c>
      <c r="F131" s="5" t="s">
        <v>212</v>
      </c>
      <c r="H131" s="4"/>
      <c r="M131" t="s">
        <v>664</v>
      </c>
      <c r="N131" t="str">
        <f>"""" &amp; _xlfn.TEXTJOIN(""",""",TRUE,Table223[[#This Row],[Categoria1]:[Categoria7]]) &amp; """"</f>
        <v>"Penitencial"</v>
      </c>
      <c r="O131" t="s">
        <v>867</v>
      </c>
      <c r="P131" t="str">
        <f>"""" &amp; _xlfn.TEXTJOIN(""",""",TRUE,Table223[[#This Row],[Categoria]:[Categoria7]]) &amp; """"</f>
        <v>"Liturgia","Penitencial"</v>
      </c>
    </row>
    <row r="132" spans="1:16" x14ac:dyDescent="0.25">
      <c r="A132" s="12">
        <v>192</v>
      </c>
      <c r="B132" s="1">
        <v>129</v>
      </c>
      <c r="C132" s="13" t="s">
        <v>957</v>
      </c>
      <c r="D132" s="13" t="s">
        <v>410</v>
      </c>
      <c r="E132" s="13" t="s">
        <v>961</v>
      </c>
      <c r="F132" s="5" t="s">
        <v>212</v>
      </c>
      <c r="H132" s="4"/>
      <c r="M132" t="s">
        <v>958</v>
      </c>
      <c r="N132" t="str">
        <f>"""" &amp; _xlfn.TEXTJOIN(""",""",TRUE,Table223[[#This Row],[Categoria1]:[Categoria7]]) &amp; """"</f>
        <v>"Penitencial"</v>
      </c>
      <c r="O132" t="s">
        <v>959</v>
      </c>
      <c r="P132" t="str">
        <f>"""" &amp; _xlfn.TEXTJOIN(""",""",TRUE,Table223[[#This Row],[Categoria]:[Categoria7]]) &amp; """"</f>
        <v>"Liturgia","Penitencial"</v>
      </c>
    </row>
    <row r="133" spans="1:16" x14ac:dyDescent="0.25">
      <c r="A133" s="1">
        <v>105</v>
      </c>
      <c r="B133" s="1">
        <v>130</v>
      </c>
      <c r="C133" t="s">
        <v>127</v>
      </c>
      <c r="D133" t="s">
        <v>455</v>
      </c>
      <c r="E133" t="s">
        <v>261</v>
      </c>
      <c r="F133" s="5" t="s">
        <v>17</v>
      </c>
      <c r="G133" t="s">
        <v>23</v>
      </c>
      <c r="H133" s="6" t="s">
        <v>18</v>
      </c>
      <c r="M133" t="s">
        <v>582</v>
      </c>
      <c r="N133" t="str">
        <f>"""" &amp; _xlfn.TEXTJOIN(""",""",TRUE,Table223[[#This Row],[Categoria1]:[Categoria7]]) &amp; """"</f>
        <v>"Cuaresma","Entrada","Antiguo Testamento"</v>
      </c>
      <c r="O133" t="s">
        <v>868</v>
      </c>
      <c r="P133" t="str">
        <f>"""" &amp; _xlfn.TEXTJOIN(""",""",TRUE,Table223[[#This Row],[Categoria]:[Categoria7]]) &amp; """"</f>
        <v>"Precatecumenado","Cuaresma","Entrada","Antiguo Testamento"</v>
      </c>
    </row>
    <row r="134" spans="1:16" x14ac:dyDescent="0.25">
      <c r="A134" s="1">
        <v>106</v>
      </c>
      <c r="B134" s="1">
        <v>131</v>
      </c>
      <c r="C134" t="s">
        <v>128</v>
      </c>
      <c r="D134" t="s">
        <v>456</v>
      </c>
      <c r="E134" t="s">
        <v>261</v>
      </c>
      <c r="F134" s="5" t="s">
        <v>17</v>
      </c>
      <c r="G134" s="7" t="s">
        <v>29</v>
      </c>
      <c r="H134" s="8" t="s">
        <v>30</v>
      </c>
      <c r="I134" t="s">
        <v>23</v>
      </c>
      <c r="J134" s="6" t="s">
        <v>18</v>
      </c>
      <c r="M134" t="s">
        <v>583</v>
      </c>
      <c r="N134" t="str">
        <f>"""" &amp; _xlfn.TEXTJOIN(""",""",TRUE,Table223[[#This Row],[Categoria1]:[Categoria7]]) &amp; """"</f>
        <v>"Cuaresma","Adviento","Navidad","Entrada","Antiguo Testamento"</v>
      </c>
      <c r="O134" t="s">
        <v>869</v>
      </c>
      <c r="P134" t="str">
        <f>"""" &amp; _xlfn.TEXTJOIN(""",""",TRUE,Table223[[#This Row],[Categoria]:[Categoria7]]) &amp; """"</f>
        <v>"Precatecumenado","Cuaresma","Adviento","Navidad","Entrada","Antiguo Testamento"</v>
      </c>
    </row>
    <row r="135" spans="1:16" x14ac:dyDescent="0.25">
      <c r="A135" s="1">
        <v>107</v>
      </c>
      <c r="B135" s="1">
        <v>132</v>
      </c>
      <c r="C135" t="s">
        <v>129</v>
      </c>
      <c r="D135" t="s">
        <v>356</v>
      </c>
      <c r="E135" t="s">
        <v>261</v>
      </c>
      <c r="F135" s="7" t="s">
        <v>29</v>
      </c>
      <c r="G135" s="8" t="s">
        <v>30</v>
      </c>
      <c r="H135" s="2" t="s">
        <v>12</v>
      </c>
      <c r="I135" s="3" t="s">
        <v>13</v>
      </c>
      <c r="J135" t="s">
        <v>46</v>
      </c>
      <c r="K135" s="4" t="s">
        <v>15</v>
      </c>
      <c r="M135" t="s">
        <v>584</v>
      </c>
      <c r="N135" t="str">
        <f>"""" &amp; _xlfn.TEXTJOIN(""",""",TRUE,Table223[[#This Row],[Categoria1]:[Categoria7]]) &amp; """"</f>
        <v>"Adviento","Navidad","Pascua","Pentecostés","Final","Nuevo Testamento"</v>
      </c>
      <c r="O135" t="s">
        <v>870</v>
      </c>
      <c r="P135" t="str">
        <f>"""" &amp; _xlfn.TEXTJOIN(""",""",TRUE,Table223[[#This Row],[Categoria]:[Categoria7]]) &amp; """"</f>
        <v>"Precatecumenado","Adviento","Navidad","Pascua","Pentecostés","Final","Nuevo Testamento"</v>
      </c>
    </row>
    <row r="136" spans="1:16" x14ac:dyDescent="0.25">
      <c r="A136" s="1">
        <v>108</v>
      </c>
      <c r="B136" s="1">
        <v>133</v>
      </c>
      <c r="C136" t="s">
        <v>130</v>
      </c>
      <c r="D136" t="s">
        <v>357</v>
      </c>
      <c r="E136" t="s">
        <v>261</v>
      </c>
      <c r="F136" s="9" t="s">
        <v>42</v>
      </c>
      <c r="G136" s="4" t="s">
        <v>15</v>
      </c>
      <c r="M136" t="s">
        <v>585</v>
      </c>
      <c r="N136" t="str">
        <f>"""" &amp; _xlfn.TEXTJOIN(""",""",TRUE,Table223[[#This Row],[Categoria1]:[Categoria7]]) &amp; """"</f>
        <v>"Vírgen María","Nuevo Testamento"</v>
      </c>
      <c r="O136" t="s">
        <v>768</v>
      </c>
      <c r="P136" t="str">
        <f>"""" &amp; _xlfn.TEXTJOIN(""",""",TRUE,Table223[[#This Row],[Categoria]:[Categoria7]]) &amp; """"</f>
        <v>"Precatecumenado","Vírgen María","Nuevo Testamento"</v>
      </c>
    </row>
    <row r="137" spans="1:16" x14ac:dyDescent="0.25">
      <c r="A137" s="1">
        <v>110</v>
      </c>
      <c r="B137" s="1">
        <v>134</v>
      </c>
      <c r="C137" t="s">
        <v>132</v>
      </c>
      <c r="D137" t="s">
        <v>359</v>
      </c>
      <c r="E137" t="s">
        <v>261</v>
      </c>
      <c r="F137" s="9" t="s">
        <v>42</v>
      </c>
      <c r="G137" s="4" t="s">
        <v>15</v>
      </c>
      <c r="M137" t="s">
        <v>587</v>
      </c>
      <c r="N137" t="str">
        <f>"""" &amp; _xlfn.TEXTJOIN(""",""",TRUE,Table223[[#This Row],[Categoria1]:[Categoria7]]) &amp; """"</f>
        <v>"Vírgen María","Nuevo Testamento"</v>
      </c>
      <c r="O137" t="s">
        <v>871</v>
      </c>
      <c r="P137" t="str">
        <f>"""" &amp; _xlfn.TEXTJOIN(""",""",TRUE,Table223[[#This Row],[Categoria]:[Categoria7]]) &amp; """"</f>
        <v>"Precatecumenado","Vírgen María","Nuevo Testamento"</v>
      </c>
    </row>
    <row r="138" spans="1:16" x14ac:dyDescent="0.25">
      <c r="A138" s="1">
        <v>109</v>
      </c>
      <c r="B138" s="1">
        <v>135</v>
      </c>
      <c r="C138" t="s">
        <v>131</v>
      </c>
      <c r="D138" t="s">
        <v>358</v>
      </c>
      <c r="E138" t="s">
        <v>261</v>
      </c>
      <c r="F138" s="9" t="s">
        <v>42</v>
      </c>
      <c r="G138" s="2" t="s">
        <v>12</v>
      </c>
      <c r="H138" t="s">
        <v>48</v>
      </c>
      <c r="I138" s="3" t="s">
        <v>13</v>
      </c>
      <c r="M138" t="s">
        <v>586</v>
      </c>
      <c r="N138" t="str">
        <f>"""" &amp; _xlfn.TEXTJOIN(""",""",TRUE,Table223[[#This Row],[Categoria1]:[Categoria7]]) &amp; """"</f>
        <v>"Vírgen María","Pascua","Comunión","Pentecostés"</v>
      </c>
      <c r="O138" t="s">
        <v>769</v>
      </c>
      <c r="P138" t="str">
        <f>"""" &amp; _xlfn.TEXTJOIN(""",""",TRUE,Table223[[#This Row],[Categoria]:[Categoria7]]) &amp; """"</f>
        <v>"Precatecumenado","Vírgen María","Pascua","Comunión","Pentecostés"</v>
      </c>
    </row>
    <row r="139" spans="1:16" x14ac:dyDescent="0.25">
      <c r="A139" s="1">
        <v>111</v>
      </c>
      <c r="B139" s="1">
        <v>136</v>
      </c>
      <c r="C139" t="s">
        <v>133</v>
      </c>
      <c r="D139" t="s">
        <v>360</v>
      </c>
      <c r="E139" t="s">
        <v>261</v>
      </c>
      <c r="F139" s="9" t="s">
        <v>42</v>
      </c>
      <c r="G139" s="5" t="s">
        <v>17</v>
      </c>
      <c r="H139" t="s">
        <v>64</v>
      </c>
      <c r="I139" s="4" t="s">
        <v>15</v>
      </c>
      <c r="M139" t="s">
        <v>588</v>
      </c>
      <c r="N139" t="str">
        <f>"""" &amp; _xlfn.TEXTJOIN(""",""",TRUE,Table223[[#This Row],[Categoria1]:[Categoria7]]) &amp; """"</f>
        <v>"Vírgen María","Cuaresma","Fracción Del Pan","Nuevo Testamento"</v>
      </c>
      <c r="O139" t="s">
        <v>872</v>
      </c>
      <c r="P139" t="str">
        <f>"""" &amp; _xlfn.TEXTJOIN(""",""",TRUE,Table223[[#This Row],[Categoria]:[Categoria7]]) &amp; """"</f>
        <v>"Precatecumenado","Vírgen María","Cuaresma","Fracción Del Pan","Nuevo Testamento"</v>
      </c>
    </row>
    <row r="140" spans="1:16" x14ac:dyDescent="0.25">
      <c r="A140" s="1">
        <v>112</v>
      </c>
      <c r="B140" s="1">
        <v>137</v>
      </c>
      <c r="C140" t="s">
        <v>134</v>
      </c>
      <c r="D140" t="s">
        <v>361</v>
      </c>
      <c r="E140" t="s">
        <v>261</v>
      </c>
      <c r="F140" s="9" t="s">
        <v>42</v>
      </c>
      <c r="G140" s="7" t="s">
        <v>29</v>
      </c>
      <c r="H140" s="8" t="s">
        <v>30</v>
      </c>
      <c r="M140" t="s">
        <v>589</v>
      </c>
      <c r="N140" t="str">
        <f>"""" &amp; _xlfn.TEXTJOIN(""",""",TRUE,Table223[[#This Row],[Categoria1]:[Categoria7]]) &amp; """"</f>
        <v>"Vírgen María","Adviento","Navidad"</v>
      </c>
      <c r="O140" t="s">
        <v>770</v>
      </c>
      <c r="P140" t="str">
        <f>"""" &amp; _xlfn.TEXTJOIN(""",""",TRUE,Table223[[#This Row],[Categoria]:[Categoria7]]) &amp; """"</f>
        <v>"Precatecumenado","Vírgen María","Adviento","Navidad"</v>
      </c>
    </row>
    <row r="141" spans="1:16" x14ac:dyDescent="0.25">
      <c r="A141" s="1">
        <v>113</v>
      </c>
      <c r="B141" s="1">
        <v>138</v>
      </c>
      <c r="C141" t="s">
        <v>135</v>
      </c>
      <c r="D141" t="s">
        <v>362</v>
      </c>
      <c r="E141" t="s">
        <v>261</v>
      </c>
      <c r="F141" s="9" t="s">
        <v>42</v>
      </c>
      <c r="G141" s="5" t="s">
        <v>17</v>
      </c>
      <c r="M141" t="s">
        <v>590</v>
      </c>
      <c r="N141" t="str">
        <f>"""" &amp; _xlfn.TEXTJOIN(""",""",TRUE,Table223[[#This Row],[Categoria1]:[Categoria7]]) &amp; """"</f>
        <v>"Vírgen María","Cuaresma"</v>
      </c>
      <c r="O141" t="s">
        <v>771</v>
      </c>
      <c r="P141" t="str">
        <f>"""" &amp; _xlfn.TEXTJOIN(""",""",TRUE,Table223[[#This Row],[Categoria]:[Categoria7]]) &amp; """"</f>
        <v>"Precatecumenado","Vírgen María","Cuaresma"</v>
      </c>
    </row>
    <row r="142" spans="1:16" x14ac:dyDescent="0.25">
      <c r="A142" s="1">
        <v>114</v>
      </c>
      <c r="B142" s="1">
        <v>139</v>
      </c>
      <c r="C142" t="s">
        <v>136</v>
      </c>
      <c r="D142" t="s">
        <v>457</v>
      </c>
      <c r="E142" t="s">
        <v>261</v>
      </c>
      <c r="F142" s="2" t="s">
        <v>12</v>
      </c>
      <c r="G142" s="3" t="s">
        <v>13</v>
      </c>
      <c r="H142" t="s">
        <v>23</v>
      </c>
      <c r="I142" s="6" t="s">
        <v>18</v>
      </c>
      <c r="M142" t="s">
        <v>591</v>
      </c>
      <c r="N142" t="str">
        <f>"""" &amp; _xlfn.TEXTJOIN(""",""",TRUE,Table223[[#This Row],[Categoria1]:[Categoria7]]) &amp; """"</f>
        <v>"Pascua","Pentecostés","Entrada","Antiguo Testamento"</v>
      </c>
      <c r="O142" t="s">
        <v>772</v>
      </c>
      <c r="P142" t="str">
        <f>"""" &amp; _xlfn.TEXTJOIN(""",""",TRUE,Table223[[#This Row],[Categoria]:[Categoria7]]) &amp; """"</f>
        <v>"Precatecumenado","Pascua","Pentecostés","Entrada","Antiguo Testamento"</v>
      </c>
    </row>
    <row r="143" spans="1:16" x14ac:dyDescent="0.25">
      <c r="A143" s="1">
        <v>115</v>
      </c>
      <c r="B143" s="1">
        <v>140</v>
      </c>
      <c r="C143" t="s">
        <v>137</v>
      </c>
      <c r="D143" t="s">
        <v>363</v>
      </c>
      <c r="E143" t="s">
        <v>261</v>
      </c>
      <c r="F143" s="6" t="s">
        <v>18</v>
      </c>
      <c r="M143" t="s">
        <v>592</v>
      </c>
      <c r="N143" t="str">
        <f>"""" &amp; _xlfn.TEXTJOIN(""",""",TRUE,Table223[[#This Row],[Categoria1]:[Categoria7]]) &amp; """"</f>
        <v>"Antiguo Testamento"</v>
      </c>
      <c r="O143" t="s">
        <v>873</v>
      </c>
      <c r="P143" t="str">
        <f>"""" &amp; _xlfn.TEXTJOIN(""",""",TRUE,Table223[[#This Row],[Categoria]:[Categoria7]]) &amp; """"</f>
        <v>"Precatecumenado","Antiguo Testamento"</v>
      </c>
    </row>
    <row r="144" spans="1:16" x14ac:dyDescent="0.25">
      <c r="A144" s="18">
        <v>243</v>
      </c>
      <c r="B144" s="1">
        <v>141</v>
      </c>
      <c r="C144" s="19" t="s">
        <v>254</v>
      </c>
      <c r="D144" s="19" t="s">
        <v>445</v>
      </c>
      <c r="E144" s="19" t="s">
        <v>960</v>
      </c>
      <c r="F144" s="6" t="s">
        <v>18</v>
      </c>
      <c r="M144" t="s">
        <v>706</v>
      </c>
      <c r="N144" t="str">
        <f>"""" &amp; _xlfn.TEXTJOIN(""",""",TRUE,Table223[[#This Row],[Categoria1]:[Categoria7]]) &amp; """"</f>
        <v>"Antiguo Testamento"</v>
      </c>
      <c r="O144" t="s">
        <v>874</v>
      </c>
      <c r="P144" t="str">
        <f>"""" &amp; _xlfn.TEXTJOIN(""",""",TRUE,Table223[[#This Row],[Categoria]:[Categoria7]]) &amp; """"</f>
        <v>"Eleccion","Antiguo Testamento"</v>
      </c>
    </row>
    <row r="145" spans="1:16" x14ac:dyDescent="0.25">
      <c r="A145" s="1">
        <v>116</v>
      </c>
      <c r="B145" s="1">
        <v>142</v>
      </c>
      <c r="C145" t="s">
        <v>138</v>
      </c>
      <c r="D145" t="s">
        <v>297</v>
      </c>
      <c r="E145" t="s">
        <v>261</v>
      </c>
      <c r="F145" t="s">
        <v>34</v>
      </c>
      <c r="G145" s="6" t="s">
        <v>18</v>
      </c>
      <c r="M145" t="s">
        <v>593</v>
      </c>
      <c r="N145" t="str">
        <f>"""" &amp; _xlfn.TEXTJOIN(""",""",TRUE,Table223[[#This Row],[Categoria1]:[Categoria7]]) &amp; """"</f>
        <v>"Paz","Antiguo Testamento"</v>
      </c>
      <c r="O145" t="s">
        <v>875</v>
      </c>
      <c r="P145" t="str">
        <f>"""" &amp; _xlfn.TEXTJOIN(""",""",TRUE,Table223[[#This Row],[Categoria]:[Categoria7]]) &amp; """"</f>
        <v>"Precatecumenado","Paz","Antiguo Testamento"</v>
      </c>
    </row>
    <row r="146" spans="1:16" x14ac:dyDescent="0.25">
      <c r="A146" s="1">
        <v>118</v>
      </c>
      <c r="B146" s="1">
        <v>143</v>
      </c>
      <c r="C146" t="s">
        <v>140</v>
      </c>
      <c r="D146" t="s">
        <v>459</v>
      </c>
      <c r="E146" t="s">
        <v>261</v>
      </c>
      <c r="F146" s="5" t="s">
        <v>17</v>
      </c>
      <c r="G146" s="6" t="s">
        <v>18</v>
      </c>
      <c r="M146" t="s">
        <v>595</v>
      </c>
      <c r="N146" t="str">
        <f>"""" &amp; _xlfn.TEXTJOIN(""",""",TRUE,Table223[[#This Row],[Categoria1]:[Categoria7]]) &amp; """"</f>
        <v>"Cuaresma","Antiguo Testamento"</v>
      </c>
      <c r="O146" t="s">
        <v>876</v>
      </c>
      <c r="P146" t="str">
        <f>"""" &amp; _xlfn.TEXTJOIN(""",""",TRUE,Table223[[#This Row],[Categoria]:[Categoria7]]) &amp; """"</f>
        <v>"Precatecumenado","Cuaresma","Antiguo Testamento"</v>
      </c>
    </row>
    <row r="147" spans="1:16" x14ac:dyDescent="0.25">
      <c r="A147" s="1">
        <v>117</v>
      </c>
      <c r="B147" s="1">
        <v>144</v>
      </c>
      <c r="C147" t="s">
        <v>139</v>
      </c>
      <c r="D147" t="s">
        <v>458</v>
      </c>
      <c r="E147" t="s">
        <v>261</v>
      </c>
      <c r="F147" s="5" t="s">
        <v>17</v>
      </c>
      <c r="G147" s="6" t="s">
        <v>18</v>
      </c>
      <c r="M147" t="s">
        <v>594</v>
      </c>
      <c r="N147" t="str">
        <f>"""" &amp; _xlfn.TEXTJOIN(""",""",TRUE,Table223[[#This Row],[Categoria1]:[Categoria7]]) &amp; """"</f>
        <v>"Cuaresma","Antiguo Testamento"</v>
      </c>
      <c r="O147" t="s">
        <v>773</v>
      </c>
      <c r="P147" t="str">
        <f>"""" &amp; _xlfn.TEXTJOIN(""",""",TRUE,Table223[[#This Row],[Categoria]:[Categoria7]]) &amp; """"</f>
        <v>"Precatecumenado","Cuaresma","Antiguo Testamento"</v>
      </c>
    </row>
    <row r="148" spans="1:16" x14ac:dyDescent="0.25">
      <c r="A148" s="1">
        <v>119</v>
      </c>
      <c r="B148" s="1">
        <v>145</v>
      </c>
      <c r="C148" t="s">
        <v>141</v>
      </c>
      <c r="D148" t="s">
        <v>460</v>
      </c>
      <c r="E148" t="s">
        <v>261</v>
      </c>
      <c r="F148" s="6" t="s">
        <v>18</v>
      </c>
      <c r="M148" t="s">
        <v>596</v>
      </c>
      <c r="N148" t="str">
        <f>"""" &amp; _xlfn.TEXTJOIN(""",""",TRUE,Table223[[#This Row],[Categoria1]:[Categoria7]]) &amp; """"</f>
        <v>"Antiguo Testamento"</v>
      </c>
      <c r="O148" t="s">
        <v>877</v>
      </c>
      <c r="P148" t="str">
        <f>"""" &amp; _xlfn.TEXTJOIN(""",""",TRUE,Table223[[#This Row],[Categoria]:[Categoria7]]) &amp; """"</f>
        <v>"Precatecumenado","Antiguo Testamento"</v>
      </c>
    </row>
    <row r="149" spans="1:16" x14ac:dyDescent="0.25">
      <c r="A149" s="14">
        <v>229</v>
      </c>
      <c r="B149" s="1">
        <v>146</v>
      </c>
      <c r="C149" s="15" t="s">
        <v>240</v>
      </c>
      <c r="D149" s="15" t="s">
        <v>435</v>
      </c>
      <c r="E149" s="15" t="s">
        <v>262</v>
      </c>
      <c r="F149" s="4" t="s">
        <v>15</v>
      </c>
      <c r="M149" t="s">
        <v>692</v>
      </c>
      <c r="N149" t="str">
        <f>"""" &amp; _xlfn.TEXTJOIN(""",""",TRUE,Table223[[#This Row],[Categoria1]:[Categoria7]]) &amp; """"</f>
        <v>"Nuevo Testamento"</v>
      </c>
      <c r="O149" t="s">
        <v>878</v>
      </c>
      <c r="P149" t="str">
        <f>"""" &amp; _xlfn.TEXTJOIN(""",""",TRUE,Table223[[#This Row],[Categoria]:[Categoria7]]) &amp; """"</f>
        <v>"Catecumenado","Nuevo Testamento"</v>
      </c>
    </row>
    <row r="150" spans="1:16" x14ac:dyDescent="0.25">
      <c r="A150" s="1">
        <v>120</v>
      </c>
      <c r="B150" s="1">
        <v>147</v>
      </c>
      <c r="C150" t="s">
        <v>142</v>
      </c>
      <c r="D150" t="s">
        <v>364</v>
      </c>
      <c r="E150" t="s">
        <v>261</v>
      </c>
      <c r="F150" s="2" t="s">
        <v>12</v>
      </c>
      <c r="G150" s="3" t="s">
        <v>13</v>
      </c>
      <c r="H150" s="4" t="s">
        <v>15</v>
      </c>
      <c r="M150" t="s">
        <v>597</v>
      </c>
      <c r="N150" t="str">
        <f>"""" &amp; _xlfn.TEXTJOIN(""",""",TRUE,Table223[[#This Row],[Categoria1]:[Categoria7]]) &amp; """"</f>
        <v>"Pascua","Pentecostés","Nuevo Testamento"</v>
      </c>
      <c r="O150" t="s">
        <v>879</v>
      </c>
      <c r="P150" t="str">
        <f>"""" &amp; _xlfn.TEXTJOIN(""",""",TRUE,Table223[[#This Row],[Categoria]:[Categoria7]]) &amp; """"</f>
        <v>"Precatecumenado","Pascua","Pentecostés","Nuevo Testamento"</v>
      </c>
    </row>
    <row r="151" spans="1:16" x14ac:dyDescent="0.25">
      <c r="A151" s="1">
        <v>121</v>
      </c>
      <c r="B151" s="1">
        <v>148</v>
      </c>
      <c r="C151" t="s">
        <v>143</v>
      </c>
      <c r="D151" t="s">
        <v>365</v>
      </c>
      <c r="E151" t="s">
        <v>261</v>
      </c>
      <c r="F151" t="s">
        <v>64</v>
      </c>
      <c r="G151" s="6" t="s">
        <v>18</v>
      </c>
      <c r="M151" t="s">
        <v>598</v>
      </c>
      <c r="N151" t="str">
        <f>"""" &amp; _xlfn.TEXTJOIN(""",""",TRUE,Table223[[#This Row],[Categoria1]:[Categoria7]]) &amp; """"</f>
        <v>"Fracción Del Pan","Antiguo Testamento"</v>
      </c>
      <c r="O151" t="s">
        <v>880</v>
      </c>
      <c r="P151" t="str">
        <f>"""" &amp; _xlfn.TEXTJOIN(""",""",TRUE,Table223[[#This Row],[Categoria]:[Categoria7]]) &amp; """"</f>
        <v>"Precatecumenado","Fracción Del Pan","Antiguo Testamento"</v>
      </c>
    </row>
    <row r="152" spans="1:16" x14ac:dyDescent="0.25">
      <c r="A152" s="16">
        <v>230</v>
      </c>
      <c r="B152" s="1">
        <v>149</v>
      </c>
      <c r="C152" s="17" t="s">
        <v>241</v>
      </c>
      <c r="D152" s="17" t="s">
        <v>436</v>
      </c>
      <c r="E152" s="17" t="s">
        <v>262</v>
      </c>
      <c r="F152" s="4" t="s">
        <v>15</v>
      </c>
      <c r="M152" t="s">
        <v>693</v>
      </c>
      <c r="N152" t="str">
        <f>"""" &amp; _xlfn.TEXTJOIN(""",""",TRUE,Table223[[#This Row],[Categoria1]:[Categoria7]]) &amp; """"</f>
        <v>"Nuevo Testamento"</v>
      </c>
      <c r="O152" t="s">
        <v>774</v>
      </c>
      <c r="P152" t="str">
        <f>"""" &amp; _xlfn.TEXTJOIN(""",""",TRUE,Table223[[#This Row],[Categoria]:[Categoria7]]) &amp; """"</f>
        <v>"Catecumenado","Nuevo Testamento"</v>
      </c>
    </row>
    <row r="153" spans="1:16" x14ac:dyDescent="0.25">
      <c r="A153" s="14">
        <v>231</v>
      </c>
      <c r="B153" s="1">
        <v>150</v>
      </c>
      <c r="C153" s="15" t="s">
        <v>242</v>
      </c>
      <c r="D153" s="15" t="s">
        <v>475</v>
      </c>
      <c r="E153" s="15" t="s">
        <v>262</v>
      </c>
      <c r="F153" s="5" t="s">
        <v>17</v>
      </c>
      <c r="G153" s="6" t="s">
        <v>18</v>
      </c>
      <c r="M153" t="s">
        <v>694</v>
      </c>
      <c r="N153" t="str">
        <f>"""" &amp; _xlfn.TEXTJOIN(""",""",TRUE,Table223[[#This Row],[Categoria1]:[Categoria7]]) &amp; """"</f>
        <v>"Cuaresma","Antiguo Testamento"</v>
      </c>
      <c r="O153" t="s">
        <v>881</v>
      </c>
      <c r="P153" t="str">
        <f>"""" &amp; _xlfn.TEXTJOIN(""",""",TRUE,Table223[[#This Row],[Categoria]:[Categoria7]]) &amp; """"</f>
        <v>"Catecumenado","Cuaresma","Antiguo Testamento"</v>
      </c>
    </row>
    <row r="154" spans="1:16" x14ac:dyDescent="0.25">
      <c r="A154" s="1">
        <v>122</v>
      </c>
      <c r="B154" s="1">
        <v>151</v>
      </c>
      <c r="C154" t="s">
        <v>144</v>
      </c>
      <c r="D154" t="s">
        <v>366</v>
      </c>
      <c r="E154" t="s">
        <v>261</v>
      </c>
      <c r="F154" s="2" t="s">
        <v>12</v>
      </c>
      <c r="G154" s="3" t="s">
        <v>13</v>
      </c>
      <c r="H154" s="4" t="s">
        <v>15</v>
      </c>
      <c r="M154" t="s">
        <v>599</v>
      </c>
      <c r="N154" t="str">
        <f>"""" &amp; _xlfn.TEXTJOIN(""",""",TRUE,Table223[[#This Row],[Categoria1]:[Categoria7]]) &amp; """"</f>
        <v>"Pascua","Pentecostés","Nuevo Testamento"</v>
      </c>
      <c r="O154" t="s">
        <v>775</v>
      </c>
      <c r="P154" t="str">
        <f>"""" &amp; _xlfn.TEXTJOIN(""",""",TRUE,Table223[[#This Row],[Categoria]:[Categoria7]]) &amp; """"</f>
        <v>"Precatecumenado","Pascua","Pentecostés","Nuevo Testamento"</v>
      </c>
    </row>
    <row r="155" spans="1:16" x14ac:dyDescent="0.25">
      <c r="A155" s="1">
        <v>123</v>
      </c>
      <c r="B155" s="1">
        <v>152</v>
      </c>
      <c r="C155" t="s">
        <v>145</v>
      </c>
      <c r="D155" t="s">
        <v>367</v>
      </c>
      <c r="E155" t="s">
        <v>261</v>
      </c>
      <c r="F155" s="7" t="s">
        <v>29</v>
      </c>
      <c r="G155" s="8" t="s">
        <v>30</v>
      </c>
      <c r="H155" s="6" t="s">
        <v>18</v>
      </c>
      <c r="M155" t="s">
        <v>600</v>
      </c>
      <c r="N155" t="str">
        <f>"""" &amp; _xlfn.TEXTJOIN(""",""",TRUE,Table223[[#This Row],[Categoria1]:[Categoria7]]) &amp; """"</f>
        <v>"Adviento","Navidad","Antiguo Testamento"</v>
      </c>
      <c r="O155" t="s">
        <v>882</v>
      </c>
      <c r="P155" t="str">
        <f>"""" &amp; _xlfn.TEXTJOIN(""",""",TRUE,Table223[[#This Row],[Categoria]:[Categoria7]]) &amp; """"</f>
        <v>"Precatecumenado","Adviento","Navidad","Antiguo Testamento"</v>
      </c>
    </row>
    <row r="156" spans="1:16" x14ac:dyDescent="0.25">
      <c r="A156" s="1">
        <v>124</v>
      </c>
      <c r="B156" s="1">
        <v>153</v>
      </c>
      <c r="C156" t="s">
        <v>146</v>
      </c>
      <c r="D156" t="s">
        <v>461</v>
      </c>
      <c r="E156" t="s">
        <v>261</v>
      </c>
      <c r="F156" s="6" t="s">
        <v>18</v>
      </c>
      <c r="M156" t="s">
        <v>601</v>
      </c>
      <c r="N156" t="str">
        <f>"""" &amp; _xlfn.TEXTJOIN(""",""",TRUE,Table223[[#This Row],[Categoria1]:[Categoria7]]) &amp; """"</f>
        <v>"Antiguo Testamento"</v>
      </c>
      <c r="O156" t="s">
        <v>776</v>
      </c>
      <c r="P156" t="str">
        <f>"""" &amp; _xlfn.TEXTJOIN(""",""",TRUE,Table223[[#This Row],[Categoria]:[Categoria7]]) &amp; """"</f>
        <v>"Precatecumenado","Antiguo Testamento"</v>
      </c>
    </row>
    <row r="157" spans="1:16" x14ac:dyDescent="0.25">
      <c r="A157" s="1">
        <v>125</v>
      </c>
      <c r="B157" s="1">
        <v>154</v>
      </c>
      <c r="C157" t="s">
        <v>147</v>
      </c>
      <c r="D157" t="s">
        <v>462</v>
      </c>
      <c r="E157" t="s">
        <v>261</v>
      </c>
      <c r="F157" s="6" t="s">
        <v>18</v>
      </c>
      <c r="M157" t="s">
        <v>602</v>
      </c>
      <c r="N157" t="str">
        <f>"""" &amp; _xlfn.TEXTJOIN(""",""",TRUE,Table223[[#This Row],[Categoria1]:[Categoria7]]) &amp; """"</f>
        <v>"Antiguo Testamento"</v>
      </c>
      <c r="O157" t="s">
        <v>883</v>
      </c>
      <c r="P157" t="str">
        <f>"""" &amp; _xlfn.TEXTJOIN(""",""",TRUE,Table223[[#This Row],[Categoria]:[Categoria7]]) &amp; """"</f>
        <v>"Precatecumenado","Antiguo Testamento"</v>
      </c>
    </row>
    <row r="158" spans="1:16" x14ac:dyDescent="0.25">
      <c r="A158" s="1">
        <v>126</v>
      </c>
      <c r="B158" s="1">
        <v>155</v>
      </c>
      <c r="C158" t="s">
        <v>148</v>
      </c>
      <c r="D158" t="s">
        <v>368</v>
      </c>
      <c r="E158" t="s">
        <v>261</v>
      </c>
      <c r="F158" s="5" t="s">
        <v>17</v>
      </c>
      <c r="G158" t="s">
        <v>64</v>
      </c>
      <c r="M158" t="s">
        <v>603</v>
      </c>
      <c r="N158" t="str">
        <f>"""" &amp; _xlfn.TEXTJOIN(""",""",TRUE,Table223[[#This Row],[Categoria1]:[Categoria7]]) &amp; """"</f>
        <v>"Cuaresma","Fracción Del Pan"</v>
      </c>
      <c r="O158" t="s">
        <v>884</v>
      </c>
      <c r="P158" t="str">
        <f>"""" &amp; _xlfn.TEXTJOIN(""",""",TRUE,Table223[[#This Row],[Categoria]:[Categoria7]]) &amp; """"</f>
        <v>"Precatecumenado","Cuaresma","Fracción Del Pan"</v>
      </c>
    </row>
    <row r="159" spans="1:16" x14ac:dyDescent="0.25">
      <c r="A159" s="1">
        <v>127</v>
      </c>
      <c r="B159" s="1">
        <v>156</v>
      </c>
      <c r="C159" t="s">
        <v>149</v>
      </c>
      <c r="D159" t="s">
        <v>369</v>
      </c>
      <c r="E159" t="s">
        <v>261</v>
      </c>
      <c r="F159" s="2" t="s">
        <v>12</v>
      </c>
      <c r="G159" s="3" t="s">
        <v>13</v>
      </c>
      <c r="H159" t="s">
        <v>48</v>
      </c>
      <c r="I159" s="4" t="s">
        <v>15</v>
      </c>
      <c r="M159" t="s">
        <v>2074</v>
      </c>
      <c r="N159" t="str">
        <f>"""" &amp; _xlfn.TEXTJOIN(""",""",TRUE,Table223[[#This Row],[Categoria1]:[Categoria7]]) &amp; """"</f>
        <v>"Pascua","Pentecostés","Comunión","Nuevo Testamento"</v>
      </c>
      <c r="O159" t="s">
        <v>885</v>
      </c>
      <c r="P159" t="str">
        <f>"""" &amp; _xlfn.TEXTJOIN(""",""",TRUE,Table223[[#This Row],[Categoria]:[Categoria7]]) &amp; """"</f>
        <v>"Precatecumenado","Pascua","Pentecostés","Comunión","Nuevo Testamento"</v>
      </c>
    </row>
    <row r="160" spans="1:16" x14ac:dyDescent="0.25">
      <c r="A160" s="16">
        <v>232</v>
      </c>
      <c r="B160" s="1">
        <v>157</v>
      </c>
      <c r="C160" s="17" t="s">
        <v>243</v>
      </c>
      <c r="D160" s="17" t="s">
        <v>476</v>
      </c>
      <c r="E160" s="17" t="s">
        <v>262</v>
      </c>
      <c r="F160" s="6" t="s">
        <v>18</v>
      </c>
      <c r="M160" t="s">
        <v>695</v>
      </c>
      <c r="N160" t="str">
        <f>"""" &amp; _xlfn.TEXTJOIN(""",""",TRUE,Table223[[#This Row],[Categoria1]:[Categoria7]]) &amp; """"</f>
        <v>"Antiguo Testamento"</v>
      </c>
      <c r="O160" t="s">
        <v>886</v>
      </c>
      <c r="P160" t="str">
        <f>"""" &amp; _xlfn.TEXTJOIN(""",""",TRUE,Table223[[#This Row],[Categoria]:[Categoria7]]) &amp; """"</f>
        <v>"Catecumenado","Antiguo Testamento"</v>
      </c>
    </row>
    <row r="161" spans="1:16" x14ac:dyDescent="0.25">
      <c r="A161" s="1">
        <v>128</v>
      </c>
      <c r="B161" s="1">
        <v>158</v>
      </c>
      <c r="C161" t="s">
        <v>150</v>
      </c>
      <c r="D161" t="s">
        <v>370</v>
      </c>
      <c r="E161" t="s">
        <v>261</v>
      </c>
      <c r="F161" t="s">
        <v>23</v>
      </c>
      <c r="G161" s="6" t="s">
        <v>18</v>
      </c>
      <c r="M161" t="s">
        <v>604</v>
      </c>
      <c r="N161" t="str">
        <f>"""" &amp; _xlfn.TEXTJOIN(""",""",TRUE,Table223[[#This Row],[Categoria1]:[Categoria7]]) &amp; """"</f>
        <v>"Entrada","Antiguo Testamento"</v>
      </c>
      <c r="O161" t="s">
        <v>887</v>
      </c>
      <c r="P161" t="str">
        <f>"""" &amp; _xlfn.TEXTJOIN(""",""",TRUE,Table223[[#This Row],[Categoria]:[Categoria7]]) &amp; """"</f>
        <v>"Precatecumenado","Entrada","Antiguo Testamento"</v>
      </c>
    </row>
    <row r="162" spans="1:16" x14ac:dyDescent="0.25">
      <c r="A162" s="1">
        <v>129</v>
      </c>
      <c r="B162" s="1">
        <v>159</v>
      </c>
      <c r="C162" t="s">
        <v>151</v>
      </c>
      <c r="D162" t="s">
        <v>371</v>
      </c>
      <c r="E162" t="s">
        <v>261</v>
      </c>
      <c r="F162" s="2" t="s">
        <v>12</v>
      </c>
      <c r="G162" s="3" t="s">
        <v>13</v>
      </c>
      <c r="H162" t="s">
        <v>23</v>
      </c>
      <c r="I162" s="6" t="s">
        <v>18</v>
      </c>
      <c r="M162" t="s">
        <v>605</v>
      </c>
      <c r="N162" t="str">
        <f>"""" &amp; _xlfn.TEXTJOIN(""",""",TRUE,Table223[[#This Row],[Categoria1]:[Categoria7]]) &amp; """"</f>
        <v>"Pascua","Pentecostés","Entrada","Antiguo Testamento"</v>
      </c>
      <c r="O162" t="s">
        <v>888</v>
      </c>
      <c r="P162" t="str">
        <f>"""" &amp; _xlfn.TEXTJOIN(""",""",TRUE,Table223[[#This Row],[Categoria]:[Categoria7]]) &amp; """"</f>
        <v>"Precatecumenado","Pascua","Pentecostés","Entrada","Antiguo Testamento"</v>
      </c>
    </row>
    <row r="163" spans="1:16" x14ac:dyDescent="0.25">
      <c r="A163" s="10">
        <v>193</v>
      </c>
      <c r="B163" s="1">
        <v>160</v>
      </c>
      <c r="C163" s="11" t="s">
        <v>213</v>
      </c>
      <c r="D163" s="11" t="s">
        <v>411</v>
      </c>
      <c r="E163" s="11" t="s">
        <v>961</v>
      </c>
      <c r="F163" s="5"/>
      <c r="H163" s="4"/>
      <c r="M163" t="s">
        <v>665</v>
      </c>
      <c r="N163" t="str">
        <f>"""" &amp; _xlfn.TEXTJOIN(""",""",TRUE,Table223[[#This Row],[Categoria1]:[Categoria7]]) &amp; """"</f>
        <v>""</v>
      </c>
      <c r="O163" t="s">
        <v>777</v>
      </c>
      <c r="P163" t="str">
        <f>"""" &amp; _xlfn.TEXTJOIN(""",""",TRUE,Table223[[#This Row],[Categoria]:[Categoria7]]) &amp; """"</f>
        <v>"Liturgia"</v>
      </c>
    </row>
    <row r="164" spans="1:16" x14ac:dyDescent="0.25">
      <c r="A164" s="1">
        <v>130</v>
      </c>
      <c r="B164" s="1">
        <v>161</v>
      </c>
      <c r="C164" t="s">
        <v>152</v>
      </c>
      <c r="D164" t="s">
        <v>372</v>
      </c>
      <c r="E164" t="s">
        <v>261</v>
      </c>
      <c r="F164" s="9" t="s">
        <v>42</v>
      </c>
      <c r="G164" s="2" t="s">
        <v>12</v>
      </c>
      <c r="H164" s="3" t="s">
        <v>13</v>
      </c>
      <c r="M164" t="s">
        <v>606</v>
      </c>
      <c r="N164" t="str">
        <f>"""" &amp; _xlfn.TEXTJOIN(""",""",TRUE,Table223[[#This Row],[Categoria1]:[Categoria7]]) &amp; """"</f>
        <v>"Vírgen María","Pascua","Pentecostés"</v>
      </c>
      <c r="O164" t="s">
        <v>889</v>
      </c>
      <c r="P164" t="str">
        <f>"""" &amp; _xlfn.TEXTJOIN(""",""",TRUE,Table223[[#This Row],[Categoria]:[Categoria7]]) &amp; """"</f>
        <v>"Precatecumenado","Vírgen María","Pascua","Pentecostés"</v>
      </c>
    </row>
    <row r="165" spans="1:16" x14ac:dyDescent="0.25">
      <c r="A165" s="1">
        <v>131</v>
      </c>
      <c r="B165" s="1">
        <v>162</v>
      </c>
      <c r="C165" t="s">
        <v>13</v>
      </c>
      <c r="D165" t="s">
        <v>373</v>
      </c>
      <c r="E165" t="s">
        <v>261</v>
      </c>
      <c r="F165" s="2" t="s">
        <v>12</v>
      </c>
      <c r="G165" s="3" t="s">
        <v>13</v>
      </c>
      <c r="H165" t="s">
        <v>48</v>
      </c>
      <c r="M165" t="s">
        <v>607</v>
      </c>
      <c r="N165" t="str">
        <f>"""" &amp; _xlfn.TEXTJOIN(""",""",TRUE,Table223[[#This Row],[Categoria1]:[Categoria7]]) &amp; """"</f>
        <v>"Pascua","Pentecostés","Comunión"</v>
      </c>
      <c r="O165" t="s">
        <v>890</v>
      </c>
      <c r="P165" t="str">
        <f>"""" &amp; _xlfn.TEXTJOIN(""",""",TRUE,Table223[[#This Row],[Categoria]:[Categoria7]]) &amp; """"</f>
        <v>"Precatecumenado","Pascua","Pentecostés","Comunión"</v>
      </c>
    </row>
    <row r="166" spans="1:16" x14ac:dyDescent="0.25">
      <c r="A166" s="12">
        <v>194</v>
      </c>
      <c r="B166" s="1">
        <v>163</v>
      </c>
      <c r="C166" s="13" t="s">
        <v>214</v>
      </c>
      <c r="D166" s="13" t="s">
        <v>412</v>
      </c>
      <c r="E166" s="13" t="s">
        <v>961</v>
      </c>
      <c r="F166" s="5"/>
      <c r="H166" s="4"/>
      <c r="M166" t="s">
        <v>666</v>
      </c>
      <c r="N166" t="str">
        <f>"""" &amp; _xlfn.TEXTJOIN(""",""",TRUE,Table223[[#This Row],[Categoria1]:[Categoria7]]) &amp; """"</f>
        <v>""</v>
      </c>
      <c r="O166" t="s">
        <v>891</v>
      </c>
      <c r="P166" t="str">
        <f>"""" &amp; _xlfn.TEXTJOIN(""",""",TRUE,Table223[[#This Row],[Categoria]:[Categoria7]]) &amp; """"</f>
        <v>"Liturgia"</v>
      </c>
    </row>
    <row r="167" spans="1:16" x14ac:dyDescent="0.25">
      <c r="A167" s="10">
        <v>197</v>
      </c>
      <c r="B167" s="1">
        <v>164</v>
      </c>
      <c r="C167" s="11" t="s">
        <v>215</v>
      </c>
      <c r="D167" s="11" t="s">
        <v>413</v>
      </c>
      <c r="E167" s="11" t="s">
        <v>961</v>
      </c>
      <c r="F167" s="5"/>
      <c r="H167" s="4"/>
      <c r="M167" t="s">
        <v>667</v>
      </c>
      <c r="N167" t="str">
        <f>"""" &amp; _xlfn.TEXTJOIN(""",""",TRUE,Table223[[#This Row],[Categoria1]:[Categoria7]]) &amp; """"</f>
        <v>""</v>
      </c>
      <c r="O167" t="s">
        <v>892</v>
      </c>
      <c r="P167" t="str">
        <f>"""" &amp; _xlfn.TEXTJOIN(""",""",TRUE,Table223[[#This Row],[Categoria]:[Categoria7]]) &amp; """"</f>
        <v>"Liturgia"</v>
      </c>
    </row>
    <row r="168" spans="1:16" x14ac:dyDescent="0.25">
      <c r="A168" s="12">
        <v>200</v>
      </c>
      <c r="B168" s="1">
        <v>165</v>
      </c>
      <c r="C168" s="13" t="s">
        <v>216</v>
      </c>
      <c r="D168" s="13" t="s">
        <v>414</v>
      </c>
      <c r="E168" s="13" t="s">
        <v>961</v>
      </c>
      <c r="F168" s="5"/>
      <c r="H168" s="4"/>
      <c r="M168" t="s">
        <v>668</v>
      </c>
      <c r="N168" t="str">
        <f>"""" &amp; _xlfn.TEXTJOIN(""",""",TRUE,Table223[[#This Row],[Categoria1]:[Categoria7]]) &amp; """"</f>
        <v>""</v>
      </c>
      <c r="O168" t="s">
        <v>893</v>
      </c>
      <c r="P168" t="str">
        <f>"""" &amp; _xlfn.TEXTJOIN(""",""",TRUE,Table223[[#This Row],[Categoria]:[Categoria7]]) &amp; """"</f>
        <v>"Liturgia"</v>
      </c>
    </row>
    <row r="169" spans="1:16" x14ac:dyDescent="0.25">
      <c r="A169" s="1">
        <v>132</v>
      </c>
      <c r="B169" s="1">
        <v>166</v>
      </c>
      <c r="C169" t="s">
        <v>153</v>
      </c>
      <c r="D169" t="s">
        <v>463</v>
      </c>
      <c r="E169" t="s">
        <v>261</v>
      </c>
      <c r="F169" t="s">
        <v>34</v>
      </c>
      <c r="G169" s="6" t="s">
        <v>18</v>
      </c>
      <c r="M169" t="s">
        <v>608</v>
      </c>
      <c r="N169" t="str">
        <f>"""" &amp; _xlfn.TEXTJOIN(""",""",TRUE,Table223[[#This Row],[Categoria1]:[Categoria7]]) &amp; """"</f>
        <v>"Paz","Antiguo Testamento"</v>
      </c>
      <c r="O169" t="s">
        <v>894</v>
      </c>
      <c r="P169" t="str">
        <f>"""" &amp; _xlfn.TEXTJOIN(""",""",TRUE,Table223[[#This Row],[Categoria]:[Categoria7]]) &amp; """"</f>
        <v>"Precatecumenado","Paz","Antiguo Testamento"</v>
      </c>
    </row>
    <row r="170" spans="1:16" x14ac:dyDescent="0.25">
      <c r="A170" s="1">
        <v>133</v>
      </c>
      <c r="B170" s="1">
        <v>167</v>
      </c>
      <c r="C170" t="s">
        <v>154</v>
      </c>
      <c r="D170" t="s">
        <v>374</v>
      </c>
      <c r="E170" t="s">
        <v>261</v>
      </c>
      <c r="F170" s="2" t="s">
        <v>12</v>
      </c>
      <c r="G170" s="3" t="s">
        <v>13</v>
      </c>
      <c r="H170" t="s">
        <v>31</v>
      </c>
      <c r="M170" t="s">
        <v>609</v>
      </c>
      <c r="N170" t="str">
        <f>"""" &amp; _xlfn.TEXTJOIN(""",""",TRUE,Table223[[#This Row],[Categoria1]:[Categoria7]]) &amp; """"</f>
        <v>"Pascua","Pentecostés","Niños"</v>
      </c>
      <c r="O170" t="s">
        <v>778</v>
      </c>
      <c r="P170" t="str">
        <f>"""" &amp; _xlfn.TEXTJOIN(""",""",TRUE,Table223[[#This Row],[Categoria]:[Categoria7]]) &amp; """"</f>
        <v>"Precatecumenado","Pascua","Pentecostés","Niños"</v>
      </c>
    </row>
    <row r="171" spans="1:16" x14ac:dyDescent="0.25">
      <c r="A171" s="1">
        <v>134</v>
      </c>
      <c r="B171" s="1">
        <v>168</v>
      </c>
      <c r="C171" t="s">
        <v>155</v>
      </c>
      <c r="D171" t="s">
        <v>375</v>
      </c>
      <c r="E171" t="s">
        <v>261</v>
      </c>
      <c r="F171" s="5" t="s">
        <v>17</v>
      </c>
      <c r="G171" s="6" t="s">
        <v>18</v>
      </c>
      <c r="M171" t="s">
        <v>610</v>
      </c>
      <c r="N171" t="str">
        <f>"""" &amp; _xlfn.TEXTJOIN(""",""",TRUE,Table223[[#This Row],[Categoria1]:[Categoria7]]) &amp; """"</f>
        <v>"Cuaresma","Antiguo Testamento"</v>
      </c>
      <c r="O171" t="s">
        <v>895</v>
      </c>
      <c r="P171" t="str">
        <f>"""" &amp; _xlfn.TEXTJOIN(""",""",TRUE,Table223[[#This Row],[Categoria]:[Categoria7]]) &amp; """"</f>
        <v>"Precatecumenado","Cuaresma","Antiguo Testamento"</v>
      </c>
    </row>
    <row r="172" spans="1:16" x14ac:dyDescent="0.25">
      <c r="A172" s="1">
        <v>135</v>
      </c>
      <c r="B172" s="1">
        <v>169</v>
      </c>
      <c r="C172" t="s">
        <v>156</v>
      </c>
      <c r="D172" t="s">
        <v>376</v>
      </c>
      <c r="E172" t="s">
        <v>261</v>
      </c>
      <c r="F172" s="5" t="s">
        <v>17</v>
      </c>
      <c r="G172" s="4" t="s">
        <v>15</v>
      </c>
      <c r="M172" t="s">
        <v>611</v>
      </c>
      <c r="N172" t="str">
        <f>"""" &amp; _xlfn.TEXTJOIN(""",""",TRUE,Table223[[#This Row],[Categoria1]:[Categoria7]]) &amp; """"</f>
        <v>"Cuaresma","Nuevo Testamento"</v>
      </c>
      <c r="O172" t="s">
        <v>896</v>
      </c>
      <c r="P172" t="str">
        <f>"""" &amp; _xlfn.TEXTJOIN(""",""",TRUE,Table223[[#This Row],[Categoria]:[Categoria7]]) &amp; """"</f>
        <v>"Precatecumenado","Cuaresma","Nuevo Testamento"</v>
      </c>
    </row>
    <row r="173" spans="1:16" x14ac:dyDescent="0.25">
      <c r="A173" s="10">
        <v>204</v>
      </c>
      <c r="B173" s="1">
        <v>170</v>
      </c>
      <c r="C173" s="11" t="s">
        <v>217</v>
      </c>
      <c r="D173" s="11" t="s">
        <v>415</v>
      </c>
      <c r="E173" s="11" t="s">
        <v>961</v>
      </c>
      <c r="F173" s="5" t="s">
        <v>29</v>
      </c>
      <c r="G173" t="s">
        <v>30</v>
      </c>
      <c r="H173" s="4"/>
      <c r="M173" t="s">
        <v>669</v>
      </c>
      <c r="N173" t="str">
        <f>"""" &amp; _xlfn.TEXTJOIN(""",""",TRUE,Table223[[#This Row],[Categoria1]:[Categoria7]]) &amp; """"</f>
        <v>"Adviento","Navidad"</v>
      </c>
      <c r="O173" t="s">
        <v>897</v>
      </c>
      <c r="P173" t="str">
        <f>"""" &amp; _xlfn.TEXTJOIN(""",""",TRUE,Table223[[#This Row],[Categoria]:[Categoria7]]) &amp; """"</f>
        <v>"Liturgia","Adviento","Navidad"</v>
      </c>
    </row>
    <row r="174" spans="1:16" x14ac:dyDescent="0.25">
      <c r="A174" s="12">
        <v>205</v>
      </c>
      <c r="B174" s="1">
        <v>171</v>
      </c>
      <c r="C174" s="13" t="s">
        <v>218</v>
      </c>
      <c r="D174" s="13" t="s">
        <v>416</v>
      </c>
      <c r="E174" s="13" t="s">
        <v>961</v>
      </c>
      <c r="F174" s="5" t="s">
        <v>12</v>
      </c>
      <c r="H174" s="4"/>
      <c r="M174" t="s">
        <v>670</v>
      </c>
      <c r="N174" t="str">
        <f>"""" &amp; _xlfn.TEXTJOIN(""",""",TRUE,Table223[[#This Row],[Categoria1]:[Categoria7]]) &amp; """"</f>
        <v>"Pascua"</v>
      </c>
      <c r="O174" t="s">
        <v>898</v>
      </c>
      <c r="P174" t="str">
        <f>"""" &amp; _xlfn.TEXTJOIN(""",""",TRUE,Table223[[#This Row],[Categoria]:[Categoria7]]) &amp; """"</f>
        <v>"Liturgia","Pascua"</v>
      </c>
    </row>
    <row r="175" spans="1:16" x14ac:dyDescent="0.25">
      <c r="A175" s="10">
        <v>206</v>
      </c>
      <c r="B175" s="1">
        <v>172</v>
      </c>
      <c r="C175" s="11" t="s">
        <v>219</v>
      </c>
      <c r="D175" s="11" t="s">
        <v>417</v>
      </c>
      <c r="E175" s="11" t="s">
        <v>961</v>
      </c>
      <c r="F175" s="5" t="s">
        <v>12</v>
      </c>
      <c r="H175" s="4"/>
      <c r="M175" t="s">
        <v>671</v>
      </c>
      <c r="N175" t="str">
        <f>"""" &amp; _xlfn.TEXTJOIN(""",""",TRUE,Table223[[#This Row],[Categoria1]:[Categoria7]]) &amp; """"</f>
        <v>"Pascua"</v>
      </c>
      <c r="O175" t="s">
        <v>779</v>
      </c>
      <c r="P175" t="str">
        <f>"""" &amp; _xlfn.TEXTJOIN(""",""",TRUE,Table223[[#This Row],[Categoria]:[Categoria7]]) &amp; """"</f>
        <v>"Liturgia","Pascua"</v>
      </c>
    </row>
    <row r="176" spans="1:16" x14ac:dyDescent="0.25">
      <c r="A176" s="1">
        <v>136</v>
      </c>
      <c r="B176" s="1">
        <v>173</v>
      </c>
      <c r="C176" t="s">
        <v>157</v>
      </c>
      <c r="D176" t="s">
        <v>464</v>
      </c>
      <c r="E176" t="s">
        <v>261</v>
      </c>
      <c r="F176" s="5" t="s">
        <v>17</v>
      </c>
      <c r="G176" t="s">
        <v>23</v>
      </c>
      <c r="H176" s="6" t="s">
        <v>18</v>
      </c>
      <c r="M176" t="s">
        <v>612</v>
      </c>
      <c r="N176" t="str">
        <f>"""" &amp; _xlfn.TEXTJOIN(""",""",TRUE,Table223[[#This Row],[Categoria1]:[Categoria7]]) &amp; """"</f>
        <v>"Cuaresma","Entrada","Antiguo Testamento"</v>
      </c>
      <c r="O176" t="s">
        <v>899</v>
      </c>
      <c r="P176" t="str">
        <f>"""" &amp; _xlfn.TEXTJOIN(""",""",TRUE,Table223[[#This Row],[Categoria]:[Categoria7]]) &amp; """"</f>
        <v>"Precatecumenado","Cuaresma","Entrada","Antiguo Testamento"</v>
      </c>
    </row>
    <row r="177" spans="1:16" x14ac:dyDescent="0.25">
      <c r="A177" s="1">
        <v>137</v>
      </c>
      <c r="B177" s="1">
        <v>174</v>
      </c>
      <c r="C177" t="s">
        <v>158</v>
      </c>
      <c r="D177" t="s">
        <v>297</v>
      </c>
      <c r="E177" t="s">
        <v>261</v>
      </c>
      <c r="F177" s="6" t="s">
        <v>18</v>
      </c>
      <c r="G177" t="s">
        <v>34</v>
      </c>
      <c r="M177" t="s">
        <v>613</v>
      </c>
      <c r="N177" t="str">
        <f>"""" &amp; _xlfn.TEXTJOIN(""",""",TRUE,Table223[[#This Row],[Categoria1]:[Categoria7]]) &amp; """"</f>
        <v>"Antiguo Testamento","Paz"</v>
      </c>
      <c r="O177" t="s">
        <v>900</v>
      </c>
      <c r="P177" t="str">
        <f>"""" &amp; _xlfn.TEXTJOIN(""",""",TRUE,Table223[[#This Row],[Categoria]:[Categoria7]]) &amp; """"</f>
        <v>"Precatecumenado","Antiguo Testamento","Paz"</v>
      </c>
    </row>
    <row r="178" spans="1:16" x14ac:dyDescent="0.25">
      <c r="A178" s="1">
        <v>138</v>
      </c>
      <c r="B178" s="1">
        <v>175</v>
      </c>
      <c r="C178" t="s">
        <v>159</v>
      </c>
      <c r="D178" t="s">
        <v>377</v>
      </c>
      <c r="E178" t="s">
        <v>261</v>
      </c>
      <c r="F178" s="2" t="s">
        <v>12</v>
      </c>
      <c r="G178" s="3" t="s">
        <v>13</v>
      </c>
      <c r="H178" t="s">
        <v>48</v>
      </c>
      <c r="I178" t="s">
        <v>46</v>
      </c>
      <c r="J178" s="6" t="s">
        <v>18</v>
      </c>
      <c r="M178" t="s">
        <v>614</v>
      </c>
      <c r="N178" t="str">
        <f>"""" &amp; _xlfn.TEXTJOIN(""",""",TRUE,Table223[[#This Row],[Categoria1]:[Categoria7]]) &amp; """"</f>
        <v>"Pascua","Pentecostés","Comunión","Final","Antiguo Testamento"</v>
      </c>
      <c r="O178" t="s">
        <v>901</v>
      </c>
      <c r="P178" t="str">
        <f>"""" &amp; _xlfn.TEXTJOIN(""",""",TRUE,Table223[[#This Row],[Categoria]:[Categoria7]]) &amp; """"</f>
        <v>"Precatecumenado","Pascua","Pentecostés","Comunión","Final","Antiguo Testamento"</v>
      </c>
    </row>
    <row r="179" spans="1:16" x14ac:dyDescent="0.25">
      <c r="A179" s="1">
        <v>139</v>
      </c>
      <c r="B179" s="1">
        <v>176</v>
      </c>
      <c r="C179" t="s">
        <v>160</v>
      </c>
      <c r="D179" t="s">
        <v>378</v>
      </c>
      <c r="E179" t="s">
        <v>261</v>
      </c>
      <c r="F179" s="5" t="s">
        <v>17</v>
      </c>
      <c r="G179" t="s">
        <v>48</v>
      </c>
      <c r="H179" s="4" t="s">
        <v>15</v>
      </c>
      <c r="M179" t="s">
        <v>615</v>
      </c>
      <c r="N179" t="str">
        <f>"""" &amp; _xlfn.TEXTJOIN(""",""",TRUE,Table223[[#This Row],[Categoria1]:[Categoria7]]) &amp; """"</f>
        <v>"Cuaresma","Comunión","Nuevo Testamento"</v>
      </c>
      <c r="O179" t="s">
        <v>902</v>
      </c>
      <c r="P179" t="str">
        <f>"""" &amp; _xlfn.TEXTJOIN(""",""",TRUE,Table223[[#This Row],[Categoria]:[Categoria7]]) &amp; """"</f>
        <v>"Precatecumenado","Cuaresma","Comunión","Nuevo Testamento"</v>
      </c>
    </row>
    <row r="180" spans="1:16" x14ac:dyDescent="0.25">
      <c r="A180" s="1">
        <v>140</v>
      </c>
      <c r="B180" s="1">
        <v>177</v>
      </c>
      <c r="C180" t="s">
        <v>161</v>
      </c>
      <c r="D180" t="s">
        <v>379</v>
      </c>
      <c r="E180" t="s">
        <v>261</v>
      </c>
      <c r="F180" s="2" t="s">
        <v>12</v>
      </c>
      <c r="G180" s="3" t="s">
        <v>13</v>
      </c>
      <c r="H180" t="s">
        <v>46</v>
      </c>
      <c r="M180" t="s">
        <v>616</v>
      </c>
      <c r="N180" t="str">
        <f>"""" &amp; _xlfn.TEXTJOIN(""",""",TRUE,Table223[[#This Row],[Categoria1]:[Categoria7]]) &amp; """"</f>
        <v>"Pascua","Pentecostés","Final"</v>
      </c>
      <c r="O180" t="s">
        <v>903</v>
      </c>
      <c r="P180" t="str">
        <f>"""" &amp; _xlfn.TEXTJOIN(""",""",TRUE,Table223[[#This Row],[Categoria]:[Categoria7]]) &amp; """"</f>
        <v>"Precatecumenado","Pascua","Pentecostés","Final"</v>
      </c>
    </row>
    <row r="181" spans="1:16" x14ac:dyDescent="0.25">
      <c r="A181" s="1">
        <v>141</v>
      </c>
      <c r="B181" s="1">
        <v>178</v>
      </c>
      <c r="C181" t="s">
        <v>162</v>
      </c>
      <c r="D181" t="s">
        <v>465</v>
      </c>
      <c r="E181" t="s">
        <v>261</v>
      </c>
      <c r="F181" s="5" t="s">
        <v>17</v>
      </c>
      <c r="G181" s="6" t="s">
        <v>18</v>
      </c>
      <c r="M181" t="s">
        <v>617</v>
      </c>
      <c r="N181" t="str">
        <f>"""" &amp; _xlfn.TEXTJOIN(""",""",TRUE,Table223[[#This Row],[Categoria1]:[Categoria7]]) &amp; """"</f>
        <v>"Cuaresma","Antiguo Testamento"</v>
      </c>
      <c r="O181" t="s">
        <v>904</v>
      </c>
      <c r="P181" t="str">
        <f>"""" &amp; _xlfn.TEXTJOIN(""",""",TRUE,Table223[[#This Row],[Categoria]:[Categoria7]]) &amp; """"</f>
        <v>"Precatecumenado","Cuaresma","Antiguo Testamento"</v>
      </c>
    </row>
    <row r="182" spans="1:16" x14ac:dyDescent="0.25">
      <c r="A182" s="1">
        <v>142</v>
      </c>
      <c r="B182" s="1">
        <v>179</v>
      </c>
      <c r="C182" t="s">
        <v>163</v>
      </c>
      <c r="D182" t="s">
        <v>368</v>
      </c>
      <c r="E182" t="s">
        <v>261</v>
      </c>
      <c r="F182" s="2" t="s">
        <v>12</v>
      </c>
      <c r="G182" s="3" t="s">
        <v>13</v>
      </c>
      <c r="H182" t="s">
        <v>48</v>
      </c>
      <c r="M182" t="s">
        <v>618</v>
      </c>
      <c r="N182" t="str">
        <f>"""" &amp; _xlfn.TEXTJOIN(""",""",TRUE,Table223[[#This Row],[Categoria1]:[Categoria7]]) &amp; """"</f>
        <v>"Pascua","Pentecostés","Comunión"</v>
      </c>
      <c r="O182" t="s">
        <v>905</v>
      </c>
      <c r="P182" t="str">
        <f>"""" &amp; _xlfn.TEXTJOIN(""",""",TRUE,Table223[[#This Row],[Categoria]:[Categoria7]]) &amp; """"</f>
        <v>"Precatecumenado","Pascua","Pentecostés","Comunión"</v>
      </c>
    </row>
    <row r="183" spans="1:16" x14ac:dyDescent="0.25">
      <c r="A183" s="1">
        <v>143</v>
      </c>
      <c r="B183" s="1">
        <v>180</v>
      </c>
      <c r="C183" t="s">
        <v>164</v>
      </c>
      <c r="D183" t="s">
        <v>380</v>
      </c>
      <c r="E183" t="s">
        <v>261</v>
      </c>
      <c r="F183" s="2" t="s">
        <v>12</v>
      </c>
      <c r="G183" s="3" t="s">
        <v>13</v>
      </c>
      <c r="H183" s="4" t="s">
        <v>15</v>
      </c>
      <c r="M183" t="s">
        <v>619</v>
      </c>
      <c r="N183" t="str">
        <f>"""" &amp; _xlfn.TEXTJOIN(""",""",TRUE,Table223[[#This Row],[Categoria1]:[Categoria7]]) &amp; """"</f>
        <v>"Pascua","Pentecostés","Nuevo Testamento"</v>
      </c>
      <c r="O183" t="s">
        <v>906</v>
      </c>
      <c r="P183" t="str">
        <f>"""" &amp; _xlfn.TEXTJOIN(""",""",TRUE,Table223[[#This Row],[Categoria]:[Categoria7]]) &amp; """"</f>
        <v>"Precatecumenado","Pascua","Pentecostés","Nuevo Testamento"</v>
      </c>
    </row>
    <row r="184" spans="1:16" x14ac:dyDescent="0.25">
      <c r="A184" s="12">
        <v>208</v>
      </c>
      <c r="B184" s="1">
        <v>181</v>
      </c>
      <c r="C184" s="13" t="s">
        <v>220</v>
      </c>
      <c r="D184" s="13" t="s">
        <v>418</v>
      </c>
      <c r="E184" s="13" t="s">
        <v>961</v>
      </c>
      <c r="F184" s="5"/>
      <c r="H184" s="4"/>
      <c r="M184" t="s">
        <v>672</v>
      </c>
      <c r="N184" t="str">
        <f>"""" &amp; _xlfn.TEXTJOIN(""",""",TRUE,Table223[[#This Row],[Categoria1]:[Categoria7]]) &amp; """"</f>
        <v>""</v>
      </c>
      <c r="O184" t="s">
        <v>907</v>
      </c>
      <c r="P184" t="str">
        <f>"""" &amp; _xlfn.TEXTJOIN(""",""",TRUE,Table223[[#This Row],[Categoria]:[Categoria7]]) &amp; """"</f>
        <v>"Liturgia"</v>
      </c>
    </row>
    <row r="185" spans="1:16" x14ac:dyDescent="0.25">
      <c r="A185" s="10">
        <v>209</v>
      </c>
      <c r="B185" s="1">
        <v>182</v>
      </c>
      <c r="C185" s="11" t="s">
        <v>221</v>
      </c>
      <c r="D185" s="11" t="s">
        <v>419</v>
      </c>
      <c r="E185" s="11" t="s">
        <v>961</v>
      </c>
      <c r="F185" s="5"/>
      <c r="H185" s="4"/>
      <c r="M185" t="s">
        <v>673</v>
      </c>
      <c r="N185" t="str">
        <f>"""" &amp; _xlfn.TEXTJOIN(""",""",TRUE,Table223[[#This Row],[Categoria1]:[Categoria7]]) &amp; """"</f>
        <v>""</v>
      </c>
      <c r="O185" t="s">
        <v>780</v>
      </c>
      <c r="P185" t="str">
        <f>"""" &amp; _xlfn.TEXTJOIN(""",""",TRUE,Table223[[#This Row],[Categoria]:[Categoria7]]) &amp; """"</f>
        <v>"Liturgia"</v>
      </c>
    </row>
    <row r="186" spans="1:16" x14ac:dyDescent="0.25">
      <c r="A186" s="12">
        <v>210</v>
      </c>
      <c r="B186" s="1">
        <v>183</v>
      </c>
      <c r="C186" s="13" t="s">
        <v>222</v>
      </c>
      <c r="D186" s="13" t="s">
        <v>401</v>
      </c>
      <c r="E186" s="13" t="s">
        <v>961</v>
      </c>
      <c r="F186" s="5"/>
      <c r="H186" s="4"/>
      <c r="M186" t="s">
        <v>674</v>
      </c>
      <c r="N186" t="str">
        <f>"""" &amp; _xlfn.TEXTJOIN(""",""",TRUE,Table223[[#This Row],[Categoria1]:[Categoria7]]) &amp; """"</f>
        <v>""</v>
      </c>
      <c r="O186" t="s">
        <v>908</v>
      </c>
      <c r="P186" t="str">
        <f>"""" &amp; _xlfn.TEXTJOIN(""",""",TRUE,Table223[[#This Row],[Categoria]:[Categoria7]]) &amp; """"</f>
        <v>"Liturgia"</v>
      </c>
    </row>
    <row r="187" spans="1:16" x14ac:dyDescent="0.25">
      <c r="A187" s="10">
        <v>211</v>
      </c>
      <c r="B187" s="1">
        <v>184</v>
      </c>
      <c r="C187" s="11" t="s">
        <v>223</v>
      </c>
      <c r="D187" s="11" t="s">
        <v>420</v>
      </c>
      <c r="E187" s="11" t="s">
        <v>961</v>
      </c>
      <c r="F187" s="5"/>
      <c r="H187" s="4"/>
      <c r="M187" t="s">
        <v>675</v>
      </c>
      <c r="N187" t="str">
        <f>"""" &amp; _xlfn.TEXTJOIN(""",""",TRUE,Table223[[#This Row],[Categoria1]:[Categoria7]]) &amp; """"</f>
        <v>""</v>
      </c>
      <c r="O187" t="s">
        <v>781</v>
      </c>
      <c r="P187" t="str">
        <f>"""" &amp; _xlfn.TEXTJOIN(""",""",TRUE,Table223[[#This Row],[Categoria]:[Categoria7]]) &amp; """"</f>
        <v>"Liturgia"</v>
      </c>
    </row>
    <row r="188" spans="1:16" x14ac:dyDescent="0.25">
      <c r="A188" s="12">
        <v>212</v>
      </c>
      <c r="B188" s="1">
        <v>185</v>
      </c>
      <c r="C188" s="13" t="s">
        <v>224</v>
      </c>
      <c r="D188" s="13" t="s">
        <v>421</v>
      </c>
      <c r="E188" s="13" t="s">
        <v>961</v>
      </c>
      <c r="F188" s="5"/>
      <c r="H188" s="4"/>
      <c r="M188" t="s">
        <v>676</v>
      </c>
      <c r="N188" t="str">
        <f>"""" &amp; _xlfn.TEXTJOIN(""",""",TRUE,Table223[[#This Row],[Categoria1]:[Categoria7]]) &amp; """"</f>
        <v>""</v>
      </c>
      <c r="O188" t="s">
        <v>782</v>
      </c>
      <c r="P188" t="str">
        <f>"""" &amp; _xlfn.TEXTJOIN(""",""",TRUE,Table223[[#This Row],[Categoria]:[Categoria7]]) &amp; """"</f>
        <v>"Liturgia"</v>
      </c>
    </row>
    <row r="189" spans="1:16" x14ac:dyDescent="0.25">
      <c r="A189" s="1">
        <v>144</v>
      </c>
      <c r="B189" s="1">
        <v>186</v>
      </c>
      <c r="C189" t="s">
        <v>165</v>
      </c>
      <c r="D189" t="s">
        <v>381</v>
      </c>
      <c r="E189" t="s">
        <v>261</v>
      </c>
      <c r="F189" s="9" t="s">
        <v>42</v>
      </c>
      <c r="M189" t="s">
        <v>620</v>
      </c>
      <c r="N189" t="str">
        <f>"""" &amp; _xlfn.TEXTJOIN(""",""",TRUE,Table223[[#This Row],[Categoria1]:[Categoria7]]) &amp; """"</f>
        <v>"Vírgen María"</v>
      </c>
      <c r="O189" t="s">
        <v>909</v>
      </c>
      <c r="P189" t="str">
        <f>"""" &amp; _xlfn.TEXTJOIN(""",""",TRUE,Table223[[#This Row],[Categoria]:[Categoria7]]) &amp; """"</f>
        <v>"Precatecumenado","Vírgen María"</v>
      </c>
    </row>
    <row r="190" spans="1:16" x14ac:dyDescent="0.25">
      <c r="A190" s="10">
        <v>218</v>
      </c>
      <c r="B190" s="1">
        <v>187</v>
      </c>
      <c r="C190" s="11" t="s">
        <v>229</v>
      </c>
      <c r="D190" s="11">
        <v>1982</v>
      </c>
      <c r="E190" s="11" t="s">
        <v>961</v>
      </c>
      <c r="F190" s="5"/>
      <c r="H190" s="4"/>
      <c r="M190" t="s">
        <v>681</v>
      </c>
      <c r="N190" t="str">
        <f>"""" &amp; _xlfn.TEXTJOIN(""",""",TRUE,Table223[[#This Row],[Categoria1]:[Categoria7]]) &amp; """"</f>
        <v>""</v>
      </c>
      <c r="O190" t="s">
        <v>910</v>
      </c>
      <c r="P190" t="str">
        <f>"""" &amp; _xlfn.TEXTJOIN(""",""",TRUE,Table223[[#This Row],[Categoria]:[Categoria7]]) &amp; """"</f>
        <v>"Liturgia"</v>
      </c>
    </row>
    <row r="191" spans="1:16" x14ac:dyDescent="0.25">
      <c r="A191" s="12">
        <v>219</v>
      </c>
      <c r="B191" s="1">
        <v>188</v>
      </c>
      <c r="C191" s="13" t="s">
        <v>230</v>
      </c>
      <c r="D191" s="13">
        <v>1988</v>
      </c>
      <c r="E191" s="13" t="s">
        <v>961</v>
      </c>
      <c r="F191" s="5"/>
      <c r="H191" s="4"/>
      <c r="M191" t="s">
        <v>682</v>
      </c>
      <c r="N191" t="str">
        <f>"""" &amp; _xlfn.TEXTJOIN(""",""",TRUE,Table223[[#This Row],[Categoria1]:[Categoria7]]) &amp; """"</f>
        <v>""</v>
      </c>
      <c r="O191" t="s">
        <v>783</v>
      </c>
      <c r="P191" t="str">
        <f>"""" &amp; _xlfn.TEXTJOIN(""",""",TRUE,Table223[[#This Row],[Categoria]:[Categoria7]]) &amp; """"</f>
        <v>"Liturgia"</v>
      </c>
    </row>
    <row r="192" spans="1:16" x14ac:dyDescent="0.25">
      <c r="A192" s="12">
        <v>215</v>
      </c>
      <c r="B192" s="1">
        <v>189</v>
      </c>
      <c r="C192" s="13" t="s">
        <v>226</v>
      </c>
      <c r="D192" s="13" t="s">
        <v>423</v>
      </c>
      <c r="E192" s="13" t="s">
        <v>961</v>
      </c>
      <c r="F192" s="5"/>
      <c r="H192" s="4"/>
      <c r="M192" t="s">
        <v>678</v>
      </c>
      <c r="N192" t="str">
        <f>"""" &amp; _xlfn.TEXTJOIN(""",""",TRUE,Table223[[#This Row],[Categoria1]:[Categoria7]]) &amp; """"</f>
        <v>""</v>
      </c>
      <c r="O192" t="s">
        <v>911</v>
      </c>
      <c r="P192" t="str">
        <f>"""" &amp; _xlfn.TEXTJOIN(""",""",TRUE,Table223[[#This Row],[Categoria]:[Categoria7]]) &amp; """"</f>
        <v>"Liturgia"</v>
      </c>
    </row>
    <row r="193" spans="1:16" x14ac:dyDescent="0.25">
      <c r="A193" s="10">
        <v>216</v>
      </c>
      <c r="B193" s="1">
        <v>190</v>
      </c>
      <c r="C193" s="11" t="s">
        <v>227</v>
      </c>
      <c r="D193" s="11" t="s">
        <v>424</v>
      </c>
      <c r="E193" s="11" t="s">
        <v>961</v>
      </c>
      <c r="F193" s="5"/>
      <c r="H193" s="4"/>
      <c r="M193" t="s">
        <v>679</v>
      </c>
      <c r="N193" t="str">
        <f>"""" &amp; _xlfn.TEXTJOIN(""",""",TRUE,Table223[[#This Row],[Categoria1]:[Categoria7]]) &amp; """"</f>
        <v>""</v>
      </c>
      <c r="O193" t="s">
        <v>784</v>
      </c>
      <c r="P193" t="str">
        <f>"""" &amp; _xlfn.TEXTJOIN(""",""",TRUE,Table223[[#This Row],[Categoria]:[Categoria7]]) &amp; """"</f>
        <v>"Liturgia"</v>
      </c>
    </row>
    <row r="194" spans="1:16" x14ac:dyDescent="0.25">
      <c r="A194" s="10">
        <v>214</v>
      </c>
      <c r="B194" s="1">
        <v>191</v>
      </c>
      <c r="C194" s="11" t="s">
        <v>225</v>
      </c>
      <c r="D194" s="11" t="s">
        <v>422</v>
      </c>
      <c r="E194" s="11" t="s">
        <v>961</v>
      </c>
      <c r="F194" s="5"/>
      <c r="H194" s="4"/>
      <c r="M194" t="s">
        <v>677</v>
      </c>
      <c r="N194" t="str">
        <f>"""" &amp; _xlfn.TEXTJOIN(""",""",TRUE,Table223[[#This Row],[Categoria1]:[Categoria7]]) &amp; """"</f>
        <v>""</v>
      </c>
      <c r="O194" t="s">
        <v>785</v>
      </c>
      <c r="P194" t="str">
        <f>"""" &amp; _xlfn.TEXTJOIN(""",""",TRUE,Table223[[#This Row],[Categoria]:[Categoria7]]) &amp; """"</f>
        <v>"Liturgia"</v>
      </c>
    </row>
    <row r="195" spans="1:16" x14ac:dyDescent="0.25">
      <c r="A195" s="12">
        <v>217</v>
      </c>
      <c r="B195" s="1">
        <v>192</v>
      </c>
      <c r="C195" s="13" t="s">
        <v>228</v>
      </c>
      <c r="D195" s="13" t="s">
        <v>425</v>
      </c>
      <c r="E195" s="13" t="s">
        <v>961</v>
      </c>
      <c r="F195" s="5"/>
      <c r="H195" s="4"/>
      <c r="M195" t="s">
        <v>680</v>
      </c>
      <c r="N195" t="str">
        <f>"""" &amp; _xlfn.TEXTJOIN(""",""",TRUE,Table223[[#This Row],[Categoria1]:[Categoria7]]) &amp; """"</f>
        <v>""</v>
      </c>
      <c r="O195" t="s">
        <v>912</v>
      </c>
      <c r="P195" t="str">
        <f>"""" &amp; _xlfn.TEXTJOIN(""",""",TRUE,Table223[[#This Row],[Categoria]:[Categoria7]]) &amp; """"</f>
        <v>"Liturgia"</v>
      </c>
    </row>
    <row r="196" spans="1:16" x14ac:dyDescent="0.25">
      <c r="A196" s="1">
        <v>145</v>
      </c>
      <c r="B196" s="1">
        <v>193</v>
      </c>
      <c r="C196" t="s">
        <v>166</v>
      </c>
      <c r="D196" t="s">
        <v>329</v>
      </c>
      <c r="E196" t="s">
        <v>261</v>
      </c>
      <c r="F196" t="s">
        <v>31</v>
      </c>
      <c r="G196" t="s">
        <v>34</v>
      </c>
      <c r="M196" t="s">
        <v>621</v>
      </c>
      <c r="N196" t="str">
        <f>"""" &amp; _xlfn.TEXTJOIN(""",""",TRUE,Table223[[#This Row],[Categoria1]:[Categoria7]]) &amp; """"</f>
        <v>"Niños","Paz"</v>
      </c>
      <c r="O196" t="s">
        <v>786</v>
      </c>
      <c r="P196" t="str">
        <f>"""" &amp; _xlfn.TEXTJOIN(""",""",TRUE,Table223[[#This Row],[Categoria]:[Categoria7]]) &amp; """"</f>
        <v>"Precatecumenado","Niños","Paz"</v>
      </c>
    </row>
    <row r="197" spans="1:16" x14ac:dyDescent="0.25">
      <c r="A197" s="1">
        <v>146</v>
      </c>
      <c r="B197" s="1">
        <v>194</v>
      </c>
      <c r="C197" t="s">
        <v>167</v>
      </c>
      <c r="D197" t="s">
        <v>368</v>
      </c>
      <c r="E197" t="s">
        <v>261</v>
      </c>
      <c r="F197" s="5" t="s">
        <v>17</v>
      </c>
      <c r="M197" t="s">
        <v>622</v>
      </c>
      <c r="N197" t="str">
        <f>"""" &amp; _xlfn.TEXTJOIN(""",""",TRUE,Table223[[#This Row],[Categoria1]:[Categoria7]]) &amp; """"</f>
        <v>"Cuaresma"</v>
      </c>
      <c r="O197" t="s">
        <v>913</v>
      </c>
      <c r="P197" t="str">
        <f>"""" &amp; _xlfn.TEXTJOIN(""",""",TRUE,Table223[[#This Row],[Categoria]:[Categoria7]]) &amp; """"</f>
        <v>"Precatecumenado","Cuaresma"</v>
      </c>
    </row>
    <row r="198" spans="1:16" x14ac:dyDescent="0.25">
      <c r="A198" s="1">
        <v>147</v>
      </c>
      <c r="B198" s="1">
        <v>195</v>
      </c>
      <c r="C198" t="s">
        <v>168</v>
      </c>
      <c r="D198" t="s">
        <v>382</v>
      </c>
      <c r="E198" t="s">
        <v>261</v>
      </c>
      <c r="F198" s="5" t="s">
        <v>17</v>
      </c>
      <c r="G198" s="6" t="s">
        <v>18</v>
      </c>
      <c r="M198" t="s">
        <v>623</v>
      </c>
      <c r="N198" t="str">
        <f>"""" &amp; _xlfn.TEXTJOIN(""",""",TRUE,Table223[[#This Row],[Categoria1]:[Categoria7]]) &amp; """"</f>
        <v>"Cuaresma","Antiguo Testamento"</v>
      </c>
      <c r="O198" t="s">
        <v>914</v>
      </c>
      <c r="P198" t="str">
        <f>"""" &amp; _xlfn.TEXTJOIN(""",""",TRUE,Table223[[#This Row],[Categoria]:[Categoria7]]) &amp; """"</f>
        <v>"Precatecumenado","Cuaresma","Antiguo Testamento"</v>
      </c>
    </row>
    <row r="199" spans="1:16" x14ac:dyDescent="0.25">
      <c r="A199" s="14">
        <v>233</v>
      </c>
      <c r="B199" s="1">
        <v>196</v>
      </c>
      <c r="C199" s="15" t="s">
        <v>244</v>
      </c>
      <c r="D199" s="15" t="s">
        <v>477</v>
      </c>
      <c r="E199" s="15" t="s">
        <v>262</v>
      </c>
      <c r="F199" s="6" t="s">
        <v>18</v>
      </c>
      <c r="M199" t="s">
        <v>696</v>
      </c>
      <c r="N199" t="str">
        <f>"""" &amp; _xlfn.TEXTJOIN(""",""",TRUE,Table223[[#This Row],[Categoria1]:[Categoria7]]) &amp; """"</f>
        <v>"Antiguo Testamento"</v>
      </c>
      <c r="O199" t="s">
        <v>787</v>
      </c>
      <c r="P199" t="str">
        <f>"""" &amp; _xlfn.TEXTJOIN(""",""",TRUE,Table223[[#This Row],[Categoria]:[Categoria7]]) &amp; """"</f>
        <v>"Catecumenado","Antiguo Testamento"</v>
      </c>
    </row>
    <row r="200" spans="1:16" x14ac:dyDescent="0.25">
      <c r="A200" s="1">
        <v>148</v>
      </c>
      <c r="B200" s="1">
        <v>197</v>
      </c>
      <c r="C200" t="s">
        <v>169</v>
      </c>
      <c r="D200" t="s">
        <v>383</v>
      </c>
      <c r="E200" t="s">
        <v>261</v>
      </c>
      <c r="F200" s="4" t="s">
        <v>15</v>
      </c>
      <c r="M200" t="s">
        <v>624</v>
      </c>
      <c r="N200" t="str">
        <f>"""" &amp; _xlfn.TEXTJOIN(""",""",TRUE,Table223[[#This Row],[Categoria1]:[Categoria7]]) &amp; """"</f>
        <v>"Nuevo Testamento"</v>
      </c>
      <c r="O200" t="s">
        <v>788</v>
      </c>
      <c r="P200" t="str">
        <f>"""" &amp; _xlfn.TEXTJOIN(""",""",TRUE,Table223[[#This Row],[Categoria]:[Categoria7]]) &amp; """"</f>
        <v>"Precatecumenado","Nuevo Testamento"</v>
      </c>
    </row>
    <row r="201" spans="1:16" x14ac:dyDescent="0.25">
      <c r="A201" s="16">
        <v>234</v>
      </c>
      <c r="B201" s="1">
        <v>198</v>
      </c>
      <c r="C201" s="17" t="s">
        <v>245</v>
      </c>
      <c r="D201" s="17" t="s">
        <v>481</v>
      </c>
      <c r="E201" s="17" t="s">
        <v>262</v>
      </c>
      <c r="F201" s="6" t="s">
        <v>18</v>
      </c>
      <c r="M201" t="s">
        <v>697</v>
      </c>
      <c r="N201" t="str">
        <f>"""" &amp; _xlfn.TEXTJOIN(""",""",TRUE,Table223[[#This Row],[Categoria1]:[Categoria7]]) &amp; """"</f>
        <v>"Antiguo Testamento"</v>
      </c>
      <c r="O201" t="s">
        <v>789</v>
      </c>
      <c r="P201" t="str">
        <f>"""" &amp; _xlfn.TEXTJOIN(""",""",TRUE,Table223[[#This Row],[Categoria]:[Categoria7]]) &amp; """"</f>
        <v>"Catecumenado","Antiguo Testamento"</v>
      </c>
    </row>
    <row r="202" spans="1:16" x14ac:dyDescent="0.25">
      <c r="A202" s="1">
        <v>149</v>
      </c>
      <c r="B202" s="1">
        <v>199</v>
      </c>
      <c r="C202" t="s">
        <v>170</v>
      </c>
      <c r="D202" t="s">
        <v>384</v>
      </c>
      <c r="E202" t="s">
        <v>261</v>
      </c>
      <c r="F202" s="9" t="s">
        <v>42</v>
      </c>
      <c r="M202" t="s">
        <v>625</v>
      </c>
      <c r="N202" t="str">
        <f>"""" &amp; _xlfn.TEXTJOIN(""",""",TRUE,Table223[[#This Row],[Categoria1]:[Categoria7]]) &amp; """"</f>
        <v>"Vírgen María"</v>
      </c>
      <c r="O202" t="s">
        <v>915</v>
      </c>
      <c r="P202" t="str">
        <f>"""" &amp; _xlfn.TEXTJOIN(""",""",TRUE,Table223[[#This Row],[Categoria]:[Categoria7]]) &amp; """"</f>
        <v>"Precatecumenado","Vírgen María"</v>
      </c>
    </row>
    <row r="203" spans="1:16" x14ac:dyDescent="0.25">
      <c r="A203" s="1">
        <v>150</v>
      </c>
      <c r="B203" s="1">
        <v>200</v>
      </c>
      <c r="C203" t="s">
        <v>171</v>
      </c>
      <c r="D203" t="s">
        <v>466</v>
      </c>
      <c r="E203" t="s">
        <v>261</v>
      </c>
      <c r="F203" t="s">
        <v>23</v>
      </c>
      <c r="G203" s="6" t="s">
        <v>18</v>
      </c>
      <c r="M203" t="s">
        <v>626</v>
      </c>
      <c r="N203" t="str">
        <f>"""" &amp; _xlfn.TEXTJOIN(""",""",TRUE,Table223[[#This Row],[Categoria1]:[Categoria7]]) &amp; """"</f>
        <v>"Entrada","Antiguo Testamento"</v>
      </c>
      <c r="O203" t="s">
        <v>916</v>
      </c>
      <c r="P203" t="str">
        <f>"""" &amp; _xlfn.TEXTJOIN(""",""",TRUE,Table223[[#This Row],[Categoria]:[Categoria7]]) &amp; """"</f>
        <v>"Precatecumenado","Entrada","Antiguo Testamento"</v>
      </c>
    </row>
    <row r="204" spans="1:16" x14ac:dyDescent="0.25">
      <c r="A204" s="1">
        <v>151</v>
      </c>
      <c r="B204" s="1">
        <v>201</v>
      </c>
      <c r="C204" t="s">
        <v>172</v>
      </c>
      <c r="D204" t="s">
        <v>385</v>
      </c>
      <c r="E204" t="s">
        <v>261</v>
      </c>
      <c r="F204" s="4" t="s">
        <v>15</v>
      </c>
      <c r="M204" t="s">
        <v>627</v>
      </c>
      <c r="N204" t="str">
        <f>"""" &amp; _xlfn.TEXTJOIN(""",""",TRUE,Table223[[#This Row],[Categoria1]:[Categoria7]]) &amp; """"</f>
        <v>"Nuevo Testamento"</v>
      </c>
      <c r="O204" t="s">
        <v>917</v>
      </c>
      <c r="P204" t="str">
        <f>"""" &amp; _xlfn.TEXTJOIN(""",""",TRUE,Table223[[#This Row],[Categoria]:[Categoria7]]) &amp; """"</f>
        <v>"Precatecumenado","Nuevo Testamento"</v>
      </c>
    </row>
    <row r="205" spans="1:16" x14ac:dyDescent="0.25">
      <c r="A205" s="1">
        <v>152</v>
      </c>
      <c r="B205" s="1">
        <v>202</v>
      </c>
      <c r="C205" t="s">
        <v>173</v>
      </c>
      <c r="D205" t="s">
        <v>467</v>
      </c>
      <c r="E205" t="s">
        <v>261</v>
      </c>
      <c r="F205" s="6" t="s">
        <v>18</v>
      </c>
      <c r="M205" t="s">
        <v>628</v>
      </c>
      <c r="N205" t="str">
        <f>"""" &amp; _xlfn.TEXTJOIN(""",""",TRUE,Table223[[#This Row],[Categoria1]:[Categoria7]]) &amp; """"</f>
        <v>"Antiguo Testamento"</v>
      </c>
      <c r="O205" t="s">
        <v>918</v>
      </c>
      <c r="P205" t="str">
        <f>"""" &amp; _xlfn.TEXTJOIN(""",""",TRUE,Table223[[#This Row],[Categoria]:[Categoria7]]) &amp; """"</f>
        <v>"Precatecumenado","Antiguo Testamento"</v>
      </c>
    </row>
    <row r="206" spans="1:16" x14ac:dyDescent="0.25">
      <c r="A206" s="1">
        <v>153</v>
      </c>
      <c r="B206" s="1">
        <v>203</v>
      </c>
      <c r="C206" t="s">
        <v>174</v>
      </c>
      <c r="D206" t="s">
        <v>468</v>
      </c>
      <c r="E206" t="s">
        <v>261</v>
      </c>
      <c r="F206" s="5" t="s">
        <v>17</v>
      </c>
      <c r="G206" s="6" t="s">
        <v>18</v>
      </c>
      <c r="M206" t="s">
        <v>629</v>
      </c>
      <c r="N206" t="str">
        <f>"""" &amp; _xlfn.TEXTJOIN(""",""",TRUE,Table223[[#This Row],[Categoria1]:[Categoria7]]) &amp; """"</f>
        <v>"Cuaresma","Antiguo Testamento"</v>
      </c>
      <c r="O206" t="s">
        <v>790</v>
      </c>
      <c r="P206" t="str">
        <f>"""" &amp; _xlfn.TEXTJOIN(""",""",TRUE,Table223[[#This Row],[Categoria]:[Categoria7]]) &amp; """"</f>
        <v>"Precatecumenado","Cuaresma","Antiguo Testamento"</v>
      </c>
    </row>
    <row r="207" spans="1:16" x14ac:dyDescent="0.25">
      <c r="A207" s="14">
        <v>235</v>
      </c>
      <c r="B207" s="1">
        <v>204</v>
      </c>
      <c r="C207" s="15" t="s">
        <v>246</v>
      </c>
      <c r="D207" s="15" t="s">
        <v>437</v>
      </c>
      <c r="E207" s="15" t="s">
        <v>262</v>
      </c>
      <c r="F207" s="5" t="s">
        <v>17</v>
      </c>
      <c r="M207" t="s">
        <v>698</v>
      </c>
      <c r="N207" t="str">
        <f>"""" &amp; _xlfn.TEXTJOIN(""",""",TRUE,Table223[[#This Row],[Categoria1]:[Categoria7]]) &amp; """"</f>
        <v>"Cuaresma"</v>
      </c>
      <c r="O207" t="s">
        <v>791</v>
      </c>
      <c r="P207" t="str">
        <f>"""" &amp; _xlfn.TEXTJOIN(""",""",TRUE,Table223[[#This Row],[Categoria]:[Categoria7]]) &amp; """"</f>
        <v>"Catecumenado","Cuaresma"</v>
      </c>
    </row>
    <row r="208" spans="1:16" x14ac:dyDescent="0.25">
      <c r="A208" s="1">
        <v>154</v>
      </c>
      <c r="B208" s="1">
        <v>205</v>
      </c>
      <c r="C208" t="s">
        <v>175</v>
      </c>
      <c r="D208" t="s">
        <v>469</v>
      </c>
      <c r="E208" t="s">
        <v>261</v>
      </c>
      <c r="F208" s="9" t="s">
        <v>42</v>
      </c>
      <c r="G208" t="s">
        <v>46</v>
      </c>
      <c r="H208" s="6" t="s">
        <v>18</v>
      </c>
      <c r="M208" t="s">
        <v>630</v>
      </c>
      <c r="N208" t="str">
        <f>"""" &amp; _xlfn.TEXTJOIN(""",""",TRUE,Table223[[#This Row],[Categoria1]:[Categoria7]]) &amp; """"</f>
        <v>"Vírgen María","Final","Antiguo Testamento"</v>
      </c>
      <c r="O208" t="s">
        <v>792</v>
      </c>
      <c r="P208" t="str">
        <f>"""" &amp; _xlfn.TEXTJOIN(""",""",TRUE,Table223[[#This Row],[Categoria]:[Categoria7]]) &amp; """"</f>
        <v>"Precatecumenado","Vírgen María","Final","Antiguo Testamento"</v>
      </c>
    </row>
    <row r="209" spans="1:16" x14ac:dyDescent="0.25">
      <c r="A209" s="1">
        <v>155</v>
      </c>
      <c r="B209" s="1">
        <v>206</v>
      </c>
      <c r="C209" t="s">
        <v>176</v>
      </c>
      <c r="D209" t="s">
        <v>368</v>
      </c>
      <c r="E209" t="s">
        <v>261</v>
      </c>
      <c r="F209" s="9" t="s">
        <v>42</v>
      </c>
      <c r="G209" s="5" t="s">
        <v>17</v>
      </c>
      <c r="H209" t="s">
        <v>64</v>
      </c>
      <c r="M209" t="s">
        <v>631</v>
      </c>
      <c r="N209" t="str">
        <f>"""" &amp; _xlfn.TEXTJOIN(""",""",TRUE,Table223[[#This Row],[Categoria1]:[Categoria7]]) &amp; """"</f>
        <v>"Vírgen María","Cuaresma","Fracción Del Pan"</v>
      </c>
      <c r="O209" t="s">
        <v>919</v>
      </c>
      <c r="P209" t="str">
        <f>"""" &amp; _xlfn.TEXTJOIN(""",""",TRUE,Table223[[#This Row],[Categoria]:[Categoria7]]) &amp; """"</f>
        <v>"Precatecumenado","Vírgen María","Cuaresma","Fracción Del Pan"</v>
      </c>
    </row>
    <row r="210" spans="1:16" x14ac:dyDescent="0.25">
      <c r="A210" s="1">
        <v>156</v>
      </c>
      <c r="B210" s="1">
        <v>207</v>
      </c>
      <c r="C210" t="s">
        <v>177</v>
      </c>
      <c r="D210" t="s">
        <v>386</v>
      </c>
      <c r="E210" t="s">
        <v>261</v>
      </c>
      <c r="F210" s="9" t="s">
        <v>42</v>
      </c>
      <c r="G210" s="5" t="s">
        <v>17</v>
      </c>
      <c r="H210" t="s">
        <v>64</v>
      </c>
      <c r="M210" t="s">
        <v>632</v>
      </c>
      <c r="N210" t="str">
        <f>"""" &amp; _xlfn.TEXTJOIN(""",""",TRUE,Table223[[#This Row],[Categoria1]:[Categoria7]]) &amp; """"</f>
        <v>"Vírgen María","Cuaresma","Fracción Del Pan"</v>
      </c>
      <c r="O210" t="s">
        <v>920</v>
      </c>
      <c r="P210" t="str">
        <f>"""" &amp; _xlfn.TEXTJOIN(""",""",TRUE,Table223[[#This Row],[Categoria]:[Categoria7]]) &amp; """"</f>
        <v>"Precatecumenado","Vírgen María","Cuaresma","Fracción Del Pan"</v>
      </c>
    </row>
    <row r="211" spans="1:16" x14ac:dyDescent="0.25">
      <c r="A211" s="20">
        <v>244</v>
      </c>
      <c r="B211" s="1">
        <v>208</v>
      </c>
      <c r="C211" s="21" t="s">
        <v>255</v>
      </c>
      <c r="D211" s="21" t="s">
        <v>446</v>
      </c>
      <c r="E211" s="21" t="s">
        <v>960</v>
      </c>
      <c r="M211" t="s">
        <v>707</v>
      </c>
      <c r="N211" t="str">
        <f>"""" &amp; _xlfn.TEXTJOIN(""",""",TRUE,Table223[[#This Row],[Categoria1]:[Categoria7]]) &amp; """"</f>
        <v>""</v>
      </c>
      <c r="O211" t="s">
        <v>921</v>
      </c>
      <c r="P211" t="str">
        <f>"""" &amp; _xlfn.TEXTJOIN(""",""",TRUE,Table223[[#This Row],[Categoria]:[Categoria7]]) &amp; """"</f>
        <v>"Eleccion"</v>
      </c>
    </row>
    <row r="212" spans="1:16" x14ac:dyDescent="0.25">
      <c r="A212" s="1">
        <v>157</v>
      </c>
      <c r="B212" s="1">
        <v>209</v>
      </c>
      <c r="C212" t="s">
        <v>178</v>
      </c>
      <c r="D212" t="s">
        <v>470</v>
      </c>
      <c r="E212" t="s">
        <v>261</v>
      </c>
      <c r="F212" s="2" t="s">
        <v>12</v>
      </c>
      <c r="G212" s="3" t="s">
        <v>13</v>
      </c>
      <c r="H212" s="6" t="s">
        <v>18</v>
      </c>
      <c r="I212" t="s">
        <v>34</v>
      </c>
      <c r="M212" t="s">
        <v>633</v>
      </c>
      <c r="N212" t="str">
        <f>"""" &amp; _xlfn.TEXTJOIN(""",""",TRUE,Table223[[#This Row],[Categoria1]:[Categoria7]]) &amp; """"</f>
        <v>"Pascua","Pentecostés","Antiguo Testamento","Paz"</v>
      </c>
      <c r="O212" t="s">
        <v>922</v>
      </c>
      <c r="P212" t="str">
        <f>"""" &amp; _xlfn.TEXTJOIN(""",""",TRUE,Table223[[#This Row],[Categoria]:[Categoria7]]) &amp; """"</f>
        <v>"Precatecumenado","Pascua","Pentecostés","Antiguo Testamento","Paz"</v>
      </c>
    </row>
    <row r="213" spans="1:16" x14ac:dyDescent="0.25">
      <c r="A213" s="10">
        <v>220</v>
      </c>
      <c r="B213" s="1">
        <v>210</v>
      </c>
      <c r="C213" s="11" t="s">
        <v>231</v>
      </c>
      <c r="D213" s="11" t="s">
        <v>426</v>
      </c>
      <c r="E213" s="11" t="s">
        <v>961</v>
      </c>
      <c r="F213" s="5"/>
      <c r="H213" s="4"/>
      <c r="M213" t="s">
        <v>683</v>
      </c>
      <c r="N213" t="str">
        <f>"""" &amp; _xlfn.TEXTJOIN(""",""",TRUE,Table223[[#This Row],[Categoria1]:[Categoria7]]) &amp; """"</f>
        <v>""</v>
      </c>
      <c r="O213" t="s">
        <v>793</v>
      </c>
      <c r="P213" t="str">
        <f>"""" &amp; _xlfn.TEXTJOIN(""",""",TRUE,Table223[[#This Row],[Categoria]:[Categoria7]]) &amp; """"</f>
        <v>"Liturgia"</v>
      </c>
    </row>
    <row r="214" spans="1:16" x14ac:dyDescent="0.25">
      <c r="A214" s="1">
        <v>158</v>
      </c>
      <c r="B214" s="1">
        <v>211</v>
      </c>
      <c r="C214" t="s">
        <v>179</v>
      </c>
      <c r="D214" t="s">
        <v>471</v>
      </c>
      <c r="E214" t="s">
        <v>261</v>
      </c>
      <c r="F214" s="5" t="s">
        <v>17</v>
      </c>
      <c r="G214" s="6" t="s">
        <v>18</v>
      </c>
      <c r="M214" t="s">
        <v>634</v>
      </c>
      <c r="N214" t="str">
        <f>"""" &amp; _xlfn.TEXTJOIN(""",""",TRUE,Table223[[#This Row],[Categoria1]:[Categoria7]]) &amp; """"</f>
        <v>"Cuaresma","Antiguo Testamento"</v>
      </c>
      <c r="O214" t="s">
        <v>923</v>
      </c>
      <c r="P214" t="str">
        <f>"""" &amp; _xlfn.TEXTJOIN(""",""",TRUE,Table223[[#This Row],[Categoria]:[Categoria7]]) &amp; """"</f>
        <v>"Precatecumenado","Cuaresma","Antiguo Testamento"</v>
      </c>
    </row>
    <row r="215" spans="1:16" x14ac:dyDescent="0.25">
      <c r="A215" s="1">
        <v>159</v>
      </c>
      <c r="B215" s="1">
        <v>212</v>
      </c>
      <c r="C215" t="s">
        <v>180</v>
      </c>
      <c r="D215" t="s">
        <v>472</v>
      </c>
      <c r="E215" t="s">
        <v>261</v>
      </c>
      <c r="F215" s="5" t="s">
        <v>17</v>
      </c>
      <c r="G215" s="6" t="s">
        <v>18</v>
      </c>
      <c r="M215" t="s">
        <v>635</v>
      </c>
      <c r="N215" t="str">
        <f>"""" &amp; _xlfn.TEXTJOIN(""",""",TRUE,Table223[[#This Row],[Categoria1]:[Categoria7]]) &amp; """"</f>
        <v>"Cuaresma","Antiguo Testamento"</v>
      </c>
      <c r="O215" t="s">
        <v>924</v>
      </c>
      <c r="P215" t="str">
        <f>"""" &amp; _xlfn.TEXTJOIN(""",""",TRUE,Table223[[#This Row],[Categoria]:[Categoria7]]) &amp; """"</f>
        <v>"Precatecumenado","Cuaresma","Antiguo Testamento"</v>
      </c>
    </row>
    <row r="216" spans="1:16" x14ac:dyDescent="0.25">
      <c r="A216" s="16">
        <v>236</v>
      </c>
      <c r="B216" s="1">
        <v>213</v>
      </c>
      <c r="C216" s="17" t="s">
        <v>247</v>
      </c>
      <c r="D216" s="17" t="s">
        <v>438</v>
      </c>
      <c r="E216" s="17" t="s">
        <v>262</v>
      </c>
      <c r="F216" s="7" t="s">
        <v>29</v>
      </c>
      <c r="G216" s="8" t="s">
        <v>30</v>
      </c>
      <c r="H216" s="5" t="s">
        <v>17</v>
      </c>
      <c r="I216" s="6" t="s">
        <v>18</v>
      </c>
      <c r="M216" t="s">
        <v>699</v>
      </c>
      <c r="N216" t="str">
        <f>"""" &amp; _xlfn.TEXTJOIN(""",""",TRUE,Table223[[#This Row],[Categoria1]:[Categoria7]]) &amp; """"</f>
        <v>"Adviento","Navidad","Cuaresma","Antiguo Testamento"</v>
      </c>
      <c r="O216" t="s">
        <v>925</v>
      </c>
      <c r="P216" t="str">
        <f>"""" &amp; _xlfn.TEXTJOIN(""",""",TRUE,Table223[[#This Row],[Categoria]:[Categoria7]]) &amp; """"</f>
        <v>"Catecumenado","Adviento","Navidad","Cuaresma","Antiguo Testamento"</v>
      </c>
    </row>
    <row r="217" spans="1:16" x14ac:dyDescent="0.25">
      <c r="A217" s="1">
        <v>160</v>
      </c>
      <c r="B217" s="1">
        <v>214</v>
      </c>
      <c r="C217" t="s">
        <v>181</v>
      </c>
      <c r="D217" t="s">
        <v>387</v>
      </c>
      <c r="E217" t="s">
        <v>261</v>
      </c>
      <c r="F217" s="9" t="s">
        <v>42</v>
      </c>
      <c r="G217" s="2" t="s">
        <v>12</v>
      </c>
      <c r="H217" s="3" t="s">
        <v>13</v>
      </c>
      <c r="I217" t="s">
        <v>64</v>
      </c>
      <c r="M217" t="s">
        <v>636</v>
      </c>
      <c r="N217" t="str">
        <f>"""" &amp; _xlfn.TEXTJOIN(""",""",TRUE,Table223[[#This Row],[Categoria1]:[Categoria7]]) &amp; """"</f>
        <v>"Vírgen María","Pascua","Pentecostés","Fracción Del Pan"</v>
      </c>
      <c r="O217" t="s">
        <v>794</v>
      </c>
      <c r="P217" t="str">
        <f>"""" &amp; _xlfn.TEXTJOIN(""",""",TRUE,Table223[[#This Row],[Categoria]:[Categoria7]]) &amp; """"</f>
        <v>"Precatecumenado","Vírgen María","Pascua","Pentecostés","Fracción Del Pan"</v>
      </c>
    </row>
    <row r="218" spans="1:16" x14ac:dyDescent="0.25">
      <c r="A218" s="1">
        <v>161</v>
      </c>
      <c r="B218" s="1">
        <v>215</v>
      </c>
      <c r="C218" t="s">
        <v>182</v>
      </c>
      <c r="D218" t="s">
        <v>473</v>
      </c>
      <c r="E218" t="s">
        <v>261</v>
      </c>
      <c r="F218" s="5" t="s">
        <v>17</v>
      </c>
      <c r="G218" t="s">
        <v>23</v>
      </c>
      <c r="H218" s="6" t="s">
        <v>18</v>
      </c>
      <c r="M218" t="s">
        <v>637</v>
      </c>
      <c r="N218" t="str">
        <f>"""" &amp; _xlfn.TEXTJOIN(""",""",TRUE,Table223[[#This Row],[Categoria1]:[Categoria7]]) &amp; """"</f>
        <v>"Cuaresma","Entrada","Antiguo Testamento"</v>
      </c>
      <c r="O218" t="s">
        <v>926</v>
      </c>
      <c r="P218" t="str">
        <f>"""" &amp; _xlfn.TEXTJOIN(""",""",TRUE,Table223[[#This Row],[Categoria]:[Categoria7]]) &amp; """"</f>
        <v>"Precatecumenado","Cuaresma","Entrada","Antiguo Testamento"</v>
      </c>
    </row>
    <row r="219" spans="1:16" x14ac:dyDescent="0.25">
      <c r="A219" s="1">
        <v>162</v>
      </c>
      <c r="B219" s="1">
        <v>216</v>
      </c>
      <c r="C219" t="s">
        <v>183</v>
      </c>
      <c r="D219" t="s">
        <v>388</v>
      </c>
      <c r="E219" t="s">
        <v>261</v>
      </c>
      <c r="F219" s="7" t="s">
        <v>29</v>
      </c>
      <c r="G219" s="8" t="s">
        <v>30</v>
      </c>
      <c r="H219" s="2" t="s">
        <v>12</v>
      </c>
      <c r="I219" s="3" t="s">
        <v>13</v>
      </c>
      <c r="J219" t="s">
        <v>48</v>
      </c>
      <c r="K219" s="6" t="s">
        <v>18</v>
      </c>
      <c r="M219" t="s">
        <v>638</v>
      </c>
      <c r="N219" t="str">
        <f>"""" &amp; _xlfn.TEXTJOIN(""",""",TRUE,Table223[[#This Row],[Categoria1]:[Categoria7]]) &amp; """"</f>
        <v>"Adviento","Navidad","Pascua","Pentecostés","Comunión","Antiguo Testamento"</v>
      </c>
      <c r="O219" t="s">
        <v>927</v>
      </c>
      <c r="P219" t="str">
        <f>"""" &amp; _xlfn.TEXTJOIN(""",""",TRUE,Table223[[#This Row],[Categoria]:[Categoria7]]) &amp; """"</f>
        <v>"Precatecumenado","Adviento","Navidad","Pascua","Pentecostés","Comunión","Antiguo Testamento"</v>
      </c>
    </row>
    <row r="220" spans="1:16" x14ac:dyDescent="0.25">
      <c r="A220" s="1">
        <v>163</v>
      </c>
      <c r="B220" s="1">
        <v>217</v>
      </c>
      <c r="C220" t="s">
        <v>184</v>
      </c>
      <c r="D220" t="s">
        <v>389</v>
      </c>
      <c r="E220" t="s">
        <v>261</v>
      </c>
      <c r="F220" s="9" t="s">
        <v>42</v>
      </c>
      <c r="G220" s="7" t="s">
        <v>29</v>
      </c>
      <c r="H220" s="8" t="s">
        <v>30</v>
      </c>
      <c r="I220" s="2" t="s">
        <v>12</v>
      </c>
      <c r="J220" s="3" t="s">
        <v>13</v>
      </c>
      <c r="K220" t="s">
        <v>46</v>
      </c>
      <c r="L220" s="4" t="s">
        <v>15</v>
      </c>
      <c r="M220" t="s">
        <v>639</v>
      </c>
      <c r="N220" t="str">
        <f>"""" &amp; _xlfn.TEXTJOIN(""",""",TRUE,Table223[[#This Row],[Categoria1]:[Categoria7]]) &amp; """"</f>
        <v>"Vírgen María","Adviento","Navidad","Pascua","Pentecostés","Final","Nuevo Testamento"</v>
      </c>
      <c r="O220" t="s">
        <v>928</v>
      </c>
      <c r="P220" t="str">
        <f>"""" &amp; _xlfn.TEXTJOIN(""",""",TRUE,Table223[[#This Row],[Categoria]:[Categoria7]]) &amp; """"</f>
        <v>"Precatecumenado","Vírgen María","Adviento","Navidad","Pascua","Pentecostés","Final","Nuevo Testamento"</v>
      </c>
    </row>
    <row r="221" spans="1:16" x14ac:dyDescent="0.25">
      <c r="A221" s="1">
        <v>164</v>
      </c>
      <c r="B221" s="1">
        <v>218</v>
      </c>
      <c r="C221" t="s">
        <v>185</v>
      </c>
      <c r="D221" t="s">
        <v>276</v>
      </c>
      <c r="E221" t="s">
        <v>261</v>
      </c>
      <c r="F221" s="7" t="s">
        <v>29</v>
      </c>
      <c r="G221" s="8" t="s">
        <v>30</v>
      </c>
      <c r="H221" t="s">
        <v>31</v>
      </c>
      <c r="M221" t="s">
        <v>640</v>
      </c>
      <c r="N221" t="str">
        <f>"""" &amp; _xlfn.TEXTJOIN(""",""",TRUE,Table223[[#This Row],[Categoria1]:[Categoria7]]) &amp; """"</f>
        <v>"Adviento","Navidad","Niños"</v>
      </c>
      <c r="O221" t="s">
        <v>929</v>
      </c>
      <c r="P221" t="str">
        <f>"""" &amp; _xlfn.TEXTJOIN(""",""",TRUE,Table223[[#This Row],[Categoria]:[Categoria7]]) &amp; """"</f>
        <v>"Precatecumenado","Adviento","Navidad","Niños"</v>
      </c>
    </row>
    <row r="222" spans="1:16" x14ac:dyDescent="0.25">
      <c r="A222" s="1">
        <v>165</v>
      </c>
      <c r="B222" s="1">
        <v>219</v>
      </c>
      <c r="C222" t="s">
        <v>186</v>
      </c>
      <c r="D222" t="s">
        <v>276</v>
      </c>
      <c r="E222" t="s">
        <v>261</v>
      </c>
      <c r="F222" s="7" t="s">
        <v>29</v>
      </c>
      <c r="G222" s="8" t="s">
        <v>30</v>
      </c>
      <c r="H222" t="s">
        <v>31</v>
      </c>
      <c r="M222" t="s">
        <v>641</v>
      </c>
      <c r="N222" t="str">
        <f>"""" &amp; _xlfn.TEXTJOIN(""",""",TRUE,Table223[[#This Row],[Categoria1]:[Categoria7]]) &amp; """"</f>
        <v>"Adviento","Navidad","Niños"</v>
      </c>
      <c r="O222" t="s">
        <v>930</v>
      </c>
      <c r="P222" t="str">
        <f>"""" &amp; _xlfn.TEXTJOIN(""",""",TRUE,Table223[[#This Row],[Categoria]:[Categoria7]]) &amp; """"</f>
        <v>"Precatecumenado","Adviento","Navidad","Niños"</v>
      </c>
    </row>
    <row r="223" spans="1:16" x14ac:dyDescent="0.25">
      <c r="A223" s="1">
        <v>166</v>
      </c>
      <c r="B223" s="1">
        <v>220</v>
      </c>
      <c r="C223" t="s">
        <v>187</v>
      </c>
      <c r="D223" t="s">
        <v>390</v>
      </c>
      <c r="E223" t="s">
        <v>261</v>
      </c>
      <c r="F223" s="2" t="s">
        <v>12</v>
      </c>
      <c r="G223" s="3" t="s">
        <v>13</v>
      </c>
      <c r="H223" t="s">
        <v>23</v>
      </c>
      <c r="I223" t="s">
        <v>48</v>
      </c>
      <c r="J223" s="6" t="s">
        <v>18</v>
      </c>
      <c r="M223" t="s">
        <v>642</v>
      </c>
      <c r="N223" t="str">
        <f>"""" &amp; _xlfn.TEXTJOIN(""",""",TRUE,Table223[[#This Row],[Categoria1]:[Categoria7]]) &amp; """"</f>
        <v>"Pascua","Pentecostés","Entrada","Comunión","Antiguo Testamento"</v>
      </c>
      <c r="O223" t="s">
        <v>931</v>
      </c>
      <c r="P223" t="str">
        <f>"""" &amp; _xlfn.TEXTJOIN(""",""",TRUE,Table223[[#This Row],[Categoria]:[Categoria7]]) &amp; """"</f>
        <v>"Precatecumenado","Pascua","Pentecostés","Entrada","Comunión","Antiguo Testamento"</v>
      </c>
    </row>
    <row r="224" spans="1:16" x14ac:dyDescent="0.25">
      <c r="A224" s="1">
        <v>167</v>
      </c>
      <c r="B224" s="1">
        <v>221</v>
      </c>
      <c r="C224" t="s">
        <v>188</v>
      </c>
      <c r="D224" t="s">
        <v>391</v>
      </c>
      <c r="E224" t="s">
        <v>261</v>
      </c>
      <c r="F224" s="2" t="s">
        <v>12</v>
      </c>
      <c r="G224" s="3" t="s">
        <v>13</v>
      </c>
      <c r="M224" t="s">
        <v>643</v>
      </c>
      <c r="N224" t="str">
        <f>"""" &amp; _xlfn.TEXTJOIN(""",""",TRUE,Table223[[#This Row],[Categoria1]:[Categoria7]]) &amp; """"</f>
        <v>"Pascua","Pentecostés"</v>
      </c>
      <c r="O224" t="s">
        <v>795</v>
      </c>
      <c r="P224" t="str">
        <f>"""" &amp; _xlfn.TEXTJOIN(""",""",TRUE,Table223[[#This Row],[Categoria]:[Categoria7]]) &amp; """"</f>
        <v>"Precatecumenado","Pascua","Pentecostés"</v>
      </c>
    </row>
    <row r="225" spans="1:16" x14ac:dyDescent="0.25">
      <c r="A225" s="1">
        <v>168</v>
      </c>
      <c r="B225" s="1">
        <v>222</v>
      </c>
      <c r="C225" t="s">
        <v>189</v>
      </c>
      <c r="D225" t="s">
        <v>392</v>
      </c>
      <c r="E225" t="s">
        <v>261</v>
      </c>
      <c r="F225" s="7" t="s">
        <v>29</v>
      </c>
      <c r="G225" s="8" t="s">
        <v>30</v>
      </c>
      <c r="H225" s="4" t="s">
        <v>15</v>
      </c>
      <c r="M225" t="s">
        <v>644</v>
      </c>
      <c r="N225" t="str">
        <f>"""" &amp; _xlfn.TEXTJOIN(""",""",TRUE,Table223[[#This Row],[Categoria1]:[Categoria7]]) &amp; """"</f>
        <v>"Adviento","Navidad","Nuevo Testamento"</v>
      </c>
      <c r="O225" t="s">
        <v>932</v>
      </c>
      <c r="P225" t="str">
        <f>"""" &amp; _xlfn.TEXTJOIN(""",""",TRUE,Table223[[#This Row],[Categoria]:[Categoria7]]) &amp; """"</f>
        <v>"Precatecumenado","Adviento","Navidad","Nuevo Testamento"</v>
      </c>
    </row>
    <row r="226" spans="1:16" x14ac:dyDescent="0.25">
      <c r="A226" s="1">
        <v>169</v>
      </c>
      <c r="B226" s="1">
        <v>223</v>
      </c>
      <c r="C226" t="s">
        <v>190</v>
      </c>
      <c r="D226" t="s">
        <v>386</v>
      </c>
      <c r="E226" t="s">
        <v>261</v>
      </c>
      <c r="F226" s="2" t="s">
        <v>12</v>
      </c>
      <c r="G226" s="3" t="s">
        <v>13</v>
      </c>
      <c r="M226" t="s">
        <v>645</v>
      </c>
      <c r="N226" t="str">
        <f>"""" &amp; _xlfn.TEXTJOIN(""",""",TRUE,Table223[[#This Row],[Categoria1]:[Categoria7]]) &amp; """"</f>
        <v>"Pascua","Pentecostés"</v>
      </c>
      <c r="O226" t="s">
        <v>796</v>
      </c>
      <c r="P226" t="str">
        <f>"""" &amp; _xlfn.TEXTJOIN(""",""",TRUE,Table223[[#This Row],[Categoria]:[Categoria7]]) &amp; """"</f>
        <v>"Precatecumenado","Pascua","Pentecostés"</v>
      </c>
    </row>
    <row r="227" spans="1:16" x14ac:dyDescent="0.25">
      <c r="A227" s="1">
        <v>170</v>
      </c>
      <c r="B227" s="1">
        <v>224</v>
      </c>
      <c r="C227" t="s">
        <v>191</v>
      </c>
      <c r="D227" t="s">
        <v>393</v>
      </c>
      <c r="E227" t="s">
        <v>261</v>
      </c>
      <c r="F227" s="7" t="s">
        <v>29</v>
      </c>
      <c r="G227" s="8" t="s">
        <v>30</v>
      </c>
      <c r="H227" s="4" t="s">
        <v>15</v>
      </c>
      <c r="I227" s="6" t="s">
        <v>18</v>
      </c>
      <c r="M227" t="s">
        <v>646</v>
      </c>
      <c r="N227" t="str">
        <f>"""" &amp; _xlfn.TEXTJOIN(""",""",TRUE,Table223[[#This Row],[Categoria1]:[Categoria7]]) &amp; """"</f>
        <v>"Adviento","Navidad","Nuevo Testamento","Antiguo Testamento"</v>
      </c>
      <c r="O227" t="s">
        <v>933</v>
      </c>
      <c r="P227" t="str">
        <f>"""" &amp; _xlfn.TEXTJOIN(""",""",TRUE,Table223[[#This Row],[Categoria]:[Categoria7]]) &amp; """"</f>
        <v>"Precatecumenado","Adviento","Navidad","Nuevo Testamento","Antiguo Testamento"</v>
      </c>
    </row>
    <row r="228" spans="1:16" x14ac:dyDescent="0.25">
      <c r="A228" s="1">
        <v>171</v>
      </c>
      <c r="B228" s="1">
        <v>225</v>
      </c>
      <c r="C228" t="s">
        <v>192</v>
      </c>
      <c r="D228" t="s">
        <v>394</v>
      </c>
      <c r="E228" t="s">
        <v>261</v>
      </c>
      <c r="F228" s="9" t="s">
        <v>42</v>
      </c>
      <c r="G228" s="7" t="s">
        <v>29</v>
      </c>
      <c r="H228" s="8" t="s">
        <v>30</v>
      </c>
      <c r="M228" t="s">
        <v>647</v>
      </c>
      <c r="N228" t="str">
        <f>"""" &amp; _xlfn.TEXTJOIN(""",""",TRUE,Table223[[#This Row],[Categoria1]:[Categoria7]]) &amp; """"</f>
        <v>"Vírgen María","Adviento","Navidad"</v>
      </c>
      <c r="O228" t="s">
        <v>934</v>
      </c>
      <c r="P228" t="str">
        <f>"""" &amp; _xlfn.TEXTJOIN(""",""",TRUE,Table223[[#This Row],[Categoria]:[Categoria7]]) &amp; """"</f>
        <v>"Precatecumenado","Vírgen María","Adviento","Navidad"</v>
      </c>
    </row>
    <row r="229" spans="1:16" x14ac:dyDescent="0.25">
      <c r="A229" s="1">
        <v>172</v>
      </c>
      <c r="B229" s="1">
        <v>226</v>
      </c>
      <c r="C229" t="s">
        <v>193</v>
      </c>
      <c r="D229" t="s">
        <v>395</v>
      </c>
      <c r="E229" t="s">
        <v>261</v>
      </c>
      <c r="F229" s="7" t="s">
        <v>29</v>
      </c>
      <c r="G229" s="8" t="s">
        <v>30</v>
      </c>
      <c r="H229" s="4" t="s">
        <v>15</v>
      </c>
      <c r="M229" t="s">
        <v>648</v>
      </c>
      <c r="N229" t="str">
        <f>"""" &amp; _xlfn.TEXTJOIN(""",""",TRUE,Table223[[#This Row],[Categoria1]:[Categoria7]]) &amp; """"</f>
        <v>"Adviento","Navidad","Nuevo Testamento"</v>
      </c>
      <c r="O229" t="s">
        <v>935</v>
      </c>
      <c r="P229" t="str">
        <f>"""" &amp; _xlfn.TEXTJOIN(""",""",TRUE,Table223[[#This Row],[Categoria]:[Categoria7]]) &amp; """"</f>
        <v>"Precatecumenado","Adviento","Navidad","Nuevo Testamento"</v>
      </c>
    </row>
    <row r="230" spans="1:16" x14ac:dyDescent="0.25">
      <c r="A230" s="1">
        <v>173</v>
      </c>
      <c r="B230" s="1">
        <v>227</v>
      </c>
      <c r="C230" t="s">
        <v>194</v>
      </c>
      <c r="D230" t="s">
        <v>396</v>
      </c>
      <c r="E230" t="s">
        <v>261</v>
      </c>
      <c r="F230" s="4" t="s">
        <v>15</v>
      </c>
      <c r="M230" t="s">
        <v>649</v>
      </c>
      <c r="N230" t="str">
        <f>"""" &amp; _xlfn.TEXTJOIN(""",""",TRUE,Table223[[#This Row],[Categoria1]:[Categoria7]]) &amp; """"</f>
        <v>"Nuevo Testamento"</v>
      </c>
      <c r="O230" t="s">
        <v>936</v>
      </c>
      <c r="P230" t="str">
        <f>"""" &amp; _xlfn.TEXTJOIN(""",""",TRUE,Table223[[#This Row],[Categoria]:[Categoria7]]) &amp; """"</f>
        <v>"Precatecumenado","Nuevo Testamento"</v>
      </c>
    </row>
    <row r="231" spans="1:16" x14ac:dyDescent="0.25">
      <c r="A231" s="1">
        <v>174</v>
      </c>
      <c r="B231" s="1">
        <v>228</v>
      </c>
      <c r="C231" t="s">
        <v>195</v>
      </c>
      <c r="D231" t="s">
        <v>276</v>
      </c>
      <c r="E231" t="s">
        <v>261</v>
      </c>
      <c r="F231" s="7" t="s">
        <v>29</v>
      </c>
      <c r="G231" s="8" t="s">
        <v>30</v>
      </c>
      <c r="H231" t="s">
        <v>31</v>
      </c>
      <c r="M231" t="s">
        <v>650</v>
      </c>
      <c r="N231" t="str">
        <f>"""" &amp; _xlfn.TEXTJOIN(""",""",TRUE,Table223[[#This Row],[Categoria1]:[Categoria7]]) &amp; """"</f>
        <v>"Adviento","Navidad","Niños"</v>
      </c>
      <c r="O231" t="s">
        <v>937</v>
      </c>
      <c r="P231" t="str">
        <f>"""" &amp; _xlfn.TEXTJOIN(""",""",TRUE,Table223[[#This Row],[Categoria]:[Categoria7]]) &amp; """"</f>
        <v>"Precatecumenado","Adviento","Navidad","Niños"</v>
      </c>
    </row>
    <row r="232" spans="1:16" x14ac:dyDescent="0.25">
      <c r="A232" s="1">
        <v>175</v>
      </c>
      <c r="B232" s="1">
        <v>229</v>
      </c>
      <c r="C232" t="s">
        <v>196</v>
      </c>
      <c r="D232" t="s">
        <v>397</v>
      </c>
      <c r="E232" t="s">
        <v>261</v>
      </c>
      <c r="F232" s="5" t="s">
        <v>17</v>
      </c>
      <c r="G232" s="6" t="s">
        <v>18</v>
      </c>
      <c r="M232" t="s">
        <v>651</v>
      </c>
      <c r="N232" t="str">
        <f>"""" &amp; _xlfn.TEXTJOIN(""",""",TRUE,Table223[[#This Row],[Categoria1]:[Categoria7]]) &amp; """"</f>
        <v>"Cuaresma","Antiguo Testamento"</v>
      </c>
      <c r="O232" t="s">
        <v>938</v>
      </c>
      <c r="P232" t="str">
        <f>"""" &amp; _xlfn.TEXTJOIN(""",""",TRUE,Table223[[#This Row],[Categoria]:[Categoria7]]) &amp; """"</f>
        <v>"Precatecumenado","Cuaresma","Antiguo Testamento"</v>
      </c>
    </row>
    <row r="233" spans="1:16" x14ac:dyDescent="0.25">
      <c r="A233" s="1">
        <v>176</v>
      </c>
      <c r="B233" s="1">
        <v>230</v>
      </c>
      <c r="C233" t="s">
        <v>197</v>
      </c>
      <c r="D233" t="s">
        <v>474</v>
      </c>
      <c r="E233" t="s">
        <v>261</v>
      </c>
      <c r="F233" t="s">
        <v>23</v>
      </c>
      <c r="G233" s="6" t="s">
        <v>18</v>
      </c>
      <c r="M233" t="s">
        <v>652</v>
      </c>
      <c r="N233" t="str">
        <f>"""" &amp; _xlfn.TEXTJOIN(""",""",TRUE,Table223[[#This Row],[Categoria1]:[Categoria7]]) &amp; """"</f>
        <v>"Entrada","Antiguo Testamento"</v>
      </c>
      <c r="O233" t="s">
        <v>797</v>
      </c>
      <c r="P233" t="str">
        <f>"""" &amp; _xlfn.TEXTJOIN(""",""",TRUE,Table223[[#This Row],[Categoria]:[Categoria7]]) &amp; """"</f>
        <v>"Precatecumenado","Entrada","Antiguo Testamento"</v>
      </c>
    </row>
    <row r="234" spans="1:16" x14ac:dyDescent="0.25">
      <c r="A234" s="1">
        <v>177</v>
      </c>
      <c r="B234" s="1">
        <v>231</v>
      </c>
      <c r="C234" t="s">
        <v>198</v>
      </c>
      <c r="D234" t="s">
        <v>398</v>
      </c>
      <c r="E234" t="s">
        <v>261</v>
      </c>
      <c r="F234" t="s">
        <v>23</v>
      </c>
      <c r="G234" t="s">
        <v>46</v>
      </c>
      <c r="H234" s="6" t="s">
        <v>18</v>
      </c>
      <c r="M234" t="s">
        <v>653</v>
      </c>
      <c r="N234" t="str">
        <f>"""" &amp; _xlfn.TEXTJOIN(""",""",TRUE,Table223[[#This Row],[Categoria1]:[Categoria7]]) &amp; """"</f>
        <v>"Entrada","Final","Antiguo Testamento"</v>
      </c>
      <c r="O234" t="s">
        <v>939</v>
      </c>
      <c r="P234" t="str">
        <f>"""" &amp; _xlfn.TEXTJOIN(""",""",TRUE,Table223[[#This Row],[Categoria]:[Categoria7]]) &amp; """"</f>
        <v>"Precatecumenado","Entrada","Final","Antiguo Testamento"</v>
      </c>
    </row>
    <row r="235" spans="1:16" x14ac:dyDescent="0.25">
      <c r="A235" s="1">
        <v>178</v>
      </c>
      <c r="B235" s="1">
        <v>232</v>
      </c>
      <c r="C235" t="s">
        <v>199</v>
      </c>
      <c r="D235" t="s">
        <v>399</v>
      </c>
      <c r="E235" t="s">
        <v>261</v>
      </c>
      <c r="F235" s="5" t="s">
        <v>17</v>
      </c>
      <c r="G235" t="s">
        <v>23</v>
      </c>
      <c r="H235" s="4" t="s">
        <v>15</v>
      </c>
      <c r="M235" t="s">
        <v>654</v>
      </c>
      <c r="N235" t="str">
        <f>"""" &amp; _xlfn.TEXTJOIN(""",""",TRUE,Table223[[#This Row],[Categoria1]:[Categoria7]]) &amp; """"</f>
        <v>"Cuaresma","Entrada","Nuevo Testamento"</v>
      </c>
      <c r="O235" t="s">
        <v>940</v>
      </c>
      <c r="P235" t="str">
        <f>"""" &amp; _xlfn.TEXTJOIN(""",""",TRUE,Table223[[#This Row],[Categoria]:[Categoria7]]) &amp; """"</f>
        <v>"Precatecumenado","Cuaresma","Entrada","Nuevo Testamento"</v>
      </c>
    </row>
    <row r="236" spans="1:16" x14ac:dyDescent="0.25">
      <c r="A236" s="46">
        <v>245</v>
      </c>
      <c r="B236" s="1">
        <v>233</v>
      </c>
      <c r="C236" s="21" t="s">
        <v>2024</v>
      </c>
      <c r="D236" s="21" t="s">
        <v>2025</v>
      </c>
      <c r="E236" t="s">
        <v>261</v>
      </c>
      <c r="M236" t="s">
        <v>2026</v>
      </c>
      <c r="O236" t="s">
        <v>2027</v>
      </c>
      <c r="P236" t="s">
        <v>261</v>
      </c>
    </row>
    <row r="237" spans="1:16" x14ac:dyDescent="0.25">
      <c r="A237" s="46">
        <v>246</v>
      </c>
      <c r="B237" s="1">
        <v>234</v>
      </c>
      <c r="C237" s="21" t="s">
        <v>2021</v>
      </c>
      <c r="D237" s="21" t="s">
        <v>12</v>
      </c>
      <c r="E237" s="11" t="s">
        <v>961</v>
      </c>
      <c r="M237" t="s">
        <v>2022</v>
      </c>
      <c r="N237" t="str">
        <f>"""" &amp; _xlfn.TEXTJOIN(""",""",TRUE,Table223[[#This Row],[Categoria1]:[Categoria7]]) &amp; """"</f>
        <v>""</v>
      </c>
      <c r="O237" t="s">
        <v>2023</v>
      </c>
      <c r="P237" t="str">
        <f>"""" &amp; _xlfn.TEXTJOIN(""",""",TRUE,Table223[[#This Row],[Categoria]:[Categoria7]]) &amp; """"</f>
        <v>"Liturgia"</v>
      </c>
    </row>
    <row r="238" spans="1:16" x14ac:dyDescent="0.25">
      <c r="A238" s="46">
        <v>247</v>
      </c>
      <c r="B238" s="1">
        <v>235</v>
      </c>
      <c r="C238" s="21" t="s">
        <v>2018</v>
      </c>
      <c r="D238" s="21" t="s">
        <v>2019</v>
      </c>
      <c r="E238" t="s">
        <v>261</v>
      </c>
      <c r="M238" t="s">
        <v>2020</v>
      </c>
      <c r="P238" t="s">
        <v>261</v>
      </c>
    </row>
    <row r="239" spans="1:16" x14ac:dyDescent="0.25">
      <c r="A239" s="46">
        <f>+A238+1</f>
        <v>248</v>
      </c>
      <c r="B239" s="1">
        <f>+B238+1</f>
        <v>236</v>
      </c>
      <c r="C239" s="21"/>
      <c r="D239" s="21"/>
      <c r="N239" t="str">
        <f>"""" &amp; _xlfn.TEXTJOIN(""",""",TRUE,Table223[[#This Row],[Categoria1]:[Categoria7]]) &amp; """"</f>
        <v>""</v>
      </c>
      <c r="P239" t="str">
        <f>"""" &amp; _xlfn.TEXTJOIN(""",""",TRUE,Table223[[#This Row],[Categoria]:[Categoria7]]) &amp; """"</f>
        <v>""</v>
      </c>
    </row>
    <row r="240" spans="1:16" x14ac:dyDescent="0.25">
      <c r="A240" s="46">
        <f t="shared" ref="A240:A242" si="1">+A239+1</f>
        <v>249</v>
      </c>
      <c r="B240" s="1">
        <f t="shared" ref="B240:B242" si="2">+B239+1</f>
        <v>237</v>
      </c>
      <c r="C240" s="21"/>
      <c r="D240" s="21"/>
      <c r="N240" t="str">
        <f>"""" &amp; _xlfn.TEXTJOIN(""",""",TRUE,Table223[[#This Row],[Categoria1]:[Categoria7]]) &amp; """"</f>
        <v>""</v>
      </c>
      <c r="P240" t="str">
        <f>"""" &amp; _xlfn.TEXTJOIN(""",""",TRUE,Table223[[#This Row],[Categoria]:[Categoria7]]) &amp; """"</f>
        <v>""</v>
      </c>
    </row>
    <row r="241" spans="1:16" x14ac:dyDescent="0.25">
      <c r="A241" s="46">
        <f t="shared" si="1"/>
        <v>250</v>
      </c>
      <c r="B241" s="1">
        <f t="shared" si="2"/>
        <v>238</v>
      </c>
      <c r="C241" s="21"/>
      <c r="D241" s="21"/>
      <c r="N241" t="str">
        <f>"""" &amp; _xlfn.TEXTJOIN(""",""",TRUE,Table223[[#This Row],[Categoria1]:[Categoria7]]) &amp; """"</f>
        <v>""</v>
      </c>
      <c r="P241" t="str">
        <f>"""" &amp; _xlfn.TEXTJOIN(""",""",TRUE,Table223[[#This Row],[Categoria]:[Categoria7]]) &amp; """"</f>
        <v>""</v>
      </c>
    </row>
    <row r="242" spans="1:16" x14ac:dyDescent="0.25">
      <c r="A242" s="46">
        <f t="shared" si="1"/>
        <v>251</v>
      </c>
      <c r="B242" s="1">
        <f t="shared" si="2"/>
        <v>239</v>
      </c>
      <c r="C242" s="21"/>
      <c r="D242" s="21"/>
      <c r="N242" t="str">
        <f>"""" &amp; _xlfn.TEXTJOIN(""",""",TRUE,Table223[[#This Row],[Categoria1]:[Categoria7]]) &amp; """"</f>
        <v>""</v>
      </c>
      <c r="P242" t="str">
        <f>"""" &amp; _xlfn.TEXTJOIN(""",""",TRUE,Table223[[#This Row],[Categoria]:[Categoria7]]) &amp; """"</f>
        <v>""</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DN240"/>
  <sheetViews>
    <sheetView tabSelected="1" zoomScale="175" zoomScaleNormal="175" workbookViewId="0">
      <pane xSplit="2" ySplit="2" topLeftCell="Q173" activePane="bottomRight" state="frozen"/>
      <selection pane="topRight" activeCell="C1" sqref="C1"/>
      <selection pane="bottomLeft" activeCell="A3" sqref="A3"/>
      <selection pane="bottomRight" activeCell="Z187" sqref="Z187:Z188"/>
    </sheetView>
  </sheetViews>
  <sheetFormatPr defaultRowHeight="15" x14ac:dyDescent="0.25"/>
  <cols>
    <col min="2" max="2" width="45" style="1" bestFit="1" customWidth="1"/>
    <col min="3" max="3" width="25.42578125" style="1" customWidth="1"/>
    <col min="4" max="4" width="6" bestFit="1" customWidth="1"/>
    <col min="5" max="5" width="7" bestFit="1" customWidth="1"/>
    <col min="6" max="6" width="6" bestFit="1" customWidth="1"/>
    <col min="7" max="7" width="6" customWidth="1"/>
    <col min="8" max="8" width="8.42578125" bestFit="1" customWidth="1"/>
    <col min="9" max="9" width="45" bestFit="1" customWidth="1"/>
    <col min="10" max="10" width="31.5703125" customWidth="1"/>
    <col min="11" max="11" width="11" bestFit="1" customWidth="1"/>
    <col min="12" max="12" width="18.7109375" bestFit="1" customWidth="1"/>
    <col min="13" max="13" width="11.85546875" bestFit="1" customWidth="1"/>
    <col min="14" max="14" width="19" customWidth="1"/>
    <col min="15" max="15" width="6.85546875" bestFit="1" customWidth="1"/>
    <col min="16" max="16" width="29.42578125" customWidth="1"/>
    <col min="17" max="17" width="10.28515625" bestFit="1" customWidth="1"/>
    <col min="18" max="18" width="65.7109375" bestFit="1" customWidth="1"/>
    <col min="19" max="19" width="29.7109375" bestFit="1" customWidth="1"/>
    <col min="20" max="20" width="10.42578125" bestFit="1" customWidth="1"/>
    <col min="21" max="21" width="12.85546875" bestFit="1" customWidth="1"/>
    <col min="22" max="22" width="12.85546875" customWidth="1"/>
    <col min="23" max="23" width="9.42578125" customWidth="1"/>
    <col min="24" max="24" width="19.140625" customWidth="1"/>
  </cols>
  <sheetData>
    <row r="1" spans="2:118" ht="32.25" customHeight="1" x14ac:dyDescent="0.25">
      <c r="B1" s="47"/>
      <c r="C1" s="47" t="s">
        <v>256</v>
      </c>
      <c r="F1" s="33"/>
      <c r="G1" s="33"/>
      <c r="H1" s="33"/>
    </row>
    <row r="2" spans="2:118" ht="16.5" x14ac:dyDescent="0.25">
      <c r="B2" s="1" t="s">
        <v>2102</v>
      </c>
      <c r="C2" s="1" t="s">
        <v>2001</v>
      </c>
      <c r="D2" s="1" t="s">
        <v>2002</v>
      </c>
      <c r="E2" t="s">
        <v>0</v>
      </c>
      <c r="F2" t="s">
        <v>2009</v>
      </c>
      <c r="G2" t="s">
        <v>258</v>
      </c>
      <c r="H2" t="s">
        <v>2014</v>
      </c>
      <c r="I2" t="s">
        <v>951</v>
      </c>
      <c r="J2" t="s">
        <v>950</v>
      </c>
      <c r="K2" t="s">
        <v>952</v>
      </c>
      <c r="L2" t="s">
        <v>949</v>
      </c>
      <c r="M2" t="s">
        <v>953</v>
      </c>
      <c r="N2" t="s">
        <v>948</v>
      </c>
      <c r="O2" t="s">
        <v>954</v>
      </c>
      <c r="P2" t="s">
        <v>947</v>
      </c>
      <c r="Q2" t="s">
        <v>955</v>
      </c>
      <c r="R2" t="s">
        <v>946</v>
      </c>
      <c r="S2" t="s">
        <v>956</v>
      </c>
      <c r="T2" t="s">
        <v>1995</v>
      </c>
      <c r="U2" t="s">
        <v>2000</v>
      </c>
      <c r="V2" t="s">
        <v>1239</v>
      </c>
      <c r="W2" t="s">
        <v>2003</v>
      </c>
      <c r="X2" t="s">
        <v>2010</v>
      </c>
      <c r="Y2" t="s">
        <v>2011</v>
      </c>
      <c r="Z2" s="23" t="s">
        <v>257</v>
      </c>
      <c r="DN2" t="s">
        <v>941</v>
      </c>
    </row>
    <row r="3" spans="2:118" x14ac:dyDescent="0.25">
      <c r="B3" s="50" t="s">
        <v>700</v>
      </c>
      <c r="C3" s="1" t="str">
        <f>IF(VLOOKUP(Table4[[#This Row],[Cantounido]],Table7[],3,FALSE)=0,"",VLOOKUP(Table4[[#This Row],[Cantounido]],Table7[],3,FALSE))</f>
        <v/>
      </c>
      <c r="D3" s="44" t="str">
        <f>IF(VLOOKUP(Table4[[#This Row],[Cantounido]],Table7[],4,FALSE)=0,"",VLOOKUP(Table4[[#This Row],[Cantounido]],Table7[],4,FALSE))</f>
        <v>La</v>
      </c>
      <c r="E3" s="24">
        <v>237</v>
      </c>
      <c r="F3" t="s">
        <v>2017</v>
      </c>
      <c r="G3" t="str">
        <f>_xlfn.CONCAT(VLOOKUP(E3,'Index Web'!A$4:L$253,2,FALSE),", ")</f>
        <v xml:space="preserve">1, </v>
      </c>
      <c r="H3" t="s">
        <v>2015</v>
      </c>
      <c r="I3" t="str">
        <f>_xlfn.CONCAT("""",VLOOKUP(E3,'Index Web'!A$4:O$253,13,FALSE),"""",", ")</f>
        <v xml:space="preserve">"alacenadelcordero", </v>
      </c>
      <c r="J3" t="s">
        <v>2016</v>
      </c>
      <c r="K3" t="str">
        <f>_xlfn.CONCAT("""",VLOOKUP(E3,'Index Web'!A$4:L$253,3,FALSE),"""")</f>
        <v>"A la cena del Cordero"</v>
      </c>
      <c r="L3" t="s">
        <v>942</v>
      </c>
      <c r="M3" t="str">
        <f>_xlfn.CONCAT("""",VLOOKUP(E3,'Index Web'!A$4:L$253,4,FALSE),"""")</f>
        <v>"Himno lat. «Ad cenam Agni providi»"</v>
      </c>
      <c r="N3" t="s">
        <v>943</v>
      </c>
      <c r="O3" t="str">
        <f>_xlfn.CONCAT("""",VLOOKUP(E3,'Index Web'!A$4:L$253,5,FALSE),"""")</f>
        <v>"Eleccion"</v>
      </c>
      <c r="P3" t="s">
        <v>944</v>
      </c>
      <c r="Q3" t="str">
        <f>_xlfn.CONCAT("[",VLOOKUP(E3,'Index Web'!A$4:N$253,14,FALSE),"]")</f>
        <v>["Pascua","Pentecostés","Entrada"]</v>
      </c>
      <c r="R3" t="s">
        <v>945</v>
      </c>
      <c r="S3" t="str">
        <f>_xlfn.CONCAT("""/src/index.html?canto=",VLOOKUP(E3,'Index Web'!A$4:N$253,13,FALSE),""", ")</f>
        <v xml:space="preserve">"/src/index.html?canto=alacenadelcordero", </v>
      </c>
      <c r="T3" t="s">
        <v>2028</v>
      </c>
      <c r="U3" t="str">
        <f>_xlfn.CONCAT("cejilla: """,C3,""", ")</f>
        <v xml:space="preserve">cejilla: "", </v>
      </c>
      <c r="V3" t="str">
        <f>_xlfn.CONCAT("acorde: """,D3,""", ")</f>
        <v xml:space="preserve">acorde: "La", </v>
      </c>
      <c r="W3" t="s">
        <v>2012</v>
      </c>
      <c r="X3" t="s">
        <v>2013</v>
      </c>
      <c r="Y3" t="str">
        <f>_xlfn.CONCAT("""",VLOOKUP(E3,'Index Web'!A$4:O$253,15,FALSE)," ",VLOOKUP(E3,'Index Web'!A$4:O$253,13,FALSE),"""","},")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Z3" t="str">
        <f>_xlfn.CONCAT(F3:Y3)</f>
        <v>{idi:1, id:"alacenadelcordero", title: "A la cena del Cordero", subtitle: "Himno lat. «Ad cenam Agni providi»", category: "Eleccion", moments: ["Pascua","Pentecostés","Entrada"], url: "/src/index.html?canto=alacenadelcordero", visible: "", cejilla: "", acorde: "La", scrollConfig: {"mobile": { "v": 25, "i": 1 },"tablet": { "v": 25, "i": 1 },"desktop": { "v": 7, "i": 1 },"desktopsmall": { "v": 7, "i": 1 }},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118" x14ac:dyDescent="0.25">
      <c r="B4" s="50" t="s">
        <v>483</v>
      </c>
      <c r="C4" s="1">
        <f>IF(VLOOKUP(Table4[[#This Row],[Cantounido]],Table7[],3,FALSE)=0,"",VLOOKUP(Table4[[#This Row],[Cantounido]],Table7[],3,FALSE))</f>
        <v>5</v>
      </c>
      <c r="D4" s="44" t="str">
        <f>IF(VLOOKUP(Table4[[#This Row],[Cantounido]],Table7[],4,FALSE)=0,"",VLOOKUP(Table4[[#This Row],[Cantounido]],Table7[],4,FALSE))</f>
        <v>La</v>
      </c>
      <c r="E4" s="25">
        <v>1</v>
      </c>
      <c r="F4" t="str">
        <f>F3</f>
        <v>{idi:</v>
      </c>
      <c r="G4" t="str">
        <f>_xlfn.CONCAT(VLOOKUP(E4,'Index Web'!A$4:L$253,2,FALSE),", ")</f>
        <v xml:space="preserve">2, </v>
      </c>
      <c r="H4" t="str">
        <f>H3</f>
        <v>id:</v>
      </c>
      <c r="I4" t="str">
        <f>_xlfn.CONCAT("""",VLOOKUP(E4,'Index Web'!A$4:O$253,13,FALSE),"""",", ")</f>
        <v xml:space="preserve">"alavictimapascual", </v>
      </c>
      <c r="J4" t="s">
        <v>2016</v>
      </c>
      <c r="K4" t="str">
        <f>_xlfn.CONCAT("""",VLOOKUP(E4,'Index Web'!A$4:L$253,3,FALSE),"""")</f>
        <v>"A la víctima pascual"</v>
      </c>
      <c r="L4" t="s">
        <v>942</v>
      </c>
      <c r="M4" t="str">
        <f>_xlfn.CONCAT("""",VLOOKUP(E4,'Index Web'!A$4:L$253,4,FALSE),"""")</f>
        <v>"Secuencia de Pascua - Himno lat. «Victimae paschall laudes» "</v>
      </c>
      <c r="N4" t="s">
        <v>943</v>
      </c>
      <c r="O4" t="str">
        <f>_xlfn.CONCAT("""",VLOOKUP(E4,'Index Web'!A$4:L$253,5,FALSE),"""")</f>
        <v>"Precatecumenado"</v>
      </c>
      <c r="P4" t="s">
        <v>944</v>
      </c>
      <c r="Q4" t="str">
        <f>_xlfn.CONCAT("[",VLOOKUP(E4,'Index Web'!A$4:N$253,14,FALSE),"]")</f>
        <v>["Pascua","Pentecostés","Comunión"]</v>
      </c>
      <c r="R4" t="s">
        <v>945</v>
      </c>
      <c r="S4" t="str">
        <f>_xlfn.CONCAT("""/src/index.html?canto=",VLOOKUP(E4,'Index Web'!A$4:N$253,13,FALSE),""", ")</f>
        <v xml:space="preserve">"/src/index.html?canto=alavictimapascual", </v>
      </c>
      <c r="T4" t="str">
        <f>T3</f>
        <v xml:space="preserve">visible: "", </v>
      </c>
      <c r="U4" t="str">
        <f>_xlfn.CONCAT("cejilla: """,C4,""", ")</f>
        <v xml:space="preserve">cejilla: "5", </v>
      </c>
      <c r="V4" t="str">
        <f>_xlfn.CONCAT("acorde: """,D4,""", ")</f>
        <v xml:space="preserve">acorde: "La", </v>
      </c>
      <c r="W4" t="s">
        <v>2012</v>
      </c>
      <c r="X4" t="s">
        <v>2013</v>
      </c>
      <c r="Y4" t="str">
        <f>_xlfn.CONCAT("""",VLOOKUP(E4,'Index Web'!A$4:O$253,15,FALSE)," ",VLOOKUP(E4,'Index Web'!A$4:O$253,13,FALSE),"""","},")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Z4" t="str">
        <f>_xlfn.CONCAT(F4:Y4)</f>
        <v>{idi:2, id:"alavictimapascual", title: "A la víctima pascual", subtitle: "Secuencia de Pascua - Himno lat. «Victimae paschall laudes» ", category: "Precatecumenado", moments: ["Pascua","Pentecostés","Comunión"], url: "/src/index.html?canto=alavictimapascual", visible: "", cejilla: "5", acorde: "La", scrollConfig: {"mobile": { "v": 25, "i": 1 },"tablet": { "v": 25, "i": 1 },"desktop": { "v": 7, "i": 1 },"desktopsmall": { "v": 7, "i": 1 }},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118" x14ac:dyDescent="0.25">
      <c r="B5" s="50" t="s">
        <v>484</v>
      </c>
      <c r="C5" s="1" t="str">
        <f>IF(VLOOKUP(Table4[[#This Row],[Cantounido]],Table7[],3,FALSE)=0,"",VLOOKUP(Table4[[#This Row],[Cantounido]],Table7[],3,FALSE))</f>
        <v/>
      </c>
      <c r="D5" s="44" t="str">
        <f>IF(VLOOKUP(Table4[[#This Row],[Cantounido]],Table7[],4,FALSE)=0,"",VLOOKUP(Table4[[#This Row],[Cantounido]],Table7[],4,FALSE))</f>
        <v>La</v>
      </c>
      <c r="E5" s="26">
        <v>2</v>
      </c>
      <c r="F5" t="str">
        <f>F4</f>
        <v>{idi:</v>
      </c>
      <c r="G5" t="str">
        <f>_xlfn.CONCAT(VLOOKUP(E5,'Index Web'!A$4:L$253,2,FALSE),", ")</f>
        <v xml:space="preserve">3, </v>
      </c>
      <c r="H5" t="str">
        <f>H4</f>
        <v>id:</v>
      </c>
      <c r="I5" t="str">
        <f>_xlfn.CONCAT("""",VLOOKUP(E5,'Index Web'!A$4:O$253,13,FALSE),"""",", ")</f>
        <v xml:space="preserve">"anadiedemosocasiondetropiezo", </v>
      </c>
      <c r="J5" t="s">
        <v>2016</v>
      </c>
      <c r="K5" t="str">
        <f>_xlfn.CONCAT("""",VLOOKUP(E5,'Index Web'!A$4:L$253,3,FALSE),"""")</f>
        <v>"A nadie demos ocasión de tropiezo"</v>
      </c>
      <c r="L5" t="s">
        <v>942</v>
      </c>
      <c r="M5" t="str">
        <f>_xlfn.CONCAT("""",VLOOKUP(E5,'Index Web'!A$4:L$253,4,FALSE),"""")</f>
        <v>"2ª Corintios 6,3ss"</v>
      </c>
      <c r="N5" t="s">
        <v>943</v>
      </c>
      <c r="O5" t="str">
        <f>_xlfn.CONCAT("""",VLOOKUP(E5,'Index Web'!A$4:L$253,5,FALSE),"""")</f>
        <v>"Precatecumenado"</v>
      </c>
      <c r="P5" t="s">
        <v>944</v>
      </c>
      <c r="Q5" t="str">
        <f>_xlfn.CONCAT("[",VLOOKUP(E5,'Index Web'!A$4:N$253,14,FALSE),"]")</f>
        <v>["Nuevo Testamento"]</v>
      </c>
      <c r="R5" t="s">
        <v>945</v>
      </c>
      <c r="S5" t="str">
        <f>_xlfn.CONCAT("""/src/index.html?canto=",VLOOKUP(E5,'Index Web'!A$4:N$253,13,FALSE),""", ")</f>
        <v xml:space="preserve">"/src/index.html?canto=anadiedemosocasiondetropiezo", </v>
      </c>
      <c r="T5" t="str">
        <f>T4</f>
        <v xml:space="preserve">visible: "", </v>
      </c>
      <c r="U5" t="str">
        <f>_xlfn.CONCAT("cejilla: """,C5,""", ")</f>
        <v xml:space="preserve">cejilla: "", </v>
      </c>
      <c r="V5" t="str">
        <f>_xlfn.CONCAT("acorde: """,D5,""", ")</f>
        <v xml:space="preserve">acorde: "La", </v>
      </c>
      <c r="W5" t="s">
        <v>2012</v>
      </c>
      <c r="X5" t="s">
        <v>2013</v>
      </c>
      <c r="Y5" t="str">
        <f>_xlfn.CONCAT("""",VLOOKUP(E5,'Index Web'!A$4:O$253,15,FALSE)," ",VLOOKUP(E5,'Index Web'!A$4:O$253,13,FALSE),"""","},")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Z5" t="str">
        <f>_xlfn.CONCAT(F5:Y5)</f>
        <v>{idi:3, id:"anadiedemosocasiondetropiezo", title: "A nadie demos ocasión de tropiezo", subtitle: "2ª Corintios 6,3ss", category: "Precatecumenado", moments: ["Nuevo Testamento"], url: "/src/index.html?canto=anadiedemosocasiondetropiezo", visible: "", cejilla: "", acorde: "La", scrollConfig: {"mobile": { "v": 25, "i": 1 },"tablet": { "v": 25, "i": 1 },"desktop": { "v": 7, "i": 1 },"desktopsmall": { "v": 7, "i": 1 }},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118" x14ac:dyDescent="0.25">
      <c r="B6" s="50" t="s">
        <v>485</v>
      </c>
      <c r="C6" s="1" t="str">
        <f>IF(VLOOKUP(Table4[[#This Row],[Cantounido]],Table7[],3,FALSE)=0,"",VLOOKUP(Table4[[#This Row],[Cantounido]],Table7[],3,FALSE))</f>
        <v/>
      </c>
      <c r="D6" s="44" t="str">
        <f>IF(VLOOKUP(Table4[[#This Row],[Cantounido]],Table7[],4,FALSE)=0,"",VLOOKUP(Table4[[#This Row],[Cantounido]],Table7[],4,FALSE))</f>
        <v>Re</v>
      </c>
      <c r="E6" s="25">
        <v>3</v>
      </c>
      <c r="F6" t="str">
        <f>F5</f>
        <v>{idi:</v>
      </c>
      <c r="G6" t="str">
        <f>_xlfn.CONCAT(VLOOKUP(E6,'Index Web'!A$4:L$253,2,FALSE),", ")</f>
        <v xml:space="preserve">4, </v>
      </c>
      <c r="H6" t="str">
        <f>H5</f>
        <v>id:</v>
      </c>
      <c r="I6" t="str">
        <f>_xlfn.CONCAT("""",VLOOKUP(E6,'Index Web'!A$4:O$253,13,FALSE),"""",", ")</f>
        <v xml:space="preserve">"atilevantomisojos", </v>
      </c>
      <c r="J6" t="s">
        <v>2016</v>
      </c>
      <c r="K6" t="str">
        <f>_xlfn.CONCAT("""",VLOOKUP(E6,'Index Web'!A$4:L$253,3,FALSE),"""")</f>
        <v>"A ti levanto mis ojos"</v>
      </c>
      <c r="L6" t="s">
        <v>942</v>
      </c>
      <c r="M6" t="str">
        <f>_xlfn.CONCAT("""",VLOOKUP(E6,'Index Web'!A$4:L$253,4,FALSE),"""")</f>
        <v>"Salmo 123 (122)"</v>
      </c>
      <c r="N6" t="s">
        <v>943</v>
      </c>
      <c r="O6" t="str">
        <f>_xlfn.CONCAT("""",VLOOKUP(E6,'Index Web'!A$4:L$253,5,FALSE),"""")</f>
        <v>"Precatecumenado"</v>
      </c>
      <c r="P6" t="s">
        <v>944</v>
      </c>
      <c r="Q6" t="str">
        <f>_xlfn.CONCAT("[",VLOOKUP(E6,'Index Web'!A$4:N$253,14,FALSE),"]")</f>
        <v>["Cuaresma","Antiguo Testamento"]</v>
      </c>
      <c r="R6" t="s">
        <v>945</v>
      </c>
      <c r="S6" t="str">
        <f>_xlfn.CONCAT("""/src/index.html?canto=",VLOOKUP(E6,'Index Web'!A$4:N$253,13,FALSE),""", ")</f>
        <v xml:space="preserve">"/src/index.html?canto=atilevantomisojos", </v>
      </c>
      <c r="T6" t="str">
        <f>T5</f>
        <v xml:space="preserve">visible: "", </v>
      </c>
      <c r="U6" t="str">
        <f>_xlfn.CONCAT("cejilla: """,C6,""", ")</f>
        <v xml:space="preserve">cejilla: "", </v>
      </c>
      <c r="V6" t="str">
        <f>_xlfn.CONCAT("acorde: """,D6,""", ")</f>
        <v xml:space="preserve">acorde: "Re", </v>
      </c>
      <c r="W6" t="s">
        <v>2012</v>
      </c>
      <c r="X6" t="s">
        <v>2013</v>
      </c>
      <c r="Y6" t="str">
        <f>_xlfn.CONCAT("""",VLOOKUP(E6,'Index Web'!A$4:O$253,15,FALSE)," ",VLOOKUP(E6,'Index Web'!A$4:O$253,13,FALSE),"""","},")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Z6" t="str">
        <f>_xlfn.CONCAT(F6:Y6)</f>
        <v>{idi:4, id:"atilevantomisojos", title: "A ti levanto mis ojos", subtitle: "Salmo 123 (122)", category: "Precatecumenado", moments: ["Cuaresma","Antiguo Testamento"], url: "/src/index.html?canto=atilevantomisojos", visible: "", cejilla: "", acorde: "Re", scrollConfig: {"mobile": { "v": 25, "i": 1 },"tablet": { "v": 25, "i": 1 },"desktop": { "v": 7, "i": 1 },"desktopsmall": { "v": 7, "i": 1 }},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118" x14ac:dyDescent="0.25">
      <c r="B7" s="50" t="s">
        <v>486</v>
      </c>
      <c r="C7" s="1">
        <f>IF(VLOOKUP(Table4[[#This Row],[Cantounido]],Table7[],3,FALSE)=0,"",VLOOKUP(Table4[[#This Row],[Cantounido]],Table7[],3,FALSE))</f>
        <v>2</v>
      </c>
      <c r="D7" s="44" t="str">
        <f>IF(VLOOKUP(Table4[[#This Row],[Cantounido]],Table7[],4,FALSE)=0,"",VLOOKUP(Table4[[#This Row],[Cantounido]],Table7[],4,FALSE))</f>
        <v>La</v>
      </c>
      <c r="E7" s="26">
        <v>4</v>
      </c>
      <c r="F7" t="str">
        <f>F6</f>
        <v>{idi:</v>
      </c>
      <c r="G7" t="str">
        <f>_xlfn.CONCAT(VLOOKUP(E7,'Index Web'!A$4:L$253,2,FALSE),", ")</f>
        <v xml:space="preserve">5, </v>
      </c>
      <c r="H7" t="str">
        <f>H6</f>
        <v>id:</v>
      </c>
      <c r="I7" t="str">
        <f>_xlfn.CONCAT("""",VLOOKUP(E7,'Index Web'!A$4:O$253,13,FALSE),"""",", ")</f>
        <v xml:space="preserve">"atisenorenmiclamorimploro", </v>
      </c>
      <c r="J7" t="s">
        <v>2016</v>
      </c>
      <c r="K7" t="str">
        <f>_xlfn.CONCAT("""",VLOOKUP(E7,'Index Web'!A$4:L$253,3,FALSE),"""")</f>
        <v>"A ti, Señor, en mi clamor imploro"</v>
      </c>
      <c r="L7" t="s">
        <v>942</v>
      </c>
      <c r="M7" t="str">
        <f>_xlfn.CONCAT("""",VLOOKUP(E7,'Index Web'!A$4:L$253,4,FALSE),"""")</f>
        <v>"Salmo 142 (141)"</v>
      </c>
      <c r="N7" t="s">
        <v>943</v>
      </c>
      <c r="O7" t="str">
        <f>_xlfn.CONCAT("""",VLOOKUP(E7,'Index Web'!A$4:L$253,5,FALSE),"""")</f>
        <v>"Precatecumenado"</v>
      </c>
      <c r="P7" t="s">
        <v>944</v>
      </c>
      <c r="Q7" t="str">
        <f>_xlfn.CONCAT("[",VLOOKUP(E7,'Index Web'!A$4:N$253,14,FALSE),"]")</f>
        <v>["Cuaresma","Antiguo Testamento"]</v>
      </c>
      <c r="R7" t="s">
        <v>945</v>
      </c>
      <c r="S7" t="str">
        <f>_xlfn.CONCAT("""/src/index.html?canto=",VLOOKUP(E7,'Index Web'!A$4:N$253,13,FALSE),""", ")</f>
        <v xml:space="preserve">"/src/index.html?canto=atisenorenmiclamorimploro", </v>
      </c>
      <c r="T7" t="str">
        <f>T6</f>
        <v xml:space="preserve">visible: "", </v>
      </c>
      <c r="U7" t="str">
        <f>_xlfn.CONCAT("cejilla: """,C7,""", ")</f>
        <v xml:space="preserve">cejilla: "2", </v>
      </c>
      <c r="V7" t="str">
        <f>_xlfn.CONCAT("acorde: """,D7,""", ")</f>
        <v xml:space="preserve">acorde: "La", </v>
      </c>
      <c r="W7" t="s">
        <v>2012</v>
      </c>
      <c r="X7" t="s">
        <v>2013</v>
      </c>
      <c r="Y7" t="str">
        <f>_xlfn.CONCAT("""",VLOOKUP(E7,'Index Web'!A$4:O$253,15,FALSE)," ",VLOOKUP(E7,'Index Web'!A$4:O$253,13,FALSE),"""","},")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Z7" t="str">
        <f>_xlfn.CONCAT(F7:Y7)</f>
        <v>{idi:5, id:"atisenorenmiclamorimploro", title: "A ti, Señor, en mi clamor imploro", subtitle: "Salmo 142 (141)", category: "Precatecumenado", moments: ["Cuaresma","Antiguo Testamento"], url: "/src/index.html?canto=atisenorenmiclamorimploro", visible: "", cejilla: "2", acorde: "La", scrollConfig: {"mobile": { "v": 25, "i": 1 },"tablet": { "v": 25, "i": 1 },"desktop": { "v": 7, "i": 1 },"desktopsmall": { "v": 7, "i": 1 }},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118" x14ac:dyDescent="0.25">
      <c r="B8" s="50" t="s">
        <v>487</v>
      </c>
      <c r="C8" s="1">
        <f>IF(VLOOKUP(Table4[[#This Row],[Cantounido]],Table7[],3,FALSE)=0,"",VLOOKUP(Table4[[#This Row],[Cantounido]],Table7[],3,FALSE))</f>
        <v>3</v>
      </c>
      <c r="D8" s="44" t="str">
        <f>IF(VLOOKUP(Table4[[#This Row],[Cantounido]],Table7[],4,FALSE)=0,"",VLOOKUP(Table4[[#This Row],[Cantounido]],Table7[],4,FALSE))</f>
        <v>La</v>
      </c>
      <c r="E8" s="25">
        <v>5</v>
      </c>
      <c r="F8" t="str">
        <f>F7</f>
        <v>{idi:</v>
      </c>
      <c r="G8" t="str">
        <f>_xlfn.CONCAT(VLOOKUP(E8,'Index Web'!A$4:L$253,2,FALSE),", ")</f>
        <v xml:space="preserve">6, </v>
      </c>
      <c r="H8" t="str">
        <f>H7</f>
        <v>id:</v>
      </c>
      <c r="I8" t="str">
        <f>_xlfn.CONCAT("""",VLOOKUP(E8,'Index Web'!A$4:O$253,13,FALSE),"""",", ")</f>
        <v xml:space="preserve">"atisenorlevantomialma", </v>
      </c>
      <c r="J8" t="s">
        <v>2016</v>
      </c>
      <c r="K8" t="str">
        <f>_xlfn.CONCAT("""",VLOOKUP(E8,'Index Web'!A$4:L$253,3,FALSE),"""")</f>
        <v>"A ti, Señor, levanto mi alma"</v>
      </c>
      <c r="L8" t="s">
        <v>942</v>
      </c>
      <c r="M8" t="str">
        <f>_xlfn.CONCAT("""",VLOOKUP(E8,'Index Web'!A$4:L$253,4,FALSE),"""")</f>
        <v>"Salmo 25 (24)"</v>
      </c>
      <c r="N8" t="s">
        <v>943</v>
      </c>
      <c r="O8" t="str">
        <f>_xlfn.CONCAT("""",VLOOKUP(E8,'Index Web'!A$4:L$253,5,FALSE),"""")</f>
        <v>"Precatecumenado"</v>
      </c>
      <c r="P8" t="s">
        <v>944</v>
      </c>
      <c r="Q8" t="str">
        <f>_xlfn.CONCAT("[",VLOOKUP(E8,'Index Web'!A$4:N$253,14,FALSE),"]")</f>
        <v>["Cuaresma","Antiguo Testamento"]</v>
      </c>
      <c r="R8" t="s">
        <v>945</v>
      </c>
      <c r="S8" t="str">
        <f>_xlfn.CONCAT("""/src/index.html?canto=",VLOOKUP(E8,'Index Web'!A$4:N$253,13,FALSE),""", ")</f>
        <v xml:space="preserve">"/src/index.html?canto=atisenorlevantomialma", </v>
      </c>
      <c r="T8" t="str">
        <f>T7</f>
        <v xml:space="preserve">visible: "", </v>
      </c>
      <c r="U8" t="str">
        <f>_xlfn.CONCAT("cejilla: """,C8,""", ")</f>
        <v xml:space="preserve">cejilla: "3", </v>
      </c>
      <c r="V8" t="str">
        <f>_xlfn.CONCAT("acorde: """,D8,""", ")</f>
        <v xml:space="preserve">acorde: "La", </v>
      </c>
      <c r="W8" t="s">
        <v>2012</v>
      </c>
      <c r="X8" t="s">
        <v>2013</v>
      </c>
      <c r="Y8" t="str">
        <f>_xlfn.CONCAT("""",VLOOKUP(E8,'Index Web'!A$4:O$253,15,FALSE)," ",VLOOKUP(E8,'Index Web'!A$4:O$253,13,FALSE),"""","},")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Z8" t="str">
        <f>_xlfn.CONCAT(F8:Y8)</f>
        <v>{idi:6, id:"atisenorlevantomialma", title: "A ti, Señor, levanto mi alma", subtitle: "Salmo 25 (24)", category: "Precatecumenado", moments: ["Cuaresma","Antiguo Testamento"], url: "/src/index.html?canto=atisenorlevantomialma", visible: "", cejilla: "3", acorde: "La", scrollConfig: {"mobile": { "v": 25, "i": 1 },"tablet": { "v": 25, "i": 1 },"desktop": { "v": 7, "i": 1 },"desktopsmall": { "v": 7, "i": 1 }},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118" x14ac:dyDescent="0.25">
      <c r="B9" s="50" t="s">
        <v>488</v>
      </c>
      <c r="C9" s="1">
        <f>IF(VLOOKUP(Table4[[#This Row],[Cantounido]],Table7[],3,FALSE)=0,"",VLOOKUP(Table4[[#This Row],[Cantounido]],Table7[],3,FALSE))</f>
        <v>3</v>
      </c>
      <c r="D9" s="44" t="str">
        <f>IF(VLOOKUP(Table4[[#This Row],[Cantounido]],Table7[],4,FALSE)=0,"",VLOOKUP(Table4[[#This Row],[Cantounido]],Table7[],4,FALSE))</f>
        <v>Re</v>
      </c>
      <c r="E9" s="26">
        <v>6</v>
      </c>
      <c r="F9" t="str">
        <f>F8</f>
        <v>{idi:</v>
      </c>
      <c r="G9" t="str">
        <f>_xlfn.CONCAT(VLOOKUP(E9,'Index Web'!A$4:L$253,2,FALSE),", ")</f>
        <v xml:space="preserve">7, </v>
      </c>
      <c r="H9" t="str">
        <f>H8</f>
        <v>id:</v>
      </c>
      <c r="I9" t="str">
        <f>_xlfn.CONCAT("""",VLOOKUP(E9,'Index Web'!A$4:O$253,13,FALSE),"""",", ")</f>
        <v xml:space="preserve">"atisenorsedebelaalabanzaension", </v>
      </c>
      <c r="J9" t="s">
        <v>2016</v>
      </c>
      <c r="K9" t="str">
        <f>_xlfn.CONCAT("""",VLOOKUP(E9,'Index Web'!A$4:L$253,3,FALSE),"""")</f>
        <v>"A ti, Señor, se debe la alabanza en Sión"</v>
      </c>
      <c r="L9" t="s">
        <v>942</v>
      </c>
      <c r="M9" t="str">
        <f>_xlfn.CONCAT("""",VLOOKUP(E9,'Index Web'!A$4:L$253,4,FALSE),"""")</f>
        <v>"Salmo 65 (64)"</v>
      </c>
      <c r="N9" t="s">
        <v>943</v>
      </c>
      <c r="O9" t="str">
        <f>_xlfn.CONCAT("""",VLOOKUP(E9,'Index Web'!A$4:L$253,5,FALSE),"""")</f>
        <v>"Precatecumenado"</v>
      </c>
      <c r="P9" t="s">
        <v>944</v>
      </c>
      <c r="Q9" t="str">
        <f>_xlfn.CONCAT("[",VLOOKUP(E9,'Index Web'!A$4:N$253,14,FALSE),"]")</f>
        <v>["Cuaresma","Antiguo Testamento"]</v>
      </c>
      <c r="R9" t="s">
        <v>945</v>
      </c>
      <c r="S9" t="str">
        <f>_xlfn.CONCAT("""/src/index.html?canto=",VLOOKUP(E9,'Index Web'!A$4:N$253,13,FALSE),""", ")</f>
        <v xml:space="preserve">"/src/index.html?canto=atisenorsedebelaalabanzaension", </v>
      </c>
      <c r="T9" t="str">
        <f>T8</f>
        <v xml:space="preserve">visible: "", </v>
      </c>
      <c r="U9" t="str">
        <f>_xlfn.CONCAT("cejilla: """,C9,""", ")</f>
        <v xml:space="preserve">cejilla: "3", </v>
      </c>
      <c r="V9" t="str">
        <f>_xlfn.CONCAT("acorde: """,D9,""", ")</f>
        <v xml:space="preserve">acorde: "Re", </v>
      </c>
      <c r="W9" t="s">
        <v>2012</v>
      </c>
      <c r="X9" t="s">
        <v>2013</v>
      </c>
      <c r="Y9" t="str">
        <f>_xlfn.CONCAT("""",VLOOKUP(E9,'Index Web'!A$4:O$253,15,FALSE)," ",VLOOKUP(E9,'Index Web'!A$4:O$253,13,FALSE),"""","},")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Z9" t="str">
        <f>_xlfn.CONCAT(F9:Y9)</f>
        <v>{idi:7, id:"atisenorsedebelaalabanzaension", title: "A ti, Señor, se debe la alabanza en Sión", subtitle: "Salmo 65 (64)", category: "Precatecumenado", moments: ["Cuaresma","Antiguo Testamento"], url: "/src/index.html?canto=atisenorsedebelaalabanzaension", visible: "", cejilla: "3", acorde: "Re", scrollConfig: {"mobile": { "v": 25, "i": 1 },"tablet": { "v": 25, "i": 1 },"desktop": { "v": 7, "i": 1 },"desktopsmall": { "v": 7, "i": 1 }},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118" x14ac:dyDescent="0.25">
      <c r="B10" s="50" t="s">
        <v>2007</v>
      </c>
      <c r="C10" s="1">
        <f>IF(VLOOKUP(Table4[[#This Row],[Cantounido]],Table7[],3,FALSE)=0,"",VLOOKUP(Table4[[#This Row],[Cantounido]],Table7[],3,FALSE))</f>
        <v>1</v>
      </c>
      <c r="D10" s="44" t="str">
        <f>IF(VLOOKUP(Table4[[#This Row],[Cantounido]],Table7[],4,FALSE)=0,"",VLOOKUP(Table4[[#This Row],[Cantounido]],Table7[],4,FALSE))</f>
        <v>Mi</v>
      </c>
      <c r="E10" s="26" t="s">
        <v>2004</v>
      </c>
      <c r="F10" t="str">
        <f>F9</f>
        <v>{idi:</v>
      </c>
      <c r="G10" t="str">
        <f>_xlfn.CONCAT(VLOOKUP(E10,'Index Web'!A$4:L$253,2,FALSE),", ")</f>
        <v xml:space="preserve">8, </v>
      </c>
      <c r="H10" t="str">
        <f>H9</f>
        <v>id:</v>
      </c>
      <c r="I10" t="str">
        <f>_xlfn.CONCAT("""",VLOOKUP(E10,'Index Web'!A$4:O$253,13,FALSE),"""",", ")</f>
        <v xml:space="preserve">"atuluzsenorvemoslaluz", </v>
      </c>
      <c r="J10" t="s">
        <v>2016</v>
      </c>
      <c r="K10" t="str">
        <f>_xlfn.CONCAT("""",VLOOKUP(E10,'Index Web'!A$4:L$253,3,FALSE),"""")</f>
        <v>"A tu luz, Señor, vemos la luz"</v>
      </c>
      <c r="L10" t="s">
        <v>942</v>
      </c>
      <c r="M10" t="str">
        <f>_xlfn.CONCAT("""",VLOOKUP(E10,'Index Web'!A$4:L$253,4,FALSE),"""")</f>
        <v>"Apocalipsis 19, 11-20"</v>
      </c>
      <c r="N10" t="s">
        <v>943</v>
      </c>
      <c r="O10" t="str">
        <f>_xlfn.CONCAT("""",VLOOKUP(E10,'Index Web'!A$4:L$253,5,FALSE),"""")</f>
        <v>"Precatecumenado"</v>
      </c>
      <c r="P10" t="s">
        <v>944</v>
      </c>
      <c r="Q10" t="str">
        <f>_xlfn.CONCAT("[",VLOOKUP(E10,'Index Web'!A$4:N$253,14,FALSE),"]")</f>
        <v>[""]</v>
      </c>
      <c r="R10" t="s">
        <v>945</v>
      </c>
      <c r="S10" t="str">
        <f>_xlfn.CONCAT("""/src/index.html?canto=",VLOOKUP(E10,'Index Web'!A$4:N$253,13,FALSE),""", ")</f>
        <v xml:space="preserve">"/src/index.html?canto=atuluzsenorvemoslaluz", </v>
      </c>
      <c r="T10" t="str">
        <f>T9</f>
        <v xml:space="preserve">visible: "", </v>
      </c>
      <c r="U10" t="str">
        <f>_xlfn.CONCAT("cejilla: """,C10,""", ")</f>
        <v xml:space="preserve">cejilla: "1", </v>
      </c>
      <c r="V10" t="str">
        <f>_xlfn.CONCAT("acorde: """,D10,""", ")</f>
        <v xml:space="preserve">acorde: "Mi", </v>
      </c>
      <c r="W10" t="s">
        <v>2012</v>
      </c>
      <c r="X10" t="s">
        <v>2013</v>
      </c>
      <c r="Y10" t="str">
        <f>_xlfn.CONCAT("""",VLOOKUP(E10,'Index Web'!A$4:O$253,15,FALSE)," ",VLOOKUP(E10,'Index Web'!A$4:O$253,13,FALSE),"""","},")</f>
        <v>"A tu luz, Señor, vemos la luz. A TU LUZ, SEÑOR, VEMOS LA LUZ. En el corazón del malvado vive el pecado, ante sus ojos no hay temor de Dios, porque se engaña a sí mismo en buscar su culpa y detestarla. Las palabras de su boca son maldad y traición, renuncia a ser sensato y a obrar bien. A TU LUZ, SEÑOR, VEMOS LA LUZ. A TU LUZ, SEÑOR, VEMOS LA LUZ. Acostado medita el crimen, se obstina en el mal camino, no rechaza aldad. Señor, tu gracia llega hasta el cielo, tu fidelidad hasta las nubes. A TU LUZ, SEÑOR, VEMOS LA LUZ. A TU LUZ, SEÑOR, VEMOS LA LUZ. Tu justicia como las altas montañas, tus sentencias como el océano inmenso. Socorres a hombres y animales, ¡Señor, Señor! A TU LUZ, SEÑOR, VEMOS LA LUZ. A TU LUZ, SEÑOR, VEMOS LA LUZ. ¡Qué preciosa es tu gracia, oh Dios! Los humanos se acogen a la sombra de tus alas; Se sacian de la abundancia de tu casa, les das a beber del torrente de tus delicias. A TU LUZ, SEÑOR, VEMOS LA LUZ. A TU LUZ, SEÑOR, VEMOS LA LUZ. En Ti está la fuente de la vida, Tu luz nos hace ver la luz. Concede tu gracia a los que te conocen, tu justicia a los rectos de corazón. A TU LUZ, SEÑOR, VEMOS LA LUZ. A TU LUZ, SEÑOR, VEMOS LA LUZ. Que no me pisotee el pie del soberbio, que no me eche fuera ano del malvado. Han fracasado los malhechores; derribados, no se pueden levantar. A TU LUZ, SEÑOR, VEMOS LA LUZ. A TU LUZ, SEÑOR, VEMOS LA LUZ. atuluzsenorvemoslaluz"},</v>
      </c>
      <c r="Z10" t="str">
        <f>_xlfn.CONCAT(F10:Y10)</f>
        <v>{idi:8, id:"atuluzsenorvemoslaluz", title: "A tu luz, Señor, vemos la luz", subtitle: "Apocalipsis 19, 11-20", category: "Precatecumenado", moments: [""], url: "/src/index.html?canto=atuluzsenorvemoslaluz", visible: "", cejilla: "1", acorde: "Mi", scrollConfig: {"mobile": { "v": 25, "i": 1 },"tablet": { "v": 25, "i": 1 },"desktop": { "v": 7, "i": 1 },"desktopsmall": { "v": 7, "i": 1 }}, content: "A tu luz, Señor, vemos la luz. A TU LUZ, SEÑOR, VEMOS LA LUZ. En el corazón del malvado vive el pecado, ante sus ojos no hay temor de Dios, porque se engaña a sí mismo en buscar su culpa y detestarla. Las palabras de su boca son maldad y traición, renuncia a ser sensato y a obrar bien. A TU LUZ, SEÑOR, VEMOS LA LUZ. A TU LUZ, SEÑOR, VEMOS LA LUZ. Acostado medita el crimen, se obstina en el mal camino, no rechaza aldad. Señor, tu gracia llega hasta el cielo, tu fidelidad hasta las nubes. A TU LUZ, SEÑOR, VEMOS LA LUZ. A TU LUZ, SEÑOR, VEMOS LA LUZ. Tu justicia como las altas montañas, tus sentencias como el océano inmenso. Socorres a hombres y animales, ¡Señor, Señor! A TU LUZ, SEÑOR, VEMOS LA LUZ. A TU LUZ, SEÑOR, VEMOS LA LUZ. ¡Qué preciosa es tu gracia, oh Dios! Los humanos se acogen a la sombra de tus alas; Se sacian de la abundancia de tu casa, les das a beber del torrente de tus delicias. A TU LUZ, SEÑOR, VEMOS LA LUZ. A TU LUZ, SEÑOR, VEMOS LA LUZ. En Ti está la fuente de la vida, Tu luz nos hace ver la luz. Concede tu gracia a los que te conocen, tu justicia a los rectos de corazón. A TU LUZ, SEÑOR, VEMOS LA LUZ. A TU LUZ, SEÑOR, VEMOS LA LUZ. Que no me pisotee el pie del soberbio, que no me eche fuera ano del malvado. Han fracasado los malhechores; derribados, no se pueden levantar. A TU LUZ, SEÑOR, VEMOS LA LUZ. A TU LUZ, SEÑOR, VEMOS LA LUZ. atuluzsenorvemoslaluz"},</v>
      </c>
    </row>
    <row r="11" spans="2:118" x14ac:dyDescent="0.25">
      <c r="B11" s="50" t="s">
        <v>489</v>
      </c>
      <c r="C11" s="1" t="str">
        <f>IF(VLOOKUP(Table4[[#This Row],[Cantounido]],Table7[],3,FALSE)=0,"",VLOOKUP(Table4[[#This Row],[Cantounido]],Table7[],3,FALSE))</f>
        <v/>
      </c>
      <c r="D11" s="44" t="str">
        <f>IF(VLOOKUP(Table4[[#This Row],[Cantounido]],Table7[],4,FALSE)=0,"",VLOOKUP(Table4[[#This Row],[Cantounido]],Table7[],4,FALSE))</f>
        <v>Do</v>
      </c>
      <c r="E11" s="25">
        <v>7</v>
      </c>
      <c r="F11" t="str">
        <f>F10</f>
        <v>{idi:</v>
      </c>
      <c r="G11" t="str">
        <f>_xlfn.CONCAT(VLOOKUP(E11,'Index Web'!A$4:L$253,2,FALSE),", ")</f>
        <v xml:space="preserve">9, </v>
      </c>
      <c r="H11" t="str">
        <f>H10</f>
        <v>id:</v>
      </c>
      <c r="I11" t="str">
        <f>_xlfn.CONCAT("""",VLOOKUP(E11,'Index Web'!A$4:O$253,13,FALSE),"""",", ")</f>
        <v xml:space="preserve">"abbapadre", </v>
      </c>
      <c r="J11" t="s">
        <v>2016</v>
      </c>
      <c r="K11" t="str">
        <f>_xlfn.CONCAT("""",VLOOKUP(E11,'Index Web'!A$4:L$253,3,FALSE),"""")</f>
        <v>"Abbá, Padre"</v>
      </c>
      <c r="L11" t="s">
        <v>942</v>
      </c>
      <c r="M11" t="str">
        <f>_xlfn.CONCAT("""",VLOOKUP(E11,'Index Web'!A$4:L$253,4,FALSE),"""")</f>
        <v>"Romanos 8,15–17"</v>
      </c>
      <c r="N11" t="s">
        <v>943</v>
      </c>
      <c r="O11" t="str">
        <f>_xlfn.CONCAT("""",VLOOKUP(E11,'Index Web'!A$4:L$253,5,FALSE),"""")</f>
        <v>"Precatecumenado"</v>
      </c>
      <c r="P11" t="s">
        <v>944</v>
      </c>
      <c r="Q11" t="str">
        <f>_xlfn.CONCAT("[",VLOOKUP(E11,'Index Web'!A$4:N$253,14,FALSE),"]")</f>
        <v>["Pascua","Pentecostés","Nuevo Testamento","Entrada"]</v>
      </c>
      <c r="R11" t="s">
        <v>945</v>
      </c>
      <c r="S11" t="str">
        <f>_xlfn.CONCAT("""/src/index.html?canto=",VLOOKUP(E11,'Index Web'!A$4:N$253,13,FALSE),""", ")</f>
        <v xml:space="preserve">"/src/index.html?canto=abbapadre", </v>
      </c>
      <c r="T11" t="str">
        <f>T10</f>
        <v xml:space="preserve">visible: "", </v>
      </c>
      <c r="U11" t="str">
        <f>_xlfn.CONCAT("cejilla: """,C11,""", ")</f>
        <v xml:space="preserve">cejilla: "", </v>
      </c>
      <c r="V11" t="str">
        <f>_xlfn.CONCAT("acorde: """,D11,""", ")</f>
        <v xml:space="preserve">acorde: "Do", </v>
      </c>
      <c r="W11" t="s">
        <v>2012</v>
      </c>
      <c r="X11" t="s">
        <v>2013</v>
      </c>
      <c r="Y11" t="str">
        <f>_xlfn.CONCAT("""",VLOOKUP(E11,'Index Web'!A$4:O$253,15,FALSE)," ",VLOOKUP(E11,'Index Web'!A$4:O$253,13,FALSE),"""","},")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Z11" t="str">
        <f>_xlfn.CONCAT(F11:Y11)</f>
        <v>{idi:9, id:"abbapadre", title: "Abbá, Padre", subtitle: "Romanos 8,15–17", category: "Precatecumenado", moments: ["Pascua","Pentecostés","Nuevo Testamento","Entrada"], url: "/src/index.html?canto=abbapadre", visible: "", cejilla: "", acorde: "Do", scrollConfig: {"mobile": { "v": 25, "i": 1 },"tablet": { "v": 25, "i": 1 },"desktop": { "v": 7, "i": 1 },"desktopsmall": { "v": 7, "i": 1 }},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2" spans="2:118" x14ac:dyDescent="0.25">
      <c r="B12" s="51" t="s">
        <v>490</v>
      </c>
      <c r="C12" s="1" t="str">
        <f>IF(VLOOKUP(Table4[[#This Row],[Cantounido]],Table7[],3,FALSE)=0,"",VLOOKUP(Table4[[#This Row],[Cantounido]],Table7[],3,FALSE))</f>
        <v/>
      </c>
      <c r="D12" s="44" t="str">
        <f>IF(VLOOKUP(Table4[[#This Row],[Cantounido]],Table7[],4,FALSE)=0,"",VLOOKUP(Table4[[#This Row],[Cantounido]],Table7[],4,FALSE))</f>
        <v>La</v>
      </c>
      <c r="E12" s="26">
        <v>8</v>
      </c>
      <c r="F12" t="str">
        <f>F11</f>
        <v>{idi:</v>
      </c>
      <c r="G12" t="str">
        <f>_xlfn.CONCAT(VLOOKUP(E12,'Index Web'!A$4:L$253,2,FALSE),", ")</f>
        <v xml:space="preserve">10, </v>
      </c>
      <c r="H12" t="str">
        <f>H11</f>
        <v>id:</v>
      </c>
      <c r="I12" t="str">
        <f>_xlfn.CONCAT("""",VLOOKUP(E12,'Index Web'!A$4:O$253,13,FALSE),"""",", ")</f>
        <v xml:space="preserve">"abraham", </v>
      </c>
      <c r="J12" t="s">
        <v>2016</v>
      </c>
      <c r="K12" t="str">
        <f>_xlfn.CONCAT("""",VLOOKUP(E12,'Index Web'!A$4:L$253,3,FALSE),"""")</f>
        <v>"Abraham"</v>
      </c>
      <c r="L12" t="s">
        <v>942</v>
      </c>
      <c r="M12" t="str">
        <f>_xlfn.CONCAT("""",VLOOKUP(E12,'Index Web'!A$4:L$253,4,FALSE),"""")</f>
        <v>"Génesis 18,1–5 – Teofanía de Mambré"</v>
      </c>
      <c r="N12" t="s">
        <v>943</v>
      </c>
      <c r="O12" t="str">
        <f>_xlfn.CONCAT("""",VLOOKUP(E12,'Index Web'!A$4:L$253,5,FALSE),"""")</f>
        <v>"Precatecumenado"</v>
      </c>
      <c r="P12" t="s">
        <v>944</v>
      </c>
      <c r="Q12" t="str">
        <f>_xlfn.CONCAT("[",VLOOKUP(E12,'Index Web'!A$4:N$253,14,FALSE),"]")</f>
        <v>["Entrada","Antiguo Testamento"]</v>
      </c>
      <c r="R12" t="s">
        <v>945</v>
      </c>
      <c r="S12" t="str">
        <f>_xlfn.CONCAT("""/src/index.html?canto=",VLOOKUP(E12,'Index Web'!A$4:N$253,13,FALSE),""", ")</f>
        <v xml:space="preserve">"/src/index.html?canto=abraham", </v>
      </c>
      <c r="T12" t="str">
        <f>T11</f>
        <v xml:space="preserve">visible: "", </v>
      </c>
      <c r="U12" t="str">
        <f>_xlfn.CONCAT("cejilla: """,C12,""", ")</f>
        <v xml:space="preserve">cejilla: "", </v>
      </c>
      <c r="V12" t="str">
        <f>_xlfn.CONCAT("acorde: """,D12,""", ")</f>
        <v xml:space="preserve">acorde: "La", </v>
      </c>
      <c r="W12" t="s">
        <v>2012</v>
      </c>
      <c r="X12" t="s">
        <v>2013</v>
      </c>
      <c r="Y12" t="str">
        <f>_xlfn.CONCAT("""",VLOOKUP(E12,'Index Web'!A$4:O$253,15,FALSE)," ",VLOOKUP(E12,'Index Web'!A$4:O$253,13,FALSE),"""","},")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Z12" t="str">
        <f>_xlfn.CONCAT(F12:Y12)</f>
        <v>{idi:10, id:"abraham", title: "Abraham", subtitle: "Génesis 18,1–5 – Teofanía de Mambré", category: "Precatecumenado", moments: ["Entrada","Antiguo Testamento"], url: "/src/index.html?canto=abraham", visible: "", cejilla: "", acorde: "La", scrollConfig: {"mobile": { "v": 25, "i": 1 },"tablet": { "v": 25, "i": 1 },"desktop": { "v": 7, "i": 1 },"desktopsmall": { "v": 7, "i": 1 }},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3" spans="2:118" x14ac:dyDescent="0.25">
      <c r="B13" s="52" t="s">
        <v>655</v>
      </c>
      <c r="C13" s="1" t="str">
        <f>IF(VLOOKUP(Table4[[#This Row],[Cantounido]],Table7[],3,FALSE)=0,"",VLOOKUP(Table4[[#This Row],[Cantounido]],Table7[],3,FALSE))</f>
        <v/>
      </c>
      <c r="D13" s="44" t="str">
        <f>IF(VLOOKUP(Table4[[#This Row],[Cantounido]],Table7[],4,FALSE)=0,"",VLOOKUP(Table4[[#This Row],[Cantounido]],Table7[],4,FALSE))</f>
        <v>Sol</v>
      </c>
      <c r="E13" s="27">
        <v>179</v>
      </c>
      <c r="F13" t="str">
        <f>F12</f>
        <v>{idi:</v>
      </c>
      <c r="G13" t="str">
        <f>_xlfn.CONCAT(VLOOKUP(E13,'Index Web'!A$4:L$253,2,FALSE),", ")</f>
        <v xml:space="preserve">11, </v>
      </c>
      <c r="H13" t="str">
        <f>H12</f>
        <v>id:</v>
      </c>
      <c r="I13" t="str">
        <f>_xlfn.CONCAT("""",VLOOKUP(E13,'Index Web'!A$4:O$253,13,FALSE),"""",", ")</f>
        <v xml:space="preserve">"aclamacionesalaoraciondelosfieles", </v>
      </c>
      <c r="J13" t="s">
        <v>2016</v>
      </c>
      <c r="K13" t="str">
        <f>_xlfn.CONCAT("""",VLOOKUP(E13,'Index Web'!A$4:L$253,3,FALSE),"""")</f>
        <v>"Aclamaciones a la oración de los fieles"</v>
      </c>
      <c r="L13" t="s">
        <v>942</v>
      </c>
      <c r="M13" t="str">
        <f>_xlfn.CONCAT("""",VLOOKUP(E13,'Index Web'!A$4:L$253,4,FALSE),"""")</f>
        <v>"Respuestas a las oraciones de los fieles, Modelo I, II, III, IV"</v>
      </c>
      <c r="N13" t="s">
        <v>943</v>
      </c>
      <c r="O13" t="str">
        <f>_xlfn.CONCAT("""",VLOOKUP(E13,'Index Web'!A$4:L$253,5,FALSE),"""")</f>
        <v>"Liturgia"</v>
      </c>
      <c r="P13" t="s">
        <v>944</v>
      </c>
      <c r="Q13" t="str">
        <f>_xlfn.CONCAT("[",VLOOKUP(E13,'Index Web'!A$4:N$253,14,FALSE),"]")</f>
        <v>[""]</v>
      </c>
      <c r="R13" t="s">
        <v>945</v>
      </c>
      <c r="S13" t="str">
        <f>_xlfn.CONCAT("""/src/index.html?canto=",VLOOKUP(E13,'Index Web'!A$4:N$253,13,FALSE),""", ")</f>
        <v xml:space="preserve">"/src/index.html?canto=aclamacionesalaoraciondelosfieles", </v>
      </c>
      <c r="T13" t="str">
        <f>T12</f>
        <v xml:space="preserve">visible: "", </v>
      </c>
      <c r="U13" t="str">
        <f>_xlfn.CONCAT("cejilla: """,C13,""", ")</f>
        <v xml:space="preserve">cejilla: "", </v>
      </c>
      <c r="V13" t="str">
        <f>_xlfn.CONCAT("acorde: """,D13,""", ")</f>
        <v xml:space="preserve">acorde: "Sol", </v>
      </c>
      <c r="W13" t="s">
        <v>2012</v>
      </c>
      <c r="X13" t="s">
        <v>2013</v>
      </c>
      <c r="Y13" t="str">
        <f>_xlfn.CONCAT("""",VLOOKUP(E13,'Index Web'!A$4:O$253,15,FALSE)," ",VLOOKUP(E13,'Index Web'!A$4:O$253,13,FALSE),"""","},")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Z13" t="str">
        <f>_xlfn.CONCAT(F13:Y13)</f>
        <v>{idi:11, id:"aclamacionesalaoraciondelosfieles", title: "Aclamaciones a la oración de los fieles", subtitle: "Respuestas a las oraciones de los fieles, Modelo I, II, III, IV", category: "Liturgia", moments: [""], url: "/src/index.html?canto=aclamacionesalaoraciondelosfieles", visible: "", cejilla: "", acorde: "Sol", scrollConfig: {"mobile": { "v": 25, "i": 1 },"tablet": { "v": 25, "i": 1 },"desktop": { "v": 7, "i": 1 },"desktopsmall": { "v": 7, "i": 1 }},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4" spans="2:118" x14ac:dyDescent="0.25">
      <c r="B14" s="51" t="s">
        <v>491</v>
      </c>
      <c r="C14" s="1" t="str">
        <f>IF(VLOOKUP(Table4[[#This Row],[Cantounido]],Table7[],3,FALSE)=0,"",VLOOKUP(Table4[[#This Row],[Cantounido]],Table7[],3,FALSE))</f>
        <v/>
      </c>
      <c r="D14" s="44" t="str">
        <f>IF(VLOOKUP(Table4[[#This Row],[Cantounido]],Table7[],4,FALSE)=0,"",VLOOKUP(Table4[[#This Row],[Cantounido]],Table7[],4,FALSE))</f>
        <v>Re</v>
      </c>
      <c r="E14" s="26">
        <v>9</v>
      </c>
      <c r="F14" t="str">
        <f>F13</f>
        <v>{idi:</v>
      </c>
      <c r="G14" t="str">
        <f>_xlfn.CONCAT(VLOOKUP(E14,'Index Web'!A$4:L$253,2,FALSE),", ")</f>
        <v xml:space="preserve">12, </v>
      </c>
      <c r="H14" t="str">
        <f>H13</f>
        <v>id:</v>
      </c>
      <c r="I14" t="str">
        <f>_xlfn.CONCAT("""",VLOOKUP(E14,'Index Web'!A$4:O$253,13,FALSE),"""",", ")</f>
        <v xml:space="preserve">"aclamadalsenor", </v>
      </c>
      <c r="J14" t="s">
        <v>2016</v>
      </c>
      <c r="K14" t="str">
        <f>_xlfn.CONCAT("""",VLOOKUP(E14,'Index Web'!A$4:L$253,3,FALSE),"""")</f>
        <v>"Aclamad al Señor"</v>
      </c>
      <c r="L14" t="s">
        <v>942</v>
      </c>
      <c r="M14" t="str">
        <f>_xlfn.CONCAT("""",VLOOKUP(E14,'Index Web'!A$4:L$253,4,FALSE),"""")</f>
        <v>"Salmo 100 (99)"</v>
      </c>
      <c r="N14" t="s">
        <v>943</v>
      </c>
      <c r="O14" t="str">
        <f>_xlfn.CONCAT("""",VLOOKUP(E14,'Index Web'!A$4:L$253,5,FALSE),"""")</f>
        <v>"Precatecumenado"</v>
      </c>
      <c r="P14" t="s">
        <v>944</v>
      </c>
      <c r="Q14" t="str">
        <f>_xlfn.CONCAT("[",VLOOKUP(E14,'Index Web'!A$4:N$253,14,FALSE),"]")</f>
        <v>["Entrada","Antiguo Testamento"]</v>
      </c>
      <c r="R14" t="s">
        <v>945</v>
      </c>
      <c r="S14" t="str">
        <f>_xlfn.CONCAT("""/src/index.html?canto=",VLOOKUP(E14,'Index Web'!A$4:N$253,13,FALSE),""", ")</f>
        <v xml:space="preserve">"/src/index.html?canto=aclamadalsenor", </v>
      </c>
      <c r="T14" t="str">
        <f>T13</f>
        <v xml:space="preserve">visible: "", </v>
      </c>
      <c r="U14" t="str">
        <f>_xlfn.CONCAT("cejilla: """,C14,""", ")</f>
        <v xml:space="preserve">cejilla: "", </v>
      </c>
      <c r="V14" t="str">
        <f>_xlfn.CONCAT("acorde: """,D14,""", ")</f>
        <v xml:space="preserve">acorde: "Re", </v>
      </c>
      <c r="W14" t="s">
        <v>2012</v>
      </c>
      <c r="X14" t="s">
        <v>2013</v>
      </c>
      <c r="Y14" t="str">
        <f>_xlfn.CONCAT("""",VLOOKUP(E14,'Index Web'!A$4:O$253,15,FALSE)," ",VLOOKUP(E14,'Index Web'!A$4:O$253,13,FALSE),"""","},")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Z14" t="str">
        <f>_xlfn.CONCAT(F14:Y14)</f>
        <v>{idi:12, id:"aclamadalsenor", title: "Aclamad al Señor", subtitle: "Salmo 100 (99)", category: "Precatecumenado", moments: ["Entrada","Antiguo Testamento"], url: "/src/index.html?canto=aclamadalsenor", visible: "", cejilla: "", acorde: "Re", scrollConfig: {"mobile": { "v": 25, "i": 1 },"tablet": { "v": 25, "i": 1 },"desktop": { "v": 7, "i": 1 },"desktopsmall": { "v": 7, "i": 1 }},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5" spans="2:118" x14ac:dyDescent="0.25">
      <c r="B15" s="53" t="s">
        <v>701</v>
      </c>
      <c r="C15" s="1" t="str">
        <f>IF(VLOOKUP(Table4[[#This Row],[Cantounido]],Table7[],3,FALSE)=0,"",VLOOKUP(Table4[[#This Row],[Cantounido]],Table7[],3,FALSE))</f>
        <v/>
      </c>
      <c r="D15" s="44" t="str">
        <f>IF(VLOOKUP(Table4[[#This Row],[Cantounido]],Table7[],4,FALSE)=0,"",VLOOKUP(Table4[[#This Row],[Cantounido]],Table7[],4,FALSE))</f>
        <v>Mi</v>
      </c>
      <c r="E15" s="28">
        <v>238</v>
      </c>
      <c r="F15" t="str">
        <f>F14</f>
        <v>{idi:</v>
      </c>
      <c r="G15" t="str">
        <f>_xlfn.CONCAT(VLOOKUP(E15,'Index Web'!A$4:L$253,2,FALSE),", ")</f>
        <v xml:space="preserve">13, </v>
      </c>
      <c r="H15" t="str">
        <f>H14</f>
        <v>id:</v>
      </c>
      <c r="I15" t="str">
        <f>_xlfn.CONCAT("""",VLOOKUP(E15,'Index Web'!A$4:O$253,13,FALSE),"""",", ")</f>
        <v xml:space="preserve">"adondeteescondisteamado", </v>
      </c>
      <c r="J15" t="s">
        <v>2016</v>
      </c>
      <c r="K15" t="str">
        <f>_xlfn.CONCAT("""",VLOOKUP(E15,'Index Web'!A$4:L$253,3,FALSE),"""")</f>
        <v>"Adónde te escondiste, amado "</v>
      </c>
      <c r="L15" t="s">
        <v>942</v>
      </c>
      <c r="M15" t="str">
        <f>_xlfn.CONCAT("""",VLOOKUP(E15,'Index Web'!A$4:L$253,4,FALSE),"""")</f>
        <v>"Cántico espiritual (San Juan de la Cruz) "</v>
      </c>
      <c r="N15" t="s">
        <v>943</v>
      </c>
      <c r="O15" t="str">
        <f>_xlfn.CONCAT("""",VLOOKUP(E15,'Index Web'!A$4:L$253,5,FALSE),"""")</f>
        <v>"Eleccion"</v>
      </c>
      <c r="P15" t="s">
        <v>944</v>
      </c>
      <c r="Q15" t="str">
        <f>_xlfn.CONCAT("[",VLOOKUP(E15,'Index Web'!A$4:N$253,14,FALSE),"]")</f>
        <v>[""]</v>
      </c>
      <c r="R15" t="s">
        <v>945</v>
      </c>
      <c r="S15" t="str">
        <f>_xlfn.CONCAT("""/src/index.html?canto=",VLOOKUP(E15,'Index Web'!A$4:N$253,13,FALSE),""", ")</f>
        <v xml:space="preserve">"/src/index.html?canto=adondeteescondisteamado", </v>
      </c>
      <c r="T15" t="str">
        <f>T14</f>
        <v xml:space="preserve">visible: "", </v>
      </c>
      <c r="U15" t="str">
        <f>_xlfn.CONCAT("cejilla: """,C15,""", ")</f>
        <v xml:space="preserve">cejilla: "", </v>
      </c>
      <c r="V15" t="str">
        <f>_xlfn.CONCAT("acorde: """,D15,""", ")</f>
        <v xml:space="preserve">acorde: "Mi", </v>
      </c>
      <c r="W15" t="s">
        <v>2012</v>
      </c>
      <c r="X15" t="s">
        <v>2013</v>
      </c>
      <c r="Y15" t="str">
        <f>_xlfn.CONCAT("""",VLOOKUP(E15,'Index Web'!A$4:O$253,15,FALSE)," ",VLOOKUP(E15,'Index Web'!A$4:O$253,13,FALSE),"""","},")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Z15" t="str">
        <f>_xlfn.CONCAT(F15:Y15)</f>
        <v>{idi:13, id:"adondeteescondisteamado", title: "Adónde te escondiste, amado ", subtitle: "Cántico espiritual (San Juan de la Cruz) ", category: "Eleccion", moments: [""], url: "/src/index.html?canto=adondeteescondisteamado", visible: "", cejilla: "", acorde: "Mi", scrollConfig: {"mobile": { "v": 25, "i": 1 },"tablet": { "v": 25, "i": 1 },"desktop": { "v": 7, "i": 1 },"desktopsmall": { "v": 7, "i": 1 }},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6" spans="2:118" x14ac:dyDescent="0.25">
      <c r="B16" s="51" t="s">
        <v>492</v>
      </c>
      <c r="C16" s="1" t="str">
        <f>IF(VLOOKUP(Table4[[#This Row],[Cantounido]],Table7[],3,FALSE)=0,"",VLOOKUP(Table4[[#This Row],[Cantounido]],Table7[],3,FALSE))</f>
        <v/>
      </c>
      <c r="D16" s="44" t="str">
        <f>IF(VLOOKUP(Table4[[#This Row],[Cantounido]],Table7[],4,FALSE)=0,"",VLOOKUP(Table4[[#This Row],[Cantounido]],Table7[],4,FALSE))</f>
        <v>Si</v>
      </c>
      <c r="E16" s="26">
        <v>10</v>
      </c>
      <c r="F16" t="str">
        <f>F15</f>
        <v>{idi:</v>
      </c>
      <c r="G16" t="str">
        <f>_xlfn.CONCAT(VLOOKUP(E16,'Index Web'!A$4:L$253,2,FALSE),", ")</f>
        <v xml:space="preserve">14, </v>
      </c>
      <c r="H16" t="str">
        <f>H15</f>
        <v>id:</v>
      </c>
      <c r="I16" t="str">
        <f>_xlfn.CONCAT("""",VLOOKUP(E16,'Index Web'!A$4:O$253,13,FALSE),"""",", ")</f>
        <v xml:space="preserve">"aldespertar", </v>
      </c>
      <c r="J16" t="s">
        <v>2016</v>
      </c>
      <c r="K16" t="str">
        <f>_xlfn.CONCAT("""",VLOOKUP(E16,'Index Web'!A$4:L$253,3,FALSE),"""")</f>
        <v>"Al despertar"</v>
      </c>
      <c r="L16" t="s">
        <v>942</v>
      </c>
      <c r="M16" t="str">
        <f>_xlfn.CONCAT("""",VLOOKUP(E16,'Index Web'!A$4:L$253,4,FALSE),"""")</f>
        <v>"Salmo 17 (16) "</v>
      </c>
      <c r="N16" t="s">
        <v>943</v>
      </c>
      <c r="O16" t="str">
        <f>_xlfn.CONCAT("""",VLOOKUP(E16,'Index Web'!A$4:L$253,5,FALSE),"""")</f>
        <v>"Precatecumenado"</v>
      </c>
      <c r="P16" t="s">
        <v>944</v>
      </c>
      <c r="Q16" t="str">
        <f>_xlfn.CONCAT("[",VLOOKUP(E16,'Index Web'!A$4:N$253,14,FALSE),"]")</f>
        <v>["Cuaresma","Antiguo Testamento"]</v>
      </c>
      <c r="R16" t="s">
        <v>945</v>
      </c>
      <c r="S16" t="str">
        <f>_xlfn.CONCAT("""/src/index.html?canto=",VLOOKUP(E16,'Index Web'!A$4:N$253,13,FALSE),""", ")</f>
        <v xml:space="preserve">"/src/index.html?canto=aldespertar", </v>
      </c>
      <c r="T16" t="str">
        <f>T15</f>
        <v xml:space="preserve">visible: "", </v>
      </c>
      <c r="U16" t="str">
        <f>_xlfn.CONCAT("cejilla: """,C16,""", ")</f>
        <v xml:space="preserve">cejilla: "", </v>
      </c>
      <c r="V16" t="str">
        <f>_xlfn.CONCAT("acorde: """,D16,""", ")</f>
        <v xml:space="preserve">acorde: "Si", </v>
      </c>
      <c r="W16" t="s">
        <v>2012</v>
      </c>
      <c r="X16" t="s">
        <v>2013</v>
      </c>
      <c r="Y16" t="str">
        <f>_xlfn.CONCAT("""",VLOOKUP(E16,'Index Web'!A$4:O$253,15,FALSE)," ",VLOOKUP(E16,'Index Web'!A$4:O$253,13,FALSE),"""","},")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Z16" t="str">
        <f>_xlfn.CONCAT(F16:Y16)</f>
        <v>{idi:14, id:"aldespertar", title: "Al despertar", subtitle: "Salmo 17 (16) ", category: "Precatecumenado", moments: ["Cuaresma","Antiguo Testamento"], url: "/src/index.html?canto=aldespertar", visible: "", cejilla: "", acorde: "Si", scrollConfig: {"mobile": { "v": 25, "i": 1 },"tablet": { "v": 25, "i": 1 },"desktop": { "v": 7, "i": 1 },"desktopsmall": { "v": 7, "i": 1 }},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7" spans="2:26" x14ac:dyDescent="0.25">
      <c r="B17" s="50" t="s">
        <v>493</v>
      </c>
      <c r="C17" s="1" t="str">
        <f>IF(VLOOKUP(Table4[[#This Row],[Cantounido]],Table7[],3,FALSE)=0,"",VLOOKUP(Table4[[#This Row],[Cantounido]],Table7[],3,FALSE))</f>
        <v/>
      </c>
      <c r="D17" s="44" t="str">
        <f>IF(VLOOKUP(Table4[[#This Row],[Cantounido]],Table7[],4,FALSE)=0,"",VLOOKUP(Table4[[#This Row],[Cantounido]],Table7[],4,FALSE))</f>
        <v>La</v>
      </c>
      <c r="E17" s="25">
        <v>11</v>
      </c>
      <c r="F17" t="str">
        <f>F16</f>
        <v>{idi:</v>
      </c>
      <c r="G17" t="str">
        <f>_xlfn.CONCAT(VLOOKUP(E17,'Index Web'!A$4:L$253,2,FALSE),", ")</f>
        <v xml:space="preserve">15, </v>
      </c>
      <c r="H17" t="str">
        <f>H16</f>
        <v>id:</v>
      </c>
      <c r="I17" t="str">
        <f>_xlfn.CONCAT("""",VLOOKUP(E17,'Index Web'!A$4:O$253,13,FALSE),"""",", ")</f>
        <v xml:space="preserve">"alabadalsenorenelcielo", </v>
      </c>
      <c r="J17" t="s">
        <v>2016</v>
      </c>
      <c r="K17" t="str">
        <f>_xlfn.CONCAT("""",VLOOKUP(E17,'Index Web'!A$4:L$253,3,FALSE),"""")</f>
        <v>"Alabad al Señor en el cielo "</v>
      </c>
      <c r="L17" t="s">
        <v>942</v>
      </c>
      <c r="M17" t="str">
        <f>_xlfn.CONCAT("""",VLOOKUP(E17,'Index Web'!A$4:L$253,4,FALSE),"""")</f>
        <v>"Salmo 148 "</v>
      </c>
      <c r="N17" t="s">
        <v>943</v>
      </c>
      <c r="O17" t="str">
        <f>_xlfn.CONCAT("""",VLOOKUP(E17,'Index Web'!A$4:L$253,5,FALSE),"""")</f>
        <v>"Precatecumenado"</v>
      </c>
      <c r="P17" t="s">
        <v>944</v>
      </c>
      <c r="Q17" t="str">
        <f>_xlfn.CONCAT("[",VLOOKUP(E17,'Index Web'!A$4:N$253,14,FALSE),"]")</f>
        <v>["Antiguo Testamento"]</v>
      </c>
      <c r="R17" t="s">
        <v>945</v>
      </c>
      <c r="S17" t="str">
        <f>_xlfn.CONCAT("""/src/index.html?canto=",VLOOKUP(E17,'Index Web'!A$4:N$253,13,FALSE),""", ")</f>
        <v xml:space="preserve">"/src/index.html?canto=alabadalsenorenelcielo", </v>
      </c>
      <c r="T17" t="str">
        <f>T16</f>
        <v xml:space="preserve">visible: "", </v>
      </c>
      <c r="U17" t="str">
        <f>_xlfn.CONCAT("cejilla: """,C17,""", ")</f>
        <v xml:space="preserve">cejilla: "", </v>
      </c>
      <c r="V17" t="str">
        <f>_xlfn.CONCAT("acorde: """,D17,""", ")</f>
        <v xml:space="preserve">acorde: "La", </v>
      </c>
      <c r="W17" t="s">
        <v>2012</v>
      </c>
      <c r="X17" t="s">
        <v>2013</v>
      </c>
      <c r="Y17" t="str">
        <f>_xlfn.CONCAT("""",VLOOKUP(E17,'Index Web'!A$4:O$253,15,FALSE)," ",VLOOKUP(E17,'Index Web'!A$4:O$253,13,FALSE),"""","},")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Z17" t="str">
        <f>_xlfn.CONCAT(F17:Y17)</f>
        <v>{idi:15, id:"alabadalsenorenelcielo", title: "Alabad al Señor en el cielo ", subtitle: "Salmo 148 ", category: "Precatecumenado", moments: ["Antiguo Testamento"], url: "/src/index.html?canto=alabadalsenorenelcielo", visible: "", cejilla: "", acorde: "La", scrollConfig: {"mobile": { "v": 25, "i": 1 },"tablet": { "v": 25, "i": 1 },"desktop": { "v": 7, "i": 1 },"desktopsmall": { "v": 7, "i": 1 }},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8" spans="2:26" x14ac:dyDescent="0.25">
      <c r="B18" s="51" t="s">
        <v>494</v>
      </c>
      <c r="C18" s="1" t="str">
        <f>IF(VLOOKUP(Table4[[#This Row],[Cantounido]],Table7[],3,FALSE)=0,"",VLOOKUP(Table4[[#This Row],[Cantounido]],Table7[],3,FALSE))</f>
        <v/>
      </c>
      <c r="D18" s="44" t="str">
        <f>IF(VLOOKUP(Table4[[#This Row],[Cantounido]],Table7[],4,FALSE)=0,"",VLOOKUP(Table4[[#This Row],[Cantounido]],Table7[],4,FALSE))</f>
        <v>Re</v>
      </c>
      <c r="E18" s="26">
        <v>12</v>
      </c>
      <c r="F18" t="str">
        <f>F17</f>
        <v>{idi:</v>
      </c>
      <c r="G18" t="str">
        <f>_xlfn.CONCAT(VLOOKUP(E18,'Index Web'!A$4:L$253,2,FALSE),", ")</f>
        <v xml:space="preserve">16, </v>
      </c>
      <c r="H18" t="str">
        <f>H17</f>
        <v>id:</v>
      </c>
      <c r="I18" t="str">
        <f>_xlfn.CONCAT("""",VLOOKUP(E18,'Index Web'!A$4:O$253,13,FALSE),"""",", ")</f>
        <v xml:space="preserve">"alegriahanacidoelsalvador", </v>
      </c>
      <c r="J18" t="s">
        <v>2016</v>
      </c>
      <c r="K18" t="str">
        <f>_xlfn.CONCAT("""",VLOOKUP(E18,'Index Web'!A$4:L$253,3,FALSE),"""")</f>
        <v>"Alegría, ha nacido el Salvador"</v>
      </c>
      <c r="L18" t="s">
        <v>942</v>
      </c>
      <c r="M18" t="str">
        <f>_xlfn.CONCAT("""",VLOOKUP(E18,'Index Web'!A$4:L$253,4,FALSE),"""")</f>
        <v>"Villancico (Kiko Argüello)"</v>
      </c>
      <c r="N18" t="s">
        <v>943</v>
      </c>
      <c r="O18" t="str">
        <f>_xlfn.CONCAT("""",VLOOKUP(E18,'Index Web'!A$4:L$253,5,FALSE),"""")</f>
        <v>"Precatecumenado"</v>
      </c>
      <c r="P18" t="s">
        <v>944</v>
      </c>
      <c r="Q18" t="str">
        <f>_xlfn.CONCAT("[",VLOOKUP(E18,'Index Web'!A$4:N$253,14,FALSE),"]")</f>
        <v>["Adviento","Navidad","Niños"]</v>
      </c>
      <c r="R18" t="s">
        <v>945</v>
      </c>
      <c r="S18" t="str">
        <f>_xlfn.CONCAT("""/src/index.html?canto=",VLOOKUP(E18,'Index Web'!A$4:N$253,13,FALSE),""", ")</f>
        <v xml:space="preserve">"/src/index.html?canto=alegriahanacidoelsalvador", </v>
      </c>
      <c r="T18" t="str">
        <f>T17</f>
        <v xml:space="preserve">visible: "", </v>
      </c>
      <c r="U18" t="str">
        <f>_xlfn.CONCAT("cejilla: """,C18,""", ")</f>
        <v xml:space="preserve">cejilla: "", </v>
      </c>
      <c r="V18" t="str">
        <f>_xlfn.CONCAT("acorde: """,D18,""", ")</f>
        <v xml:space="preserve">acorde: "Re", </v>
      </c>
      <c r="W18" t="s">
        <v>2012</v>
      </c>
      <c r="X18" t="s">
        <v>2013</v>
      </c>
      <c r="Y18" t="str">
        <f>_xlfn.CONCAT("""",VLOOKUP(E18,'Index Web'!A$4:O$253,15,FALSE)," ",VLOOKUP(E18,'Index Web'!A$4:O$253,13,FALSE),"""","},")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Z18" t="str">
        <f>_xlfn.CONCAT(F18:Y18)</f>
        <v>{idi:16, id:"alegriahanacidoelsalvador", title: "Alegría, ha nacido el Salvador", subtitle: "Villancico (Kiko Argüello)", category: "Precatecumenado", moments: ["Adviento","Navidad","Niños"], url: "/src/index.html?canto=alegriahanacidoelsalvador", visible: "", cejilla: "", acorde: "Re", scrollConfig: {"mobile": { "v": 25, "i": 1 },"tablet": { "v": 25, "i": 1 },"desktop": { "v": 7, "i": 1 },"desktopsmall": { "v": 7, "i": 1 }},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9" spans="2:26" x14ac:dyDescent="0.25">
      <c r="B19" s="54" t="s">
        <v>656</v>
      </c>
      <c r="C19" s="1" t="str">
        <f>IF(VLOOKUP(Table4[[#This Row],[Cantounido]],Table7[],3,FALSE)=0,"",VLOOKUP(Table4[[#This Row],[Cantounido]],Table7[],3,FALSE))</f>
        <v/>
      </c>
      <c r="D19" s="44" t="str">
        <f>IF(VLOOKUP(Table4[[#This Row],[Cantounido]],Table7[],4,FALSE)=0,"",VLOOKUP(Table4[[#This Row],[Cantounido]],Table7[],4,FALSE))</f>
        <v>Sol</v>
      </c>
      <c r="E19" s="29">
        <v>180</v>
      </c>
      <c r="F19" t="str">
        <f>F18</f>
        <v>{idi:</v>
      </c>
      <c r="G19" t="str">
        <f>_xlfn.CONCAT(VLOOKUP(E19,'Index Web'!A$4:L$253,2,FALSE),", ")</f>
        <v xml:space="preserve">17, </v>
      </c>
      <c r="H19" t="str">
        <f>H18</f>
        <v>id:</v>
      </c>
      <c r="I19" t="str">
        <f>_xlfn.CONCAT("""",VLOOKUP(E19,'Index Web'!A$4:O$253,13,FALSE),"""",", ")</f>
        <v xml:space="preserve">"aleluyainterleccional", </v>
      </c>
      <c r="J19" t="s">
        <v>2016</v>
      </c>
      <c r="K19" t="str">
        <f>_xlfn.CONCAT("""",VLOOKUP(E19,'Index Web'!A$4:L$253,3,FALSE),"""")</f>
        <v>"Aleluya interleccional"</v>
      </c>
      <c r="L19" t="s">
        <v>942</v>
      </c>
      <c r="M19" t="str">
        <f>_xlfn.CONCAT("""",VLOOKUP(E19,'Index Web'!A$4:L$253,4,FALSE),"""")</f>
        <v>"Modelo I, II, III"</v>
      </c>
      <c r="N19" t="s">
        <v>943</v>
      </c>
      <c r="O19" t="str">
        <f>_xlfn.CONCAT("""",VLOOKUP(E19,'Index Web'!A$4:L$253,5,FALSE),"""")</f>
        <v>"Liturgia"</v>
      </c>
      <c r="P19" t="s">
        <v>944</v>
      </c>
      <c r="Q19" t="str">
        <f>_xlfn.CONCAT("[",VLOOKUP(E19,'Index Web'!A$4:N$253,14,FALSE),"]")</f>
        <v>[""]</v>
      </c>
      <c r="R19" t="s">
        <v>945</v>
      </c>
      <c r="S19" t="str">
        <f>_xlfn.CONCAT("""/src/index.html?canto=",VLOOKUP(E19,'Index Web'!A$4:N$253,13,FALSE),""", ")</f>
        <v xml:space="preserve">"/src/index.html?canto=aleluyainterleccional", </v>
      </c>
      <c r="T19" t="str">
        <f>T18</f>
        <v xml:space="preserve">visible: "", </v>
      </c>
      <c r="U19" t="str">
        <f>_xlfn.CONCAT("cejilla: """,C19,""", ")</f>
        <v xml:space="preserve">cejilla: "", </v>
      </c>
      <c r="V19" t="str">
        <f>_xlfn.CONCAT("acorde: """,D19,""", ")</f>
        <v xml:space="preserve">acorde: "Sol", </v>
      </c>
      <c r="W19" t="s">
        <v>2012</v>
      </c>
      <c r="X19" t="s">
        <v>2013</v>
      </c>
      <c r="Y19" t="str">
        <f>_xlfn.CONCAT("""",VLOOKUP(E19,'Index Web'!A$4:O$253,15,FALSE)," ",VLOOKUP(E19,'Index Web'!A$4:O$253,13,FALSE),"""","},")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Z19" t="str">
        <f>_xlfn.CONCAT(F19:Y19)</f>
        <v>{idi:17, id:"aleluyainterleccional", title: "Aleluya interleccional", subtitle: "Modelo I, II, III", category: "Liturgia", moments: [""], url: "/src/index.html?canto=aleluyainterleccional", visible: "", cejilla: "", acorde: "Sol", scrollConfig: {"mobile": { "v": 25, "i": 1 },"tablet": { "v": 25, "i": 1 },"desktop": { "v": 7, "i": 1 },"desktopsmall": { "v": 7, "i": 1 }},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20" spans="2:26" x14ac:dyDescent="0.25">
      <c r="B20" s="52" t="s">
        <v>657</v>
      </c>
      <c r="C20" s="1" t="str">
        <f>IF(VLOOKUP(Table4[[#This Row],[Cantounido]],Table7[],3,FALSE)=0,"",VLOOKUP(Table4[[#This Row],[Cantounido]],Table7[],3,FALSE))</f>
        <v/>
      </c>
      <c r="D20" s="44" t="str">
        <f>IF(VLOOKUP(Table4[[#This Row],[Cantounido]],Table7[],4,FALSE)=0,"",VLOOKUP(Table4[[#This Row],[Cantounido]],Table7[],4,FALSE))</f>
        <v>La</v>
      </c>
      <c r="E20" s="27">
        <v>181</v>
      </c>
      <c r="F20" t="str">
        <f>F19</f>
        <v>{idi:</v>
      </c>
      <c r="G20" t="str">
        <f>_xlfn.CONCAT(VLOOKUP(E20,'Index Web'!A$4:L$253,2,FALSE),", ")</f>
        <v xml:space="preserve">18, </v>
      </c>
      <c r="H20" t="str">
        <f>H19</f>
        <v>id:</v>
      </c>
      <c r="I20" t="str">
        <f>_xlfn.CONCAT("""",VLOOKUP(E20,'Index Web'!A$4:O$253,13,FALSE),"""",", ")</f>
        <v xml:space="preserve">"aleluyapascual", </v>
      </c>
      <c r="J20" t="s">
        <v>2016</v>
      </c>
      <c r="K20" t="str">
        <f>_xlfn.CONCAT("""",VLOOKUP(E20,'Index Web'!A$4:L$253,3,FALSE),"""")</f>
        <v>"Aleluya Pascual"</v>
      </c>
      <c r="L20" t="s">
        <v>942</v>
      </c>
      <c r="M20" t="str">
        <f>_xlfn.CONCAT("""",VLOOKUP(E20,'Index Web'!A$4:L$253,4,FALSE),"""")</f>
        <v>"Apropiado para el tiempo Pascual"</v>
      </c>
      <c r="N20" t="s">
        <v>943</v>
      </c>
      <c r="O20" t="str">
        <f>_xlfn.CONCAT("""",VLOOKUP(E20,'Index Web'!A$4:L$253,5,FALSE),"""")</f>
        <v>"Liturgia"</v>
      </c>
      <c r="P20" t="s">
        <v>944</v>
      </c>
      <c r="Q20" t="str">
        <f>_xlfn.CONCAT("[",VLOOKUP(E20,'Index Web'!A$4:N$253,14,FALSE),"]")</f>
        <v>["Pascua"]</v>
      </c>
      <c r="R20" t="s">
        <v>945</v>
      </c>
      <c r="S20" t="str">
        <f>_xlfn.CONCAT("""/src/index.html?canto=",VLOOKUP(E20,'Index Web'!A$4:N$253,13,FALSE),""", ")</f>
        <v xml:space="preserve">"/src/index.html?canto=aleluyapascual", </v>
      </c>
      <c r="T20" t="str">
        <f>T19</f>
        <v xml:space="preserve">visible: "", </v>
      </c>
      <c r="U20" t="str">
        <f>_xlfn.CONCAT("cejilla: """,C20,""", ")</f>
        <v xml:space="preserve">cejilla: "", </v>
      </c>
      <c r="V20" t="str">
        <f>_xlfn.CONCAT("acorde: """,D20,""", ")</f>
        <v xml:space="preserve">acorde: "La", </v>
      </c>
      <c r="W20" t="s">
        <v>2012</v>
      </c>
      <c r="X20" t="s">
        <v>2013</v>
      </c>
      <c r="Y20" t="str">
        <f>_xlfn.CONCAT("""",VLOOKUP(E20,'Index Web'!A$4:O$253,15,FALSE)," ",VLOOKUP(E20,'Index Web'!A$4:O$253,13,FALSE),"""","},")</f>
        <v>"aleluya Pascual cristo jesús ha resucitado. aleluya. aleluyapascual"},</v>
      </c>
      <c r="Z20" t="str">
        <f>_xlfn.CONCAT(F20:Y20)</f>
        <v>{idi:18, id:"aleluyapascual", title: "Aleluya Pascual", subtitle: "Apropiado para el tiempo Pascual", category: "Liturgia", moments: ["Pascua"], url: "/src/index.html?canto=aleluyapascual", visible: "", cejilla: "", acorde: "La", scrollConfig: {"mobile": { "v": 25, "i": 1 },"tablet": { "v": 25, "i": 1 },"desktop": { "v": 7, "i": 1 },"desktopsmall": { "v": 7, "i": 1 }}, content: "aleluya Pascual cristo jesús ha resucitado. aleluya. aleluyapascual"},</v>
      </c>
    </row>
    <row r="21" spans="2:26" x14ac:dyDescent="0.25">
      <c r="B21" s="50" t="s">
        <v>495</v>
      </c>
      <c r="C21" s="1" t="str">
        <f>IF(VLOOKUP(Table4[[#This Row],[Cantounido]],Table7[],3,FALSE)=0,"",VLOOKUP(Table4[[#This Row],[Cantounido]],Table7[],3,FALSE))</f>
        <v/>
      </c>
      <c r="D21" s="44" t="str">
        <f>IF(VLOOKUP(Table4[[#This Row],[Cantounido]],Table7[],4,FALSE)=0,"",VLOOKUP(Table4[[#This Row],[Cantounido]],Table7[],4,FALSE))</f>
        <v>Mi</v>
      </c>
      <c r="E21" s="25">
        <v>13</v>
      </c>
      <c r="F21" t="str">
        <f>F20</f>
        <v>{idi:</v>
      </c>
      <c r="G21" t="str">
        <f>_xlfn.CONCAT(VLOOKUP(E21,'Index Web'!A$4:L$253,2,FALSE),", ")</f>
        <v xml:space="preserve">19, </v>
      </c>
      <c r="H21" t="str">
        <f>H20</f>
        <v>id:</v>
      </c>
      <c r="I21" t="str">
        <f>_xlfn.CONCAT("""",VLOOKUP(E21,'Index Web'!A$4:O$253,13,FALSE),"""",", ")</f>
        <v xml:space="preserve">"aleluyaalabadalsenor", </v>
      </c>
      <c r="J21" t="s">
        <v>2016</v>
      </c>
      <c r="K21" t="str">
        <f>_xlfn.CONCAT("""",VLOOKUP(E21,'Index Web'!A$4:L$253,3,FALSE),"""")</f>
        <v>"Aleluya, Alabad al Señor "</v>
      </c>
      <c r="L21" t="s">
        <v>942</v>
      </c>
      <c r="M21" t="str">
        <f>_xlfn.CONCAT("""",VLOOKUP(E21,'Index Web'!A$4:L$253,4,FALSE),"""")</f>
        <v>"Salmo 150"</v>
      </c>
      <c r="N21" t="s">
        <v>943</v>
      </c>
      <c r="O21" t="str">
        <f>_xlfn.CONCAT("""",VLOOKUP(E21,'Index Web'!A$4:L$253,5,FALSE),"""")</f>
        <v>"Precatecumenado"</v>
      </c>
      <c r="P21" t="s">
        <v>944</v>
      </c>
      <c r="Q21" t="str">
        <f>_xlfn.CONCAT("[",VLOOKUP(E21,'Index Web'!A$4:N$253,14,FALSE),"]")</f>
        <v>["Antiguo Testamento"]</v>
      </c>
      <c r="R21" t="s">
        <v>945</v>
      </c>
      <c r="S21" t="str">
        <f>_xlfn.CONCAT("""/src/index.html?canto=",VLOOKUP(E21,'Index Web'!A$4:N$253,13,FALSE),""", ")</f>
        <v xml:space="preserve">"/src/index.html?canto=aleluyaalabadalsenor", </v>
      </c>
      <c r="T21" t="str">
        <f>T20</f>
        <v xml:space="preserve">visible: "", </v>
      </c>
      <c r="U21" t="str">
        <f>_xlfn.CONCAT("cejilla: """,C21,""", ")</f>
        <v xml:space="preserve">cejilla: "", </v>
      </c>
      <c r="V21" t="str">
        <f>_xlfn.CONCAT("acorde: """,D21,""", ")</f>
        <v xml:space="preserve">acorde: "Mi", </v>
      </c>
      <c r="W21" t="s">
        <v>2012</v>
      </c>
      <c r="X21" t="s">
        <v>2013</v>
      </c>
      <c r="Y21" t="str">
        <f>_xlfn.CONCAT("""",VLOOKUP(E21,'Index Web'!A$4:O$253,15,FALSE)," ",VLOOKUP(E21,'Index Web'!A$4:O$253,13,FALSE),"""","},")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Z21" t="str">
        <f>_xlfn.CONCAT(F21:Y21)</f>
        <v>{idi:19, id:"aleluyaalabadalsenor", title: "Aleluya, Alabad al Señor ", subtitle: "Salmo 150", category: "Precatecumenado", moments: ["Antiguo Testamento"], url: "/src/index.html?canto=aleluyaalabadalsenor", visible: "", cejilla: "", acorde: "Mi", scrollConfig: {"mobile": { "v": 25, "i": 1 },"tablet": { "v": 25, "i": 1 },"desktop": { "v": 7, "i": 1 },"desktopsmall": { "v": 7, "i": 1 }},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2" spans="2:26" x14ac:dyDescent="0.25">
      <c r="B22" s="51" t="s">
        <v>496</v>
      </c>
      <c r="C22" s="1">
        <f>IF(VLOOKUP(Table4[[#This Row],[Cantounido]],Table7[],3,FALSE)=0,"",VLOOKUP(Table4[[#This Row],[Cantounido]],Table7[],3,FALSE))</f>
        <v>2</v>
      </c>
      <c r="D22" s="44" t="str">
        <f>IF(VLOOKUP(Table4[[#This Row],[Cantounido]],Table7[],4,FALSE)=0,"",VLOOKUP(Table4[[#This Row],[Cantounido]],Table7[],4,FALSE))</f>
        <v>La</v>
      </c>
      <c r="E22" s="26">
        <v>14</v>
      </c>
      <c r="F22" t="str">
        <f>F21</f>
        <v>{idi:</v>
      </c>
      <c r="G22" t="str">
        <f>_xlfn.CONCAT(VLOOKUP(E22,'Index Web'!A$4:L$253,2,FALSE),", ")</f>
        <v xml:space="preserve">20, </v>
      </c>
      <c r="H22" t="str">
        <f>H21</f>
        <v>id:</v>
      </c>
      <c r="I22" t="str">
        <f>_xlfn.CONCAT("""",VLOOKUP(E22,'Index Web'!A$4:O$253,13,FALSE),"""",", ")</f>
        <v xml:space="preserve">"aleluyabendecidalsenor", </v>
      </c>
      <c r="J22" t="s">
        <v>2016</v>
      </c>
      <c r="K22" t="str">
        <f>_xlfn.CONCAT("""",VLOOKUP(E22,'Index Web'!A$4:L$253,3,FALSE),"""")</f>
        <v>"Aleluya, bendecid al Señor"</v>
      </c>
      <c r="L22" t="s">
        <v>942</v>
      </c>
      <c r="M22" t="str">
        <f>_xlfn.CONCAT("""",VLOOKUP(E22,'Index Web'!A$4:L$253,4,FALSE),"""")</f>
        <v>"Salmo 1.34 (1.33) - Melodía hebraica"</v>
      </c>
      <c r="N22" t="s">
        <v>943</v>
      </c>
      <c r="O22" t="str">
        <f>_xlfn.CONCAT("""",VLOOKUP(E22,'Index Web'!A$4:L$253,5,FALSE),"""")</f>
        <v>"Precatecumenado"</v>
      </c>
      <c r="P22" t="s">
        <v>944</v>
      </c>
      <c r="Q22" t="str">
        <f>_xlfn.CONCAT("[",VLOOKUP(E22,'Index Web'!A$4:N$253,14,FALSE),"]")</f>
        <v>["Pascua","Pentecostés","Paz","Niños","Antiguo Testamento"]</v>
      </c>
      <c r="R22" t="s">
        <v>945</v>
      </c>
      <c r="S22" t="str">
        <f>_xlfn.CONCAT("""/src/index.html?canto=",VLOOKUP(E22,'Index Web'!A$4:N$253,13,FALSE),""", ")</f>
        <v xml:space="preserve">"/src/index.html?canto=aleluyabendecidalsenor", </v>
      </c>
      <c r="T22" t="str">
        <f>T21</f>
        <v xml:space="preserve">visible: "", </v>
      </c>
      <c r="U22" t="str">
        <f>_xlfn.CONCAT("cejilla: """,C22,""", ")</f>
        <v xml:space="preserve">cejilla: "2", </v>
      </c>
      <c r="V22" t="str">
        <f>_xlfn.CONCAT("acorde: """,D22,""", ")</f>
        <v xml:space="preserve">acorde: "La", </v>
      </c>
      <c r="W22" t="s">
        <v>2012</v>
      </c>
      <c r="X22" t="s">
        <v>2013</v>
      </c>
      <c r="Y22" t="str">
        <f>_xlfn.CONCAT("""",VLOOKUP(E22,'Index Web'!A$4:O$253,15,FALSE)," ",VLOOKUP(E22,'Index Web'!A$4:O$253,13,FALSE),"""","},")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Z22" t="str">
        <f>_xlfn.CONCAT(F22:Y22)</f>
        <v>{idi:20, id:"aleluyabendecidalsenor", title: "Aleluya, bendecid al Señor", subtitle: "Salmo 1.34 (1.33) - Melodía hebraica", category: "Precatecumenado", moments: ["Pascua","Pentecostés","Paz","Niños","Antiguo Testamento"], url: "/src/index.html?canto=aleluyabendecidalsenor", visible: "", cejilla: "2", acorde: "La", scrollConfig: {"mobile": { "v": 25, "i": 1 },"tablet": { "v": 25, "i": 1 },"desktop": { "v": 7, "i": 1 },"desktopsmall": { "v": 7, "i": 1 }},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3" spans="2:26" x14ac:dyDescent="0.25">
      <c r="B23" s="50" t="s">
        <v>497</v>
      </c>
      <c r="C23" s="1" t="str">
        <f>IF(VLOOKUP(Table4[[#This Row],[Cantounido]],Table7[],3,FALSE)=0,"",VLOOKUP(Table4[[#This Row],[Cantounido]],Table7[],3,FALSE))</f>
        <v/>
      </c>
      <c r="D23" s="44" t="str">
        <f>IF(VLOOKUP(Table4[[#This Row],[Cantounido]],Table7[],4,FALSE)=0,"",VLOOKUP(Table4[[#This Row],[Cantounido]],Table7[],4,FALSE))</f>
        <v>Do</v>
      </c>
      <c r="E23" s="25">
        <v>15</v>
      </c>
      <c r="F23" t="str">
        <f>F22</f>
        <v>{idi:</v>
      </c>
      <c r="G23" t="str">
        <f>_xlfn.CONCAT(VLOOKUP(E23,'Index Web'!A$4:L$253,2,FALSE),", ")</f>
        <v xml:space="preserve">21, </v>
      </c>
      <c r="H23" t="str">
        <f>H22</f>
        <v>id:</v>
      </c>
      <c r="I23" t="str">
        <f>_xlfn.CONCAT("""",VLOOKUP(E23,'Index Web'!A$4:O$253,13,FALSE),"""",", ")</f>
        <v xml:space="preserve">"aleluyayallegoelreino", </v>
      </c>
      <c r="J23" t="s">
        <v>2016</v>
      </c>
      <c r="K23" t="str">
        <f>_xlfn.CONCAT("""",VLOOKUP(E23,'Index Web'!A$4:L$253,3,FALSE),"""")</f>
        <v>"Aleluya, ya llegó el Reino"</v>
      </c>
      <c r="L23" t="s">
        <v>942</v>
      </c>
      <c r="M23" t="str">
        <f>_xlfn.CONCAT("""",VLOOKUP(E23,'Index Web'!A$4:L$253,4,FALSE),"""")</f>
        <v>"Apocalipsis 19,6-9"</v>
      </c>
      <c r="N23" t="s">
        <v>943</v>
      </c>
      <c r="O23" t="str">
        <f>_xlfn.CONCAT("""",VLOOKUP(E23,'Index Web'!A$4:L$253,5,FALSE),"""")</f>
        <v>"Precatecumenado"</v>
      </c>
      <c r="P23" t="s">
        <v>944</v>
      </c>
      <c r="Q23" t="str">
        <f>_xlfn.CONCAT("[",VLOOKUP(E23,'Index Web'!A$4:N$253,14,FALSE),"]")</f>
        <v>["Pascua","Pentecostés","Nuevo Testamento"]</v>
      </c>
      <c r="R23" t="s">
        <v>945</v>
      </c>
      <c r="S23" t="str">
        <f>_xlfn.CONCAT("""/src/index.html?canto=",VLOOKUP(E23,'Index Web'!A$4:N$253,13,FALSE),""", ")</f>
        <v xml:space="preserve">"/src/index.html?canto=aleluyayallegoelreino", </v>
      </c>
      <c r="T23" t="str">
        <f>T22</f>
        <v xml:space="preserve">visible: "", </v>
      </c>
      <c r="U23" t="str">
        <f>_xlfn.CONCAT("cejilla: """,C23,""", ")</f>
        <v xml:space="preserve">cejilla: "", </v>
      </c>
      <c r="V23" t="str">
        <f>_xlfn.CONCAT("acorde: """,D23,""", ")</f>
        <v xml:space="preserve">acorde: "Do", </v>
      </c>
      <c r="W23" t="s">
        <v>2012</v>
      </c>
      <c r="X23" t="s">
        <v>2013</v>
      </c>
      <c r="Y23" t="str">
        <f>_xlfn.CONCAT("""",VLOOKUP(E23,'Index Web'!A$4:O$253,15,FALSE)," ",VLOOKUP(E23,'Index Web'!A$4:O$253,13,FALSE),"""","},")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Z23" t="str">
        <f>_xlfn.CONCAT(F23:Y23)</f>
        <v>{idi:21, id:"aleluyayallegoelreino", title: "Aleluya, ya llegó el Reino", subtitle: "Apocalipsis 19,6-9", category: "Precatecumenado", moments: ["Pascua","Pentecostés","Nuevo Testamento"], url: "/src/index.html?canto=aleluyayallegoelreino", visible: "", cejilla: "", acorde: "Do", scrollConfig: {"mobile": { "v": 25, "i": 1 },"tablet": { "v": 25, "i": 1 },"desktop": { "v": 7, "i": 1 },"desktopsmall": { "v": 7, "i": 1 }},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4" spans="2:26" x14ac:dyDescent="0.25">
      <c r="B24" s="51" t="s">
        <v>498</v>
      </c>
      <c r="C24" s="1" t="str">
        <f>IF(VLOOKUP(Table4[[#This Row],[Cantounido]],Table7[],3,FALSE)=0,"",VLOOKUP(Table4[[#This Row],[Cantounido]],Table7[],3,FALSE))</f>
        <v/>
      </c>
      <c r="D24" s="44" t="str">
        <f>IF(VLOOKUP(Table4[[#This Row],[Cantounido]],Table7[],4,FALSE)=0,"",VLOOKUP(Table4[[#This Row],[Cantounido]],Table7[],4,FALSE))</f>
        <v>Mi</v>
      </c>
      <c r="E24" s="26">
        <v>16</v>
      </c>
      <c r="F24" t="str">
        <f>F23</f>
        <v>{idi:</v>
      </c>
      <c r="G24" t="str">
        <f>_xlfn.CONCAT(VLOOKUP(E24,'Index Web'!A$4:L$253,2,FALSE),", ")</f>
        <v xml:space="preserve">22, </v>
      </c>
      <c r="H24" t="str">
        <f>H23</f>
        <v>id:</v>
      </c>
      <c r="I24" t="str">
        <f>_xlfn.CONCAT("""",VLOOKUP(E24,'Index Web'!A$4:O$253,13,FALSE),"""",", ")</f>
        <v xml:space="preserve">"alzaospuertas", </v>
      </c>
      <c r="J24" t="s">
        <v>2016</v>
      </c>
      <c r="K24" t="str">
        <f>_xlfn.CONCAT("""",VLOOKUP(E24,'Index Web'!A$4:L$253,3,FALSE),"""")</f>
        <v>"Alzaos puertas"</v>
      </c>
      <c r="L24" t="s">
        <v>942</v>
      </c>
      <c r="M24" t="str">
        <f>_xlfn.CONCAT("""",VLOOKUP(E24,'Index Web'!A$4:L$253,4,FALSE),"""")</f>
        <v>"Salmo 24 (23)"</v>
      </c>
      <c r="N24" t="s">
        <v>943</v>
      </c>
      <c r="O24" t="str">
        <f>_xlfn.CONCAT("""",VLOOKUP(E24,'Index Web'!A$4:L$253,5,FALSE),"""")</f>
        <v>"Precatecumenado"</v>
      </c>
      <c r="P24" t="s">
        <v>944</v>
      </c>
      <c r="Q24" t="str">
        <f>_xlfn.CONCAT("[",VLOOKUP(E24,'Index Web'!A$4:N$253,14,FALSE),"]")</f>
        <v>["Entrada","Antiguo Testamento"]</v>
      </c>
      <c r="R24" t="s">
        <v>945</v>
      </c>
      <c r="S24" t="str">
        <f>_xlfn.CONCAT("""/src/index.html?canto=",VLOOKUP(E24,'Index Web'!A$4:N$253,13,FALSE),""", ")</f>
        <v xml:space="preserve">"/src/index.html?canto=alzaospuertas", </v>
      </c>
      <c r="T24" t="str">
        <f>T23</f>
        <v xml:space="preserve">visible: "", </v>
      </c>
      <c r="U24" t="str">
        <f>_xlfn.CONCAT("cejilla: """,C24,""", ")</f>
        <v xml:space="preserve">cejilla: "", </v>
      </c>
      <c r="V24" t="str">
        <f>_xlfn.CONCAT("acorde: """,D24,""", ")</f>
        <v xml:space="preserve">acorde: "Mi", </v>
      </c>
      <c r="W24" t="s">
        <v>2012</v>
      </c>
      <c r="X24" t="s">
        <v>2013</v>
      </c>
      <c r="Y24" t="str">
        <f>_xlfn.CONCAT("""",VLOOKUP(E24,'Index Web'!A$4:O$253,15,FALSE)," ",VLOOKUP(E24,'Index Web'!A$4:O$253,13,FALSE),"""","},")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Z24" t="str">
        <f>_xlfn.CONCAT(F24:Y24)</f>
        <v>{idi:22, id:"alzaospuertas", title: "Alzaos puertas", subtitle: "Salmo 24 (23)", category: "Precatecumenado", moments: ["Entrada","Antiguo Testamento"], url: "/src/index.html?canto=alzaospuertas", visible: "", cejilla: "", acorde: "Mi", scrollConfig: {"mobile": { "v": 25, "i": 1 },"tablet": { "v": 25, "i": 1 },"desktop": { "v": 7, "i": 1 },"desktopsmall": { "v": 7, "i": 1 }},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5" spans="2:26" x14ac:dyDescent="0.25">
      <c r="B25" s="50" t="s">
        <v>499</v>
      </c>
      <c r="C25" s="1" t="str">
        <f>IF(VLOOKUP(Table4[[#This Row],[Cantounido]],Table7[],3,FALSE)=0,"",VLOOKUP(Table4[[#This Row],[Cantounido]],Table7[],3,FALSE))</f>
        <v/>
      </c>
      <c r="D25" s="44" t="str">
        <f>IF(VLOOKUP(Table4[[#This Row],[Cantounido]],Table7[],4,FALSE)=0,"",VLOOKUP(Table4[[#This Row],[Cantounido]],Table7[],4,FALSE))</f>
        <v>Do</v>
      </c>
      <c r="E25" s="25">
        <v>17</v>
      </c>
      <c r="F25" t="str">
        <f>F24</f>
        <v>{idi:</v>
      </c>
      <c r="G25" t="str">
        <f>_xlfn.CONCAT(VLOOKUP(E25,'Index Web'!A$4:L$253,2,FALSE),", ")</f>
        <v xml:space="preserve">23, </v>
      </c>
      <c r="H25" t="str">
        <f>H24</f>
        <v>id:</v>
      </c>
      <c r="I25" t="str">
        <f>_xlfn.CONCAT("""",VLOOKUP(E25,'Index Web'!A$4:O$253,13,FALSE),"""",", ")</f>
        <v xml:space="preserve">"amenamenamen", </v>
      </c>
      <c r="J25" t="s">
        <v>2016</v>
      </c>
      <c r="K25" t="str">
        <f>_xlfn.CONCAT("""",VLOOKUP(E25,'Index Web'!A$4:L$253,3,FALSE),"""")</f>
        <v>"Amén, amén, amén"</v>
      </c>
      <c r="L25" t="s">
        <v>942</v>
      </c>
      <c r="M25" t="str">
        <f>_xlfn.CONCAT("""",VLOOKUP(E25,'Index Web'!A$4:L$253,4,FALSE),"""")</f>
        <v>"Apocalipsis 7,12-14 "</v>
      </c>
      <c r="N25" t="s">
        <v>943</v>
      </c>
      <c r="O25" t="str">
        <f>_xlfn.CONCAT("""",VLOOKUP(E25,'Index Web'!A$4:L$253,5,FALSE),"""")</f>
        <v>"Precatecumenado"</v>
      </c>
      <c r="P25" t="s">
        <v>944</v>
      </c>
      <c r="Q25" t="str">
        <f>_xlfn.CONCAT("[",VLOOKUP(E25,'Index Web'!A$4:N$253,14,FALSE),"]")</f>
        <v>["Entrada","Nuevo Testamento"]</v>
      </c>
      <c r="R25" t="s">
        <v>945</v>
      </c>
      <c r="S25" t="str">
        <f>_xlfn.CONCAT("""/src/index.html?canto=",VLOOKUP(E25,'Index Web'!A$4:N$253,13,FALSE),""", ")</f>
        <v xml:space="preserve">"/src/index.html?canto=amenamenamen", </v>
      </c>
      <c r="T25" t="str">
        <f>T24</f>
        <v xml:space="preserve">visible: "", </v>
      </c>
      <c r="U25" t="str">
        <f>_xlfn.CONCAT("cejilla: """,C25,""", ")</f>
        <v xml:space="preserve">cejilla: "", </v>
      </c>
      <c r="V25" t="str">
        <f>_xlfn.CONCAT("acorde: """,D25,""", ")</f>
        <v xml:space="preserve">acorde: "Do", </v>
      </c>
      <c r="W25" t="s">
        <v>2012</v>
      </c>
      <c r="X25" t="s">
        <v>2013</v>
      </c>
      <c r="Y25" t="str">
        <f>_xlfn.CONCAT("""",VLOOKUP(E25,'Index Web'!A$4:O$253,15,FALSE)," ",VLOOKUP(E25,'Index Web'!A$4:O$253,13,FALSE),"""","},")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Z25" t="str">
        <f>_xlfn.CONCAT(F25:Y25)</f>
        <v>{idi:23, id:"amenamenamen", title: "Amén, amén, amén", subtitle: "Apocalipsis 7,12-14 ", category: "Precatecumenado", moments: ["Entrada","Nuevo Testamento"], url: "/src/index.html?canto=amenamenamen", visible: "", cejilla: "", acorde: "Do", scrollConfig: {"mobile": { "v": 25, "i": 1 },"tablet": { "v": 25, "i": 1 },"desktop": { "v": 7, "i": 1 },"desktopsmall": { "v": 7, "i": 1 }},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6" spans="2:26" x14ac:dyDescent="0.25">
      <c r="B26" s="51" t="s">
        <v>500</v>
      </c>
      <c r="C26" s="1" t="str">
        <f>IF(VLOOKUP(Table4[[#This Row],[Cantounido]],Table7[],3,FALSE)=0,"",VLOOKUP(Table4[[#This Row],[Cantounido]],Table7[],3,FALSE))</f>
        <v/>
      </c>
      <c r="D26" s="44" t="str">
        <f>IF(VLOOKUP(Table4[[#This Row],[Cantounido]],Table7[],4,FALSE)=0,"",VLOOKUP(Table4[[#This Row],[Cantounido]],Table7[],4,FALSE))</f>
        <v>Re</v>
      </c>
      <c r="E26" s="26">
        <v>18</v>
      </c>
      <c r="F26" t="str">
        <f>F25</f>
        <v>{idi:</v>
      </c>
      <c r="G26" t="str">
        <f>_xlfn.CONCAT(VLOOKUP(E26,'Index Web'!A$4:L$253,2,FALSE),", ")</f>
        <v xml:space="preserve">24, </v>
      </c>
      <c r="H26" t="str">
        <f>H25</f>
        <v>id:</v>
      </c>
      <c r="I26" t="str">
        <f>_xlfn.CONCAT("""",VLOOKUP(E26,'Index Web'!A$4:O$253,13,FALSE),"""",", ")</f>
        <v xml:space="preserve">"amoalsenor", </v>
      </c>
      <c r="J26" t="s">
        <v>2016</v>
      </c>
      <c r="K26" t="str">
        <f>_xlfn.CONCAT("""",VLOOKUP(E26,'Index Web'!A$4:L$253,3,FALSE),"""")</f>
        <v>"Amo al Señor"</v>
      </c>
      <c r="L26" t="s">
        <v>942</v>
      </c>
      <c r="M26" t="str">
        <f>_xlfn.CONCAT("""",VLOOKUP(E26,'Index Web'!A$4:L$253,4,FALSE),"""")</f>
        <v>"Salmo 116 (114-115)"</v>
      </c>
      <c r="N26" t="s">
        <v>943</v>
      </c>
      <c r="O26" t="str">
        <f>_xlfn.CONCAT("""",VLOOKUP(E26,'Index Web'!A$4:L$253,5,FALSE),"""")</f>
        <v>"Precatecumenado"</v>
      </c>
      <c r="P26" t="s">
        <v>944</v>
      </c>
      <c r="Q26" t="str">
        <f>_xlfn.CONCAT("[",VLOOKUP(E26,'Index Web'!A$4:N$253,14,FALSE),"]")</f>
        <v>["Cuaresma","Antiguo Testamento"]</v>
      </c>
      <c r="R26" t="s">
        <v>945</v>
      </c>
      <c r="S26" t="str">
        <f>_xlfn.CONCAT("""/src/index.html?canto=",VLOOKUP(E26,'Index Web'!A$4:N$253,13,FALSE),""", ")</f>
        <v xml:space="preserve">"/src/index.html?canto=amoalsenor", </v>
      </c>
      <c r="T26" t="str">
        <f>T25</f>
        <v xml:space="preserve">visible: "", </v>
      </c>
      <c r="U26" t="str">
        <f>_xlfn.CONCAT("cejilla: """,C26,""", ")</f>
        <v xml:space="preserve">cejilla: "", </v>
      </c>
      <c r="V26" t="str">
        <f>_xlfn.CONCAT("acorde: """,D26,""", ")</f>
        <v xml:space="preserve">acorde: "Re", </v>
      </c>
      <c r="W26" t="s">
        <v>2012</v>
      </c>
      <c r="X26" t="s">
        <v>2013</v>
      </c>
      <c r="Y26" t="str">
        <f>_xlfn.CONCAT("""",VLOOKUP(E26,'Index Web'!A$4:O$253,15,FALSE)," ",VLOOKUP(E26,'Index Web'!A$4:O$253,13,FALSE),"""","},")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Z26" t="str">
        <f>_xlfn.CONCAT(F26:Y26)</f>
        <v>{idi:24, id:"amoalsenor", title: "Amo al Señor", subtitle: "Salmo 116 (114-115)", category: "Precatecumenado", moments: ["Cuaresma","Antiguo Testamento"], url: "/src/index.html?canto=amoalsenor", visible: "", cejilla: "", acorde: "Re", scrollConfig: {"mobile": { "v": 25, "i": 1 },"tablet": { "v": 25, "i": 1 },"desktop": { "v": 7, "i": 1 },"desktopsmall": { "v": 7, "i": 1 }},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7" spans="2:26" x14ac:dyDescent="0.25">
      <c r="B27" s="54" t="s">
        <v>658</v>
      </c>
      <c r="C27" s="1" t="str">
        <f>IF(VLOOKUP(Table4[[#This Row],[Cantounido]],Table7[],3,FALSE)=0,"",VLOOKUP(Table4[[#This Row],[Cantounido]],Table7[],3,FALSE))</f>
        <v/>
      </c>
      <c r="D27" s="44" t="str">
        <f>IF(VLOOKUP(Table4[[#This Row],[Cantounido]],Table7[],4,FALSE)=0,"",VLOOKUP(Table4[[#This Row],[Cantounido]],Table7[],4,FALSE))</f>
        <v>Sol</v>
      </c>
      <c r="E27" s="29">
        <v>182</v>
      </c>
      <c r="F27" t="str">
        <f>F26</f>
        <v>{idi:</v>
      </c>
      <c r="G27" t="str">
        <f>_xlfn.CONCAT(VLOOKUP(E27,'Index Web'!A$4:L$253,2,FALSE),", ")</f>
        <v xml:space="preserve">25, </v>
      </c>
      <c r="H27" t="str">
        <f>H26</f>
        <v>id:</v>
      </c>
      <c r="I27" t="str">
        <f>_xlfn.CONCAT("""",VLOOKUP(E27,'Index Web'!A$4:O$253,13,FALSE),"""",", ")</f>
        <v xml:space="preserve">"antifonaparaelevangelio", </v>
      </c>
      <c r="J27" t="s">
        <v>2016</v>
      </c>
      <c r="K27" t="str">
        <f>_xlfn.CONCAT("""",VLOOKUP(E27,'Index Web'!A$4:L$253,3,FALSE),"""")</f>
        <v>"Antífona para el evangelio"</v>
      </c>
      <c r="L27" t="s">
        <v>942</v>
      </c>
      <c r="M27" t="str">
        <f>_xlfn.CONCAT("""",VLOOKUP(E27,'Index Web'!A$4:L$253,4,FALSE),"""")</f>
        <v>"Tiempo de Cuaresma"</v>
      </c>
      <c r="N27" t="s">
        <v>943</v>
      </c>
      <c r="O27" t="str">
        <f>_xlfn.CONCAT("""",VLOOKUP(E27,'Index Web'!A$4:L$253,5,FALSE),"""")</f>
        <v>"Liturgia"</v>
      </c>
      <c r="P27" t="s">
        <v>944</v>
      </c>
      <c r="Q27" t="str">
        <f>_xlfn.CONCAT("[",VLOOKUP(E27,'Index Web'!A$4:N$253,14,FALSE),"]")</f>
        <v>[""]</v>
      </c>
      <c r="R27" t="s">
        <v>945</v>
      </c>
      <c r="S27" t="str">
        <f>_xlfn.CONCAT("""/src/index.html?canto=",VLOOKUP(E27,'Index Web'!A$4:N$253,13,FALSE),""", ")</f>
        <v xml:space="preserve">"/src/index.html?canto=antifonaparaelevangelio", </v>
      </c>
      <c r="T27" t="str">
        <f>T26</f>
        <v xml:space="preserve">visible: "", </v>
      </c>
      <c r="U27" t="str">
        <f>_xlfn.CONCAT("cejilla: """,C27,""", ")</f>
        <v xml:space="preserve">cejilla: "", </v>
      </c>
      <c r="V27" t="str">
        <f>_xlfn.CONCAT("acorde: """,D27,""", ")</f>
        <v xml:space="preserve">acorde: "Sol", </v>
      </c>
      <c r="W27" t="s">
        <v>2012</v>
      </c>
      <c r="X27" t="s">
        <v>2013</v>
      </c>
      <c r="Y27" t="str">
        <f>_xlfn.CONCAT("""",VLOOKUP(E27,'Index Web'!A$4:O$253,15,FALSE)," ",VLOOKUP(E27,'Index Web'!A$4:O$253,13,FALSE),"""","},")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Z27" t="str">
        <f>_xlfn.CONCAT(F27:Y27)</f>
        <v>{idi:25, id:"antifonaparaelevangelio", title: "Antífona para el evangelio", subtitle: "Tiempo de Cuaresma", category: "Liturgia", moments: [""], url: "/src/index.html?canto=antifonaparaelevangelio", visible: "", cejilla: "", acorde: "Sol", scrollConfig: {"mobile": { "v": 25, "i": 1 },"tablet": { "v": 25, "i": 1 },"desktop": { "v": 7, "i": 1 },"desktopsmall": { "v": 7, "i": 1 }},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8" spans="2:26" x14ac:dyDescent="0.25">
      <c r="B28" s="51" t="s">
        <v>501</v>
      </c>
      <c r="C28" s="1" t="str">
        <f>IF(VLOOKUP(Table4[[#This Row],[Cantounido]],Table7[],3,FALSE)=0,"",VLOOKUP(Table4[[#This Row],[Cantounido]],Table7[],3,FALSE))</f>
        <v/>
      </c>
      <c r="D28" s="44" t="str">
        <f>IF(VLOOKUP(Table4[[#This Row],[Cantounido]],Table7[],4,FALSE)=0,"",VLOOKUP(Table4[[#This Row],[Cantounido]],Table7[],4,FALSE))</f>
        <v>La</v>
      </c>
      <c r="E28" s="26">
        <v>19</v>
      </c>
      <c r="F28" t="str">
        <f>F27</f>
        <v>{idi:</v>
      </c>
      <c r="G28" t="str">
        <f>_xlfn.CONCAT(VLOOKUP(E28,'Index Web'!A$4:L$253,2,FALSE),", ")</f>
        <v xml:space="preserve">26, </v>
      </c>
      <c r="H28" t="str">
        <f>H27</f>
        <v>id:</v>
      </c>
      <c r="I28" t="str">
        <f>_xlfn.CONCAT("""",VLOOKUP(E28,'Index Web'!A$4:O$253,13,FALSE),"""",", ")</f>
        <v xml:space="preserve">"aquedah", </v>
      </c>
      <c r="J28" t="s">
        <v>2016</v>
      </c>
      <c r="K28" t="str">
        <f>_xlfn.CONCAT("""",VLOOKUP(E28,'Index Web'!A$4:L$253,3,FALSE),"""")</f>
        <v>"Aquedah"</v>
      </c>
      <c r="L28" t="s">
        <v>942</v>
      </c>
      <c r="M28" t="str">
        <f>_xlfn.CONCAT("""",VLOOKUP(E28,'Index Web'!A$4:L$253,4,FALSE),"""")</f>
        <v>"Gn 22,1-19 - Del Targum Neofiti sobre el sacrificio de Isaac"</v>
      </c>
      <c r="N28" t="s">
        <v>943</v>
      </c>
      <c r="O28" t="str">
        <f>_xlfn.CONCAT("""",VLOOKUP(E28,'Index Web'!A$4:L$253,5,FALSE),"""")</f>
        <v>"Precatecumenado"</v>
      </c>
      <c r="P28" t="s">
        <v>944</v>
      </c>
      <c r="Q28" t="str">
        <f>_xlfn.CONCAT("[",VLOOKUP(E28,'Index Web'!A$4:N$253,14,FALSE),"]")</f>
        <v>["Pascua","Pentecostés","Antiguo Testamento"]</v>
      </c>
      <c r="R28" t="s">
        <v>945</v>
      </c>
      <c r="S28" t="str">
        <f>_xlfn.CONCAT("""/src/index.html?canto=",VLOOKUP(E28,'Index Web'!A$4:N$253,13,FALSE),""", ")</f>
        <v xml:space="preserve">"/src/index.html?canto=aquedah", </v>
      </c>
      <c r="T28" t="str">
        <f>T27</f>
        <v xml:space="preserve">visible: "", </v>
      </c>
      <c r="U28" t="str">
        <f>_xlfn.CONCAT("cejilla: """,C28,""", ")</f>
        <v xml:space="preserve">cejilla: "", </v>
      </c>
      <c r="V28" t="str">
        <f>_xlfn.CONCAT("acorde: """,D28,""", ")</f>
        <v xml:space="preserve">acorde: "La", </v>
      </c>
      <c r="W28" t="s">
        <v>2012</v>
      </c>
      <c r="X28" t="s">
        <v>2013</v>
      </c>
      <c r="Y28" t="str">
        <f>_xlfn.CONCAT("""",VLOOKUP(E28,'Index Web'!A$4:O$253,15,FALSE)," ",VLOOKUP(E28,'Index Web'!A$4:O$253,13,FALSE),"""","},")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Z28" t="str">
        <f>_xlfn.CONCAT(F28:Y28)</f>
        <v>{idi:26, id:"aquedah", title: "Aquedah", subtitle: "Gn 22,1-19 - Del Targum Neofiti sobre el sacrificio de Isaac", category: "Precatecumenado", moments: ["Pascua","Pentecostés","Antiguo Testamento"], url: "/src/index.html?canto=aquedah", visible: "", cejilla: "", acorde: "La", scrollConfig: {"mobile": { "v": 25, "i": 1 },"tablet": { "v": 25, "i": 1 },"desktop": { "v": 7, "i": 1 },"desktopsmall": { "v": 7, "i": 1 }},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9" spans="2:26" x14ac:dyDescent="0.25">
      <c r="B29" s="50" t="s">
        <v>502</v>
      </c>
      <c r="C29" s="1" t="str">
        <f>IF(VLOOKUP(Table4[[#This Row],[Cantounido]],Table7[],3,FALSE)=0,"",VLOOKUP(Table4[[#This Row],[Cantounido]],Table7[],3,FALSE))</f>
        <v/>
      </c>
      <c r="D29" s="44" t="str">
        <f>IF(VLOOKUP(Table4[[#This Row],[Cantounido]],Table7[],4,FALSE)=0,"",VLOOKUP(Table4[[#This Row],[Cantounido]],Table7[],4,FALSE))</f>
        <v>Mi</v>
      </c>
      <c r="E29" s="25">
        <v>20</v>
      </c>
      <c r="F29" t="str">
        <f>F28</f>
        <v>{idi:</v>
      </c>
      <c r="G29" t="str">
        <f>_xlfn.CONCAT(VLOOKUP(E29,'Index Web'!A$4:L$253,2,FALSE),", ")</f>
        <v xml:space="preserve">27, </v>
      </c>
      <c r="H29" t="str">
        <f>H28</f>
        <v>id:</v>
      </c>
      <c r="I29" t="str">
        <f>_xlfn.CONCAT("""",VLOOKUP(E29,'Index Web'!A$4:O$253,13,FALSE),"""",", ")</f>
        <v xml:space="preserve">"asihablaelamen", </v>
      </c>
      <c r="J29" t="s">
        <v>2016</v>
      </c>
      <c r="K29" t="str">
        <f>_xlfn.CONCAT("""",VLOOKUP(E29,'Index Web'!A$4:L$253,3,FALSE),"""")</f>
        <v>"Así habla el amén"</v>
      </c>
      <c r="L29" t="s">
        <v>942</v>
      </c>
      <c r="M29" t="str">
        <f>_xlfn.CONCAT("""",VLOOKUP(E29,'Index Web'!A$4:L$253,4,FALSE),"""")</f>
        <v>"Ap 3,14-20"</v>
      </c>
      <c r="N29" t="s">
        <v>943</v>
      </c>
      <c r="O29" t="str">
        <f>_xlfn.CONCAT("""",VLOOKUP(E29,'Index Web'!A$4:L$253,5,FALSE),"""")</f>
        <v>"Precatecumenado"</v>
      </c>
      <c r="P29" t="s">
        <v>944</v>
      </c>
      <c r="Q29" t="str">
        <f>_xlfn.CONCAT("[",VLOOKUP(E29,'Index Web'!A$4:N$253,14,FALSE),"]")</f>
        <v>["Cuaresma","Nuevo Testamento"]</v>
      </c>
      <c r="R29" t="s">
        <v>945</v>
      </c>
      <c r="S29" t="str">
        <f>_xlfn.CONCAT("""/src/index.html?canto=",VLOOKUP(E29,'Index Web'!A$4:N$253,13,FALSE),""", ")</f>
        <v xml:space="preserve">"/src/index.html?canto=asihablaelamen", </v>
      </c>
      <c r="T29" t="str">
        <f>T28</f>
        <v xml:space="preserve">visible: "", </v>
      </c>
      <c r="U29" t="str">
        <f>_xlfn.CONCAT("cejilla: """,C29,""", ")</f>
        <v xml:space="preserve">cejilla: "", </v>
      </c>
      <c r="V29" t="str">
        <f>_xlfn.CONCAT("acorde: """,D29,""", ")</f>
        <v xml:space="preserve">acorde: "Mi", </v>
      </c>
      <c r="W29" t="s">
        <v>2012</v>
      </c>
      <c r="X29" t="s">
        <v>2013</v>
      </c>
      <c r="Y29" t="str">
        <f>_xlfn.CONCAT("""",VLOOKUP(E29,'Index Web'!A$4:O$253,15,FALSE)," ",VLOOKUP(E29,'Index Web'!A$4:O$253,13,FALSE),"""","},")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Z29" t="str">
        <f>_xlfn.CONCAT(F29:Y29)</f>
        <v>{idi:27, id:"asihablaelamen", title: "Así habla el amén", subtitle: "Ap 3,14-20", category: "Precatecumenado", moments: ["Cuaresma","Nuevo Testamento"], url: "/src/index.html?canto=asihablaelamen", visible: "", cejilla: "", acorde: "Mi", scrollConfig: {"mobile": { "v": 25, "i": 1 },"tablet": { "v": 25, "i": 1 },"desktop": { "v": 7, "i": 1 },"desktopsmall": { "v": 7, "i": 1 }},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30" spans="2:26" x14ac:dyDescent="0.25">
      <c r="B30" s="51" t="s">
        <v>503</v>
      </c>
      <c r="C30" s="1" t="str">
        <f>IF(VLOOKUP(Table4[[#This Row],[Cantounido]],Table7[],3,FALSE)=0,"",VLOOKUP(Table4[[#This Row],[Cantounido]],Table7[],3,FALSE))</f>
        <v/>
      </c>
      <c r="D30" s="44" t="str">
        <f>IF(VLOOKUP(Table4[[#This Row],[Cantounido]],Table7[],4,FALSE)=0,"",VLOOKUP(Table4[[#This Row],[Cantounido]],Table7[],4,FALSE))</f>
        <v>Do</v>
      </c>
      <c r="E30" s="26">
        <v>21</v>
      </c>
      <c r="F30" t="str">
        <f>F29</f>
        <v>{idi:</v>
      </c>
      <c r="G30" t="str">
        <f>_xlfn.CONCAT(VLOOKUP(E30,'Index Web'!A$4:L$253,2,FALSE),", ")</f>
        <v xml:space="preserve">28, </v>
      </c>
      <c r="H30" t="str">
        <f>H29</f>
        <v>id:</v>
      </c>
      <c r="I30" t="str">
        <f>_xlfn.CONCAT("""",VLOOKUP(E30,'Index Web'!A$4:O$253,13,FALSE),"""",", ")</f>
        <v xml:space="preserve">"avemariai", </v>
      </c>
      <c r="J30" t="s">
        <v>2016</v>
      </c>
      <c r="K30" t="str">
        <f>_xlfn.CONCAT("""",VLOOKUP(E30,'Index Web'!A$4:L$253,3,FALSE),"""")</f>
        <v>"Ave María I"</v>
      </c>
      <c r="L30" t="s">
        <v>942</v>
      </c>
      <c r="M30" t="str">
        <f>_xlfn.CONCAT("""",VLOOKUP(E30,'Index Web'!A$4:L$253,4,FALSE),"""")</f>
        <v>"Lucas  1,28ss"</v>
      </c>
      <c r="N30" t="s">
        <v>943</v>
      </c>
      <c r="O30" t="str">
        <f>_xlfn.CONCAT("""",VLOOKUP(E30,'Index Web'!A$4:L$253,5,FALSE),"""")</f>
        <v>"Precatecumenado"</v>
      </c>
      <c r="P30" t="s">
        <v>944</v>
      </c>
      <c r="Q30" t="str">
        <f>_xlfn.CONCAT("[",VLOOKUP(E30,'Index Web'!A$4:N$253,14,FALSE),"]")</f>
        <v>["Vírgen María","Nuevo Testamento"]</v>
      </c>
      <c r="R30" t="s">
        <v>945</v>
      </c>
      <c r="S30" t="str">
        <f>_xlfn.CONCAT("""/src/index.html?canto=",VLOOKUP(E30,'Index Web'!A$4:N$253,13,FALSE),""", ")</f>
        <v xml:space="preserve">"/src/index.html?canto=avemariai", </v>
      </c>
      <c r="T30" t="str">
        <f>T29</f>
        <v xml:space="preserve">visible: "", </v>
      </c>
      <c r="U30" t="str">
        <f>_xlfn.CONCAT("cejilla: """,C30,""", ")</f>
        <v xml:space="preserve">cejilla: "", </v>
      </c>
      <c r="V30" t="str">
        <f>_xlfn.CONCAT("acorde: """,D30,""", ")</f>
        <v xml:space="preserve">acorde: "Do", </v>
      </c>
      <c r="W30" t="s">
        <v>2012</v>
      </c>
      <c r="X30" t="s">
        <v>2013</v>
      </c>
      <c r="Y30" t="str">
        <f>_xlfn.CONCAT("""",VLOOKUP(E30,'Index Web'!A$4:O$253,15,FALSE)," ",VLOOKUP(E30,'Index Web'!A$4:O$253,13,FALSE),"""","},")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Z30" t="str">
        <f>_xlfn.CONCAT(F30:Y30)</f>
        <v>{idi:28, id:"avemariai", title: "Ave María I", subtitle: "Lucas  1,28ss", category: "Precatecumenado", moments: ["Vírgen María","Nuevo Testamento"], url: "/src/index.html?canto=avemariai", visible: "", cejilla: "", acorde: "Do", scrollConfig: {"mobile": { "v": 25, "i": 1 },"tablet": { "v": 25, "i": 1 },"desktop": { "v": 7, "i": 1 },"desktopsmall": { "v": 7, "i": 1 }},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1" spans="2:26" x14ac:dyDescent="0.25">
      <c r="B31" s="50" t="s">
        <v>963</v>
      </c>
      <c r="C31" s="1" t="str">
        <f>IF(VLOOKUP(Table4[[#This Row],[Cantounido]],Table7[],3,FALSE)=0,"",VLOOKUP(Table4[[#This Row],[Cantounido]],Table7[],3,FALSE))</f>
        <v/>
      </c>
      <c r="D31" s="44" t="str">
        <f>IF(VLOOKUP(Table4[[#This Row],[Cantounido]],Table7[],4,FALSE)=0,"",VLOOKUP(Table4[[#This Row],[Cantounido]],Table7[],4,FALSE))</f>
        <v>Do</v>
      </c>
      <c r="E31" s="25">
        <v>22</v>
      </c>
      <c r="F31" t="str">
        <f>F30</f>
        <v>{idi:</v>
      </c>
      <c r="G31" t="str">
        <f>_xlfn.CONCAT(VLOOKUP(E31,'Index Web'!A$4:L$253,2,FALSE),", ")</f>
        <v xml:space="preserve">29, </v>
      </c>
      <c r="H31" t="str">
        <f>H30</f>
        <v>id:</v>
      </c>
      <c r="I31" t="str">
        <f>_xlfn.CONCAT("""",VLOOKUP(E31,'Index Web'!A$4:O$253,13,FALSE),"""",", ")</f>
        <v xml:space="preserve">"avemariaii(1984)", </v>
      </c>
      <c r="J31" t="s">
        <v>2016</v>
      </c>
      <c r="K31" t="str">
        <f>_xlfn.CONCAT("""",VLOOKUP(E31,'Index Web'!A$4:L$253,3,FALSE),"""")</f>
        <v>"Ave María II (1984)"</v>
      </c>
      <c r="L31" t="s">
        <v>942</v>
      </c>
      <c r="M31" t="str">
        <f>_xlfn.CONCAT("""",VLOOKUP(E31,'Index Web'!A$4:L$253,4,FALSE),"""")</f>
        <v>"Lucas  1,28ss - 1984 "</v>
      </c>
      <c r="N31" t="s">
        <v>943</v>
      </c>
      <c r="O31" t="str">
        <f>_xlfn.CONCAT("""",VLOOKUP(E31,'Index Web'!A$4:L$253,5,FALSE),"""")</f>
        <v>"Precatecumenado"</v>
      </c>
      <c r="P31" t="s">
        <v>944</v>
      </c>
      <c r="Q31" t="str">
        <f>_xlfn.CONCAT("[",VLOOKUP(E31,'Index Web'!A$4:N$253,14,FALSE),"]")</f>
        <v>["Vírgen María","Nuevo Testamento"]</v>
      </c>
      <c r="R31" t="s">
        <v>945</v>
      </c>
      <c r="S31" t="str">
        <f>_xlfn.CONCAT("""/src/index.html?canto=",VLOOKUP(E31,'Index Web'!A$4:N$253,13,FALSE),""", ")</f>
        <v xml:space="preserve">"/src/index.html?canto=avemariaii(1984)", </v>
      </c>
      <c r="T31" t="str">
        <f>T30</f>
        <v xml:space="preserve">visible: "", </v>
      </c>
      <c r="U31" t="str">
        <f>_xlfn.CONCAT("cejilla: """,C31,""", ")</f>
        <v xml:space="preserve">cejilla: "", </v>
      </c>
      <c r="V31" t="str">
        <f>_xlfn.CONCAT("acorde: """,D31,""", ")</f>
        <v xml:space="preserve">acorde: "Do", </v>
      </c>
      <c r="W31" t="s">
        <v>2012</v>
      </c>
      <c r="X31" t="s">
        <v>2013</v>
      </c>
      <c r="Y31" t="str">
        <f>_xlfn.CONCAT("""",VLOOKUP(E31,'Index Web'!A$4:O$253,15,FALSE)," ",VLOOKUP(E31,'Index Web'!A$4:O$253,13,FALSE),"""","},")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Z31" t="str">
        <f>_xlfn.CONCAT(F31:Y31)</f>
        <v>{idi:29, id:"avemariaii(1984)", title: "Ave María II (1984)", subtitle: "Lucas  1,28ss - 1984 ", category: "Precatecumenado", moments: ["Vírgen María","Nuevo Testamento"], url: "/src/index.html?canto=avemariaii(1984)", visible: "", cejilla: "", acorde: "Do", scrollConfig: {"mobile": { "v": 25, "i": 1 },"tablet": { "v": 25, "i": 1 },"desktop": { "v": 7, "i": 1 },"desktopsmall": { "v": 7, "i": 1 }},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2" spans="2:26" x14ac:dyDescent="0.25">
      <c r="B32" s="51" t="s">
        <v>504</v>
      </c>
      <c r="C32" s="1" t="str">
        <f>IF(VLOOKUP(Table4[[#This Row],[Cantounido]],Table7[],3,FALSE)=0,"",VLOOKUP(Table4[[#This Row],[Cantounido]],Table7[],3,FALSE))</f>
        <v/>
      </c>
      <c r="D32" s="44" t="str">
        <f>IF(VLOOKUP(Table4[[#This Row],[Cantounido]],Table7[],4,FALSE)=0,"",VLOOKUP(Table4[[#This Row],[Cantounido]],Table7[],4,FALSE))</f>
        <v>Mi</v>
      </c>
      <c r="E32" s="26">
        <v>23</v>
      </c>
      <c r="F32" t="str">
        <f>F31</f>
        <v>{idi:</v>
      </c>
      <c r="G32" t="str">
        <f>_xlfn.CONCAT(VLOOKUP(E32,'Index Web'!A$4:L$253,2,FALSE),", ")</f>
        <v xml:space="preserve">30, </v>
      </c>
      <c r="H32" t="str">
        <f>H31</f>
        <v>id:</v>
      </c>
      <c r="I32" t="str">
        <f>_xlfn.CONCAT("""",VLOOKUP(E32,'Index Web'!A$4:O$253,13,FALSE),"""",", ")</f>
        <v xml:space="preserve">"babiloniacriminal", </v>
      </c>
      <c r="J32" t="s">
        <v>2016</v>
      </c>
      <c r="K32" t="str">
        <f>_xlfn.CONCAT("""",VLOOKUP(E32,'Index Web'!A$4:L$253,3,FALSE),"""")</f>
        <v>"Babilonia criminal"</v>
      </c>
      <c r="L32" t="s">
        <v>942</v>
      </c>
      <c r="M32" t="str">
        <f>_xlfn.CONCAT("""",VLOOKUP(E32,'Index Web'!A$4:L$253,4,FALSE),"""")</f>
        <v>"Salmo 137 (136)"</v>
      </c>
      <c r="N32" t="s">
        <v>943</v>
      </c>
      <c r="O32" t="str">
        <f>_xlfn.CONCAT("""",VLOOKUP(E32,'Index Web'!A$4:L$253,5,FALSE),"""")</f>
        <v>"Precatecumenado"</v>
      </c>
      <c r="P32" t="s">
        <v>944</v>
      </c>
      <c r="Q32" t="str">
        <f>_xlfn.CONCAT("[",VLOOKUP(E32,'Index Web'!A$4:N$253,14,FALSE),"]")</f>
        <v>["Cuaresma","Antiguo Testamento"]</v>
      </c>
      <c r="R32" t="s">
        <v>945</v>
      </c>
      <c r="S32" t="str">
        <f>_xlfn.CONCAT("""/src/index.html?canto=",VLOOKUP(E32,'Index Web'!A$4:N$253,13,FALSE),""", ")</f>
        <v xml:space="preserve">"/src/index.html?canto=babiloniacriminal", </v>
      </c>
      <c r="T32" t="str">
        <f>T31</f>
        <v xml:space="preserve">visible: "", </v>
      </c>
      <c r="U32" t="str">
        <f>_xlfn.CONCAT("cejilla: """,C32,""", ")</f>
        <v xml:space="preserve">cejilla: "", </v>
      </c>
      <c r="V32" t="str">
        <f>_xlfn.CONCAT("acorde: """,D32,""", ")</f>
        <v xml:space="preserve">acorde: "Mi", </v>
      </c>
      <c r="W32" t="s">
        <v>2012</v>
      </c>
      <c r="X32" t="s">
        <v>2013</v>
      </c>
      <c r="Y32" t="str">
        <f>_xlfn.CONCAT("""",VLOOKUP(E32,'Index Web'!A$4:O$253,15,FALSE)," ",VLOOKUP(E32,'Index Web'!A$4:O$253,13,FALSE),"""","},")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Z32" t="str">
        <f>_xlfn.CONCAT(F32:Y32)</f>
        <v>{idi:30, id:"babiloniacriminal", title: "Babilonia criminal", subtitle: "Salmo 137 (136)", category: "Precatecumenado", moments: ["Cuaresma","Antiguo Testamento"], url: "/src/index.html?canto=babiloniacriminal", visible: "", cejilla: "", acorde: "Mi", scrollConfig: {"mobile": { "v": 25, "i": 1 },"tablet": { "v": 25, "i": 1 },"desktop": { "v": 7, "i": 1 },"desktopsmall": { "v": 7, "i": 1 }},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3" spans="2:26" x14ac:dyDescent="0.25">
      <c r="B33" s="50" t="s">
        <v>505</v>
      </c>
      <c r="C33" s="1" t="str">
        <f>IF(VLOOKUP(Table4[[#This Row],[Cantounido]],Table7[],3,FALSE)=0,"",VLOOKUP(Table4[[#This Row],[Cantounido]],Table7[],3,FALSE))</f>
        <v/>
      </c>
      <c r="D33" s="44" t="str">
        <f>IF(VLOOKUP(Table4[[#This Row],[Cantounido]],Table7[],4,FALSE)=0,"",VLOOKUP(Table4[[#This Row],[Cantounido]],Table7[],4,FALSE))</f>
        <v>Mi</v>
      </c>
      <c r="E33" s="25">
        <v>24</v>
      </c>
      <c r="F33" t="str">
        <f>F32</f>
        <v>{idi:</v>
      </c>
      <c r="G33" t="str">
        <f>_xlfn.CONCAT(VLOOKUP(E33,'Index Web'!A$4:L$253,2,FALSE),", ")</f>
        <v xml:space="preserve">31, </v>
      </c>
      <c r="H33" t="str">
        <f>H32</f>
        <v>id:</v>
      </c>
      <c r="I33" t="str">
        <f>_xlfn.CONCAT("""",VLOOKUP(E33,'Index Web'!A$4:O$253,13,FALSE),"""",", ")</f>
        <v xml:space="preserve">"balaam", </v>
      </c>
      <c r="J33" t="s">
        <v>2016</v>
      </c>
      <c r="K33" t="str">
        <f>_xlfn.CONCAT("""",VLOOKUP(E33,'Index Web'!A$4:L$253,3,FALSE),"""")</f>
        <v>"Balaam"</v>
      </c>
      <c r="L33" t="s">
        <v>942</v>
      </c>
      <c r="M33" t="str">
        <f>_xlfn.CONCAT("""",VLOOKUP(E33,'Index Web'!A$4:L$253,4,FALSE),"""")</f>
        <v>"Nm 23,7-24"</v>
      </c>
      <c r="N33" t="s">
        <v>943</v>
      </c>
      <c r="O33" t="str">
        <f>_xlfn.CONCAT("""",VLOOKUP(E33,'Index Web'!A$4:L$253,5,FALSE),"""")</f>
        <v>"Precatecumenado"</v>
      </c>
      <c r="P33" t="s">
        <v>944</v>
      </c>
      <c r="Q33" t="str">
        <f>_xlfn.CONCAT("[",VLOOKUP(E33,'Index Web'!A$4:N$253,14,FALSE),"]")</f>
        <v>["Paz","Final","Antiguo Testamento"]</v>
      </c>
      <c r="R33" t="s">
        <v>945</v>
      </c>
      <c r="S33" t="str">
        <f>_xlfn.CONCAT("""/src/index.html?canto=",VLOOKUP(E33,'Index Web'!A$4:N$253,13,FALSE),""", ")</f>
        <v xml:space="preserve">"/src/index.html?canto=balaam", </v>
      </c>
      <c r="T33" t="str">
        <f>T32</f>
        <v xml:space="preserve">visible: "", </v>
      </c>
      <c r="U33" t="str">
        <f>_xlfn.CONCAT("cejilla: """,C33,""", ")</f>
        <v xml:space="preserve">cejilla: "", </v>
      </c>
      <c r="V33" t="str">
        <f>_xlfn.CONCAT("acorde: """,D33,""", ")</f>
        <v xml:space="preserve">acorde: "Mi", </v>
      </c>
      <c r="W33" t="s">
        <v>2012</v>
      </c>
      <c r="X33" t="s">
        <v>2013</v>
      </c>
      <c r="Y33" t="str">
        <f>_xlfn.CONCAT("""",VLOOKUP(E33,'Index Web'!A$4:O$253,15,FALSE)," ",VLOOKUP(E33,'Index Web'!A$4:O$253,13,FALSE),"""","},")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Z33" t="str">
        <f>_xlfn.CONCAT(F33:Y33)</f>
        <v>{idi:31, id:"balaam", title: "Balaam", subtitle: "Nm 23,7-24", category: "Precatecumenado", moments: ["Paz","Final","Antiguo Testamento"], url: "/src/index.html?canto=balaam", visible: "", cejilla: "", acorde: "Mi", scrollConfig: {"mobile": { "v": 25, "i": 1 },"tablet": { "v": 25, "i": 1 },"desktop": { "v": 7, "i": 1 },"desktopsmall": { "v": 7, "i": 1 }},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4" spans="2:26" x14ac:dyDescent="0.25">
      <c r="B34" s="51" t="s">
        <v>506</v>
      </c>
      <c r="C34" s="1" t="str">
        <f>IF(VLOOKUP(Table4[[#This Row],[Cantounido]],Table7[],3,FALSE)=0,"",VLOOKUP(Table4[[#This Row],[Cantounido]],Table7[],3,FALSE))</f>
        <v/>
      </c>
      <c r="D34" s="44" t="str">
        <f>IF(VLOOKUP(Table4[[#This Row],[Cantounido]],Table7[],4,FALSE)=0,"",VLOOKUP(Table4[[#This Row],[Cantounido]],Table7[],4,FALSE))</f>
        <v>Re</v>
      </c>
      <c r="E34" s="26">
        <v>25</v>
      </c>
      <c r="F34" t="str">
        <f>F33</f>
        <v>{idi:</v>
      </c>
      <c r="G34" t="str">
        <f>_xlfn.CONCAT(VLOOKUP(E34,'Index Web'!A$4:L$253,2,FALSE),", ")</f>
        <v xml:space="preserve">32, </v>
      </c>
      <c r="H34" t="str">
        <f>H33</f>
        <v>id:</v>
      </c>
      <c r="I34" t="str">
        <f>_xlfn.CONCAT("""",VLOOKUP(E34,'Index Web'!A$4:O$253,13,FALSE),"""",", ")</f>
        <v xml:space="preserve">"bendecirealsenorentodotiempo", </v>
      </c>
      <c r="J34" t="s">
        <v>2016</v>
      </c>
      <c r="K34" t="str">
        <f>_xlfn.CONCAT("""",VLOOKUP(E34,'Index Web'!A$4:L$253,3,FALSE),"""")</f>
        <v>"Bendeciré al Señor en todo tiempo"</v>
      </c>
      <c r="L34" t="s">
        <v>942</v>
      </c>
      <c r="M34" t="str">
        <f>_xlfn.CONCAT("""",VLOOKUP(E34,'Index Web'!A$4:L$253,4,FALSE),"""")</f>
        <v>"Salmo 34 (33)"</v>
      </c>
      <c r="N34" t="s">
        <v>943</v>
      </c>
      <c r="O34" t="str">
        <f>_xlfn.CONCAT("""",VLOOKUP(E34,'Index Web'!A$4:L$253,5,FALSE),"""")</f>
        <v>"Precatecumenado"</v>
      </c>
      <c r="P34" t="s">
        <v>944</v>
      </c>
      <c r="Q34" t="str">
        <f>_xlfn.CONCAT("[",VLOOKUP(E34,'Index Web'!A$4:N$253,14,FALSE),"]")</f>
        <v>["Cuaresma","Comunión","Antiguo Testamento"]</v>
      </c>
      <c r="R34" t="s">
        <v>945</v>
      </c>
      <c r="S34" t="str">
        <f>_xlfn.CONCAT("""/src/index.html?canto=",VLOOKUP(E34,'Index Web'!A$4:N$253,13,FALSE),""", ")</f>
        <v xml:space="preserve">"/src/index.html?canto=bendecirealsenorentodotiempo", </v>
      </c>
      <c r="T34" t="str">
        <f>T33</f>
        <v xml:space="preserve">visible: "", </v>
      </c>
      <c r="U34" t="str">
        <f>_xlfn.CONCAT("cejilla: """,C34,""", ")</f>
        <v xml:space="preserve">cejilla: "", </v>
      </c>
      <c r="V34" t="str">
        <f>_xlfn.CONCAT("acorde: """,D34,""", ")</f>
        <v xml:space="preserve">acorde: "Re", </v>
      </c>
      <c r="W34" t="s">
        <v>2012</v>
      </c>
      <c r="X34" t="s">
        <v>2013</v>
      </c>
      <c r="Y34" t="str">
        <f>_xlfn.CONCAT("""",VLOOKUP(E34,'Index Web'!A$4:O$253,15,FALSE)," ",VLOOKUP(E34,'Index Web'!A$4:O$253,13,FALSE),"""","},")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Z34" t="str">
        <f>_xlfn.CONCAT(F34:Y34)</f>
        <v>{idi:32, id:"bendecirealsenorentodotiempo", title: "Bendeciré al Señor en todo tiempo", subtitle: "Salmo 34 (33)", category: "Precatecumenado", moments: ["Cuaresma","Comunión","Antiguo Testamento"], url: "/src/index.html?canto=bendecirealsenorentodotiempo", visible: "", cejilla: "", acorde: "Re", scrollConfig: {"mobile": { "v": 25, "i": 1 },"tablet": { "v": 25, "i": 1 },"desktop": { "v": 7, "i": 1 },"desktopsmall": { "v": 7, "i": 1 }},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5" spans="2:26" x14ac:dyDescent="0.25">
      <c r="B35" s="50" t="s">
        <v>507</v>
      </c>
      <c r="C35" s="1" t="str">
        <f>IF(VLOOKUP(Table4[[#This Row],[Cantounido]],Table7[],3,FALSE)=0,"",VLOOKUP(Table4[[#This Row],[Cantounido]],Table7[],3,FALSE))</f>
        <v/>
      </c>
      <c r="D35" s="44" t="str">
        <f>IF(VLOOKUP(Table4[[#This Row],[Cantounido]],Table7[],4,FALSE)=0,"",VLOOKUP(Table4[[#This Row],[Cantounido]],Table7[],4,FALSE))</f>
        <v>La</v>
      </c>
      <c r="E35" s="25">
        <v>26</v>
      </c>
      <c r="F35" t="str">
        <f>F34</f>
        <v>{idi:</v>
      </c>
      <c r="G35" t="str">
        <f>_xlfn.CONCAT(VLOOKUP(E35,'Index Web'!A$4:L$253,2,FALSE),", ")</f>
        <v xml:space="preserve">33, </v>
      </c>
      <c r="H35" t="str">
        <f>H34</f>
        <v>id:</v>
      </c>
      <c r="I35" t="str">
        <f>_xlfn.CONCAT("""",VLOOKUP(E35,'Index Web'!A$4:O$253,13,FALSE),"""",", ")</f>
        <v xml:space="preserve">"bendicealmamiaayahveh", </v>
      </c>
      <c r="J35" t="s">
        <v>2016</v>
      </c>
      <c r="K35" t="str">
        <f>_xlfn.CONCAT("""",VLOOKUP(E35,'Index Web'!A$4:L$253,3,FALSE),"""")</f>
        <v>"Bendice, alma mía, a Yahveh"</v>
      </c>
      <c r="L35" t="s">
        <v>942</v>
      </c>
      <c r="M35" t="str">
        <f>_xlfn.CONCAT("""",VLOOKUP(E35,'Index Web'!A$4:L$253,4,FALSE),"""")</f>
        <v>"Salmo 103 (102)"</v>
      </c>
      <c r="N35" t="s">
        <v>943</v>
      </c>
      <c r="O35" t="str">
        <f>_xlfn.CONCAT("""",VLOOKUP(E35,'Index Web'!A$4:L$253,5,FALSE),"""")</f>
        <v>"Precatecumenado"</v>
      </c>
      <c r="P35" t="s">
        <v>944</v>
      </c>
      <c r="Q35" t="str">
        <f>_xlfn.CONCAT("[",VLOOKUP(E35,'Index Web'!A$4:N$253,14,FALSE),"]")</f>
        <v>["Cuaresma","Antiguo Testamento"]</v>
      </c>
      <c r="R35" t="s">
        <v>945</v>
      </c>
      <c r="S35" t="str">
        <f>_xlfn.CONCAT("""/src/index.html?canto=",VLOOKUP(E35,'Index Web'!A$4:N$253,13,FALSE),""", ")</f>
        <v xml:space="preserve">"/src/index.html?canto=bendicealmamiaayahveh", </v>
      </c>
      <c r="T35" t="str">
        <f>T34</f>
        <v xml:space="preserve">visible: "", </v>
      </c>
      <c r="U35" t="str">
        <f>_xlfn.CONCAT("cejilla: """,C35,""", ")</f>
        <v xml:space="preserve">cejilla: "", </v>
      </c>
      <c r="V35" t="str">
        <f>_xlfn.CONCAT("acorde: """,D35,""", ")</f>
        <v xml:space="preserve">acorde: "La", </v>
      </c>
      <c r="W35" t="s">
        <v>2012</v>
      </c>
      <c r="X35" t="s">
        <v>2013</v>
      </c>
      <c r="Y35" t="str">
        <f>_xlfn.CONCAT("""",VLOOKUP(E35,'Index Web'!A$4:O$253,15,FALSE)," ",VLOOKUP(E35,'Index Web'!A$4:O$253,13,FALSE),"""","},")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Z35" t="str">
        <f>_xlfn.CONCAT(F35:Y35)</f>
        <v>{idi:33, id:"bendicealmamiaayahveh", title: "Bendice, alma mía, a Yahveh", subtitle: "Salmo 103 (102)", category: "Precatecumenado", moments: ["Cuaresma","Antiguo Testamento"], url: "/src/index.html?canto=bendicealmamiaayahveh", visible: "", cejilla: "", acorde: "La", scrollConfig: {"mobile": { "v": 25, "i": 1 },"tablet": { "v": 25, "i": 1 },"desktop": { "v": 7, "i": 1 },"desktopsmall": { "v": 7, "i": 1 }},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6" spans="2:26" x14ac:dyDescent="0.25">
      <c r="B36" s="52" t="s">
        <v>659</v>
      </c>
      <c r="C36" s="1" t="str">
        <f>IF(VLOOKUP(Table4[[#This Row],[Cantounido]],Table7[],3,FALSE)=0,"",VLOOKUP(Table4[[#This Row],[Cantounido]],Table7[],3,FALSE))</f>
        <v/>
      </c>
      <c r="D36" s="44" t="str">
        <f>IF(VLOOKUP(Table4[[#This Row],[Cantounido]],Table7[],4,FALSE)=0,"",VLOOKUP(Table4[[#This Row],[Cantounido]],Table7[],4,FALSE))</f>
        <v>Mi</v>
      </c>
      <c r="E36" s="27">
        <v>183</v>
      </c>
      <c r="F36" t="str">
        <f>F35</f>
        <v>{idi:</v>
      </c>
      <c r="G36" t="str">
        <f>_xlfn.CONCAT(VLOOKUP(E36,'Index Web'!A$4:L$253,2,FALSE),", ")</f>
        <v xml:space="preserve">34, </v>
      </c>
      <c r="H36" t="str">
        <f>H35</f>
        <v>id:</v>
      </c>
      <c r="I36" t="str">
        <f>_xlfn.CONCAT("""",VLOOKUP(E36,'Index Web'!A$4:O$253,13,FALSE),"""",", ")</f>
        <v xml:space="preserve">"bendiciondelagua", </v>
      </c>
      <c r="J36" t="s">
        <v>2016</v>
      </c>
      <c r="K36" t="str">
        <f>_xlfn.CONCAT("""",VLOOKUP(E36,'Index Web'!A$4:L$253,3,FALSE),"""")</f>
        <v>"Bendición del agua"</v>
      </c>
      <c r="L36" t="s">
        <v>942</v>
      </c>
      <c r="M36" t="str">
        <f>_xlfn.CONCAT("""",VLOOKUP(E36,'Index Web'!A$4:L$253,4,FALSE),"""")</f>
        <v>"De la liturgia bautismal de la Vigilia Pascual"</v>
      </c>
      <c r="N36" t="s">
        <v>943</v>
      </c>
      <c r="O36" t="str">
        <f>_xlfn.CONCAT("""",VLOOKUP(E36,'Index Web'!A$4:L$253,5,FALSE),"""")</f>
        <v>"Liturgia"</v>
      </c>
      <c r="P36" t="s">
        <v>944</v>
      </c>
      <c r="Q36" t="str">
        <f>_xlfn.CONCAT("[",VLOOKUP(E36,'Index Web'!A$4:N$253,14,FALSE),"]")</f>
        <v>[""]</v>
      </c>
      <c r="R36" t="s">
        <v>945</v>
      </c>
      <c r="S36" t="str">
        <f>_xlfn.CONCAT("""/src/index.html?canto=",VLOOKUP(E36,'Index Web'!A$4:N$253,13,FALSE),""", ")</f>
        <v xml:space="preserve">"/src/index.html?canto=bendiciondelagua", </v>
      </c>
      <c r="T36" t="str">
        <f>T35</f>
        <v xml:space="preserve">visible: "", </v>
      </c>
      <c r="U36" t="str">
        <f>_xlfn.CONCAT("cejilla: """,C36,""", ")</f>
        <v xml:space="preserve">cejilla: "", </v>
      </c>
      <c r="V36" t="str">
        <f>_xlfn.CONCAT("acorde: """,D36,""", ")</f>
        <v xml:space="preserve">acorde: "Mi", </v>
      </c>
      <c r="W36" t="s">
        <v>2012</v>
      </c>
      <c r="X36" t="s">
        <v>2013</v>
      </c>
      <c r="Y36" t="str">
        <f>_xlfn.CONCAT("""",VLOOKUP(E36,'Index Web'!A$4:O$253,15,FALSE)," ",VLOOKUP(E36,'Index Web'!A$4:O$253,13,FALSE),"""","},")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Z36" t="str">
        <f>_xlfn.CONCAT(F36:Y36)</f>
        <v>{idi:34, id:"bendiciondelagua", title: "Bendición del agua", subtitle: "De la liturgia bautismal de la Vigilia Pascual", category: "Liturgia", moments: [""], url: "/src/index.html?canto=bendiciondelagua", visible: "", cejilla: "", acorde: "Mi", scrollConfig: {"mobile": { "v": 25, "i": 1 },"tablet": { "v": 25, "i": 1 },"desktop": { "v": 7, "i": 1 },"desktopsmall": { "v": 7, "i": 1 }},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7" spans="2:26" x14ac:dyDescent="0.25">
      <c r="B37" s="50" t="s">
        <v>508</v>
      </c>
      <c r="C37" s="1">
        <f>IF(VLOOKUP(Table4[[#This Row],[Cantounido]],Table7[],3,FALSE)=0,"",VLOOKUP(Table4[[#This Row],[Cantounido]],Table7[],3,FALSE))</f>
        <v>3</v>
      </c>
      <c r="D37" s="44" t="str">
        <f>IF(VLOOKUP(Table4[[#This Row],[Cantounido]],Table7[],4,FALSE)=0,"",VLOOKUP(Table4[[#This Row],[Cantounido]],Table7[],4,FALSE))</f>
        <v>La</v>
      </c>
      <c r="E37" s="25">
        <v>27</v>
      </c>
      <c r="F37" t="str">
        <f>F36</f>
        <v>{idi:</v>
      </c>
      <c r="G37" t="str">
        <f>_xlfn.CONCAT(VLOOKUP(E37,'Index Web'!A$4:L$253,2,FALSE),", ")</f>
        <v xml:space="preserve">35, </v>
      </c>
      <c r="H37" t="str">
        <f>H36</f>
        <v>id:</v>
      </c>
      <c r="I37" t="str">
        <f>_xlfn.CONCAT("""",VLOOKUP(E37,'Index Web'!A$4:O$253,13,FALSE),"""",", ")</f>
        <v xml:space="preserve">"benditaerestumaria", </v>
      </c>
      <c r="J37" t="s">
        <v>2016</v>
      </c>
      <c r="K37" t="str">
        <f>_xlfn.CONCAT("""",VLOOKUP(E37,'Index Web'!A$4:L$253,3,FALSE),"""")</f>
        <v>"Bendita eres tú, María"</v>
      </c>
      <c r="L37" t="s">
        <v>942</v>
      </c>
      <c r="M37" t="str">
        <f>_xlfn.CONCAT("""",VLOOKUP(E37,'Index Web'!A$4:L$253,4,FALSE),"""")</f>
        <v>"Lucas 1,42-45"</v>
      </c>
      <c r="N37" t="s">
        <v>943</v>
      </c>
      <c r="O37" t="str">
        <f>_xlfn.CONCAT("""",VLOOKUP(E37,'Index Web'!A$4:L$253,5,FALSE),"""")</f>
        <v>"Precatecumenado"</v>
      </c>
      <c r="P37" t="s">
        <v>944</v>
      </c>
      <c r="Q37" t="str">
        <f>_xlfn.CONCAT("[",VLOOKUP(E37,'Index Web'!A$4:N$253,14,FALSE),"]")</f>
        <v>["Vírgen María","Entrada","Nuevo Testamento"]</v>
      </c>
      <c r="R37" t="s">
        <v>945</v>
      </c>
      <c r="S37" t="str">
        <f>_xlfn.CONCAT("""/src/index.html?canto=",VLOOKUP(E37,'Index Web'!A$4:N$253,13,FALSE),""", ")</f>
        <v xml:space="preserve">"/src/index.html?canto=benditaerestumaria", </v>
      </c>
      <c r="T37" t="str">
        <f>T36</f>
        <v xml:space="preserve">visible: "", </v>
      </c>
      <c r="U37" t="str">
        <f>_xlfn.CONCAT("cejilla: """,C37,""", ")</f>
        <v xml:space="preserve">cejilla: "3", </v>
      </c>
      <c r="V37" t="str">
        <f>_xlfn.CONCAT("acorde: """,D37,""", ")</f>
        <v xml:space="preserve">acorde: "La", </v>
      </c>
      <c r="W37" t="s">
        <v>2012</v>
      </c>
      <c r="X37" t="s">
        <v>2013</v>
      </c>
      <c r="Y37" t="str">
        <f>_xlfn.CONCAT("""",VLOOKUP(E37,'Index Web'!A$4:O$253,15,FALSE)," ",VLOOKUP(E37,'Index Web'!A$4:O$253,13,FALSE),"""","},")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Z37" t="str">
        <f>_xlfn.CONCAT(F37:Y37)</f>
        <v>{idi:35, id:"benditaerestumaria", title: "Bendita eres tú, María", subtitle: "Lucas 1,42-45", category: "Precatecumenado", moments: ["Vírgen María","Entrada","Nuevo Testamento"], url: "/src/index.html?canto=benditaerestumaria", visible: "", cejilla: "3", acorde: "La", scrollConfig: {"mobile": { "v": 25, "i": 1 },"tablet": { "v": 25, "i": 1 },"desktop": { "v": 7, "i": 1 },"desktopsmall": { "v": 7, "i": 1 }},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8" spans="2:26" x14ac:dyDescent="0.25">
      <c r="B38" s="51" t="s">
        <v>509</v>
      </c>
      <c r="C38" s="1" t="str">
        <f>IF(VLOOKUP(Table4[[#This Row],[Cantounido]],Table7[],3,FALSE)=0,"",VLOOKUP(Table4[[#This Row],[Cantounido]],Table7[],3,FALSE))</f>
        <v/>
      </c>
      <c r="D38" s="44" t="str">
        <f>IF(VLOOKUP(Table4[[#This Row],[Cantounido]],Table7[],4,FALSE)=0,"",VLOOKUP(Table4[[#This Row],[Cantounido]],Table7[],4,FALSE))</f>
        <v>Sol</v>
      </c>
      <c r="E38" s="26">
        <v>28</v>
      </c>
      <c r="F38" t="str">
        <f>F37</f>
        <v>{idi:</v>
      </c>
      <c r="G38" t="str">
        <f>_xlfn.CONCAT(VLOOKUP(E38,'Index Web'!A$4:L$253,2,FALSE),", ")</f>
        <v xml:space="preserve">36, </v>
      </c>
      <c r="H38" t="str">
        <f>H37</f>
        <v>id:</v>
      </c>
      <c r="I38" t="str">
        <f>_xlfn.CONCAT("""",VLOOKUP(E38,'Index Web'!A$4:O$253,13,FALSE),"""",", ")</f>
        <v xml:space="preserve">"benditoeressenor", </v>
      </c>
      <c r="J38" t="s">
        <v>2016</v>
      </c>
      <c r="K38" t="str">
        <f>_xlfn.CONCAT("""",VLOOKUP(E38,'Index Web'!A$4:L$253,3,FALSE),"""")</f>
        <v>"Bendito eres, Señor "</v>
      </c>
      <c r="L38" t="s">
        <v>942</v>
      </c>
      <c r="M38" t="str">
        <f>_xlfn.CONCAT("""",VLOOKUP(E38,'Index Web'!A$4:L$253,4,FALSE),"""")</f>
        <v>"Daniel 3,52-57"</v>
      </c>
      <c r="N38" t="s">
        <v>943</v>
      </c>
      <c r="O38" t="str">
        <f>_xlfn.CONCAT("""",VLOOKUP(E38,'Index Web'!A$4:L$253,5,FALSE),"""")</f>
        <v>"Precatecumenado"</v>
      </c>
      <c r="P38" t="s">
        <v>944</v>
      </c>
      <c r="Q38" t="str">
        <f>_xlfn.CONCAT("[",VLOOKUP(E38,'Index Web'!A$4:N$253,14,FALSE),"]")</f>
        <v>["Antiguo Testamento"]</v>
      </c>
      <c r="R38" t="s">
        <v>945</v>
      </c>
      <c r="S38" t="str">
        <f>_xlfn.CONCAT("""/src/index.html?canto=",VLOOKUP(E38,'Index Web'!A$4:N$253,13,FALSE),""", ")</f>
        <v xml:space="preserve">"/src/index.html?canto=benditoeressenor", </v>
      </c>
      <c r="T38" t="str">
        <f>T37</f>
        <v xml:space="preserve">visible: "", </v>
      </c>
      <c r="U38" t="str">
        <f>_xlfn.CONCAT("cejilla: """,C38,""", ")</f>
        <v xml:space="preserve">cejilla: "", </v>
      </c>
      <c r="V38" t="str">
        <f>_xlfn.CONCAT("acorde: """,D38,""", ")</f>
        <v xml:space="preserve">acorde: "Sol", </v>
      </c>
      <c r="W38" t="s">
        <v>2012</v>
      </c>
      <c r="X38" t="s">
        <v>2013</v>
      </c>
      <c r="Y38" t="str">
        <f>_xlfn.CONCAT("""",VLOOKUP(E38,'Index Web'!A$4:O$253,15,FALSE)," ",VLOOKUP(E38,'Index Web'!A$4:O$253,13,FALSE),"""","},")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Z38" t="str">
        <f>_xlfn.CONCAT(F38:Y38)</f>
        <v>{idi:36, id:"benditoeressenor", title: "Bendito eres, Señor ", subtitle: "Daniel 3,52-57", category: "Precatecumenado", moments: ["Antiguo Testamento"], url: "/src/index.html?canto=benditoeressenor", visible: "", cejilla: "", acorde: "Sol", scrollConfig: {"mobile": { "v": 25, "i": 1 },"tablet": { "v": 25, "i": 1 },"desktop": { "v": 7, "i": 1 },"desktopsmall": { "v": 7, "i": 1 }},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9" spans="2:26" x14ac:dyDescent="0.25">
      <c r="B39" s="50" t="s">
        <v>510</v>
      </c>
      <c r="C39" s="1" t="str">
        <f>IF(VLOOKUP(Table4[[#This Row],[Cantounido]],Table7[],3,FALSE)=0,"",VLOOKUP(Table4[[#This Row],[Cantounido]],Table7[],3,FALSE))</f>
        <v/>
      </c>
      <c r="D39" s="44" t="str">
        <f>IF(VLOOKUP(Table4[[#This Row],[Cantounido]],Table7[],4,FALSE)=0,"",VLOOKUP(Table4[[#This Row],[Cantounido]],Table7[],4,FALSE))</f>
        <v>Re</v>
      </c>
      <c r="E39" s="25">
        <v>29</v>
      </c>
      <c r="F39" t="str">
        <f>F38</f>
        <v>{idi:</v>
      </c>
      <c r="G39" t="str">
        <f>_xlfn.CONCAT(VLOOKUP(E39,'Index Web'!A$4:L$253,2,FALSE),", ")</f>
        <v xml:space="preserve">37, </v>
      </c>
      <c r="H39" t="str">
        <f>H38</f>
        <v>id:</v>
      </c>
      <c r="I39" t="str">
        <f>_xlfn.CONCAT("""",VLOOKUP(E39,'Index Web'!A$4:O$253,13,FALSE),"""",", ")</f>
        <v xml:space="preserve">"benditoseadios", </v>
      </c>
      <c r="J39" t="s">
        <v>2016</v>
      </c>
      <c r="K39" t="str">
        <f>_xlfn.CONCAT("""",VLOOKUP(E39,'Index Web'!A$4:L$253,3,FALSE),"""")</f>
        <v>"Bendito sea Dios"</v>
      </c>
      <c r="L39" t="s">
        <v>942</v>
      </c>
      <c r="M39" t="str">
        <f>_xlfn.CONCAT("""",VLOOKUP(E39,'Index Web'!A$4:L$253,4,FALSE),"""")</f>
        <v>"Efesios 1,3-13"</v>
      </c>
      <c r="N39" t="s">
        <v>943</v>
      </c>
      <c r="O39" t="str">
        <f>_xlfn.CONCAT("""",VLOOKUP(E39,'Index Web'!A$4:L$253,5,FALSE),"""")</f>
        <v>"Precatecumenado"</v>
      </c>
      <c r="P39" t="s">
        <v>944</v>
      </c>
      <c r="Q39" t="str">
        <f>_xlfn.CONCAT("[",VLOOKUP(E39,'Index Web'!A$4:N$253,14,FALSE),"]")</f>
        <v>["Adviento","Navidad","Nuevo Testamento"]</v>
      </c>
      <c r="R39" t="s">
        <v>945</v>
      </c>
      <c r="S39" t="str">
        <f>_xlfn.CONCAT("""/src/index.html?canto=",VLOOKUP(E39,'Index Web'!A$4:N$253,13,FALSE),""", ")</f>
        <v xml:space="preserve">"/src/index.html?canto=benditoseadios", </v>
      </c>
      <c r="T39" t="str">
        <f>T38</f>
        <v xml:space="preserve">visible: "", </v>
      </c>
      <c r="U39" t="str">
        <f>_xlfn.CONCAT("cejilla: """,C39,""", ")</f>
        <v xml:space="preserve">cejilla: "", </v>
      </c>
      <c r="V39" t="str">
        <f>_xlfn.CONCAT("acorde: """,D39,""", ")</f>
        <v xml:space="preserve">acorde: "Re", </v>
      </c>
      <c r="W39" t="s">
        <v>2012</v>
      </c>
      <c r="X39" t="s">
        <v>2013</v>
      </c>
      <c r="Y39" t="str">
        <f>_xlfn.CONCAT("""",VLOOKUP(E39,'Index Web'!A$4:O$253,15,FALSE)," ",VLOOKUP(E39,'Index Web'!A$4:O$253,13,FALSE),"""","},")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Z39" t="str">
        <f>_xlfn.CONCAT(F39:Y39)</f>
        <v>{idi:37, id:"benditoseadios", title: "Bendito sea Dios", subtitle: "Efesios 1,3-13", category: "Precatecumenado", moments: ["Adviento","Navidad","Nuevo Testamento"], url: "/src/index.html?canto=benditoseadios", visible: "", cejilla: "", acorde: "Re", scrollConfig: {"mobile": { "v": 25, "i": 1 },"tablet": { "v": 25, "i": 1 },"desktop": { "v": 7, "i": 1 },"desktopsmall": { "v": 7, "i": 1 }},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40" spans="2:26" x14ac:dyDescent="0.25">
      <c r="B40" s="51" t="s">
        <v>511</v>
      </c>
      <c r="C40" s="1" t="str">
        <f>IF(VLOOKUP(Table4[[#This Row],[Cantounido]],Table7[],3,FALSE)=0,"",VLOOKUP(Table4[[#This Row],[Cantounido]],Table7[],3,FALSE))</f>
        <v/>
      </c>
      <c r="D40" s="44" t="str">
        <f>IF(VLOOKUP(Table4[[#This Row],[Cantounido]],Table7[],4,FALSE)=0,"",VLOOKUP(Table4[[#This Row],[Cantounido]],Table7[],4,FALSE))</f>
        <v>Re</v>
      </c>
      <c r="E40" s="26">
        <v>30</v>
      </c>
      <c r="F40" t="str">
        <f>F39</f>
        <v>{idi:</v>
      </c>
      <c r="G40" t="str">
        <f>_xlfn.CONCAT(VLOOKUP(E40,'Index Web'!A$4:L$253,2,FALSE),", ")</f>
        <v xml:space="preserve">38, </v>
      </c>
      <c r="H40" t="str">
        <f>H39</f>
        <v>id:</v>
      </c>
      <c r="I40" t="str">
        <f>_xlfn.CONCAT("""",VLOOKUP(E40,'Index Web'!A$4:O$253,13,FALSE),"""",", ")</f>
        <v xml:space="preserve">"benedictus", </v>
      </c>
      <c r="J40" t="s">
        <v>2016</v>
      </c>
      <c r="K40" t="str">
        <f>_xlfn.CONCAT("""",VLOOKUP(E40,'Index Web'!A$4:L$253,3,FALSE),"""")</f>
        <v>"Benedictus "</v>
      </c>
      <c r="L40" t="s">
        <v>942</v>
      </c>
      <c r="M40" t="str">
        <f>_xlfn.CONCAT("""",VLOOKUP(E40,'Index Web'!A$4:L$253,4,FALSE),"""")</f>
        <v>"Lucas 1,67-80"</v>
      </c>
      <c r="N40" t="s">
        <v>943</v>
      </c>
      <c r="O40" t="str">
        <f>_xlfn.CONCAT("""",VLOOKUP(E40,'Index Web'!A$4:L$253,5,FALSE),"""")</f>
        <v>"Precatecumenado"</v>
      </c>
      <c r="P40" t="s">
        <v>944</v>
      </c>
      <c r="Q40" t="str">
        <f>_xlfn.CONCAT("[",VLOOKUP(E40,'Index Web'!A$4:N$253,14,FALSE),"]")</f>
        <v>["Nuevo Testamento"]</v>
      </c>
      <c r="R40" t="s">
        <v>945</v>
      </c>
      <c r="S40" t="str">
        <f>_xlfn.CONCAT("""/src/index.html?canto=",VLOOKUP(E40,'Index Web'!A$4:N$253,13,FALSE),""", ")</f>
        <v xml:space="preserve">"/src/index.html?canto=benedictus", </v>
      </c>
      <c r="T40" t="str">
        <f>T39</f>
        <v xml:space="preserve">visible: "", </v>
      </c>
      <c r="U40" t="str">
        <f>_xlfn.CONCAT("cejilla: """,C40,""", ")</f>
        <v xml:space="preserve">cejilla: "", </v>
      </c>
      <c r="V40" t="str">
        <f>_xlfn.CONCAT("acorde: """,D40,""", ")</f>
        <v xml:space="preserve">acorde: "Re", </v>
      </c>
      <c r="W40" t="s">
        <v>2012</v>
      </c>
      <c r="X40" t="s">
        <v>2013</v>
      </c>
      <c r="Y40" t="str">
        <f>_xlfn.CONCAT("""",VLOOKUP(E40,'Index Web'!A$4:O$253,15,FALSE)," ",VLOOKUP(E40,'Index Web'!A$4:O$253,13,FALSE),"""","},")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Z40" t="str">
        <f>_xlfn.CONCAT(F40:Y40)</f>
        <v>{idi:38, id:"benedictus", title: "Benedictus ", subtitle: "Lucas 1,67-80", category: "Precatecumenado", moments: ["Nuevo Testamento"], url: "/src/index.html?canto=benedictus", visible: "", cejilla: "", acorde: "Re", scrollConfig: {"mobile": { "v": 25, "i": 1 },"tablet": { "v": 25, "i": 1 },"desktop": { "v": 7, "i": 1 },"desktopsmall": { "v": 7, "i": 1 }},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1" spans="2:26" x14ac:dyDescent="0.25">
      <c r="B41" s="50" t="s">
        <v>512</v>
      </c>
      <c r="C41" s="1" t="str">
        <f>IF(VLOOKUP(Table4[[#This Row],[Cantounido]],Table7[],3,FALSE)=0,"",VLOOKUP(Table4[[#This Row],[Cantounido]],Table7[],3,FALSE))</f>
        <v/>
      </c>
      <c r="D41" s="44" t="str">
        <f>IF(VLOOKUP(Table4[[#This Row],[Cantounido]],Table7[],4,FALSE)=0,"",VLOOKUP(Table4[[#This Row],[Cantounido]],Table7[],4,FALSE))</f>
        <v>Mi</v>
      </c>
      <c r="E41" s="25">
        <v>31</v>
      </c>
      <c r="F41" t="str">
        <f>F40</f>
        <v>{idi:</v>
      </c>
      <c r="G41" t="str">
        <f>_xlfn.CONCAT(VLOOKUP(E41,'Index Web'!A$4:L$253,2,FALSE),", ")</f>
        <v xml:space="preserve">39, </v>
      </c>
      <c r="H41" t="str">
        <f>H40</f>
        <v>id:</v>
      </c>
      <c r="I41" t="str">
        <f>_xlfn.CONCAT("""",VLOOKUP(E41,'Index Web'!A$4:O$253,13,FALSE),"""",", ")</f>
        <v xml:space="preserve">"cantadadios", </v>
      </c>
      <c r="J41" t="s">
        <v>2016</v>
      </c>
      <c r="K41" t="str">
        <f>_xlfn.CONCAT("""",VLOOKUP(E41,'Index Web'!A$4:L$253,3,FALSE),"""")</f>
        <v>"Cantad a Dios "</v>
      </c>
      <c r="L41" t="s">
        <v>942</v>
      </c>
      <c r="M41" t="str">
        <f>_xlfn.CONCAT("""",VLOOKUP(E41,'Index Web'!A$4:L$253,4,FALSE),"""")</f>
        <v>"Salmo 67 (68) 2.4-7"</v>
      </c>
      <c r="N41" t="s">
        <v>943</v>
      </c>
      <c r="O41" t="str">
        <f>_xlfn.CONCAT("""",VLOOKUP(E41,'Index Web'!A$4:L$253,5,FALSE),"""")</f>
        <v>"Precatecumenado"</v>
      </c>
      <c r="P41" t="s">
        <v>944</v>
      </c>
      <c r="Q41" t="str">
        <f>_xlfn.CONCAT("[",VLOOKUP(E41,'Index Web'!A$4:N$253,14,FALSE),"]")</f>
        <v>["Antiguo Testamento"]</v>
      </c>
      <c r="R41" t="s">
        <v>945</v>
      </c>
      <c r="S41" t="str">
        <f>_xlfn.CONCAT("""/src/index.html?canto=",VLOOKUP(E41,'Index Web'!A$4:N$253,13,FALSE),""", ")</f>
        <v xml:space="preserve">"/src/index.html?canto=cantadadios", </v>
      </c>
      <c r="T41" t="str">
        <f>T40</f>
        <v xml:space="preserve">visible: "", </v>
      </c>
      <c r="U41" t="str">
        <f>_xlfn.CONCAT("cejilla: """,C41,""", ")</f>
        <v xml:space="preserve">cejilla: "", </v>
      </c>
      <c r="V41" t="str">
        <f>_xlfn.CONCAT("acorde: """,D41,""", ")</f>
        <v xml:space="preserve">acorde: "Mi", </v>
      </c>
      <c r="W41" t="s">
        <v>2012</v>
      </c>
      <c r="X41" t="s">
        <v>2013</v>
      </c>
      <c r="Y41" t="str">
        <f>_xlfn.CONCAT("""",VLOOKUP(E41,'Index Web'!A$4:O$253,15,FALSE)," ",VLOOKUP(E41,'Index Web'!A$4:O$253,13,FALSE),"""","},")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Z41" t="str">
        <f>_xlfn.CONCAT(F41:Y41)</f>
        <v>{idi:39, id:"cantadadios", title: "Cantad a Dios ", subtitle: "Salmo 67 (68) 2.4-7", category: "Precatecumenado", moments: ["Antiguo Testamento"], url: "/src/index.html?canto=cantadadios", visible: "", cejilla: "", acorde: "Mi", scrollConfig: {"mobile": { "v": 25, "i": 1 },"tablet": { "v": 25, "i": 1 },"desktop": { "v": 7, "i": 1 },"desktopsmall": { "v": 7, "i": 1 }},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2" spans="2:26" x14ac:dyDescent="0.25">
      <c r="B42" s="51" t="s">
        <v>513</v>
      </c>
      <c r="C42" s="1" t="str">
        <f>IF(VLOOKUP(Table4[[#This Row],[Cantounido]],Table7[],3,FALSE)=0,"",VLOOKUP(Table4[[#This Row],[Cantounido]],Table7[],3,FALSE))</f>
        <v/>
      </c>
      <c r="D42" s="44" t="str">
        <f>IF(VLOOKUP(Table4[[#This Row],[Cantounido]],Table7[],4,FALSE)=0,"",VLOOKUP(Table4[[#This Row],[Cantounido]],Table7[],4,FALSE))</f>
        <v>Sol</v>
      </c>
      <c r="E42" s="26">
        <v>32</v>
      </c>
      <c r="F42" t="str">
        <f>F41</f>
        <v>{idi:</v>
      </c>
      <c r="G42" t="str">
        <f>_xlfn.CONCAT(VLOOKUP(E42,'Index Web'!A$4:L$253,2,FALSE),", ")</f>
        <v xml:space="preserve">40, </v>
      </c>
      <c r="H42" t="str">
        <f>H41</f>
        <v>id:</v>
      </c>
      <c r="I42" t="str">
        <f>_xlfn.CONCAT("""",VLOOKUP(E42,'Index Web'!A$4:O$253,13,FALSE),"""",", ")</f>
        <v xml:space="preserve">"cantadalsenor", </v>
      </c>
      <c r="J42" t="s">
        <v>2016</v>
      </c>
      <c r="K42" t="str">
        <f>_xlfn.CONCAT("""",VLOOKUP(E42,'Index Web'!A$4:L$253,3,FALSE),"""")</f>
        <v>"Cantad al Señor"</v>
      </c>
      <c r="L42" t="s">
        <v>942</v>
      </c>
      <c r="M42" t="str">
        <f>_xlfn.CONCAT("""",VLOOKUP(E42,'Index Web'!A$4:L$253,4,FALSE),"""")</f>
        <v>"Salmo 117 (116)"</v>
      </c>
      <c r="N42" t="s">
        <v>943</v>
      </c>
      <c r="O42" t="str">
        <f>_xlfn.CONCAT("""",VLOOKUP(E42,'Index Web'!A$4:L$253,5,FALSE),"""")</f>
        <v>"Precatecumenado"</v>
      </c>
      <c r="P42" t="s">
        <v>944</v>
      </c>
      <c r="Q42" t="str">
        <f>_xlfn.CONCAT("[",VLOOKUP(E42,'Index Web'!A$4:N$253,14,FALSE),"]")</f>
        <v>["Entrada","Antiguo Testamento"]</v>
      </c>
      <c r="R42" t="s">
        <v>945</v>
      </c>
      <c r="S42" t="str">
        <f>_xlfn.CONCAT("""/src/index.html?canto=",VLOOKUP(E42,'Index Web'!A$4:N$253,13,FALSE),""", ")</f>
        <v xml:space="preserve">"/src/index.html?canto=cantadalsenor", </v>
      </c>
      <c r="T42" t="str">
        <f>T41</f>
        <v xml:space="preserve">visible: "", </v>
      </c>
      <c r="U42" t="str">
        <f>_xlfn.CONCAT("cejilla: """,C42,""", ")</f>
        <v xml:space="preserve">cejilla: "", </v>
      </c>
      <c r="V42" t="str">
        <f>_xlfn.CONCAT("acorde: """,D42,""", ")</f>
        <v xml:space="preserve">acorde: "Sol", </v>
      </c>
      <c r="W42" t="s">
        <v>2012</v>
      </c>
      <c r="X42" t="s">
        <v>2013</v>
      </c>
      <c r="Y42" t="str">
        <f>_xlfn.CONCAT("""",VLOOKUP(E42,'Index Web'!A$4:O$253,15,FALSE)," ",VLOOKUP(E42,'Index Web'!A$4:O$253,13,FALSE),"""","},")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Z42" t="str">
        <f>_xlfn.CONCAT(F42:Y42)</f>
        <v>{idi:40, id:"cantadalsenor", title: "Cantad al Señor", subtitle: "Salmo 117 (116)", category: "Precatecumenado", moments: ["Entrada","Antiguo Testamento"], url: "/src/index.html?canto=cantadalsenor", visible: "", cejilla: "", acorde: "Sol", scrollConfig: {"mobile": { "v": 25, "i": 1 },"tablet": { "v": 25, "i": 1 },"desktop": { "v": 7, "i": 1 },"desktopsmall": { "v": 7, "i": 1 }},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3" spans="2:26" x14ac:dyDescent="0.25">
      <c r="B43" s="50" t="s">
        <v>514</v>
      </c>
      <c r="C43" s="1" t="str">
        <f>IF(VLOOKUP(Table4[[#This Row],[Cantounido]],Table7[],3,FALSE)=0,"",VLOOKUP(Table4[[#This Row],[Cantounido]],Table7[],3,FALSE))</f>
        <v/>
      </c>
      <c r="D43" s="44" t="str">
        <f>IF(VLOOKUP(Table4[[#This Row],[Cantounido]],Table7[],4,FALSE)=0,"",VLOOKUP(Table4[[#This Row],[Cantounido]],Table7[],4,FALSE))</f>
        <v>La</v>
      </c>
      <c r="E43" s="25">
        <v>33</v>
      </c>
      <c r="F43" t="str">
        <f>F42</f>
        <v>{idi:</v>
      </c>
      <c r="G43" t="str">
        <f>_xlfn.CONCAT(VLOOKUP(E43,'Index Web'!A$4:L$253,2,FALSE),", ")</f>
        <v xml:space="preserve">41, </v>
      </c>
      <c r="H43" t="str">
        <f>H42</f>
        <v>id:</v>
      </c>
      <c r="I43" t="str">
        <f>_xlfn.CONCAT("""",VLOOKUP(E43,'Index Web'!A$4:O$253,13,FALSE),"""",", ")</f>
        <v xml:space="preserve">"canticodelostresjovenes", </v>
      </c>
      <c r="J43" t="s">
        <v>2016</v>
      </c>
      <c r="K43" t="str">
        <f>_xlfn.CONCAT("""",VLOOKUP(E43,'Index Web'!A$4:L$253,3,FALSE),"""")</f>
        <v>"Cántico de los tres jóvenes "</v>
      </c>
      <c r="L43" t="s">
        <v>942</v>
      </c>
      <c r="M43" t="str">
        <f>_xlfn.CONCAT("""",VLOOKUP(E43,'Index Web'!A$4:L$253,4,FALSE),"""")</f>
        <v>"Daniel 3,57-58"</v>
      </c>
      <c r="N43" t="s">
        <v>943</v>
      </c>
      <c r="O43" t="str">
        <f>_xlfn.CONCAT("""",VLOOKUP(E43,'Index Web'!A$4:L$253,5,FALSE),"""")</f>
        <v>"Precatecumenado"</v>
      </c>
      <c r="P43" t="s">
        <v>944</v>
      </c>
      <c r="Q43" t="str">
        <f>_xlfn.CONCAT("[",VLOOKUP(E43,'Index Web'!A$4:N$253,14,FALSE),"]")</f>
        <v>["Antiguo Testamento"]</v>
      </c>
      <c r="R43" t="s">
        <v>945</v>
      </c>
      <c r="S43" t="str">
        <f>_xlfn.CONCAT("""/src/index.html?canto=",VLOOKUP(E43,'Index Web'!A$4:N$253,13,FALSE),""", ")</f>
        <v xml:space="preserve">"/src/index.html?canto=canticodelostresjovenes", </v>
      </c>
      <c r="T43" t="str">
        <f>T42</f>
        <v xml:space="preserve">visible: "", </v>
      </c>
      <c r="U43" t="str">
        <f>_xlfn.CONCAT("cejilla: """,C43,""", ")</f>
        <v xml:space="preserve">cejilla: "", </v>
      </c>
      <c r="V43" t="str">
        <f>_xlfn.CONCAT("acorde: """,D43,""", ")</f>
        <v xml:space="preserve">acorde: "La", </v>
      </c>
      <c r="W43" t="s">
        <v>2012</v>
      </c>
      <c r="X43" t="s">
        <v>2013</v>
      </c>
      <c r="Y43" t="str">
        <f>_xlfn.CONCAT("""",VLOOKUP(E43,'Index Web'!A$4:O$253,15,FALSE)," ",VLOOKUP(E43,'Index Web'!A$4:O$253,13,FALSE),"""","},")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Z43" t="str">
        <f>_xlfn.CONCAT(F43:Y43)</f>
        <v>{idi:41, id:"canticodelostresjovenes", title: "Cántico de los tres jóvenes ", subtitle: "Daniel 3,57-58", category: "Precatecumenado", moments: ["Antiguo Testamento"], url: "/src/index.html?canto=canticodelostresjovenes", visible: "", cejilla: "", acorde: "La", scrollConfig: {"mobile": { "v": 25, "i": 1 },"tablet": { "v": 25, "i": 1 },"desktop": { "v": 7, "i": 1 },"desktopsmall": { "v": 7, "i": 1 }},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4" spans="2:26" x14ac:dyDescent="0.25">
      <c r="B44" s="51" t="s">
        <v>515</v>
      </c>
      <c r="C44" s="1" t="str">
        <f>IF(VLOOKUP(Table4[[#This Row],[Cantounido]],Table7[],3,FALSE)=0,"",VLOOKUP(Table4[[#This Row],[Cantounido]],Table7[],3,FALSE))</f>
        <v/>
      </c>
      <c r="D44" s="44" t="str">
        <f>IF(VLOOKUP(Table4[[#This Row],[Cantounido]],Table7[],4,FALSE)=0,"",VLOOKUP(Table4[[#This Row],[Cantounido]],Table7[],4,FALSE))</f>
        <v>Do 7</v>
      </c>
      <c r="E44" s="26">
        <v>34</v>
      </c>
      <c r="F44" t="str">
        <f>F43</f>
        <v>{idi:</v>
      </c>
      <c r="G44" t="str">
        <f>_xlfn.CONCAT(VLOOKUP(E44,'Index Web'!A$4:L$253,2,FALSE),", ")</f>
        <v xml:space="preserve">42, </v>
      </c>
      <c r="H44" t="str">
        <f>H43</f>
        <v>id:</v>
      </c>
      <c r="I44" t="str">
        <f>_xlfn.CONCAT("""",VLOOKUP(E44,'Index Web'!A$4:O$253,13,FALSE),"""",", ")</f>
        <v xml:space="preserve">"cantodemoises", </v>
      </c>
      <c r="J44" t="s">
        <v>2016</v>
      </c>
      <c r="K44" t="str">
        <f>_xlfn.CONCAT("""",VLOOKUP(E44,'Index Web'!A$4:L$253,3,FALSE),"""")</f>
        <v>"Canto de Moisés"</v>
      </c>
      <c r="L44" t="s">
        <v>942</v>
      </c>
      <c r="M44" t="str">
        <f>_xlfn.CONCAT("""",VLOOKUP(E44,'Index Web'!A$4:L$253,4,FALSE),"""")</f>
        <v>"Éxodo 15,1-18"</v>
      </c>
      <c r="N44" t="s">
        <v>943</v>
      </c>
      <c r="O44" t="str">
        <f>_xlfn.CONCAT("""",VLOOKUP(E44,'Index Web'!A$4:L$253,5,FALSE),"""")</f>
        <v>"Precatecumenado"</v>
      </c>
      <c r="P44" t="s">
        <v>944</v>
      </c>
      <c r="Q44" t="str">
        <f>_xlfn.CONCAT("[",VLOOKUP(E44,'Index Web'!A$4:N$253,14,FALSE),"]")</f>
        <v>["Pascua","Pentecostés","Antiguo Testamento"]</v>
      </c>
      <c r="R44" t="s">
        <v>945</v>
      </c>
      <c r="S44" t="str">
        <f>_xlfn.CONCAT("""/src/index.html?canto=",VLOOKUP(E44,'Index Web'!A$4:N$253,13,FALSE),""", ")</f>
        <v xml:space="preserve">"/src/index.html?canto=cantodemoises", </v>
      </c>
      <c r="T44" t="str">
        <f>T43</f>
        <v xml:space="preserve">visible: "", </v>
      </c>
      <c r="U44" t="str">
        <f>_xlfn.CONCAT("cejilla: """,C44,""", ")</f>
        <v xml:space="preserve">cejilla: "", </v>
      </c>
      <c r="V44" t="str">
        <f>_xlfn.CONCAT("acorde: """,D44,""", ")</f>
        <v xml:space="preserve">acorde: "Do 7", </v>
      </c>
      <c r="W44" t="s">
        <v>2012</v>
      </c>
      <c r="X44" t="s">
        <v>2013</v>
      </c>
      <c r="Y44" t="str">
        <f>_xlfn.CONCAT("""",VLOOKUP(E44,'Index Web'!A$4:O$253,15,FALSE)," ",VLOOKUP(E44,'Index Web'!A$4:O$253,13,FALSE),"""","},")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Z44" t="str">
        <f>_xlfn.CONCAT(F44:Y44)</f>
        <v>{idi:42, id:"cantodemoises", title: "Canto de Moisés", subtitle: "Éxodo 15,1-18", category: "Precatecumenado", moments: ["Pascua","Pentecostés","Antiguo Testamento"], url: "/src/index.html?canto=cantodemoises", visible: "", cejilla: "", acorde: "Do 7", scrollConfig: {"mobile": { "v": 25, "i": 1 },"tablet": { "v": 25, "i": 1 },"desktop": { "v": 7, "i": 1 },"desktopsmall": { "v": 7, "i": 1 }},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5" spans="2:26" x14ac:dyDescent="0.25">
      <c r="B45" s="50" t="s">
        <v>516</v>
      </c>
      <c r="C45" s="1" t="str">
        <f>IF(VLOOKUP(Table4[[#This Row],[Cantounido]],Table7[],3,FALSE)=0,"",VLOOKUP(Table4[[#This Row],[Cantounido]],Table7[],3,FALSE))</f>
        <v/>
      </c>
      <c r="D45" s="44" t="str">
        <f>IF(VLOOKUP(Table4[[#This Row],[Cantounido]],Table7[],4,FALSE)=0,"",VLOOKUP(Table4[[#This Row],[Cantounido]],Table7[],4,FALSE))</f>
        <v>La</v>
      </c>
      <c r="E45" s="25">
        <v>35</v>
      </c>
      <c r="F45" t="str">
        <f>F44</f>
        <v>{idi:</v>
      </c>
      <c r="G45" t="str">
        <f>_xlfn.CONCAT(VLOOKUP(E45,'Index Web'!A$4:L$253,2,FALSE),", ")</f>
        <v xml:space="preserve">43, </v>
      </c>
      <c r="H45" t="str">
        <f>H44</f>
        <v>id:</v>
      </c>
      <c r="I45" t="str">
        <f>_xlfn.CONCAT("""",VLOOKUP(E45,'Index Web'!A$4:O$253,13,FALSE),"""",", ")</f>
        <v xml:space="preserve">"caritaschristiurgetnos", </v>
      </c>
      <c r="J45" t="s">
        <v>2016</v>
      </c>
      <c r="K45" t="str">
        <f>_xlfn.CONCAT("""",VLOOKUP(E45,'Index Web'!A$4:L$253,3,FALSE),"""")</f>
        <v>"Caritas Christi urget nos"</v>
      </c>
      <c r="L45" t="s">
        <v>942</v>
      </c>
      <c r="M45" t="str">
        <f>_xlfn.CONCAT("""",VLOOKUP(E45,'Index Web'!A$4:L$253,4,FALSE),"""")</f>
        <v>"2ª Corintios 5,14.15.17.21"</v>
      </c>
      <c r="N45" t="s">
        <v>943</v>
      </c>
      <c r="O45" t="str">
        <f>_xlfn.CONCAT("""",VLOOKUP(E45,'Index Web'!A$4:L$253,5,FALSE),"""")</f>
        <v>"Precatecumenado"</v>
      </c>
      <c r="P45" t="s">
        <v>944</v>
      </c>
      <c r="Q45" t="str">
        <f>_xlfn.CONCAT("[",VLOOKUP(E45,'Index Web'!A$4:N$253,14,FALSE),"]")</f>
        <v>["Cuaresma","Nuevo Testamento"]</v>
      </c>
      <c r="R45" t="s">
        <v>945</v>
      </c>
      <c r="S45" t="str">
        <f>_xlfn.CONCAT("""/src/index.html?canto=",VLOOKUP(E45,'Index Web'!A$4:N$253,13,FALSE),""", ")</f>
        <v xml:space="preserve">"/src/index.html?canto=caritaschristiurgetnos", </v>
      </c>
      <c r="T45" t="str">
        <f>T44</f>
        <v xml:space="preserve">visible: "", </v>
      </c>
      <c r="U45" t="str">
        <f>_xlfn.CONCAT("cejilla: """,C45,""", ")</f>
        <v xml:space="preserve">cejilla: "", </v>
      </c>
      <c r="V45" t="str">
        <f>_xlfn.CONCAT("acorde: """,D45,""", ")</f>
        <v xml:space="preserve">acorde: "La", </v>
      </c>
      <c r="W45" t="s">
        <v>2012</v>
      </c>
      <c r="X45" t="s">
        <v>2013</v>
      </c>
      <c r="Y45" t="str">
        <f>_xlfn.CONCAT("""",VLOOKUP(E45,'Index Web'!A$4:O$253,15,FALSE)," ",VLOOKUP(E45,'Index Web'!A$4:O$253,13,FALSE),"""","},")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Z45" t="str">
        <f>_xlfn.CONCAT(F45:Y45)</f>
        <v>{idi:43, id:"caritaschristiurgetnos", title: "Caritas Christi urget nos", subtitle: "2ª Corintios 5,14.15.17.21", category: "Precatecumenado", moments: ["Cuaresma","Nuevo Testamento"], url: "/src/index.html?canto=caritaschristiurgetnos", visible: "", cejilla: "", acorde: "La", scrollConfig: {"mobile": { "v": 25, "i": 1 },"tablet": { "v": 25, "i": 1 },"desktop": { "v": 7, "i": 1 },"desktopsmall": { "v": 7, "i": 1 }},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6" spans="2:26" x14ac:dyDescent="0.25">
      <c r="B46" s="51" t="s">
        <v>517</v>
      </c>
      <c r="C46" s="1" t="str">
        <f>IF(VLOOKUP(Table4[[#This Row],[Cantounido]],Table7[],3,FALSE)=0,"",VLOOKUP(Table4[[#This Row],[Cantounido]],Table7[],3,FALSE))</f>
        <v/>
      </c>
      <c r="D46" s="44" t="str">
        <f>IF(VLOOKUP(Table4[[#This Row],[Cantounido]],Table7[],4,FALSE)=0,"",VLOOKUP(Table4[[#This Row],[Cantounido]],Table7[],4,FALSE))</f>
        <v>La</v>
      </c>
      <c r="E46" s="26">
        <v>36</v>
      </c>
      <c r="F46" t="str">
        <f>F45</f>
        <v>{idi:</v>
      </c>
      <c r="G46" t="str">
        <f>_xlfn.CONCAT(VLOOKUP(E46,'Index Web'!A$4:L$253,2,FALSE),", ")</f>
        <v xml:space="preserve">44, </v>
      </c>
      <c r="H46" t="str">
        <f>H45</f>
        <v>id:</v>
      </c>
      <c r="I46" t="str">
        <f>_xlfn.CONCAT("""",VLOOKUP(E46,'Index Web'!A$4:O$253,13,FALSE),"""",", ")</f>
        <v xml:space="preserve">"carmen63", </v>
      </c>
      <c r="J46" t="s">
        <v>2016</v>
      </c>
      <c r="K46" t="str">
        <f>_xlfn.CONCAT("""",VLOOKUP(E46,'Index Web'!A$4:L$253,3,FALSE),"""")</f>
        <v>"Carmen 63"</v>
      </c>
      <c r="L46" t="s">
        <v>942</v>
      </c>
      <c r="M46" t="str">
        <f>_xlfn.CONCAT("""",VLOOKUP(E46,'Index Web'!A$4:L$253,4,FALSE),"""")</f>
        <v>"(Rabindranath Tagore)*"</v>
      </c>
      <c r="N46" t="s">
        <v>943</v>
      </c>
      <c r="O46" t="str">
        <f>_xlfn.CONCAT("""",VLOOKUP(E46,'Index Web'!A$4:L$253,5,FALSE),"""")</f>
        <v>"Precatecumenado"</v>
      </c>
      <c r="P46" t="s">
        <v>944</v>
      </c>
      <c r="Q46" t="str">
        <f>_xlfn.CONCAT("[",VLOOKUP(E46,'Index Web'!A$4:N$253,14,FALSE),"]")</f>
        <v>["Comunión","Final"]</v>
      </c>
      <c r="R46" t="s">
        <v>945</v>
      </c>
      <c r="S46" t="str">
        <f>_xlfn.CONCAT("""/src/index.html?canto=",VLOOKUP(E46,'Index Web'!A$4:N$253,13,FALSE),""", ")</f>
        <v xml:space="preserve">"/src/index.html?canto=carmen63", </v>
      </c>
      <c r="T46" t="str">
        <f>T45</f>
        <v xml:space="preserve">visible: "", </v>
      </c>
      <c r="U46" t="str">
        <f>_xlfn.CONCAT("cejilla: """,C46,""", ")</f>
        <v xml:space="preserve">cejilla: "", </v>
      </c>
      <c r="V46" t="str">
        <f>_xlfn.CONCAT("acorde: """,D46,""", ")</f>
        <v xml:space="preserve">acorde: "La", </v>
      </c>
      <c r="W46" t="s">
        <v>2012</v>
      </c>
      <c r="X46" t="s">
        <v>2013</v>
      </c>
      <c r="Y46" t="str">
        <f>_xlfn.CONCAT("""",VLOOKUP(E46,'Index Web'!A$4:O$253,15,FALSE)," ",VLOOKUP(E46,'Index Web'!A$4:O$253,13,FALSE),"""","},")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Z46" t="str">
        <f>_xlfn.CONCAT(F46:Y46)</f>
        <v>{idi:44, id:"carmen63", title: "Carmen 63", subtitle: "(Rabindranath Tagore)*", category: "Precatecumenado", moments: ["Comunión","Final"], url: "/src/index.html?canto=carmen63", visible: "", cejilla: "", acorde: "La", scrollConfig: {"mobile": { "v": 25, "i": 1 },"tablet": { "v": 25, "i": 1 },"desktop": { "v": 7, "i": 1 },"desktopsmall": { "v": 7, "i": 1 }},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7" spans="2:26" x14ac:dyDescent="0.25">
      <c r="B47" s="54" t="s">
        <v>2046</v>
      </c>
      <c r="C47" s="1" t="str">
        <f>IF(VLOOKUP(Table4[[#This Row],[Cantounido]],Table7[],3,FALSE)=0,"",VLOOKUP(Table4[[#This Row],[Cantounido]],Table7[],3,FALSE))</f>
        <v/>
      </c>
      <c r="D47" s="44" t="str">
        <f>IF(VLOOKUP(Table4[[#This Row],[Cantounido]],Table7[],4,FALSE)=0,"",VLOOKUP(Table4[[#This Row],[Cantounido]],Table7[],4,FALSE))</f>
        <v>Sol</v>
      </c>
      <c r="E47" s="29">
        <v>185</v>
      </c>
      <c r="F47" t="str">
        <f>F46</f>
        <v>{idi:</v>
      </c>
      <c r="G47" t="str">
        <f>_xlfn.CONCAT(VLOOKUP(E47,'Index Web'!A$4:L$253,2,FALSE),", ")</f>
        <v xml:space="preserve">45, </v>
      </c>
      <c r="H47" t="str">
        <f>H46</f>
        <v>id:</v>
      </c>
      <c r="I47" t="str">
        <f>_xlfn.CONCAT("""",VLOOKUP(E47,'Index Web'!A$4:O$253,13,FALSE),"""",", ")</f>
        <v xml:space="preserve">"celebracionpenitencial", </v>
      </c>
      <c r="J47" t="s">
        <v>2016</v>
      </c>
      <c r="K47" t="str">
        <f>_xlfn.CONCAT("""",VLOOKUP(E47,'Index Web'!A$4:L$253,3,FALSE),"""")</f>
        <v>"Celebración penitencial"</v>
      </c>
      <c r="L47" t="s">
        <v>942</v>
      </c>
      <c r="M47" t="str">
        <f>_xlfn.CONCAT("""",VLOOKUP(E47,'Index Web'!A$4:L$253,4,FALSE),"""")</f>
        <v>"Acción de gracias"</v>
      </c>
      <c r="N47" t="s">
        <v>943</v>
      </c>
      <c r="O47" t="str">
        <f>_xlfn.CONCAT("""",VLOOKUP(E47,'Index Web'!A$4:L$253,5,FALSE),"""")</f>
        <v>"Liturgia"</v>
      </c>
      <c r="P47" t="s">
        <v>944</v>
      </c>
      <c r="Q47" t="str">
        <f>_xlfn.CONCAT("[",VLOOKUP(E47,'Index Web'!A$4:N$253,14,FALSE),"]")</f>
        <v>[""]</v>
      </c>
      <c r="R47" t="s">
        <v>945</v>
      </c>
      <c r="S47" t="str">
        <f>_xlfn.CONCAT("""/src/index.html?canto=",VLOOKUP(E47,'Index Web'!A$4:N$253,13,FALSE),""", ")</f>
        <v xml:space="preserve">"/src/index.html?canto=celebracionpenitencial", </v>
      </c>
      <c r="T47" t="str">
        <f>T46</f>
        <v xml:space="preserve">visible: "", </v>
      </c>
      <c r="U47" t="str">
        <f>_xlfn.CONCAT("cejilla: """,C47,""", ")</f>
        <v xml:space="preserve">cejilla: "", </v>
      </c>
      <c r="V47" t="str">
        <f>_xlfn.CONCAT("acorde: """,D47,""", ")</f>
        <v xml:space="preserve">acorde: "Sol", </v>
      </c>
      <c r="W47" t="s">
        <v>2012</v>
      </c>
      <c r="X47" t="s">
        <v>2013</v>
      </c>
      <c r="Y47" t="str">
        <f>_xlfn.CONCAT("""",VLOOKUP(E47,'Index Web'!A$4:O$253,15,FALSE)," ",VLOOKUP(E47,'Index Web'!A$4:O$253,13,FALSE),"""","},")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v>
      </c>
      <c r="Z47" t="str">
        <f>_xlfn.CONCAT(F47:Y47)</f>
        <v>{idi:45, id:"celebracionpenitencial", title: "Celebración penitencial", subtitle: "Acción de gracias", category: "Liturgia", moments: [""], url: "/src/index.html?canto=celebracionpenitencial", visible: "", cejilla: "", acorde: "Sol", scrollConfig: {"mobile": { "v": 25, "i": 1 },"tablet": { "v": 25, "i": 1 },"desktop": { "v": 7, "i": 1 },"desktopsmall": { "v": 7, "i": 1 }},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v>
      </c>
    </row>
    <row r="48" spans="2:26" x14ac:dyDescent="0.25">
      <c r="B48" s="51" t="s">
        <v>518</v>
      </c>
      <c r="C48" s="1" t="str">
        <f>IF(VLOOKUP(Table4[[#This Row],[Cantounido]],Table7[],3,FALSE)=0,"",VLOOKUP(Table4[[#This Row],[Cantounido]],Table7[],3,FALSE))</f>
        <v/>
      </c>
      <c r="D48" s="44" t="str">
        <f>IF(VLOOKUP(Table4[[#This Row],[Cantounido]],Table7[],4,FALSE)=0,"",VLOOKUP(Table4[[#This Row],[Cantounido]],Table7[],4,FALSE))</f>
        <v>La</v>
      </c>
      <c r="E48" s="26">
        <v>37</v>
      </c>
      <c r="F48" t="str">
        <f>F47</f>
        <v>{idi:</v>
      </c>
      <c r="G48" t="str">
        <f>_xlfn.CONCAT(VLOOKUP(E48,'Index Web'!A$4:L$253,2,FALSE),", ")</f>
        <v xml:space="preserve">46, </v>
      </c>
      <c r="H48" t="str">
        <f>H47</f>
        <v>id:</v>
      </c>
      <c r="I48" t="str">
        <f>_xlfn.CONCAT("""",VLOOKUP(E48,'Index Web'!A$4:O$253,13,FALSE),"""",", ")</f>
        <v xml:space="preserve">"comocondenadosamuerte", </v>
      </c>
      <c r="J48" t="s">
        <v>2016</v>
      </c>
      <c r="K48" t="str">
        <f>_xlfn.CONCAT("""",VLOOKUP(E48,'Index Web'!A$4:L$253,3,FALSE),"""")</f>
        <v>"Como condenados a muerte "</v>
      </c>
      <c r="L48" t="s">
        <v>942</v>
      </c>
      <c r="M48" t="str">
        <f>_xlfn.CONCAT("""",VLOOKUP(E48,'Index Web'!A$4:L$253,4,FALSE),"""")</f>
        <v>"1ª Corintios 4,9-13"</v>
      </c>
      <c r="N48" t="s">
        <v>943</v>
      </c>
      <c r="O48" t="str">
        <f>_xlfn.CONCAT("""",VLOOKUP(E48,'Index Web'!A$4:L$253,5,FALSE),"""")</f>
        <v>"Precatecumenado"</v>
      </c>
      <c r="P48" t="s">
        <v>944</v>
      </c>
      <c r="Q48" t="str">
        <f>_xlfn.CONCAT("[",VLOOKUP(E48,'Index Web'!A$4:N$253,14,FALSE),"]")</f>
        <v>["Nuevo Testamento"]</v>
      </c>
      <c r="R48" t="s">
        <v>945</v>
      </c>
      <c r="S48" t="str">
        <f>_xlfn.CONCAT("""/src/index.html?canto=",VLOOKUP(E48,'Index Web'!A$4:N$253,13,FALSE),""", ")</f>
        <v xml:space="preserve">"/src/index.html?canto=comocondenadosamuerte", </v>
      </c>
      <c r="T48" t="str">
        <f>T47</f>
        <v xml:space="preserve">visible: "", </v>
      </c>
      <c r="U48" t="str">
        <f>_xlfn.CONCAT("cejilla: """,C48,""", ")</f>
        <v xml:space="preserve">cejilla: "", </v>
      </c>
      <c r="V48" t="str">
        <f>_xlfn.CONCAT("acorde: """,D48,""", ")</f>
        <v xml:space="preserve">acorde: "La", </v>
      </c>
      <c r="W48" t="s">
        <v>2012</v>
      </c>
      <c r="X48" t="s">
        <v>2013</v>
      </c>
      <c r="Y48" t="str">
        <f>_xlfn.CONCAT("""",VLOOKUP(E48,'Index Web'!A$4:O$253,15,FALSE)," ",VLOOKUP(E48,'Index Web'!A$4:O$253,13,FALSE),"""","},")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Z48" t="str">
        <f>_xlfn.CONCAT(F48:Y48)</f>
        <v>{idi:46, id:"comocondenadosamuerte", title: "Como condenados a muerte ", subtitle: "1ª Corintios 4,9-13", category: "Precatecumenado", moments: ["Nuevo Testamento"], url: "/src/index.html?canto=comocondenadosamuerte", visible: "", cejilla: "", acorde: "La", scrollConfig: {"mobile": { "v": 25, "i": 1 },"tablet": { "v": 25, "i": 1 },"desktop": { "v": 7, "i": 1 },"desktopsmall": { "v": 7, "i": 1 }},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9" spans="2:26" x14ac:dyDescent="0.25">
      <c r="B49" s="55" t="s">
        <v>702</v>
      </c>
      <c r="C49" s="1" t="str">
        <f>IF(VLOOKUP(Table4[[#This Row],[Cantounido]],Table7[],3,FALSE)=0,"",VLOOKUP(Table4[[#This Row],[Cantounido]],Table7[],3,FALSE))</f>
        <v/>
      </c>
      <c r="D49" s="44" t="str">
        <f>IF(VLOOKUP(Table4[[#This Row],[Cantounido]],Table7[],4,FALSE)=0,"",VLOOKUP(Table4[[#This Row],[Cantounido]],Table7[],4,FALSE))</f>
        <v>La</v>
      </c>
      <c r="E49" s="24">
        <v>239</v>
      </c>
      <c r="F49" t="str">
        <f>F48</f>
        <v>{idi:</v>
      </c>
      <c r="G49" t="str">
        <f>_xlfn.CONCAT(VLOOKUP(E49,'Index Web'!A$4:L$253,2,FALSE),", ")</f>
        <v xml:space="preserve">47, </v>
      </c>
      <c r="H49" t="str">
        <f>H48</f>
        <v>id:</v>
      </c>
      <c r="I49" t="str">
        <f>_xlfn.CONCAT("""",VLOOKUP(E49,'Index Web'!A$4:O$253,13,FALSE),"""",", ")</f>
        <v xml:space="preserve">"comodestilalamiel", </v>
      </c>
      <c r="J49" t="s">
        <v>2016</v>
      </c>
      <c r="K49" t="str">
        <f>_xlfn.CONCAT("""",VLOOKUP(E49,'Index Web'!A$4:L$253,3,FALSE),"""")</f>
        <v>"Como destila la miel"</v>
      </c>
      <c r="L49" t="s">
        <v>942</v>
      </c>
      <c r="M49" t="str">
        <f>_xlfn.CONCAT("""",VLOOKUP(E49,'Index Web'!A$4:L$253,4,FALSE),"""")</f>
        <v>"Oda XL de Salomón"</v>
      </c>
      <c r="N49" t="s">
        <v>943</v>
      </c>
      <c r="O49" t="str">
        <f>_xlfn.CONCAT("""",VLOOKUP(E49,'Index Web'!A$4:L$253,5,FALSE),"""")</f>
        <v>"Eleccion"</v>
      </c>
      <c r="P49" t="s">
        <v>944</v>
      </c>
      <c r="Q49" t="str">
        <f>_xlfn.CONCAT("[",VLOOKUP(E49,'Index Web'!A$4:N$253,14,FALSE),"]")</f>
        <v>[""]</v>
      </c>
      <c r="R49" t="s">
        <v>945</v>
      </c>
      <c r="S49" t="str">
        <f>_xlfn.CONCAT("""/src/index.html?canto=",VLOOKUP(E49,'Index Web'!A$4:N$253,13,FALSE),""", ")</f>
        <v xml:space="preserve">"/src/index.html?canto=comodestilalamiel", </v>
      </c>
      <c r="T49" t="str">
        <f>T48</f>
        <v xml:space="preserve">visible: "", </v>
      </c>
      <c r="U49" t="str">
        <f>_xlfn.CONCAT("cejilla: """,C49,""", ")</f>
        <v xml:space="preserve">cejilla: "", </v>
      </c>
      <c r="V49" t="str">
        <f>_xlfn.CONCAT("acorde: """,D49,""", ")</f>
        <v xml:space="preserve">acorde: "La", </v>
      </c>
      <c r="W49" t="s">
        <v>2012</v>
      </c>
      <c r="X49" t="s">
        <v>2013</v>
      </c>
      <c r="Y49" t="str">
        <f>_xlfn.CONCAT("""",VLOOKUP(E49,'Index Web'!A$4:O$253,15,FALSE)," ",VLOOKUP(E49,'Index Web'!A$4:O$253,13,FALSE),"""","},")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Z49" t="str">
        <f>_xlfn.CONCAT(F49:Y49)</f>
        <v>{idi:47, id:"comodestilalamiel", title: "Como destila la miel", subtitle: "Oda XL de Salomón", category: "Eleccion", moments: [""], url: "/src/index.html?canto=comodestilalamiel", visible: "", cejilla: "", acorde: "La", scrollConfig: {"mobile": { "v": 25, "i": 1 },"tablet": { "v": 25, "i": 1 },"desktop": { "v": 7, "i": 1 },"desktopsmall": { "v": 7, "i": 1 }},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50" spans="2:26" x14ac:dyDescent="0.25">
      <c r="B50" s="56" t="s">
        <v>684</v>
      </c>
      <c r="C50" s="1" t="str">
        <f>IF(VLOOKUP(Table4[[#This Row],[Cantounido]],Table7[],3,FALSE)=0,"",VLOOKUP(Table4[[#This Row],[Cantounido]],Table7[],3,FALSE))</f>
        <v/>
      </c>
      <c r="D50" s="44" t="str">
        <f>IF(VLOOKUP(Table4[[#This Row],[Cantounido]],Table7[],4,FALSE)=0,"",VLOOKUP(Table4[[#This Row],[Cantounido]],Table7[],4,FALSE))</f>
        <v>Sol</v>
      </c>
      <c r="E50" s="30">
        <v>221</v>
      </c>
      <c r="F50" t="str">
        <f>F49</f>
        <v>{idi:</v>
      </c>
      <c r="G50" t="str">
        <f>_xlfn.CONCAT(VLOOKUP(E50,'Index Web'!A$4:L$253,2,FALSE),", ")</f>
        <v xml:space="preserve">48, </v>
      </c>
      <c r="H50" t="str">
        <f>H49</f>
        <v>id:</v>
      </c>
      <c r="I50" t="str">
        <f>_xlfn.CONCAT("""",VLOOKUP(E50,'Index Web'!A$4:O$253,13,FALSE),"""",", ")</f>
        <v xml:space="preserve">"comoelimpulsoquesientelaira", </v>
      </c>
      <c r="J50" t="s">
        <v>2016</v>
      </c>
      <c r="K50" t="str">
        <f>_xlfn.CONCAT("""",VLOOKUP(E50,'Index Web'!A$4:L$253,3,FALSE),"""")</f>
        <v>"Como el impulso que siente la ira"</v>
      </c>
      <c r="L50" t="s">
        <v>942</v>
      </c>
      <c r="M50" t="str">
        <f>_xlfn.CONCAT("""",VLOOKUP(E50,'Index Web'!A$4:L$253,4,FALSE),"""")</f>
        <v>"Oda VII de Salomón"</v>
      </c>
      <c r="N50" t="s">
        <v>943</v>
      </c>
      <c r="O50" t="str">
        <f>_xlfn.CONCAT("""",VLOOKUP(E50,'Index Web'!A$4:L$253,5,FALSE),"""")</f>
        <v>"Catecumenado"</v>
      </c>
      <c r="P50" t="s">
        <v>944</v>
      </c>
      <c r="Q50" t="str">
        <f>_xlfn.CONCAT("[",VLOOKUP(E50,'Index Web'!A$4:N$253,14,FALSE),"]")</f>
        <v>[""]</v>
      </c>
      <c r="R50" t="s">
        <v>945</v>
      </c>
      <c r="S50" t="str">
        <f>_xlfn.CONCAT("""/src/index.html?canto=",VLOOKUP(E50,'Index Web'!A$4:N$253,13,FALSE),""", ")</f>
        <v xml:space="preserve">"/src/index.html?canto=comoelimpulsoquesientelaira", </v>
      </c>
      <c r="T50" t="str">
        <f>T49</f>
        <v xml:space="preserve">visible: "", </v>
      </c>
      <c r="U50" t="str">
        <f>_xlfn.CONCAT("cejilla: """,C50,""", ")</f>
        <v xml:space="preserve">cejilla: "", </v>
      </c>
      <c r="V50" t="str">
        <f>_xlfn.CONCAT("acorde: """,D50,""", ")</f>
        <v xml:space="preserve">acorde: "Sol", </v>
      </c>
      <c r="W50" t="s">
        <v>2012</v>
      </c>
      <c r="X50" t="s">
        <v>2013</v>
      </c>
      <c r="Y50" t="str">
        <f>_xlfn.CONCAT("""",VLOOKUP(E50,'Index Web'!A$4:O$253,15,FALSE)," ",VLOOKUP(E50,'Index Web'!A$4:O$253,13,FALSE),"""","},")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Z50" t="str">
        <f>_xlfn.CONCAT(F50:Y50)</f>
        <v>{idi:48, id:"comoelimpulsoquesientelaira", title: "Como el impulso que siente la ira", subtitle: "Oda VII de Salomón", category: "Catecumenado", moments: [""], url: "/src/index.html?canto=comoelimpulsoquesientelaira", visible: "", cejilla: "", acorde: "Sol", scrollConfig: {"mobile": { "v": 25, "i": 1 },"tablet": { "v": 25, "i": 1 },"desktop": { "v": 7, "i": 1 },"desktopsmall": { "v": 7, "i": 1 }},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1" spans="2:26" x14ac:dyDescent="0.25">
      <c r="B51" s="50" t="s">
        <v>519</v>
      </c>
      <c r="C51" s="1" t="str">
        <f>IF(VLOOKUP(Table4[[#This Row],[Cantounido]],Table7[],3,FALSE)=0,"",VLOOKUP(Table4[[#This Row],[Cantounido]],Table7[],3,FALSE))</f>
        <v/>
      </c>
      <c r="D51" s="44" t="str">
        <f>IF(VLOOKUP(Table4[[#This Row],[Cantounido]],Table7[],4,FALSE)=0,"",VLOOKUP(Table4[[#This Row],[Cantounido]],Table7[],4,FALSE))</f>
        <v>Mi</v>
      </c>
      <c r="E51" s="25">
        <v>38</v>
      </c>
      <c r="F51" t="str">
        <f>F50</f>
        <v>{idi:</v>
      </c>
      <c r="G51" t="str">
        <f>_xlfn.CONCAT(VLOOKUP(E51,'Index Web'!A$4:L$253,2,FALSE),", ")</f>
        <v xml:space="preserve">49, </v>
      </c>
      <c r="H51" t="str">
        <f>H50</f>
        <v>id:</v>
      </c>
      <c r="I51" t="str">
        <f>_xlfn.CONCAT("""",VLOOKUP(E51,'Index Web'!A$4:O$253,13,FALSE),"""",", ")</f>
        <v xml:space="preserve">"comoesmaravilloso", </v>
      </c>
      <c r="J51" t="s">
        <v>2016</v>
      </c>
      <c r="K51" t="str">
        <f>_xlfn.CONCAT("""",VLOOKUP(E51,'Index Web'!A$4:L$253,3,FALSE),"""")</f>
        <v>"Cómo es maravilloso"</v>
      </c>
      <c r="L51" t="s">
        <v>942</v>
      </c>
      <c r="M51" t="str">
        <f>_xlfn.CONCAT("""",VLOOKUP(E51,'Index Web'!A$4:L$253,4,FALSE),"""")</f>
        <v>"Salmo 133 (132)"</v>
      </c>
      <c r="N51" t="s">
        <v>943</v>
      </c>
      <c r="O51" t="str">
        <f>_xlfn.CONCAT("""",VLOOKUP(E51,'Index Web'!A$4:L$253,5,FALSE),"""")</f>
        <v>"Precatecumenado"</v>
      </c>
      <c r="P51" t="s">
        <v>944</v>
      </c>
      <c r="Q51" t="str">
        <f>_xlfn.CONCAT("[",VLOOKUP(E51,'Index Web'!A$4:N$253,14,FALSE),"]")</f>
        <v>["Paz","Antiguo Testamento"]</v>
      </c>
      <c r="R51" t="s">
        <v>945</v>
      </c>
      <c r="S51" t="str">
        <f>_xlfn.CONCAT("""/src/index.html?canto=",VLOOKUP(E51,'Index Web'!A$4:N$253,13,FALSE),""", ")</f>
        <v xml:space="preserve">"/src/index.html?canto=comoesmaravilloso", </v>
      </c>
      <c r="T51" t="str">
        <f>T50</f>
        <v xml:space="preserve">visible: "", </v>
      </c>
      <c r="U51" t="str">
        <f>_xlfn.CONCAT("cejilla: """,C51,""", ")</f>
        <v xml:space="preserve">cejilla: "", </v>
      </c>
      <c r="V51" t="str">
        <f>_xlfn.CONCAT("acorde: """,D51,""", ")</f>
        <v xml:space="preserve">acorde: "Mi", </v>
      </c>
      <c r="W51" t="s">
        <v>2012</v>
      </c>
      <c r="X51" t="s">
        <v>2013</v>
      </c>
      <c r="Y51" t="str">
        <f>_xlfn.CONCAT("""",VLOOKUP(E51,'Index Web'!A$4:O$253,15,FALSE)," ",VLOOKUP(E51,'Index Web'!A$4:O$253,13,FALSE),"""","},")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Z51" t="str">
        <f>_xlfn.CONCAT(F51:Y51)</f>
        <v>{idi:49, id:"comoesmaravilloso", title: "Cómo es maravilloso", subtitle: "Salmo 133 (132)", category: "Precatecumenado", moments: ["Paz","Antiguo Testamento"], url: "/src/index.html?canto=comoesmaravilloso", visible: "", cejilla: "", acorde: "Mi", scrollConfig: {"mobile": { "v": 25, "i": 1 },"tablet": { "v": 25, "i": 1 },"desktop": { "v": 7, "i": 1 },"desktopsmall": { "v": 7, "i": 1 }},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2" spans="2:26" x14ac:dyDescent="0.25">
      <c r="B52" s="51" t="s">
        <v>520</v>
      </c>
      <c r="C52" s="1" t="str">
        <f>IF(VLOOKUP(Table4[[#This Row],[Cantounido]],Table7[],3,FALSE)=0,"",VLOOKUP(Table4[[#This Row],[Cantounido]],Table7[],3,FALSE))</f>
        <v/>
      </c>
      <c r="D52" s="44" t="str">
        <f>IF(VLOOKUP(Table4[[#This Row],[Cantounido]],Table7[],4,FALSE)=0,"",VLOOKUP(Table4[[#This Row],[Cantounido]],Table7[],4,FALSE))</f>
        <v>Mi</v>
      </c>
      <c r="E52" s="26">
        <v>39</v>
      </c>
      <c r="F52" t="str">
        <f>F51</f>
        <v>{idi:</v>
      </c>
      <c r="G52" t="str">
        <f>_xlfn.CONCAT(VLOOKUP(E52,'Index Web'!A$4:L$253,2,FALSE),", ")</f>
        <v xml:space="preserve">50, </v>
      </c>
      <c r="H52" t="str">
        <f>H51</f>
        <v>id:</v>
      </c>
      <c r="I52" t="str">
        <f>_xlfn.CONCAT("""",VLOOKUP(E52,'Index Web'!A$4:O$253,13,FALSE),"""",", ")</f>
        <v xml:space="preserve">"comolacierva", </v>
      </c>
      <c r="J52" t="s">
        <v>2016</v>
      </c>
      <c r="K52" t="str">
        <f>_xlfn.CONCAT("""",VLOOKUP(E52,'Index Web'!A$4:L$253,3,FALSE),"""")</f>
        <v>"Como la cierva"</v>
      </c>
      <c r="L52" t="s">
        <v>942</v>
      </c>
      <c r="M52" t="str">
        <f>_xlfn.CONCAT("""",VLOOKUP(E52,'Index Web'!A$4:L$253,4,FALSE),"""")</f>
        <v>"Salmo 42-43 (41-42)"</v>
      </c>
      <c r="N52" t="s">
        <v>943</v>
      </c>
      <c r="O52" t="str">
        <f>_xlfn.CONCAT("""",VLOOKUP(E52,'Index Web'!A$4:L$253,5,FALSE),"""")</f>
        <v>"Precatecumenado"</v>
      </c>
      <c r="P52" t="s">
        <v>944</v>
      </c>
      <c r="Q52" t="str">
        <f>_xlfn.CONCAT("[",VLOOKUP(E52,'Index Web'!A$4:N$253,14,FALSE),"]")</f>
        <v>["Cuaresma","Antiguo Testamento"]</v>
      </c>
      <c r="R52" t="s">
        <v>945</v>
      </c>
      <c r="S52" t="str">
        <f>_xlfn.CONCAT("""/src/index.html?canto=",VLOOKUP(E52,'Index Web'!A$4:N$253,13,FALSE),""", ")</f>
        <v xml:space="preserve">"/src/index.html?canto=comolacierva", </v>
      </c>
      <c r="T52" t="str">
        <f>T51</f>
        <v xml:space="preserve">visible: "", </v>
      </c>
      <c r="U52" t="str">
        <f>_xlfn.CONCAT("cejilla: """,C52,""", ")</f>
        <v xml:space="preserve">cejilla: "", </v>
      </c>
      <c r="V52" t="str">
        <f>_xlfn.CONCAT("acorde: """,D52,""", ")</f>
        <v xml:space="preserve">acorde: "Mi", </v>
      </c>
      <c r="W52" t="s">
        <v>2012</v>
      </c>
      <c r="X52" t="s">
        <v>2013</v>
      </c>
      <c r="Y52" t="str">
        <f>_xlfn.CONCAT("""",VLOOKUP(E52,'Index Web'!A$4:O$253,15,FALSE)," ",VLOOKUP(E52,'Index Web'!A$4:O$253,13,FALSE),"""","},")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Z52" t="str">
        <f>_xlfn.CONCAT(F52:Y52)</f>
        <v>{idi:50, id:"comolacierva", title: "Como la cierva", subtitle: "Salmo 42-43 (41-42)", category: "Precatecumenado", moments: ["Cuaresma","Antiguo Testamento"], url: "/src/index.html?canto=comolacierva", visible: "", cejilla: "", acorde: "Mi", scrollConfig: {"mobile": { "v": 25, "i": 1 },"tablet": { "v": 25, "i": 1 },"desktop": { "v": 7, "i": 1 },"desktopsmall": { "v": 7, "i": 1 }},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3" spans="2:26" x14ac:dyDescent="0.25">
      <c r="B53" s="53" t="s">
        <v>703</v>
      </c>
      <c r="C53" s="1" t="str">
        <f>IF(VLOOKUP(Table4[[#This Row],[Cantounido]],Table7[],3,FALSE)=0,"",VLOOKUP(Table4[[#This Row],[Cantounido]],Table7[],3,FALSE))</f>
        <v/>
      </c>
      <c r="D53" s="44" t="str">
        <f>IF(VLOOKUP(Table4[[#This Row],[Cantounido]],Table7[],4,FALSE)=0,"",VLOOKUP(Table4[[#This Row],[Cantounido]],Table7[],4,FALSE))</f>
        <v>Si</v>
      </c>
      <c r="E53" s="28">
        <v>240</v>
      </c>
      <c r="F53" t="str">
        <f>F52</f>
        <v>{idi:</v>
      </c>
      <c r="G53" t="str">
        <f>_xlfn.CONCAT(VLOOKUP(E53,'Index Web'!A$4:L$253,2,FALSE),", ")</f>
        <v xml:space="preserve">51, </v>
      </c>
      <c r="H53" t="str">
        <f>H52</f>
        <v>id:</v>
      </c>
      <c r="I53" t="str">
        <f>_xlfn.CONCAT("""",VLOOKUP(E53,'Index Web'!A$4:O$253,13,FALSE),"""",", ")</f>
        <v xml:space="preserve">"comolirioentreloscardos", </v>
      </c>
      <c r="J53" t="s">
        <v>2016</v>
      </c>
      <c r="K53" t="str">
        <f>_xlfn.CONCAT("""",VLOOKUP(E53,'Index Web'!A$4:L$253,3,FALSE),"""")</f>
        <v>"Como lirio entre los cardos "</v>
      </c>
      <c r="L53" t="s">
        <v>942</v>
      </c>
      <c r="M53" t="str">
        <f>_xlfn.CONCAT("""",VLOOKUP(E53,'Index Web'!A$4:L$253,4,FALSE),"""")</f>
        <v>"Cantar de los cantares 1,13ss "</v>
      </c>
      <c r="N53" t="s">
        <v>943</v>
      </c>
      <c r="O53" t="str">
        <f>_xlfn.CONCAT("""",VLOOKUP(E53,'Index Web'!A$4:L$253,5,FALSE),"""")</f>
        <v>"Eleccion"</v>
      </c>
      <c r="P53" t="s">
        <v>944</v>
      </c>
      <c r="Q53" t="str">
        <f>_xlfn.CONCAT("[",VLOOKUP(E53,'Index Web'!A$4:N$253,14,FALSE),"]")</f>
        <v>["Antiguo Testamento"]</v>
      </c>
      <c r="R53" t="s">
        <v>945</v>
      </c>
      <c r="S53" t="str">
        <f>_xlfn.CONCAT("""/src/index.html?canto=",VLOOKUP(E53,'Index Web'!A$4:N$253,13,FALSE),""", ")</f>
        <v xml:space="preserve">"/src/index.html?canto=comolirioentreloscardos", </v>
      </c>
      <c r="T53" t="str">
        <f>T52</f>
        <v xml:space="preserve">visible: "", </v>
      </c>
      <c r="U53" t="str">
        <f>_xlfn.CONCAT("cejilla: """,C53,""", ")</f>
        <v xml:space="preserve">cejilla: "", </v>
      </c>
      <c r="V53" t="str">
        <f>_xlfn.CONCAT("acorde: """,D53,""", ")</f>
        <v xml:space="preserve">acorde: "Si", </v>
      </c>
      <c r="W53" t="s">
        <v>2012</v>
      </c>
      <c r="X53" t="s">
        <v>2013</v>
      </c>
      <c r="Y53" t="str">
        <f>_xlfn.CONCAT("""",VLOOKUP(E53,'Index Web'!A$4:O$253,15,FALSE)," ",VLOOKUP(E53,'Index Web'!A$4:O$253,13,FALSE),"""","},")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Z53" t="str">
        <f>_xlfn.CONCAT(F53:Y53)</f>
        <v>{idi:51, id:"comolirioentreloscardos", title: "Como lirio entre los cardos ", subtitle: "Cantar de los cantares 1,13ss ", category: "Eleccion", moments: ["Antiguo Testamento"], url: "/src/index.html?canto=comolirioentreloscardos", visible: "", cejilla: "", acorde: "Si", scrollConfig: {"mobile": { "v": 25, "i": 1 },"tablet": { "v": 25, "i": 1 },"desktop": { "v": 7, "i": 1 },"desktopsmall": { "v": 7, "i": 1 }},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4" spans="2:26" x14ac:dyDescent="0.25">
      <c r="B54" s="51" t="s">
        <v>521</v>
      </c>
      <c r="C54" s="1">
        <f>IF(VLOOKUP(Table4[[#This Row],[Cantounido]],Table7[],3,FALSE)=0,"",VLOOKUP(Table4[[#This Row],[Cantounido]],Table7[],3,FALSE))</f>
        <v>2</v>
      </c>
      <c r="D54" s="44" t="str">
        <f>IF(VLOOKUP(Table4[[#This Row],[Cantounido]],Table7[],4,FALSE)=0,"",VLOOKUP(Table4[[#This Row],[Cantounido]],Table7[],4,FALSE))</f>
        <v>Mi</v>
      </c>
      <c r="E54" s="26">
        <v>40</v>
      </c>
      <c r="F54" t="str">
        <f>F53</f>
        <v>{idi:</v>
      </c>
      <c r="G54" t="str">
        <f>_xlfn.CONCAT(VLOOKUP(E54,'Index Web'!A$4:L$253,2,FALSE),", ")</f>
        <v xml:space="preserve">52, </v>
      </c>
      <c r="H54" t="str">
        <f>H53</f>
        <v>id:</v>
      </c>
      <c r="I54" t="str">
        <f>_xlfn.CONCAT("""",VLOOKUP(E54,'Index Web'!A$4:O$253,13,FALSE),"""",", ")</f>
        <v xml:space="preserve">"comoovejaqueve", </v>
      </c>
      <c r="J54" t="s">
        <v>2016</v>
      </c>
      <c r="K54" t="str">
        <f>_xlfn.CONCAT("""",VLOOKUP(E54,'Index Web'!A$4:L$253,3,FALSE),"""")</f>
        <v>"Como oveja que ve"</v>
      </c>
      <c r="L54" t="s">
        <v>942</v>
      </c>
      <c r="M54" t="str">
        <f>_xlfn.CONCAT("""",VLOOKUP(E54,'Index Web'!A$4:L$253,4,FALSE),"""")</f>
        <v>"Kontáklon (Romano el Meloda)"</v>
      </c>
      <c r="N54" t="s">
        <v>943</v>
      </c>
      <c r="O54" t="str">
        <f>_xlfn.CONCAT("""",VLOOKUP(E54,'Index Web'!A$4:L$253,5,FALSE),"""")</f>
        <v>"Precatecumenado"</v>
      </c>
      <c r="P54" t="s">
        <v>944</v>
      </c>
      <c r="Q54" t="str">
        <f>_xlfn.CONCAT("[",VLOOKUP(E54,'Index Web'!A$4:N$253,14,FALSE),"]")</f>
        <v>["Vírgen María","Cuaresma","Pascua","Pentecostés","Fracción Del Pan"]</v>
      </c>
      <c r="R54" t="s">
        <v>945</v>
      </c>
      <c r="S54" t="str">
        <f>_xlfn.CONCAT("""/src/index.html?canto=",VLOOKUP(E54,'Index Web'!A$4:N$253,13,FALSE),""", ")</f>
        <v xml:space="preserve">"/src/index.html?canto=comoovejaqueve", </v>
      </c>
      <c r="T54" t="str">
        <f>T53</f>
        <v xml:space="preserve">visible: "", </v>
      </c>
      <c r="U54" t="str">
        <f>_xlfn.CONCAT("cejilla: """,C54,""", ")</f>
        <v xml:space="preserve">cejilla: "2", </v>
      </c>
      <c r="V54" t="str">
        <f>_xlfn.CONCAT("acorde: """,D54,""", ")</f>
        <v xml:space="preserve">acorde: "Mi", </v>
      </c>
      <c r="W54" t="s">
        <v>2012</v>
      </c>
      <c r="X54" t="s">
        <v>2013</v>
      </c>
      <c r="Y54" t="str">
        <f>_xlfn.CONCAT("""",VLOOKUP(E54,'Index Web'!A$4:O$253,15,FALSE)," ",VLOOKUP(E54,'Index Web'!A$4:O$253,13,FALSE),"""","},")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Z54" t="str">
        <f>_xlfn.CONCAT(F54:Y54)</f>
        <v>{idi:52, id:"comoovejaqueve", title: "Como oveja que ve", subtitle: "Kontáklon (Romano el Meloda)", category: "Precatecumenado", moments: ["Vírgen María","Cuaresma","Pascua","Pentecostés","Fracción Del Pan"], url: "/src/index.html?canto=comoovejaqueve", visible: "", cejilla: "2", acorde: "Mi", scrollConfig: {"mobile": { "v": 25, "i": 1 },"tablet": { "v": 25, "i": 1 },"desktop": { "v": 7, "i": 1 },"desktopsmall": { "v": 7, "i": 1 }},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5" spans="2:26" x14ac:dyDescent="0.25">
      <c r="B55" s="50" t="s">
        <v>522</v>
      </c>
      <c r="C55" s="1" t="str">
        <f>IF(VLOOKUP(Table4[[#This Row],[Cantounido]],Table7[],3,FALSE)=0,"",VLOOKUP(Table4[[#This Row],[Cantounido]],Table7[],3,FALSE))</f>
        <v/>
      </c>
      <c r="D55" s="44" t="str">
        <f>IF(VLOOKUP(Table4[[#This Row],[Cantounido]],Table7[],4,FALSE)=0,"",VLOOKUP(Table4[[#This Row],[Cantounido]],Table7[],4,FALSE))</f>
        <v>Mi</v>
      </c>
      <c r="E55" s="25">
        <v>41</v>
      </c>
      <c r="F55" t="str">
        <f>F54</f>
        <v>{idi:</v>
      </c>
      <c r="G55" t="str">
        <f>_xlfn.CONCAT(VLOOKUP(E55,'Index Web'!A$4:L$253,2,FALSE),", ")</f>
        <v xml:space="preserve">53, </v>
      </c>
      <c r="H55" t="str">
        <f>H54</f>
        <v>id:</v>
      </c>
      <c r="I55" t="str">
        <f>_xlfn.CONCAT("""",VLOOKUP(E55,'Index Web'!A$4:O$253,13,FALSE),"""",", ")</f>
        <v xml:space="preserve">"consoladamipueblo", </v>
      </c>
      <c r="J55" t="s">
        <v>2016</v>
      </c>
      <c r="K55" t="str">
        <f>_xlfn.CONCAT("""",VLOOKUP(E55,'Index Web'!A$4:L$253,3,FALSE),"""")</f>
        <v>"Consolad a mi pueblo"</v>
      </c>
      <c r="L55" t="s">
        <v>942</v>
      </c>
      <c r="M55" t="str">
        <f>_xlfn.CONCAT("""",VLOOKUP(E55,'Index Web'!A$4:L$253,4,FALSE),"""")</f>
        <v>"Isaías 40,1-11 - Melodía hebraica "</v>
      </c>
      <c r="N55" t="s">
        <v>943</v>
      </c>
      <c r="O55" t="str">
        <f>_xlfn.CONCAT("""",VLOOKUP(E55,'Index Web'!A$4:L$253,5,FALSE),"""")</f>
        <v>"Precatecumenado"</v>
      </c>
      <c r="P55" t="s">
        <v>944</v>
      </c>
      <c r="Q55" t="str">
        <f>_xlfn.CONCAT("[",VLOOKUP(E55,'Index Web'!A$4:N$253,14,FALSE),"]")</f>
        <v>["Adviento","Navidad","Entrada","Antiguo Testamento","Paz","Final"]</v>
      </c>
      <c r="R55" t="s">
        <v>945</v>
      </c>
      <c r="S55" t="str">
        <f>_xlfn.CONCAT("""/src/index.html?canto=",VLOOKUP(E55,'Index Web'!A$4:N$253,13,FALSE),""", ")</f>
        <v xml:space="preserve">"/src/index.html?canto=consoladamipueblo", </v>
      </c>
      <c r="T55" t="str">
        <f>T54</f>
        <v xml:space="preserve">visible: "", </v>
      </c>
      <c r="U55" t="str">
        <f>_xlfn.CONCAT("cejilla: """,C55,""", ")</f>
        <v xml:space="preserve">cejilla: "", </v>
      </c>
      <c r="V55" t="str">
        <f>_xlfn.CONCAT("acorde: """,D55,""", ")</f>
        <v xml:space="preserve">acorde: "Mi", </v>
      </c>
      <c r="W55" t="s">
        <v>2012</v>
      </c>
      <c r="X55" t="s">
        <v>2013</v>
      </c>
      <c r="Y55" t="str">
        <f>_xlfn.CONCAT("""",VLOOKUP(E55,'Index Web'!A$4:O$253,15,FALSE)," ",VLOOKUP(E55,'Index Web'!A$4:O$253,13,FALSE),"""","},")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Z55" t="str">
        <f>_xlfn.CONCAT(F55:Y55)</f>
        <v>{idi:53, id:"consoladamipueblo", title: "Consolad a mi pueblo", subtitle: "Isaías 40,1-11 - Melodía hebraica ", category: "Precatecumenado", moments: ["Adviento","Navidad","Entrada","Antiguo Testamento","Paz","Final"], url: "/src/index.html?canto=consoladamipueblo", visible: "", cejilla: "", acorde: "Mi", scrollConfig: {"mobile": { "v": 25, "i": 1 },"tablet": { "v": 25, "i": 1 },"desktop": { "v": 7, "i": 1 },"desktopsmall": { "v": 7, "i": 1 }},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6" spans="2:26" x14ac:dyDescent="0.25">
      <c r="B56" s="52" t="s">
        <v>660</v>
      </c>
      <c r="C56" s="1" t="str">
        <f>IF(VLOOKUP(Table4[[#This Row],[Cantounido]],Table7[],3,FALSE)=0,"",VLOOKUP(Table4[[#This Row],[Cantounido]],Table7[],3,FALSE))</f>
        <v/>
      </c>
      <c r="D56" s="44" t="str">
        <f>IF(VLOOKUP(Table4[[#This Row],[Cantounido]],Table7[],4,FALSE)=0,"",VLOOKUP(Table4[[#This Row],[Cantounido]],Table7[],4,FALSE))</f>
        <v>La</v>
      </c>
      <c r="E56" s="27">
        <v>186</v>
      </c>
      <c r="F56" t="str">
        <f>F55</f>
        <v>{idi:</v>
      </c>
      <c r="G56" t="str">
        <f>_xlfn.CONCAT(VLOOKUP(E56,'Index Web'!A$4:L$253,2,FALSE),", ")</f>
        <v xml:space="preserve">54, </v>
      </c>
      <c r="H56" t="str">
        <f>H55</f>
        <v>id:</v>
      </c>
      <c r="I56" t="str">
        <f>_xlfn.CONCAT("""",VLOOKUP(E56,'Index Web'!A$4:O$253,13,FALSE),"""",", ")</f>
        <v xml:space="preserve">"corderodedios", </v>
      </c>
      <c r="J56" t="s">
        <v>2016</v>
      </c>
      <c r="K56" t="str">
        <f>_xlfn.CONCAT("""",VLOOKUP(E56,'Index Web'!A$4:L$253,3,FALSE),"""")</f>
        <v>"Cordero de Dios"</v>
      </c>
      <c r="L56" t="s">
        <v>942</v>
      </c>
      <c r="M56" t="str">
        <f>_xlfn.CONCAT("""",VLOOKUP(E56,'Index Web'!A$4:L$253,4,FALSE),"""")</f>
        <v>"Después de la consagración"</v>
      </c>
      <c r="N56" t="s">
        <v>943</v>
      </c>
      <c r="O56" t="str">
        <f>_xlfn.CONCAT("""",VLOOKUP(E56,'Index Web'!A$4:L$253,5,FALSE),"""")</f>
        <v>"Liturgia"</v>
      </c>
      <c r="P56" t="s">
        <v>944</v>
      </c>
      <c r="Q56" t="str">
        <f>_xlfn.CONCAT("[",VLOOKUP(E56,'Index Web'!A$4:N$253,14,FALSE),"]")</f>
        <v>[""]</v>
      </c>
      <c r="R56" t="s">
        <v>945</v>
      </c>
      <c r="S56" t="str">
        <f>_xlfn.CONCAT("""/src/index.html?canto=",VLOOKUP(E56,'Index Web'!A$4:N$253,13,FALSE),""", ")</f>
        <v xml:space="preserve">"/src/index.html?canto=corderodedios", </v>
      </c>
      <c r="T56" t="str">
        <f>T55</f>
        <v xml:space="preserve">visible: "", </v>
      </c>
      <c r="U56" t="str">
        <f>_xlfn.CONCAT("cejilla: """,C56,""", ")</f>
        <v xml:space="preserve">cejilla: "", </v>
      </c>
      <c r="V56" t="str">
        <f>_xlfn.CONCAT("acorde: """,D56,""", ")</f>
        <v xml:space="preserve">acorde: "La", </v>
      </c>
      <c r="W56" t="s">
        <v>2012</v>
      </c>
      <c r="X56" t="s">
        <v>2013</v>
      </c>
      <c r="Y56" t="str">
        <f>_xlfn.CONCAT("""",VLOOKUP(E56,'Index Web'!A$4:O$253,15,FALSE)," ",VLOOKUP(E56,'Index Web'!A$4:O$253,13,FALSE),"""","},")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Z56" t="str">
        <f>_xlfn.CONCAT(F56:Y56)</f>
        <v>{idi:54, id:"corderodedios", title: "Cordero de Dios", subtitle: "Después de la consagración", category: "Liturgia", moments: [""], url: "/src/index.html?canto=corderodedios", visible: "", cejilla: "", acorde: "La", scrollConfig: {"mobile": { "v": 25, "i": 1 },"tablet": { "v": 25, "i": 1 },"desktop": { "v": 7, "i": 1 },"desktopsmall": { "v": 7, "i": 1 }},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7" spans="2:26" x14ac:dyDescent="0.25">
      <c r="B57" s="54" t="s">
        <v>661</v>
      </c>
      <c r="C57" s="1" t="str">
        <f>IF(VLOOKUP(Table4[[#This Row],[Cantounido]],Table7[],3,FALSE)=0,"",VLOOKUP(Table4[[#This Row],[Cantounido]],Table7[],3,FALSE))</f>
        <v/>
      </c>
      <c r="D57" s="44" t="str">
        <f>IF(VLOOKUP(Table4[[#This Row],[Cantounido]],Table7[],4,FALSE)=0,"",VLOOKUP(Table4[[#This Row],[Cantounido]],Table7[],4,FALSE))</f>
        <v>Re</v>
      </c>
      <c r="E57" s="29">
        <v>187</v>
      </c>
      <c r="F57" t="str">
        <f>F56</f>
        <v>{idi:</v>
      </c>
      <c r="G57" t="str">
        <f>_xlfn.CONCAT(VLOOKUP(E57,'Index Web'!A$4:L$253,2,FALSE),", ")</f>
        <v xml:space="preserve">55, </v>
      </c>
      <c r="H57" t="str">
        <f>H56</f>
        <v>id:</v>
      </c>
      <c r="I57" t="str">
        <f>_xlfn.CONCAT("""",VLOOKUP(E57,'Index Web'!A$4:O$253,13,FALSE),"""",", ")</f>
        <v xml:space="preserve">"credo", </v>
      </c>
      <c r="J57" t="s">
        <v>2016</v>
      </c>
      <c r="K57" t="str">
        <f>_xlfn.CONCAT("""",VLOOKUP(E57,'Index Web'!A$4:L$253,3,FALSE),"""")</f>
        <v>"Credo"</v>
      </c>
      <c r="L57" t="s">
        <v>942</v>
      </c>
      <c r="M57" t="str">
        <f>_xlfn.CONCAT("""",VLOOKUP(E57,'Index Web'!A$4:L$253,4,FALSE),"""")</f>
        <v>"Símbolo Apostólico"</v>
      </c>
      <c r="N57" t="s">
        <v>943</v>
      </c>
      <c r="O57" t="str">
        <f>_xlfn.CONCAT("""",VLOOKUP(E57,'Index Web'!A$4:L$253,5,FALSE),"""")</f>
        <v>"Liturgia"</v>
      </c>
      <c r="P57" t="s">
        <v>944</v>
      </c>
      <c r="Q57" t="str">
        <f>_xlfn.CONCAT("[",VLOOKUP(E57,'Index Web'!A$4:N$253,14,FALSE),"]")</f>
        <v>[""]</v>
      </c>
      <c r="R57" t="s">
        <v>945</v>
      </c>
      <c r="S57" t="str">
        <f>_xlfn.CONCAT("""/src/index.html?canto=",VLOOKUP(E57,'Index Web'!A$4:N$253,13,FALSE),""", ")</f>
        <v xml:space="preserve">"/src/index.html?canto=credo", </v>
      </c>
      <c r="T57" t="str">
        <f>T56</f>
        <v xml:space="preserve">visible: "", </v>
      </c>
      <c r="U57" t="str">
        <f>_xlfn.CONCAT("cejilla: """,C57,""", ")</f>
        <v xml:space="preserve">cejilla: "", </v>
      </c>
      <c r="V57" t="str">
        <f>_xlfn.CONCAT("acorde: """,D57,""", ")</f>
        <v xml:space="preserve">acorde: "Re", </v>
      </c>
      <c r="W57" t="s">
        <v>2012</v>
      </c>
      <c r="X57" t="s">
        <v>2013</v>
      </c>
      <c r="Y57" t="str">
        <f>_xlfn.CONCAT("""",VLOOKUP(E57,'Index Web'!A$4:O$253,15,FALSE)," ",VLOOKUP(E57,'Index Web'!A$4:O$253,13,FALSE),"""","},")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Z57" t="str">
        <f>_xlfn.CONCAT(F57:Y57)</f>
        <v>{idi:55, id:"credo", title: "Credo", subtitle: "Símbolo Apostólico", category: "Liturgia", moments: [""], url: "/src/index.html?canto=credo", visible: "", cejilla: "", acorde: "Re", scrollConfig: {"mobile": { "v": 25, "i": 1 },"tablet": { "v": 25, "i": 1 },"desktop": { "v": 7, "i": 1 },"desktopsmall": { "v": 7, "i": 1 }},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8" spans="2:26" x14ac:dyDescent="0.25">
      <c r="B58" s="51" t="s">
        <v>523</v>
      </c>
      <c r="C58" s="1" t="str">
        <f>IF(VLOOKUP(Table4[[#This Row],[Cantounido]],Table7[],3,FALSE)=0,"",VLOOKUP(Table4[[#This Row],[Cantounido]],Table7[],3,FALSE))</f>
        <v/>
      </c>
      <c r="D58" s="44" t="str">
        <f>IF(VLOOKUP(Table4[[#This Row],[Cantounido]],Table7[],4,FALSE)=0,"",VLOOKUP(Table4[[#This Row],[Cantounido]],Table7[],4,FALSE))</f>
        <v>Do</v>
      </c>
      <c r="E58" s="26">
        <v>42</v>
      </c>
      <c r="F58" t="str">
        <f>F57</f>
        <v>{idi:</v>
      </c>
      <c r="G58" t="str">
        <f>_xlfn.CONCAT(VLOOKUP(E58,'Index Web'!A$4:L$253,2,FALSE),", ")</f>
        <v xml:space="preserve">56, </v>
      </c>
      <c r="H58" t="str">
        <f>H57</f>
        <v>id:</v>
      </c>
      <c r="I58" t="str">
        <f>_xlfn.CONCAT("""",VLOOKUP(E58,'Index Web'!A$4:O$253,13,FALSE),"""",", ")</f>
        <v xml:space="preserve">"cristoeslaluz", </v>
      </c>
      <c r="J58" t="s">
        <v>2016</v>
      </c>
      <c r="K58" t="str">
        <f>_xlfn.CONCAT("""",VLOOKUP(E58,'Index Web'!A$4:L$253,3,FALSE),"""")</f>
        <v>"Cristo es la luz"</v>
      </c>
      <c r="L58" t="s">
        <v>942</v>
      </c>
      <c r="M58" t="str">
        <f>_xlfn.CONCAT("""",VLOOKUP(E58,'Index Web'!A$4:L$253,4,FALSE),"""")</f>
        <v>"Himno - Juan 8,12; 14,6"</v>
      </c>
      <c r="N58" t="s">
        <v>943</v>
      </c>
      <c r="O58" t="str">
        <f>_xlfn.CONCAT("""",VLOOKUP(E58,'Index Web'!A$4:L$253,5,FALSE),"""")</f>
        <v>"Precatecumenado"</v>
      </c>
      <c r="P58" t="s">
        <v>944</v>
      </c>
      <c r="Q58" t="str">
        <f>_xlfn.CONCAT("[",VLOOKUP(E58,'Index Web'!A$4:N$253,14,FALSE),"]")</f>
        <v>["Pascua","Pentecostés","Nuevo Testamento"]</v>
      </c>
      <c r="R58" t="s">
        <v>945</v>
      </c>
      <c r="S58" t="str">
        <f>_xlfn.CONCAT("""/src/index.html?canto=",VLOOKUP(E58,'Index Web'!A$4:N$253,13,FALSE),""", ")</f>
        <v xml:space="preserve">"/src/index.html?canto=cristoeslaluz", </v>
      </c>
      <c r="T58" t="str">
        <f>T57</f>
        <v xml:space="preserve">visible: "", </v>
      </c>
      <c r="U58" t="str">
        <f>_xlfn.CONCAT("cejilla: """,C58,""", ")</f>
        <v xml:space="preserve">cejilla: "", </v>
      </c>
      <c r="V58" t="str">
        <f>_xlfn.CONCAT("acorde: """,D58,""", ")</f>
        <v xml:space="preserve">acorde: "Do", </v>
      </c>
      <c r="W58" t="s">
        <v>2012</v>
      </c>
      <c r="X58" t="s">
        <v>2013</v>
      </c>
      <c r="Y58" t="str">
        <f>_xlfn.CONCAT("""",VLOOKUP(E58,'Index Web'!A$4:O$253,15,FALSE)," ",VLOOKUP(E58,'Index Web'!A$4:O$253,13,FALSE),"""","},")</f>
        <v>"cristo es la luz juan 8,12; 14,6 cristo es la luz. él es la salvación cristo es el camino. cristo es la verdad. cristo es la vida. cristoeslaluz"},</v>
      </c>
      <c r="Z58" t="str">
        <f>_xlfn.CONCAT(F58:Y58)</f>
        <v>{idi:56, id:"cristoeslaluz", title: "Cristo es la luz", subtitle: "Himno - Juan 8,12; 14,6", category: "Precatecumenado", moments: ["Pascua","Pentecostés","Nuevo Testamento"], url: "/src/index.html?canto=cristoeslaluz", visible: "", cejilla: "", acorde: "Do", scrollConfig: {"mobile": { "v": 25, "i": 1 },"tablet": { "v": 25, "i": 1 },"desktop": { "v": 7, "i": 1 },"desktopsmall": { "v": 7, "i": 1 }}, content: "cristo es la luz juan 8,12; 14,6 cristo es la luz. él es la salvación cristo es el camino. cristo es la verdad. cristo es la vida. cristoeslaluz"},</v>
      </c>
    </row>
    <row r="59" spans="2:26" x14ac:dyDescent="0.25">
      <c r="B59" s="57" t="s">
        <v>685</v>
      </c>
      <c r="C59" s="1" t="str">
        <f>IF(VLOOKUP(Table4[[#This Row],[Cantounido]],Table7[],3,FALSE)=0,"",VLOOKUP(Table4[[#This Row],[Cantounido]],Table7[],3,FALSE))</f>
        <v/>
      </c>
      <c r="D59" s="44" t="str">
        <f>IF(VLOOKUP(Table4[[#This Row],[Cantounido]],Table7[],4,FALSE)=0,"",VLOOKUP(Table4[[#This Row],[Cantounido]],Table7[],4,FALSE))</f>
        <v>Do</v>
      </c>
      <c r="E59" s="31">
        <v>222</v>
      </c>
      <c r="F59" t="str">
        <f>F58</f>
        <v>{idi:</v>
      </c>
      <c r="G59" t="str">
        <f>_xlfn.CONCAT(VLOOKUP(E59,'Index Web'!A$4:L$253,2,FALSE),", ")</f>
        <v xml:space="preserve">57, </v>
      </c>
      <c r="H59" t="str">
        <f>H58</f>
        <v>id:</v>
      </c>
      <c r="I59" t="str">
        <f>_xlfn.CONCAT("""",VLOOKUP(E59,'Index Web'!A$4:O$253,13,FALSE),"""",", ")</f>
        <v xml:space="preserve">"cuandodormia", </v>
      </c>
      <c r="J59" t="s">
        <v>2016</v>
      </c>
      <c r="K59" t="str">
        <f>_xlfn.CONCAT("""",VLOOKUP(E59,'Index Web'!A$4:L$253,3,FALSE),"""")</f>
        <v>"Cuando dormía"</v>
      </c>
      <c r="L59" t="s">
        <v>942</v>
      </c>
      <c r="M59" t="str">
        <f>_xlfn.CONCAT("""",VLOOKUP(E59,'Index Web'!A$4:L$253,4,FALSE),"""")</f>
        <v>"Cantar de los Cantares 5,2ss "</v>
      </c>
      <c r="N59" t="s">
        <v>943</v>
      </c>
      <c r="O59" t="str">
        <f>_xlfn.CONCAT("""",VLOOKUP(E59,'Index Web'!A$4:L$253,5,FALSE),"""")</f>
        <v>"Catecumenado"</v>
      </c>
      <c r="P59" t="s">
        <v>944</v>
      </c>
      <c r="Q59" t="str">
        <f>_xlfn.CONCAT("[",VLOOKUP(E59,'Index Web'!A$4:N$253,14,FALSE),"]")</f>
        <v>["Comunión","Antiguo Testamento"]</v>
      </c>
      <c r="R59" t="s">
        <v>945</v>
      </c>
      <c r="S59" t="str">
        <f>_xlfn.CONCAT("""/src/index.html?canto=",VLOOKUP(E59,'Index Web'!A$4:N$253,13,FALSE),""", ")</f>
        <v xml:space="preserve">"/src/index.html?canto=cuandodormia", </v>
      </c>
      <c r="T59" t="str">
        <f>T58</f>
        <v xml:space="preserve">visible: "", </v>
      </c>
      <c r="U59" t="str">
        <f>_xlfn.CONCAT("cejilla: """,C59,""", ")</f>
        <v xml:space="preserve">cejilla: "", </v>
      </c>
      <c r="V59" t="str">
        <f>_xlfn.CONCAT("acorde: """,D59,""", ")</f>
        <v xml:space="preserve">acorde: "Do", </v>
      </c>
      <c r="W59" t="s">
        <v>2012</v>
      </c>
      <c r="X59" t="s">
        <v>2013</v>
      </c>
      <c r="Y59" t="str">
        <f>_xlfn.CONCAT("""",VLOOKUP(E59,'Index Web'!A$4:O$253,15,FALSE)," ",VLOOKUP(E59,'Index Web'!A$4:O$253,13,FALSE),"""","},")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Z59" t="str">
        <f>_xlfn.CONCAT(F59:Y59)</f>
        <v>{idi:57, id:"cuandodormia", title: "Cuando dormía", subtitle: "Cantar de los Cantares 5,2ss ", category: "Catecumenado", moments: ["Comunión","Antiguo Testamento"], url: "/src/index.html?canto=cuandodormia", visible: "", cejilla: "", acorde: "Do", scrollConfig: {"mobile": { "v": 25, "i": 1 },"tablet": { "v": 25, "i": 1 },"desktop": { "v": 7, "i": 1 },"desktopsmall": { "v": 7, "i": 1 }},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60" spans="2:26" x14ac:dyDescent="0.25">
      <c r="B60" s="51" t="s">
        <v>524</v>
      </c>
      <c r="C60" s="1" t="str">
        <f>IF(VLOOKUP(Table4[[#This Row],[Cantounido]],Table7[],3,FALSE)=0,"",VLOOKUP(Table4[[#This Row],[Cantounido]],Table7[],3,FALSE))</f>
        <v/>
      </c>
      <c r="D60" s="44" t="str">
        <f>IF(VLOOKUP(Table4[[#This Row],[Cantounido]],Table7[],4,FALSE)=0,"",VLOOKUP(Table4[[#This Row],[Cantounido]],Table7[],4,FALSE))</f>
        <v>Re</v>
      </c>
      <c r="E60" s="26">
        <v>43</v>
      </c>
      <c r="F60" t="str">
        <f>F59</f>
        <v>{idi:</v>
      </c>
      <c r="G60" t="str">
        <f>_xlfn.CONCAT(VLOOKUP(E60,'Index Web'!A$4:L$253,2,FALSE),", ")</f>
        <v xml:space="preserve">58, </v>
      </c>
      <c r="H60" t="str">
        <f>H59</f>
        <v>id:</v>
      </c>
      <c r="I60" t="str">
        <f>_xlfn.CONCAT("""",VLOOKUP(E60,'Index Web'!A$4:O$253,13,FALSE),"""",", ")</f>
        <v xml:space="preserve">"cuandoelsenor", </v>
      </c>
      <c r="J60" t="s">
        <v>2016</v>
      </c>
      <c r="K60" t="str">
        <f>_xlfn.CONCAT("""",VLOOKUP(E60,'Index Web'!A$4:L$253,3,FALSE),"""")</f>
        <v>"Cuando el Señor "</v>
      </c>
      <c r="L60" t="s">
        <v>942</v>
      </c>
      <c r="M60" t="str">
        <f>_xlfn.CONCAT("""",VLOOKUP(E60,'Index Web'!A$4:L$253,4,FALSE),"""")</f>
        <v>"Salmo 126 (125)"</v>
      </c>
      <c r="N60" t="s">
        <v>943</v>
      </c>
      <c r="O60" t="str">
        <f>_xlfn.CONCAT("""",VLOOKUP(E60,'Index Web'!A$4:L$253,5,FALSE),"""")</f>
        <v>"Precatecumenado"</v>
      </c>
      <c r="P60" t="s">
        <v>944</v>
      </c>
      <c r="Q60" t="str">
        <f>_xlfn.CONCAT("[",VLOOKUP(E60,'Index Web'!A$4:N$253,14,FALSE),"]")</f>
        <v>["Cuaresma","Adviento","Navidad","Antiguo Testamento","Entrada"]</v>
      </c>
      <c r="R60" t="s">
        <v>945</v>
      </c>
      <c r="S60" t="str">
        <f>_xlfn.CONCAT("""/src/index.html?canto=",VLOOKUP(E60,'Index Web'!A$4:N$253,13,FALSE),""", ")</f>
        <v xml:space="preserve">"/src/index.html?canto=cuandoelsenor", </v>
      </c>
      <c r="T60" t="str">
        <f>T59</f>
        <v xml:space="preserve">visible: "", </v>
      </c>
      <c r="U60" t="str">
        <f>_xlfn.CONCAT("cejilla: """,C60,""", ")</f>
        <v xml:space="preserve">cejilla: "", </v>
      </c>
      <c r="V60" t="str">
        <f>_xlfn.CONCAT("acorde: """,D60,""", ")</f>
        <v xml:space="preserve">acorde: "Re", </v>
      </c>
      <c r="W60" t="s">
        <v>2012</v>
      </c>
      <c r="X60" t="s">
        <v>2013</v>
      </c>
      <c r="Y60" t="str">
        <f>_xlfn.CONCAT("""",VLOOKUP(E60,'Index Web'!A$4:O$253,15,FALSE)," ",VLOOKUP(E60,'Index Web'!A$4:O$253,13,FALSE),"""","},")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Z60" t="str">
        <f>_xlfn.CONCAT(F60:Y60)</f>
        <v>{idi:58, id:"cuandoelsenor", title: "Cuando el Señor ", subtitle: "Salmo 126 (125)", category: "Precatecumenado", moments: ["Cuaresma","Adviento","Navidad","Antiguo Testamento","Entrada"], url: "/src/index.html?canto=cuandoelsenor", visible: "", cejilla: "", acorde: "Re", scrollConfig: {"mobile": { "v": 25, "i": 1 },"tablet": { "v": 25, "i": 1 },"desktop": { "v": 7, "i": 1 },"desktopsmall": { "v": 7, "i": 1 }},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1" spans="2:26" x14ac:dyDescent="0.25">
      <c r="B61" s="50" t="s">
        <v>525</v>
      </c>
      <c r="C61" s="1" t="str">
        <f>IF(VLOOKUP(Table4[[#This Row],[Cantounido]],Table7[],3,FALSE)=0,"",VLOOKUP(Table4[[#This Row],[Cantounido]],Table7[],3,FALSE))</f>
        <v/>
      </c>
      <c r="D61" s="44" t="str">
        <f>IF(VLOOKUP(Table4[[#This Row],[Cantounido]],Table7[],4,FALSE)=0,"",VLOOKUP(Table4[[#This Row],[Cantounido]],Table7[],4,FALSE))</f>
        <v>Mi</v>
      </c>
      <c r="E61" s="25">
        <v>44</v>
      </c>
      <c r="F61" t="str">
        <f>F60</f>
        <v>{idi:</v>
      </c>
      <c r="G61" t="str">
        <f>_xlfn.CONCAT(VLOOKUP(E61,'Index Web'!A$4:L$253,2,FALSE),", ")</f>
        <v xml:space="preserve">59, </v>
      </c>
      <c r="H61" t="str">
        <f>H60</f>
        <v>id:</v>
      </c>
      <c r="I61" t="str">
        <f>_xlfn.CONCAT("""",VLOOKUP(E61,'Index Web'!A$4:O$253,13,FALSE),"""",", ")</f>
        <v xml:space="preserve">"cuandoisraelsaliodeegipto", </v>
      </c>
      <c r="J61" t="s">
        <v>2016</v>
      </c>
      <c r="K61" t="str">
        <f>_xlfn.CONCAT("""",VLOOKUP(E61,'Index Web'!A$4:L$253,3,FALSE),"""")</f>
        <v>"Cuando Israel salió de Egipto"</v>
      </c>
      <c r="L61" t="s">
        <v>942</v>
      </c>
      <c r="M61" t="str">
        <f>_xlfn.CONCAT("""",VLOOKUP(E61,'Index Web'!A$4:L$253,4,FALSE),"""")</f>
        <v>"Salmo 114 (113)"</v>
      </c>
      <c r="N61" t="s">
        <v>943</v>
      </c>
      <c r="O61" t="str">
        <f>_xlfn.CONCAT("""",VLOOKUP(E61,'Index Web'!A$4:L$253,5,FALSE),"""")</f>
        <v>"Precatecumenado"</v>
      </c>
      <c r="P61" t="s">
        <v>944</v>
      </c>
      <c r="Q61" t="str">
        <f>_xlfn.CONCAT("[",VLOOKUP(E61,'Index Web'!A$4:N$253,14,FALSE),"]")</f>
        <v>["Pascua","Pentecostés","Antiguo Testamento"]</v>
      </c>
      <c r="R61" t="s">
        <v>945</v>
      </c>
      <c r="S61" t="str">
        <f>_xlfn.CONCAT("""/src/index.html?canto=",VLOOKUP(E61,'Index Web'!A$4:N$253,13,FALSE),""", ")</f>
        <v xml:space="preserve">"/src/index.html?canto=cuandoisraelsaliodeegipto", </v>
      </c>
      <c r="T61" t="str">
        <f>T60</f>
        <v xml:space="preserve">visible: "", </v>
      </c>
      <c r="U61" t="str">
        <f>_xlfn.CONCAT("cejilla: """,C61,""", ")</f>
        <v xml:space="preserve">cejilla: "", </v>
      </c>
      <c r="V61" t="str">
        <f>_xlfn.CONCAT("acorde: """,D61,""", ")</f>
        <v xml:space="preserve">acorde: "Mi", </v>
      </c>
      <c r="W61" t="s">
        <v>2012</v>
      </c>
      <c r="X61" t="s">
        <v>2013</v>
      </c>
      <c r="Y61" t="str">
        <f>_xlfn.CONCAT("""",VLOOKUP(E61,'Index Web'!A$4:O$253,15,FALSE)," ",VLOOKUP(E61,'Index Web'!A$4:O$253,13,FALSE),"""","},")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Z61" t="str">
        <f>_xlfn.CONCAT(F61:Y61)</f>
        <v>{idi:59, id:"cuandoisraelsaliodeegipto", title: "Cuando Israel salió de Egipto", subtitle: "Salmo 114 (113)", category: "Precatecumenado", moments: ["Pascua","Pentecostés","Antiguo Testamento"], url: "/src/index.html?canto=cuandoisraelsaliodeegipto", visible: "", cejilla: "", acorde: "Mi", scrollConfig: {"mobile": { "v": 25, "i": 1 },"tablet": { "v": 25, "i": 1 },"desktop": { "v": 7, "i": 1 },"desktopsmall": { "v": 7, "i": 1 }},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2" spans="2:26" x14ac:dyDescent="0.25">
      <c r="B62" s="51" t="s">
        <v>526</v>
      </c>
      <c r="C62" s="1" t="str">
        <f>IF(VLOOKUP(Table4[[#This Row],[Cantounido]],Table7[],3,FALSE)=0,"",VLOOKUP(Table4[[#This Row],[Cantounido]],Table7[],3,FALSE))</f>
        <v/>
      </c>
      <c r="D62" s="44" t="str">
        <f>IF(VLOOKUP(Table4[[#This Row],[Cantounido]],Table7[],4,FALSE)=0,"",VLOOKUP(Table4[[#This Row],[Cantounido]],Table7[],4,FALSE))</f>
        <v>Mi</v>
      </c>
      <c r="E62" s="26">
        <v>45</v>
      </c>
      <c r="F62" t="str">
        <f>F61</f>
        <v>{idi:</v>
      </c>
      <c r="G62" t="str">
        <f>_xlfn.CONCAT(VLOOKUP(E62,'Index Web'!A$4:L$253,2,FALSE),", ")</f>
        <v xml:space="preserve">60, </v>
      </c>
      <c r="H62" t="str">
        <f>H61</f>
        <v>id:</v>
      </c>
      <c r="I62" t="str">
        <f>_xlfn.CONCAT("""",VLOOKUP(E62,'Index Web'!A$4:O$253,13,FALSE),"""",", ")</f>
        <v xml:space="preserve">"dayenu", </v>
      </c>
      <c r="J62" t="s">
        <v>2016</v>
      </c>
      <c r="K62" t="str">
        <f>_xlfn.CONCAT("""",VLOOKUP(E62,'Index Web'!A$4:L$253,3,FALSE),"""")</f>
        <v>"Dayenú"</v>
      </c>
      <c r="L62" t="s">
        <v>942</v>
      </c>
      <c r="M62" t="str">
        <f>_xlfn.CONCAT("""",VLOOKUP(E62,'Index Web'!A$4:L$253,4,FALSE),"""")</f>
        <v>"De la Hagadá de Pésaj hebrea"</v>
      </c>
      <c r="N62" t="s">
        <v>943</v>
      </c>
      <c r="O62" t="str">
        <f>_xlfn.CONCAT("""",VLOOKUP(E62,'Index Web'!A$4:L$253,5,FALSE),"""")</f>
        <v>"Precatecumenado"</v>
      </c>
      <c r="P62" t="s">
        <v>944</v>
      </c>
      <c r="Q62" t="str">
        <f>_xlfn.CONCAT("[",VLOOKUP(E62,'Index Web'!A$4:N$253,14,FALSE),"]")</f>
        <v>["Pascua","Pentecostés","Paz"]</v>
      </c>
      <c r="R62" t="s">
        <v>945</v>
      </c>
      <c r="S62" t="str">
        <f>_xlfn.CONCAT("""/src/index.html?canto=",VLOOKUP(E62,'Index Web'!A$4:N$253,13,FALSE),""", ")</f>
        <v xml:space="preserve">"/src/index.html?canto=dayenu", </v>
      </c>
      <c r="T62" t="str">
        <f>T61</f>
        <v xml:space="preserve">visible: "", </v>
      </c>
      <c r="U62" t="str">
        <f>_xlfn.CONCAT("cejilla: """,C62,""", ")</f>
        <v xml:space="preserve">cejilla: "", </v>
      </c>
      <c r="V62" t="str">
        <f>_xlfn.CONCAT("acorde: """,D62,""", ")</f>
        <v xml:space="preserve">acorde: "Mi", </v>
      </c>
      <c r="W62" t="s">
        <v>2012</v>
      </c>
      <c r="X62" t="s">
        <v>2013</v>
      </c>
      <c r="Y62" t="str">
        <f>_xlfn.CONCAT("""",VLOOKUP(E62,'Index Web'!A$4:O$253,15,FALSE)," ",VLOOKUP(E62,'Index Web'!A$4:O$253,13,FALSE),"""","},")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Z62" t="str">
        <f>_xlfn.CONCAT(F62:Y62)</f>
        <v>{idi:60, id:"dayenu", title: "Dayenú", subtitle: "De la Hagadá de Pésaj hebrea", category: "Precatecumenado", moments: ["Pascua","Pentecostés","Paz"], url: "/src/index.html?canto=dayenu", visible: "", cejilla: "", acorde: "Mi", scrollConfig: {"mobile": { "v": 25, "i": 1 },"tablet": { "v": 25, "i": 1 },"desktop": { "v": 7, "i": 1 },"desktopsmall": { "v": 7, "i": 1 }},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3" spans="2:26" x14ac:dyDescent="0.25">
      <c r="B63" s="50" t="s">
        <v>527</v>
      </c>
      <c r="C63" s="1">
        <f>IF(VLOOKUP(Table4[[#This Row],[Cantounido]],Table7[],3,FALSE)=0,"",VLOOKUP(Table4[[#This Row],[Cantounido]],Table7[],3,FALSE))</f>
        <v>3</v>
      </c>
      <c r="D63" s="44" t="str">
        <f>IF(VLOOKUP(Table4[[#This Row],[Cantounido]],Table7[],4,FALSE)=0,"",VLOOKUP(Table4[[#This Row],[Cantounido]],Table7[],4,FALSE))</f>
        <v>La</v>
      </c>
      <c r="E63" s="25">
        <v>47</v>
      </c>
      <c r="F63" t="str">
        <f>F62</f>
        <v>{idi:</v>
      </c>
      <c r="G63" t="str">
        <f>_xlfn.CONCAT(VLOOKUP(E63,'Index Web'!A$4:L$253,2,FALSE),", ")</f>
        <v xml:space="preserve">61, </v>
      </c>
      <c r="H63" t="str">
        <f>H62</f>
        <v>id:</v>
      </c>
      <c r="I63" t="str">
        <f>_xlfn.CONCAT("""",VLOOKUP(E63,'Index Web'!A$4:O$253,13,FALSE),"""",", ")</f>
        <v xml:space="preserve">"deprofundis", </v>
      </c>
      <c r="J63" t="s">
        <v>2016</v>
      </c>
      <c r="K63" t="str">
        <f>_xlfn.CONCAT("""",VLOOKUP(E63,'Index Web'!A$4:L$253,3,FALSE),"""")</f>
        <v>"De Profundis"</v>
      </c>
      <c r="L63" t="s">
        <v>942</v>
      </c>
      <c r="M63" t="str">
        <f>_xlfn.CONCAT("""",VLOOKUP(E63,'Index Web'!A$4:L$253,4,FALSE),"""")</f>
        <v>"Salmo 130 (129)"</v>
      </c>
      <c r="N63" t="s">
        <v>943</v>
      </c>
      <c r="O63" t="str">
        <f>_xlfn.CONCAT("""",VLOOKUP(E63,'Index Web'!A$4:L$253,5,FALSE),"""")</f>
        <v>"Precatecumenado"</v>
      </c>
      <c r="P63" t="s">
        <v>944</v>
      </c>
      <c r="Q63" t="str">
        <f>_xlfn.CONCAT("[",VLOOKUP(E63,'Index Web'!A$4:N$253,14,FALSE),"]")</f>
        <v>["Cuaresma","Adviento","Navidad","Antiguo Testamento"]</v>
      </c>
      <c r="R63" t="s">
        <v>945</v>
      </c>
      <c r="S63" t="str">
        <f>_xlfn.CONCAT("""/src/index.html?canto=",VLOOKUP(E63,'Index Web'!A$4:N$253,13,FALSE),""", ")</f>
        <v xml:space="preserve">"/src/index.html?canto=deprofundis", </v>
      </c>
      <c r="T63" t="str">
        <f>T62</f>
        <v xml:space="preserve">visible: "", </v>
      </c>
      <c r="U63" t="str">
        <f>_xlfn.CONCAT("cejilla: """,C63,""", ")</f>
        <v xml:space="preserve">cejilla: "3", </v>
      </c>
      <c r="V63" t="str">
        <f>_xlfn.CONCAT("acorde: """,D63,""", ")</f>
        <v xml:space="preserve">acorde: "La", </v>
      </c>
      <c r="W63" t="s">
        <v>2012</v>
      </c>
      <c r="X63" t="s">
        <v>2013</v>
      </c>
      <c r="Y63" t="str">
        <f>_xlfn.CONCAT("""",VLOOKUP(E63,'Index Web'!A$4:O$253,15,FALSE)," ",VLOOKUP(E63,'Index Web'!A$4:O$253,13,FALSE),"""","},")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Z63" t="str">
        <f>_xlfn.CONCAT(F63:Y63)</f>
        <v>{idi:61, id:"deprofundis", title: "De Profundis", subtitle: "Salmo 130 (129)", category: "Precatecumenado", moments: ["Cuaresma","Adviento","Navidad","Antiguo Testamento"], url: "/src/index.html?canto=deprofundis", visible: "", cejilla: "3", acorde: "La", scrollConfig: {"mobile": { "v": 25, "i": 1 },"tablet": { "v": 25, "i": 1 },"desktop": { "v": 7, "i": 1 },"desktopsmall": { "v": 7, "i": 1 }},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4" spans="2:26" x14ac:dyDescent="0.25">
      <c r="B64" s="56" t="s">
        <v>686</v>
      </c>
      <c r="C64" s="1" t="str">
        <f>IF(VLOOKUP(Table4[[#This Row],[Cantounido]],Table7[],3,FALSE)=0,"",VLOOKUP(Table4[[#This Row],[Cantounido]],Table7[],3,FALSE))</f>
        <v/>
      </c>
      <c r="D64" s="44" t="str">
        <f>IF(VLOOKUP(Table4[[#This Row],[Cantounido]],Table7[],4,FALSE)=0,"",VLOOKUP(Table4[[#This Row],[Cantounido]],Table7[],4,FALSE))</f>
        <v>Re 7</v>
      </c>
      <c r="E64" s="30">
        <v>223</v>
      </c>
      <c r="F64" t="str">
        <f>F63</f>
        <v>{idi:</v>
      </c>
      <c r="G64" t="str">
        <f>_xlfn.CONCAT(VLOOKUP(E64,'Index Web'!A$4:L$253,2,FALSE),", ")</f>
        <v xml:space="preserve">62, </v>
      </c>
      <c r="H64" t="str">
        <f>H63</f>
        <v>id:</v>
      </c>
      <c r="I64" t="str">
        <f>_xlfn.CONCAT("""",VLOOKUP(E64,'Index Web'!A$4:O$253,13,FALSE),"""",", ")</f>
        <v xml:space="preserve">"debora", </v>
      </c>
      <c r="J64" t="s">
        <v>2016</v>
      </c>
      <c r="K64" t="str">
        <f>_xlfn.CONCAT("""",VLOOKUP(E64,'Index Web'!A$4:L$253,3,FALSE),"""")</f>
        <v>"Débora"</v>
      </c>
      <c r="L64" t="s">
        <v>942</v>
      </c>
      <c r="M64" t="str">
        <f>_xlfn.CONCAT("""",VLOOKUP(E64,'Index Web'!A$4:L$253,4,FALSE),"""")</f>
        <v>"Jueces 5"</v>
      </c>
      <c r="N64" t="s">
        <v>943</v>
      </c>
      <c r="O64" t="str">
        <f>_xlfn.CONCAT("""",VLOOKUP(E64,'Index Web'!A$4:L$253,5,FALSE),"""")</f>
        <v>"Catecumenado"</v>
      </c>
      <c r="P64" t="s">
        <v>944</v>
      </c>
      <c r="Q64" t="str">
        <f>_xlfn.CONCAT("[",VLOOKUP(E64,'Index Web'!A$4:N$253,14,FALSE),"]")</f>
        <v>["Vírgen María","Antiguo Testamento"]</v>
      </c>
      <c r="R64" t="s">
        <v>945</v>
      </c>
      <c r="S64" t="str">
        <f>_xlfn.CONCAT("""/src/index.html?canto=",VLOOKUP(E64,'Index Web'!A$4:N$253,13,FALSE),""", ")</f>
        <v xml:space="preserve">"/src/index.html?canto=debora", </v>
      </c>
      <c r="T64" t="str">
        <f>T63</f>
        <v xml:space="preserve">visible: "", </v>
      </c>
      <c r="U64" t="str">
        <f>_xlfn.CONCAT("cejilla: """,C64,""", ")</f>
        <v xml:space="preserve">cejilla: "", </v>
      </c>
      <c r="V64" t="str">
        <f>_xlfn.CONCAT("acorde: """,D64,""", ")</f>
        <v xml:space="preserve">acorde: "Re 7", </v>
      </c>
      <c r="W64" t="s">
        <v>2012</v>
      </c>
      <c r="X64" t="s">
        <v>2013</v>
      </c>
      <c r="Y64" t="str">
        <f>_xlfn.CONCAT("""",VLOOKUP(E64,'Index Web'!A$4:O$253,15,FALSE)," ",VLOOKUP(E64,'Index Web'!A$4:O$253,13,FALSE),"""","},")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Z64" t="str">
        <f>_xlfn.CONCAT(F64:Y64)</f>
        <v>{idi:62, id:"debora", title: "Débora", subtitle: "Jueces 5", category: "Catecumenado", moments: ["Vírgen María","Antiguo Testamento"], url: "/src/index.html?canto=debora", visible: "", cejilla: "", acorde: "Re 7", scrollConfig: {"mobile": { "v": 25, "i": 1 },"tablet": { "v": 25, "i": 1 },"desktop": { "v": 7, "i": 1 },"desktopsmall": { "v": 7, "i": 1 }},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5" spans="2:26" x14ac:dyDescent="0.25">
      <c r="B65" s="50" t="s">
        <v>528</v>
      </c>
      <c r="C65" s="1" t="str">
        <f>IF(VLOOKUP(Table4[[#This Row],[Cantounido]],Table7[],3,FALSE)=0,"",VLOOKUP(Table4[[#This Row],[Cantounido]],Table7[],3,FALSE))</f>
        <v/>
      </c>
      <c r="D65" s="44" t="str">
        <f>IF(VLOOKUP(Table4[[#This Row],[Cantounido]],Table7[],4,FALSE)=0,"",VLOOKUP(Table4[[#This Row],[Cantounido]],Table7[],4,FALSE))</f>
        <v>La</v>
      </c>
      <c r="E65" s="25">
        <v>48</v>
      </c>
      <c r="F65" t="str">
        <f>F64</f>
        <v>{idi:</v>
      </c>
      <c r="G65" t="str">
        <f>_xlfn.CONCAT(VLOOKUP(E65,'Index Web'!A$4:L$253,2,FALSE),", ")</f>
        <v xml:space="preserve">63, </v>
      </c>
      <c r="H65" t="str">
        <f>H64</f>
        <v>id:</v>
      </c>
      <c r="I65" t="str">
        <f>_xlfn.CONCAT("""",VLOOKUP(E65,'Index Web'!A$4:O$253,13,FALSE),"""",", ")</f>
        <v xml:space="preserve">"decidlealosdecorazoncansado", </v>
      </c>
      <c r="J65" t="s">
        <v>2016</v>
      </c>
      <c r="K65" t="str">
        <f>_xlfn.CONCAT("""",VLOOKUP(E65,'Index Web'!A$4:L$253,3,FALSE),"""")</f>
        <v>"Decidle a los de corazón cansado"</v>
      </c>
      <c r="L65" t="s">
        <v>942</v>
      </c>
      <c r="M65" t="str">
        <f>_xlfn.CONCAT("""",VLOOKUP(E65,'Index Web'!A$4:L$253,4,FALSE),"""")</f>
        <v>"Isaías 35,4ss"</v>
      </c>
      <c r="N65" t="s">
        <v>943</v>
      </c>
      <c r="O65" t="str">
        <f>_xlfn.CONCAT("""",VLOOKUP(E65,'Index Web'!A$4:L$253,5,FALSE),"""")</f>
        <v>"Precatecumenado"</v>
      </c>
      <c r="P65" t="s">
        <v>944</v>
      </c>
      <c r="Q65" t="str">
        <f>_xlfn.CONCAT("[",VLOOKUP(E65,'Index Web'!A$4:N$253,14,FALSE),"]")</f>
        <v>["Cuaresma","Adviento","Navidad","Entrada","Antiguo Testamento"]</v>
      </c>
      <c r="R65" t="s">
        <v>945</v>
      </c>
      <c r="S65" t="str">
        <f>_xlfn.CONCAT("""/src/index.html?canto=",VLOOKUP(E65,'Index Web'!A$4:N$253,13,FALSE),""", ")</f>
        <v xml:space="preserve">"/src/index.html?canto=decidlealosdecorazoncansado", </v>
      </c>
      <c r="T65" t="str">
        <f>T64</f>
        <v xml:space="preserve">visible: "", </v>
      </c>
      <c r="U65" t="str">
        <f>_xlfn.CONCAT("cejilla: """,C65,""", ")</f>
        <v xml:space="preserve">cejilla: "", </v>
      </c>
      <c r="V65" t="str">
        <f>_xlfn.CONCAT("acorde: """,D65,""", ")</f>
        <v xml:space="preserve">acorde: "La", </v>
      </c>
      <c r="W65" t="s">
        <v>2012</v>
      </c>
      <c r="X65" t="s">
        <v>2013</v>
      </c>
      <c r="Y65" t="str">
        <f>_xlfn.CONCAT("""",VLOOKUP(E65,'Index Web'!A$4:O$253,15,FALSE)," ",VLOOKUP(E65,'Index Web'!A$4:O$253,13,FALSE),"""","},")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Z65" t="str">
        <f>_xlfn.CONCAT(F65:Y65)</f>
        <v>{idi:63, id:"decidlealosdecorazoncansado", title: "Decidle a los de corazón cansado", subtitle: "Isaías 35,4ss", category: "Precatecumenado", moments: ["Cuaresma","Adviento","Navidad","Entrada","Antiguo Testamento"], url: "/src/index.html?canto=decidlealosdecorazoncansado", visible: "", cejilla: "", acorde: "La", scrollConfig: {"mobile": { "v": 25, "i": 1 },"tablet": { "v": 25, "i": 1 },"desktop": { "v": 7, "i": 1 },"desktopsmall": { "v": 7, "i": 1 }},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6" spans="2:26" x14ac:dyDescent="0.25">
      <c r="B66" s="51" t="s">
        <v>529</v>
      </c>
      <c r="C66" s="1" t="str">
        <f>IF(VLOOKUP(Table4[[#This Row],[Cantounido]],Table7[],3,FALSE)=0,"",VLOOKUP(Table4[[#This Row],[Cantounido]],Table7[],3,FALSE))</f>
        <v/>
      </c>
      <c r="D66" s="44" t="str">
        <f>IF(VLOOKUP(Table4[[#This Row],[Cantounido]],Table7[],4,FALSE)=0,"",VLOOKUP(Table4[[#This Row],[Cantounido]],Table7[],4,FALSE))</f>
        <v>Do</v>
      </c>
      <c r="E66" s="26">
        <v>49</v>
      </c>
      <c r="F66" t="str">
        <f>F65</f>
        <v>{idi:</v>
      </c>
      <c r="G66" t="str">
        <f>_xlfn.CONCAT(VLOOKUP(E66,'Index Web'!A$4:L$253,2,FALSE),", ")</f>
        <v xml:space="preserve">64, </v>
      </c>
      <c r="H66" t="str">
        <f>H65</f>
        <v>id:</v>
      </c>
      <c r="I66" t="str">
        <f>_xlfn.CONCAT("""",VLOOKUP(E66,'Index Web'!A$4:O$253,13,FALSE),"""",", ")</f>
        <v xml:space="preserve">"delantedelosangeles", </v>
      </c>
      <c r="J66" t="s">
        <v>2016</v>
      </c>
      <c r="K66" t="str">
        <f>_xlfn.CONCAT("""",VLOOKUP(E66,'Index Web'!A$4:L$253,3,FALSE),"""")</f>
        <v>"Delante de los ángeles "</v>
      </c>
      <c r="L66" t="s">
        <v>942</v>
      </c>
      <c r="M66" t="str">
        <f>_xlfn.CONCAT("""",VLOOKUP(E66,'Index Web'!A$4:L$253,4,FALSE),"""")</f>
        <v>"Salmo 138 (137)"</v>
      </c>
      <c r="N66" t="s">
        <v>943</v>
      </c>
      <c r="O66" t="str">
        <f>_xlfn.CONCAT("""",VLOOKUP(E66,'Index Web'!A$4:L$253,5,FALSE),"""")</f>
        <v>"Precatecumenado"</v>
      </c>
      <c r="P66" t="s">
        <v>944</v>
      </c>
      <c r="Q66" t="str">
        <f>_xlfn.CONCAT("[",VLOOKUP(E66,'Index Web'!A$4:N$253,14,FALSE),"]")</f>
        <v>["Antiguo Testamento"]</v>
      </c>
      <c r="R66" t="s">
        <v>945</v>
      </c>
      <c r="S66" t="str">
        <f>_xlfn.CONCAT("""/src/index.html?canto=",VLOOKUP(E66,'Index Web'!A$4:N$253,13,FALSE),""", ")</f>
        <v xml:space="preserve">"/src/index.html?canto=delantedelosangeles", </v>
      </c>
      <c r="T66" t="str">
        <f>T65</f>
        <v xml:space="preserve">visible: "", </v>
      </c>
      <c r="U66" t="str">
        <f>_xlfn.CONCAT("cejilla: """,C66,""", ")</f>
        <v xml:space="preserve">cejilla: "", </v>
      </c>
      <c r="V66" t="str">
        <f>_xlfn.CONCAT("acorde: """,D66,""", ")</f>
        <v xml:space="preserve">acorde: "Do", </v>
      </c>
      <c r="W66" t="s">
        <v>2012</v>
      </c>
      <c r="X66" t="s">
        <v>2013</v>
      </c>
      <c r="Y66" t="str">
        <f>_xlfn.CONCAT("""",VLOOKUP(E66,'Index Web'!A$4:O$253,15,FALSE)," ",VLOOKUP(E66,'Index Web'!A$4:O$253,13,FALSE),"""","},")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Z66" t="str">
        <f>_xlfn.CONCAT(F66:Y66)</f>
        <v>{idi:64, id:"delantedelosangeles", title: "Delante de los ángeles ", subtitle: "Salmo 138 (137)", category: "Precatecumenado", moments: ["Antiguo Testamento"], url: "/src/index.html?canto=delantedelosangeles", visible: "", cejilla: "", acorde: "Do", scrollConfig: {"mobile": { "v": 25, "i": 1 },"tablet": { "v": 25, "i": 1 },"desktop": { "v": 7, "i": 1 },"desktopsmall": { "v": 7, "i": 1 }},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7" spans="2:26" x14ac:dyDescent="0.25">
      <c r="B67" s="50" t="s">
        <v>530</v>
      </c>
      <c r="C67" s="1" t="str">
        <f>IF(VLOOKUP(Table4[[#This Row],[Cantounido]],Table7[],3,FALSE)=0,"",VLOOKUP(Table4[[#This Row],[Cantounido]],Table7[],3,FALSE))</f>
        <v/>
      </c>
      <c r="D67" s="44" t="str">
        <f>IF(VLOOKUP(Table4[[#This Row],[Cantounido]],Table7[],4,FALSE)=0,"",VLOOKUP(Table4[[#This Row],[Cantounido]],Table7[],4,FALSE))</f>
        <v>Mi</v>
      </c>
      <c r="E67" s="25">
        <v>50</v>
      </c>
      <c r="F67" t="str">
        <f>F66</f>
        <v>{idi:</v>
      </c>
      <c r="G67" t="str">
        <f>_xlfn.CONCAT(VLOOKUP(E67,'Index Web'!A$4:L$253,2,FALSE),", ")</f>
        <v xml:space="preserve">65, </v>
      </c>
      <c r="H67" t="str">
        <f>H66</f>
        <v>id:</v>
      </c>
      <c r="I67" t="str">
        <f>_xlfn.CONCAT("""",VLOOKUP(E67,'Index Web'!A$4:O$253,13,FALSE),"""",", ")</f>
        <v xml:space="preserve">"diadereposo", </v>
      </c>
      <c r="J67" t="s">
        <v>2016</v>
      </c>
      <c r="K67" t="str">
        <f>_xlfn.CONCAT("""",VLOOKUP(E67,'Index Web'!A$4:L$253,3,FALSE),"""")</f>
        <v>"Día de reposo"</v>
      </c>
      <c r="L67" t="s">
        <v>942</v>
      </c>
      <c r="M67" t="str">
        <f>_xlfn.CONCAT("""",VLOOKUP(E67,'Index Web'!A$4:L$253,4,FALSE),"""")</f>
        <v>"Juan 8,52"</v>
      </c>
      <c r="N67" t="s">
        <v>943</v>
      </c>
      <c r="O67" t="str">
        <f>_xlfn.CONCAT("""",VLOOKUP(E67,'Index Web'!A$4:L$253,5,FALSE),"""")</f>
        <v>"Precatecumenado"</v>
      </c>
      <c r="P67" t="s">
        <v>944</v>
      </c>
      <c r="Q67" t="str">
        <f>_xlfn.CONCAT("[",VLOOKUP(E67,'Index Web'!A$4:N$253,14,FALSE),"]")</f>
        <v>["Final","Nuevo Testamento"]</v>
      </c>
      <c r="R67" t="s">
        <v>945</v>
      </c>
      <c r="S67" t="str">
        <f>_xlfn.CONCAT("""/src/index.html?canto=",VLOOKUP(E67,'Index Web'!A$4:N$253,13,FALSE),""", ")</f>
        <v xml:space="preserve">"/src/index.html?canto=diadereposo", </v>
      </c>
      <c r="T67" t="str">
        <f>T66</f>
        <v xml:space="preserve">visible: "", </v>
      </c>
      <c r="U67" t="str">
        <f>_xlfn.CONCAT("cejilla: """,C67,""", ")</f>
        <v xml:space="preserve">cejilla: "", </v>
      </c>
      <c r="V67" t="str">
        <f>_xlfn.CONCAT("acorde: """,D67,""", ")</f>
        <v xml:space="preserve">acorde: "Mi", </v>
      </c>
      <c r="W67" t="s">
        <v>2012</v>
      </c>
      <c r="X67" t="s">
        <v>2013</v>
      </c>
      <c r="Y67" t="str">
        <f>_xlfn.CONCAT("""",VLOOKUP(E67,'Index Web'!A$4:O$253,15,FALSE)," ",VLOOKUP(E67,'Index Web'!A$4:O$253,13,FALSE),"""","},")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Z67" t="str">
        <f>_xlfn.CONCAT(F67:Y67)</f>
        <v>{idi:65, id:"diadereposo", title: "Día de reposo", subtitle: "Juan 8,52", category: "Precatecumenado", moments: ["Final","Nuevo Testamento"], url: "/src/index.html?canto=diadereposo", visible: "", cejilla: "", acorde: "Mi", scrollConfig: {"mobile": { "v": 25, "i": 1 },"tablet": { "v": 25, "i": 1 },"desktop": { "v": 7, "i": 1 },"desktopsmall": { "v": 7, "i": 1 }},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8" spans="2:26" x14ac:dyDescent="0.25">
      <c r="B68" s="51" t="s">
        <v>531</v>
      </c>
      <c r="C68" s="1" t="str">
        <f>IF(VLOOKUP(Table4[[#This Row],[Cantounido]],Table7[],3,FALSE)=0,"",VLOOKUP(Table4[[#This Row],[Cantounido]],Table7[],3,FALSE))</f>
        <v/>
      </c>
      <c r="D68" s="44" t="str">
        <f>IF(VLOOKUP(Table4[[#This Row],[Cantounido]],Table7[],4,FALSE)=0,"",VLOOKUP(Table4[[#This Row],[Cantounido]],Table7[],4,FALSE))</f>
        <v>Mi</v>
      </c>
      <c r="E68" s="26">
        <v>51</v>
      </c>
      <c r="F68" t="str">
        <f>F67</f>
        <v>{idi:</v>
      </c>
      <c r="G68" t="str">
        <f>_xlfn.CONCAT(VLOOKUP(E68,'Index Web'!A$4:L$253,2,FALSE),", ")</f>
        <v xml:space="preserve">66, </v>
      </c>
      <c r="H68" t="str">
        <f>H67</f>
        <v>id:</v>
      </c>
      <c r="I68" t="str">
        <f>_xlfn.CONCAT("""",VLOOKUP(E68,'Index Web'!A$4:O$253,13,FALSE),"""",", ")</f>
        <v xml:space="preserve">"diceelsenoramisenor", </v>
      </c>
      <c r="J68" t="s">
        <v>2016</v>
      </c>
      <c r="K68" t="str">
        <f>_xlfn.CONCAT("""",VLOOKUP(E68,'Index Web'!A$4:L$253,3,FALSE),"""")</f>
        <v>"Dice el Señor a mi Señor"</v>
      </c>
      <c r="L68" t="s">
        <v>942</v>
      </c>
      <c r="M68" t="str">
        <f>_xlfn.CONCAT("""",VLOOKUP(E68,'Index Web'!A$4:L$253,4,FALSE),"""")</f>
        <v>"Salmo 110 (109)"</v>
      </c>
      <c r="N68" t="s">
        <v>943</v>
      </c>
      <c r="O68" t="str">
        <f>_xlfn.CONCAT("""",VLOOKUP(E68,'Index Web'!A$4:L$253,5,FALSE),"""")</f>
        <v>"Precatecumenado"</v>
      </c>
      <c r="P68" t="s">
        <v>944</v>
      </c>
      <c r="Q68" t="str">
        <f>_xlfn.CONCAT("[",VLOOKUP(E68,'Index Web'!A$4:N$253,14,FALSE),"]")</f>
        <v>["Pascua","Pentecostés","Antiguo Testamento"]</v>
      </c>
      <c r="R68" t="s">
        <v>945</v>
      </c>
      <c r="S68" t="str">
        <f>_xlfn.CONCAT("""/src/index.html?canto=",VLOOKUP(E68,'Index Web'!A$4:N$253,13,FALSE),""", ")</f>
        <v xml:space="preserve">"/src/index.html?canto=diceelsenoramisenor", </v>
      </c>
      <c r="T68" t="str">
        <f>T67</f>
        <v xml:space="preserve">visible: "", </v>
      </c>
      <c r="U68" t="str">
        <f>_xlfn.CONCAT("cejilla: """,C68,""", ")</f>
        <v xml:space="preserve">cejilla: "", </v>
      </c>
      <c r="V68" t="str">
        <f>_xlfn.CONCAT("acorde: """,D68,""", ")</f>
        <v xml:space="preserve">acorde: "Mi", </v>
      </c>
      <c r="W68" t="s">
        <v>2012</v>
      </c>
      <c r="X68" t="s">
        <v>2013</v>
      </c>
      <c r="Y68" t="str">
        <f>_xlfn.CONCAT("""",VLOOKUP(E68,'Index Web'!A$4:O$253,15,FALSE)," ",VLOOKUP(E68,'Index Web'!A$4:O$253,13,FALSE),"""","},")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Z68" t="str">
        <f>_xlfn.CONCAT(F68:Y68)</f>
        <v>{idi:66, id:"diceelsenoramisenor", title: "Dice el Señor a mi Señor", subtitle: "Salmo 110 (109)", category: "Precatecumenado", moments: ["Pascua","Pentecostés","Antiguo Testamento"], url: "/src/index.html?canto=diceelsenoramisenor", visible: "", cejilla: "", acorde: "Mi", scrollConfig: {"mobile": { "v": 25, "i": 1 },"tablet": { "v": 25, "i": 1 },"desktop": { "v": 7, "i": 1 },"desktopsmall": { "v": 7, "i": 1 }},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9" spans="2:26" x14ac:dyDescent="0.25">
      <c r="B69" s="50" t="s">
        <v>532</v>
      </c>
      <c r="C69" s="1" t="str">
        <f>IF(VLOOKUP(Table4[[#This Row],[Cantounido]],Table7[],3,FALSE)=0,"",VLOOKUP(Table4[[#This Row],[Cantounido]],Table7[],3,FALSE))</f>
        <v/>
      </c>
      <c r="D69" s="44" t="str">
        <f>IF(VLOOKUP(Table4[[#This Row],[Cantounido]],Table7[],4,FALSE)=0,"",VLOOKUP(Table4[[#This Row],[Cantounido]],Table7[],4,FALSE))</f>
        <v>La</v>
      </c>
      <c r="E69" s="25">
        <v>52</v>
      </c>
      <c r="F69" t="str">
        <f>F68</f>
        <v>{idi:</v>
      </c>
      <c r="G69" t="str">
        <f>_xlfn.CONCAT(VLOOKUP(E69,'Index Web'!A$4:L$253,2,FALSE),", ")</f>
        <v xml:space="preserve">67, </v>
      </c>
      <c r="H69" t="str">
        <f>H68</f>
        <v>id:</v>
      </c>
      <c r="I69" t="str">
        <f>_xlfn.CONCAT("""",VLOOKUP(E69,'Index Web'!A$4:O$253,13,FALSE),"""",", ")</f>
        <v xml:space="preserve">"dichosoelhombre", </v>
      </c>
      <c r="J69" t="s">
        <v>2016</v>
      </c>
      <c r="K69" t="str">
        <f>_xlfn.CONCAT("""",VLOOKUP(E69,'Index Web'!A$4:L$253,3,FALSE),"""")</f>
        <v>"Dichoso el hombre "</v>
      </c>
      <c r="L69" t="s">
        <v>942</v>
      </c>
      <c r="M69" t="str">
        <f>_xlfn.CONCAT("""",VLOOKUP(E69,'Index Web'!A$4:L$253,4,FALSE),"""")</f>
        <v>"Salmo 1"</v>
      </c>
      <c r="N69" t="s">
        <v>943</v>
      </c>
      <c r="O69" t="str">
        <f>_xlfn.CONCAT("""",VLOOKUP(E69,'Index Web'!A$4:L$253,5,FALSE),"""")</f>
        <v>"Precatecumenado"</v>
      </c>
      <c r="P69" t="s">
        <v>944</v>
      </c>
      <c r="Q69" t="str">
        <f>_xlfn.CONCAT("[",VLOOKUP(E69,'Index Web'!A$4:N$253,14,FALSE),"]")</f>
        <v>["Antiguo Testamento"]</v>
      </c>
      <c r="R69" t="s">
        <v>945</v>
      </c>
      <c r="S69" t="str">
        <f>_xlfn.CONCAT("""/src/index.html?canto=",VLOOKUP(E69,'Index Web'!A$4:N$253,13,FALSE),""", ")</f>
        <v xml:space="preserve">"/src/index.html?canto=dichosoelhombre", </v>
      </c>
      <c r="T69" t="str">
        <f>T68</f>
        <v xml:space="preserve">visible: "", </v>
      </c>
      <c r="U69" t="str">
        <f>_xlfn.CONCAT("cejilla: """,C69,""", ")</f>
        <v xml:space="preserve">cejilla: "", </v>
      </c>
      <c r="V69" t="str">
        <f>_xlfn.CONCAT("acorde: """,D69,""", ")</f>
        <v xml:space="preserve">acorde: "La", </v>
      </c>
      <c r="W69" t="s">
        <v>2012</v>
      </c>
      <c r="X69" t="s">
        <v>2013</v>
      </c>
      <c r="Y69" t="str">
        <f>_xlfn.CONCAT("""",VLOOKUP(E69,'Index Web'!A$4:O$253,15,FALSE)," ",VLOOKUP(E69,'Index Web'!A$4:O$253,13,FALSE),"""","},")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Z69" t="str">
        <f>_xlfn.CONCAT(F69:Y69)</f>
        <v>{idi:67, id:"dichosoelhombre", title: "Dichoso el hombre ", subtitle: "Salmo 1", category: "Precatecumenado", moments: ["Antiguo Testamento"], url: "/src/index.html?canto=dichosoelhombre", visible: "", cejilla: "", acorde: "La", scrollConfig: {"mobile": { "v": 25, "i": 1 },"tablet": { "v": 25, "i": 1 },"desktop": { "v": 7, "i": 1 },"desktopsmall": { "v": 7, "i": 1 }},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70" spans="2:26" x14ac:dyDescent="0.25">
      <c r="B70" s="51" t="s">
        <v>533</v>
      </c>
      <c r="C70" s="1" t="str">
        <f>IF(VLOOKUP(Table4[[#This Row],[Cantounido]],Table7[],3,FALSE)=0,"",VLOOKUP(Table4[[#This Row],[Cantounido]],Table7[],3,FALSE))</f>
        <v/>
      </c>
      <c r="D70" s="44" t="str">
        <f>IF(VLOOKUP(Table4[[#This Row],[Cantounido]],Table7[],4,FALSE)=0,"",VLOOKUP(Table4[[#This Row],[Cantounido]],Table7[],4,FALSE))</f>
        <v>Mi</v>
      </c>
      <c r="E70" s="26">
        <v>53</v>
      </c>
      <c r="F70" t="str">
        <f>F69</f>
        <v>{idi:</v>
      </c>
      <c r="G70" t="str">
        <f>_xlfn.CONCAT(VLOOKUP(E70,'Index Web'!A$4:L$253,2,FALSE),", ")</f>
        <v xml:space="preserve">68, </v>
      </c>
      <c r="H70" t="str">
        <f>H69</f>
        <v>id:</v>
      </c>
      <c r="I70" t="str">
        <f>_xlfn.CONCAT("""",VLOOKUP(E70,'Index Web'!A$4:O$253,13,FALSE),"""",", ")</f>
        <v xml:space="preserve">"elcombateescatologico", </v>
      </c>
      <c r="J70" t="s">
        <v>2016</v>
      </c>
      <c r="K70" t="str">
        <f>_xlfn.CONCAT("""",VLOOKUP(E70,'Index Web'!A$4:L$253,3,FALSE),"""")</f>
        <v>"El combate escatológico"</v>
      </c>
      <c r="L70" t="s">
        <v>942</v>
      </c>
      <c r="M70" t="str">
        <f>_xlfn.CONCAT("""",VLOOKUP(E70,'Index Web'!A$4:L$253,4,FALSE),"""")</f>
        <v>"Apocalipsis 19,11-20"</v>
      </c>
      <c r="N70" t="s">
        <v>943</v>
      </c>
      <c r="O70" t="str">
        <f>_xlfn.CONCAT("""",VLOOKUP(E70,'Index Web'!A$4:L$253,5,FALSE),"""")</f>
        <v>"Precatecumenado"</v>
      </c>
      <c r="P70" t="s">
        <v>944</v>
      </c>
      <c r="Q70" t="str">
        <f>_xlfn.CONCAT("[",VLOOKUP(E70,'Index Web'!A$4:N$253,14,FALSE),"]")</f>
        <v>["Pascua","Pentecostés","Entrada","Nuevo Testamento"]</v>
      </c>
      <c r="R70" t="s">
        <v>945</v>
      </c>
      <c r="S70" t="str">
        <f>_xlfn.CONCAT("""/src/index.html?canto=",VLOOKUP(E70,'Index Web'!A$4:N$253,13,FALSE),""", ")</f>
        <v xml:space="preserve">"/src/index.html?canto=elcombateescatologico", </v>
      </c>
      <c r="T70" t="str">
        <f>T69</f>
        <v xml:space="preserve">visible: "", </v>
      </c>
      <c r="U70" t="str">
        <f>_xlfn.CONCAT("cejilla: """,C70,""", ")</f>
        <v xml:space="preserve">cejilla: "", </v>
      </c>
      <c r="V70" t="str">
        <f>_xlfn.CONCAT("acorde: """,D70,""", ")</f>
        <v xml:space="preserve">acorde: "Mi", </v>
      </c>
      <c r="W70" t="s">
        <v>2012</v>
      </c>
      <c r="X70" t="s">
        <v>2013</v>
      </c>
      <c r="Y70" t="str">
        <f>_xlfn.CONCAT("""",VLOOKUP(E70,'Index Web'!A$4:O$253,15,FALSE)," ",VLOOKUP(E70,'Index Web'!A$4:O$253,13,FALSE),"""","},")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Z70" t="str">
        <f>_xlfn.CONCAT(F70:Y70)</f>
        <v>{idi:68, id:"elcombateescatologico", title: "El combate escatológico", subtitle: "Apocalipsis 19,11-20", category: "Precatecumenado", moments: ["Pascua","Pentecostés","Entrada","Nuevo Testamento"], url: "/src/index.html?canto=elcombateescatologico", visible: "", cejilla: "", acorde: "Mi", scrollConfig: {"mobile": { "v": 25, "i": 1 },"tablet": { "v": 25, "i": 1 },"desktop": { "v": 7, "i": 1 },"desktopsmall": { "v": 7, "i": 1 }},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1" spans="2:26" x14ac:dyDescent="0.25">
      <c r="B71" s="50" t="s">
        <v>534</v>
      </c>
      <c r="C71" s="1" t="str">
        <f>IF(VLOOKUP(Table4[[#This Row],[Cantounido]],Table7[],3,FALSE)=0,"",VLOOKUP(Table4[[#This Row],[Cantounido]],Table7[],3,FALSE))</f>
        <v/>
      </c>
      <c r="D71" s="44" t="str">
        <f>IF(VLOOKUP(Table4[[#This Row],[Cantounido]],Table7[],4,FALSE)=0,"",VLOOKUP(Table4[[#This Row],[Cantounido]],Table7[],4,FALSE))</f>
        <v>La</v>
      </c>
      <c r="E71" s="25">
        <v>54</v>
      </c>
      <c r="F71" t="str">
        <f>F70</f>
        <v>{idi:</v>
      </c>
      <c r="G71" t="str">
        <f>_xlfn.CONCAT(VLOOKUP(E71,'Index Web'!A$4:L$253,2,FALSE),", ")</f>
        <v xml:space="preserve">69, </v>
      </c>
      <c r="H71" t="str">
        <f>H70</f>
        <v>id:</v>
      </c>
      <c r="I71" t="str">
        <f>_xlfn.CONCAT("""",VLOOKUP(E71,'Index Web'!A$4:O$253,13,FALSE),"""",", ")</f>
        <v xml:space="preserve">"elespiritudelsenorestasobremi", </v>
      </c>
      <c r="J71" t="s">
        <v>2016</v>
      </c>
      <c r="K71" t="str">
        <f>_xlfn.CONCAT("""",VLOOKUP(E71,'Index Web'!A$4:L$253,3,FALSE),"""")</f>
        <v>"El Espíritu del Señor está sobre mí"</v>
      </c>
      <c r="L71" t="s">
        <v>942</v>
      </c>
      <c r="M71" t="str">
        <f>_xlfn.CONCAT("""",VLOOKUP(E71,'Index Web'!A$4:L$253,4,FALSE),"""")</f>
        <v>"Lucas 4,18 – Isaías 61,1-3"</v>
      </c>
      <c r="N71" t="s">
        <v>943</v>
      </c>
      <c r="O71" t="str">
        <f>_xlfn.CONCAT("""",VLOOKUP(E71,'Index Web'!A$4:L$253,5,FALSE),"""")</f>
        <v>"Precatecumenado"</v>
      </c>
      <c r="P71" t="s">
        <v>944</v>
      </c>
      <c r="Q71" t="str">
        <f>_xlfn.CONCAT("[",VLOOKUP(E71,'Index Web'!A$4:N$253,14,FALSE),"]")</f>
        <v>["Pascua","Pentecostés","Entrada","Comunión","Nuevo Testamento"]</v>
      </c>
      <c r="R71" t="s">
        <v>945</v>
      </c>
      <c r="S71" t="str">
        <f>_xlfn.CONCAT("""/src/index.html?canto=",VLOOKUP(E71,'Index Web'!A$4:N$253,13,FALSE),""", ")</f>
        <v xml:space="preserve">"/src/index.html?canto=elespiritudelsenorestasobremi", </v>
      </c>
      <c r="T71" t="str">
        <f>T70</f>
        <v xml:space="preserve">visible: "", </v>
      </c>
      <c r="U71" t="str">
        <f>_xlfn.CONCAT("cejilla: """,C71,""", ")</f>
        <v xml:space="preserve">cejilla: "", </v>
      </c>
      <c r="V71" t="str">
        <f>_xlfn.CONCAT("acorde: """,D71,""", ")</f>
        <v xml:space="preserve">acorde: "La", </v>
      </c>
      <c r="W71" t="s">
        <v>2012</v>
      </c>
      <c r="X71" t="s">
        <v>2013</v>
      </c>
      <c r="Y71" t="str">
        <f>_xlfn.CONCAT("""",VLOOKUP(E71,'Index Web'!A$4:O$253,15,FALSE)," ",VLOOKUP(E71,'Index Web'!A$4:O$253,13,FALSE),"""","},")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Z71" t="str">
        <f>_xlfn.CONCAT(F71:Y71)</f>
        <v>{idi:69, id:"elespiritudelsenorestasobremi", title: "El Espíritu del Señor está sobre mí", subtitle: "Lucas 4,18 – Isaías 61,1-3", category: "Precatecumenado", moments: ["Pascua","Pentecostés","Entrada","Comunión","Nuevo Testamento"], url: "/src/index.html?canto=elespiritudelsenorestasobremi", visible: "", cejilla: "", acorde: "La", scrollConfig: {"mobile": { "v": 25, "i": 1 },"tablet": { "v": 25, "i": 1 },"desktop": { "v": 7, "i": 1 },"desktopsmall": { "v": 7, "i": 1 }},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2" spans="2:26" x14ac:dyDescent="0.25">
      <c r="B72" s="51" t="s">
        <v>535</v>
      </c>
      <c r="C72" s="1" t="str">
        <f>IF(VLOOKUP(Table4[[#This Row],[Cantounido]],Table7[],3,FALSE)=0,"",VLOOKUP(Table4[[#This Row],[Cantounido]],Table7[],3,FALSE))</f>
        <v/>
      </c>
      <c r="D72" s="44" t="str">
        <f>IF(VLOOKUP(Table4[[#This Row],[Cantounido]],Table7[],4,FALSE)=0,"",VLOOKUP(Table4[[#This Row],[Cantounido]],Table7[],4,FALSE))</f>
        <v>Re</v>
      </c>
      <c r="E72" s="26">
        <v>55</v>
      </c>
      <c r="F72" t="str">
        <f>F71</f>
        <v>{idi:</v>
      </c>
      <c r="G72" t="str">
        <f>_xlfn.CONCAT(VLOOKUP(E72,'Index Web'!A$4:L$253,2,FALSE),", ")</f>
        <v xml:space="preserve">70, </v>
      </c>
      <c r="H72" t="str">
        <f>H71</f>
        <v>id:</v>
      </c>
      <c r="I72" t="str">
        <f>_xlfn.CONCAT("""",VLOOKUP(E72,'Index Web'!A$4:O$253,13,FALSE),"""",", ")</f>
        <v xml:space="preserve">"eljacaldelospastores", </v>
      </c>
      <c r="J72" t="s">
        <v>2016</v>
      </c>
      <c r="K72" t="str">
        <f>_xlfn.CONCAT("""",VLOOKUP(E72,'Index Web'!A$4:L$253,3,FALSE),"""")</f>
        <v>"El jacal de los pastores"</v>
      </c>
      <c r="L72" t="s">
        <v>942</v>
      </c>
      <c r="M72" t="str">
        <f>_xlfn.CONCAT("""",VLOOKUP(E72,'Index Web'!A$4:L$253,4,FALSE),"""")</f>
        <v>"Cantar de los Cantares 1,2-8"</v>
      </c>
      <c r="N72" t="s">
        <v>943</v>
      </c>
      <c r="O72" t="str">
        <f>_xlfn.CONCAT("""",VLOOKUP(E72,'Index Web'!A$4:L$253,5,FALSE),"""")</f>
        <v>"Precatecumenado"</v>
      </c>
      <c r="P72" t="s">
        <v>944</v>
      </c>
      <c r="Q72" t="str">
        <f>_xlfn.CONCAT("[",VLOOKUP(E72,'Index Web'!A$4:N$253,14,FALSE),"]")</f>
        <v>["Pascua","Pentecostés","Comunión","Antiguo Testamento"]</v>
      </c>
      <c r="R72" t="s">
        <v>945</v>
      </c>
      <c r="S72" t="str">
        <f>_xlfn.CONCAT("""/src/index.html?canto=",VLOOKUP(E72,'Index Web'!A$4:N$253,13,FALSE),""", ")</f>
        <v xml:space="preserve">"/src/index.html?canto=eljacaldelospastores", </v>
      </c>
      <c r="T72" t="str">
        <f>T71</f>
        <v xml:space="preserve">visible: "", </v>
      </c>
      <c r="U72" t="str">
        <f>_xlfn.CONCAT("cejilla: """,C72,""", ")</f>
        <v xml:space="preserve">cejilla: "", </v>
      </c>
      <c r="V72" t="str">
        <f>_xlfn.CONCAT("acorde: """,D72,""", ")</f>
        <v xml:space="preserve">acorde: "Re", </v>
      </c>
      <c r="W72" t="s">
        <v>2012</v>
      </c>
      <c r="X72" t="s">
        <v>2013</v>
      </c>
      <c r="Y72" t="str">
        <f>_xlfn.CONCAT("""",VLOOKUP(E72,'Index Web'!A$4:O$253,15,FALSE)," ",VLOOKUP(E72,'Index Web'!A$4:O$253,13,FALSE),"""","},")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Z72" t="str">
        <f>_xlfn.CONCAT(F72:Y72)</f>
        <v>{idi:70, id:"eljacaldelospastores", title: "El jacal de los pastores", subtitle: "Cantar de los Cantares 1,2-8", category: "Precatecumenado", moments: ["Pascua","Pentecostés","Comunión","Antiguo Testamento"], url: "/src/index.html?canto=eljacaldelospastores", visible: "", cejilla: "", acorde: "Re", scrollConfig: {"mobile": { "v": 25, "i": 1 },"tablet": { "v": 25, "i": 1 },"desktop": { "v": 7, "i": 1 },"desktopsmall": { "v": 7, "i": 1 }},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3" spans="2:26" x14ac:dyDescent="0.25">
      <c r="B73" s="50" t="s">
        <v>536</v>
      </c>
      <c r="C73" s="1" t="str">
        <f>IF(VLOOKUP(Table4[[#This Row],[Cantounido]],Table7[],3,FALSE)=0,"",VLOOKUP(Table4[[#This Row],[Cantounido]],Table7[],3,FALSE))</f>
        <v/>
      </c>
      <c r="D73" s="44" t="str">
        <f>IF(VLOOKUP(Table4[[#This Row],[Cantounido]],Table7[],4,FALSE)=0,"",VLOOKUP(Table4[[#This Row],[Cantounido]],Table7[],4,FALSE))</f>
        <v>Mi</v>
      </c>
      <c r="E73" s="25">
        <v>56</v>
      </c>
      <c r="F73" t="str">
        <f>F72</f>
        <v>{idi:</v>
      </c>
      <c r="G73" t="str">
        <f>_xlfn.CONCAT(VLOOKUP(E73,'Index Web'!A$4:L$253,2,FALSE),", ")</f>
        <v xml:space="preserve">71, </v>
      </c>
      <c r="H73" t="str">
        <f>H72</f>
        <v>id:</v>
      </c>
      <c r="I73" t="str">
        <f>_xlfn.CONCAT("""",VLOOKUP(E73,'Index Web'!A$4:O$253,13,FALSE),"""",", ")</f>
        <v xml:space="preserve">"ellagarero", </v>
      </c>
      <c r="J73" t="s">
        <v>2016</v>
      </c>
      <c r="K73" t="str">
        <f>_xlfn.CONCAT("""",VLOOKUP(E73,'Index Web'!A$4:L$253,3,FALSE),"""")</f>
        <v>"El lagarero"</v>
      </c>
      <c r="L73" t="s">
        <v>942</v>
      </c>
      <c r="M73" t="str">
        <f>_xlfn.CONCAT("""",VLOOKUP(E73,'Index Web'!A$4:L$253,4,FALSE),"""")</f>
        <v>"Isaías 63,1-6"</v>
      </c>
      <c r="N73" t="s">
        <v>943</v>
      </c>
      <c r="O73" t="str">
        <f>_xlfn.CONCAT("""",VLOOKUP(E73,'Index Web'!A$4:L$253,5,FALSE),"""")</f>
        <v>"Precatecumenado"</v>
      </c>
      <c r="P73" t="s">
        <v>944</v>
      </c>
      <c r="Q73" t="str">
        <f>_xlfn.CONCAT("[",VLOOKUP(E73,'Index Web'!A$4:N$253,14,FALSE),"]")</f>
        <v>["Fracción Del Pan","Antiguo Testamento"]</v>
      </c>
      <c r="R73" t="s">
        <v>945</v>
      </c>
      <c r="S73" t="str">
        <f>_xlfn.CONCAT("""/src/index.html?canto=",VLOOKUP(E73,'Index Web'!A$4:N$253,13,FALSE),""", ")</f>
        <v xml:space="preserve">"/src/index.html?canto=ellagarero", </v>
      </c>
      <c r="T73" t="str">
        <f>T72</f>
        <v xml:space="preserve">visible: "", </v>
      </c>
      <c r="U73" t="str">
        <f>_xlfn.CONCAT("cejilla: """,C73,""", ")</f>
        <v xml:space="preserve">cejilla: "", </v>
      </c>
      <c r="V73" t="str">
        <f>_xlfn.CONCAT("acorde: """,D73,""", ")</f>
        <v xml:space="preserve">acorde: "Mi", </v>
      </c>
      <c r="W73" t="s">
        <v>2012</v>
      </c>
      <c r="X73" t="s">
        <v>2013</v>
      </c>
      <c r="Y73" t="str">
        <f>_xlfn.CONCAT("""",VLOOKUP(E73,'Index Web'!A$4:O$253,15,FALSE)," ",VLOOKUP(E73,'Index Web'!A$4:O$253,13,FALSE),"""","},")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Z73" t="str">
        <f>_xlfn.CONCAT(F73:Y73)</f>
        <v>{idi:71, id:"ellagarero", title: "El lagarero", subtitle: "Isaías 63,1-6", category: "Precatecumenado", moments: ["Fracción Del Pan","Antiguo Testamento"], url: "/src/index.html?canto=ellagarero", visible: "", cejilla: "", acorde: "Mi", scrollConfig: {"mobile": { "v": 25, "i": 1 },"tablet": { "v": 25, "i": 1 },"desktop": { "v": 7, "i": 1 },"desktopsmall": { "v": 7, "i": 1 }},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4" spans="2:26" x14ac:dyDescent="0.25">
      <c r="B74" s="51" t="s">
        <v>537</v>
      </c>
      <c r="C74" s="1" t="str">
        <f>IF(VLOOKUP(Table4[[#This Row],[Cantounido]],Table7[],3,FALSE)=0,"",VLOOKUP(Table4[[#This Row],[Cantounido]],Table7[],3,FALSE))</f>
        <v/>
      </c>
      <c r="D74" s="44" t="str">
        <f>IF(VLOOKUP(Table4[[#This Row],[Cantounido]],Table7[],4,FALSE)=0,"",VLOOKUP(Table4[[#This Row],[Cantounido]],Table7[],4,FALSE))</f>
        <v>La</v>
      </c>
      <c r="E74" s="26">
        <v>57</v>
      </c>
      <c r="F74" t="str">
        <f>F73</f>
        <v>{idi:</v>
      </c>
      <c r="G74" t="str">
        <f>_xlfn.CONCAT(VLOOKUP(E74,'Index Web'!A$4:L$253,2,FALSE),", ")</f>
        <v xml:space="preserve">72, </v>
      </c>
      <c r="H74" t="str">
        <f>H73</f>
        <v>id:</v>
      </c>
      <c r="I74" t="str">
        <f>_xlfn.CONCAT("""",VLOOKUP(E74,'Index Web'!A$4:O$253,13,FALSE),"""",", ")</f>
        <v xml:space="preserve">"elmesiasleon", </v>
      </c>
      <c r="J74" t="s">
        <v>2016</v>
      </c>
      <c r="K74" t="str">
        <f>_xlfn.CONCAT("""",VLOOKUP(E74,'Index Web'!A$4:L$253,3,FALSE),"""")</f>
        <v>"El Mesías león"</v>
      </c>
      <c r="L74" t="s">
        <v>942</v>
      </c>
      <c r="M74" t="str">
        <f>_xlfn.CONCAT("""",VLOOKUP(E74,'Index Web'!A$4:L$253,4,FALSE),"""")</f>
        <v>"Comentario al Apocalipsis (Victorino de Pettau)"</v>
      </c>
      <c r="N74" t="s">
        <v>943</v>
      </c>
      <c r="O74" t="str">
        <f>_xlfn.CONCAT("""",VLOOKUP(E74,'Index Web'!A$4:L$253,5,FALSE),"""")</f>
        <v>"Precatecumenado"</v>
      </c>
      <c r="P74" t="s">
        <v>944</v>
      </c>
      <c r="Q74" t="str">
        <f>_xlfn.CONCAT("[",VLOOKUP(E74,'Index Web'!A$4:N$253,14,FALSE),"]")</f>
        <v>["Pascua","Pentecostés","Fracción Del Pan"]</v>
      </c>
      <c r="R74" t="s">
        <v>945</v>
      </c>
      <c r="S74" t="str">
        <f>_xlfn.CONCAT("""/src/index.html?canto=",VLOOKUP(E74,'Index Web'!A$4:N$253,13,FALSE),""", ")</f>
        <v xml:space="preserve">"/src/index.html?canto=elmesiasleon", </v>
      </c>
      <c r="T74" t="str">
        <f>T73</f>
        <v xml:space="preserve">visible: "", </v>
      </c>
      <c r="U74" t="str">
        <f>_xlfn.CONCAT("cejilla: """,C74,""", ")</f>
        <v xml:space="preserve">cejilla: "", </v>
      </c>
      <c r="V74" t="str">
        <f>_xlfn.CONCAT("acorde: """,D74,""", ")</f>
        <v xml:space="preserve">acorde: "La", </v>
      </c>
      <c r="W74" t="s">
        <v>2012</v>
      </c>
      <c r="X74" t="s">
        <v>2013</v>
      </c>
      <c r="Y74" t="str">
        <f>_xlfn.CONCAT("""",VLOOKUP(E74,'Index Web'!A$4:O$253,15,FALSE)," ",VLOOKUP(E74,'Index Web'!A$4:O$253,13,FALSE),"""","},")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Z74" t="str">
        <f>_xlfn.CONCAT(F74:Y74)</f>
        <v>{idi:72, id:"elmesiasleon", title: "El Mesías león", subtitle: "Comentario al Apocalipsis (Victorino de Pettau)", category: "Precatecumenado", moments: ["Pascua","Pentecostés","Fracción Del Pan"], url: "/src/index.html?canto=elmesiasleon", visible: "", cejilla: "", acorde: "La", scrollConfig: {"mobile": { "v": 25, "i": 1 },"tablet": { "v": 25, "i": 1 },"desktop": { "v": 7, "i": 1 },"desktopsmall": { "v": 7, "i": 1 }},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5" spans="2:26" x14ac:dyDescent="0.25">
      <c r="B75" s="57" t="s">
        <v>687</v>
      </c>
      <c r="C75" s="1" t="str">
        <f>IF(VLOOKUP(Table4[[#This Row],[Cantounido]],Table7[],3,FALSE)=0,"",VLOOKUP(Table4[[#This Row],[Cantounido]],Table7[],3,FALSE))</f>
        <v/>
      </c>
      <c r="D75" s="44" t="str">
        <f>IF(VLOOKUP(Table4[[#This Row],[Cantounido]],Table7[],4,FALSE)=0,"",VLOOKUP(Table4[[#This Row],[Cantounido]],Table7[],4,FALSE))</f>
        <v>Re</v>
      </c>
      <c r="E75" s="31">
        <v>224</v>
      </c>
      <c r="F75" t="str">
        <f>F74</f>
        <v>{idi:</v>
      </c>
      <c r="G75" t="str">
        <f>_xlfn.CONCAT(VLOOKUP(E75,'Index Web'!A$4:L$253,2,FALSE),", ")</f>
        <v xml:space="preserve">73, </v>
      </c>
      <c r="H75" t="str">
        <f>H74</f>
        <v>id:</v>
      </c>
      <c r="I75" t="str">
        <f>_xlfn.CONCAT("""",VLOOKUP(E75,'Index Web'!A$4:O$253,13,FALSE),"""",", ")</f>
        <v xml:space="preserve">"elmismodios", </v>
      </c>
      <c r="J75" t="s">
        <v>2016</v>
      </c>
      <c r="K75" t="str">
        <f>_xlfn.CONCAT("""",VLOOKUP(E75,'Index Web'!A$4:L$253,3,FALSE),"""")</f>
        <v>"El mismo Dios"</v>
      </c>
      <c r="L75" t="s">
        <v>942</v>
      </c>
      <c r="M75" t="str">
        <f>_xlfn.CONCAT("""",VLOOKUP(E75,'Index Web'!A$4:L$253,4,FALSE),"""")</f>
        <v>"2 Corintios 4,6-12"</v>
      </c>
      <c r="N75" t="s">
        <v>943</v>
      </c>
      <c r="O75" t="str">
        <f>_xlfn.CONCAT("""",VLOOKUP(E75,'Index Web'!A$4:L$253,5,FALSE),"""")</f>
        <v>"Catecumenado"</v>
      </c>
      <c r="P75" t="s">
        <v>944</v>
      </c>
      <c r="Q75" t="str">
        <f>_xlfn.CONCAT("[",VLOOKUP(E75,'Index Web'!A$4:N$253,14,FALSE),"]")</f>
        <v>["Comunión","Nuevo Testamento"]</v>
      </c>
      <c r="R75" t="s">
        <v>945</v>
      </c>
      <c r="S75" t="str">
        <f>_xlfn.CONCAT("""/src/index.html?canto=",VLOOKUP(E75,'Index Web'!A$4:N$253,13,FALSE),""", ")</f>
        <v xml:space="preserve">"/src/index.html?canto=elmismodios", </v>
      </c>
      <c r="T75" t="str">
        <f>T74</f>
        <v xml:space="preserve">visible: "", </v>
      </c>
      <c r="U75" t="str">
        <f>_xlfn.CONCAT("cejilla: """,C75,""", ")</f>
        <v xml:space="preserve">cejilla: "", </v>
      </c>
      <c r="V75" t="str">
        <f>_xlfn.CONCAT("acorde: """,D75,""", ")</f>
        <v xml:space="preserve">acorde: "Re", </v>
      </c>
      <c r="W75" t="s">
        <v>2012</v>
      </c>
      <c r="X75" t="s">
        <v>2013</v>
      </c>
      <c r="Y75" t="str">
        <f>_xlfn.CONCAT("""",VLOOKUP(E75,'Index Web'!A$4:O$253,15,FALSE)," ",VLOOKUP(E75,'Index Web'!A$4:O$253,13,FALSE),"""","},")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Z75" t="str">
        <f>_xlfn.CONCAT(F75:Y75)</f>
        <v>{idi:73, id:"elmismodios", title: "El mismo Dios", subtitle: "2 Corintios 4,6-12", category: "Catecumenado", moments: ["Comunión","Nuevo Testamento"], url: "/src/index.html?canto=elmismodios", visible: "", cejilla: "", acorde: "Re", scrollConfig: {"mobile": { "v": 25, "i": 1 },"tablet": { "v": 25, "i": 1 },"desktop": { "v": 7, "i": 1 },"desktopsmall": { "v": 7, "i": 1 }},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6" spans="2:26" x14ac:dyDescent="0.25">
      <c r="B76" s="51" t="s">
        <v>2054</v>
      </c>
      <c r="C76" s="1" t="str">
        <f>IF(VLOOKUP(Table4[[#This Row],[Cantounido]],Table7[],3,FALSE)=0,"",VLOOKUP(Table4[[#This Row],[Cantounido]],Table7[],3,FALSE))</f>
        <v/>
      </c>
      <c r="D76" s="44" t="str">
        <f>IF(VLOOKUP(Table4[[#This Row],[Cantounido]],Table7[],4,FALSE)=0,"",VLOOKUP(Table4[[#This Row],[Cantounido]],Table7[],4,FALSE))</f>
        <v>Re</v>
      </c>
      <c r="E76" s="26">
        <v>58</v>
      </c>
      <c r="F76" t="str">
        <f>F75</f>
        <v>{idi:</v>
      </c>
      <c r="G76" t="str">
        <f>_xlfn.CONCAT(VLOOKUP(E76,'Index Web'!A$4:L$253,2,FALSE),", ")</f>
        <v xml:space="preserve">74, </v>
      </c>
      <c r="H76" t="str">
        <f>H75</f>
        <v>id:</v>
      </c>
      <c r="I76" t="str">
        <f>_xlfn.CONCAT("""",VLOOKUP(E76,'Index Web'!A$4:O$253,13,FALSE),"""",", ")</f>
        <v xml:space="preserve">"elneciopiensaquediosno", </v>
      </c>
      <c r="J76" t="s">
        <v>2016</v>
      </c>
      <c r="K76" t="str">
        <f>_xlfn.CONCAT("""",VLOOKUP(E76,'Index Web'!A$4:L$253,3,FALSE),"""")</f>
        <v>"El necio piensa que Dios no "</v>
      </c>
      <c r="L76" t="s">
        <v>942</v>
      </c>
      <c r="M76" t="str">
        <f>_xlfn.CONCAT("""",VLOOKUP(E76,'Index Web'!A$4:L$253,4,FALSE),"""")</f>
        <v>"Salmo 14 (13)"</v>
      </c>
      <c r="N76" t="s">
        <v>943</v>
      </c>
      <c r="O76" t="str">
        <f>_xlfn.CONCAT("""",VLOOKUP(E76,'Index Web'!A$4:L$253,5,FALSE),"""")</f>
        <v>"Precatecumenado"</v>
      </c>
      <c r="P76" t="s">
        <v>944</v>
      </c>
      <c r="Q76" t="str">
        <f>_xlfn.CONCAT("[",VLOOKUP(E76,'Index Web'!A$4:N$253,14,FALSE),"]")</f>
        <v>["Antiguo Testamento"]</v>
      </c>
      <c r="R76" t="s">
        <v>945</v>
      </c>
      <c r="S76" t="str">
        <f>_xlfn.CONCAT("""/src/index.html?canto=",VLOOKUP(E76,'Index Web'!A$4:N$253,13,FALSE),""", ")</f>
        <v xml:space="preserve">"/src/index.html?canto=elneciopiensaquediosno", </v>
      </c>
      <c r="T76" t="str">
        <f>T75</f>
        <v xml:space="preserve">visible: "", </v>
      </c>
      <c r="U76" t="str">
        <f>_xlfn.CONCAT("cejilla: """,C76,""", ")</f>
        <v xml:space="preserve">cejilla: "", </v>
      </c>
      <c r="V76" t="str">
        <f>_xlfn.CONCAT("acorde: """,D76,""", ")</f>
        <v xml:space="preserve">acorde: "Re", </v>
      </c>
      <c r="W76" t="s">
        <v>2012</v>
      </c>
      <c r="X76" t="s">
        <v>2013</v>
      </c>
      <c r="Y76" t="str">
        <f>_xlfn.CONCAT("""",VLOOKUP(E76,'Index Web'!A$4:O$253,15,FALSE)," ",VLOOKUP(E76,'Index Web'!A$4:O$253,13,FALSE),"""","},")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Z76" t="str">
        <f>_xlfn.CONCAT(F76:Y76)</f>
        <v>{idi:74, id:"elneciopiensaquediosno", title: "El necio piensa que Dios no ", subtitle: "Salmo 14 (13)", category: "Precatecumenado", moments: ["Antiguo Testamento"], url: "/src/index.html?canto=elneciopiensaquediosno", visible: "", cejilla: "", acorde: "Re", scrollConfig: {"mobile": { "v": 25, "i": 1 },"tablet": { "v": 25, "i": 1 },"desktop": { "v": 7, "i": 1 },"desktopsmall": { "v": 7, "i": 1 }},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7" spans="2:26" x14ac:dyDescent="0.25">
      <c r="B77" s="50" t="s">
        <v>539</v>
      </c>
      <c r="C77" s="1">
        <f>IF(VLOOKUP(Table4[[#This Row],[Cantounido]],Table7[],3,FALSE)=0,"",VLOOKUP(Table4[[#This Row],[Cantounido]],Table7[],3,FALSE))</f>
        <v>3</v>
      </c>
      <c r="D77" s="44" t="str">
        <f>IF(VLOOKUP(Table4[[#This Row],[Cantounido]],Table7[],4,FALSE)=0,"",VLOOKUP(Table4[[#This Row],[Cantounido]],Table7[],4,FALSE))</f>
        <v>Do</v>
      </c>
      <c r="E77" s="25">
        <v>59</v>
      </c>
      <c r="F77" t="str">
        <f>F76</f>
        <v>{idi:</v>
      </c>
      <c r="G77" t="str">
        <f>_xlfn.CONCAT(VLOOKUP(E77,'Index Web'!A$4:L$253,2,FALSE),", ")</f>
        <v xml:space="preserve">75, </v>
      </c>
      <c r="H77" t="str">
        <f>H76</f>
        <v>id:</v>
      </c>
      <c r="I77" t="str">
        <f>_xlfn.CONCAT("""",VLOOKUP(E77,'Index Web'!A$4:O$253,13,FALSE),"""",", ")</f>
        <v xml:space="preserve">"elpuebloquecaminabaenlastinieblas", </v>
      </c>
      <c r="J77" t="s">
        <v>2016</v>
      </c>
      <c r="K77" t="str">
        <f>_xlfn.CONCAT("""",VLOOKUP(E77,'Index Web'!A$4:L$253,3,FALSE),"""")</f>
        <v>"El pueblo que caminaba en las tinieblas"</v>
      </c>
      <c r="L77" t="s">
        <v>942</v>
      </c>
      <c r="M77" t="str">
        <f>_xlfn.CONCAT("""",VLOOKUP(E77,'Index Web'!A$4:L$253,4,FALSE),"""")</f>
        <v>"Isaías 9,1-5"</v>
      </c>
      <c r="N77" t="s">
        <v>943</v>
      </c>
      <c r="O77" t="str">
        <f>_xlfn.CONCAT("""",VLOOKUP(E77,'Index Web'!A$4:L$253,5,FALSE),"""")</f>
        <v>"Precatecumenado"</v>
      </c>
      <c r="P77" t="s">
        <v>944</v>
      </c>
      <c r="Q77" t="str">
        <f>_xlfn.CONCAT("[",VLOOKUP(E77,'Index Web'!A$4:N$253,14,FALSE),"]")</f>
        <v>["Adviento","Navidad","Antiguo Testamento"]</v>
      </c>
      <c r="R77" t="s">
        <v>945</v>
      </c>
      <c r="S77" t="str">
        <f>_xlfn.CONCAT("""/src/index.html?canto=",VLOOKUP(E77,'Index Web'!A$4:N$253,13,FALSE),""", ")</f>
        <v xml:space="preserve">"/src/index.html?canto=elpuebloquecaminabaenlastinieblas", </v>
      </c>
      <c r="T77" t="str">
        <f>T76</f>
        <v xml:space="preserve">visible: "", </v>
      </c>
      <c r="U77" t="str">
        <f>_xlfn.CONCAT("cejilla: """,C77,""", ")</f>
        <v xml:space="preserve">cejilla: "3", </v>
      </c>
      <c r="V77" t="str">
        <f>_xlfn.CONCAT("acorde: """,D77,""", ")</f>
        <v xml:space="preserve">acorde: "Do", </v>
      </c>
      <c r="W77" t="s">
        <v>2012</v>
      </c>
      <c r="X77" t="s">
        <v>2013</v>
      </c>
      <c r="Y77" t="str">
        <f>_xlfn.CONCAT("""",VLOOKUP(E77,'Index Web'!A$4:O$253,15,FALSE)," ",VLOOKUP(E77,'Index Web'!A$4:O$253,13,FALSE),"""","},")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Z77" t="str">
        <f>_xlfn.CONCAT(F77:Y77)</f>
        <v>{idi:75, id:"elpuebloquecaminabaenlastinieblas", title: "El pueblo que caminaba en las tinieblas", subtitle: "Isaías 9,1-5", category: "Precatecumenado", moments: ["Adviento","Navidad","Antiguo Testamento"], url: "/src/index.html?canto=elpuebloquecaminabaenlastinieblas", visible: "", cejilla: "3", acorde: "Do", scrollConfig: {"mobile": { "v": 25, "i": 1 },"tablet": { "v": 25, "i": 1 },"desktop": { "v": 7, "i": 1 },"desktopsmall": { "v": 7, "i": 1 }},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8" spans="2:26" x14ac:dyDescent="0.25">
      <c r="B78" s="56" t="s">
        <v>688</v>
      </c>
      <c r="C78" s="1" t="str">
        <f>IF(VLOOKUP(Table4[[#This Row],[Cantounido]],Table7[],3,FALSE)=0,"",VLOOKUP(Table4[[#This Row],[Cantounido]],Table7[],3,FALSE))</f>
        <v/>
      </c>
      <c r="D78" s="44" t="str">
        <f>IF(VLOOKUP(Table4[[#This Row],[Cantounido]],Table7[],4,FALSE)=0,"",VLOOKUP(Table4[[#This Row],[Cantounido]],Table7[],4,FALSE))</f>
        <v>Re</v>
      </c>
      <c r="E78" s="30">
        <v>225</v>
      </c>
      <c r="F78" t="str">
        <f>F77</f>
        <v>{idi:</v>
      </c>
      <c r="G78" t="str">
        <f>_xlfn.CONCAT(VLOOKUP(E78,'Index Web'!A$4:L$253,2,FALSE),", ")</f>
        <v xml:space="preserve">76, </v>
      </c>
      <c r="H78" t="str">
        <f>H77</f>
        <v>id:</v>
      </c>
      <c r="I78" t="str">
        <f>_xlfn.CONCAT("""",VLOOKUP(E78,'Index Web'!A$4:O$253,13,FALSE),"""",", ")</f>
        <v xml:space="preserve">"elsembrador", </v>
      </c>
      <c r="J78" t="s">
        <v>2016</v>
      </c>
      <c r="K78" t="str">
        <f>_xlfn.CONCAT("""",VLOOKUP(E78,'Index Web'!A$4:L$253,3,FALSE),"""")</f>
        <v>"El sembrador "</v>
      </c>
      <c r="L78" t="s">
        <v>942</v>
      </c>
      <c r="M78" t="str">
        <f>_xlfn.CONCAT("""",VLOOKUP(E78,'Index Web'!A$4:L$253,4,FALSE),"""")</f>
        <v>"Marcos 4,3ss"</v>
      </c>
      <c r="N78" t="s">
        <v>943</v>
      </c>
      <c r="O78" t="str">
        <f>_xlfn.CONCAT("""",VLOOKUP(E78,'Index Web'!A$4:L$253,5,FALSE),"""")</f>
        <v>"Catecumenado"</v>
      </c>
      <c r="P78" t="s">
        <v>944</v>
      </c>
      <c r="Q78" t="str">
        <f>_xlfn.CONCAT("[",VLOOKUP(E78,'Index Web'!A$4:N$253,14,FALSE),"]")</f>
        <v>["Nuevo Testamento"]</v>
      </c>
      <c r="R78" t="s">
        <v>945</v>
      </c>
      <c r="S78" t="str">
        <f>_xlfn.CONCAT("""/src/index.html?canto=",VLOOKUP(E78,'Index Web'!A$4:N$253,13,FALSE),""", ")</f>
        <v xml:space="preserve">"/src/index.html?canto=elsembrador", </v>
      </c>
      <c r="T78" t="str">
        <f>T77</f>
        <v xml:space="preserve">visible: "", </v>
      </c>
      <c r="U78" t="str">
        <f>_xlfn.CONCAT("cejilla: """,C78,""", ")</f>
        <v xml:space="preserve">cejilla: "", </v>
      </c>
      <c r="V78" t="str">
        <f>_xlfn.CONCAT("acorde: """,D78,""", ")</f>
        <v xml:space="preserve">acorde: "Re", </v>
      </c>
      <c r="W78" t="s">
        <v>2012</v>
      </c>
      <c r="X78" t="s">
        <v>2013</v>
      </c>
      <c r="Y78" t="str">
        <f>_xlfn.CONCAT("""",VLOOKUP(E78,'Index Web'!A$4:O$253,15,FALSE)," ",VLOOKUP(E78,'Index Web'!A$4:O$253,13,FALSE),"""","},")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Z78" t="str">
        <f>_xlfn.CONCAT(F78:Y78)</f>
        <v>{idi:76, id:"elsembrador", title: "El sembrador ", subtitle: "Marcos 4,3ss", category: "Catecumenado", moments: ["Nuevo Testamento"], url: "/src/index.html?canto=elsembrador", visible: "", cejilla: "", acorde: "Re", scrollConfig: {"mobile": { "v": 25, "i": 1 },"tablet": { "v": 25, "i": 1 },"desktop": { "v": 7, "i": 1 },"desktopsmall": { "v": 7, "i": 1 }},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9" spans="2:26" x14ac:dyDescent="0.25">
      <c r="B79" s="50" t="s">
        <v>540</v>
      </c>
      <c r="C79" s="1" t="str">
        <f>IF(VLOOKUP(Table4[[#This Row],[Cantounido]],Table7[],3,FALSE)=0,"",VLOOKUP(Table4[[#This Row],[Cantounido]],Table7[],3,FALSE))</f>
        <v/>
      </c>
      <c r="D79" s="44" t="str">
        <f>IF(VLOOKUP(Table4[[#This Row],[Cantounido]],Table7[],4,FALSE)=0,"",VLOOKUP(Table4[[#This Row],[Cantounido]],Table7[],4,FALSE))</f>
        <v>Sol</v>
      </c>
      <c r="E79" s="25">
        <v>60</v>
      </c>
      <c r="F79" t="str">
        <f>F78</f>
        <v>{idi:</v>
      </c>
      <c r="G79" t="str">
        <f>_xlfn.CONCAT(VLOOKUP(E79,'Index Web'!A$4:L$253,2,FALSE),", ")</f>
        <v xml:space="preserve">77, </v>
      </c>
      <c r="H79" t="str">
        <f>H78</f>
        <v>id:</v>
      </c>
      <c r="I79" t="str">
        <f>_xlfn.CONCAT("""",VLOOKUP(E79,'Index Web'!A$4:O$253,13,FALSE),"""",", ")</f>
        <v xml:space="preserve">"elsenoranunciaunanoticia", </v>
      </c>
      <c r="J79" t="s">
        <v>2016</v>
      </c>
      <c r="K79" t="str">
        <f>_xlfn.CONCAT("""",VLOOKUP(E79,'Index Web'!A$4:L$253,3,FALSE),"""")</f>
        <v>"El Señor anuncia una noticia"</v>
      </c>
      <c r="L79" t="s">
        <v>942</v>
      </c>
      <c r="M79" t="str">
        <f>_xlfn.CONCAT("""",VLOOKUP(E79,'Index Web'!A$4:L$253,4,FALSE),"""")</f>
        <v>"Salmo 68 (67)"</v>
      </c>
      <c r="N79" t="s">
        <v>943</v>
      </c>
      <c r="O79" t="str">
        <f>_xlfn.CONCAT("""",VLOOKUP(E79,'Index Web'!A$4:L$253,5,FALSE),"""")</f>
        <v>"Precatecumenado"</v>
      </c>
      <c r="P79" t="s">
        <v>944</v>
      </c>
      <c r="Q79" t="str">
        <f>_xlfn.CONCAT("[",VLOOKUP(E79,'Index Web'!A$4:N$253,14,FALSE),"]")</f>
        <v>["Entrada","Antiguo Testamento"]</v>
      </c>
      <c r="R79" t="s">
        <v>945</v>
      </c>
      <c r="S79" t="str">
        <f>_xlfn.CONCAT("""/src/index.html?canto=",VLOOKUP(E79,'Index Web'!A$4:N$253,13,FALSE),""", ")</f>
        <v xml:space="preserve">"/src/index.html?canto=elsenoranunciaunanoticia", </v>
      </c>
      <c r="T79" t="str">
        <f>T78</f>
        <v xml:space="preserve">visible: "", </v>
      </c>
      <c r="U79" t="str">
        <f>_xlfn.CONCAT("cejilla: """,C79,""", ")</f>
        <v xml:space="preserve">cejilla: "", </v>
      </c>
      <c r="V79" t="str">
        <f>_xlfn.CONCAT("acorde: """,D79,""", ")</f>
        <v xml:space="preserve">acorde: "Sol", </v>
      </c>
      <c r="W79" t="s">
        <v>2012</v>
      </c>
      <c r="X79" t="s">
        <v>2013</v>
      </c>
      <c r="Y79" t="str">
        <f>_xlfn.CONCAT("""",VLOOKUP(E79,'Index Web'!A$4:O$253,15,FALSE)," ",VLOOKUP(E79,'Index Web'!A$4:O$253,13,FALSE),"""","},")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Z79" t="str">
        <f>_xlfn.CONCAT(F79:Y79)</f>
        <v>{idi:77, id:"elsenoranunciaunanoticia", title: "El Señor anuncia una noticia", subtitle: "Salmo 68 (67)", category: "Precatecumenado", moments: ["Entrada","Antiguo Testamento"], url: "/src/index.html?canto=elsenoranunciaunanoticia", visible: "", cejilla: "", acorde: "Sol", scrollConfig: {"mobile": { "v": 25, "i": 1 },"tablet": { "v": 25, "i": 1 },"desktop": { "v": 7, "i": 1 },"desktopsmall": { "v": 7, "i": 1 }},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80" spans="2:26" x14ac:dyDescent="0.25">
      <c r="B80" s="51" t="s">
        <v>541</v>
      </c>
      <c r="C80" s="1">
        <f>IF(VLOOKUP(Table4[[#This Row],[Cantounido]],Table7[],3,FALSE)=0,"",VLOOKUP(Table4[[#This Row],[Cantounido]],Table7[],3,FALSE))</f>
        <v>2</v>
      </c>
      <c r="D80" s="44" t="str">
        <f>IF(VLOOKUP(Table4[[#This Row],[Cantounido]],Table7[],4,FALSE)=0,"",VLOOKUP(Table4[[#This Row],[Cantounido]],Table7[],4,FALSE))</f>
        <v>La</v>
      </c>
      <c r="E80" s="26">
        <v>61</v>
      </c>
      <c r="F80" t="str">
        <f>F79</f>
        <v>{idi:</v>
      </c>
      <c r="G80" t="str">
        <f>_xlfn.CONCAT(VLOOKUP(E80,'Index Web'!A$4:L$253,2,FALSE),", ")</f>
        <v xml:space="preserve">78, </v>
      </c>
      <c r="H80" t="str">
        <f>H79</f>
        <v>id:</v>
      </c>
      <c r="I80" t="str">
        <f>_xlfn.CONCAT("""",VLOOKUP(E80,'Index Web'!A$4:O$253,13,FALSE),"""",", ")</f>
        <v xml:space="preserve">"elsenoresmipastor", </v>
      </c>
      <c r="J80" t="s">
        <v>2016</v>
      </c>
      <c r="K80" t="str">
        <f>_xlfn.CONCAT("""",VLOOKUP(E80,'Index Web'!A$4:L$253,3,FALSE),"""")</f>
        <v>"El Señor es mi pastor"</v>
      </c>
      <c r="L80" t="s">
        <v>942</v>
      </c>
      <c r="M80" t="str">
        <f>_xlfn.CONCAT("""",VLOOKUP(E80,'Index Web'!A$4:L$253,4,FALSE),"""")</f>
        <v>"Salmo 23 (22)"</v>
      </c>
      <c r="N80" t="s">
        <v>943</v>
      </c>
      <c r="O80" t="str">
        <f>_xlfn.CONCAT("""",VLOOKUP(E80,'Index Web'!A$4:L$253,5,FALSE),"""")</f>
        <v>"Precatecumenado"</v>
      </c>
      <c r="P80" t="s">
        <v>944</v>
      </c>
      <c r="Q80" t="str">
        <f>_xlfn.CONCAT("[",VLOOKUP(E80,'Index Web'!A$4:N$253,14,FALSE),"]")</f>
        <v>["Pascua","Pentecostés","Comunión","Antiguo Testamento"]</v>
      </c>
      <c r="R80" t="s">
        <v>945</v>
      </c>
      <c r="S80" t="str">
        <f>_xlfn.CONCAT("""/src/index.html?canto=",VLOOKUP(E80,'Index Web'!A$4:N$253,13,FALSE),""", ")</f>
        <v xml:space="preserve">"/src/index.html?canto=elsenoresmipastor", </v>
      </c>
      <c r="T80" t="str">
        <f>T79</f>
        <v xml:space="preserve">visible: "", </v>
      </c>
      <c r="U80" t="str">
        <f>_xlfn.CONCAT("cejilla: """,C80,""", ")</f>
        <v xml:space="preserve">cejilla: "2", </v>
      </c>
      <c r="V80" t="str">
        <f>_xlfn.CONCAT("acorde: """,D80,""", ")</f>
        <v xml:space="preserve">acorde: "La", </v>
      </c>
      <c r="W80" t="s">
        <v>2012</v>
      </c>
      <c r="X80" t="s">
        <v>2013</v>
      </c>
      <c r="Y80" t="str">
        <f>_xlfn.CONCAT("""",VLOOKUP(E80,'Index Web'!A$4:O$253,15,FALSE)," ",VLOOKUP(E80,'Index Web'!A$4:O$253,13,FALSE),"""","},")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Z80" t="str">
        <f>_xlfn.CONCAT(F80:Y80)</f>
        <v>{idi:78, id:"elsenoresmipastor", title: "El Señor es mi pastor", subtitle: "Salmo 23 (22)", category: "Precatecumenado", moments: ["Pascua","Pentecostés","Comunión","Antiguo Testamento"], url: "/src/index.html?canto=elsenoresmipastor", visible: "", cejilla: "2", acorde: "La", scrollConfig: {"mobile": { "v": 25, "i": 1 },"tablet": { "v": 25, "i": 1 },"desktop": { "v": 7, "i": 1 },"desktopsmall": { "v": 7, "i": 1 }},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1" spans="2:26" x14ac:dyDescent="0.25">
      <c r="B81" s="50" t="s">
        <v>542</v>
      </c>
      <c r="C81" s="1" t="str">
        <f>IF(VLOOKUP(Table4[[#This Row],[Cantounido]],Table7[],3,FALSE)=0,"",VLOOKUP(Table4[[#This Row],[Cantounido]],Table7[],3,FALSE))</f>
        <v/>
      </c>
      <c r="D81" s="44" t="str">
        <f>IF(VLOOKUP(Table4[[#This Row],[Cantounido]],Table7[],4,FALSE)=0,"",VLOOKUP(Table4[[#This Row],[Cantounido]],Table7[],4,FALSE))</f>
        <v>Si</v>
      </c>
      <c r="E81" s="25">
        <v>62</v>
      </c>
      <c r="F81" t="str">
        <f>F80</f>
        <v>{idi:</v>
      </c>
      <c r="G81" t="str">
        <f>_xlfn.CONCAT(VLOOKUP(E81,'Index Web'!A$4:L$253,2,FALSE),", ")</f>
        <v xml:space="preserve">79, </v>
      </c>
      <c r="H81" t="str">
        <f>H80</f>
        <v>id:</v>
      </c>
      <c r="I81" t="str">
        <f>_xlfn.CONCAT("""",VLOOKUP(E81,'Index Web'!A$4:O$253,13,FALSE),"""",", ")</f>
        <v xml:space="preserve">"elsenormehadado", </v>
      </c>
      <c r="J81" t="s">
        <v>2016</v>
      </c>
      <c r="K81" t="str">
        <f>_xlfn.CONCAT("""",VLOOKUP(E81,'Index Web'!A$4:L$253,3,FALSE),"""")</f>
        <v>"El Señor me ha dado"</v>
      </c>
      <c r="L81" t="s">
        <v>942</v>
      </c>
      <c r="M81" t="str">
        <f>_xlfn.CONCAT("""",VLOOKUP(E81,'Index Web'!A$4:L$253,4,FALSE),"""")</f>
        <v>"Isaías 50,4-10  - Tercer canto del Siervo de Yahveh"</v>
      </c>
      <c r="N81" t="s">
        <v>943</v>
      </c>
      <c r="O81" t="str">
        <f>_xlfn.CONCAT("""",VLOOKUP(E81,'Index Web'!A$4:L$253,5,FALSE),"""")</f>
        <v>"Precatecumenado"</v>
      </c>
      <c r="P81" t="s">
        <v>944</v>
      </c>
      <c r="Q81" t="str">
        <f>_xlfn.CONCAT("[",VLOOKUP(E81,'Index Web'!A$4:N$253,14,FALSE),"]")</f>
        <v>["Fracción Del Pan","Antiguo Testamento"]</v>
      </c>
      <c r="R81" t="s">
        <v>945</v>
      </c>
      <c r="S81" t="str">
        <f>_xlfn.CONCAT("""/src/index.html?canto=",VLOOKUP(E81,'Index Web'!A$4:N$253,13,FALSE),""", ")</f>
        <v xml:space="preserve">"/src/index.html?canto=elsenormehadado", </v>
      </c>
      <c r="T81" t="str">
        <f>T80</f>
        <v xml:space="preserve">visible: "", </v>
      </c>
      <c r="U81" t="str">
        <f>_xlfn.CONCAT("cejilla: """,C81,""", ")</f>
        <v xml:space="preserve">cejilla: "", </v>
      </c>
      <c r="V81" t="str">
        <f>_xlfn.CONCAT("acorde: """,D81,""", ")</f>
        <v xml:space="preserve">acorde: "Si", </v>
      </c>
      <c r="W81" t="s">
        <v>2012</v>
      </c>
      <c r="X81" t="s">
        <v>2013</v>
      </c>
      <c r="Y81" t="str">
        <f>_xlfn.CONCAT("""",VLOOKUP(E81,'Index Web'!A$4:O$253,15,FALSE)," ",VLOOKUP(E81,'Index Web'!A$4:O$253,13,FALSE),"""","},")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Z81" t="str">
        <f>_xlfn.CONCAT(F81:Y81)</f>
        <v>{idi:79, id:"elsenormehadado", title: "El Señor me ha dado", subtitle: "Isaías 50,4-10  - Tercer canto del Siervo de Yahveh", category: "Precatecumenado", moments: ["Fracción Del Pan","Antiguo Testamento"], url: "/src/index.html?canto=elsenormehadado", visible: "", cejilla: "", acorde: "Si", scrollConfig: {"mobile": { "v": 25, "i": 1 },"tablet": { "v": 25, "i": 1 },"desktop": { "v": 7, "i": 1 },"desktopsmall": { "v": 7, "i": 1 }},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2" spans="2:26" x14ac:dyDescent="0.25">
      <c r="B82" s="51" t="s">
        <v>543</v>
      </c>
      <c r="C82" s="1" t="str">
        <f>IF(VLOOKUP(Table4[[#This Row],[Cantounido]],Table7[],3,FALSE)=0,"",VLOOKUP(Table4[[#This Row],[Cantounido]],Table7[],3,FALSE))</f>
        <v/>
      </c>
      <c r="D82" s="44" t="str">
        <f>IF(VLOOKUP(Table4[[#This Row],[Cantounido]],Table7[],4,FALSE)=0,"",VLOOKUP(Table4[[#This Row],[Cantounido]],Table7[],4,FALSE))</f>
        <v>Mi</v>
      </c>
      <c r="E82" s="26">
        <v>63</v>
      </c>
      <c r="F82" t="str">
        <f>F81</f>
        <v>{idi:</v>
      </c>
      <c r="G82" t="str">
        <f>_xlfn.CONCAT(VLOOKUP(E82,'Index Web'!A$4:L$253,2,FALSE),", ")</f>
        <v xml:space="preserve">80, </v>
      </c>
      <c r="H82" t="str">
        <f>H81</f>
        <v>id:</v>
      </c>
      <c r="I82" t="str">
        <f>_xlfn.CONCAT("""",VLOOKUP(E82,'Index Web'!A$4:O$253,13,FALSE),"""",", ")</f>
        <v xml:space="preserve">"elielilamasabactani", </v>
      </c>
      <c r="J82" t="s">
        <v>2016</v>
      </c>
      <c r="K82" t="str">
        <f>_xlfn.CONCAT("""",VLOOKUP(E82,'Index Web'!A$4:L$253,3,FALSE),"""")</f>
        <v>"Elí, Elí, lamá sabactaní "</v>
      </c>
      <c r="L82" t="s">
        <v>942</v>
      </c>
      <c r="M82" t="str">
        <f>_xlfn.CONCAT("""",VLOOKUP(E82,'Index Web'!A$4:L$253,4,FALSE),"""")</f>
        <v>"Salmo 22 (21)"</v>
      </c>
      <c r="N82" t="s">
        <v>943</v>
      </c>
      <c r="O82" t="str">
        <f>_xlfn.CONCAT("""",VLOOKUP(E82,'Index Web'!A$4:L$253,5,FALSE),"""")</f>
        <v>"Precatecumenado"</v>
      </c>
      <c r="P82" t="s">
        <v>944</v>
      </c>
      <c r="Q82" t="str">
        <f>_xlfn.CONCAT("[",VLOOKUP(E82,'Index Web'!A$4:N$253,14,FALSE),"]")</f>
        <v>["Antiguo Testamento","Adviento","Navidad","Cuaresma"]</v>
      </c>
      <c r="R82" t="s">
        <v>945</v>
      </c>
      <c r="S82" t="str">
        <f>_xlfn.CONCAT("""/src/index.html?canto=",VLOOKUP(E82,'Index Web'!A$4:N$253,13,FALSE),""", ")</f>
        <v xml:space="preserve">"/src/index.html?canto=elielilamasabactani", </v>
      </c>
      <c r="T82" t="str">
        <f>T81</f>
        <v xml:space="preserve">visible: "", </v>
      </c>
      <c r="U82" t="str">
        <f>_xlfn.CONCAT("cejilla: """,C82,""", ")</f>
        <v xml:space="preserve">cejilla: "", </v>
      </c>
      <c r="V82" t="str">
        <f>_xlfn.CONCAT("acorde: """,D82,""", ")</f>
        <v xml:space="preserve">acorde: "Mi", </v>
      </c>
      <c r="W82" t="s">
        <v>2012</v>
      </c>
      <c r="X82" t="s">
        <v>2013</v>
      </c>
      <c r="Y82" t="str">
        <f>_xlfn.CONCAT("""",VLOOKUP(E82,'Index Web'!A$4:O$253,15,FALSE)," ",VLOOKUP(E82,'Index Web'!A$4:O$253,13,FALSE),"""","},")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Z82" t="str">
        <f>_xlfn.CONCAT(F82:Y82)</f>
        <v>{idi:80, id:"elielilamasabactani", title: "Elí, Elí, lamá sabactaní ", subtitle: "Salmo 22 (21)", category: "Precatecumenado", moments: ["Antiguo Testamento","Adviento","Navidad","Cuaresma"], url: "/src/index.html?canto=elielilamasabactani", visible: "", cejilla: "", acorde: "Mi", scrollConfig: {"mobile": { "v": 25, "i": 1 },"tablet": { "v": 25, "i": 1 },"desktop": { "v": 7, "i": 1 },"desktopsmall": { "v": 7, "i": 1 }},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3" spans="2:26" x14ac:dyDescent="0.25">
      <c r="B83" s="50" t="s">
        <v>544</v>
      </c>
      <c r="C83" s="1" t="str">
        <f>IF(VLOOKUP(Table4[[#This Row],[Cantounido]],Table7[],3,FALSE)=0,"",VLOOKUP(Table4[[#This Row],[Cantounido]],Table7[],3,FALSE))</f>
        <v/>
      </c>
      <c r="D83" s="44" t="str">
        <f>IF(VLOOKUP(Table4[[#This Row],[Cantounido]],Table7[],4,FALSE)=0,"",VLOOKUP(Table4[[#This Row],[Cantounido]],Table7[],4,FALSE))</f>
        <v>La</v>
      </c>
      <c r="E83" s="25">
        <v>64</v>
      </c>
      <c r="F83" t="str">
        <f>F82</f>
        <v>{idi:</v>
      </c>
      <c r="G83" t="str">
        <f>_xlfn.CONCAT(VLOOKUP(E83,'Index Web'!A$4:L$253,2,FALSE),", ")</f>
        <v xml:space="preserve">81, </v>
      </c>
      <c r="H83" t="str">
        <f>H82</f>
        <v>id:</v>
      </c>
      <c r="I83" t="str">
        <f>_xlfn.CONCAT("""",VLOOKUP(E83,'Index Web'!A$4:O$253,13,FALSE),"""",", ")</f>
        <v xml:space="preserve">"enmediodeaquelgentio", </v>
      </c>
      <c r="J83" t="s">
        <v>2016</v>
      </c>
      <c r="K83" t="str">
        <f>_xlfn.CONCAT("""",VLOOKUP(E83,'Index Web'!A$4:L$253,3,FALSE),"""")</f>
        <v>"En medio de aquel gentío"</v>
      </c>
      <c r="L83" t="s">
        <v>942</v>
      </c>
      <c r="M83" t="str">
        <f>_xlfn.CONCAT("""",VLOOKUP(E83,'Index Web'!A$4:L$253,4,FALSE),"""")</f>
        <v>"Lucas 8,42b-48"</v>
      </c>
      <c r="N83" t="s">
        <v>943</v>
      </c>
      <c r="O83" t="str">
        <f>_xlfn.CONCAT("""",VLOOKUP(E83,'Index Web'!A$4:L$253,5,FALSE),"""")</f>
        <v>"Precatecumenado"</v>
      </c>
      <c r="P83" t="s">
        <v>944</v>
      </c>
      <c r="Q83" t="str">
        <f>_xlfn.CONCAT("[",VLOOKUP(E83,'Index Web'!A$4:N$253,14,FALSE),"]")</f>
        <v>["Comunión","Nuevo Testamento"]</v>
      </c>
      <c r="R83" t="s">
        <v>945</v>
      </c>
      <c r="S83" t="str">
        <f>_xlfn.CONCAT("""/src/index.html?canto=",VLOOKUP(E83,'Index Web'!A$4:N$253,13,FALSE),""", ")</f>
        <v xml:space="preserve">"/src/index.html?canto=enmediodeaquelgentio", </v>
      </c>
      <c r="T83" t="str">
        <f>T82</f>
        <v xml:space="preserve">visible: "", </v>
      </c>
      <c r="U83" t="str">
        <f>_xlfn.CONCAT("cejilla: """,C83,""", ")</f>
        <v xml:space="preserve">cejilla: "", </v>
      </c>
      <c r="V83" t="str">
        <f>_xlfn.CONCAT("acorde: """,D83,""", ")</f>
        <v xml:space="preserve">acorde: "La", </v>
      </c>
      <c r="W83" t="s">
        <v>2012</v>
      </c>
      <c r="X83" t="s">
        <v>2013</v>
      </c>
      <c r="Y83" t="str">
        <f>_xlfn.CONCAT("""",VLOOKUP(E83,'Index Web'!A$4:O$253,15,FALSE)," ",VLOOKUP(E83,'Index Web'!A$4:O$253,13,FALSE),"""","},")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Z83" t="str">
        <f>_xlfn.CONCAT(F83:Y83)</f>
        <v>{idi:81, id:"enmediodeaquelgentio", title: "En medio de aquel gentío", subtitle: "Lucas 8,42b-48", category: "Precatecumenado", moments: ["Comunión","Nuevo Testamento"], url: "/src/index.html?canto=enmediodeaquelgentio", visible: "", cejilla: "", acorde: "La", scrollConfig: {"mobile": { "v": 25, "i": 1 },"tablet": { "v": 25, "i": 1 },"desktop": { "v": 7, "i": 1 },"desktopsmall": { "v": 7, "i": 1 }},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4" spans="2:26" x14ac:dyDescent="0.25">
      <c r="B84" s="51" t="s">
        <v>545</v>
      </c>
      <c r="C84" s="1" t="str">
        <f>IF(VLOOKUP(Table4[[#This Row],[Cantounido]],Table7[],3,FALSE)=0,"",VLOOKUP(Table4[[#This Row],[Cantounido]],Table7[],3,FALSE))</f>
        <v/>
      </c>
      <c r="D84" s="44" t="str">
        <f>IF(VLOOKUP(Table4[[#This Row],[Cantounido]],Table7[],4,FALSE)=0,"",VLOOKUP(Table4[[#This Row],[Cantounido]],Table7[],4,FALSE))</f>
        <v>La</v>
      </c>
      <c r="E84" s="26">
        <v>65</v>
      </c>
      <c r="F84" t="str">
        <f>F83</f>
        <v>{idi:</v>
      </c>
      <c r="G84" t="str">
        <f>_xlfn.CONCAT(VLOOKUP(E84,'Index Web'!A$4:L$253,2,FALSE),", ")</f>
        <v xml:space="preserve">82, </v>
      </c>
      <c r="H84" t="str">
        <f>H83</f>
        <v>id:</v>
      </c>
      <c r="I84" t="str">
        <f>_xlfn.CONCAT("""",VLOOKUP(E84,'Index Web'!A$4:O$253,13,FALSE),"""",", ")</f>
        <v xml:space="preserve">"enunanocheoscura", </v>
      </c>
      <c r="J84" t="s">
        <v>2016</v>
      </c>
      <c r="K84" t="str">
        <f>_xlfn.CONCAT("""",VLOOKUP(E84,'Index Web'!A$4:L$253,3,FALSE),"""")</f>
        <v>"En una noche oscura"</v>
      </c>
      <c r="L84" t="s">
        <v>942</v>
      </c>
      <c r="M84" t="str">
        <f>_xlfn.CONCAT("""",VLOOKUP(E84,'Index Web'!A$4:L$253,4,FALSE),"""")</f>
        <v>"Subida al Monte Carmelo – San Juan de la Cruz"</v>
      </c>
      <c r="N84" t="s">
        <v>943</v>
      </c>
      <c r="O84" t="str">
        <f>_xlfn.CONCAT("""",VLOOKUP(E84,'Index Web'!A$4:L$253,5,FALSE),"""")</f>
        <v>"Precatecumenado"</v>
      </c>
      <c r="P84" t="s">
        <v>944</v>
      </c>
      <c r="Q84" t="str">
        <f>_xlfn.CONCAT("[",VLOOKUP(E84,'Index Web'!A$4:N$253,14,FALSE),"]")</f>
        <v>["Comunión","Nuevo Testamento"]</v>
      </c>
      <c r="R84" t="s">
        <v>945</v>
      </c>
      <c r="S84" t="str">
        <f>_xlfn.CONCAT("""/src/index.html?canto=",VLOOKUP(E84,'Index Web'!A$4:N$253,13,FALSE),""", ")</f>
        <v xml:space="preserve">"/src/index.html?canto=enunanocheoscura", </v>
      </c>
      <c r="T84" t="str">
        <f>T83</f>
        <v xml:space="preserve">visible: "", </v>
      </c>
      <c r="U84" t="str">
        <f>_xlfn.CONCAT("cejilla: """,C84,""", ")</f>
        <v xml:space="preserve">cejilla: "", </v>
      </c>
      <c r="V84" t="str">
        <f>_xlfn.CONCAT("acorde: """,D84,""", ")</f>
        <v xml:space="preserve">acorde: "La", </v>
      </c>
      <c r="W84" t="s">
        <v>2012</v>
      </c>
      <c r="X84" t="s">
        <v>2013</v>
      </c>
      <c r="Y84" t="str">
        <f>_xlfn.CONCAT("""",VLOOKUP(E84,'Index Web'!A$4:O$253,15,FALSE)," ",VLOOKUP(E84,'Index Web'!A$4:O$253,13,FALSE),"""","},")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Z84" t="str">
        <f>_xlfn.CONCAT(F84:Y84)</f>
        <v>{idi:82, id:"enunanocheoscura", title: "En una noche oscura", subtitle: "Subida al Monte Carmelo – San Juan de la Cruz", category: "Precatecumenado", moments: ["Comunión","Nuevo Testamento"], url: "/src/index.html?canto=enunanocheoscura", visible: "", cejilla: "", acorde: "La", scrollConfig: {"mobile": { "v": 25, "i": 1 },"tablet": { "v": 25, "i": 1 },"desktop": { "v": 7, "i": 1 },"desktopsmall": { "v": 7, "i": 1 }},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5" spans="2:26" x14ac:dyDescent="0.25">
      <c r="B85" s="50" t="s">
        <v>546</v>
      </c>
      <c r="C85" s="1">
        <f>IF(VLOOKUP(Table4[[#This Row],[Cantounido]],Table7[],3,FALSE)=0,"",VLOOKUP(Table4[[#This Row],[Cantounido]],Table7[],3,FALSE))</f>
        <v>3</v>
      </c>
      <c r="D85" s="44" t="str">
        <f>IF(VLOOKUP(Table4[[#This Row],[Cantounido]],Table7[],4,FALSE)=0,"",VLOOKUP(Table4[[#This Row],[Cantounido]],Table7[],4,FALSE))</f>
        <v>Re</v>
      </c>
      <c r="E85" s="25">
        <v>66</v>
      </c>
      <c r="F85" t="str">
        <f>F84</f>
        <v>{idi:</v>
      </c>
      <c r="G85" t="str">
        <f>_xlfn.CONCAT(VLOOKUP(E85,'Index Web'!A$4:L$253,2,FALSE),", ")</f>
        <v xml:space="preserve">83, </v>
      </c>
      <c r="H85" t="str">
        <f>H84</f>
        <v>id:</v>
      </c>
      <c r="I85" t="str">
        <f>_xlfn.CONCAT("""",VLOOKUP(E85,'Index Web'!A$4:O$253,13,FALSE),"""",", ")</f>
        <v xml:space="preserve">"eresdignodetomarellibro", </v>
      </c>
      <c r="J85" t="s">
        <v>2016</v>
      </c>
      <c r="K85" t="str">
        <f>_xlfn.CONCAT("""",VLOOKUP(E85,'Index Web'!A$4:L$253,3,FALSE),"""")</f>
        <v>"Eres digno de tomar el libro"</v>
      </c>
      <c r="L85" t="s">
        <v>942</v>
      </c>
      <c r="M85" t="str">
        <f>_xlfn.CONCAT("""",VLOOKUP(E85,'Index Web'!A$4:L$253,4,FALSE),"""")</f>
        <v>"Apocalipsis 5,9ss"</v>
      </c>
      <c r="N85" t="s">
        <v>943</v>
      </c>
      <c r="O85" t="str">
        <f>_xlfn.CONCAT("""",VLOOKUP(E85,'Index Web'!A$4:L$253,5,FALSE),"""")</f>
        <v>"Precatecumenado"</v>
      </c>
      <c r="P85" t="s">
        <v>944</v>
      </c>
      <c r="Q85" t="str">
        <f>_xlfn.CONCAT("[",VLOOKUP(E85,'Index Web'!A$4:N$253,14,FALSE),"]")</f>
        <v>["Pascua","Pentecostés","Fracción Del Pan","Nuevo Testamento"]</v>
      </c>
      <c r="R85" t="s">
        <v>945</v>
      </c>
      <c r="S85" t="str">
        <f>_xlfn.CONCAT("""/src/index.html?canto=",VLOOKUP(E85,'Index Web'!A$4:N$253,13,FALSE),""", ")</f>
        <v xml:space="preserve">"/src/index.html?canto=eresdignodetomarellibro", </v>
      </c>
      <c r="T85" t="str">
        <f>T84</f>
        <v xml:space="preserve">visible: "", </v>
      </c>
      <c r="U85" t="str">
        <f>_xlfn.CONCAT("cejilla: """,C85,""", ")</f>
        <v xml:space="preserve">cejilla: "3", </v>
      </c>
      <c r="V85" t="str">
        <f>_xlfn.CONCAT("acorde: """,D85,""", ")</f>
        <v xml:space="preserve">acorde: "Re", </v>
      </c>
      <c r="W85" t="s">
        <v>2012</v>
      </c>
      <c r="X85" t="s">
        <v>2013</v>
      </c>
      <c r="Y85" t="str">
        <f>_xlfn.CONCAT("""",VLOOKUP(E85,'Index Web'!A$4:O$253,15,FALSE)," ",VLOOKUP(E85,'Index Web'!A$4:O$253,13,FALSE),"""","},")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Z85" t="str">
        <f>_xlfn.CONCAT(F85:Y85)</f>
        <v>{idi:83, id:"eresdignodetomarellibro", title: "Eres digno de tomar el libro", subtitle: "Apocalipsis 5,9ss", category: "Precatecumenado", moments: ["Pascua","Pentecostés","Fracción Del Pan","Nuevo Testamento"], url: "/src/index.html?canto=eresdignodetomarellibro", visible: "", cejilla: "3", acorde: "Re", scrollConfig: {"mobile": { "v": 25, "i": 1 },"tablet": { "v": 25, "i": 1 },"desktop": { "v": 7, "i": 1 },"desktopsmall": { "v": 7, "i": 1 }},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6" spans="2:26" x14ac:dyDescent="0.25">
      <c r="B86" s="51" t="s">
        <v>547</v>
      </c>
      <c r="C86" s="1" t="str">
        <f>IF(VLOOKUP(Table4[[#This Row],[Cantounido]],Table7[],3,FALSE)=0,"",VLOOKUP(Table4[[#This Row],[Cantounido]],Table7[],3,FALSE))</f>
        <v/>
      </c>
      <c r="D86" s="44" t="str">
        <f>IF(VLOOKUP(Table4[[#This Row],[Cantounido]],Table7[],4,FALSE)=0,"",VLOOKUP(Table4[[#This Row],[Cantounido]],Table7[],4,FALSE))</f>
        <v>Mi</v>
      </c>
      <c r="E86" s="26">
        <v>67</v>
      </c>
      <c r="F86" t="str">
        <f>F85</f>
        <v>{idi:</v>
      </c>
      <c r="G86" t="str">
        <f>_xlfn.CONCAT(VLOOKUP(E86,'Index Web'!A$4:L$253,2,FALSE),", ")</f>
        <v xml:space="preserve">84, </v>
      </c>
      <c r="H86" t="str">
        <f>H85</f>
        <v>id:</v>
      </c>
      <c r="I86" t="str">
        <f>_xlfn.CONCAT("""",VLOOKUP(E86,'Index Web'!A$4:O$253,13,FALSE),"""",", ")</f>
        <v xml:space="preserve">"ereshermoso", </v>
      </c>
      <c r="J86" t="s">
        <v>2016</v>
      </c>
      <c r="K86" t="str">
        <f>_xlfn.CONCAT("""",VLOOKUP(E86,'Index Web'!A$4:L$253,3,FALSE),"""")</f>
        <v>"Eres hermoso"</v>
      </c>
      <c r="L86" t="s">
        <v>942</v>
      </c>
      <c r="M86" t="str">
        <f>_xlfn.CONCAT("""",VLOOKUP(E86,'Index Web'!A$4:L$253,4,FALSE),"""")</f>
        <v>"Salmo 45 (44) "</v>
      </c>
      <c r="N86" t="s">
        <v>943</v>
      </c>
      <c r="O86" t="str">
        <f>_xlfn.CONCAT("""",VLOOKUP(E86,'Index Web'!A$4:L$253,5,FALSE),"""")</f>
        <v>"Precatecumenado"</v>
      </c>
      <c r="P86" t="s">
        <v>944</v>
      </c>
      <c r="Q86" t="str">
        <f>_xlfn.CONCAT("[",VLOOKUP(E86,'Index Web'!A$4:N$253,14,FALSE),"]")</f>
        <v>["Comunión","Final","Antiguo Testamento"]</v>
      </c>
      <c r="R86" t="s">
        <v>945</v>
      </c>
      <c r="S86" t="str">
        <f>_xlfn.CONCAT("""/src/index.html?canto=",VLOOKUP(E86,'Index Web'!A$4:N$253,13,FALSE),""", ")</f>
        <v xml:space="preserve">"/src/index.html?canto=ereshermoso", </v>
      </c>
      <c r="T86" t="str">
        <f>T85</f>
        <v xml:space="preserve">visible: "", </v>
      </c>
      <c r="U86" t="str">
        <f>_xlfn.CONCAT("cejilla: """,C86,""", ")</f>
        <v xml:space="preserve">cejilla: "", </v>
      </c>
      <c r="V86" t="str">
        <f>_xlfn.CONCAT("acorde: """,D86,""", ")</f>
        <v xml:space="preserve">acorde: "Mi", </v>
      </c>
      <c r="W86" t="s">
        <v>2012</v>
      </c>
      <c r="X86" t="s">
        <v>2013</v>
      </c>
      <c r="Y86" t="str">
        <f>_xlfn.CONCAT("""",VLOOKUP(E86,'Index Web'!A$4:O$253,15,FALSE)," ",VLOOKUP(E86,'Index Web'!A$4:O$253,13,FALSE),"""","},")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Z86" t="str">
        <f>_xlfn.CONCAT(F86:Y86)</f>
        <v>{idi:84, id:"ereshermoso", title: "Eres hermoso", subtitle: "Salmo 45 (44) ", category: "Precatecumenado", moments: ["Comunión","Final","Antiguo Testamento"], url: "/src/index.html?canto=ereshermoso", visible: "", cejilla: "", acorde: "Mi", scrollConfig: {"mobile": { "v": 25, "i": 1 },"tablet": { "v": 25, "i": 1 },"desktop": { "v": 7, "i": 1 },"desktopsmall": { "v": 7, "i": 1 }},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7" spans="2:26" x14ac:dyDescent="0.25">
      <c r="B87" s="50" t="s">
        <v>548</v>
      </c>
      <c r="C87" s="1" t="str">
        <f>IF(VLOOKUP(Table4[[#This Row],[Cantounido]],Table7[],3,FALSE)=0,"",VLOOKUP(Table4[[#This Row],[Cantounido]],Table7[],3,FALSE))</f>
        <v/>
      </c>
      <c r="D87" s="44" t="str">
        <f>IF(VLOOKUP(Table4[[#This Row],[Cantounido]],Table7[],4,FALSE)=0,"",VLOOKUP(Table4[[#This Row],[Cantounido]],Table7[],4,FALSE))</f>
        <v>La</v>
      </c>
      <c r="E87" s="25">
        <v>68</v>
      </c>
      <c r="F87" t="str">
        <f>F86</f>
        <v>{idi:</v>
      </c>
      <c r="G87" t="str">
        <f>_xlfn.CONCAT(VLOOKUP(E87,'Index Web'!A$4:L$253,2,FALSE),", ")</f>
        <v xml:space="preserve">85, </v>
      </c>
      <c r="H87" t="str">
        <f>H86</f>
        <v>id:</v>
      </c>
      <c r="I87" t="str">
        <f>_xlfn.CONCAT("""",VLOOKUP(E87,'Index Web'!A$4:O$253,13,FALSE),"""",", ")</f>
        <v xml:space="preserve">"espaciente", </v>
      </c>
      <c r="J87" t="s">
        <v>2016</v>
      </c>
      <c r="K87" t="str">
        <f>_xlfn.CONCAT("""",VLOOKUP(E87,'Index Web'!A$4:L$253,3,FALSE),"""")</f>
        <v>"Es paciente"</v>
      </c>
      <c r="L87" t="s">
        <v>942</v>
      </c>
      <c r="M87" t="str">
        <f>_xlfn.CONCAT("""",VLOOKUP(E87,'Index Web'!A$4:L$253,4,FALSE),"""")</f>
        <v>"Himno al Espíritu Santo (Kiko Argüello) "</v>
      </c>
      <c r="N87" t="s">
        <v>943</v>
      </c>
      <c r="O87" t="str">
        <f>_xlfn.CONCAT("""",VLOOKUP(E87,'Index Web'!A$4:L$253,5,FALSE),"""")</f>
        <v>"Precatecumenado"</v>
      </c>
      <c r="P87" t="s">
        <v>944</v>
      </c>
      <c r="Q87" t="str">
        <f>_xlfn.CONCAT("[",VLOOKUP(E87,'Index Web'!A$4:N$253,14,FALSE),"]")</f>
        <v>["Pascua","Pentecostés","Entrada","Comunión"]</v>
      </c>
      <c r="R87" t="s">
        <v>945</v>
      </c>
      <c r="S87" t="str">
        <f>_xlfn.CONCAT("""/src/index.html?canto=",VLOOKUP(E87,'Index Web'!A$4:N$253,13,FALSE),""", ")</f>
        <v xml:space="preserve">"/src/index.html?canto=espaciente", </v>
      </c>
      <c r="T87" t="str">
        <f>T86</f>
        <v xml:space="preserve">visible: "", </v>
      </c>
      <c r="U87" t="str">
        <f>_xlfn.CONCAT("cejilla: """,C87,""", ")</f>
        <v xml:space="preserve">cejilla: "", </v>
      </c>
      <c r="V87" t="str">
        <f>_xlfn.CONCAT("acorde: """,D87,""", ")</f>
        <v xml:space="preserve">acorde: "La", </v>
      </c>
      <c r="W87" t="s">
        <v>2012</v>
      </c>
      <c r="X87" t="s">
        <v>2013</v>
      </c>
      <c r="Y87" t="str">
        <f>_xlfn.CONCAT("""",VLOOKUP(E87,'Index Web'!A$4:O$253,15,FALSE)," ",VLOOKUP(E87,'Index Web'!A$4:O$253,13,FALSE),"""","},")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Z87" t="str">
        <f>_xlfn.CONCAT(F87:Y87)</f>
        <v>{idi:85, id:"espaciente", title: "Es paciente", subtitle: "Himno al Espíritu Santo (Kiko Argüello) ", category: "Precatecumenado", moments: ["Pascua","Pentecostés","Entrada","Comunión"], url: "/src/index.html?canto=espaciente", visible: "", cejilla: "", acorde: "La", scrollConfig: {"mobile": { "v": 25, "i": 1 },"tablet": { "v": 25, "i": 1 },"desktop": { "v": 7, "i": 1 },"desktopsmall": { "v": 7, "i": 1 }},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8" spans="2:26" x14ac:dyDescent="0.25">
      <c r="B88" s="51" t="s">
        <v>2106</v>
      </c>
      <c r="C88" s="1" t="str">
        <f>IF(VLOOKUP(Table4[[#This Row],[Cantounido]],Table7[],3,FALSE)=0,"",VLOOKUP(Table4[[#This Row],[Cantounido]],Table7[],3,FALSE))</f>
        <v/>
      </c>
      <c r="D88" s="44" t="str">
        <f>IF(VLOOKUP(Table4[[#This Row],[Cantounido]],Table7[],4,FALSE)=0,"",VLOOKUP(Table4[[#This Row],[Cantounido]],Table7[],4,FALSE))</f>
        <v>La</v>
      </c>
      <c r="E88" s="26">
        <v>69</v>
      </c>
      <c r="F88" t="str">
        <f>F87</f>
        <v>{idi:</v>
      </c>
      <c r="G88" t="str">
        <f>_xlfn.CONCAT(VLOOKUP(E88,'Index Web'!A$4:L$253,2,FALSE),", ")</f>
        <v xml:space="preserve">86, </v>
      </c>
      <c r="H88" t="str">
        <f>H87</f>
        <v>id:</v>
      </c>
      <c r="I88" t="str">
        <f>_xlfn.CONCAT("""",VLOOKUP(E88,'Index Web'!A$4:O$253,13,FALSE),"""",", ")</f>
        <v xml:space="preserve">"escondemeenloocultodetutienda", </v>
      </c>
      <c r="J88" t="s">
        <v>2016</v>
      </c>
      <c r="K88" t="str">
        <f>_xlfn.CONCAT("""",VLOOKUP(E88,'Index Web'!A$4:L$253,3,FALSE),"""")</f>
        <v>"Escóndeme en lo oculto de tu tienda"</v>
      </c>
      <c r="L88" t="s">
        <v>942</v>
      </c>
      <c r="M88" t="str">
        <f>_xlfn.CONCAT("""",VLOOKUP(E88,'Index Web'!A$4:L$253,4,FALSE),"""")</f>
        <v>"Salmo 27 (26)"</v>
      </c>
      <c r="N88" t="s">
        <v>943</v>
      </c>
      <c r="O88" t="str">
        <f>_xlfn.CONCAT("""",VLOOKUP(E88,'Index Web'!A$4:L$253,5,FALSE),"""")</f>
        <v>"Precatecumenado"</v>
      </c>
      <c r="P88" t="s">
        <v>944</v>
      </c>
      <c r="Q88" t="str">
        <f>_xlfn.CONCAT("[",VLOOKUP(E88,'Index Web'!A$4:N$253,14,FALSE),"]")</f>
        <v>["Antiguo Testamento"]</v>
      </c>
      <c r="R88" t="s">
        <v>945</v>
      </c>
      <c r="S88" t="str">
        <f>_xlfn.CONCAT("""/src/index.html?canto=",VLOOKUP(E88,'Index Web'!A$4:N$253,13,FALSE),""", ")</f>
        <v xml:space="preserve">"/src/index.html?canto=escondemeenloocultodetutienda", </v>
      </c>
      <c r="T88" t="str">
        <f>T87</f>
        <v xml:space="preserve">visible: "", </v>
      </c>
      <c r="U88" t="str">
        <f>_xlfn.CONCAT("cejilla: """,C88,""", ")</f>
        <v xml:space="preserve">cejilla: "", </v>
      </c>
      <c r="V88" t="str">
        <f>_xlfn.CONCAT("acorde: """,D88,""", ")</f>
        <v xml:space="preserve">acorde: "La", </v>
      </c>
      <c r="W88" t="s">
        <v>2012</v>
      </c>
      <c r="X88" t="s">
        <v>2013</v>
      </c>
      <c r="Y88" t="str">
        <f>_xlfn.CONCAT("""",VLOOKUP(E88,'Index Web'!A$4:O$253,15,FALSE)," ",VLOOKUP(E88,'Index Web'!A$4:O$253,13,FALSE),"""","},")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Z88" t="str">
        <f>_xlfn.CONCAT(F88:Y88)</f>
        <v>{idi:86, id:"escondemeenloocultodetutienda", title: "Escóndeme en lo oculto de tu tienda", subtitle: "Salmo 27 (26)", category: "Precatecumenado", moments: ["Antiguo Testamento"], url: "/src/index.html?canto=escondemeenloocultodetutienda", visible: "", cejilla: "", acorde: "La", scrollConfig: {"mobile": { "v": 25, "i": 1 },"tablet": { "v": 25, "i": 1 },"desktop": { "v": 7, "i": 1 },"desktopsmall": { "v": 7, "i": 1 }},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9" spans="2:26" x14ac:dyDescent="0.25">
      <c r="B89" s="50" t="s">
        <v>549</v>
      </c>
      <c r="C89" s="1" t="str">
        <f>IF(VLOOKUP(Table4[[#This Row],[Cantounido]],Table7[],3,FALSE)=0,"",VLOOKUP(Table4[[#This Row],[Cantounido]],Table7[],3,FALSE))</f>
        <v/>
      </c>
      <c r="D89" s="44" t="str">
        <f>IF(VLOOKUP(Table4[[#This Row],[Cantounido]],Table7[],4,FALSE)=0,"",VLOOKUP(Table4[[#This Row],[Cantounido]],Table7[],4,FALSE))</f>
        <v>La 7</v>
      </c>
      <c r="E89" s="25">
        <v>70</v>
      </c>
      <c r="F89" t="str">
        <f>F88</f>
        <v>{idi:</v>
      </c>
      <c r="G89" t="str">
        <f>_xlfn.CONCAT(VLOOKUP(E89,'Index Web'!A$4:L$253,2,FALSE),", ")</f>
        <v xml:space="preserve">87, </v>
      </c>
      <c r="H89" t="str">
        <f>H88</f>
        <v>id:</v>
      </c>
      <c r="I89" t="str">
        <f>_xlfn.CONCAT("""",VLOOKUP(E89,'Index Web'!A$4:O$253,13,FALSE),"""",", ")</f>
        <v xml:space="preserve">"escuchadislaslejanas", </v>
      </c>
      <c r="J89" t="s">
        <v>2016</v>
      </c>
      <c r="K89" t="str">
        <f>_xlfn.CONCAT("""",VLOOKUP(E89,'Index Web'!A$4:L$253,3,FALSE),"""")</f>
        <v>"Escuchad, islas lejanas"</v>
      </c>
      <c r="L89" t="s">
        <v>942</v>
      </c>
      <c r="M89" t="str">
        <f>_xlfn.CONCAT("""",VLOOKUP(E89,'Index Web'!A$4:L$253,4,FALSE),"""")</f>
        <v>"Isaias 49,1-16 - Segundo canto de Siervo de Yahveh"</v>
      </c>
      <c r="N89" t="s">
        <v>943</v>
      </c>
      <c r="O89" t="str">
        <f>_xlfn.CONCAT("""",VLOOKUP(E89,'Index Web'!A$4:L$253,5,FALSE),"""")</f>
        <v>"Precatecumenado"</v>
      </c>
      <c r="P89" t="s">
        <v>944</v>
      </c>
      <c r="Q89" t="str">
        <f>_xlfn.CONCAT("[",VLOOKUP(E89,'Index Web'!A$4:N$253,14,FALSE),"]")</f>
        <v>["Adviento","Navidad","Entrada","Comunión","Antiguo Testamento"]</v>
      </c>
      <c r="R89" t="s">
        <v>945</v>
      </c>
      <c r="S89" t="str">
        <f>_xlfn.CONCAT("""/src/index.html?canto=",VLOOKUP(E89,'Index Web'!A$4:N$253,13,FALSE),""", ")</f>
        <v xml:space="preserve">"/src/index.html?canto=escuchadislaslejanas", </v>
      </c>
      <c r="T89" t="str">
        <f>T88</f>
        <v xml:space="preserve">visible: "", </v>
      </c>
      <c r="U89" t="str">
        <f>_xlfn.CONCAT("cejilla: """,C89,""", ")</f>
        <v xml:space="preserve">cejilla: "", </v>
      </c>
      <c r="V89" t="str">
        <f>_xlfn.CONCAT("acorde: """,D89,""", ")</f>
        <v xml:space="preserve">acorde: "La 7", </v>
      </c>
      <c r="W89" t="s">
        <v>2012</v>
      </c>
      <c r="X89" t="s">
        <v>2013</v>
      </c>
      <c r="Y89" t="str">
        <f>_xlfn.CONCAT("""",VLOOKUP(E89,'Index Web'!A$4:O$253,15,FALSE)," ",VLOOKUP(E89,'Index Web'!A$4:O$253,13,FALSE),"""","},")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Z89" t="str">
        <f>_xlfn.CONCAT(F89:Y89)</f>
        <v>{idi:87, id:"escuchadislaslejanas", title: "Escuchad, islas lejanas", subtitle: "Isaias 49,1-16 - Segundo canto de Siervo de Yahveh", category: "Precatecumenado", moments: ["Adviento","Navidad","Entrada","Comunión","Antiguo Testamento"], url: "/src/index.html?canto=escuchadislaslejanas", visible: "", cejilla: "", acorde: "La 7", scrollConfig: {"mobile": { "v": 25, "i": 1 },"tablet": { "v": 25, "i": 1 },"desktop": { "v": 7, "i": 1 },"desktopsmall": { "v": 7, "i": 1 }},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90" spans="2:26" x14ac:dyDescent="0.25">
      <c r="B90" s="51" t="s">
        <v>2060</v>
      </c>
      <c r="C90" s="1" t="str">
        <f>IF(VLOOKUP(Table4[[#This Row],[Cantounido]],Table7[],3,FALSE)=0,"",VLOOKUP(Table4[[#This Row],[Cantounido]],Table7[],3,FALSE))</f>
        <v/>
      </c>
      <c r="D90" s="44" t="str">
        <f>IF(VLOOKUP(Table4[[#This Row],[Cantounido]],Table7[],4,FALSE)=0,"",VLOOKUP(Table4[[#This Row],[Cantounido]],Table7[],4,FALSE))</f>
        <v>La</v>
      </c>
      <c r="E90" s="26">
        <v>71</v>
      </c>
      <c r="F90" t="str">
        <f>F89</f>
        <v>{idi:</v>
      </c>
      <c r="G90" t="str">
        <f>_xlfn.CONCAT(VLOOKUP(E90,'Index Web'!A$4:L$253,2,FALSE),", ")</f>
        <v xml:space="preserve">88, </v>
      </c>
      <c r="H90" t="str">
        <f>H89</f>
        <v>id:</v>
      </c>
      <c r="I90" t="str">
        <f>_xlfn.CONCAT("""",VLOOKUP(E90,'Index Web'!A$4:O$253,13,FALSE),"""",", ")</f>
        <v xml:space="preserve">"esteeseldiaenqueactuo", </v>
      </c>
      <c r="J90" t="s">
        <v>2016</v>
      </c>
      <c r="K90" t="str">
        <f>_xlfn.CONCAT("""",VLOOKUP(E90,'Index Web'!A$4:L$253,3,FALSE),"""")</f>
        <v>"Este es el día en que actuó "</v>
      </c>
      <c r="L90" t="s">
        <v>942</v>
      </c>
      <c r="M90" t="str">
        <f>_xlfn.CONCAT("""",VLOOKUP(E90,'Index Web'!A$4:L$253,4,FALSE),"""")</f>
        <v>"Salmo 118 (117)"</v>
      </c>
      <c r="N90" t="s">
        <v>943</v>
      </c>
      <c r="O90" t="str">
        <f>_xlfn.CONCAT("""",VLOOKUP(E90,'Index Web'!A$4:L$253,5,FALSE),"""")</f>
        <v>"Precatecumenado"</v>
      </c>
      <c r="P90" t="s">
        <v>944</v>
      </c>
      <c r="Q90" t="str">
        <f>_xlfn.CONCAT("[",VLOOKUP(E90,'Index Web'!A$4:N$253,14,FALSE),"]")</f>
        <v>["Antiguo Testamento"]</v>
      </c>
      <c r="R90" t="s">
        <v>945</v>
      </c>
      <c r="S90" t="str">
        <f>_xlfn.CONCAT("""/src/index.html?canto=",VLOOKUP(E90,'Index Web'!A$4:N$253,13,FALSE),""", ")</f>
        <v xml:space="preserve">"/src/index.html?canto=esteeseldiaenqueactuo", </v>
      </c>
      <c r="T90" t="str">
        <f>T89</f>
        <v xml:space="preserve">visible: "", </v>
      </c>
      <c r="U90" t="str">
        <f>_xlfn.CONCAT("cejilla: """,C90,""", ")</f>
        <v xml:space="preserve">cejilla: "", </v>
      </c>
      <c r="V90" t="str">
        <f>_xlfn.CONCAT("acorde: """,D90,""", ")</f>
        <v xml:space="preserve">acorde: "La", </v>
      </c>
      <c r="W90" t="s">
        <v>2012</v>
      </c>
      <c r="X90" t="s">
        <v>2013</v>
      </c>
      <c r="Y90" t="str">
        <f>_xlfn.CONCAT("""",VLOOKUP(E90,'Index Web'!A$4:O$253,15,FALSE)," ",VLOOKUP(E90,'Index Web'!A$4:O$253,13,FALSE),"""","},")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Z90" t="str">
        <f>_xlfn.CONCAT(F90:Y90)</f>
        <v>{idi:88, id:"esteeseldiaenqueactuo", title: "Este es el día en que actuó ", subtitle: "Salmo 118 (117)", category: "Precatecumenado", moments: ["Antiguo Testamento"], url: "/src/index.html?canto=esteeseldiaenqueactuo", visible: "", cejilla: "", acorde: "La", scrollConfig: {"mobile": { "v": 25, "i": 1 },"tablet": { "v": 25, "i": 1 },"desktop": { "v": 7, "i": 1 },"desktopsmall": { "v": 7, "i": 1 }},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1" spans="2:26" x14ac:dyDescent="0.25">
      <c r="B91" s="50" t="s">
        <v>551</v>
      </c>
      <c r="C91" s="1" t="str">
        <f>IF(VLOOKUP(Table4[[#This Row],[Cantounido]],Table7[],3,FALSE)=0,"",VLOOKUP(Table4[[#This Row],[Cantounido]],Table7[],3,FALSE))</f>
        <v/>
      </c>
      <c r="D91" s="44" t="str">
        <f>IF(VLOOKUP(Table4[[#This Row],[Cantounido]],Table7[],4,FALSE)=0,"",VLOOKUP(Table4[[#This Row],[Cantounido]],Table7[],4,FALSE))</f>
        <v>La</v>
      </c>
      <c r="E91" s="25">
        <v>72</v>
      </c>
      <c r="F91" t="str">
        <f>F90</f>
        <v>{idi:</v>
      </c>
      <c r="G91" t="str">
        <f>_xlfn.CONCAT(VLOOKUP(E91,'Index Web'!A$4:L$253,2,FALSE),", ")</f>
        <v xml:space="preserve">89, </v>
      </c>
      <c r="H91" t="str">
        <f>H90</f>
        <v>id:</v>
      </c>
      <c r="I91" t="str">
        <f>_xlfn.CONCAT("""",VLOOKUP(E91,'Index Web'!A$4:O$253,13,FALSE),"""",", ")</f>
        <v xml:space="preserve">"esteeselmandamientomio", </v>
      </c>
      <c r="J91" t="s">
        <v>2016</v>
      </c>
      <c r="K91" t="str">
        <f>_xlfn.CONCAT("""",VLOOKUP(E91,'Index Web'!A$4:L$253,3,FALSE),"""")</f>
        <v>"Este es el mandamiento mío"</v>
      </c>
      <c r="L91" t="s">
        <v>942</v>
      </c>
      <c r="M91" t="str">
        <f>_xlfn.CONCAT("""",VLOOKUP(E91,'Index Web'!A$4:L$253,4,FALSE),"""")</f>
        <v>"Juan 15,12ss"</v>
      </c>
      <c r="N91" t="s">
        <v>943</v>
      </c>
      <c r="O91" t="str">
        <f>_xlfn.CONCAT("""",VLOOKUP(E91,'Index Web'!A$4:L$253,5,FALSE),"""")</f>
        <v>"Precatecumenado"</v>
      </c>
      <c r="P91" t="s">
        <v>944</v>
      </c>
      <c r="Q91" t="str">
        <f>_xlfn.CONCAT("[",VLOOKUP(E91,'Index Web'!A$4:N$253,14,FALSE),"]")</f>
        <v>["Pascua","Pentecostés","Nuevo Testamento"]</v>
      </c>
      <c r="R91" t="s">
        <v>945</v>
      </c>
      <c r="S91" t="str">
        <f>_xlfn.CONCAT("""/src/index.html?canto=",VLOOKUP(E91,'Index Web'!A$4:N$253,13,FALSE),""", ")</f>
        <v xml:space="preserve">"/src/index.html?canto=esteeselmandamientomio", </v>
      </c>
      <c r="T91" t="str">
        <f>T90</f>
        <v xml:space="preserve">visible: "", </v>
      </c>
      <c r="U91" t="str">
        <f>_xlfn.CONCAT("cejilla: """,C91,""", ")</f>
        <v xml:space="preserve">cejilla: "", </v>
      </c>
      <c r="V91" t="str">
        <f>_xlfn.CONCAT("acorde: """,D91,""", ")</f>
        <v xml:space="preserve">acorde: "La", </v>
      </c>
      <c r="W91" t="s">
        <v>2012</v>
      </c>
      <c r="X91" t="s">
        <v>2013</v>
      </c>
      <c r="Y91" t="str">
        <f>_xlfn.CONCAT("""",VLOOKUP(E91,'Index Web'!A$4:O$253,15,FALSE)," ",VLOOKUP(E91,'Index Web'!A$4:O$253,13,FALSE),"""","},")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Z91" t="str">
        <f>_xlfn.CONCAT(F91:Y91)</f>
        <v>{idi:89, id:"esteeselmandamientomio", title: "Este es el mandamiento mío", subtitle: "Juan 15,12ss", category: "Precatecumenado", moments: ["Pascua","Pentecostés","Nuevo Testamento"], url: "/src/index.html?canto=esteeselmandamientomio", visible: "", cejilla: "", acorde: "La", scrollConfig: {"mobile": { "v": 25, "i": 1 },"tablet": { "v": 25, "i": 1 },"desktop": { "v": 7, "i": 1 },"desktopsmall": { "v": 7, "i": 1 }},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2" spans="2:26" x14ac:dyDescent="0.25">
      <c r="B92" s="51" t="s">
        <v>552</v>
      </c>
      <c r="C92" s="1" t="str">
        <f>IF(VLOOKUP(Table4[[#This Row],[Cantounido]],Table7[],3,FALSE)=0,"",VLOOKUP(Table4[[#This Row],[Cantounido]],Table7[],3,FALSE))</f>
        <v/>
      </c>
      <c r="D92" s="44" t="str">
        <f>IF(VLOOKUP(Table4[[#This Row],[Cantounido]],Table7[],4,FALSE)=0,"",VLOOKUP(Table4[[#This Row],[Cantounido]],Table7[],4,FALSE))</f>
        <v>Re</v>
      </c>
      <c r="E92" s="26">
        <v>73</v>
      </c>
      <c r="F92" t="str">
        <f>F91</f>
        <v>{idi:</v>
      </c>
      <c r="G92" t="str">
        <f>_xlfn.CONCAT(VLOOKUP(E92,'Index Web'!A$4:L$253,2,FALSE),", ")</f>
        <v xml:space="preserve">90, </v>
      </c>
      <c r="H92" t="str">
        <f>H91</f>
        <v>id:</v>
      </c>
      <c r="I92" t="str">
        <f>_xlfn.CONCAT("""",VLOOKUP(E92,'Index Web'!A$4:O$253,13,FALSE),"""",", ")</f>
        <v xml:space="preserve">"evenushalomalejem", </v>
      </c>
      <c r="J92" t="s">
        <v>2016</v>
      </c>
      <c r="K92" t="str">
        <f>_xlfn.CONCAT("""",VLOOKUP(E92,'Index Web'!A$4:L$253,3,FALSE),"""")</f>
        <v>"Evenu shalom alejem"</v>
      </c>
      <c r="L92" t="s">
        <v>942</v>
      </c>
      <c r="M92" t="str">
        <f>_xlfn.CONCAT("""",VLOOKUP(E92,'Index Web'!A$4:L$253,4,FALSE),"""")</f>
        <v>"Melodía hebraica"</v>
      </c>
      <c r="N92" t="s">
        <v>943</v>
      </c>
      <c r="O92" t="str">
        <f>_xlfn.CONCAT("""",VLOOKUP(E92,'Index Web'!A$4:L$253,5,FALSE),"""")</f>
        <v>"Precatecumenado"</v>
      </c>
      <c r="P92" t="s">
        <v>944</v>
      </c>
      <c r="Q92" t="str">
        <f>_xlfn.CONCAT("[",VLOOKUP(E92,'Index Web'!A$4:N$253,14,FALSE),"]")</f>
        <v>["Paz"]</v>
      </c>
      <c r="R92" t="s">
        <v>945</v>
      </c>
      <c r="S92" t="str">
        <f>_xlfn.CONCAT("""/src/index.html?canto=",VLOOKUP(E92,'Index Web'!A$4:N$253,13,FALSE),""", ")</f>
        <v xml:space="preserve">"/src/index.html?canto=evenushalomalejem", </v>
      </c>
      <c r="T92" t="str">
        <f>T91</f>
        <v xml:space="preserve">visible: "", </v>
      </c>
      <c r="U92" t="str">
        <f>_xlfn.CONCAT("cejilla: """,C92,""", ")</f>
        <v xml:space="preserve">cejilla: "", </v>
      </c>
      <c r="V92" t="str">
        <f>_xlfn.CONCAT("acorde: """,D92,""", ")</f>
        <v xml:space="preserve">acorde: "Re", </v>
      </c>
      <c r="W92" t="s">
        <v>2012</v>
      </c>
      <c r="X92" t="s">
        <v>2013</v>
      </c>
      <c r="Y92" t="str">
        <f>_xlfn.CONCAT("""",VLOOKUP(E92,'Index Web'!A$4:O$253,15,FALSE)," ",VLOOKUP(E92,'Index Web'!A$4:O$253,13,FALSE),"""","},")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Z92" t="str">
        <f>_xlfn.CONCAT(F92:Y92)</f>
        <v>{idi:90, id:"evenushalomalejem", title: "Evenu shalom alejem", subtitle: "Melodía hebraica", category: "Precatecumenado", moments: ["Paz"], url: "/src/index.html?canto=evenushalomalejem", visible: "", cejilla: "", acorde: "Re", scrollConfig: {"mobile": { "v": 25, "i": 1 },"tablet": { "v": 25, "i": 1 },"desktop": { "v": 7, "i": 1 },"desktopsmall": { "v": 7, "i": 1 }},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3" spans="2:26" x14ac:dyDescent="0.25">
      <c r="B93" s="50" t="s">
        <v>553</v>
      </c>
      <c r="C93" s="1" t="str">
        <f>IF(VLOOKUP(Table4[[#This Row],[Cantounido]],Table7[],3,FALSE)=0,"",VLOOKUP(Table4[[#This Row],[Cantounido]],Table7[],3,FALSE))</f>
        <v/>
      </c>
      <c r="D93" s="44" t="str">
        <f>IF(VLOOKUP(Table4[[#This Row],[Cantounido]],Table7[],4,FALSE)=0,"",VLOOKUP(Table4[[#This Row],[Cantounido]],Table7[],4,FALSE))</f>
        <v>Re</v>
      </c>
      <c r="E93" s="25">
        <v>74</v>
      </c>
      <c r="F93" t="str">
        <f>F92</f>
        <v>{idi:</v>
      </c>
      <c r="G93" t="str">
        <f>_xlfn.CONCAT(VLOOKUP(E93,'Index Web'!A$4:L$253,2,FALSE),", ")</f>
        <v xml:space="preserve">91, </v>
      </c>
      <c r="H93" t="str">
        <f>H92</f>
        <v>id:</v>
      </c>
      <c r="I93" t="str">
        <f>_xlfn.CONCAT("""",VLOOKUP(E93,'Index Web'!A$4:O$253,13,FALSE),"""",", ")</f>
        <v xml:space="preserve">"extiendomismanos", </v>
      </c>
      <c r="J93" t="s">
        <v>2016</v>
      </c>
      <c r="K93" t="str">
        <f>_xlfn.CONCAT("""",VLOOKUP(E93,'Index Web'!A$4:L$253,3,FALSE),"""")</f>
        <v>"Extiendo mis manos"</v>
      </c>
      <c r="L93" t="s">
        <v>942</v>
      </c>
      <c r="M93" t="str">
        <f>_xlfn.CONCAT("""",VLOOKUP(E93,'Index Web'!A$4:L$253,4,FALSE),"""")</f>
        <v>"Oda XXVII de Salomón"</v>
      </c>
      <c r="N93" t="s">
        <v>943</v>
      </c>
      <c r="O93" t="str">
        <f>_xlfn.CONCAT("""",VLOOKUP(E93,'Index Web'!A$4:L$253,5,FALSE),"""")</f>
        <v>"Precatecumenado"</v>
      </c>
      <c r="P93" t="s">
        <v>944</v>
      </c>
      <c r="Q93" t="str">
        <f>_xlfn.CONCAT("[",VLOOKUP(E93,'Index Web'!A$4:N$253,14,FALSE),"]")</f>
        <v>["Adviento","Navidad","Cuaresma","Fracción Del Pan"]</v>
      </c>
      <c r="R93" t="s">
        <v>945</v>
      </c>
      <c r="S93" t="str">
        <f>_xlfn.CONCAT("""/src/index.html?canto=",VLOOKUP(E93,'Index Web'!A$4:N$253,13,FALSE),""", ")</f>
        <v xml:space="preserve">"/src/index.html?canto=extiendomismanos", </v>
      </c>
      <c r="T93" t="str">
        <f>T92</f>
        <v xml:space="preserve">visible: "", </v>
      </c>
      <c r="U93" t="str">
        <f>_xlfn.CONCAT("cejilla: """,C93,""", ")</f>
        <v xml:space="preserve">cejilla: "", </v>
      </c>
      <c r="V93" t="str">
        <f>_xlfn.CONCAT("acorde: """,D93,""", ")</f>
        <v xml:space="preserve">acorde: "Re", </v>
      </c>
      <c r="W93" t="s">
        <v>2012</v>
      </c>
      <c r="X93" t="s">
        <v>2013</v>
      </c>
      <c r="Y93" t="str">
        <f>_xlfn.CONCAT("""",VLOOKUP(E93,'Index Web'!A$4:O$253,15,FALSE)," ",VLOOKUP(E93,'Index Web'!A$4:O$253,13,FALSE),"""","},")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Z93" t="str">
        <f>_xlfn.CONCAT(F93:Y93)</f>
        <v>{idi:91, id:"extiendomismanos", title: "Extiendo mis manos", subtitle: "Oda XXVII de Salomón", category: "Precatecumenado", moments: ["Adviento","Navidad","Cuaresma","Fracción Del Pan"], url: "/src/index.html?canto=extiendomismanos", visible: "", cejilla: "", acorde: "Re", scrollConfig: {"mobile": { "v": 25, "i": 1 },"tablet": { "v": 25, "i": 1 },"desktop": { "v": 7, "i": 1 },"desktopsmall": { "v": 7, "i": 1 }},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4" spans="2:26" x14ac:dyDescent="0.25">
      <c r="B94" s="51" t="s">
        <v>554</v>
      </c>
      <c r="C94" s="1" t="str">
        <f>IF(VLOOKUP(Table4[[#This Row],[Cantounido]],Table7[],3,FALSE)=0,"",VLOOKUP(Table4[[#This Row],[Cantounido]],Table7[],3,FALSE))</f>
        <v/>
      </c>
      <c r="D94" s="44" t="str">
        <f>IF(VLOOKUP(Table4[[#This Row],[Cantounido]],Table7[],4,FALSE)=0,"",VLOOKUP(Table4[[#This Row],[Cantounido]],Table7[],4,FALSE))</f>
        <v>Sol</v>
      </c>
      <c r="E94" s="26">
        <v>75</v>
      </c>
      <c r="F94" t="str">
        <f>F93</f>
        <v>{idi:</v>
      </c>
      <c r="G94" t="str">
        <f>_xlfn.CONCAT(VLOOKUP(E94,'Index Web'!A$4:L$253,2,FALSE),", ")</f>
        <v xml:space="preserve">92, </v>
      </c>
      <c r="H94" t="str">
        <f>H93</f>
        <v>id:</v>
      </c>
      <c r="I94" t="str">
        <f>_xlfn.CONCAT("""",VLOOKUP(E94,'Index Web'!A$4:O$253,13,FALSE),"""",", ")</f>
        <v xml:space="preserve">"exultadjustosenelsenor", </v>
      </c>
      <c r="J94" t="s">
        <v>2016</v>
      </c>
      <c r="K94" t="str">
        <f>_xlfn.CONCAT("""",VLOOKUP(E94,'Index Web'!A$4:L$253,3,FALSE),"""")</f>
        <v>"Exultad, justos, en el Señor"</v>
      </c>
      <c r="L94" t="s">
        <v>942</v>
      </c>
      <c r="M94" t="str">
        <f>_xlfn.CONCAT("""",VLOOKUP(E94,'Index Web'!A$4:L$253,4,FALSE),"""")</f>
        <v>"Salmo 33 (32)"</v>
      </c>
      <c r="N94" t="s">
        <v>943</v>
      </c>
      <c r="O94" t="str">
        <f>_xlfn.CONCAT("""",VLOOKUP(E94,'Index Web'!A$4:L$253,5,FALSE),"""")</f>
        <v>"Precatecumenado"</v>
      </c>
      <c r="P94" t="s">
        <v>944</v>
      </c>
      <c r="Q94" t="str">
        <f>_xlfn.CONCAT("[",VLOOKUP(E94,'Index Web'!A$4:N$253,14,FALSE),"]")</f>
        <v>["Pascua","Pentecostés","Comunión","Entrada","Antiguo Testamento"]</v>
      </c>
      <c r="R94" t="s">
        <v>945</v>
      </c>
      <c r="S94" t="str">
        <f>_xlfn.CONCAT("""/src/index.html?canto=",VLOOKUP(E94,'Index Web'!A$4:N$253,13,FALSE),""", ")</f>
        <v xml:space="preserve">"/src/index.html?canto=exultadjustosenelsenor", </v>
      </c>
      <c r="T94" t="str">
        <f>T93</f>
        <v xml:space="preserve">visible: "", </v>
      </c>
      <c r="U94" t="str">
        <f>_xlfn.CONCAT("cejilla: """,C94,""", ")</f>
        <v xml:space="preserve">cejilla: "", </v>
      </c>
      <c r="V94" t="str">
        <f>_xlfn.CONCAT("acorde: """,D94,""", ")</f>
        <v xml:space="preserve">acorde: "Sol", </v>
      </c>
      <c r="W94" t="s">
        <v>2012</v>
      </c>
      <c r="X94" t="s">
        <v>2013</v>
      </c>
      <c r="Y94" t="str">
        <f>_xlfn.CONCAT("""",VLOOKUP(E94,'Index Web'!A$4:O$253,15,FALSE)," ",VLOOKUP(E94,'Index Web'!A$4:O$253,13,FALSE),"""","},")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Z94" t="str">
        <f>_xlfn.CONCAT(F94:Y94)</f>
        <v>{idi:92, id:"exultadjustosenelsenor", title: "Exultad, justos, en el Señor", subtitle: "Salmo 33 (32)", category: "Precatecumenado", moments: ["Pascua","Pentecostés","Comunión","Entrada","Antiguo Testamento"], url: "/src/index.html?canto=exultadjustosenelsenor", visible: "", cejilla: "", acorde: "Sol", scrollConfig: {"mobile": { "v": 25, "i": 1 },"tablet": { "v": 25, "i": 1 },"desktop": { "v": 7, "i": 1 },"desktopsmall": { "v": 7, "i": 1 }},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5" spans="2:26" x14ac:dyDescent="0.25">
      <c r="B95" s="50" t="s">
        <v>555</v>
      </c>
      <c r="C95" s="1" t="str">
        <f>IF(VLOOKUP(Table4[[#This Row],[Cantounido]],Table7[],3,FALSE)=0,"",VLOOKUP(Table4[[#This Row],[Cantounido]],Table7[],3,FALSE))</f>
        <v/>
      </c>
      <c r="D95" s="44" t="str">
        <f>IF(VLOOKUP(Table4[[#This Row],[Cantounido]],Table7[],4,FALSE)=0,"",VLOOKUP(Table4[[#This Row],[Cantounido]],Table7[],4,FALSE))</f>
        <v>La</v>
      </c>
      <c r="E95" s="25">
        <v>76</v>
      </c>
      <c r="F95" t="str">
        <f>F94</f>
        <v>{idi:</v>
      </c>
      <c r="G95" t="str">
        <f>_xlfn.CONCAT(VLOOKUP(E95,'Index Web'!A$4:L$253,2,FALSE),", ")</f>
        <v xml:space="preserve">93, </v>
      </c>
      <c r="H95" t="str">
        <f>H94</f>
        <v>id:</v>
      </c>
      <c r="I95" t="str">
        <f>_xlfn.CONCAT("""",VLOOKUP(E95,'Index Web'!A$4:O$253,13,FALSE),"""",", ")</f>
        <v xml:space="preserve">"felicidadparaelhombre", </v>
      </c>
      <c r="J95" t="s">
        <v>2016</v>
      </c>
      <c r="K95" t="str">
        <f>_xlfn.CONCAT("""",VLOOKUP(E95,'Index Web'!A$4:L$253,3,FALSE),"""")</f>
        <v>"Felicidad para el hombre "</v>
      </c>
      <c r="L95" t="s">
        <v>942</v>
      </c>
      <c r="M95" t="str">
        <f>_xlfn.CONCAT("""",VLOOKUP(E95,'Index Web'!A$4:L$253,4,FALSE),"""")</f>
        <v>"Salmo 128 (127)"</v>
      </c>
      <c r="N95" t="s">
        <v>943</v>
      </c>
      <c r="O95" t="str">
        <f>_xlfn.CONCAT("""",VLOOKUP(E95,'Index Web'!A$4:L$253,5,FALSE),"""")</f>
        <v>"Precatecumenado"</v>
      </c>
      <c r="P95" t="s">
        <v>944</v>
      </c>
      <c r="Q95" t="str">
        <f>_xlfn.CONCAT("[",VLOOKUP(E95,'Index Web'!A$4:N$253,14,FALSE),"]")</f>
        <v>["Antiguo Testamento"]</v>
      </c>
      <c r="R95" t="s">
        <v>945</v>
      </c>
      <c r="S95" t="str">
        <f>_xlfn.CONCAT("""/src/index.html?canto=",VLOOKUP(E95,'Index Web'!A$4:N$253,13,FALSE),""", ")</f>
        <v xml:space="preserve">"/src/index.html?canto=felicidadparaelhombre", </v>
      </c>
      <c r="T95" t="str">
        <f>T94</f>
        <v xml:space="preserve">visible: "", </v>
      </c>
      <c r="U95" t="str">
        <f>_xlfn.CONCAT("cejilla: """,C95,""", ")</f>
        <v xml:space="preserve">cejilla: "", </v>
      </c>
      <c r="V95" t="str">
        <f>_xlfn.CONCAT("acorde: """,D95,""", ")</f>
        <v xml:space="preserve">acorde: "La", </v>
      </c>
      <c r="W95" t="s">
        <v>2012</v>
      </c>
      <c r="X95" t="s">
        <v>2013</v>
      </c>
      <c r="Y95" t="str">
        <f>_xlfn.CONCAT("""",VLOOKUP(E95,'Index Web'!A$4:O$253,15,FALSE)," ",VLOOKUP(E95,'Index Web'!A$4:O$253,13,FALSE),"""","},")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Z95" t="str">
        <f>_xlfn.CONCAT(F95:Y95)</f>
        <v>{idi:93, id:"felicidadparaelhombre", title: "Felicidad para el hombre ", subtitle: "Salmo 128 (127)", category: "Precatecumenado", moments: ["Antiguo Testamento"], url: "/src/index.html?canto=felicidadparaelhombre", visible: "", cejilla: "", acorde: "La", scrollConfig: {"mobile": { "v": 25, "i": 1 },"tablet": { "v": 25, "i": 1 },"desktop": { "v": 7, "i": 1 },"desktopsmall": { "v": 7, "i": 1 }},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6" spans="2:26" x14ac:dyDescent="0.25">
      <c r="B96" s="52" t="s">
        <v>662</v>
      </c>
      <c r="C96" s="1" t="str">
        <f>IF(VLOOKUP(Table4[[#This Row],[Cantounido]],Table7[],3,FALSE)=0,"",VLOOKUP(Table4[[#This Row],[Cantounido]],Table7[],3,FALSE))</f>
        <v/>
      </c>
      <c r="D96" s="44" t="str">
        <f>IF(VLOOKUP(Table4[[#This Row],[Cantounido]],Table7[],4,FALSE)=0,"",VLOOKUP(Table4[[#This Row],[Cantounido]],Table7[],4,FALSE))</f>
        <v>Re</v>
      </c>
      <c r="E96" s="27">
        <v>188</v>
      </c>
      <c r="F96" t="str">
        <f>F95</f>
        <v>{idi:</v>
      </c>
      <c r="G96" t="str">
        <f>_xlfn.CONCAT(VLOOKUP(E96,'Index Web'!A$4:L$253,2,FALSE),", ")</f>
        <v xml:space="preserve">94, </v>
      </c>
      <c r="H96" t="str">
        <f>H95</f>
        <v>id:</v>
      </c>
      <c r="I96" t="str">
        <f>_xlfn.CONCAT("""",VLOOKUP(E96,'Index Web'!A$4:O$253,13,FALSE),"""",", ")</f>
        <v xml:space="preserve">"gloriaadiosenloaltodelcielo", </v>
      </c>
      <c r="J96" t="s">
        <v>2016</v>
      </c>
      <c r="K96" t="str">
        <f>_xlfn.CONCAT("""",VLOOKUP(E96,'Index Web'!A$4:L$253,3,FALSE),"""")</f>
        <v>"Gloria a Dios en lo alto del cielo"</v>
      </c>
      <c r="L96" t="s">
        <v>942</v>
      </c>
      <c r="M96" t="str">
        <f>_xlfn.CONCAT("""",VLOOKUP(E96,'Index Web'!A$4:L$253,4,FALSE),"""")</f>
        <v>"Himno Litúrgico"</v>
      </c>
      <c r="N96" t="s">
        <v>943</v>
      </c>
      <c r="O96" t="str">
        <f>_xlfn.CONCAT("""",VLOOKUP(E96,'Index Web'!A$4:L$253,5,FALSE),"""")</f>
        <v>"Liturgia"</v>
      </c>
      <c r="P96" t="s">
        <v>944</v>
      </c>
      <c r="Q96" t="str">
        <f>_xlfn.CONCAT("[",VLOOKUP(E96,'Index Web'!A$4:N$253,14,FALSE),"]")</f>
        <v>["Navidad","Orinario","Pascua"]</v>
      </c>
      <c r="R96" t="s">
        <v>945</v>
      </c>
      <c r="S96" t="str">
        <f>_xlfn.CONCAT("""/src/index.html?canto=",VLOOKUP(E96,'Index Web'!A$4:N$253,13,FALSE),""", ")</f>
        <v xml:space="preserve">"/src/index.html?canto=gloriaadiosenloaltodelcielo", </v>
      </c>
      <c r="T96" t="str">
        <f>T95</f>
        <v xml:space="preserve">visible: "", </v>
      </c>
      <c r="U96" t="str">
        <f>_xlfn.CONCAT("cejilla: """,C96,""", ")</f>
        <v xml:space="preserve">cejilla: "", </v>
      </c>
      <c r="V96" t="str">
        <f>_xlfn.CONCAT("acorde: """,D96,""", ")</f>
        <v xml:space="preserve">acorde: "Re", </v>
      </c>
      <c r="W96" t="s">
        <v>2012</v>
      </c>
      <c r="X96" t="s">
        <v>2013</v>
      </c>
      <c r="Y96" t="str">
        <f>_xlfn.CONCAT("""",VLOOKUP(E96,'Index Web'!A$4:O$253,15,FALSE)," ",VLOOKUP(E96,'Index Web'!A$4:O$253,13,FALSE),"""","},")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Z96" t="str">
        <f>_xlfn.CONCAT(F96:Y96)</f>
        <v>{idi:94, id:"gloriaadiosenloaltodelcielo", title: "Gloria a Dios en lo alto del cielo", subtitle: "Himno Litúrgico", category: "Liturgia", moments: ["Navidad","Orinario","Pascua"], url: "/src/index.html?canto=gloriaadiosenloaltodelcielo", visible: "", cejilla: "", acorde: "Re", scrollConfig: {"mobile": { "v": 25, "i": 1 },"tablet": { "v": 25, "i": 1 },"desktop": { "v": 7, "i": 1 },"desktopsmall": { "v": 7, "i": 1 }},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7" spans="2:26" x14ac:dyDescent="0.25">
      <c r="B97" s="50" t="s">
        <v>556</v>
      </c>
      <c r="C97" s="1" t="str">
        <f>IF(VLOOKUP(Table4[[#This Row],[Cantounido]],Table7[],3,FALSE)=0,"",VLOOKUP(Table4[[#This Row],[Cantounido]],Table7[],3,FALSE))</f>
        <v/>
      </c>
      <c r="D97" s="44" t="str">
        <f>IF(VLOOKUP(Table4[[#This Row],[Cantounido]],Table7[],4,FALSE)=0,"",VLOOKUP(Table4[[#This Row],[Cantounido]],Table7[],4,FALSE))</f>
        <v>Mi</v>
      </c>
      <c r="E97" s="25">
        <v>77</v>
      </c>
      <c r="F97" t="str">
        <f>F96</f>
        <v>{idi:</v>
      </c>
      <c r="G97" t="str">
        <f>_xlfn.CONCAT(VLOOKUP(E97,'Index Web'!A$4:L$253,2,FALSE),", ")</f>
        <v xml:space="preserve">95, </v>
      </c>
      <c r="H97" t="str">
        <f>H96</f>
        <v>id:</v>
      </c>
      <c r="I97" t="str">
        <f>_xlfn.CONCAT("""",VLOOKUP(E97,'Index Web'!A$4:O$253,13,FALSE),"""",", ")</f>
        <v xml:space="preserve">"graciasayahveh", </v>
      </c>
      <c r="J97" t="s">
        <v>2016</v>
      </c>
      <c r="K97" t="str">
        <f>_xlfn.CONCAT("""",VLOOKUP(E97,'Index Web'!A$4:L$253,3,FALSE),"""")</f>
        <v>"Gracias a Yahveh"</v>
      </c>
      <c r="L97" t="s">
        <v>942</v>
      </c>
      <c r="M97" t="str">
        <f>_xlfn.CONCAT("""",VLOOKUP(E97,'Index Web'!A$4:L$253,4,FALSE),"""")</f>
        <v>"Salmo 136 (135) - Melodía hebraica"</v>
      </c>
      <c r="N97" t="s">
        <v>943</v>
      </c>
      <c r="O97" t="str">
        <f>_xlfn.CONCAT("""",VLOOKUP(E97,'Index Web'!A$4:L$253,5,FALSE),"""")</f>
        <v>"Precatecumenado"</v>
      </c>
      <c r="P97" t="s">
        <v>944</v>
      </c>
      <c r="Q97" t="str">
        <f>_xlfn.CONCAT("[",VLOOKUP(E97,'Index Web'!A$4:N$253,14,FALSE),"]")</f>
        <v>["Pascua","Pentecostés","Paz","Comunión","Final","Antiguo Testamento"]</v>
      </c>
      <c r="R97" t="s">
        <v>945</v>
      </c>
      <c r="S97" t="str">
        <f>_xlfn.CONCAT("""/src/index.html?canto=",VLOOKUP(E97,'Index Web'!A$4:N$253,13,FALSE),""", ")</f>
        <v xml:space="preserve">"/src/index.html?canto=graciasayahveh", </v>
      </c>
      <c r="T97" t="str">
        <f>T96</f>
        <v xml:space="preserve">visible: "", </v>
      </c>
      <c r="U97" t="str">
        <f>_xlfn.CONCAT("cejilla: """,C97,""", ")</f>
        <v xml:space="preserve">cejilla: "", </v>
      </c>
      <c r="V97" t="str">
        <f>_xlfn.CONCAT("acorde: """,D97,""", ")</f>
        <v xml:space="preserve">acorde: "Mi", </v>
      </c>
      <c r="W97" t="s">
        <v>2012</v>
      </c>
      <c r="X97" t="s">
        <v>2013</v>
      </c>
      <c r="Y97" t="str">
        <f>_xlfn.CONCAT("""",VLOOKUP(E97,'Index Web'!A$4:O$253,15,FALSE)," ",VLOOKUP(E97,'Index Web'!A$4:O$253,13,FALSE),"""","},")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Z97" t="str">
        <f>_xlfn.CONCAT(F97:Y97)</f>
        <v>{idi:95, id:"graciasayahveh", title: "Gracias a Yahveh", subtitle: "Salmo 136 (135) - Melodía hebraica", category: "Precatecumenado", moments: ["Pascua","Pentecostés","Paz","Comunión","Final","Antiguo Testamento"], url: "/src/index.html?canto=graciasayahveh", visible: "", cejilla: "", acorde: "Mi", scrollConfig: {"mobile": { "v": 25, "i": 1 },"tablet": { "v": 25, "i": 1 },"desktop": { "v": 7, "i": 1 },"desktopsmall": { "v": 7, "i": 1 }},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8" spans="2:26" x14ac:dyDescent="0.25">
      <c r="B98" s="51" t="s">
        <v>557</v>
      </c>
      <c r="C98" s="1" t="str">
        <f>IF(VLOOKUP(Table4[[#This Row],[Cantounido]],Table7[],3,FALSE)=0,"",VLOOKUP(Table4[[#This Row],[Cantounido]],Table7[],3,FALSE))</f>
        <v/>
      </c>
      <c r="D98" s="44" t="str">
        <f>IF(VLOOKUP(Table4[[#This Row],[Cantounido]],Table7[],4,FALSE)=0,"",VLOOKUP(Table4[[#This Row],[Cantounido]],Table7[],4,FALSE))</f>
        <v>La</v>
      </c>
      <c r="E98" s="26">
        <v>78</v>
      </c>
      <c r="F98" t="str">
        <f>F97</f>
        <v>{idi:</v>
      </c>
      <c r="G98" t="str">
        <f>_xlfn.CONCAT(VLOOKUP(E98,'Index Web'!A$4:L$253,2,FALSE),", ")</f>
        <v xml:space="preserve">96, </v>
      </c>
      <c r="H98" t="str">
        <f>H97</f>
        <v>id:</v>
      </c>
      <c r="I98" t="str">
        <f>_xlfn.CONCAT("""",VLOOKUP(E98,'Index Web'!A$4:O$253,13,FALSE),"""",", ")</f>
        <v xml:space="preserve">"gritadjubilosos", </v>
      </c>
      <c r="J98" t="s">
        <v>2016</v>
      </c>
      <c r="K98" t="str">
        <f>_xlfn.CONCAT("""",VLOOKUP(E98,'Index Web'!A$4:L$253,3,FALSE),"""")</f>
        <v>"Gritad jubilosos"</v>
      </c>
      <c r="L98" t="s">
        <v>942</v>
      </c>
      <c r="M98" t="str">
        <f>_xlfn.CONCAT("""",VLOOKUP(E98,'Index Web'!A$4:L$253,4,FALSE),"""")</f>
        <v>"Isaías 12,1ss"</v>
      </c>
      <c r="N98" t="s">
        <v>943</v>
      </c>
      <c r="O98" t="str">
        <f>_xlfn.CONCAT("""",VLOOKUP(E98,'Index Web'!A$4:L$253,5,FALSE),"""")</f>
        <v>"Precatecumenado"</v>
      </c>
      <c r="P98" t="s">
        <v>944</v>
      </c>
      <c r="Q98" t="str">
        <f>_xlfn.CONCAT("[",VLOOKUP(E98,'Index Web'!A$4:N$253,14,FALSE),"]")</f>
        <v>["Pascua","Pentecostés","Comunión","Final","Antiguo Testamento"]</v>
      </c>
      <c r="R98" t="s">
        <v>945</v>
      </c>
      <c r="S98" t="str">
        <f>_xlfn.CONCAT("""/src/index.html?canto=",VLOOKUP(E98,'Index Web'!A$4:N$253,13,FALSE),""", ")</f>
        <v xml:space="preserve">"/src/index.html?canto=gritadjubilosos", </v>
      </c>
      <c r="T98" t="str">
        <f>T97</f>
        <v xml:space="preserve">visible: "", </v>
      </c>
      <c r="U98" t="str">
        <f>_xlfn.CONCAT("cejilla: """,C98,""", ")</f>
        <v xml:space="preserve">cejilla: "", </v>
      </c>
      <c r="V98" t="str">
        <f>_xlfn.CONCAT("acorde: """,D98,""", ")</f>
        <v xml:space="preserve">acorde: "La", </v>
      </c>
      <c r="W98" t="s">
        <v>2012</v>
      </c>
      <c r="X98" t="s">
        <v>2013</v>
      </c>
      <c r="Y98" t="str">
        <f>_xlfn.CONCAT("""",VLOOKUP(E98,'Index Web'!A$4:O$253,15,FALSE)," ",VLOOKUP(E98,'Index Web'!A$4:O$253,13,FALSE),"""","},")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Z98" t="str">
        <f>_xlfn.CONCAT(F98:Y98)</f>
        <v>{idi:96, id:"gritadjubilosos", title: "Gritad jubilosos", subtitle: "Isaías 12,1ss", category: "Precatecumenado", moments: ["Pascua","Pentecostés","Comunión","Final","Antiguo Testamento"], url: "/src/index.html?canto=gritadjubilosos", visible: "", cejilla: "", acorde: "La", scrollConfig: {"mobile": { "v": 25, "i": 1 },"tablet": { "v": 25, "i": 1 },"desktop": { "v": 7, "i": 1 },"desktopsmall": { "v": 7, "i": 1 }},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9" spans="2:26" x14ac:dyDescent="0.25">
      <c r="B99" s="50" t="s">
        <v>558</v>
      </c>
      <c r="C99" s="1" t="str">
        <f>IF(VLOOKUP(Table4[[#This Row],[Cantounido]],Table7[],3,FALSE)=0,"",VLOOKUP(Table4[[#This Row],[Cantounido]],Table7[],3,FALSE))</f>
        <v/>
      </c>
      <c r="D99" s="44" t="str">
        <f>IF(VLOOKUP(Table4[[#This Row],[Cantounido]],Table7[],4,FALSE)=0,"",VLOOKUP(Table4[[#This Row],[Cantounido]],Table7[],4,FALSE))</f>
        <v>La</v>
      </c>
      <c r="E99" s="25">
        <v>79</v>
      </c>
      <c r="F99" t="str">
        <f>F98</f>
        <v>{idi:</v>
      </c>
      <c r="G99" t="str">
        <f>_xlfn.CONCAT(VLOOKUP(E99,'Index Web'!A$4:L$253,2,FALSE),", ")</f>
        <v xml:space="preserve">97, </v>
      </c>
      <c r="H99" t="str">
        <f>H98</f>
        <v>id:</v>
      </c>
      <c r="I99" t="str">
        <f>_xlfn.CONCAT("""",VLOOKUP(E99,'Index Web'!A$4:O$253,13,FALSE),"""",", ")</f>
        <v xml:space="preserve">"haciatimoradasanta", </v>
      </c>
      <c r="J99" t="s">
        <v>2016</v>
      </c>
      <c r="K99" t="str">
        <f>_xlfn.CONCAT("""",VLOOKUP(E99,'Index Web'!A$4:L$253,3,FALSE),"""")</f>
        <v>"Hacia ti, morada santa"</v>
      </c>
      <c r="L99" t="s">
        <v>942</v>
      </c>
      <c r="M99" t="str">
        <f>_xlfn.CONCAT("""",VLOOKUP(E99,'Index Web'!A$4:L$253,4,FALSE),"""")</f>
        <v>"Himno procesional eucarístico (Kiko Argüello)"</v>
      </c>
      <c r="N99" t="s">
        <v>943</v>
      </c>
      <c r="O99" t="str">
        <f>_xlfn.CONCAT("""",VLOOKUP(E99,'Index Web'!A$4:L$253,5,FALSE),"""")</f>
        <v>"Precatecumenado"</v>
      </c>
      <c r="P99" t="s">
        <v>944</v>
      </c>
      <c r="Q99" t="str">
        <f>_xlfn.CONCAT("[",VLOOKUP(E99,'Index Web'!A$4:N$253,14,FALSE),"]")</f>
        <v>["Entrada"]</v>
      </c>
      <c r="R99" t="s">
        <v>945</v>
      </c>
      <c r="S99" t="str">
        <f>_xlfn.CONCAT("""/src/index.html?canto=",VLOOKUP(E99,'Index Web'!A$4:N$253,13,FALSE),""", ")</f>
        <v xml:space="preserve">"/src/index.html?canto=haciatimoradasanta", </v>
      </c>
      <c r="T99" t="str">
        <f>T98</f>
        <v xml:space="preserve">visible: "", </v>
      </c>
      <c r="U99" t="str">
        <f>_xlfn.CONCAT("cejilla: """,C99,""", ")</f>
        <v xml:space="preserve">cejilla: "", </v>
      </c>
      <c r="V99" t="str">
        <f>_xlfn.CONCAT("acorde: """,D99,""", ")</f>
        <v xml:space="preserve">acorde: "La", </v>
      </c>
      <c r="W99" t="s">
        <v>2012</v>
      </c>
      <c r="X99" t="s">
        <v>2013</v>
      </c>
      <c r="Y99" t="str">
        <f>_xlfn.CONCAT("""",VLOOKUP(E99,'Index Web'!A$4:O$253,15,FALSE)," ",VLOOKUP(E99,'Index Web'!A$4:O$253,13,FALSE),"""","},")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Z99" t="str">
        <f>_xlfn.CONCAT(F99:Y99)</f>
        <v>{idi:97, id:"haciatimoradasanta", title: "Hacia ti, morada santa", subtitle: "Himno procesional eucarístico (Kiko Argüello)", category: "Precatecumenado", moments: ["Entrada"], url: "/src/index.html?canto=haciatimoradasanta", visible: "", cejilla: "", acorde: "La", scrollConfig: {"mobile": { "v": 25, "i": 1 },"tablet": { "v": 25, "i": 1 },"desktop": { "v": 7, "i": 1 },"desktopsmall": { "v": 7, "i": 1 }},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100" spans="2:26" x14ac:dyDescent="0.25">
      <c r="B100" s="51" t="s">
        <v>559</v>
      </c>
      <c r="C100" s="1" t="str">
        <f>IF(VLOOKUP(Table4[[#This Row],[Cantounido]],Table7[],3,FALSE)=0,"",VLOOKUP(Table4[[#This Row],[Cantounido]],Table7[],3,FALSE))</f>
        <v/>
      </c>
      <c r="D100" s="44" t="str">
        <f>IF(VLOOKUP(Table4[[#This Row],[Cantounido]],Table7[],4,FALSE)=0,"",VLOOKUP(Table4[[#This Row],[Cantounido]],Table7[],4,FALSE))</f>
        <v>La</v>
      </c>
      <c r="E100" s="26">
        <v>80</v>
      </c>
      <c r="F100" t="str">
        <f>F99</f>
        <v>{idi:</v>
      </c>
      <c r="G100" t="str">
        <f>_xlfn.CONCAT(VLOOKUP(E100,'Index Web'!A$4:L$253,2,FALSE),", ")</f>
        <v xml:space="preserve">98, </v>
      </c>
      <c r="H100" t="str">
        <f>H99</f>
        <v>id:</v>
      </c>
      <c r="I100" t="str">
        <f>_xlfn.CONCAT("""",VLOOKUP(E100,'Index Web'!A$4:O$253,13,FALSE),"""",", ")</f>
        <v xml:space="preserve">"hastacuando", </v>
      </c>
      <c r="J100" t="s">
        <v>2016</v>
      </c>
      <c r="K100" t="str">
        <f>_xlfn.CONCAT("""",VLOOKUP(E100,'Index Web'!A$4:L$253,3,FALSE),"""")</f>
        <v>"Hasta cuándo"</v>
      </c>
      <c r="L100" t="s">
        <v>942</v>
      </c>
      <c r="M100" t="str">
        <f>_xlfn.CONCAT("""",VLOOKUP(E100,'Index Web'!A$4:L$253,4,FALSE),"""")</f>
        <v>"Salmo 13 (12)"</v>
      </c>
      <c r="N100" t="s">
        <v>943</v>
      </c>
      <c r="O100" t="str">
        <f>_xlfn.CONCAT("""",VLOOKUP(E100,'Index Web'!A$4:L$253,5,FALSE),"""")</f>
        <v>"Precatecumenado"</v>
      </c>
      <c r="P100" t="s">
        <v>944</v>
      </c>
      <c r="Q100" t="str">
        <f>_xlfn.CONCAT("[",VLOOKUP(E100,'Index Web'!A$4:N$253,14,FALSE),"]")</f>
        <v>["Cuaresma","Antiguo Testamento"]</v>
      </c>
      <c r="R100" t="s">
        <v>945</v>
      </c>
      <c r="S100" t="str">
        <f>_xlfn.CONCAT("""/src/index.html?canto=",VLOOKUP(E100,'Index Web'!A$4:N$253,13,FALSE),""", ")</f>
        <v xml:space="preserve">"/src/index.html?canto=hastacuando", </v>
      </c>
      <c r="T100" t="str">
        <f>T99</f>
        <v xml:space="preserve">visible: "", </v>
      </c>
      <c r="U100" t="str">
        <f>_xlfn.CONCAT("cejilla: """,C100,""", ")</f>
        <v xml:space="preserve">cejilla: "", </v>
      </c>
      <c r="V100" t="str">
        <f>_xlfn.CONCAT("acorde: """,D100,""", ")</f>
        <v xml:space="preserve">acorde: "La", </v>
      </c>
      <c r="W100" t="s">
        <v>2012</v>
      </c>
      <c r="X100" t="s">
        <v>2013</v>
      </c>
      <c r="Y100" t="str">
        <f>_xlfn.CONCAT("""",VLOOKUP(E100,'Index Web'!A$4:O$253,15,FALSE)," ",VLOOKUP(E100,'Index Web'!A$4:O$253,13,FALSE),"""","},")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Z100" t="str">
        <f>_xlfn.CONCAT(F100:Y100)</f>
        <v>{idi:98, id:"hastacuando", title: "Hasta cuándo", subtitle: "Salmo 13 (12)", category: "Precatecumenado", moments: ["Cuaresma","Antiguo Testamento"], url: "/src/index.html?canto=hastacuando", visible: "", cejilla: "", acorde: "La", scrollConfig: {"mobile": { "v": 25, "i": 1 },"tablet": { "v": 25, "i": 1 },"desktop": { "v": 7, "i": 1 },"desktopsmall": { "v": 7, "i": 1 }},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1" spans="2:26" x14ac:dyDescent="0.25">
      <c r="B101" s="50" t="s">
        <v>560</v>
      </c>
      <c r="C101" s="1" t="str">
        <f>IF(VLOOKUP(Table4[[#This Row],[Cantounido]],Table7[],3,FALSE)=0,"",VLOOKUP(Table4[[#This Row],[Cantounido]],Table7[],3,FALSE))</f>
        <v/>
      </c>
      <c r="D101" s="44" t="str">
        <f>IF(VLOOKUP(Table4[[#This Row],[Cantounido]],Table7[],4,FALSE)=0,"",VLOOKUP(Table4[[#This Row],[Cantounido]],Table7[],4,FALSE))</f>
        <v>La</v>
      </c>
      <c r="E101" s="25">
        <v>81</v>
      </c>
      <c r="F101" t="str">
        <f>F100</f>
        <v>{idi:</v>
      </c>
      <c r="G101" t="str">
        <f>_xlfn.CONCAT(VLOOKUP(E101,'Index Web'!A$4:L$253,2,FALSE),", ")</f>
        <v xml:space="preserve">99, </v>
      </c>
      <c r="H101" t="str">
        <f>H100</f>
        <v>id:</v>
      </c>
      <c r="I101" t="str">
        <f>_xlfn.CONCAT("""",VLOOKUP(E101,'Index Web'!A$4:O$253,13,FALSE),"""",", ")</f>
        <v xml:space="preserve">"heaquimisiervo", </v>
      </c>
      <c r="J101" t="s">
        <v>2016</v>
      </c>
      <c r="K101" t="str">
        <f>_xlfn.CONCAT("""",VLOOKUP(E101,'Index Web'!A$4:L$253,3,FALSE),"""")</f>
        <v>"He aquí mi siervo"</v>
      </c>
      <c r="L101" t="s">
        <v>942</v>
      </c>
      <c r="M101" t="str">
        <f>_xlfn.CONCAT("""",VLOOKUP(E101,'Index Web'!A$4:L$253,4,FALSE),"""")</f>
        <v>"Isaías 42,1-4; Mateo 12,18-21 - Primer canto de Siervo de Yahveh"</v>
      </c>
      <c r="N101" t="s">
        <v>943</v>
      </c>
      <c r="O101" t="str">
        <f>_xlfn.CONCAT("""",VLOOKUP(E101,'Index Web'!A$4:L$253,5,FALSE),"""")</f>
        <v>"Precatecumenado"</v>
      </c>
      <c r="P101" t="s">
        <v>944</v>
      </c>
      <c r="Q101" t="str">
        <f>_xlfn.CONCAT("[",VLOOKUP(E101,'Index Web'!A$4:N$253,14,FALSE),"]")</f>
        <v>["Cuaresma","Fracción Del Pan","Antiguo Testamento"]</v>
      </c>
      <c r="R101" t="s">
        <v>945</v>
      </c>
      <c r="S101" t="str">
        <f>_xlfn.CONCAT("""/src/index.html?canto=",VLOOKUP(E101,'Index Web'!A$4:N$253,13,FALSE),""", ")</f>
        <v xml:space="preserve">"/src/index.html?canto=heaquimisiervo", </v>
      </c>
      <c r="T101" t="str">
        <f>T100</f>
        <v xml:space="preserve">visible: "", </v>
      </c>
      <c r="U101" t="str">
        <f>_xlfn.CONCAT("cejilla: """,C101,""", ")</f>
        <v xml:space="preserve">cejilla: "", </v>
      </c>
      <c r="V101" t="str">
        <f>_xlfn.CONCAT("acorde: """,D101,""", ")</f>
        <v xml:space="preserve">acorde: "La", </v>
      </c>
      <c r="W101" t="s">
        <v>2012</v>
      </c>
      <c r="X101" t="s">
        <v>2013</v>
      </c>
      <c r="Y101" t="str">
        <f>_xlfn.CONCAT("""",VLOOKUP(E101,'Index Web'!A$4:O$253,15,FALSE)," ",VLOOKUP(E101,'Index Web'!A$4:O$253,13,FALSE),"""","},")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Z101" t="str">
        <f>_xlfn.CONCAT(F101:Y101)</f>
        <v>{idi:99, id:"heaquimisiervo", title: "He aquí mi siervo", subtitle: "Isaías 42,1-4; Mateo 12,18-21 - Primer canto de Siervo de Yahveh", category: "Precatecumenado", moments: ["Cuaresma","Fracción Del Pan","Antiguo Testamento"], url: "/src/index.html?canto=heaquimisiervo", visible: "", cejilla: "", acorde: "La", scrollConfig: {"mobile": { "v": 25, "i": 1 },"tablet": { "v": 25, "i": 1 },"desktop": { "v": 7, "i": 1 },"desktopsmall": { "v": 7, "i": 1 }},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2" spans="2:26" x14ac:dyDescent="0.25">
      <c r="B102" s="57" t="s">
        <v>689</v>
      </c>
      <c r="C102" s="1" t="str">
        <f>IF(VLOOKUP(Table4[[#This Row],[Cantounido]],Table7[],3,FALSE)=0,"",VLOOKUP(Table4[[#This Row],[Cantounido]],Table7[],3,FALSE))</f>
        <v/>
      </c>
      <c r="D102" s="44" t="str">
        <f>IF(VLOOKUP(Table4[[#This Row],[Cantounido]],Table7[],4,FALSE)=0,"",VLOOKUP(Table4[[#This Row],[Cantounido]],Table7[],4,FALSE))</f>
        <v>Re</v>
      </c>
      <c r="E102" s="31">
        <v>226</v>
      </c>
      <c r="F102" t="str">
        <f>F101</f>
        <v>{idi:</v>
      </c>
      <c r="G102" t="str">
        <f>_xlfn.CONCAT(VLOOKUP(E102,'Index Web'!A$4:L$253,2,FALSE),", ")</f>
        <v xml:space="preserve">100, </v>
      </c>
      <c r="H102" t="str">
        <f>H101</f>
        <v>id:</v>
      </c>
      <c r="I102" t="str">
        <f>_xlfn.CONCAT("""",VLOOKUP(E102,'Index Web'!A$4:O$253,13,FALSE),"""",", ")</f>
        <v xml:space="preserve">"heaquiquenuestroespejoeselsenor", </v>
      </c>
      <c r="J102" t="s">
        <v>2016</v>
      </c>
      <c r="K102" t="str">
        <f>_xlfn.CONCAT("""",VLOOKUP(E102,'Index Web'!A$4:L$253,3,FALSE),"""")</f>
        <v>"He aquí que nuestro espejo es el Señor"</v>
      </c>
      <c r="L102" t="s">
        <v>942</v>
      </c>
      <c r="M102" t="str">
        <f>_xlfn.CONCAT("""",VLOOKUP(E102,'Index Web'!A$4:L$253,4,FALSE),"""")</f>
        <v>"Oda XIII de Salomón"</v>
      </c>
      <c r="N102" t="s">
        <v>943</v>
      </c>
      <c r="O102" t="str">
        <f>_xlfn.CONCAT("""",VLOOKUP(E102,'Index Web'!A$4:L$253,5,FALSE),"""")</f>
        <v>"Catecumenado"</v>
      </c>
      <c r="P102" t="s">
        <v>944</v>
      </c>
      <c r="Q102" t="str">
        <f>_xlfn.CONCAT("[",VLOOKUP(E102,'Index Web'!A$4:N$253,14,FALSE),"]")</f>
        <v>["Cuaresma"]</v>
      </c>
      <c r="R102" t="s">
        <v>945</v>
      </c>
      <c r="S102" t="str">
        <f>_xlfn.CONCAT("""/src/index.html?canto=",VLOOKUP(E102,'Index Web'!A$4:N$253,13,FALSE),""", ")</f>
        <v xml:space="preserve">"/src/index.html?canto=heaquiquenuestroespejoeselsenor", </v>
      </c>
      <c r="T102" t="str">
        <f>T101</f>
        <v xml:space="preserve">visible: "", </v>
      </c>
      <c r="U102" t="str">
        <f>_xlfn.CONCAT("cejilla: """,C102,""", ")</f>
        <v xml:space="preserve">cejilla: "", </v>
      </c>
      <c r="V102" t="str">
        <f>_xlfn.CONCAT("acorde: """,D102,""", ")</f>
        <v xml:space="preserve">acorde: "Re", </v>
      </c>
      <c r="W102" t="s">
        <v>2012</v>
      </c>
      <c r="X102" t="s">
        <v>2013</v>
      </c>
      <c r="Y102" t="str">
        <f>_xlfn.CONCAT("""",VLOOKUP(E102,'Index Web'!A$4:O$253,15,FALSE)," ",VLOOKUP(E102,'Index Web'!A$4:O$253,13,FALSE),"""","},")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Z102" t="str">
        <f>_xlfn.CONCAT(F102:Y102)</f>
        <v>{idi:100, id:"heaquiquenuestroespejoeselsenor", title: "He aquí que nuestro espejo es el Señor", subtitle: "Oda XIII de Salomón", category: "Catecumenado", moments: ["Cuaresma"], url: "/src/index.html?canto=heaquiquenuestroespejoeselsenor", visible: "", cejilla: "", acorde: "Re", scrollConfig: {"mobile": { "v": 25, "i": 1 },"tablet": { "v": 25, "i": 1 },"desktop": { "v": 7, "i": 1 },"desktopsmall": { "v": 7, "i": 1 }},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3" spans="2:26" x14ac:dyDescent="0.25">
      <c r="B103" s="50" t="s">
        <v>561</v>
      </c>
      <c r="C103" s="1" t="str">
        <f>IF(VLOOKUP(Table4[[#This Row],[Cantounido]],Table7[],3,FALSE)=0,"",VLOOKUP(Table4[[#This Row],[Cantounido]],Table7[],3,FALSE))</f>
        <v/>
      </c>
      <c r="D103" s="44" t="str">
        <f>IF(VLOOKUP(Table4[[#This Row],[Cantounido]],Table7[],4,FALSE)=0,"",VLOOKUP(Table4[[#This Row],[Cantounido]],Table7[],4,FALSE))</f>
        <v>La</v>
      </c>
      <c r="E103" s="25">
        <v>82</v>
      </c>
      <c r="F103" t="str">
        <f>F102</f>
        <v>{idi:</v>
      </c>
      <c r="G103" t="str">
        <f>_xlfn.CONCAT(VLOOKUP(E103,'Index Web'!A$4:L$253,2,FALSE),", ")</f>
        <v xml:space="preserve">101, </v>
      </c>
      <c r="H103" t="str">
        <f>H102</f>
        <v>id:</v>
      </c>
      <c r="I103" t="str">
        <f>_xlfn.CONCAT("""",VLOOKUP(E103,'Index Web'!A$4:O$253,13,FALSE),"""",", ")</f>
        <v xml:space="preserve">"heaquiquevengopresto", </v>
      </c>
      <c r="J103" t="s">
        <v>2016</v>
      </c>
      <c r="K103" t="str">
        <f>_xlfn.CONCAT("""",VLOOKUP(E103,'Index Web'!A$4:L$253,3,FALSE),"""")</f>
        <v>"He aquí que vengo presto"</v>
      </c>
      <c r="L103" t="s">
        <v>942</v>
      </c>
      <c r="M103" t="str">
        <f>_xlfn.CONCAT("""",VLOOKUP(E103,'Index Web'!A$4:L$253,4,FALSE),"""")</f>
        <v>"Apocalipsis 22,12-16"</v>
      </c>
      <c r="N103" t="s">
        <v>943</v>
      </c>
      <c r="O103" t="str">
        <f>_xlfn.CONCAT("""",VLOOKUP(E103,'Index Web'!A$4:L$253,5,FALSE),"""")</f>
        <v>"Precatecumenado"</v>
      </c>
      <c r="P103" t="s">
        <v>944</v>
      </c>
      <c r="Q103" t="str">
        <f>_xlfn.CONCAT("[",VLOOKUP(E103,'Index Web'!A$4:N$253,14,FALSE),"]")</f>
        <v>["Adviento","Navidad","Entrada","Nuevo Testamento"]</v>
      </c>
      <c r="R103" t="s">
        <v>945</v>
      </c>
      <c r="S103" t="str">
        <f>_xlfn.CONCAT("""/src/index.html?canto=",VLOOKUP(E103,'Index Web'!A$4:N$253,13,FALSE),""", ")</f>
        <v xml:space="preserve">"/src/index.html?canto=heaquiquevengopresto", </v>
      </c>
      <c r="T103" t="str">
        <f>T102</f>
        <v xml:space="preserve">visible: "", </v>
      </c>
      <c r="U103" t="str">
        <f>_xlfn.CONCAT("cejilla: """,C103,""", ")</f>
        <v xml:space="preserve">cejilla: "", </v>
      </c>
      <c r="V103" t="str">
        <f>_xlfn.CONCAT("acorde: """,D103,""", ")</f>
        <v xml:space="preserve">acorde: "La", </v>
      </c>
      <c r="W103" t="s">
        <v>2012</v>
      </c>
      <c r="X103" t="s">
        <v>2013</v>
      </c>
      <c r="Y103" t="str">
        <f>_xlfn.CONCAT("""",VLOOKUP(E103,'Index Web'!A$4:O$253,15,FALSE)," ",VLOOKUP(E103,'Index Web'!A$4:O$253,13,FALSE),"""","},")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Z103" t="str">
        <f>_xlfn.CONCAT(F103:Y103)</f>
        <v>{idi:101, id:"heaquiquevengopresto", title: "He aquí que vengo presto", subtitle: "Apocalipsis 22,12-16", category: "Precatecumenado", moments: ["Adviento","Navidad","Entrada","Nuevo Testamento"], url: "/src/index.html?canto=heaquiquevengopresto", visible: "", cejilla: "", acorde: "La", scrollConfig: {"mobile": { "v": 25, "i": 1 },"tablet": { "v": 25, "i": 1 },"desktop": { "v": 7, "i": 1 },"desktopsmall": { "v": 7, "i": 1 }},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4" spans="2:26" x14ac:dyDescent="0.25">
      <c r="B104" s="51" t="s">
        <v>562</v>
      </c>
      <c r="C104" s="1">
        <f>IF(VLOOKUP(Table4[[#This Row],[Cantounido]],Table7[],3,FALSE)=0,"",VLOOKUP(Table4[[#This Row],[Cantounido]],Table7[],3,FALSE))</f>
        <v>3</v>
      </c>
      <c r="D104" s="44" t="str">
        <f>IF(VLOOKUP(Table4[[#This Row],[Cantounido]],Table7[],4,FALSE)=0,"",VLOOKUP(Table4[[#This Row],[Cantounido]],Table7[],4,FALSE))</f>
        <v>La</v>
      </c>
      <c r="E104" s="26">
        <v>83</v>
      </c>
      <c r="F104" t="str">
        <f>F103</f>
        <v>{idi:</v>
      </c>
      <c r="G104" t="str">
        <f>_xlfn.CONCAT(VLOOKUP(E104,'Index Web'!A$4:L$253,2,FALSE),", ")</f>
        <v xml:space="preserve">102, </v>
      </c>
      <c r="H104" t="str">
        <f>H103</f>
        <v>id:</v>
      </c>
      <c r="I104" t="str">
        <f>_xlfn.CONCAT("""",VLOOKUP(E104,'Index Web'!A$4:O$253,13,FALSE),"""",", ")</f>
        <v xml:space="preserve">"heesperadoenelsenor", </v>
      </c>
      <c r="J104" t="s">
        <v>2016</v>
      </c>
      <c r="K104" t="str">
        <f>_xlfn.CONCAT("""",VLOOKUP(E104,'Index Web'!A$4:L$253,3,FALSE),"""")</f>
        <v>"He esperado en el Señor"</v>
      </c>
      <c r="L104" t="s">
        <v>942</v>
      </c>
      <c r="M104" t="str">
        <f>_xlfn.CONCAT("""",VLOOKUP(E104,'Index Web'!A$4:L$253,4,FALSE),"""")</f>
        <v>"Salmo 40 (39)"</v>
      </c>
      <c r="N104" t="s">
        <v>943</v>
      </c>
      <c r="O104" t="str">
        <f>_xlfn.CONCAT("""",VLOOKUP(E104,'Index Web'!A$4:L$253,5,FALSE),"""")</f>
        <v>"Precatecumenado"</v>
      </c>
      <c r="P104" t="s">
        <v>944</v>
      </c>
      <c r="Q104" t="str">
        <f>_xlfn.CONCAT("[",VLOOKUP(E104,'Index Web'!A$4:N$253,14,FALSE),"]")</f>
        <v>["Cuaresma","Antiguo Testamento"]</v>
      </c>
      <c r="R104" t="s">
        <v>945</v>
      </c>
      <c r="S104" t="str">
        <f>_xlfn.CONCAT("""/src/index.html?canto=",VLOOKUP(E104,'Index Web'!A$4:N$253,13,FALSE),""", ")</f>
        <v xml:space="preserve">"/src/index.html?canto=heesperadoenelsenor", </v>
      </c>
      <c r="T104" t="str">
        <f>T103</f>
        <v xml:space="preserve">visible: "", </v>
      </c>
      <c r="U104" t="str">
        <f>_xlfn.CONCAT("cejilla: """,C104,""", ")</f>
        <v xml:space="preserve">cejilla: "3", </v>
      </c>
      <c r="V104" t="str">
        <f>_xlfn.CONCAT("acorde: """,D104,""", ")</f>
        <v xml:space="preserve">acorde: "La", </v>
      </c>
      <c r="W104" t="s">
        <v>2012</v>
      </c>
      <c r="X104" t="s">
        <v>2013</v>
      </c>
      <c r="Y104" t="str">
        <f>_xlfn.CONCAT("""",VLOOKUP(E104,'Index Web'!A$4:O$253,15,FALSE)," ",VLOOKUP(E104,'Index Web'!A$4:O$253,13,FALSE),"""","},")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Z104" t="str">
        <f>_xlfn.CONCAT(F104:Y104)</f>
        <v>{idi:102, id:"heesperadoenelsenor", title: "He esperado en el Señor", subtitle: "Salmo 40 (39)", category: "Precatecumenado", moments: ["Cuaresma","Antiguo Testamento"], url: "/src/index.html?canto=heesperadoenelsenor", visible: "", cejilla: "3", acorde: "La", scrollConfig: {"mobile": { "v": 25, "i": 1 },"tablet": { "v": 25, "i": 1 },"desktop": { "v": 7, "i": 1 },"desktopsmall": { "v": 7, "i": 1 }},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5" spans="2:26" x14ac:dyDescent="0.25">
      <c r="B105" s="55" t="s">
        <v>704</v>
      </c>
      <c r="C105" s="1" t="str">
        <f>IF(VLOOKUP(Table4[[#This Row],[Cantounido]],Table7[],3,FALSE)=0,"",VLOOKUP(Table4[[#This Row],[Cantounido]],Table7[],3,FALSE))</f>
        <v/>
      </c>
      <c r="D105" s="44" t="str">
        <f>IF(VLOOKUP(Table4[[#This Row],[Cantounido]],Table7[],4,FALSE)=0,"",VLOOKUP(Table4[[#This Row],[Cantounido]],Table7[],4,FALSE))</f>
        <v>Re</v>
      </c>
      <c r="E105" s="24">
        <v>241</v>
      </c>
      <c r="F105" t="str">
        <f>F104</f>
        <v>{idi:</v>
      </c>
      <c r="G105" t="str">
        <f>_xlfn.CONCAT(VLOOKUP(E105,'Index Web'!A$4:L$253,2,FALSE),", ")</f>
        <v xml:space="preserve">103, </v>
      </c>
      <c r="H105" t="str">
        <f>H104</f>
        <v>id:</v>
      </c>
      <c r="I105" t="str">
        <f>_xlfn.CONCAT("""",VLOOKUP(E105,'Index Web'!A$4:O$253,13,FALSE),"""",", ")</f>
        <v xml:space="preserve">"hermosaeresamigamia", </v>
      </c>
      <c r="J105" t="s">
        <v>2016</v>
      </c>
      <c r="K105" t="str">
        <f>_xlfn.CONCAT("""",VLOOKUP(E105,'Index Web'!A$4:L$253,3,FALSE),"""")</f>
        <v>"Hermosa eres, amiga mía"</v>
      </c>
      <c r="L105" t="s">
        <v>942</v>
      </c>
      <c r="M105" t="str">
        <f>_xlfn.CONCAT("""",VLOOKUP(E105,'Index Web'!A$4:L$253,4,FALSE),"""")</f>
        <v>"Cantar de los cantares 6-7"</v>
      </c>
      <c r="N105" t="s">
        <v>943</v>
      </c>
      <c r="O105" t="str">
        <f>_xlfn.CONCAT("""",VLOOKUP(E105,'Index Web'!A$4:L$253,5,FALSE),"""")</f>
        <v>"Eleccion"</v>
      </c>
      <c r="P105" t="s">
        <v>944</v>
      </c>
      <c r="Q105" t="str">
        <f>_xlfn.CONCAT("[",VLOOKUP(E105,'Index Web'!A$4:N$253,14,FALSE),"]")</f>
        <v>["Pascua","Pentecostés","Antiguo Testamento"]</v>
      </c>
      <c r="R105" t="s">
        <v>945</v>
      </c>
      <c r="S105" t="str">
        <f>_xlfn.CONCAT("""/src/index.html?canto=",VLOOKUP(E105,'Index Web'!A$4:N$253,13,FALSE),""", ")</f>
        <v xml:space="preserve">"/src/index.html?canto=hermosaeresamigamia", </v>
      </c>
      <c r="T105" t="str">
        <f>T104</f>
        <v xml:space="preserve">visible: "", </v>
      </c>
      <c r="U105" t="str">
        <f>_xlfn.CONCAT("cejilla: """,C105,""", ")</f>
        <v xml:space="preserve">cejilla: "", </v>
      </c>
      <c r="V105" t="str">
        <f>_xlfn.CONCAT("acorde: """,D105,""", ")</f>
        <v xml:space="preserve">acorde: "Re", </v>
      </c>
      <c r="W105" t="s">
        <v>2012</v>
      </c>
      <c r="X105" t="s">
        <v>2013</v>
      </c>
      <c r="Y105" t="str">
        <f>_xlfn.CONCAT("""",VLOOKUP(E105,'Index Web'!A$4:O$253,15,FALSE)," ",VLOOKUP(E105,'Index Web'!A$4:O$253,13,FALSE),"""","},")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Z105" t="str">
        <f>_xlfn.CONCAT(F105:Y105)</f>
        <v>{idi:103, id:"hermosaeresamigamia", title: "Hermosa eres, amiga mía", subtitle: "Cantar de los cantares 6-7", category: "Eleccion", moments: ["Pascua","Pentecostés","Antiguo Testamento"], url: "/src/index.html?canto=hermosaeresamigamia", visible: "", cejilla: "", acorde: "Re", scrollConfig: {"mobile": { "v": 25, "i": 1 },"tablet": { "v": 25, "i": 1 },"desktop": { "v": 7, "i": 1 },"desktopsmall": { "v": 7, "i": 1 }},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6" spans="2:26" x14ac:dyDescent="0.25">
      <c r="B106" s="51" t="s">
        <v>563</v>
      </c>
      <c r="C106" s="1" t="str">
        <f>IF(VLOOKUP(Table4[[#This Row],[Cantounido]],Table7[],3,FALSE)=0,"",VLOOKUP(Table4[[#This Row],[Cantounido]],Table7[],3,FALSE))</f>
        <v/>
      </c>
      <c r="D106" s="44" t="str">
        <f>IF(VLOOKUP(Table4[[#This Row],[Cantounido]],Table7[],4,FALSE)=0,"",VLOOKUP(Table4[[#This Row],[Cantounido]],Table7[],4,FALSE))</f>
        <v>La</v>
      </c>
      <c r="E106" s="26">
        <v>84</v>
      </c>
      <c r="F106" t="str">
        <f>F105</f>
        <v>{idi:</v>
      </c>
      <c r="G106" t="str">
        <f>_xlfn.CONCAT(VLOOKUP(E106,'Index Web'!A$4:L$253,2,FALSE),", ")</f>
        <v xml:space="preserve">104, </v>
      </c>
      <c r="H106" t="str">
        <f>H105</f>
        <v>id:</v>
      </c>
      <c r="I106" t="str">
        <f>_xlfn.CONCAT("""",VLOOKUP(E106,'Index Web'!A$4:O$253,13,FALSE),"""",", ")</f>
        <v xml:space="preserve">"hijasdejerusalen", </v>
      </c>
      <c r="J106" t="s">
        <v>2016</v>
      </c>
      <c r="K106" t="str">
        <f>_xlfn.CONCAT("""",VLOOKUP(E106,'Index Web'!A$4:L$253,3,FALSE),"""")</f>
        <v>"Hijas de Jerusalén"</v>
      </c>
      <c r="L106" t="s">
        <v>942</v>
      </c>
      <c r="M106" t="str">
        <f>_xlfn.CONCAT("""",VLOOKUP(E106,'Index Web'!A$4:L$253,4,FALSE),"""")</f>
        <v>"Lucas 23,28-46"</v>
      </c>
      <c r="N106" t="s">
        <v>943</v>
      </c>
      <c r="O106" t="str">
        <f>_xlfn.CONCAT("""",VLOOKUP(E106,'Index Web'!A$4:L$253,5,FALSE),"""")</f>
        <v>"Precatecumenado"</v>
      </c>
      <c r="P106" t="s">
        <v>944</v>
      </c>
      <c r="Q106" t="str">
        <f>_xlfn.CONCAT("[",VLOOKUP(E106,'Index Web'!A$4:N$253,14,FALSE),"]")</f>
        <v>["Cuaresma","Fracción Del Pan","Nuevo Testamento"]</v>
      </c>
      <c r="R106" t="s">
        <v>945</v>
      </c>
      <c r="S106" t="str">
        <f>_xlfn.CONCAT("""/src/index.html?canto=",VLOOKUP(E106,'Index Web'!A$4:N$253,13,FALSE),""", ")</f>
        <v xml:space="preserve">"/src/index.html?canto=hijasdejerusalen", </v>
      </c>
      <c r="T106" t="str">
        <f>T105</f>
        <v xml:space="preserve">visible: "", </v>
      </c>
      <c r="U106" t="str">
        <f>_xlfn.CONCAT("cejilla: """,C106,""", ")</f>
        <v xml:space="preserve">cejilla: "", </v>
      </c>
      <c r="V106" t="str">
        <f>_xlfn.CONCAT("acorde: """,D106,""", ")</f>
        <v xml:space="preserve">acorde: "La", </v>
      </c>
      <c r="W106" t="s">
        <v>2012</v>
      </c>
      <c r="X106" t="s">
        <v>2013</v>
      </c>
      <c r="Y106" t="str">
        <f>_xlfn.CONCAT("""",VLOOKUP(E106,'Index Web'!A$4:O$253,15,FALSE)," ",VLOOKUP(E106,'Index Web'!A$4:O$253,13,FALSE),"""","},")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Z106" t="str">
        <f>_xlfn.CONCAT(F106:Y106)</f>
        <v>{idi:104, id:"hijasdejerusalen", title: "Hijas de Jerusalén", subtitle: "Lucas 23,28-46", category: "Precatecumenado", moments: ["Cuaresma","Fracción Del Pan","Nuevo Testamento"], url: "/src/index.html?canto=hijasdejerusalen", visible: "", cejilla: "", acorde: "La", scrollConfig: {"mobile": { "v": 25, "i": 1 },"tablet": { "v": 25, "i": 1 },"desktop": { "v": 7, "i": 1 },"desktopsmall": { "v": 7, "i": 1 }},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7" spans="2:26" x14ac:dyDescent="0.25">
      <c r="B107" s="50" t="s">
        <v>564</v>
      </c>
      <c r="C107" s="1" t="str">
        <f>IF(VLOOKUP(Table4[[#This Row],[Cantounido]],Table7[],3,FALSE)=0,"",VLOOKUP(Table4[[#This Row],[Cantounido]],Table7[],3,FALSE))</f>
        <v/>
      </c>
      <c r="D107" s="44" t="str">
        <f>IF(VLOOKUP(Table4[[#This Row],[Cantounido]],Table7[],4,FALSE)=0,"",VLOOKUP(Table4[[#This Row],[Cantounido]],Table7[],4,FALSE))</f>
        <v>Mi</v>
      </c>
      <c r="E107" s="25">
        <v>85</v>
      </c>
      <c r="F107" t="str">
        <f>F106</f>
        <v>{idi:</v>
      </c>
      <c r="G107" t="str">
        <f>_xlfn.CONCAT(VLOOKUP(E107,'Index Web'!A$4:L$253,2,FALSE),", ")</f>
        <v xml:space="preserve">105, </v>
      </c>
      <c r="H107" t="str">
        <f>H106</f>
        <v>id:</v>
      </c>
      <c r="I107" t="str">
        <f>_xlfn.CONCAT("""",VLOOKUP(E107,'Index Web'!A$4:O$253,13,FALSE),"""",", ")</f>
        <v xml:space="preserve">"himnoacristoluz", </v>
      </c>
      <c r="J107" t="s">
        <v>2016</v>
      </c>
      <c r="K107" t="str">
        <f>_xlfn.CONCAT("""",VLOOKUP(E107,'Index Web'!A$4:L$253,3,FALSE),"""")</f>
        <v>"Himno a Cristo luz"</v>
      </c>
      <c r="L107" t="s">
        <v>942</v>
      </c>
      <c r="M107" t="str">
        <f>_xlfn.CONCAT("""",VLOOKUP(E107,'Index Web'!A$4:L$253,4,FALSE),"""")</f>
        <v>"Himno vespertino (San Gregorio Nacianceno)"</v>
      </c>
      <c r="N107" t="s">
        <v>943</v>
      </c>
      <c r="O107" t="str">
        <f>_xlfn.CONCAT("""",VLOOKUP(E107,'Index Web'!A$4:L$253,5,FALSE),"""")</f>
        <v>"Precatecumenado"</v>
      </c>
      <c r="P107" t="s">
        <v>944</v>
      </c>
      <c r="Q107" t="str">
        <f>_xlfn.CONCAT("[",VLOOKUP(E107,'Index Web'!A$4:N$253,14,FALSE),"]")</f>
        <v>["Pascua","Pentecostés"]</v>
      </c>
      <c r="R107" t="s">
        <v>945</v>
      </c>
      <c r="S107" t="str">
        <f>_xlfn.CONCAT("""/src/index.html?canto=",VLOOKUP(E107,'Index Web'!A$4:N$253,13,FALSE),""", ")</f>
        <v xml:space="preserve">"/src/index.html?canto=himnoacristoluz", </v>
      </c>
      <c r="T107" t="str">
        <f>T106</f>
        <v xml:space="preserve">visible: "", </v>
      </c>
      <c r="U107" t="str">
        <f>_xlfn.CONCAT("cejilla: """,C107,""", ")</f>
        <v xml:space="preserve">cejilla: "", </v>
      </c>
      <c r="V107" t="str">
        <f>_xlfn.CONCAT("acorde: """,D107,""", ")</f>
        <v xml:space="preserve">acorde: "Mi", </v>
      </c>
      <c r="W107" t="s">
        <v>2012</v>
      </c>
      <c r="X107" t="s">
        <v>2013</v>
      </c>
      <c r="Y107" t="str">
        <f>_xlfn.CONCAT("""",VLOOKUP(E107,'Index Web'!A$4:O$253,15,FALSE)," ",VLOOKUP(E107,'Index Web'!A$4:O$253,13,FALSE),"""","},")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Z107" t="str">
        <f>_xlfn.CONCAT(F107:Y107)</f>
        <v>{idi:105, id:"himnoacristoluz", title: "Himno a Cristo luz", subtitle: "Himno vespertino (San Gregorio Nacianceno)", category: "Precatecumenado", moments: ["Pascua","Pentecostés"], url: "/src/index.html?canto=himnoacristoluz", visible: "", cejilla: "", acorde: "Mi", scrollConfig: {"mobile": { "v": 25, "i": 1 },"tablet": { "v": 25, "i": 1 },"desktop": { "v": 7, "i": 1 },"desktopsmall": { "v": 7, "i": 1 }},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8" spans="2:26" x14ac:dyDescent="0.25">
      <c r="B108" s="51" t="s">
        <v>565</v>
      </c>
      <c r="C108" s="1" t="str">
        <f>IF(VLOOKUP(Table4[[#This Row],[Cantounido]],Table7[],3,FALSE)=0,"",VLOOKUP(Table4[[#This Row],[Cantounido]],Table7[],3,FALSE))</f>
        <v/>
      </c>
      <c r="D108" s="44" t="str">
        <f>IF(VLOOKUP(Table4[[#This Row],[Cantounido]],Table7[],4,FALSE)=0,"",VLOOKUP(Table4[[#This Row],[Cantounido]],Table7[],4,FALSE))</f>
        <v>Do</v>
      </c>
      <c r="E108" s="26">
        <v>86</v>
      </c>
      <c r="F108" t="str">
        <f>F107</f>
        <v>{idi:</v>
      </c>
      <c r="G108" t="str">
        <f>_xlfn.CONCAT(VLOOKUP(E108,'Index Web'!A$4:L$253,2,FALSE),", ")</f>
        <v xml:space="preserve">106, </v>
      </c>
      <c r="H108" t="str">
        <f>H107</f>
        <v>id:</v>
      </c>
      <c r="I108" t="str">
        <f>_xlfn.CONCAT("""",VLOOKUP(E108,'Index Web'!A$4:O$253,13,FALSE),"""",", ")</f>
        <v xml:space="preserve">"himnoalacaridad", </v>
      </c>
      <c r="J108" t="s">
        <v>2016</v>
      </c>
      <c r="K108" t="str">
        <f>_xlfn.CONCAT("""",VLOOKUP(E108,'Index Web'!A$4:L$253,3,FALSE),"""")</f>
        <v>"Himno a la caridad"</v>
      </c>
      <c r="L108" t="s">
        <v>942</v>
      </c>
      <c r="M108" t="str">
        <f>_xlfn.CONCAT("""",VLOOKUP(E108,'Index Web'!A$4:L$253,4,FALSE),"""")</f>
        <v>"1 Corintios 13,1-7"</v>
      </c>
      <c r="N108" t="s">
        <v>943</v>
      </c>
      <c r="O108" t="str">
        <f>_xlfn.CONCAT("""",VLOOKUP(E108,'Index Web'!A$4:L$253,5,FALSE),"""")</f>
        <v>"Precatecumenado"</v>
      </c>
      <c r="P108" t="s">
        <v>944</v>
      </c>
      <c r="Q108" t="str">
        <f>_xlfn.CONCAT("[",VLOOKUP(E108,'Index Web'!A$4:N$253,14,FALSE),"]")</f>
        <v>["Pascua","Pentecostés","Comunión","Nuevo Testamento"]</v>
      </c>
      <c r="R108" t="s">
        <v>945</v>
      </c>
      <c r="S108" t="str">
        <f>_xlfn.CONCAT("""/src/index.html?canto=",VLOOKUP(E108,'Index Web'!A$4:N$253,13,FALSE),""", ")</f>
        <v xml:space="preserve">"/src/index.html?canto=himnoalacaridad", </v>
      </c>
      <c r="T108" t="str">
        <f>T107</f>
        <v xml:space="preserve">visible: "", </v>
      </c>
      <c r="U108" t="str">
        <f>_xlfn.CONCAT("cejilla: """,C108,""", ")</f>
        <v xml:space="preserve">cejilla: "", </v>
      </c>
      <c r="V108" t="str">
        <f>_xlfn.CONCAT("acorde: """,D108,""", ")</f>
        <v xml:space="preserve">acorde: "Do", </v>
      </c>
      <c r="W108" t="s">
        <v>2012</v>
      </c>
      <c r="X108" t="s">
        <v>2013</v>
      </c>
      <c r="Y108" t="str">
        <f>_xlfn.CONCAT("""",VLOOKUP(E108,'Index Web'!A$4:O$253,15,FALSE)," ",VLOOKUP(E108,'Index Web'!A$4:O$253,13,FALSE),"""","},")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Z108" t="str">
        <f>_xlfn.CONCAT(F108:Y108)</f>
        <v>{idi:106, id:"himnoalacaridad", title: "Himno a la caridad", subtitle: "1 Corintios 13,1-7", category: "Precatecumenado", moments: ["Pascua","Pentecostés","Comunión","Nuevo Testamento"], url: "/src/index.html?canto=himnoalacaridad", visible: "", cejilla: "", acorde: "Do", scrollConfig: {"mobile": { "v": 25, "i": 1 },"tablet": { "v": 25, "i": 1 },"desktop": { "v": 7, "i": 1 },"desktopsmall": { "v": 7, "i": 1 }},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9" spans="2:26" x14ac:dyDescent="0.25">
      <c r="B109" s="56" t="s">
        <v>690</v>
      </c>
      <c r="C109" s="1" t="str">
        <f>IF(VLOOKUP(Table4[[#This Row],[Cantounido]],Table7[],3,FALSE)=0,"",VLOOKUP(Table4[[#This Row],[Cantounido]],Table7[],3,FALSE))</f>
        <v/>
      </c>
      <c r="D109" s="44" t="str">
        <f>IF(VLOOKUP(Table4[[#This Row],[Cantounido]],Table7[],4,FALSE)=0,"",VLOOKUP(Table4[[#This Row],[Cantounido]],Table7[],4,FALSE))</f>
        <v>Mi</v>
      </c>
      <c r="E109" s="30">
        <v>227</v>
      </c>
      <c r="F109" t="str">
        <f>F108</f>
        <v>{idi:</v>
      </c>
      <c r="G109" t="str">
        <f>_xlfn.CONCAT(VLOOKUP(E109,'Index Web'!A$4:L$253,2,FALSE),", ")</f>
        <v xml:space="preserve">107, </v>
      </c>
      <c r="H109" t="str">
        <f>H108</f>
        <v>id:</v>
      </c>
      <c r="I109" t="str">
        <f>_xlfn.CONCAT("""",VLOOKUP(E109,'Index Web'!A$4:O$253,13,FALSE),"""",", ")</f>
        <v xml:space="preserve">"himnoalacruzgloriosa", </v>
      </c>
      <c r="J109" t="s">
        <v>2016</v>
      </c>
      <c r="K109" t="str">
        <f>_xlfn.CONCAT("""",VLOOKUP(E109,'Index Web'!A$4:L$253,3,FALSE),"""")</f>
        <v>"Himno a la Cruz Gloriosa"</v>
      </c>
      <c r="L109" t="s">
        <v>942</v>
      </c>
      <c r="M109" t="str">
        <f>_xlfn.CONCAT("""",VLOOKUP(E109,'Index Web'!A$4:L$253,4,FALSE),"""")</f>
        <v>"Homilía La Santa Pascua (Anónimo s. II)"</v>
      </c>
      <c r="N109" t="s">
        <v>943</v>
      </c>
      <c r="O109" t="str">
        <f>_xlfn.CONCAT("""",VLOOKUP(E109,'Index Web'!A$4:L$253,5,FALSE),"""")</f>
        <v>"Catecumenado"</v>
      </c>
      <c r="P109" t="s">
        <v>944</v>
      </c>
      <c r="Q109" t="str">
        <f>_xlfn.CONCAT("[",VLOOKUP(E109,'Index Web'!A$4:N$253,14,FALSE),"]")</f>
        <v>[""]</v>
      </c>
      <c r="R109" t="s">
        <v>945</v>
      </c>
      <c r="S109" t="str">
        <f>_xlfn.CONCAT("""/src/index.html?canto=",VLOOKUP(E109,'Index Web'!A$4:N$253,13,FALSE),""", ")</f>
        <v xml:space="preserve">"/src/index.html?canto=himnoalacruzgloriosa", </v>
      </c>
      <c r="T109" t="str">
        <f>T108</f>
        <v xml:space="preserve">visible: "", </v>
      </c>
      <c r="U109" t="str">
        <f>_xlfn.CONCAT("cejilla: """,C109,""", ")</f>
        <v xml:space="preserve">cejilla: "", </v>
      </c>
      <c r="V109" t="str">
        <f>_xlfn.CONCAT("acorde: """,D109,""", ")</f>
        <v xml:space="preserve">acorde: "Mi", </v>
      </c>
      <c r="W109" t="s">
        <v>2012</v>
      </c>
      <c r="X109" t="s">
        <v>2013</v>
      </c>
      <c r="Y109" t="str">
        <f>_xlfn.CONCAT("""",VLOOKUP(E109,'Index Web'!A$4:O$253,15,FALSE)," ",VLOOKUP(E109,'Index Web'!A$4:O$253,13,FALSE),"""","},")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Z109" t="str">
        <f>_xlfn.CONCAT(F109:Y109)</f>
        <v>{idi:107, id:"himnoalacruzgloriosa", title: "Himno a la Cruz Gloriosa", subtitle: "Homilía La Santa Pascua (Anónimo s. II)", category: "Catecumenado", moments: [""], url: "/src/index.html?canto=himnoalacruzgloriosa", visible: "", cejilla: "", acorde: "Mi", scrollConfig: {"mobile": { "v": 25, "i": 1 },"tablet": { "v": 25, "i": 1 },"desktop": { "v": 7, "i": 1 },"desktopsmall": { "v": 7, "i": 1 }},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10" spans="2:26" x14ac:dyDescent="0.25">
      <c r="B110" s="51" t="s">
        <v>566</v>
      </c>
      <c r="C110" s="1" t="str">
        <f>IF(VLOOKUP(Table4[[#This Row],[Cantounido]],Table7[],3,FALSE)=0,"",VLOOKUP(Table4[[#This Row],[Cantounido]],Table7[],3,FALSE))</f>
        <v/>
      </c>
      <c r="D110" s="44" t="str">
        <f>IF(VLOOKUP(Table4[[#This Row],[Cantounido]],Table7[],4,FALSE)=0,"",VLOOKUP(Table4[[#This Row],[Cantounido]],Table7[],4,FALSE))</f>
        <v>Mi</v>
      </c>
      <c r="E110" s="26">
        <v>87</v>
      </c>
      <c r="F110" t="str">
        <f>F109</f>
        <v>{idi:</v>
      </c>
      <c r="G110" t="str">
        <f>_xlfn.CONCAT(VLOOKUP(E110,'Index Web'!A$4:L$253,2,FALSE),", ")</f>
        <v xml:space="preserve">108, </v>
      </c>
      <c r="H110" t="str">
        <f>H109</f>
        <v>id:</v>
      </c>
      <c r="I110" t="str">
        <f>_xlfn.CONCAT("""",VLOOKUP(E110,'Index Web'!A$4:O$253,13,FALSE),"""",", ")</f>
        <v xml:space="preserve">"himnoalakenosis", </v>
      </c>
      <c r="J110" t="s">
        <v>2016</v>
      </c>
      <c r="K110" t="str">
        <f>_xlfn.CONCAT("""",VLOOKUP(E110,'Index Web'!A$4:L$253,3,FALSE),"""")</f>
        <v>"Himno a la kenosis"</v>
      </c>
      <c r="L110" t="s">
        <v>942</v>
      </c>
      <c r="M110" t="str">
        <f>_xlfn.CONCAT("""",VLOOKUP(E110,'Index Web'!A$4:L$253,4,FALSE),"""")</f>
        <v>"Filipenses 2,1-11"</v>
      </c>
      <c r="N110" t="s">
        <v>943</v>
      </c>
      <c r="O110" t="str">
        <f>_xlfn.CONCAT("""",VLOOKUP(E110,'Index Web'!A$4:L$253,5,FALSE),"""")</f>
        <v>"Precatecumenado"</v>
      </c>
      <c r="P110" t="s">
        <v>944</v>
      </c>
      <c r="Q110" t="str">
        <f>_xlfn.CONCAT("[",VLOOKUP(E110,'Index Web'!A$4:N$253,14,FALSE),"]")</f>
        <v>["Pascua","Pentecostés","Fracción Del Pan","Nuevo Testamento"]</v>
      </c>
      <c r="R110" t="s">
        <v>945</v>
      </c>
      <c r="S110" t="str">
        <f>_xlfn.CONCAT("""/src/index.html?canto=",VLOOKUP(E110,'Index Web'!A$4:N$253,13,FALSE),""", ")</f>
        <v xml:space="preserve">"/src/index.html?canto=himnoalakenosis", </v>
      </c>
      <c r="T110" t="str">
        <f>T109</f>
        <v xml:space="preserve">visible: "", </v>
      </c>
      <c r="U110" t="str">
        <f>_xlfn.CONCAT("cejilla: """,C110,""", ")</f>
        <v xml:space="preserve">cejilla: "", </v>
      </c>
      <c r="V110" t="str">
        <f>_xlfn.CONCAT("acorde: """,D110,""", ")</f>
        <v xml:space="preserve">acorde: "Mi", </v>
      </c>
      <c r="W110" t="s">
        <v>2012</v>
      </c>
      <c r="X110" t="s">
        <v>2013</v>
      </c>
      <c r="Y110" t="str">
        <f>_xlfn.CONCAT("""",VLOOKUP(E110,'Index Web'!A$4:O$253,15,FALSE)," ",VLOOKUP(E110,'Index Web'!A$4:O$253,13,FALSE),"""","},")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Z110" t="str">
        <f>_xlfn.CONCAT(F110:Y110)</f>
        <v>{idi:108, id:"himnoalakenosis", title: "Himno a la kenosis", subtitle: "Filipenses 2,1-11", category: "Precatecumenado", moments: ["Pascua","Pentecostés","Fracción Del Pan","Nuevo Testamento"], url: "/src/index.html?canto=himnoalakenosis", visible: "", cejilla: "", acorde: "Mi", scrollConfig: {"mobile": { "v": 25, "i": 1 },"tablet": { "v": 25, "i": 1 },"desktop": { "v": 7, "i": 1 },"desktopsmall": { "v": 7, "i": 1 }},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1" spans="2:26" x14ac:dyDescent="0.25">
      <c r="B111" s="50" t="s">
        <v>567</v>
      </c>
      <c r="C111" s="1" t="str">
        <f>IF(VLOOKUP(Table4[[#This Row],[Cantounido]],Table7[],3,FALSE)=0,"",VLOOKUP(Table4[[#This Row],[Cantounido]],Table7[],3,FALSE))</f>
        <v/>
      </c>
      <c r="D111" s="44" t="str">
        <f>IF(VLOOKUP(Table4[[#This Row],[Cantounido]],Table7[],4,FALSE)=0,"",VLOOKUP(Table4[[#This Row],[Cantounido]],Table7[],4,FALSE))</f>
        <v>Re</v>
      </c>
      <c r="E111" s="25">
        <v>88</v>
      </c>
      <c r="F111" t="str">
        <f>F110</f>
        <v>{idi:</v>
      </c>
      <c r="G111" t="str">
        <f>_xlfn.CONCAT(VLOOKUP(E111,'Index Web'!A$4:L$253,2,FALSE),", ")</f>
        <v xml:space="preserve">109, </v>
      </c>
      <c r="H111" t="str">
        <f>H110</f>
        <v>id:</v>
      </c>
      <c r="I111" t="str">
        <f>_xlfn.CONCAT("""",VLOOKUP(E111,'Index Web'!A$4:O$253,13,FALSE),"""",", ")</f>
        <v xml:space="preserve">"himnodeadviento", </v>
      </c>
      <c r="J111" t="s">
        <v>2016</v>
      </c>
      <c r="K111" t="str">
        <f>_xlfn.CONCAT("""",VLOOKUP(E111,'Index Web'!A$4:L$253,3,FALSE),"""")</f>
        <v>"Himno de Adviento"</v>
      </c>
      <c r="L111" t="s">
        <v>942</v>
      </c>
      <c r="M111" t="str">
        <f>_xlfn.CONCAT("""",VLOOKUP(E111,'Index Web'!A$4:L$253,4,FALSE),"""")</f>
        <v>"Himno lat. «Vox clara ecce Intonat»"</v>
      </c>
      <c r="N111" t="s">
        <v>943</v>
      </c>
      <c r="O111" t="str">
        <f>_xlfn.CONCAT("""",VLOOKUP(E111,'Index Web'!A$4:L$253,5,FALSE),"""")</f>
        <v>"Precatecumenado"</v>
      </c>
      <c r="P111" t="s">
        <v>944</v>
      </c>
      <c r="Q111" t="str">
        <f>_xlfn.CONCAT("[",VLOOKUP(E111,'Index Web'!A$4:N$253,14,FALSE),"]")</f>
        <v>["Adviento","Navidad"]</v>
      </c>
      <c r="R111" t="s">
        <v>945</v>
      </c>
      <c r="S111" t="str">
        <f>_xlfn.CONCAT("""/src/index.html?canto=",VLOOKUP(E111,'Index Web'!A$4:N$253,13,FALSE),""", ")</f>
        <v xml:space="preserve">"/src/index.html?canto=himnodeadviento", </v>
      </c>
      <c r="T111" t="str">
        <f>T110</f>
        <v xml:space="preserve">visible: "", </v>
      </c>
      <c r="U111" t="str">
        <f>_xlfn.CONCAT("cejilla: """,C111,""", ")</f>
        <v xml:space="preserve">cejilla: "", </v>
      </c>
      <c r="V111" t="str">
        <f>_xlfn.CONCAT("acorde: """,D111,""", ")</f>
        <v xml:space="preserve">acorde: "Re", </v>
      </c>
      <c r="W111" t="s">
        <v>2012</v>
      </c>
      <c r="X111" t="s">
        <v>2013</v>
      </c>
      <c r="Y111" t="str">
        <f>_xlfn.CONCAT("""",VLOOKUP(E111,'Index Web'!A$4:O$253,15,FALSE)," ",VLOOKUP(E111,'Index Web'!A$4:O$253,13,FALSE),"""","},")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Z111" t="str">
        <f>_xlfn.CONCAT(F111:Y111)</f>
        <v>{idi:109, id:"himnodeadviento", title: "Himno de Adviento", subtitle: "Himno lat. «Vox clara ecce Intonat»", category: "Precatecumenado", moments: ["Adviento","Navidad"], url: "/src/index.html?canto=himnodeadviento", visible: "", cejilla: "", acorde: "Re", scrollConfig: {"mobile": { "v": 25, "i": 1 },"tablet": { "v": 25, "i": 1 },"desktop": { "v": 7, "i": 1 },"desktopsmall": { "v": 7, "i": 1 }},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2" spans="2:26" x14ac:dyDescent="0.25">
      <c r="B112" s="51" t="s">
        <v>568</v>
      </c>
      <c r="C112" s="1" t="str">
        <f>IF(VLOOKUP(Table4[[#This Row],[Cantounido]],Table7[],3,FALSE)=0,"",VLOOKUP(Table4[[#This Row],[Cantounido]],Table7[],3,FALSE))</f>
        <v/>
      </c>
      <c r="D112" s="44" t="str">
        <f>IF(VLOOKUP(Table4[[#This Row],[Cantounido]],Table7[],4,FALSE)=0,"",VLOOKUP(Table4[[#This Row],[Cantounido]],Table7[],4,FALSE))</f>
        <v>La</v>
      </c>
      <c r="E112" s="26">
        <v>89</v>
      </c>
      <c r="F112" t="str">
        <f>F111</f>
        <v>{idi:</v>
      </c>
      <c r="G112" t="str">
        <f>_xlfn.CONCAT(VLOOKUP(E112,'Index Web'!A$4:L$253,2,FALSE),", ")</f>
        <v xml:space="preserve">110, </v>
      </c>
      <c r="H112" t="str">
        <f>H111</f>
        <v>id:</v>
      </c>
      <c r="I112" t="str">
        <f>_xlfn.CONCAT("""",VLOOKUP(E112,'Index Web'!A$4:O$253,13,FALSE),"""",", ")</f>
        <v xml:space="preserve">"himnodelaascension", </v>
      </c>
      <c r="J112" t="s">
        <v>2016</v>
      </c>
      <c r="K112" t="str">
        <f>_xlfn.CONCAT("""",VLOOKUP(E112,'Index Web'!A$4:L$253,3,FALSE),"""")</f>
        <v>"Himno de la Ascensión"</v>
      </c>
      <c r="L112" t="s">
        <v>942</v>
      </c>
      <c r="M112" t="str">
        <f>_xlfn.CONCAT("""",VLOOKUP(E112,'Index Web'!A$4:L$253,4,FALSE),"""")</f>
        <v>"Himno de Laudes del tiempo Pascual, de la Ascensión a Pentecostés  / Himno de la liturgia de las horas "</v>
      </c>
      <c r="N112" t="s">
        <v>943</v>
      </c>
      <c r="O112" t="str">
        <f>_xlfn.CONCAT("""",VLOOKUP(E112,'Index Web'!A$4:L$253,5,FALSE),"""")</f>
        <v>"Precatecumenado"</v>
      </c>
      <c r="P112" t="s">
        <v>944</v>
      </c>
      <c r="Q112" t="str">
        <f>_xlfn.CONCAT("[",VLOOKUP(E112,'Index Web'!A$4:N$253,14,FALSE),"]")</f>
        <v>["Pascua","Pentecostés"]</v>
      </c>
      <c r="R112" t="s">
        <v>945</v>
      </c>
      <c r="S112" t="str">
        <f>_xlfn.CONCAT("""/src/index.html?canto=",VLOOKUP(E112,'Index Web'!A$4:N$253,13,FALSE),""", ")</f>
        <v xml:space="preserve">"/src/index.html?canto=himnodelaascension", </v>
      </c>
      <c r="T112" t="str">
        <f>T111</f>
        <v xml:space="preserve">visible: "", </v>
      </c>
      <c r="U112" t="str">
        <f>_xlfn.CONCAT("cejilla: """,C112,""", ")</f>
        <v xml:space="preserve">cejilla: "", </v>
      </c>
      <c r="V112" t="str">
        <f>_xlfn.CONCAT("acorde: """,D112,""", ")</f>
        <v xml:space="preserve">acorde: "La", </v>
      </c>
      <c r="W112" t="s">
        <v>2012</v>
      </c>
      <c r="X112" t="s">
        <v>2013</v>
      </c>
      <c r="Y112" t="str">
        <f>_xlfn.CONCAT("""",VLOOKUP(E112,'Index Web'!A$4:O$253,15,FALSE)," ",VLOOKUP(E112,'Index Web'!A$4:O$253,13,FALSE),"""","},")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Z112" t="str">
        <f>_xlfn.CONCAT(F112:Y112)</f>
        <v>{idi:110, id:"himnodelaascension", title: "Himno de la Ascensión", subtitle: "Himno de Laudes del tiempo Pascual, de la Ascensión a Pentecostés  / Himno de la liturgia de las horas ", category: "Precatecumenado", moments: ["Pascua","Pentecostés"], url: "/src/index.html?canto=himnodelaascension", visible: "", cejilla: "", acorde: "La", scrollConfig: {"mobile": { "v": 25, "i": 1 },"tablet": { "v": 25, "i": 1 },"desktop": { "v": 7, "i": 1 },"desktopsmall": { "v": 7, "i": 1 }},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3" spans="2:26" x14ac:dyDescent="0.25">
      <c r="B113" s="50" t="s">
        <v>569</v>
      </c>
      <c r="C113" s="1" t="str">
        <f>IF(VLOOKUP(Table4[[#This Row],[Cantounido]],Table7[],3,FALSE)=0,"",VLOOKUP(Table4[[#This Row],[Cantounido]],Table7[],3,FALSE))</f>
        <v/>
      </c>
      <c r="D113" s="44" t="str">
        <f>IF(VLOOKUP(Table4[[#This Row],[Cantounido]],Table7[],4,FALSE)=0,"",VLOOKUP(Table4[[#This Row],[Cantounido]],Table7[],4,FALSE))</f>
        <v>La</v>
      </c>
      <c r="E113" s="25">
        <v>90</v>
      </c>
      <c r="F113" t="str">
        <f>F112</f>
        <v>{idi:</v>
      </c>
      <c r="G113" t="str">
        <f>_xlfn.CONCAT(VLOOKUP(E113,'Index Web'!A$4:L$253,2,FALSE),", ")</f>
        <v xml:space="preserve">111, </v>
      </c>
      <c r="H113" t="str">
        <f>H112</f>
        <v>id:</v>
      </c>
      <c r="I113" t="str">
        <f>_xlfn.CONCAT("""",VLOOKUP(E113,'Index Web'!A$4:O$253,13,FALSE),"""",", ")</f>
        <v xml:space="preserve">"himnodepascua", </v>
      </c>
      <c r="J113" t="s">
        <v>2016</v>
      </c>
      <c r="K113" t="str">
        <f>_xlfn.CONCAT("""",VLOOKUP(E113,'Index Web'!A$4:L$253,3,FALSE),"""")</f>
        <v>"Himno de Pascua"</v>
      </c>
      <c r="L113" t="s">
        <v>942</v>
      </c>
      <c r="M113" t="str">
        <f>_xlfn.CONCAT("""",VLOOKUP(E113,'Index Web'!A$4:L$253,4,FALSE),"""")</f>
        <v>"Himno lat. «Aurora lucis rutiiat»"</v>
      </c>
      <c r="N113" t="s">
        <v>943</v>
      </c>
      <c r="O113" t="str">
        <f>_xlfn.CONCAT("""",VLOOKUP(E113,'Index Web'!A$4:L$253,5,FALSE),"""")</f>
        <v>"Precatecumenado"</v>
      </c>
      <c r="P113" t="s">
        <v>944</v>
      </c>
      <c r="Q113" t="str">
        <f>_xlfn.CONCAT("[",VLOOKUP(E113,'Index Web'!A$4:N$253,14,FALSE),"]")</f>
        <v>["Pascua","Pentecostés"]</v>
      </c>
      <c r="R113" t="s">
        <v>945</v>
      </c>
      <c r="S113" t="str">
        <f>_xlfn.CONCAT("""/src/index.html?canto=",VLOOKUP(E113,'Index Web'!A$4:N$253,13,FALSE),""", ")</f>
        <v xml:space="preserve">"/src/index.html?canto=himnodepascua", </v>
      </c>
      <c r="T113" t="str">
        <f>T112</f>
        <v xml:space="preserve">visible: "", </v>
      </c>
      <c r="U113" t="str">
        <f>_xlfn.CONCAT("cejilla: """,C113,""", ")</f>
        <v xml:space="preserve">cejilla: "", </v>
      </c>
      <c r="V113" t="str">
        <f>_xlfn.CONCAT("acorde: """,D113,""", ")</f>
        <v xml:space="preserve">acorde: "La", </v>
      </c>
      <c r="W113" t="s">
        <v>2012</v>
      </c>
      <c r="X113" t="s">
        <v>2013</v>
      </c>
      <c r="Y113" t="str">
        <f>_xlfn.CONCAT("""",VLOOKUP(E113,'Index Web'!A$4:O$253,15,FALSE)," ",VLOOKUP(E113,'Index Web'!A$4:O$253,13,FALSE),"""","},")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Z113" t="str">
        <f>_xlfn.CONCAT(F113:Y113)</f>
        <v>{idi:111, id:"himnodepascua", title: "Himno de Pascua", subtitle: "Himno lat. «Aurora lucis rutiiat»", category: "Precatecumenado", moments: ["Pascua","Pentecostés"], url: "/src/index.html?canto=himnodepascua", visible: "", cejilla: "", acorde: "La", scrollConfig: {"mobile": { "v": 25, "i": 1 },"tablet": { "v": 25, "i": 1 },"desktop": { "v": 7, "i": 1 },"desktopsmall": { "v": 7, "i": 1 }},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4" spans="2:26" x14ac:dyDescent="0.25">
      <c r="B114" s="51" t="s">
        <v>570</v>
      </c>
      <c r="C114" s="1" t="str">
        <f>IF(VLOOKUP(Table4[[#This Row],[Cantounido]],Table7[],3,FALSE)=0,"",VLOOKUP(Table4[[#This Row],[Cantounido]],Table7[],3,FALSE))</f>
        <v/>
      </c>
      <c r="D114" s="44" t="str">
        <f>IF(VLOOKUP(Table4[[#This Row],[Cantounido]],Table7[],4,FALSE)=0,"",VLOOKUP(Table4[[#This Row],[Cantounido]],Table7[],4,FALSE))</f>
        <v>La</v>
      </c>
      <c r="E114" s="26">
        <v>91</v>
      </c>
      <c r="F114" t="str">
        <f>F113</f>
        <v>{idi:</v>
      </c>
      <c r="G114" t="str">
        <f>_xlfn.CONCAT(VLOOKUP(E114,'Index Web'!A$4:L$253,2,FALSE),", ")</f>
        <v xml:space="preserve">112, </v>
      </c>
      <c r="H114" t="str">
        <f>H113</f>
        <v>id:</v>
      </c>
      <c r="I114" t="str">
        <f>_xlfn.CONCAT("""",VLOOKUP(E114,'Index Web'!A$4:O$253,13,FALSE),"""",", ")</f>
        <v xml:space="preserve">"huyeamadomio", </v>
      </c>
      <c r="J114" t="s">
        <v>2016</v>
      </c>
      <c r="K114" t="str">
        <f>_xlfn.CONCAT("""",VLOOKUP(E114,'Index Web'!A$4:L$253,3,FALSE),"""")</f>
        <v>"Huye, amado mío"</v>
      </c>
      <c r="L114" t="s">
        <v>942</v>
      </c>
      <c r="M114" t="str">
        <f>_xlfn.CONCAT("""",VLOOKUP(E114,'Index Web'!A$4:L$253,4,FALSE),"""")</f>
        <v>"Cantar de los Cantares 8,10-14"</v>
      </c>
      <c r="N114" t="s">
        <v>943</v>
      </c>
      <c r="O114" t="str">
        <f>_xlfn.CONCAT("""",VLOOKUP(E114,'Index Web'!A$4:L$253,5,FALSE),"""")</f>
        <v>"Precatecumenado"</v>
      </c>
      <c r="P114" t="s">
        <v>944</v>
      </c>
      <c r="Q114" t="str">
        <f>_xlfn.CONCAT("[",VLOOKUP(E114,'Index Web'!A$4:N$253,14,FALSE),"]")</f>
        <v>["Pascua","Pentecostés","Comunión","Final","Antiguo Testamento"]</v>
      </c>
      <c r="R114" t="s">
        <v>945</v>
      </c>
      <c r="S114" t="str">
        <f>_xlfn.CONCAT("""/src/index.html?canto=",VLOOKUP(E114,'Index Web'!A$4:N$253,13,FALSE),""", ")</f>
        <v xml:space="preserve">"/src/index.html?canto=huyeamadomio", </v>
      </c>
      <c r="T114" t="str">
        <f>T113</f>
        <v xml:space="preserve">visible: "", </v>
      </c>
      <c r="U114" t="str">
        <f>_xlfn.CONCAT("cejilla: """,C114,""", ")</f>
        <v xml:space="preserve">cejilla: "", </v>
      </c>
      <c r="V114" t="str">
        <f>_xlfn.CONCAT("acorde: """,D114,""", ")</f>
        <v xml:space="preserve">acorde: "La", </v>
      </c>
      <c r="W114" t="s">
        <v>2012</v>
      </c>
      <c r="X114" t="s">
        <v>2013</v>
      </c>
      <c r="Y114" t="str">
        <f>_xlfn.CONCAT("""",VLOOKUP(E114,'Index Web'!A$4:O$253,15,FALSE)," ",VLOOKUP(E114,'Index Web'!A$4:O$253,13,FALSE),"""","},")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Z114" t="str">
        <f>_xlfn.CONCAT(F114:Y114)</f>
        <v>{idi:112, id:"huyeamadomio", title: "Huye, amado mío", subtitle: "Cantar de los Cantares 8,10-14", category: "Precatecumenado", moments: ["Pascua","Pentecostés","Comunión","Final","Antiguo Testamento"], url: "/src/index.html?canto=huyeamadomio", visible: "", cejilla: "", acorde: "La", scrollConfig: {"mobile": { "v": 25, "i": 1 },"tablet": { "v": 25, "i": 1 },"desktop": { "v": 7, "i": 1 },"desktopsmall": { "v": 7, "i": 1 }},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5" spans="2:26" x14ac:dyDescent="0.25">
      <c r="B115" s="50" t="s">
        <v>571</v>
      </c>
      <c r="C115" s="1" t="str">
        <f>IF(VLOOKUP(Table4[[#This Row],[Cantounido]],Table7[],3,FALSE)=0,"",VLOOKUP(Table4[[#This Row],[Cantounido]],Table7[],3,FALSE))</f>
        <v/>
      </c>
      <c r="D115" s="44" t="str">
        <f>IF(VLOOKUP(Table4[[#This Row],[Cantounido]],Table7[],4,FALSE)=0,"",VLOOKUP(Table4[[#This Row],[Cantounido]],Table7[],4,FALSE))</f>
        <v>La</v>
      </c>
      <c r="E115" s="25">
        <v>92</v>
      </c>
      <c r="F115" t="str">
        <f>F114</f>
        <v>{idi:</v>
      </c>
      <c r="G115" t="str">
        <f>_xlfn.CONCAT(VLOOKUP(E115,'Index Web'!A$4:L$253,2,FALSE),", ")</f>
        <v xml:space="preserve">113, </v>
      </c>
      <c r="H115" t="str">
        <f>H114</f>
        <v>id:</v>
      </c>
      <c r="I115" t="str">
        <f>_xlfn.CONCAT("""",VLOOKUP(E115,'Index Web'!A$4:O$253,13,FALSE),"""",", ")</f>
        <v xml:space="preserve">"idyanunciadamishermanos", </v>
      </c>
      <c r="J115" t="s">
        <v>2016</v>
      </c>
      <c r="K115" t="str">
        <f>_xlfn.CONCAT("""",VLOOKUP(E115,'Index Web'!A$4:L$253,3,FALSE),"""")</f>
        <v>"Id y anunciad a mis hermanos"</v>
      </c>
      <c r="L115" t="s">
        <v>942</v>
      </c>
      <c r="M115" t="str">
        <f>_xlfn.CONCAT("""",VLOOKUP(E115,'Index Web'!A$4:L$253,4,FALSE),"""")</f>
        <v>"Mateo 28,10.16-20"</v>
      </c>
      <c r="N115" t="s">
        <v>943</v>
      </c>
      <c r="O115" t="str">
        <f>_xlfn.CONCAT("""",VLOOKUP(E115,'Index Web'!A$4:L$253,5,FALSE),"""")</f>
        <v>"Precatecumenado"</v>
      </c>
      <c r="P115" t="s">
        <v>944</v>
      </c>
      <c r="Q115" t="str">
        <f>_xlfn.CONCAT("[",VLOOKUP(E115,'Index Web'!A$4:N$253,14,FALSE),"]")</f>
        <v>["Pascua","Pentecostés","Final","Nuevo Testamento"]</v>
      </c>
      <c r="R115" t="s">
        <v>945</v>
      </c>
      <c r="S115" t="str">
        <f>_xlfn.CONCAT("""/src/index.html?canto=",VLOOKUP(E115,'Index Web'!A$4:N$253,13,FALSE),""", ")</f>
        <v xml:space="preserve">"/src/index.html?canto=idyanunciadamishermanos", </v>
      </c>
      <c r="T115" t="str">
        <f>T114</f>
        <v xml:space="preserve">visible: "", </v>
      </c>
      <c r="U115" t="str">
        <f>_xlfn.CONCAT("cejilla: """,C115,""", ")</f>
        <v xml:space="preserve">cejilla: "", </v>
      </c>
      <c r="V115" t="str">
        <f>_xlfn.CONCAT("acorde: """,D115,""", ")</f>
        <v xml:space="preserve">acorde: "La", </v>
      </c>
      <c r="W115" t="s">
        <v>2012</v>
      </c>
      <c r="X115" t="s">
        <v>2013</v>
      </c>
      <c r="Y115" t="str">
        <f>_xlfn.CONCAT("""",VLOOKUP(E115,'Index Web'!A$4:O$253,15,FALSE)," ",VLOOKUP(E115,'Index Web'!A$4:O$253,13,FALSE),"""","},")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Z115" t="str">
        <f>_xlfn.CONCAT(F115:Y115)</f>
        <v>{idi:113, id:"idyanunciadamishermanos", title: "Id y anunciad a mis hermanos", subtitle: "Mateo 28,10.16-20", category: "Precatecumenado", moments: ["Pascua","Pentecostés","Final","Nuevo Testamento"], url: "/src/index.html?canto=idyanunciadamishermanos", visible: "", cejilla: "", acorde: "La", scrollConfig: {"mobile": { "v": 25, "i": 1 },"tablet": { "v": 25, "i": 1 },"desktop": { "v": 7, "i": 1 },"desktopsmall": { "v": 7, "i": 1 }},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6" spans="2:26" x14ac:dyDescent="0.25">
      <c r="B116" s="51" t="s">
        <v>572</v>
      </c>
      <c r="C116" s="1" t="str">
        <f>IF(VLOOKUP(Table4[[#This Row],[Cantounido]],Table7[],3,FALSE)=0,"",VLOOKUP(Table4[[#This Row],[Cantounido]],Table7[],3,FALSE))</f>
        <v/>
      </c>
      <c r="D116" s="44" t="str">
        <f>IF(VLOOKUP(Table4[[#This Row],[Cantounido]],Table7[],4,FALSE)=0,"",VLOOKUP(Table4[[#This Row],[Cantounido]],Table7[],4,FALSE))</f>
        <v>Mi</v>
      </c>
      <c r="E116" s="26">
        <v>93</v>
      </c>
      <c r="F116" t="str">
        <f>F115</f>
        <v>{idi:</v>
      </c>
      <c r="G116" t="str">
        <f>_xlfn.CONCAT(VLOOKUP(E116,'Index Web'!A$4:L$253,2,FALSE),", ")</f>
        <v xml:space="preserve">114, </v>
      </c>
      <c r="H116" t="str">
        <f>H115</f>
        <v>id:</v>
      </c>
      <c r="I116" t="str">
        <f>_xlfn.CONCAT("""",VLOOKUP(E116,'Index Web'!A$4:O$253,13,FALSE),"""",", ")</f>
        <v xml:space="preserve">"improperios", </v>
      </c>
      <c r="J116" t="s">
        <v>2016</v>
      </c>
      <c r="K116" t="str">
        <f>_xlfn.CONCAT("""",VLOOKUP(E116,'Index Web'!A$4:L$253,3,FALSE),"""")</f>
        <v>"Improperios"</v>
      </c>
      <c r="L116" t="s">
        <v>942</v>
      </c>
      <c r="M116" t="str">
        <f>_xlfn.CONCAT("""",VLOOKUP(E116,'Index Web'!A$4:L$253,4,FALSE),"""")</f>
        <v>"Adoración de la santa Cruz el Viernes santo"</v>
      </c>
      <c r="N116" t="s">
        <v>943</v>
      </c>
      <c r="O116" t="str">
        <f>_xlfn.CONCAT("""",VLOOKUP(E116,'Index Web'!A$4:L$253,5,FALSE),"""")</f>
        <v>"Precatecumenado"</v>
      </c>
      <c r="P116" t="s">
        <v>944</v>
      </c>
      <c r="Q116" t="str">
        <f>_xlfn.CONCAT("[",VLOOKUP(E116,'Index Web'!A$4:N$253,14,FALSE),"]")</f>
        <v>["Cuaresma","Fracción Del Pan"]</v>
      </c>
      <c r="R116" t="s">
        <v>945</v>
      </c>
      <c r="S116" t="str">
        <f>_xlfn.CONCAT("""/src/index.html?canto=",VLOOKUP(E116,'Index Web'!A$4:N$253,13,FALSE),""", ")</f>
        <v xml:space="preserve">"/src/index.html?canto=improperios", </v>
      </c>
      <c r="T116" t="str">
        <f>T115</f>
        <v xml:space="preserve">visible: "", </v>
      </c>
      <c r="U116" t="str">
        <f>_xlfn.CONCAT("cejilla: """,C116,""", ")</f>
        <v xml:space="preserve">cejilla: "", </v>
      </c>
      <c r="V116" t="str">
        <f>_xlfn.CONCAT("acorde: """,D116,""", ")</f>
        <v xml:space="preserve">acorde: "Mi", </v>
      </c>
      <c r="W116" t="s">
        <v>2012</v>
      </c>
      <c r="X116" t="s">
        <v>2013</v>
      </c>
      <c r="Y116" t="str">
        <f>_xlfn.CONCAT("""",VLOOKUP(E116,'Index Web'!A$4:O$253,15,FALSE)," ",VLOOKUP(E116,'Index Web'!A$4:O$253,13,FALSE),"""","},")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Z116" t="str">
        <f>_xlfn.CONCAT(F116:Y116)</f>
        <v>{idi:114, id:"improperios", title: "Improperios", subtitle: "Adoración de la santa Cruz el Viernes santo", category: "Precatecumenado", moments: ["Cuaresma","Fracción Del Pan"], url: "/src/index.html?canto=improperios", visible: "", cejilla: "", acorde: "Mi", scrollConfig: {"mobile": { "v": 25, "i": 1 },"tablet": { "v": 25, "i": 1 },"desktop": { "v": 7, "i": 1 },"desktopsmall": { "v": 7, "i": 1 }},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7" spans="2:26" x14ac:dyDescent="0.25">
      <c r="B117" s="57" t="s">
        <v>691</v>
      </c>
      <c r="C117" s="1" t="str">
        <f>IF(VLOOKUP(Table4[[#This Row],[Cantounido]],Table7[],3,FALSE)=0,"",VLOOKUP(Table4[[#This Row],[Cantounido]],Table7[],3,FALSE))</f>
        <v/>
      </c>
      <c r="D117" s="44" t="str">
        <f>IF(VLOOKUP(Table4[[#This Row],[Cantounido]],Table7[],4,FALSE)=0,"",VLOOKUP(Table4[[#This Row],[Cantounido]],Table7[],4,FALSE))</f>
        <v>La</v>
      </c>
      <c r="E117" s="31">
        <v>228</v>
      </c>
      <c r="F117" t="str">
        <f>F116</f>
        <v>{idi:</v>
      </c>
      <c r="G117" t="str">
        <f>_xlfn.CONCAT(VLOOKUP(E117,'Index Web'!A$4:L$253,2,FALSE),", ")</f>
        <v xml:space="preserve">115, </v>
      </c>
      <c r="H117" t="str">
        <f>H116</f>
        <v>id:</v>
      </c>
      <c r="I117" t="str">
        <f>_xlfn.CONCAT("""",VLOOKUP(E117,'Index Web'!A$4:O$253,13,FALSE),"""",", ")</f>
        <v xml:space="preserve">"jacob", </v>
      </c>
      <c r="J117" t="s">
        <v>2016</v>
      </c>
      <c r="K117" t="str">
        <f>_xlfn.CONCAT("""",VLOOKUP(E117,'Index Web'!A$4:L$253,3,FALSE),"""")</f>
        <v>"Jacob "</v>
      </c>
      <c r="L117" t="s">
        <v>942</v>
      </c>
      <c r="M117" t="str">
        <f>_xlfn.CONCAT("""",VLOOKUP(E117,'Index Web'!A$4:L$253,4,FALSE),"""")</f>
        <v>"Genesis 32,23-29 "</v>
      </c>
      <c r="N117" t="s">
        <v>943</v>
      </c>
      <c r="O117" t="str">
        <f>_xlfn.CONCAT("""",VLOOKUP(E117,'Index Web'!A$4:L$253,5,FALSE),"""")</f>
        <v>"Catecumenado"</v>
      </c>
      <c r="P117" t="s">
        <v>944</v>
      </c>
      <c r="Q117" t="str">
        <f>_xlfn.CONCAT("[",VLOOKUP(E117,'Index Web'!A$4:N$253,14,FALSE),"]")</f>
        <v>["Antiguo Testamento"]</v>
      </c>
      <c r="R117" t="s">
        <v>945</v>
      </c>
      <c r="S117" t="str">
        <f>_xlfn.CONCAT("""/src/index.html?canto=",VLOOKUP(E117,'Index Web'!A$4:N$253,13,FALSE),""", ")</f>
        <v xml:space="preserve">"/src/index.html?canto=jacob", </v>
      </c>
      <c r="T117" t="str">
        <f>T116</f>
        <v xml:space="preserve">visible: "", </v>
      </c>
      <c r="U117" t="str">
        <f>_xlfn.CONCAT("cejilla: """,C117,""", ")</f>
        <v xml:space="preserve">cejilla: "", </v>
      </c>
      <c r="V117" t="str">
        <f>_xlfn.CONCAT("acorde: """,D117,""", ")</f>
        <v xml:space="preserve">acorde: "La", </v>
      </c>
      <c r="W117" t="s">
        <v>2012</v>
      </c>
      <c r="X117" t="s">
        <v>2013</v>
      </c>
      <c r="Y117" t="str">
        <f>_xlfn.CONCAT("""",VLOOKUP(E117,'Index Web'!A$4:O$253,15,FALSE)," ",VLOOKUP(E117,'Index Web'!A$4:O$253,13,FALSE),"""","},")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Z117" t="str">
        <f>_xlfn.CONCAT(F117:Y117)</f>
        <v>{idi:115, id:"jacob", title: "Jacob ", subtitle: "Genesis 32,23-29 ", category: "Catecumenado", moments: ["Antiguo Testamento"], url: "/src/index.html?canto=jacob", visible: "", cejilla: "", acorde: "La", scrollConfig: {"mobile": { "v": 25, "i": 1 },"tablet": { "v": 25, "i": 1 },"desktop": { "v": 7, "i": 1 },"desktopsmall": { "v": 7, "i": 1 }},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8" spans="2:26" x14ac:dyDescent="0.25">
      <c r="B118" s="51" t="s">
        <v>573</v>
      </c>
      <c r="C118" s="1">
        <f>IF(VLOOKUP(Table4[[#This Row],[Cantounido]],Table7[],3,FALSE)=0,"",VLOOKUP(Table4[[#This Row],[Cantounido]],Table7[],3,FALSE))</f>
        <v>5</v>
      </c>
      <c r="D118" s="44" t="str">
        <f>IF(VLOOKUP(Table4[[#This Row],[Cantounido]],Table7[],4,FALSE)=0,"",VLOOKUP(Table4[[#This Row],[Cantounido]],Table7[],4,FALSE))</f>
        <v>Mi</v>
      </c>
      <c r="E118" s="26">
        <v>94</v>
      </c>
      <c r="F118" t="str">
        <f>F117</f>
        <v>{idi:</v>
      </c>
      <c r="G118" t="str">
        <f>_xlfn.CONCAT(VLOOKUP(E118,'Index Web'!A$4:L$253,2,FALSE),", ")</f>
        <v xml:space="preserve">116, </v>
      </c>
      <c r="H118" t="str">
        <f>H117</f>
        <v>id:</v>
      </c>
      <c r="I118" t="str">
        <f>_xlfn.CONCAT("""",VLOOKUP(E118,'Index Web'!A$4:O$253,13,FALSE),"""",", ")</f>
        <v xml:space="preserve">"jerusalenreconstruida", </v>
      </c>
      <c r="J118" t="s">
        <v>2016</v>
      </c>
      <c r="K118" t="str">
        <f>_xlfn.CONCAT("""",VLOOKUP(E118,'Index Web'!A$4:L$253,3,FALSE),"""")</f>
        <v>"Jerusalén reconstruida"</v>
      </c>
      <c r="L118" t="s">
        <v>942</v>
      </c>
      <c r="M118" t="str">
        <f>_xlfn.CONCAT("""",VLOOKUP(E118,'Index Web'!A$4:L$253,4,FALSE),"""")</f>
        <v>"Tobias 13,11-17"</v>
      </c>
      <c r="N118" t="s">
        <v>943</v>
      </c>
      <c r="O118" t="str">
        <f>_xlfn.CONCAT("""",VLOOKUP(E118,'Index Web'!A$4:L$253,5,FALSE),"""")</f>
        <v>"Precatecumenado"</v>
      </c>
      <c r="P118" t="s">
        <v>944</v>
      </c>
      <c r="Q118" t="str">
        <f>_xlfn.CONCAT("[",VLOOKUP(E118,'Index Web'!A$4:N$253,14,FALSE),"]")</f>
        <v>["Pascua","Pentecostés","Paz","Antiguo Testamento"]</v>
      </c>
      <c r="R118" t="s">
        <v>945</v>
      </c>
      <c r="S118" t="str">
        <f>_xlfn.CONCAT("""/src/index.html?canto=",VLOOKUP(E118,'Index Web'!A$4:N$253,13,FALSE),""", ")</f>
        <v xml:space="preserve">"/src/index.html?canto=jerusalenreconstruida", </v>
      </c>
      <c r="T118" t="str">
        <f>T117</f>
        <v xml:space="preserve">visible: "", </v>
      </c>
      <c r="U118" t="str">
        <f>_xlfn.CONCAT("cejilla: """,C118,""", ")</f>
        <v xml:space="preserve">cejilla: "5", </v>
      </c>
      <c r="V118" t="str">
        <f>_xlfn.CONCAT("acorde: """,D118,""", ")</f>
        <v xml:space="preserve">acorde: "Mi", </v>
      </c>
      <c r="W118" t="s">
        <v>2012</v>
      </c>
      <c r="X118" t="s">
        <v>2013</v>
      </c>
      <c r="Y118" t="str">
        <f>_xlfn.CONCAT("""",VLOOKUP(E118,'Index Web'!A$4:O$253,15,FALSE)," ",VLOOKUP(E118,'Index Web'!A$4:O$253,13,FALSE),"""","},")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Z118" t="str">
        <f>_xlfn.CONCAT(F118:Y118)</f>
        <v>{idi:116, id:"jerusalenreconstruida", title: "Jerusalén reconstruida", subtitle: "Tobias 13,11-17", category: "Precatecumenado", moments: ["Pascua","Pentecostés","Paz","Antiguo Testamento"], url: "/src/index.html?canto=jerusalenreconstruida", visible: "", cejilla: "5", acorde: "Mi", scrollConfig: {"mobile": { "v": 25, "i": 1 },"tablet": { "v": 25, "i": 1 },"desktop": { "v": 7, "i": 1 },"desktopsmall": { "v": 7, "i": 1 }},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9" spans="2:26" x14ac:dyDescent="0.25">
      <c r="B119" s="50" t="s">
        <v>2065</v>
      </c>
      <c r="C119" s="1" t="str">
        <f>IF(VLOOKUP(Table4[[#This Row],[Cantounido]],Table7[],3,FALSE)=0,"",VLOOKUP(Table4[[#This Row],[Cantounido]],Table7[],3,FALSE))</f>
        <v/>
      </c>
      <c r="D119" s="44" t="str">
        <f>IF(VLOOKUP(Table4[[#This Row],[Cantounido]],Table7[],4,FALSE)=0,"",VLOOKUP(Table4[[#This Row],[Cantounido]],Table7[],4,FALSE))</f>
        <v>La</v>
      </c>
      <c r="E119" s="25">
        <v>95</v>
      </c>
      <c r="F119" t="str">
        <f>F118</f>
        <v>{idi:</v>
      </c>
      <c r="G119" t="str">
        <f>_xlfn.CONCAT(VLOOKUP(E119,'Index Web'!A$4:L$253,2,FALSE),", ")</f>
        <v xml:space="preserve">117, </v>
      </c>
      <c r="H119" t="str">
        <f>H118</f>
        <v>id:</v>
      </c>
      <c r="I119" t="str">
        <f>_xlfn.CONCAT("""",VLOOKUP(E119,'Index Web'!A$4:O$253,13,FALSE),"""",", ")</f>
        <v xml:space="preserve">"jesusrecorriatodaslasciudades", </v>
      </c>
      <c r="J119" t="s">
        <v>2016</v>
      </c>
      <c r="K119" t="str">
        <f>_xlfn.CONCAT("""",VLOOKUP(E119,'Index Web'!A$4:L$253,3,FALSE),"""")</f>
        <v>"Jesús recorría todas las ciudades"</v>
      </c>
      <c r="L119" t="s">
        <v>942</v>
      </c>
      <c r="M119" t="str">
        <f>_xlfn.CONCAT("""",VLOOKUP(E119,'Index Web'!A$4:L$253,4,FALSE),"""")</f>
        <v>"Mateo 9,35ss; 10 "</v>
      </c>
      <c r="N119" t="s">
        <v>943</v>
      </c>
      <c r="O119" t="str">
        <f>_xlfn.CONCAT("""",VLOOKUP(E119,'Index Web'!A$4:L$253,5,FALSE),"""")</f>
        <v>"Precatecumenado"</v>
      </c>
      <c r="P119" t="s">
        <v>944</v>
      </c>
      <c r="Q119" t="str">
        <f>_xlfn.CONCAT("[",VLOOKUP(E119,'Index Web'!A$4:N$253,14,FALSE),"]")</f>
        <v>["Nuevo Testamento"]</v>
      </c>
      <c r="R119" t="s">
        <v>945</v>
      </c>
      <c r="S119" t="str">
        <f>_xlfn.CONCAT("""/src/index.html?canto=",VLOOKUP(E119,'Index Web'!A$4:N$253,13,FALSE),""", ")</f>
        <v xml:space="preserve">"/src/index.html?canto=jesusrecorriatodaslasciudades", </v>
      </c>
      <c r="T119" t="str">
        <f>T118</f>
        <v xml:space="preserve">visible: "", </v>
      </c>
      <c r="U119" t="str">
        <f>_xlfn.CONCAT("cejilla: """,C119,""", ")</f>
        <v xml:space="preserve">cejilla: "", </v>
      </c>
      <c r="V119" t="str">
        <f>_xlfn.CONCAT("acorde: """,D119,""", ")</f>
        <v xml:space="preserve">acorde: "La", </v>
      </c>
      <c r="W119" t="s">
        <v>2012</v>
      </c>
      <c r="X119" t="s">
        <v>2013</v>
      </c>
      <c r="Y119" t="str">
        <f>_xlfn.CONCAT("""",VLOOKUP(E119,'Index Web'!A$4:O$253,15,FALSE)," ",VLOOKUP(E119,'Index Web'!A$4:O$253,13,FALSE),"""","},")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jesusrecorriatodaslasciudades"},</v>
      </c>
      <c r="Z119" t="str">
        <f>_xlfn.CONCAT(F119:Y119)</f>
        <v>{idi:117, id:"jesusrecorriatodaslasciudades", title: "Jesús recorría todas las ciudades", subtitle: "Mateo 9,35ss; 10 ", category: "Precatecumenado", moments: ["Nuevo Testamento"], url: "/src/index.html?canto=jesusrecorriatodaslasciudades", visible: "", cejilla: "", acorde: "La", scrollConfig: {"mobile": { "v": 25, "i": 1 },"tablet": { "v": 25, "i": 1 },"desktop": { "v": 7, "i": 1 },"desktopsmall": { "v": 7, "i": 1 }},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jesusrecorriatodaslasciudades"},</v>
      </c>
    </row>
    <row r="120" spans="2:26" x14ac:dyDescent="0.25">
      <c r="B120" s="51" t="s">
        <v>574</v>
      </c>
      <c r="C120" s="1">
        <f>IF(VLOOKUP(Table4[[#This Row],[Cantounido]],Table7[],3,FALSE)=0,"",VLOOKUP(Table4[[#This Row],[Cantounido]],Table7[],3,FALSE))</f>
        <v>3</v>
      </c>
      <c r="D120" s="44" t="str">
        <f>IF(VLOOKUP(Table4[[#This Row],[Cantounido]],Table7[],4,FALSE)=0,"",VLOOKUP(Table4[[#This Row],[Cantounido]],Table7[],4,FALSE))</f>
        <v>Mi</v>
      </c>
      <c r="E120" s="26">
        <v>96</v>
      </c>
      <c r="F120" t="str">
        <f>F119</f>
        <v>{idi:</v>
      </c>
      <c r="G120" t="str">
        <f>_xlfn.CONCAT(VLOOKUP(E120,'Index Web'!A$4:L$253,2,FALSE),", ")</f>
        <v xml:space="preserve">118, </v>
      </c>
      <c r="H120" t="str">
        <f>H119</f>
        <v>id:</v>
      </c>
      <c r="I120" t="str">
        <f>_xlfn.CONCAT("""",VLOOKUP(E120,'Index Web'!A$4:O$253,13,FALSE),"""",", ")</f>
        <v xml:space="preserve">"lacorderadedios", </v>
      </c>
      <c r="J120" t="s">
        <v>2016</v>
      </c>
      <c r="K120" t="str">
        <f>_xlfn.CONCAT("""",VLOOKUP(E120,'Index Web'!A$4:L$253,3,FALSE),"""")</f>
        <v>"La cordera de Dios"</v>
      </c>
      <c r="L120" t="s">
        <v>942</v>
      </c>
      <c r="M120" t="str">
        <f>_xlfn.CONCAT("""",VLOOKUP(E120,'Index Web'!A$4:L$253,4,FALSE),"""")</f>
        <v>"Mateo 1,18s; 2,13s.18"</v>
      </c>
      <c r="N120" t="s">
        <v>943</v>
      </c>
      <c r="O120" t="str">
        <f>_xlfn.CONCAT("""",VLOOKUP(E120,'Index Web'!A$4:L$253,5,FALSE),"""")</f>
        <v>"Precatecumenado"</v>
      </c>
      <c r="P120" t="s">
        <v>944</v>
      </c>
      <c r="Q120" t="str">
        <f>_xlfn.CONCAT("[",VLOOKUP(E120,'Index Web'!A$4:N$253,14,FALSE),"]")</f>
        <v>["Vírgen María","Adviento","Navidad","Nuevo Testamento"]</v>
      </c>
      <c r="R120" t="s">
        <v>945</v>
      </c>
      <c r="S120" t="str">
        <f>_xlfn.CONCAT("""/src/index.html?canto=",VLOOKUP(E120,'Index Web'!A$4:N$253,13,FALSE),""", ")</f>
        <v xml:space="preserve">"/src/index.html?canto=lacorderadedios", </v>
      </c>
      <c r="T120" t="str">
        <f>T119</f>
        <v xml:space="preserve">visible: "", </v>
      </c>
      <c r="U120" t="str">
        <f>_xlfn.CONCAT("cejilla: """,C120,""", ")</f>
        <v xml:space="preserve">cejilla: "3", </v>
      </c>
      <c r="V120" t="str">
        <f>_xlfn.CONCAT("acorde: """,D120,""", ")</f>
        <v xml:space="preserve">acorde: "Mi", </v>
      </c>
      <c r="W120" t="s">
        <v>2012</v>
      </c>
      <c r="X120" t="s">
        <v>2013</v>
      </c>
      <c r="Y120" t="str">
        <f>_xlfn.CONCAT("""",VLOOKUP(E120,'Index Web'!A$4:O$253,15,FALSE)," ",VLOOKUP(E120,'Index Web'!A$4:O$253,13,FALSE),"""","},")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Z120" t="str">
        <f>_xlfn.CONCAT(F120:Y120)</f>
        <v>{idi:118, id:"lacorderadedios", title: "La cordera de Dios", subtitle: "Mateo 1,18s; 2,13s.18", category: "Precatecumenado", moments: ["Vírgen María","Adviento","Navidad","Nuevo Testamento"], url: "/src/index.html?canto=lacorderadedios", visible: "", cejilla: "3", acorde: "Mi", scrollConfig: {"mobile": { "v": 25, "i": 1 },"tablet": { "v": 25, "i": 1 },"desktop": { "v": 7, "i": 1 },"desktopsmall": { "v": 7, "i": 1 }},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1" spans="2:26" x14ac:dyDescent="0.25">
      <c r="B121" s="50" t="s">
        <v>575</v>
      </c>
      <c r="C121" s="1" t="str">
        <f>IF(VLOOKUP(Table4[[#This Row],[Cantounido]],Table7[],3,FALSE)=0,"",VLOOKUP(Table4[[#This Row],[Cantounido]],Table7[],3,FALSE))</f>
        <v/>
      </c>
      <c r="D121" s="44" t="str">
        <f>IF(VLOOKUP(Table4[[#This Row],[Cantounido]],Table7[],4,FALSE)=0,"",VLOOKUP(Table4[[#This Row],[Cantounido]],Table7[],4,FALSE))</f>
        <v>La</v>
      </c>
      <c r="E121" s="25">
        <v>97</v>
      </c>
      <c r="F121" t="str">
        <f>F120</f>
        <v>{idi:</v>
      </c>
      <c r="G121" t="str">
        <f>_xlfn.CONCAT(VLOOKUP(E121,'Index Web'!A$4:L$253,2,FALSE),", ")</f>
        <v xml:space="preserve">119, </v>
      </c>
      <c r="H121" t="str">
        <f>H120</f>
        <v>id:</v>
      </c>
      <c r="I121" t="str">
        <f>_xlfn.CONCAT("""",VLOOKUP(E121,'Index Web'!A$4:O$253,13,FALSE),"""",", ")</f>
        <v xml:space="preserve">"laespada", </v>
      </c>
      <c r="J121" t="s">
        <v>2016</v>
      </c>
      <c r="K121" t="str">
        <f>_xlfn.CONCAT("""",VLOOKUP(E121,'Index Web'!A$4:L$253,3,FALSE),"""")</f>
        <v>"La espada"</v>
      </c>
      <c r="L121" t="s">
        <v>942</v>
      </c>
      <c r="M121" t="str">
        <f>_xlfn.CONCAT("""",VLOOKUP(E121,'Index Web'!A$4:L$253,4,FALSE),"""")</f>
        <v>"Ezequiel 21,14-22"</v>
      </c>
      <c r="N121" t="s">
        <v>943</v>
      </c>
      <c r="O121" t="str">
        <f>_xlfn.CONCAT("""",VLOOKUP(E121,'Index Web'!A$4:L$253,5,FALSE),"""")</f>
        <v>"Precatecumenado"</v>
      </c>
      <c r="P121" t="s">
        <v>944</v>
      </c>
      <c r="Q121" t="str">
        <f>_xlfn.CONCAT("[",VLOOKUP(E121,'Index Web'!A$4:N$253,14,FALSE),"]")</f>
        <v>["Vírgen María","Cuaresma","Antiguo Testamento"]</v>
      </c>
      <c r="R121" t="s">
        <v>945</v>
      </c>
      <c r="S121" t="str">
        <f>_xlfn.CONCAT("""/src/index.html?canto=",VLOOKUP(E121,'Index Web'!A$4:N$253,13,FALSE),""", ")</f>
        <v xml:space="preserve">"/src/index.html?canto=laespada", </v>
      </c>
      <c r="T121" t="str">
        <f>T120</f>
        <v xml:space="preserve">visible: "", </v>
      </c>
      <c r="U121" t="str">
        <f>_xlfn.CONCAT("cejilla: """,C121,""", ")</f>
        <v xml:space="preserve">cejilla: "", </v>
      </c>
      <c r="V121" t="str">
        <f>_xlfn.CONCAT("acorde: """,D121,""", ")</f>
        <v xml:space="preserve">acorde: "La", </v>
      </c>
      <c r="W121" t="s">
        <v>2012</v>
      </c>
      <c r="X121" t="s">
        <v>2013</v>
      </c>
      <c r="Y121" t="str">
        <f>_xlfn.CONCAT("""",VLOOKUP(E121,'Index Web'!A$4:O$253,15,FALSE)," ",VLOOKUP(E121,'Index Web'!A$4:O$253,13,FALSE),"""","},")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Z121" t="str">
        <f>_xlfn.CONCAT(F121:Y121)</f>
        <v>{idi:119, id:"laespada", title: "La espada", subtitle: "Ezequiel 21,14-22", category: "Precatecumenado", moments: ["Vírgen María","Cuaresma","Antiguo Testamento"], url: "/src/index.html?canto=laespada", visible: "", cejilla: "", acorde: "La", scrollConfig: {"mobile": { "v": 25, "i": 1 },"tablet": { "v": 25, "i": 1 },"desktop": { "v": 7, "i": 1 },"desktopsmall": { "v": 7, "i": 1 }},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2" spans="2:26" x14ac:dyDescent="0.25">
      <c r="B122" s="51" t="s">
        <v>576</v>
      </c>
      <c r="C122" s="1" t="str">
        <f>IF(VLOOKUP(Table4[[#This Row],[Cantounido]],Table7[],3,FALSE)=0,"",VLOOKUP(Table4[[#This Row],[Cantounido]],Table7[],3,FALSE))</f>
        <v/>
      </c>
      <c r="D122" s="44" t="str">
        <f>IF(VLOOKUP(Table4[[#This Row],[Cantounido]],Table7[],4,FALSE)=0,"",VLOOKUP(Table4[[#This Row],[Cantounido]],Table7[],4,FALSE))</f>
        <v>Mi</v>
      </c>
      <c r="E122" s="26">
        <v>98</v>
      </c>
      <c r="F122" t="str">
        <f>F121</f>
        <v>{idi:</v>
      </c>
      <c r="G122" t="str">
        <f>_xlfn.CONCAT(VLOOKUP(E122,'Index Web'!A$4:L$253,2,FALSE),", ")</f>
        <v xml:space="preserve">120, </v>
      </c>
      <c r="H122" t="str">
        <f>H121</f>
        <v>id:</v>
      </c>
      <c r="I122" t="str">
        <f>_xlfn.CONCAT("""",VLOOKUP(E122,'Index Web'!A$4:O$253,13,FALSE),"""",", ")</f>
        <v xml:space="preserve">"lamarchaesdura", </v>
      </c>
      <c r="J122" t="s">
        <v>2016</v>
      </c>
      <c r="K122" t="str">
        <f>_xlfn.CONCAT("""",VLOOKUP(E122,'Index Web'!A$4:L$253,3,FALSE),"""")</f>
        <v>"La marcha es dura"</v>
      </c>
      <c r="L122" t="s">
        <v>942</v>
      </c>
      <c r="M122" t="str">
        <f>_xlfn.CONCAT("""",VLOOKUP(E122,'Index Web'!A$4:L$253,4,FALSE),"""")</f>
        <v>"Espiritual negro «Go down, Moses»"</v>
      </c>
      <c r="N122" t="s">
        <v>943</v>
      </c>
      <c r="O122" t="str">
        <f>_xlfn.CONCAT("""",VLOOKUP(E122,'Index Web'!A$4:L$253,5,FALSE),"""")</f>
        <v>"Precatecumenado"</v>
      </c>
      <c r="P122" t="s">
        <v>944</v>
      </c>
      <c r="Q122" t="str">
        <f>_xlfn.CONCAT("[",VLOOKUP(E122,'Index Web'!A$4:N$253,14,FALSE),"]")</f>
        <v>["Cuaresma"]</v>
      </c>
      <c r="R122" t="s">
        <v>945</v>
      </c>
      <c r="S122" t="str">
        <f>_xlfn.CONCAT("""/src/index.html?canto=",VLOOKUP(E122,'Index Web'!A$4:N$253,13,FALSE),""", ")</f>
        <v xml:space="preserve">"/src/index.html?canto=lamarchaesdura", </v>
      </c>
      <c r="T122" t="str">
        <f>T121</f>
        <v xml:space="preserve">visible: "", </v>
      </c>
      <c r="U122" t="str">
        <f>_xlfn.CONCAT("cejilla: """,C122,""", ")</f>
        <v xml:space="preserve">cejilla: "", </v>
      </c>
      <c r="V122" t="str">
        <f>_xlfn.CONCAT("acorde: """,D122,""", ")</f>
        <v xml:space="preserve">acorde: "Mi", </v>
      </c>
      <c r="W122" t="s">
        <v>2012</v>
      </c>
      <c r="X122" t="s">
        <v>2013</v>
      </c>
      <c r="Y122" t="str">
        <f>_xlfn.CONCAT("""",VLOOKUP(E122,'Index Web'!A$4:O$253,15,FALSE)," ",VLOOKUP(E122,'Index Web'!A$4:O$253,13,FALSE),"""","},")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Z122" t="str">
        <f>_xlfn.CONCAT(F122:Y122)</f>
        <v>{idi:120, id:"lamarchaesdura", title: "La marcha es dura", subtitle: "Espiritual negro «Go down, Moses»", category: "Precatecumenado", moments: ["Cuaresma"], url: "/src/index.html?canto=lamarchaesdura", visible: "", cejilla: "", acorde: "Mi", scrollConfig: {"mobile": { "v": 25, "i": 1 },"tablet": { "v": 25, "i": 1 },"desktop": { "v": 7, "i": 1 },"desktopsmall": { "v": 7, "i": 1 }},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3" spans="2:26" x14ac:dyDescent="0.25">
      <c r="B123" s="53" t="s">
        <v>705</v>
      </c>
      <c r="C123" s="1" t="str">
        <f>IF(VLOOKUP(Table4[[#This Row],[Cantounido]],Table7[],3,FALSE)=0,"",VLOOKUP(Table4[[#This Row],[Cantounido]],Table7[],3,FALSE))</f>
        <v/>
      </c>
      <c r="D123" s="44" t="str">
        <f>IF(VLOOKUP(Table4[[#This Row],[Cantounido]],Table7[],4,FALSE)=0,"",VLOOKUP(Table4[[#This Row],[Cantounido]],Table7[],4,FALSE))</f>
        <v>Mi</v>
      </c>
      <c r="E123" s="28">
        <v>242</v>
      </c>
      <c r="F123" t="str">
        <f>F122</f>
        <v>{idi:</v>
      </c>
      <c r="G123" t="str">
        <f>_xlfn.CONCAT(VLOOKUP(E123,'Index Web'!A$4:L$253,2,FALSE),", ")</f>
        <v xml:space="preserve">121, </v>
      </c>
      <c r="H123" t="str">
        <f>H122</f>
        <v>id:</v>
      </c>
      <c r="I123" t="str">
        <f>_xlfn.CONCAT("""",VLOOKUP(E123,'Index Web'!A$4:O$253,13,FALSE),"""",", ")</f>
        <v xml:space="preserve">"lapalomavolo", </v>
      </c>
      <c r="J123" t="s">
        <v>2016</v>
      </c>
      <c r="K123" t="str">
        <f>_xlfn.CONCAT("""",VLOOKUP(E123,'Index Web'!A$4:L$253,3,FALSE),"""")</f>
        <v>"La paloma voló "</v>
      </c>
      <c r="L123" t="s">
        <v>942</v>
      </c>
      <c r="M123" t="str">
        <f>_xlfn.CONCAT("""",VLOOKUP(E123,'Index Web'!A$4:L$253,4,FALSE),"""")</f>
        <v>"Oda XXIV de Salomón"</v>
      </c>
      <c r="N123" t="s">
        <v>943</v>
      </c>
      <c r="O123" t="str">
        <f>_xlfn.CONCAT("""",VLOOKUP(E123,'Index Web'!A$4:L$253,5,FALSE),"""")</f>
        <v>"Eleccion"</v>
      </c>
      <c r="P123" t="s">
        <v>944</v>
      </c>
      <c r="Q123" t="str">
        <f>_xlfn.CONCAT("[",VLOOKUP(E123,'Index Web'!A$4:N$253,14,FALSE),"]")</f>
        <v>[""]</v>
      </c>
      <c r="R123" t="s">
        <v>945</v>
      </c>
      <c r="S123" t="str">
        <f>_xlfn.CONCAT("""/src/index.html?canto=",VLOOKUP(E123,'Index Web'!A$4:N$253,13,FALSE),""", ")</f>
        <v xml:space="preserve">"/src/index.html?canto=lapalomavolo", </v>
      </c>
      <c r="T123" t="str">
        <f>T122</f>
        <v xml:space="preserve">visible: "", </v>
      </c>
      <c r="U123" t="str">
        <f>_xlfn.CONCAT("cejilla: """,C123,""", ")</f>
        <v xml:space="preserve">cejilla: "", </v>
      </c>
      <c r="V123" t="str">
        <f>_xlfn.CONCAT("acorde: """,D123,""", ")</f>
        <v xml:space="preserve">acorde: "Mi", </v>
      </c>
      <c r="W123" t="s">
        <v>2012</v>
      </c>
      <c r="X123" t="s">
        <v>2013</v>
      </c>
      <c r="Y123" t="str">
        <f>_xlfn.CONCAT("""",VLOOKUP(E123,'Index Web'!A$4:O$253,15,FALSE)," ",VLOOKUP(E123,'Index Web'!A$4:O$253,13,FALSE),"""","},")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Z123" t="str">
        <f>_xlfn.CONCAT(F123:Y123)</f>
        <v>{idi:121, id:"lapalomavolo", title: "La paloma voló ", subtitle: "Oda XXIV de Salomón", category: "Eleccion", moments: [""], url: "/src/index.html?canto=lapalomavolo", visible: "", cejilla: "", acorde: "Mi", scrollConfig: {"mobile": { "v": 25, "i": 1 },"tablet": { "v": 25, "i": 1 },"desktop": { "v": 7, "i": 1 },"desktopsmall": { "v": 7, "i": 1 }},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4" spans="2:26" x14ac:dyDescent="0.25">
      <c r="B124" s="51" t="s">
        <v>577</v>
      </c>
      <c r="C124" s="1" t="str">
        <f>IF(VLOOKUP(Table4[[#This Row],[Cantounido]],Table7[],3,FALSE)=0,"",VLOOKUP(Table4[[#This Row],[Cantounido]],Table7[],3,FALSE))</f>
        <v/>
      </c>
      <c r="D124" s="44" t="str">
        <f>IF(VLOOKUP(Table4[[#This Row],[Cantounido]],Table7[],4,FALSE)=0,"",VLOOKUP(Table4[[#This Row],[Cantounido]],Table7[],4,FALSE))</f>
        <v>Mi</v>
      </c>
      <c r="E124" s="26">
        <v>99</v>
      </c>
      <c r="F124" t="str">
        <f>F123</f>
        <v>{idi:</v>
      </c>
      <c r="G124" t="str">
        <f>_xlfn.CONCAT(VLOOKUP(E124,'Index Web'!A$4:L$253,2,FALSE),", ")</f>
        <v xml:space="preserve">122, </v>
      </c>
      <c r="H124" t="str">
        <f>H123</f>
        <v>id:</v>
      </c>
      <c r="I124" t="str">
        <f>_xlfn.CONCAT("""",VLOOKUP(E124,'Index Web'!A$4:O$253,13,FALSE),"""",", ")</f>
        <v xml:space="preserve">"lasalve", </v>
      </c>
      <c r="J124" t="s">
        <v>2016</v>
      </c>
      <c r="K124" t="str">
        <f>_xlfn.CONCAT("""",VLOOKUP(E124,'Index Web'!A$4:L$253,3,FALSE),"""")</f>
        <v>"La Salve"</v>
      </c>
      <c r="L124" t="s">
        <v>942</v>
      </c>
      <c r="M124" t="str">
        <f>_xlfn.CONCAT("""",VLOOKUP(E124,'Index Web'!A$4:L$253,4,FALSE),"""")</f>
        <v>"Himno lat. «Salve Regina»"</v>
      </c>
      <c r="N124" t="s">
        <v>943</v>
      </c>
      <c r="O124" t="str">
        <f>_xlfn.CONCAT("""",VLOOKUP(E124,'Index Web'!A$4:L$253,5,FALSE),"""")</f>
        <v>"Precatecumenado"</v>
      </c>
      <c r="P124" t="s">
        <v>944</v>
      </c>
      <c r="Q124" t="str">
        <f>_xlfn.CONCAT("[",VLOOKUP(E124,'Index Web'!A$4:N$253,14,FALSE),"]")</f>
        <v>["Vírgen María","Cuaresma"]</v>
      </c>
      <c r="R124" t="s">
        <v>945</v>
      </c>
      <c r="S124" t="str">
        <f>_xlfn.CONCAT("""/src/index.html?canto=",VLOOKUP(E124,'Index Web'!A$4:N$253,13,FALSE),""", ")</f>
        <v xml:space="preserve">"/src/index.html?canto=lasalve", </v>
      </c>
      <c r="T124" t="str">
        <f>T123</f>
        <v xml:space="preserve">visible: "", </v>
      </c>
      <c r="U124" t="str">
        <f>_xlfn.CONCAT("cejilla: """,C124,""", ")</f>
        <v xml:space="preserve">cejilla: "", </v>
      </c>
      <c r="V124" t="str">
        <f>_xlfn.CONCAT("acorde: """,D124,""", ")</f>
        <v xml:space="preserve">acorde: "Mi", </v>
      </c>
      <c r="W124" t="s">
        <v>2012</v>
      </c>
      <c r="X124" t="s">
        <v>2013</v>
      </c>
      <c r="Y124" t="str">
        <f>_xlfn.CONCAT("""",VLOOKUP(E124,'Index Web'!A$4:O$253,15,FALSE)," ",VLOOKUP(E124,'Index Web'!A$4:O$253,13,FALSE),"""","},")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Z124" t="str">
        <f>_xlfn.CONCAT(F124:Y124)</f>
        <v>{idi:122, id:"lasalve", title: "La Salve", subtitle: "Himno lat. «Salve Regina»", category: "Precatecumenado", moments: ["Vírgen María","Cuaresma"], url: "/src/index.html?canto=lasalve", visible: "", cejilla: "", acorde: "Mi", scrollConfig: {"mobile": { "v": 25, "i": 1 },"tablet": { "v": 25, "i": 1 },"desktop": { "v": 7, "i": 1 },"desktopsmall": { "v": 7, "i": 1 }},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5" spans="2:26" x14ac:dyDescent="0.25">
      <c r="B125" s="50" t="s">
        <v>578</v>
      </c>
      <c r="C125" s="1" t="str">
        <f>IF(VLOOKUP(Table4[[#This Row],[Cantounido]],Table7[],3,FALSE)=0,"",VLOOKUP(Table4[[#This Row],[Cantounido]],Table7[],3,FALSE))</f>
        <v/>
      </c>
      <c r="D125" s="44" t="str">
        <f>IF(VLOOKUP(Table4[[#This Row],[Cantounido]],Table7[],4,FALSE)=0,"",VLOOKUP(Table4[[#This Row],[Cantounido]],Table7[],4,FALSE))</f>
        <v>Re</v>
      </c>
      <c r="E125" s="25">
        <v>100</v>
      </c>
      <c r="F125" t="str">
        <f>F124</f>
        <v>{idi:</v>
      </c>
      <c r="G125" t="str">
        <f>_xlfn.CONCAT(VLOOKUP(E125,'Index Web'!A$4:L$253,2,FALSE),", ")</f>
        <v xml:space="preserve">123, </v>
      </c>
      <c r="H125" t="str">
        <f>H124</f>
        <v>id:</v>
      </c>
      <c r="I125" t="str">
        <f>_xlfn.CONCAT("""",VLOOKUP(E125,'Index Web'!A$4:O$253,13,FALSE),"""",", ")</f>
        <v xml:space="preserve">"lasiegadelasnaciones", </v>
      </c>
      <c r="J125" t="s">
        <v>2016</v>
      </c>
      <c r="K125" t="str">
        <f>_xlfn.CONCAT("""",VLOOKUP(E125,'Index Web'!A$4:L$253,3,FALSE),"""")</f>
        <v>"La siega de las naciones"</v>
      </c>
      <c r="L125" t="s">
        <v>942</v>
      </c>
      <c r="M125" t="str">
        <f>_xlfn.CONCAT("""",VLOOKUP(E125,'Index Web'!A$4:L$253,4,FALSE),"""")</f>
        <v>"Juan 4,31-38"</v>
      </c>
      <c r="N125" t="s">
        <v>943</v>
      </c>
      <c r="O125" t="str">
        <f>_xlfn.CONCAT("""",VLOOKUP(E125,'Index Web'!A$4:L$253,5,FALSE),"""")</f>
        <v>"Precatecumenado"</v>
      </c>
      <c r="P125" t="s">
        <v>944</v>
      </c>
      <c r="Q125" t="str">
        <f>_xlfn.CONCAT("[",VLOOKUP(E125,'Index Web'!A$4:N$253,14,FALSE),"]")</f>
        <v>["Final","Nuevo Testamento"]</v>
      </c>
      <c r="R125" t="s">
        <v>945</v>
      </c>
      <c r="S125" t="str">
        <f>_xlfn.CONCAT("""/src/index.html?canto=",VLOOKUP(E125,'Index Web'!A$4:N$253,13,FALSE),""", ")</f>
        <v xml:space="preserve">"/src/index.html?canto=lasiegadelasnaciones", </v>
      </c>
      <c r="T125" t="str">
        <f>T124</f>
        <v xml:space="preserve">visible: "", </v>
      </c>
      <c r="U125" t="str">
        <f>_xlfn.CONCAT("cejilla: """,C125,""", ")</f>
        <v xml:space="preserve">cejilla: "", </v>
      </c>
      <c r="V125" t="str">
        <f>_xlfn.CONCAT("acorde: """,D125,""", ")</f>
        <v xml:space="preserve">acorde: "Re", </v>
      </c>
      <c r="W125" t="s">
        <v>2012</v>
      </c>
      <c r="X125" t="s">
        <v>2013</v>
      </c>
      <c r="Y125" t="str">
        <f>_xlfn.CONCAT("""",VLOOKUP(E125,'Index Web'!A$4:O$253,15,FALSE)," ",VLOOKUP(E125,'Index Web'!A$4:O$253,13,FALSE),"""","},")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Z125" t="str">
        <f>_xlfn.CONCAT(F125:Y125)</f>
        <v>{idi:123, id:"lasiegadelasnaciones", title: "La siega de las naciones", subtitle: "Juan 4,31-38", category: "Precatecumenado", moments: ["Final","Nuevo Testamento"], url: "/src/index.html?canto=lasiegadelasnaciones", visible: "", cejilla: "", acorde: "Re", scrollConfig: {"mobile": { "v": 25, "i": 1 },"tablet": { "v": 25, "i": 1 },"desktop": { "v": 7, "i": 1 },"desktopsmall": { "v": 7, "i": 1 }},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6" spans="2:26" x14ac:dyDescent="0.25">
      <c r="B126" s="51" t="s">
        <v>579</v>
      </c>
      <c r="C126" s="1">
        <f>IF(VLOOKUP(Table4[[#This Row],[Cantounido]],Table7[],3,FALSE)=0,"",VLOOKUP(Table4[[#This Row],[Cantounido]],Table7[],3,FALSE))</f>
        <v>3</v>
      </c>
      <c r="D126" s="44" t="str">
        <f>IF(VLOOKUP(Table4[[#This Row],[Cantounido]],Table7[],4,FALSE)=0,"",VLOOKUP(Table4[[#This Row],[Cantounido]],Table7[],4,FALSE))</f>
        <v>Do</v>
      </c>
      <c r="E126" s="26">
        <v>101</v>
      </c>
      <c r="F126" t="str">
        <f>F125</f>
        <v>{idi:</v>
      </c>
      <c r="G126" t="str">
        <f>_xlfn.CONCAT(VLOOKUP(E126,'Index Web'!A$4:L$253,2,FALSE),", ")</f>
        <v xml:space="preserve">124, </v>
      </c>
      <c r="H126" t="str">
        <f>H125</f>
        <v>id:</v>
      </c>
      <c r="I126" t="str">
        <f>_xlfn.CONCAT("""",VLOOKUP(E126,'Index Web'!A$4:O$253,13,FALSE),"""",", ")</f>
        <v xml:space="preserve">"lavozdemiamado", </v>
      </c>
      <c r="J126" t="s">
        <v>2016</v>
      </c>
      <c r="K126" t="str">
        <f>_xlfn.CONCAT("""",VLOOKUP(E126,'Index Web'!A$4:L$253,3,FALSE),"""")</f>
        <v>"La voz de mi amado"</v>
      </c>
      <c r="L126" t="s">
        <v>942</v>
      </c>
      <c r="M126" t="str">
        <f>_xlfn.CONCAT("""",VLOOKUP(E126,'Index Web'!A$4:L$253,4,FALSE),"""")</f>
        <v>"Cantar de los Cantares 2,8-17"</v>
      </c>
      <c r="N126" t="s">
        <v>943</v>
      </c>
      <c r="O126" t="str">
        <f>_xlfn.CONCAT("""",VLOOKUP(E126,'Index Web'!A$4:L$253,5,FALSE),"""")</f>
        <v>"Precatecumenado"</v>
      </c>
      <c r="P126" t="s">
        <v>944</v>
      </c>
      <c r="Q126" t="str">
        <f>_xlfn.CONCAT("[",VLOOKUP(E126,'Index Web'!A$4:N$253,14,FALSE),"]")</f>
        <v>["Pascua","Pentecostés","Comunión","Antiguo Testamento"]</v>
      </c>
      <c r="R126" t="s">
        <v>945</v>
      </c>
      <c r="S126" t="str">
        <f>_xlfn.CONCAT("""/src/index.html?canto=",VLOOKUP(E126,'Index Web'!A$4:N$253,13,FALSE),""", ")</f>
        <v xml:space="preserve">"/src/index.html?canto=lavozdemiamado", </v>
      </c>
      <c r="T126" t="str">
        <f>T125</f>
        <v xml:space="preserve">visible: "", </v>
      </c>
      <c r="U126" t="str">
        <f>_xlfn.CONCAT("cejilla: """,C126,""", ")</f>
        <v xml:space="preserve">cejilla: "3", </v>
      </c>
      <c r="V126" t="str">
        <f>_xlfn.CONCAT("acorde: """,D126,""", ")</f>
        <v xml:space="preserve">acorde: "Do", </v>
      </c>
      <c r="W126" t="s">
        <v>2012</v>
      </c>
      <c r="X126" t="s">
        <v>2013</v>
      </c>
      <c r="Y126" t="str">
        <f>_xlfn.CONCAT("""",VLOOKUP(E126,'Index Web'!A$4:O$253,15,FALSE)," ",VLOOKUP(E126,'Index Web'!A$4:O$253,13,FALSE),"""","},")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Z126" t="str">
        <f>_xlfn.CONCAT(F126:Y126)</f>
        <v>{idi:124, id:"lavozdemiamado", title: "La voz de mi amado", subtitle: "Cantar de los Cantares 2,8-17", category: "Precatecumenado", moments: ["Pascua","Pentecostés","Comunión","Antiguo Testamento"], url: "/src/index.html?canto=lavozdemiamado", visible: "", cejilla: "3", acorde: "Do", scrollConfig: {"mobile": { "v": 25, "i": 1 },"tablet": { "v": 25, "i": 1 },"desktop": { "v": 7, "i": 1 },"desktopsmall": { "v": 7, "i": 1 }},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7" spans="2:26" x14ac:dyDescent="0.25">
      <c r="B127" s="50" t="s">
        <v>580</v>
      </c>
      <c r="C127" s="1" t="str">
        <f>IF(VLOOKUP(Table4[[#This Row],[Cantounido]],Table7[],3,FALSE)=0,"",VLOOKUP(Table4[[#This Row],[Cantounido]],Table7[],3,FALSE))</f>
        <v/>
      </c>
      <c r="D127" s="44" t="str">
        <f>IF(VLOOKUP(Table4[[#This Row],[Cantounido]],Table7[],4,FALSE)=0,"",VLOOKUP(Table4[[#This Row],[Cantounido]],Table7[],4,FALSE))</f>
        <v>La</v>
      </c>
      <c r="E127" s="25">
        <v>102</v>
      </c>
      <c r="F127" t="str">
        <f>F126</f>
        <v>{idi:</v>
      </c>
      <c r="G127" t="str">
        <f>_xlfn.CONCAT(VLOOKUP(E127,'Index Web'!A$4:L$253,2,FALSE),", ")</f>
        <v xml:space="preserve">125, </v>
      </c>
      <c r="H127" t="str">
        <f>H126</f>
        <v>id:</v>
      </c>
      <c r="I127" t="str">
        <f>_xlfn.CONCAT("""",VLOOKUP(E127,'Index Web'!A$4:O$253,13,FALSE),"""",", ")</f>
        <v xml:space="preserve">"lasarmasdelaluz", </v>
      </c>
      <c r="J127" t="s">
        <v>2016</v>
      </c>
      <c r="K127" t="str">
        <f>_xlfn.CONCAT("""",VLOOKUP(E127,'Index Web'!A$4:L$253,3,FALSE),"""")</f>
        <v>"Las armas de la luz"</v>
      </c>
      <c r="L127" t="s">
        <v>942</v>
      </c>
      <c r="M127" t="str">
        <f>_xlfn.CONCAT("""",VLOOKUP(E127,'Index Web'!A$4:L$253,4,FALSE),"""")</f>
        <v>"cf Efesios 6,11.ss"</v>
      </c>
      <c r="N127" t="s">
        <v>943</v>
      </c>
      <c r="O127" t="str">
        <f>_xlfn.CONCAT("""",VLOOKUP(E127,'Index Web'!A$4:L$253,5,FALSE),"""")</f>
        <v>"Precatecumenado"</v>
      </c>
      <c r="P127" t="s">
        <v>944</v>
      </c>
      <c r="Q127" t="str">
        <f>_xlfn.CONCAT("[",VLOOKUP(E127,'Index Web'!A$4:N$253,14,FALSE),"]")</f>
        <v>["Cuaresma","Adviento","Navidad","Nuevo Testamento"]</v>
      </c>
      <c r="R127" t="s">
        <v>945</v>
      </c>
      <c r="S127" t="str">
        <f>_xlfn.CONCAT("""/src/index.html?canto=",VLOOKUP(E127,'Index Web'!A$4:N$253,13,FALSE),""", ")</f>
        <v xml:space="preserve">"/src/index.html?canto=lasarmasdelaluz", </v>
      </c>
      <c r="T127" t="str">
        <f>T126</f>
        <v xml:space="preserve">visible: "", </v>
      </c>
      <c r="U127" t="str">
        <f>_xlfn.CONCAT("cejilla: """,C127,""", ")</f>
        <v xml:space="preserve">cejilla: "", </v>
      </c>
      <c r="V127" t="str">
        <f>_xlfn.CONCAT("acorde: """,D127,""", ")</f>
        <v xml:space="preserve">acorde: "La", </v>
      </c>
      <c r="W127" t="s">
        <v>2012</v>
      </c>
      <c r="X127" t="s">
        <v>2013</v>
      </c>
      <c r="Y127" t="str">
        <f>_xlfn.CONCAT("""",VLOOKUP(E127,'Index Web'!A$4:O$253,15,FALSE)," ",VLOOKUP(E127,'Index Web'!A$4:O$253,13,FALSE),"""","},")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Z127" t="str">
        <f>_xlfn.CONCAT(F127:Y127)</f>
        <v>{idi:125, id:"lasarmasdelaluz", title: "Las armas de la luz", subtitle: "cf Efesios 6,11.ss", category: "Precatecumenado", moments: ["Cuaresma","Adviento","Navidad","Nuevo Testamento"], url: "/src/index.html?canto=lasarmasdelaluz", visible: "", cejilla: "", acorde: "La", scrollConfig: {"mobile": { "v": 25, "i": 1 },"tablet": { "v": 25, "i": 1 },"desktop": { "v": 7, "i": 1 },"desktopsmall": { "v": 7, "i": 1 }},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8" spans="2:26" x14ac:dyDescent="0.25">
      <c r="B128" s="51" t="s">
        <v>581</v>
      </c>
      <c r="C128" s="1">
        <f>IF(VLOOKUP(Table4[[#This Row],[Cantounido]],Table7[],3,FALSE)=0,"",VLOOKUP(Table4[[#This Row],[Cantounido]],Table7[],3,FALSE))</f>
        <v>3</v>
      </c>
      <c r="D128" s="44" t="str">
        <f>IF(VLOOKUP(Table4[[#This Row],[Cantounido]],Table7[],4,FALSE)=0,"",VLOOKUP(Table4[[#This Row],[Cantounido]],Table7[],4,FALSE))</f>
        <v>La</v>
      </c>
      <c r="E128" s="26">
        <v>103</v>
      </c>
      <c r="F128" t="str">
        <f>F127</f>
        <v>{idi:</v>
      </c>
      <c r="G128" t="str">
        <f>_xlfn.CONCAT(VLOOKUP(E128,'Index Web'!A$4:L$253,2,FALSE),", ")</f>
        <v xml:space="preserve">126, </v>
      </c>
      <c r="H128" t="str">
        <f>H127</f>
        <v>id:</v>
      </c>
      <c r="I128" t="str">
        <f>_xlfn.CONCAT("""",VLOOKUP(E128,'Index Web'!A$4:O$253,13,FALSE),"""",", ")</f>
        <v xml:space="preserve">"laudasion", </v>
      </c>
      <c r="J128" t="s">
        <v>2016</v>
      </c>
      <c r="K128" t="str">
        <f>_xlfn.CONCAT("""",VLOOKUP(E128,'Index Web'!A$4:L$253,3,FALSE),"""")</f>
        <v>"Lauda Sión"</v>
      </c>
      <c r="L128" t="s">
        <v>942</v>
      </c>
      <c r="M128" t="str">
        <f>_xlfn.CONCAT("""",VLOOKUP(E128,'Index Web'!A$4:L$253,4,FALSE),"""")</f>
        <v>"Secuencia del Corpus Christi (Santo Tomas de Aquino) "</v>
      </c>
      <c r="N128" t="s">
        <v>943</v>
      </c>
      <c r="O128" t="str">
        <f>_xlfn.CONCAT("""",VLOOKUP(E128,'Index Web'!A$4:L$253,5,FALSE),"""")</f>
        <v>"Precatecumenado"</v>
      </c>
      <c r="P128" t="s">
        <v>944</v>
      </c>
      <c r="Q128" t="str">
        <f>_xlfn.CONCAT("[",VLOOKUP(E128,'Index Web'!A$4:N$253,14,FALSE),"]")</f>
        <v>["Pascua","Pentecostés"]</v>
      </c>
      <c r="R128" t="s">
        <v>945</v>
      </c>
      <c r="S128" t="str">
        <f>_xlfn.CONCAT("""/src/index.html?canto=",VLOOKUP(E128,'Index Web'!A$4:N$253,13,FALSE),""", ")</f>
        <v xml:space="preserve">"/src/index.html?canto=laudasion", </v>
      </c>
      <c r="T128" t="str">
        <f>T127</f>
        <v xml:space="preserve">visible: "", </v>
      </c>
      <c r="U128" t="str">
        <f>_xlfn.CONCAT("cejilla: """,C128,""", ")</f>
        <v xml:space="preserve">cejilla: "3", </v>
      </c>
      <c r="V128" t="str">
        <f>_xlfn.CONCAT("acorde: """,D128,""", ")</f>
        <v xml:space="preserve">acorde: "La", </v>
      </c>
      <c r="W128" t="s">
        <v>2012</v>
      </c>
      <c r="X128" t="s">
        <v>2013</v>
      </c>
      <c r="Y128" t="str">
        <f>_xlfn.CONCAT("""",VLOOKUP(E128,'Index Web'!A$4:O$253,15,FALSE)," ",VLOOKUP(E128,'Index Web'!A$4:O$253,13,FALSE),"""","},")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Z128" t="str">
        <f>_xlfn.CONCAT(F128:Y128)</f>
        <v>{idi:126, id:"laudasion", title: "Lauda Sión", subtitle: "Secuencia del Corpus Christi (Santo Tomas de Aquino) ", category: "Precatecumenado", moments: ["Pascua","Pentecostés"], url: "/src/index.html?canto=laudasion", visible: "", cejilla: "3", acorde: "La", scrollConfig: {"mobile": { "v": 25, "i": 1 },"tablet": { "v": 25, "i": 1 },"desktop": { "v": 7, "i": 1 },"desktopsmall": { "v": 7, "i": 1 }},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9" spans="2:26" x14ac:dyDescent="0.25">
      <c r="B129" s="54" t="s">
        <v>663</v>
      </c>
      <c r="C129" s="1" t="str">
        <f>IF(VLOOKUP(Table4[[#This Row],[Cantounido]],Table7[],3,FALSE)=0,"",VLOOKUP(Table4[[#This Row],[Cantounido]],Table7[],3,FALSE))</f>
        <v/>
      </c>
      <c r="D129" s="44" t="str">
        <f>IF(VLOOKUP(Table4[[#This Row],[Cantounido]],Table7[],4,FALSE)=0,"",VLOOKUP(Table4[[#This Row],[Cantounido]],Table7[],4,FALSE))</f>
        <v>Mi</v>
      </c>
      <c r="E129" s="29">
        <v>189</v>
      </c>
      <c r="F129" t="str">
        <f>F128</f>
        <v>{idi:</v>
      </c>
      <c r="G129" t="str">
        <f>_xlfn.CONCAT(VLOOKUP(E129,'Index Web'!A$4:L$253,2,FALSE),", ")</f>
        <v xml:space="preserve">127, </v>
      </c>
      <c r="H129" t="str">
        <f>H128</f>
        <v>id:</v>
      </c>
      <c r="I129" t="str">
        <f>_xlfn.CONCAT("""",VLOOKUP(E129,'Index Web'!A$4:O$253,13,FALSE),"""",", ")</f>
        <v xml:space="preserve">"letaniasdelossantos", </v>
      </c>
      <c r="J129" t="s">
        <v>2016</v>
      </c>
      <c r="K129" t="str">
        <f>_xlfn.CONCAT("""",VLOOKUP(E129,'Index Web'!A$4:L$253,3,FALSE),"""")</f>
        <v>"Letanías de los santos"</v>
      </c>
      <c r="L129" t="s">
        <v>942</v>
      </c>
      <c r="M129" t="str">
        <f>_xlfn.CONCAT("""",VLOOKUP(E129,'Index Web'!A$4:L$253,4,FALSE),"""")</f>
        <v>"De la liturgia bautismal de la Vigilia Pascual"</v>
      </c>
      <c r="N129" t="s">
        <v>943</v>
      </c>
      <c r="O129" t="str">
        <f>_xlfn.CONCAT("""",VLOOKUP(E129,'Index Web'!A$4:L$253,5,FALSE),"""")</f>
        <v>"Liturgia"</v>
      </c>
      <c r="P129" t="s">
        <v>944</v>
      </c>
      <c r="Q129" t="str">
        <f>_xlfn.CONCAT("[",VLOOKUP(E129,'Index Web'!A$4:N$253,14,FALSE),"]")</f>
        <v>[""]</v>
      </c>
      <c r="R129" t="s">
        <v>945</v>
      </c>
      <c r="S129" t="str">
        <f>_xlfn.CONCAT("""/src/index.html?canto=",VLOOKUP(E129,'Index Web'!A$4:N$253,13,FALSE),""", ")</f>
        <v xml:space="preserve">"/src/index.html?canto=letaniasdelossantos", </v>
      </c>
      <c r="T129" t="str">
        <f>T128</f>
        <v xml:space="preserve">visible: "", </v>
      </c>
      <c r="U129" t="str">
        <f>_xlfn.CONCAT("cejilla: """,C129,""", ")</f>
        <v xml:space="preserve">cejilla: "", </v>
      </c>
      <c r="V129" t="str">
        <f>_xlfn.CONCAT("acorde: """,D129,""", ")</f>
        <v xml:space="preserve">acorde: "Mi", </v>
      </c>
      <c r="W129" t="s">
        <v>2012</v>
      </c>
      <c r="X129" t="s">
        <v>2013</v>
      </c>
      <c r="Y129" t="str">
        <f>_xlfn.CONCAT("""",VLOOKUP(E129,'Index Web'!A$4:O$253,15,FALSE)," ",VLOOKUP(E129,'Index Web'!A$4:O$253,13,FALSE),"""","},")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Z129" t="str">
        <f>_xlfn.CONCAT(F129:Y129)</f>
        <v>{idi:127, id:"letaniasdelossantos", title: "Letanías de los santos", subtitle: "De la liturgia bautismal de la Vigilia Pascual", category: "Liturgia", moments: [""], url: "/src/index.html?canto=letaniasdelossantos", visible: "", cejilla: "", acorde: "Mi", scrollConfig: {"mobile": { "v": 25, "i": 1 },"tablet": { "v": 25, "i": 1 },"desktop": { "v": 7, "i": 1 },"desktopsmall": { "v": 7, "i": 1 }},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30" spans="2:26" x14ac:dyDescent="0.25">
      <c r="B130" s="52" t="s">
        <v>664</v>
      </c>
      <c r="C130" s="1" t="str">
        <f>IF(VLOOKUP(Table4[[#This Row],[Cantounido]],Table7[],3,FALSE)=0,"",VLOOKUP(Table4[[#This Row],[Cantounido]],Table7[],3,FALSE))</f>
        <v/>
      </c>
      <c r="D130" s="44" t="str">
        <f>IF(VLOOKUP(Table4[[#This Row],[Cantounido]],Table7[],4,FALSE)=0,"",VLOOKUP(Table4[[#This Row],[Cantounido]],Table7[],4,FALSE))</f>
        <v>Mi</v>
      </c>
      <c r="E130" s="27">
        <v>191</v>
      </c>
      <c r="F130" t="str">
        <f>F129</f>
        <v>{idi:</v>
      </c>
      <c r="G130" t="str">
        <f>_xlfn.CONCAT(VLOOKUP(E130,'Index Web'!A$4:L$253,2,FALSE),", ")</f>
        <v xml:space="preserve">128, </v>
      </c>
      <c r="H130" t="str">
        <f>H129</f>
        <v>id:</v>
      </c>
      <c r="I130" t="str">
        <f>_xlfn.CONCAT("""",VLOOKUP(E130,'Index Web'!A$4:O$253,13,FALSE),"""",", ")</f>
        <v xml:space="preserve">"letaniaspenitencialesi", </v>
      </c>
      <c r="J130" t="s">
        <v>2016</v>
      </c>
      <c r="K130" t="str">
        <f>_xlfn.CONCAT("""",VLOOKUP(E130,'Index Web'!A$4:L$253,3,FALSE),"""")</f>
        <v>"Letanías penitenciales i"</v>
      </c>
      <c r="L130" t="s">
        <v>942</v>
      </c>
      <c r="M130" t="str">
        <f>_xlfn.CONCAT("""",VLOOKUP(E130,'Index Web'!A$4:L$253,4,FALSE),"""")</f>
        <v>"Letanía para la Celebración Penitencial – modelo abreviado"</v>
      </c>
      <c r="N130" t="s">
        <v>943</v>
      </c>
      <c r="O130" t="str">
        <f>_xlfn.CONCAT("""",VLOOKUP(E130,'Index Web'!A$4:L$253,5,FALSE),"""")</f>
        <v>"Liturgia"</v>
      </c>
      <c r="P130" t="s">
        <v>944</v>
      </c>
      <c r="Q130" t="str">
        <f>_xlfn.CONCAT("[",VLOOKUP(E130,'Index Web'!A$4:N$253,14,FALSE),"]")</f>
        <v>["Penitencial"]</v>
      </c>
      <c r="R130" t="s">
        <v>945</v>
      </c>
      <c r="S130" t="str">
        <f>_xlfn.CONCAT("""/src/index.html?canto=",VLOOKUP(E130,'Index Web'!A$4:N$253,13,FALSE),""", ")</f>
        <v xml:space="preserve">"/src/index.html?canto=letaniaspenitencialesi", </v>
      </c>
      <c r="T130" t="str">
        <f>T129</f>
        <v xml:space="preserve">visible: "", </v>
      </c>
      <c r="U130" t="str">
        <f>_xlfn.CONCAT("cejilla: """,C130,""", ")</f>
        <v xml:space="preserve">cejilla: "", </v>
      </c>
      <c r="V130" t="str">
        <f>_xlfn.CONCAT("acorde: """,D130,""", ")</f>
        <v xml:space="preserve">acorde: "Mi", </v>
      </c>
      <c r="W130" t="s">
        <v>2012</v>
      </c>
      <c r="X130" t="s">
        <v>2013</v>
      </c>
      <c r="Y130" t="str">
        <f>_xlfn.CONCAT("""",VLOOKUP(E130,'Index Web'!A$4:O$253,15,FALSE)," ",VLOOKUP(E130,'Index Web'!A$4:O$253,13,FALSE),"""","},")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Z130" t="str">
        <f>_xlfn.CONCAT(F130:Y130)</f>
        <v>{idi:128, id:"letaniaspenitencialesi", title: "Letanías penitenciales i", subtitle: "Letanía para la Celebración Penitencial – modelo abreviado", category: "Liturgia", moments: ["Penitencial"], url: "/src/index.html?canto=letaniaspenitencialesi", visible: "", cejilla: "", acorde: "Mi", scrollConfig: {"mobile": { "v": 25, "i": 1 },"tablet": { "v": 25, "i": 1 },"desktop": { "v": 7, "i": 1 },"desktopsmall": { "v": 7, "i": 1 }},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1" spans="2:26" x14ac:dyDescent="0.25">
      <c r="B131" s="54" t="s">
        <v>958</v>
      </c>
      <c r="C131" s="1" t="str">
        <f>IF(VLOOKUP(Table4[[#This Row],[Cantounido]],Table7[],3,FALSE)=0,"",VLOOKUP(Table4[[#This Row],[Cantounido]],Table7[],3,FALSE))</f>
        <v/>
      </c>
      <c r="D131" s="44" t="str">
        <f>IF(VLOOKUP(Table4[[#This Row],[Cantounido]],Table7[],4,FALSE)=0,"",VLOOKUP(Table4[[#This Row],[Cantounido]],Table7[],4,FALSE))</f>
        <v>Mi</v>
      </c>
      <c r="E131" s="29">
        <v>192</v>
      </c>
      <c r="F131" t="str">
        <f>F130</f>
        <v>{idi:</v>
      </c>
      <c r="G131" t="str">
        <f>_xlfn.CONCAT(VLOOKUP(E131,'Index Web'!A$4:L$253,2,FALSE),", ")</f>
        <v xml:space="preserve">129, </v>
      </c>
      <c r="H131" t="str">
        <f>H130</f>
        <v>id:</v>
      </c>
      <c r="I131" t="str">
        <f>_xlfn.CONCAT("""",VLOOKUP(E131,'Index Web'!A$4:O$253,13,FALSE),"""",", ")</f>
        <v xml:space="preserve">"letaniaspenitencialesii", </v>
      </c>
      <c r="J131" t="s">
        <v>2016</v>
      </c>
      <c r="K131" t="str">
        <f>_xlfn.CONCAT("""",VLOOKUP(E131,'Index Web'!A$4:L$253,3,FALSE),"""")</f>
        <v>"Letanías penitenciales ii"</v>
      </c>
      <c r="L131" t="s">
        <v>942</v>
      </c>
      <c r="M131" t="str">
        <f>_xlfn.CONCAT("""",VLOOKUP(E131,'Index Web'!A$4:L$253,4,FALSE),"""")</f>
        <v>"Letanía para la Celebración Penitencial"</v>
      </c>
      <c r="N131" t="s">
        <v>943</v>
      </c>
      <c r="O131" t="str">
        <f>_xlfn.CONCAT("""",VLOOKUP(E131,'Index Web'!A$4:L$253,5,FALSE),"""")</f>
        <v>"Liturgia"</v>
      </c>
      <c r="P131" t="s">
        <v>944</v>
      </c>
      <c r="Q131" t="str">
        <f>_xlfn.CONCAT("[",VLOOKUP(E131,'Index Web'!A$4:N$253,14,FALSE),"]")</f>
        <v>["Penitencial"]</v>
      </c>
      <c r="R131" t="s">
        <v>945</v>
      </c>
      <c r="S131" t="str">
        <f>_xlfn.CONCAT("""/src/index.html?canto=",VLOOKUP(E131,'Index Web'!A$4:N$253,13,FALSE),""", ")</f>
        <v xml:space="preserve">"/src/index.html?canto=letaniaspenitencialesii", </v>
      </c>
      <c r="T131" t="str">
        <f>T130</f>
        <v xml:space="preserve">visible: "", </v>
      </c>
      <c r="U131" t="str">
        <f>_xlfn.CONCAT("cejilla: """,C131,""", ")</f>
        <v xml:space="preserve">cejilla: "", </v>
      </c>
      <c r="V131" t="str">
        <f>_xlfn.CONCAT("acorde: """,D131,""", ")</f>
        <v xml:space="preserve">acorde: "Mi", </v>
      </c>
      <c r="W131" t="s">
        <v>2012</v>
      </c>
      <c r="X131" t="s">
        <v>2013</v>
      </c>
      <c r="Y131" t="str">
        <f>_xlfn.CONCAT("""",VLOOKUP(E131,'Index Web'!A$4:O$253,15,FALSE)," ",VLOOKUP(E131,'Index Web'!A$4:O$253,13,FALSE),"""","},")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Z131" t="str">
        <f>_xlfn.CONCAT(F131:Y131)</f>
        <v>{idi:129, id:"letaniaspenitencialesii", title: "Letanías penitenciales ii", subtitle: "Letanía para la Celebración Penitencial", category: "Liturgia", moments: ["Penitencial"], url: "/src/index.html?canto=letaniaspenitencialesii", visible: "", cejilla: "", acorde: "Mi", scrollConfig: {"mobile": { "v": 25, "i": 1 },"tablet": { "v": 25, "i": 1 },"desktop": { "v": 7, "i": 1 },"desktopsmall": { "v": 7, "i": 1 }},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2" spans="2:26" x14ac:dyDescent="0.25">
      <c r="B132" s="51" t="s">
        <v>582</v>
      </c>
      <c r="C132" s="1" t="str">
        <f>IF(VLOOKUP(Table4[[#This Row],[Cantounido]],Table7[],3,FALSE)=0,"",VLOOKUP(Table4[[#This Row],[Cantounido]],Table7[],3,FALSE))</f>
        <v/>
      </c>
      <c r="D132" s="44" t="str">
        <f>IF(VLOOKUP(Table4[[#This Row],[Cantounido]],Table7[],4,FALSE)=0,"",VLOOKUP(Table4[[#This Row],[Cantounido]],Table7[],4,FALSE))</f>
        <v>Sol</v>
      </c>
      <c r="E132" s="26">
        <v>105</v>
      </c>
      <c r="F132" t="str">
        <f>F131</f>
        <v>{idi:</v>
      </c>
      <c r="G132" t="str">
        <f>_xlfn.CONCAT(VLOOKUP(E132,'Index Web'!A$4:L$253,2,FALSE),", ")</f>
        <v xml:space="preserve">130, </v>
      </c>
      <c r="H132" t="str">
        <f>H131</f>
        <v>id:</v>
      </c>
      <c r="I132" t="str">
        <f>_xlfn.CONCAT("""",VLOOKUP(E132,'Index Web'!A$4:O$253,13,FALSE),"""",", ")</f>
        <v xml:space="preserve">"levantomisojosalosmontes", </v>
      </c>
      <c r="J132" t="s">
        <v>2016</v>
      </c>
      <c r="K132" t="str">
        <f>_xlfn.CONCAT("""",VLOOKUP(E132,'Index Web'!A$4:L$253,3,FALSE),"""")</f>
        <v>"Levanto mis ojos a los montes"</v>
      </c>
      <c r="L132" t="s">
        <v>942</v>
      </c>
      <c r="M132" t="str">
        <f>_xlfn.CONCAT("""",VLOOKUP(E132,'Index Web'!A$4:L$253,4,FALSE),"""")</f>
        <v>"Salmo 121 (120)"</v>
      </c>
      <c r="N132" t="s">
        <v>943</v>
      </c>
      <c r="O132" t="str">
        <f>_xlfn.CONCAT("""",VLOOKUP(E132,'Index Web'!A$4:L$253,5,FALSE),"""")</f>
        <v>"Precatecumenado"</v>
      </c>
      <c r="P132" t="s">
        <v>944</v>
      </c>
      <c r="Q132" t="str">
        <f>_xlfn.CONCAT("[",VLOOKUP(E132,'Index Web'!A$4:N$253,14,FALSE),"]")</f>
        <v>["Cuaresma","Entrada","Antiguo Testamento"]</v>
      </c>
      <c r="R132" t="s">
        <v>945</v>
      </c>
      <c r="S132" t="str">
        <f>_xlfn.CONCAT("""/src/index.html?canto=",VLOOKUP(E132,'Index Web'!A$4:N$253,13,FALSE),""", ")</f>
        <v xml:space="preserve">"/src/index.html?canto=levantomisojosalosmontes", </v>
      </c>
      <c r="T132" t="str">
        <f>T131</f>
        <v xml:space="preserve">visible: "", </v>
      </c>
      <c r="U132" t="str">
        <f>_xlfn.CONCAT("cejilla: """,C132,""", ")</f>
        <v xml:space="preserve">cejilla: "", </v>
      </c>
      <c r="V132" t="str">
        <f>_xlfn.CONCAT("acorde: """,D132,""", ")</f>
        <v xml:space="preserve">acorde: "Sol", </v>
      </c>
      <c r="W132" t="s">
        <v>2012</v>
      </c>
      <c r="X132" t="s">
        <v>2013</v>
      </c>
      <c r="Y132" t="str">
        <f>_xlfn.CONCAT("""",VLOOKUP(E132,'Index Web'!A$4:O$253,15,FALSE)," ",VLOOKUP(E132,'Index Web'!A$4:O$253,13,FALSE),"""","},")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Z132" t="str">
        <f>_xlfn.CONCAT(F132:Y132)</f>
        <v>{idi:130, id:"levantomisojosalosmontes", title: "Levanto mis ojos a los montes", subtitle: "Salmo 121 (120)", category: "Precatecumenado", moments: ["Cuaresma","Entrada","Antiguo Testamento"], url: "/src/index.html?canto=levantomisojosalosmontes", visible: "", cejilla: "", acorde: "Sol", scrollConfig: {"mobile": { "v": 25, "i": 1 },"tablet": { "v": 25, "i": 1 },"desktop": { "v": 7, "i": 1 },"desktopsmall": { "v": 7, "i": 1 }},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3" spans="2:26" x14ac:dyDescent="0.25">
      <c r="B133" s="50" t="s">
        <v>583</v>
      </c>
      <c r="C133" s="1" t="str">
        <f>IF(VLOOKUP(Table4[[#This Row],[Cantounido]],Table7[],3,FALSE)=0,"",VLOOKUP(Table4[[#This Row],[Cantounido]],Table7[],3,FALSE))</f>
        <v/>
      </c>
      <c r="D133" s="44" t="str">
        <f>IF(VLOOKUP(Table4[[#This Row],[Cantounido]],Table7[],4,FALSE)=0,"",VLOOKUP(Table4[[#This Row],[Cantounido]],Table7[],4,FALSE))</f>
        <v>La</v>
      </c>
      <c r="E133" s="25">
        <v>106</v>
      </c>
      <c r="F133" t="str">
        <f>F132</f>
        <v>{idi:</v>
      </c>
      <c r="G133" t="str">
        <f>_xlfn.CONCAT(VLOOKUP(E133,'Index Web'!A$4:L$253,2,FALSE),", ")</f>
        <v xml:space="preserve">131, </v>
      </c>
      <c r="H133" t="str">
        <f>H132</f>
        <v>id:</v>
      </c>
      <c r="I133" t="str">
        <f>_xlfn.CONCAT("""",VLOOKUP(E133,'Index Web'!A$4:O$253,13,FALSE),"""",", ")</f>
        <v xml:space="preserve">"lleguehastatupresenciamiclamor", </v>
      </c>
      <c r="J133" t="s">
        <v>2016</v>
      </c>
      <c r="K133" t="str">
        <f>_xlfn.CONCAT("""",VLOOKUP(E133,'Index Web'!A$4:L$253,3,FALSE),"""")</f>
        <v>"Llegue hasta tu presencia mi clamor"</v>
      </c>
      <c r="L133" t="s">
        <v>942</v>
      </c>
      <c r="M133" t="str">
        <f>_xlfn.CONCAT("""",VLOOKUP(E133,'Index Web'!A$4:L$253,4,FALSE),"""")</f>
        <v>"Salmo 119 (118)"</v>
      </c>
      <c r="N133" t="s">
        <v>943</v>
      </c>
      <c r="O133" t="str">
        <f>_xlfn.CONCAT("""",VLOOKUP(E133,'Index Web'!A$4:L$253,5,FALSE),"""")</f>
        <v>"Precatecumenado"</v>
      </c>
      <c r="P133" t="s">
        <v>944</v>
      </c>
      <c r="Q133" t="str">
        <f>_xlfn.CONCAT("[",VLOOKUP(E133,'Index Web'!A$4:N$253,14,FALSE),"]")</f>
        <v>["Cuaresma","Adviento","Navidad","Entrada","Antiguo Testamento"]</v>
      </c>
      <c r="R133" t="s">
        <v>945</v>
      </c>
      <c r="S133" t="str">
        <f>_xlfn.CONCAT("""/src/index.html?canto=",VLOOKUP(E133,'Index Web'!A$4:N$253,13,FALSE),""", ")</f>
        <v xml:space="preserve">"/src/index.html?canto=lleguehastatupresenciamiclamor", </v>
      </c>
      <c r="T133" t="str">
        <f>T132</f>
        <v xml:space="preserve">visible: "", </v>
      </c>
      <c r="U133" t="str">
        <f>_xlfn.CONCAT("cejilla: """,C133,""", ")</f>
        <v xml:space="preserve">cejilla: "", </v>
      </c>
      <c r="V133" t="str">
        <f>_xlfn.CONCAT("acorde: """,D133,""", ")</f>
        <v xml:space="preserve">acorde: "La", </v>
      </c>
      <c r="W133" t="s">
        <v>2012</v>
      </c>
      <c r="X133" t="s">
        <v>2013</v>
      </c>
      <c r="Y133" t="str">
        <f>_xlfn.CONCAT("""",VLOOKUP(E133,'Index Web'!A$4:O$253,15,FALSE)," ",VLOOKUP(E133,'Index Web'!A$4:O$253,13,FALSE),"""","},")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Z133" t="str">
        <f>_xlfn.CONCAT(F133:Y133)</f>
        <v>{idi:131, id:"lleguehastatupresenciamiclamor", title: "Llegue hasta tu presencia mi clamor", subtitle: "Salmo 119 (118)", category: "Precatecumenado", moments: ["Cuaresma","Adviento","Navidad","Entrada","Antiguo Testamento"], url: "/src/index.html?canto=lleguehastatupresenciamiclamor", visible: "", cejilla: "", acorde: "La", scrollConfig: {"mobile": { "v": 25, "i": 1 },"tablet": { "v": 25, "i": 1 },"desktop": { "v": 7, "i": 1 },"desktopsmall": { "v": 7, "i": 1 }},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4" spans="2:26" x14ac:dyDescent="0.25">
      <c r="B134" s="51" t="s">
        <v>584</v>
      </c>
      <c r="C134" s="1" t="str">
        <f>IF(VLOOKUP(Table4[[#This Row],[Cantounido]],Table7[],3,FALSE)=0,"",VLOOKUP(Table4[[#This Row],[Cantounido]],Table7[],3,FALSE))</f>
        <v/>
      </c>
      <c r="D134" s="44" t="str">
        <f>IF(VLOOKUP(Table4[[#This Row],[Cantounido]],Table7[],4,FALSE)=0,"",VLOOKUP(Table4[[#This Row],[Cantounido]],Table7[],4,FALSE))</f>
        <v>Mi</v>
      </c>
      <c r="E134" s="26">
        <v>107</v>
      </c>
      <c r="F134" t="str">
        <f>F133</f>
        <v>{idi:</v>
      </c>
      <c r="G134" t="str">
        <f>_xlfn.CONCAT(VLOOKUP(E134,'Index Web'!A$4:L$253,2,FALSE),", ")</f>
        <v xml:space="preserve">132, </v>
      </c>
      <c r="H134" t="str">
        <f>H133</f>
        <v>id:</v>
      </c>
      <c r="I134" t="str">
        <f>_xlfn.CONCAT("""",VLOOKUP(E134,'Index Web'!A$4:O$253,13,FALSE),"""",", ")</f>
        <v xml:space="preserve">"llevamealcielo", </v>
      </c>
      <c r="J134" t="s">
        <v>2016</v>
      </c>
      <c r="K134" t="str">
        <f>_xlfn.CONCAT("""",VLOOKUP(E134,'Index Web'!A$4:L$253,3,FALSE),"""")</f>
        <v>"Llévame al cielo"</v>
      </c>
      <c r="L134" t="s">
        <v>942</v>
      </c>
      <c r="M134" t="str">
        <f>_xlfn.CONCAT("""",VLOOKUP(E134,'Index Web'!A$4:L$253,4,FALSE),"""")</f>
        <v>"Filipenses 1,23"</v>
      </c>
      <c r="N134" t="s">
        <v>943</v>
      </c>
      <c r="O134" t="str">
        <f>_xlfn.CONCAT("""",VLOOKUP(E134,'Index Web'!A$4:L$253,5,FALSE),"""")</f>
        <v>"Precatecumenado"</v>
      </c>
      <c r="P134" t="s">
        <v>944</v>
      </c>
      <c r="Q134" t="str">
        <f>_xlfn.CONCAT("[",VLOOKUP(E134,'Index Web'!A$4:N$253,14,FALSE),"]")</f>
        <v>["Adviento","Navidad","Pascua","Pentecostés","Final","Nuevo Testamento"]</v>
      </c>
      <c r="R134" t="s">
        <v>945</v>
      </c>
      <c r="S134" t="str">
        <f>_xlfn.CONCAT("""/src/index.html?canto=",VLOOKUP(E134,'Index Web'!A$4:N$253,13,FALSE),""", ")</f>
        <v xml:space="preserve">"/src/index.html?canto=llevamealcielo", </v>
      </c>
      <c r="T134" t="str">
        <f>T133</f>
        <v xml:space="preserve">visible: "", </v>
      </c>
      <c r="U134" t="str">
        <f>_xlfn.CONCAT("cejilla: """,C134,""", ")</f>
        <v xml:space="preserve">cejilla: "", </v>
      </c>
      <c r="V134" t="str">
        <f>_xlfn.CONCAT("acorde: """,D134,""", ")</f>
        <v xml:space="preserve">acorde: "Mi", </v>
      </c>
      <c r="W134" t="s">
        <v>2012</v>
      </c>
      <c r="X134" t="s">
        <v>2013</v>
      </c>
      <c r="Y134" t="str">
        <f>_xlfn.CONCAT("""",VLOOKUP(E134,'Index Web'!A$4:O$253,15,FALSE)," ",VLOOKUP(E134,'Index Web'!A$4:O$253,13,FALSE),"""","},")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Z134" t="str">
        <f>_xlfn.CONCAT(F134:Y134)</f>
        <v>{idi:132, id:"llevamealcielo", title: "Llévame al cielo", subtitle: "Filipenses 1,23", category: "Precatecumenado", moments: ["Adviento","Navidad","Pascua","Pentecostés","Final","Nuevo Testamento"], url: "/src/index.html?canto=llevamealcielo", visible: "", cejilla: "", acorde: "Mi", scrollConfig: {"mobile": { "v": 25, "i": 1 },"tablet": { "v": 25, "i": 1 },"desktop": { "v": 7, "i": 1 },"desktopsmall": { "v": 7, "i": 1 }},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5" spans="2:26" x14ac:dyDescent="0.25">
      <c r="B135" s="50" t="s">
        <v>585</v>
      </c>
      <c r="C135" s="1" t="str">
        <f>IF(VLOOKUP(Table4[[#This Row],[Cantounido]],Table7[],3,FALSE)=0,"",VLOOKUP(Table4[[#This Row],[Cantounido]],Table7[],3,FALSE))</f>
        <v/>
      </c>
      <c r="D135" s="44" t="str">
        <f>IF(VLOOKUP(Table4[[#This Row],[Cantounido]],Table7[],4,FALSE)=0,"",VLOOKUP(Table4[[#This Row],[Cantounido]],Table7[],4,FALSE))</f>
        <v>Re</v>
      </c>
      <c r="E135" s="25">
        <v>108</v>
      </c>
      <c r="F135" t="str">
        <f>F134</f>
        <v>{idi:</v>
      </c>
      <c r="G135" t="str">
        <f>_xlfn.CONCAT(VLOOKUP(E135,'Index Web'!A$4:L$253,2,FALSE),", ")</f>
        <v xml:space="preserve">133, </v>
      </c>
      <c r="H135" t="str">
        <f>H134</f>
        <v>id:</v>
      </c>
      <c r="I135" t="str">
        <f>_xlfn.CONCAT("""",VLOOKUP(E135,'Index Web'!A$4:O$253,13,FALSE),"""",", ")</f>
        <v xml:space="preserve">"magnificat", </v>
      </c>
      <c r="J135" t="s">
        <v>2016</v>
      </c>
      <c r="K135" t="str">
        <f>_xlfn.CONCAT("""",VLOOKUP(E135,'Index Web'!A$4:L$253,3,FALSE),"""")</f>
        <v>"Magníficat"</v>
      </c>
      <c r="L135" t="s">
        <v>942</v>
      </c>
      <c r="M135" t="str">
        <f>_xlfn.CONCAT("""",VLOOKUP(E135,'Index Web'!A$4:L$253,4,FALSE),"""")</f>
        <v>"Lucas 1,46-55"</v>
      </c>
      <c r="N135" t="s">
        <v>943</v>
      </c>
      <c r="O135" t="str">
        <f>_xlfn.CONCAT("""",VLOOKUP(E135,'Index Web'!A$4:L$253,5,FALSE),"""")</f>
        <v>"Precatecumenado"</v>
      </c>
      <c r="P135" t="s">
        <v>944</v>
      </c>
      <c r="Q135" t="str">
        <f>_xlfn.CONCAT("[",VLOOKUP(E135,'Index Web'!A$4:N$253,14,FALSE),"]")</f>
        <v>["Vírgen María","Nuevo Testamento"]</v>
      </c>
      <c r="R135" t="s">
        <v>945</v>
      </c>
      <c r="S135" t="str">
        <f>_xlfn.CONCAT("""/src/index.html?canto=",VLOOKUP(E135,'Index Web'!A$4:N$253,13,FALSE),""", ")</f>
        <v xml:space="preserve">"/src/index.html?canto=magnificat", </v>
      </c>
      <c r="T135" t="str">
        <f>T134</f>
        <v xml:space="preserve">visible: "", </v>
      </c>
      <c r="U135" t="str">
        <f>_xlfn.CONCAT("cejilla: """,C135,""", ")</f>
        <v xml:space="preserve">cejilla: "", </v>
      </c>
      <c r="V135" t="str">
        <f>_xlfn.CONCAT("acorde: """,D135,""", ")</f>
        <v xml:space="preserve">acorde: "Re", </v>
      </c>
      <c r="W135" t="s">
        <v>2012</v>
      </c>
      <c r="X135" t="s">
        <v>2013</v>
      </c>
      <c r="Y135" t="str">
        <f>_xlfn.CONCAT("""",VLOOKUP(E135,'Index Web'!A$4:O$253,15,FALSE)," ",VLOOKUP(E135,'Index Web'!A$4:O$253,13,FALSE),"""","},")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Z135" t="str">
        <f>_xlfn.CONCAT(F135:Y135)</f>
        <v>{idi:133, id:"magnificat", title: "Magníficat", subtitle: "Lucas 1,46-55", category: "Precatecumenado", moments: ["Vírgen María","Nuevo Testamento"], url: "/src/index.html?canto=magnificat", visible: "", cejilla: "", acorde: "Re", scrollConfig: {"mobile": { "v": 25, "i": 1 },"tablet": { "v": 25, "i": 1 },"desktop": { "v": 7, "i": 1 },"desktopsmall": { "v": 7, "i": 1 }},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6" spans="2:26" x14ac:dyDescent="0.25">
      <c r="B136" s="51" t="s">
        <v>587</v>
      </c>
      <c r="C136" s="1" t="str">
        <f>IF(VLOOKUP(Table4[[#This Row],[Cantounido]],Table7[],3,FALSE)=0,"",VLOOKUP(Table4[[#This Row],[Cantounido]],Table7[],3,FALSE))</f>
        <v/>
      </c>
      <c r="D136" s="44" t="str">
        <f>IF(VLOOKUP(Table4[[#This Row],[Cantounido]],Table7[],4,FALSE)=0,"",VLOOKUP(Table4[[#This Row],[Cantounido]],Table7[],4,FALSE))</f>
        <v>La</v>
      </c>
      <c r="E136" s="26">
        <v>110</v>
      </c>
      <c r="F136" t="str">
        <f>F135</f>
        <v>{idi:</v>
      </c>
      <c r="G136" t="str">
        <f>_xlfn.CONCAT(VLOOKUP(E136,'Index Web'!A$4:L$253,2,FALSE),", ")</f>
        <v xml:space="preserve">134, </v>
      </c>
      <c r="H136" t="str">
        <f>H135</f>
        <v>id:</v>
      </c>
      <c r="I136" t="str">
        <f>_xlfn.CONCAT("""",VLOOKUP(E136,'Index Web'!A$4:O$253,13,FALSE),"""",", ")</f>
        <v xml:space="preserve">"mariadejasnagora", </v>
      </c>
      <c r="J136" t="s">
        <v>2016</v>
      </c>
      <c r="K136" t="str">
        <f>_xlfn.CONCAT("""",VLOOKUP(E136,'Index Web'!A$4:L$253,3,FALSE),"""")</f>
        <v>"María de Jasna Góra"</v>
      </c>
      <c r="L136" t="s">
        <v>942</v>
      </c>
      <c r="M136" t="str">
        <f>_xlfn.CONCAT("""",VLOOKUP(E136,'Index Web'!A$4:L$253,4,FALSE),"""")</f>
        <v>"Himno a la Virgen de Jasna Göra, Częstochowa Polonia (Kiko Argüello) "</v>
      </c>
      <c r="N136" t="s">
        <v>943</v>
      </c>
      <c r="O136" t="str">
        <f>_xlfn.CONCAT("""",VLOOKUP(E136,'Index Web'!A$4:L$253,5,FALSE),"""")</f>
        <v>"Precatecumenado"</v>
      </c>
      <c r="P136" t="s">
        <v>944</v>
      </c>
      <c r="Q136" t="str">
        <f>_xlfn.CONCAT("[",VLOOKUP(E136,'Index Web'!A$4:N$253,14,FALSE),"]")</f>
        <v>["Vírgen María","Nuevo Testamento"]</v>
      </c>
      <c r="R136" t="s">
        <v>945</v>
      </c>
      <c r="S136" t="str">
        <f>_xlfn.CONCAT("""/src/index.html?canto=",VLOOKUP(E136,'Index Web'!A$4:N$253,13,FALSE),""", ")</f>
        <v xml:space="preserve">"/src/index.html?canto=mariadejasnagora", </v>
      </c>
      <c r="T136" t="str">
        <f>T135</f>
        <v xml:space="preserve">visible: "", </v>
      </c>
      <c r="U136" t="str">
        <f>_xlfn.CONCAT("cejilla: """,C136,""", ")</f>
        <v xml:space="preserve">cejilla: "", </v>
      </c>
      <c r="V136" t="str">
        <f>_xlfn.CONCAT("acorde: """,D136,""", ")</f>
        <v xml:space="preserve">acorde: "La", </v>
      </c>
      <c r="W136" t="s">
        <v>2012</v>
      </c>
      <c r="X136" t="s">
        <v>2013</v>
      </c>
      <c r="Y136" t="str">
        <f>_xlfn.CONCAT("""",VLOOKUP(E136,'Index Web'!A$4:O$253,15,FALSE)," ",VLOOKUP(E136,'Index Web'!A$4:O$253,13,FALSE),"""","},")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Z136" t="str">
        <f>_xlfn.CONCAT(F136:Y136)</f>
        <v>{idi:134, id:"mariadejasnagora", title: "María de Jasna Góra", subtitle: "Himno a la Virgen de Jasna Göra, Częstochowa Polonia (Kiko Argüello) ", category: "Precatecumenado", moments: ["Vírgen María","Nuevo Testamento"], url: "/src/index.html?canto=mariadejasnagora", visible: "", cejilla: "", acorde: "La", scrollConfig: {"mobile": { "v": 25, "i": 1 },"tablet": { "v": 25, "i": 1 },"desktop": { "v": 7, "i": 1 },"desktopsmall": { "v": 7, "i": 1 }},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7" spans="2:26" x14ac:dyDescent="0.25">
      <c r="B137" s="50" t="s">
        <v>586</v>
      </c>
      <c r="C137" s="1" t="str">
        <f>IF(VLOOKUP(Table4[[#This Row],[Cantounido]],Table7[],3,FALSE)=0,"",VLOOKUP(Table4[[#This Row],[Cantounido]],Table7[],3,FALSE))</f>
        <v/>
      </c>
      <c r="D137" s="44" t="str">
        <f>IF(VLOOKUP(Table4[[#This Row],[Cantounido]],Table7[],4,FALSE)=0,"",VLOOKUP(Table4[[#This Row],[Cantounido]],Table7[],4,FALSE))</f>
        <v>Re</v>
      </c>
      <c r="E137" s="25">
        <v>109</v>
      </c>
      <c r="F137" t="str">
        <f>F136</f>
        <v>{idi:</v>
      </c>
      <c r="G137" t="str">
        <f>_xlfn.CONCAT(VLOOKUP(E137,'Index Web'!A$4:L$253,2,FALSE),", ")</f>
        <v xml:space="preserve">135, </v>
      </c>
      <c r="H137" t="str">
        <f>H136</f>
        <v>id:</v>
      </c>
      <c r="I137" t="str">
        <f>_xlfn.CONCAT("""",VLOOKUP(E137,'Index Web'!A$4:O$253,13,FALSE),"""",", ")</f>
        <v xml:space="preserve">"mariacasadebendicion", </v>
      </c>
      <c r="J137" t="s">
        <v>2016</v>
      </c>
      <c r="K137" t="str">
        <f>_xlfn.CONCAT("""",VLOOKUP(E137,'Index Web'!A$4:L$253,3,FALSE),"""")</f>
        <v>"María, casa de bendición"</v>
      </c>
      <c r="L137" t="s">
        <v>942</v>
      </c>
      <c r="M137" t="str">
        <f>_xlfn.CONCAT("""",VLOOKUP(E137,'Index Web'!A$4:L$253,4,FALSE),"""")</f>
        <v>"Juan 2,1–11 – Las Bodas de Caná"</v>
      </c>
      <c r="N137" t="s">
        <v>943</v>
      </c>
      <c r="O137" t="str">
        <f>_xlfn.CONCAT("""",VLOOKUP(E137,'Index Web'!A$4:L$253,5,FALSE),"""")</f>
        <v>"Precatecumenado"</v>
      </c>
      <c r="P137" t="s">
        <v>944</v>
      </c>
      <c r="Q137" t="str">
        <f>_xlfn.CONCAT("[",VLOOKUP(E137,'Index Web'!A$4:N$253,14,FALSE),"]")</f>
        <v>["Vírgen María","Pascua","Comunión","Pentecostés"]</v>
      </c>
      <c r="R137" t="s">
        <v>945</v>
      </c>
      <c r="S137" t="str">
        <f>_xlfn.CONCAT("""/src/index.html?canto=",VLOOKUP(E137,'Index Web'!A$4:N$253,13,FALSE),""", ")</f>
        <v xml:space="preserve">"/src/index.html?canto=mariacasadebendicion", </v>
      </c>
      <c r="T137" t="str">
        <f>T136</f>
        <v xml:space="preserve">visible: "", </v>
      </c>
      <c r="U137" t="str">
        <f>_xlfn.CONCAT("cejilla: """,C137,""", ")</f>
        <v xml:space="preserve">cejilla: "", </v>
      </c>
      <c r="V137" t="str">
        <f>_xlfn.CONCAT("acorde: """,D137,""", ")</f>
        <v xml:space="preserve">acorde: "Re", </v>
      </c>
      <c r="W137" t="s">
        <v>2012</v>
      </c>
      <c r="X137" t="s">
        <v>2013</v>
      </c>
      <c r="Y137" t="str">
        <f>_xlfn.CONCAT("""",VLOOKUP(E137,'Index Web'!A$4:O$253,15,FALSE)," ",VLOOKUP(E137,'Index Web'!A$4:O$253,13,FALSE),"""","},")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Z137" t="str">
        <f>_xlfn.CONCAT(F137:Y137)</f>
        <v>{idi:135, id:"mariacasadebendicion", title: "María, casa de bendición", subtitle: "Juan 2,1–11 – Las Bodas de Caná", category: "Precatecumenado", moments: ["Vírgen María","Pascua","Comunión","Pentecostés"], url: "/src/index.html?canto=mariacasadebendicion", visible: "", cejilla: "", acorde: "Re", scrollConfig: {"mobile": { "v": 25, "i": 1 },"tablet": { "v": 25, "i": 1 },"desktop": { "v": 7, "i": 1 },"desktopsmall": { "v": 7, "i": 1 }},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8" spans="2:26" x14ac:dyDescent="0.25">
      <c r="B138" s="51" t="s">
        <v>588</v>
      </c>
      <c r="C138" s="1" t="str">
        <f>IF(VLOOKUP(Table4[[#This Row],[Cantounido]],Table7[],3,FALSE)=0,"",VLOOKUP(Table4[[#This Row],[Cantounido]],Table7[],3,FALSE))</f>
        <v/>
      </c>
      <c r="D138" s="44" t="str">
        <f>IF(VLOOKUP(Table4[[#This Row],[Cantounido]],Table7[],4,FALSE)=0,"",VLOOKUP(Table4[[#This Row],[Cantounido]],Table7[],4,FALSE))</f>
        <v>Mi</v>
      </c>
      <c r="E138" s="26">
        <v>111</v>
      </c>
      <c r="F138" t="str">
        <f>F137</f>
        <v>{idi:</v>
      </c>
      <c r="G138" t="str">
        <f>_xlfn.CONCAT(VLOOKUP(E138,'Index Web'!A$4:L$253,2,FALSE),", ")</f>
        <v xml:space="preserve">136, </v>
      </c>
      <c r="H138" t="str">
        <f>H137</f>
        <v>id:</v>
      </c>
      <c r="I138" t="str">
        <f>_xlfn.CONCAT("""",VLOOKUP(E138,'Index Web'!A$4:O$253,13,FALSE),"""",", ")</f>
        <v xml:space="preserve">"mariamadredelaiglesia", </v>
      </c>
      <c r="J138" t="s">
        <v>2016</v>
      </c>
      <c r="K138" t="str">
        <f>_xlfn.CONCAT("""",VLOOKUP(E138,'Index Web'!A$4:L$253,3,FALSE),"""")</f>
        <v>"María, madre de la Iglesia"</v>
      </c>
      <c r="L138" t="s">
        <v>942</v>
      </c>
      <c r="M138" t="str">
        <f>_xlfn.CONCAT("""",VLOOKUP(E138,'Index Web'!A$4:L$253,4,FALSE),"""")</f>
        <v>"Juan 19,26-34"</v>
      </c>
      <c r="N138" t="s">
        <v>943</v>
      </c>
      <c r="O138" t="str">
        <f>_xlfn.CONCAT("""",VLOOKUP(E138,'Index Web'!A$4:L$253,5,FALSE),"""")</f>
        <v>"Precatecumenado"</v>
      </c>
      <c r="P138" t="s">
        <v>944</v>
      </c>
      <c r="Q138" t="str">
        <f>_xlfn.CONCAT("[",VLOOKUP(E138,'Index Web'!A$4:N$253,14,FALSE),"]")</f>
        <v>["Vírgen María","Cuaresma","Fracción Del Pan","Nuevo Testamento"]</v>
      </c>
      <c r="R138" t="s">
        <v>945</v>
      </c>
      <c r="S138" t="str">
        <f>_xlfn.CONCAT("""/src/index.html?canto=",VLOOKUP(E138,'Index Web'!A$4:N$253,13,FALSE),""", ")</f>
        <v xml:space="preserve">"/src/index.html?canto=mariamadredelaiglesia", </v>
      </c>
      <c r="T138" t="str">
        <f>T137</f>
        <v xml:space="preserve">visible: "", </v>
      </c>
      <c r="U138" t="str">
        <f>_xlfn.CONCAT("cejilla: """,C138,""", ")</f>
        <v xml:space="preserve">cejilla: "", </v>
      </c>
      <c r="V138" t="str">
        <f>_xlfn.CONCAT("acorde: """,D138,""", ")</f>
        <v xml:space="preserve">acorde: "Mi", </v>
      </c>
      <c r="W138" t="s">
        <v>2012</v>
      </c>
      <c r="X138" t="s">
        <v>2013</v>
      </c>
      <c r="Y138" t="str">
        <f>_xlfn.CONCAT("""",VLOOKUP(E138,'Index Web'!A$4:O$253,15,FALSE)," ",VLOOKUP(E138,'Index Web'!A$4:O$253,13,FALSE),"""","},")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Z138" t="str">
        <f>_xlfn.CONCAT(F138:Y138)</f>
        <v>{idi:136, id:"mariamadredelaiglesia", title: "María, madre de la Iglesia", subtitle: "Juan 19,26-34", category: "Precatecumenado", moments: ["Vírgen María","Cuaresma","Fracción Del Pan","Nuevo Testamento"], url: "/src/index.html?canto=mariamadredelaiglesia", visible: "", cejilla: "", acorde: "Mi", scrollConfig: {"mobile": { "v": 25, "i": 1 },"tablet": { "v": 25, "i": 1 },"desktop": { "v": 7, "i": 1 },"desktopsmall": { "v": 7, "i": 1 }},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9" spans="2:26" x14ac:dyDescent="0.25">
      <c r="B139" s="50" t="s">
        <v>589</v>
      </c>
      <c r="C139" s="1" t="str">
        <f>IF(VLOOKUP(Table4[[#This Row],[Cantounido]],Table7[],3,FALSE)=0,"",VLOOKUP(Table4[[#This Row],[Cantounido]],Table7[],3,FALSE))</f>
        <v/>
      </c>
      <c r="D139" s="44" t="str">
        <f>IF(VLOOKUP(Table4[[#This Row],[Cantounido]],Table7[],4,FALSE)=0,"",VLOOKUP(Table4[[#This Row],[Cantounido]],Table7[],4,FALSE))</f>
        <v>Sol</v>
      </c>
      <c r="E139" s="25">
        <v>112</v>
      </c>
      <c r="F139" t="str">
        <f>F138</f>
        <v>{idi:</v>
      </c>
      <c r="G139" t="str">
        <f>_xlfn.CONCAT(VLOOKUP(E139,'Index Web'!A$4:L$253,2,FALSE),", ")</f>
        <v xml:space="preserve">137, </v>
      </c>
      <c r="H139" t="str">
        <f>H138</f>
        <v>id:</v>
      </c>
      <c r="I139" t="str">
        <f>_xlfn.CONCAT("""",VLOOKUP(E139,'Index Web'!A$4:O$253,13,FALSE),"""",", ")</f>
        <v xml:space="preserve">"mariamadredelcaminoardiente", </v>
      </c>
      <c r="J139" t="s">
        <v>2016</v>
      </c>
      <c r="K139" t="str">
        <f>_xlfn.CONCAT("""",VLOOKUP(E139,'Index Web'!A$4:L$253,3,FALSE),"""")</f>
        <v>"María, madre del camino ardiente"</v>
      </c>
      <c r="L139" t="s">
        <v>942</v>
      </c>
      <c r="M139" t="str">
        <f>_xlfn.CONCAT("""",VLOOKUP(E139,'Index Web'!A$4:L$253,4,FALSE),"""")</f>
        <v>"Himno a la Virgen del Tercer Milenio (Kiko Argüello)"</v>
      </c>
      <c r="N139" t="s">
        <v>943</v>
      </c>
      <c r="O139" t="str">
        <f>_xlfn.CONCAT("""",VLOOKUP(E139,'Index Web'!A$4:L$253,5,FALSE),"""")</f>
        <v>"Precatecumenado"</v>
      </c>
      <c r="P139" t="s">
        <v>944</v>
      </c>
      <c r="Q139" t="str">
        <f>_xlfn.CONCAT("[",VLOOKUP(E139,'Index Web'!A$4:N$253,14,FALSE),"]")</f>
        <v>["Vírgen María","Adviento","Navidad"]</v>
      </c>
      <c r="R139" t="s">
        <v>945</v>
      </c>
      <c r="S139" t="str">
        <f>_xlfn.CONCAT("""/src/index.html?canto=",VLOOKUP(E139,'Index Web'!A$4:N$253,13,FALSE),""", ")</f>
        <v xml:space="preserve">"/src/index.html?canto=mariamadredelcaminoardiente", </v>
      </c>
      <c r="T139" t="str">
        <f>T138</f>
        <v xml:space="preserve">visible: "", </v>
      </c>
      <c r="U139" t="str">
        <f>_xlfn.CONCAT("cejilla: """,C139,""", ")</f>
        <v xml:space="preserve">cejilla: "", </v>
      </c>
      <c r="V139" t="str">
        <f>_xlfn.CONCAT("acorde: """,D139,""", ")</f>
        <v xml:space="preserve">acorde: "Sol", </v>
      </c>
      <c r="W139" t="s">
        <v>2012</v>
      </c>
      <c r="X139" t="s">
        <v>2013</v>
      </c>
      <c r="Y139" t="str">
        <f>_xlfn.CONCAT("""",VLOOKUP(E139,'Index Web'!A$4:O$253,15,FALSE)," ",VLOOKUP(E139,'Index Web'!A$4:O$253,13,FALSE),"""","},")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Z139" t="str">
        <f>_xlfn.CONCAT(F139:Y139)</f>
        <v>{idi:137, id:"mariamadredelcaminoardiente", title: "María, madre del camino ardiente", subtitle: "Himno a la Virgen del Tercer Milenio (Kiko Argüello)", category: "Precatecumenado", moments: ["Vírgen María","Adviento","Navidad"], url: "/src/index.html?canto=mariamadredelcaminoardiente", visible: "", cejilla: "", acorde: "Sol", scrollConfig: {"mobile": { "v": 25, "i": 1 },"tablet": { "v": 25, "i": 1 },"desktop": { "v": 7, "i": 1 },"desktopsmall": { "v": 7, "i": 1 }},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40" spans="2:26" x14ac:dyDescent="0.25">
      <c r="B140" s="51" t="s">
        <v>590</v>
      </c>
      <c r="C140" s="1" t="str">
        <f>IF(VLOOKUP(Table4[[#This Row],[Cantounido]],Table7[],3,FALSE)=0,"",VLOOKUP(Table4[[#This Row],[Cantounido]],Table7[],3,FALSE))</f>
        <v/>
      </c>
      <c r="D140" s="44" t="str">
        <f>IF(VLOOKUP(Table4[[#This Row],[Cantounido]],Table7[],4,FALSE)=0,"",VLOOKUP(Table4[[#This Row],[Cantounido]],Table7[],4,FALSE))</f>
        <v>Re</v>
      </c>
      <c r="E140" s="26">
        <v>113</v>
      </c>
      <c r="F140" t="str">
        <f>F139</f>
        <v>{idi:</v>
      </c>
      <c r="G140" t="str">
        <f>_xlfn.CONCAT(VLOOKUP(E140,'Index Web'!A$4:L$253,2,FALSE),", ")</f>
        <v xml:space="preserve">138, </v>
      </c>
      <c r="H140" t="str">
        <f>H139</f>
        <v>id:</v>
      </c>
      <c r="I140" t="str">
        <f>_xlfn.CONCAT("""",VLOOKUP(E140,'Index Web'!A$4:O$253,13,FALSE),"""",", ")</f>
        <v xml:space="preserve">"mariapequenamaria", </v>
      </c>
      <c r="J140" t="s">
        <v>2016</v>
      </c>
      <c r="K140" t="str">
        <f>_xlfn.CONCAT("""",VLOOKUP(E140,'Index Web'!A$4:L$253,3,FALSE),"""")</f>
        <v>"María, pequeña María"</v>
      </c>
      <c r="L140" t="s">
        <v>942</v>
      </c>
      <c r="M140" t="str">
        <f>_xlfn.CONCAT("""",VLOOKUP(E140,'Index Web'!A$4:L$253,4,FALSE),"""")</f>
        <v>"Himno a la Virgen María (Kiko Argüello)"</v>
      </c>
      <c r="N140" t="s">
        <v>943</v>
      </c>
      <c r="O140" t="str">
        <f>_xlfn.CONCAT("""",VLOOKUP(E140,'Index Web'!A$4:L$253,5,FALSE),"""")</f>
        <v>"Precatecumenado"</v>
      </c>
      <c r="P140" t="s">
        <v>944</v>
      </c>
      <c r="Q140" t="str">
        <f>_xlfn.CONCAT("[",VLOOKUP(E140,'Index Web'!A$4:N$253,14,FALSE),"]")</f>
        <v>["Vírgen María","Cuaresma"]</v>
      </c>
      <c r="R140" t="s">
        <v>945</v>
      </c>
      <c r="S140" t="str">
        <f>_xlfn.CONCAT("""/src/index.html?canto=",VLOOKUP(E140,'Index Web'!A$4:N$253,13,FALSE),""", ")</f>
        <v xml:space="preserve">"/src/index.html?canto=mariapequenamaria", </v>
      </c>
      <c r="T140" t="str">
        <f>T139</f>
        <v xml:space="preserve">visible: "", </v>
      </c>
      <c r="U140" t="str">
        <f>_xlfn.CONCAT("cejilla: """,C140,""", ")</f>
        <v xml:space="preserve">cejilla: "", </v>
      </c>
      <c r="V140" t="str">
        <f>_xlfn.CONCAT("acorde: """,D140,""", ")</f>
        <v xml:space="preserve">acorde: "Re", </v>
      </c>
      <c r="W140" t="s">
        <v>2012</v>
      </c>
      <c r="X140" t="s">
        <v>2013</v>
      </c>
      <c r="Y140" t="str">
        <f>_xlfn.CONCAT("""",VLOOKUP(E140,'Index Web'!A$4:O$253,15,FALSE)," ",VLOOKUP(E140,'Index Web'!A$4:O$253,13,FALSE),"""","},")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Z140" t="str">
        <f>_xlfn.CONCAT(F140:Y140)</f>
        <v>{idi:138, id:"mariapequenamaria", title: "María, pequeña María", subtitle: "Himno a la Virgen María (Kiko Argüello)", category: "Precatecumenado", moments: ["Vírgen María","Cuaresma"], url: "/src/index.html?canto=mariapequenamaria", visible: "", cejilla: "", acorde: "Re", scrollConfig: {"mobile": { "v": 25, "i": 1 },"tablet": { "v": 25, "i": 1 },"desktop": { "v": 7, "i": 1 },"desktopsmall": { "v": 7, "i": 1 }},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1" spans="2:26" x14ac:dyDescent="0.25">
      <c r="B141" s="50" t="s">
        <v>591</v>
      </c>
      <c r="C141" s="1" t="str">
        <f>IF(VLOOKUP(Table4[[#This Row],[Cantounido]],Table7[],3,FALSE)=0,"",VLOOKUP(Table4[[#This Row],[Cantounido]],Table7[],3,FALSE))</f>
        <v/>
      </c>
      <c r="D141" s="44" t="str">
        <f>IF(VLOOKUP(Table4[[#This Row],[Cantounido]],Table7[],4,FALSE)=0,"",VLOOKUP(Table4[[#This Row],[Cantounido]],Table7[],4,FALSE))</f>
        <v>La</v>
      </c>
      <c r="E141" s="25">
        <v>114</v>
      </c>
      <c r="F141" t="str">
        <f>F140</f>
        <v>{idi:</v>
      </c>
      <c r="G141" t="str">
        <f>_xlfn.CONCAT(VLOOKUP(E141,'Index Web'!A$4:L$253,2,FALSE),", ")</f>
        <v xml:space="preserve">139, </v>
      </c>
      <c r="H141" t="str">
        <f>H140</f>
        <v>id:</v>
      </c>
      <c r="I141" t="str">
        <f>_xlfn.CONCAT("""",VLOOKUP(E141,'Index Web'!A$4:O$253,13,FALSE),"""",", ")</f>
        <v xml:space="preserve">"meensenaraselcaminodelavida", </v>
      </c>
      <c r="J141" t="s">
        <v>2016</v>
      </c>
      <c r="K141" t="str">
        <f>_xlfn.CONCAT("""",VLOOKUP(E141,'Index Web'!A$4:L$253,3,FALSE),"""")</f>
        <v>"Me enseñarás el camino de la vida"</v>
      </c>
      <c r="L141" t="s">
        <v>942</v>
      </c>
      <c r="M141" t="str">
        <f>_xlfn.CONCAT("""",VLOOKUP(E141,'Index Web'!A$4:L$253,4,FALSE),"""")</f>
        <v>"Salmo 16 (15)"</v>
      </c>
      <c r="N141" t="s">
        <v>943</v>
      </c>
      <c r="O141" t="str">
        <f>_xlfn.CONCAT("""",VLOOKUP(E141,'Index Web'!A$4:L$253,5,FALSE),"""")</f>
        <v>"Precatecumenado"</v>
      </c>
      <c r="P141" t="s">
        <v>944</v>
      </c>
      <c r="Q141" t="str">
        <f>_xlfn.CONCAT("[",VLOOKUP(E141,'Index Web'!A$4:N$253,14,FALSE),"]")</f>
        <v>["Pascua","Pentecostés","Entrada","Antiguo Testamento"]</v>
      </c>
      <c r="R141" t="s">
        <v>945</v>
      </c>
      <c r="S141" t="str">
        <f>_xlfn.CONCAT("""/src/index.html?canto=",VLOOKUP(E141,'Index Web'!A$4:N$253,13,FALSE),""", ")</f>
        <v xml:space="preserve">"/src/index.html?canto=meensenaraselcaminodelavida", </v>
      </c>
      <c r="T141" t="str">
        <f>T140</f>
        <v xml:space="preserve">visible: "", </v>
      </c>
      <c r="U141" t="str">
        <f>_xlfn.CONCAT("cejilla: """,C141,""", ")</f>
        <v xml:space="preserve">cejilla: "", </v>
      </c>
      <c r="V141" t="str">
        <f>_xlfn.CONCAT("acorde: """,D141,""", ")</f>
        <v xml:space="preserve">acorde: "La", </v>
      </c>
      <c r="W141" t="s">
        <v>2012</v>
      </c>
      <c r="X141" t="s">
        <v>2013</v>
      </c>
      <c r="Y141" t="str">
        <f>_xlfn.CONCAT("""",VLOOKUP(E141,'Index Web'!A$4:O$253,15,FALSE)," ",VLOOKUP(E141,'Index Web'!A$4:O$253,13,FALSE),"""","},")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Z141" t="str">
        <f>_xlfn.CONCAT(F141:Y141)</f>
        <v>{idi:139, id:"meensenaraselcaminodelavida", title: "Me enseñarás el camino de la vida", subtitle: "Salmo 16 (15)", category: "Precatecumenado", moments: ["Pascua","Pentecostés","Entrada","Antiguo Testamento"], url: "/src/index.html?canto=meensenaraselcaminodelavida", visible: "", cejilla: "", acorde: "La", scrollConfig: {"mobile": { "v": 25, "i": 1 },"tablet": { "v": 25, "i": 1 },"desktop": { "v": 7, "i": 1 },"desktopsmall": { "v": 7, "i": 1 }},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2" spans="2:26" x14ac:dyDescent="0.25">
      <c r="B142" s="51" t="s">
        <v>592</v>
      </c>
      <c r="C142" s="1" t="str">
        <f>IF(VLOOKUP(Table4[[#This Row],[Cantounido]],Table7[],3,FALSE)=0,"",VLOOKUP(Table4[[#This Row],[Cantounido]],Table7[],3,FALSE))</f>
        <v/>
      </c>
      <c r="D142" s="44" t="str">
        <f>IF(VLOOKUP(Table4[[#This Row],[Cantounido]],Table7[],4,FALSE)=0,"",VLOOKUP(Table4[[#This Row],[Cantounido]],Table7[],4,FALSE))</f>
        <v>La</v>
      </c>
      <c r="E142" s="26">
        <v>115</v>
      </c>
      <c r="F142" t="str">
        <f>F141</f>
        <v>{idi:</v>
      </c>
      <c r="G142" t="str">
        <f>_xlfn.CONCAT(VLOOKUP(E142,'Index Web'!A$4:L$253,2,FALSE),", ")</f>
        <v xml:space="preserve">140, </v>
      </c>
      <c r="H142" t="str">
        <f>H141</f>
        <v>id:</v>
      </c>
      <c r="I142" t="str">
        <f>_xlfn.CONCAT("""",VLOOKUP(E142,'Index Web'!A$4:O$253,13,FALSE),"""",", ")</f>
        <v xml:space="preserve">"mehasseducidosenor", </v>
      </c>
      <c r="J142" t="s">
        <v>2016</v>
      </c>
      <c r="K142" t="str">
        <f>_xlfn.CONCAT("""",VLOOKUP(E142,'Index Web'!A$4:L$253,3,FALSE),"""")</f>
        <v>"Me has seducido, Señor "</v>
      </c>
      <c r="L142" t="s">
        <v>942</v>
      </c>
      <c r="M142" t="str">
        <f>_xlfn.CONCAT("""",VLOOKUP(E142,'Index Web'!A$4:L$253,4,FALSE),"""")</f>
        <v>"Jeremias 20,7-18"</v>
      </c>
      <c r="N142" t="s">
        <v>943</v>
      </c>
      <c r="O142" t="str">
        <f>_xlfn.CONCAT("""",VLOOKUP(E142,'Index Web'!A$4:L$253,5,FALSE),"""")</f>
        <v>"Precatecumenado"</v>
      </c>
      <c r="P142" t="s">
        <v>944</v>
      </c>
      <c r="Q142" t="str">
        <f>_xlfn.CONCAT("[",VLOOKUP(E142,'Index Web'!A$4:N$253,14,FALSE),"]")</f>
        <v>["Antiguo Testamento"]</v>
      </c>
      <c r="R142" t="s">
        <v>945</v>
      </c>
      <c r="S142" t="str">
        <f>_xlfn.CONCAT("""/src/index.html?canto=",VLOOKUP(E142,'Index Web'!A$4:N$253,13,FALSE),""", ")</f>
        <v xml:space="preserve">"/src/index.html?canto=mehasseducidosenor", </v>
      </c>
      <c r="T142" t="str">
        <f>T141</f>
        <v xml:space="preserve">visible: "", </v>
      </c>
      <c r="U142" t="str">
        <f>_xlfn.CONCAT("cejilla: """,C142,""", ")</f>
        <v xml:space="preserve">cejilla: "", </v>
      </c>
      <c r="V142" t="str">
        <f>_xlfn.CONCAT("acorde: """,D142,""", ")</f>
        <v xml:space="preserve">acorde: "La", </v>
      </c>
      <c r="W142" t="s">
        <v>2012</v>
      </c>
      <c r="X142" t="s">
        <v>2013</v>
      </c>
      <c r="Y142" t="str">
        <f>_xlfn.CONCAT("""",VLOOKUP(E142,'Index Web'!A$4:O$253,15,FALSE)," ",VLOOKUP(E142,'Index Web'!A$4:O$253,13,FALSE),"""","},")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Z142" t="str">
        <f>_xlfn.CONCAT(F142:Y142)</f>
        <v>{idi:140, id:"mehasseducidosenor", title: "Me has seducido, Señor ", subtitle: "Jeremias 20,7-18", category: "Precatecumenado", moments: ["Antiguo Testamento"], url: "/src/index.html?canto=mehasseducidosenor", visible: "", cejilla: "", acorde: "La", scrollConfig: {"mobile": { "v": 25, "i": 1 },"tablet": { "v": 25, "i": 1 },"desktop": { "v": 7, "i": 1 },"desktopsmall": { "v": 7, "i": 1 }},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3" spans="2:26" x14ac:dyDescent="0.25">
      <c r="B143" s="55" t="s">
        <v>706</v>
      </c>
      <c r="C143" s="1" t="str">
        <f>IF(VLOOKUP(Table4[[#This Row],[Cantounido]],Table7[],3,FALSE)=0,"",VLOOKUP(Table4[[#This Row],[Cantounido]],Table7[],3,FALSE))</f>
        <v/>
      </c>
      <c r="D143" s="44" t="str">
        <f>IF(VLOOKUP(Table4[[#This Row],[Cantounido]],Table7[],4,FALSE)=0,"",VLOOKUP(Table4[[#This Row],[Cantounido]],Table7[],4,FALSE))</f>
        <v>Re</v>
      </c>
      <c r="E143" s="24">
        <v>243</v>
      </c>
      <c r="F143" t="str">
        <f>F142</f>
        <v>{idi:</v>
      </c>
      <c r="G143" t="str">
        <f>_xlfn.CONCAT(VLOOKUP(E143,'Index Web'!A$4:L$253,2,FALSE),", ")</f>
        <v xml:space="preserve">141, </v>
      </c>
      <c r="H143" t="str">
        <f>H142</f>
        <v>id:</v>
      </c>
      <c r="I143" t="str">
        <f>_xlfn.CONCAT("""",VLOOKUP(E143,'Index Web'!A$4:O$253,13,FALSE),"""",", ")</f>
        <v xml:space="preserve">"merobasteelcorazon", </v>
      </c>
      <c r="J143" t="s">
        <v>2016</v>
      </c>
      <c r="K143" t="str">
        <f>_xlfn.CONCAT("""",VLOOKUP(E143,'Index Web'!A$4:L$253,3,FALSE),"""")</f>
        <v>"Me robaste el corazón "</v>
      </c>
      <c r="L143" t="s">
        <v>942</v>
      </c>
      <c r="M143" t="str">
        <f>_xlfn.CONCAT("""",VLOOKUP(E143,'Index Web'!A$4:L$253,4,FALSE),"""")</f>
        <v>"Cantar de los cantares 4,9 - 5,1"</v>
      </c>
      <c r="N143" t="s">
        <v>943</v>
      </c>
      <c r="O143" t="str">
        <f>_xlfn.CONCAT("""",VLOOKUP(E143,'Index Web'!A$4:L$253,5,FALSE),"""")</f>
        <v>"Eleccion"</v>
      </c>
      <c r="P143" t="s">
        <v>944</v>
      </c>
      <c r="Q143" t="str">
        <f>_xlfn.CONCAT("[",VLOOKUP(E143,'Index Web'!A$4:N$253,14,FALSE),"]")</f>
        <v>["Antiguo Testamento"]</v>
      </c>
      <c r="R143" t="s">
        <v>945</v>
      </c>
      <c r="S143" t="str">
        <f>_xlfn.CONCAT("""/src/index.html?canto=",VLOOKUP(E143,'Index Web'!A$4:N$253,13,FALSE),""", ")</f>
        <v xml:space="preserve">"/src/index.html?canto=merobasteelcorazon", </v>
      </c>
      <c r="T143" t="str">
        <f>T142</f>
        <v xml:space="preserve">visible: "", </v>
      </c>
      <c r="U143" t="str">
        <f>_xlfn.CONCAT("cejilla: """,C143,""", ")</f>
        <v xml:space="preserve">cejilla: "", </v>
      </c>
      <c r="V143" t="str">
        <f>_xlfn.CONCAT("acorde: """,D143,""", ")</f>
        <v xml:space="preserve">acorde: "Re", </v>
      </c>
      <c r="W143" t="s">
        <v>2012</v>
      </c>
      <c r="X143" t="s">
        <v>2013</v>
      </c>
      <c r="Y143" t="str">
        <f>_xlfn.CONCAT("""",VLOOKUP(E143,'Index Web'!A$4:O$253,15,FALSE)," ",VLOOKUP(E143,'Index Web'!A$4:O$253,13,FALSE),"""","},")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Z143" t="str">
        <f>_xlfn.CONCAT(F143:Y143)</f>
        <v>{idi:141, id:"merobasteelcorazon", title: "Me robaste el corazón ", subtitle: "Cantar de los cantares 4,9 - 5,1", category: "Eleccion", moments: ["Antiguo Testamento"], url: "/src/index.html?canto=merobasteelcorazon", visible: "", cejilla: "", acorde: "Re", scrollConfig: {"mobile": { "v": 25, "i": 1 },"tablet": { "v": 25, "i": 1 },"desktop": { "v": 7, "i": 1 },"desktopsmall": { "v": 7, "i": 1 }},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4" spans="2:26" x14ac:dyDescent="0.25">
      <c r="B144" s="51" t="s">
        <v>593</v>
      </c>
      <c r="C144" s="1">
        <f>IF(VLOOKUP(Table4[[#This Row],[Cantounido]],Table7[],3,FALSE)=0,"",VLOOKUP(Table4[[#This Row],[Cantounido]],Table7[],3,FALSE))</f>
        <v>3</v>
      </c>
      <c r="D144" s="44" t="str">
        <f>IF(VLOOKUP(Table4[[#This Row],[Cantounido]],Table7[],4,FALSE)=0,"",VLOOKUP(Table4[[#This Row],[Cantounido]],Table7[],4,FALSE))</f>
        <v>Mi</v>
      </c>
      <c r="E144" s="26">
        <v>116</v>
      </c>
      <c r="F144" t="str">
        <f>F143</f>
        <v>{idi:</v>
      </c>
      <c r="G144" t="str">
        <f>_xlfn.CONCAT(VLOOKUP(E144,'Index Web'!A$4:L$253,2,FALSE),", ")</f>
        <v xml:space="preserve">142, </v>
      </c>
      <c r="H144" t="str">
        <f>H143</f>
        <v>id:</v>
      </c>
      <c r="I144" t="str">
        <f>_xlfn.CONCAT("""",VLOOKUP(E144,'Index Web'!A$4:O$253,13,FALSE),"""",", ")</f>
        <v xml:space="preserve">"miradqueestupendo", </v>
      </c>
      <c r="J144" t="s">
        <v>2016</v>
      </c>
      <c r="K144" t="str">
        <f>_xlfn.CONCAT("""",VLOOKUP(E144,'Index Web'!A$4:L$253,3,FALSE),"""")</f>
        <v>"Mirad qué estupendo"</v>
      </c>
      <c r="L144" t="s">
        <v>942</v>
      </c>
      <c r="M144" t="str">
        <f>_xlfn.CONCAT("""",VLOOKUP(E144,'Index Web'!A$4:L$253,4,FALSE),"""")</f>
        <v>"Salmo 133 (132)"</v>
      </c>
      <c r="N144" t="s">
        <v>943</v>
      </c>
      <c r="O144" t="str">
        <f>_xlfn.CONCAT("""",VLOOKUP(E144,'Index Web'!A$4:L$253,5,FALSE),"""")</f>
        <v>"Precatecumenado"</v>
      </c>
      <c r="P144" t="s">
        <v>944</v>
      </c>
      <c r="Q144" t="str">
        <f>_xlfn.CONCAT("[",VLOOKUP(E144,'Index Web'!A$4:N$253,14,FALSE),"]")</f>
        <v>["Paz","Antiguo Testamento"]</v>
      </c>
      <c r="R144" t="s">
        <v>945</v>
      </c>
      <c r="S144" t="str">
        <f>_xlfn.CONCAT("""/src/index.html?canto=",VLOOKUP(E144,'Index Web'!A$4:N$253,13,FALSE),""", ")</f>
        <v xml:space="preserve">"/src/index.html?canto=miradqueestupendo", </v>
      </c>
      <c r="T144" t="str">
        <f>T143</f>
        <v xml:space="preserve">visible: "", </v>
      </c>
      <c r="U144" t="str">
        <f>_xlfn.CONCAT("cejilla: """,C144,""", ")</f>
        <v xml:space="preserve">cejilla: "3", </v>
      </c>
      <c r="V144" t="str">
        <f>_xlfn.CONCAT("acorde: """,D144,""", ")</f>
        <v xml:space="preserve">acorde: "Mi", </v>
      </c>
      <c r="W144" t="s">
        <v>2012</v>
      </c>
      <c r="X144" t="s">
        <v>2013</v>
      </c>
      <c r="Y144" t="str">
        <f>_xlfn.CONCAT("""",VLOOKUP(E144,'Index Web'!A$4:O$253,15,FALSE)," ",VLOOKUP(E144,'Index Web'!A$4:O$253,13,FALSE),"""","},")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Z144" t="str">
        <f>_xlfn.CONCAT(F144:Y144)</f>
        <v>{idi:142, id:"miradqueestupendo", title: "Mirad qué estupendo", subtitle: "Salmo 133 (132)", category: "Precatecumenado", moments: ["Paz","Antiguo Testamento"], url: "/src/index.html?canto=miradqueestupendo", visible: "", cejilla: "3", acorde: "Mi", scrollConfig: {"mobile": { "v": 25, "i": 1 },"tablet": { "v": 25, "i": 1 },"desktop": { "v": 7, "i": 1 },"desktopsmall": { "v": 7, "i": 1 }},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5" spans="2:26" x14ac:dyDescent="0.25">
      <c r="B145" s="50" t="s">
        <v>595</v>
      </c>
      <c r="C145" s="1" t="str">
        <f>IF(VLOOKUP(Table4[[#This Row],[Cantounido]],Table7[],3,FALSE)=0,"",VLOOKUP(Table4[[#This Row],[Cantounido]],Table7[],3,FALSE))</f>
        <v/>
      </c>
      <c r="D145" s="44" t="str">
        <f>IF(VLOOKUP(Table4[[#This Row],[Cantounido]],Table7[],4,FALSE)=0,"",VLOOKUP(Table4[[#This Row],[Cantounido]],Table7[],4,FALSE))</f>
        <v>Mi</v>
      </c>
      <c r="E145" s="25">
        <v>118</v>
      </c>
      <c r="F145" t="str">
        <f>F144</f>
        <v>{idi:</v>
      </c>
      <c r="G145" t="str">
        <f>_xlfn.CONCAT(VLOOKUP(E145,'Index Web'!A$4:L$253,2,FALSE),", ")</f>
        <v xml:space="preserve">143, </v>
      </c>
      <c r="H145" t="str">
        <f>H144</f>
        <v>id:</v>
      </c>
      <c r="I145" t="str">
        <f>_xlfn.CONCAT("""",VLOOKUP(E145,'Index Web'!A$4:O$253,13,FALSE),"""",", ")</f>
        <v xml:space="preserve">"misericordiamiamisericordia", </v>
      </c>
      <c r="J145" t="s">
        <v>2016</v>
      </c>
      <c r="K145" t="str">
        <f>_xlfn.CONCAT("""",VLOOKUP(E145,'Index Web'!A$4:L$253,3,FALSE),"""")</f>
        <v>"Misericordia mía, misericordia"</v>
      </c>
      <c r="L145" t="s">
        <v>942</v>
      </c>
      <c r="M145" t="str">
        <f>_xlfn.CONCAT("""",VLOOKUP(E145,'Index Web'!A$4:L$253,4,FALSE),"""")</f>
        <v>"Salmo 51 (50)"</v>
      </c>
      <c r="N145" t="s">
        <v>943</v>
      </c>
      <c r="O145" t="str">
        <f>_xlfn.CONCAT("""",VLOOKUP(E145,'Index Web'!A$4:L$253,5,FALSE),"""")</f>
        <v>"Precatecumenado"</v>
      </c>
      <c r="P145" t="s">
        <v>944</v>
      </c>
      <c r="Q145" t="str">
        <f>_xlfn.CONCAT("[",VLOOKUP(E145,'Index Web'!A$4:N$253,14,FALSE),"]")</f>
        <v>["Cuaresma","Antiguo Testamento"]</v>
      </c>
      <c r="R145" t="s">
        <v>945</v>
      </c>
      <c r="S145" t="str">
        <f>_xlfn.CONCAT("""/src/index.html?canto=",VLOOKUP(E145,'Index Web'!A$4:N$253,13,FALSE),""", ")</f>
        <v xml:space="preserve">"/src/index.html?canto=misericordiamiamisericordia", </v>
      </c>
      <c r="T145" t="str">
        <f>T144</f>
        <v xml:space="preserve">visible: "", </v>
      </c>
      <c r="U145" t="str">
        <f>_xlfn.CONCAT("cejilla: """,C145,""", ")</f>
        <v xml:space="preserve">cejilla: "", </v>
      </c>
      <c r="V145" t="str">
        <f>_xlfn.CONCAT("acorde: """,D145,""", ")</f>
        <v xml:space="preserve">acorde: "Mi", </v>
      </c>
      <c r="W145" t="s">
        <v>2012</v>
      </c>
      <c r="X145" t="s">
        <v>2013</v>
      </c>
      <c r="Y145" t="str">
        <f>_xlfn.CONCAT("""",VLOOKUP(E145,'Index Web'!A$4:O$253,15,FALSE)," ",VLOOKUP(E145,'Index Web'!A$4:O$253,13,FALSE),"""","},")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Z145" t="str">
        <f>_xlfn.CONCAT(F145:Y145)</f>
        <v>{idi:143, id:"misericordiamiamisericordia", title: "Misericordia mía, misericordia", subtitle: "Salmo 51 (50)", category: "Precatecumenado", moments: ["Cuaresma","Antiguo Testamento"], url: "/src/index.html?canto=misericordiamiamisericordia", visible: "", cejilla: "", acorde: "Mi", scrollConfig: {"mobile": { "v": 25, "i": 1 },"tablet": { "v": 25, "i": 1 },"desktop": { "v": 7, "i": 1 },"desktopsmall": { "v": 7, "i": 1 }},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6" spans="2:26" x14ac:dyDescent="0.25">
      <c r="B146" s="51" t="s">
        <v>594</v>
      </c>
      <c r="C146" s="1" t="str">
        <f>IF(VLOOKUP(Table4[[#This Row],[Cantounido]],Table7[],3,FALSE)=0,"",VLOOKUP(Table4[[#This Row],[Cantounido]],Table7[],3,FALSE))</f>
        <v/>
      </c>
      <c r="D146" s="44" t="str">
        <f>IF(VLOOKUP(Table4[[#This Row],[Cantounido]],Table7[],4,FALSE)=0,"",VLOOKUP(Table4[[#This Row],[Cantounido]],Table7[],4,FALSE))</f>
        <v>Re</v>
      </c>
      <c r="E146" s="26">
        <v>117</v>
      </c>
      <c r="F146" t="str">
        <f>F145</f>
        <v>{idi:</v>
      </c>
      <c r="G146" t="str">
        <f>_xlfn.CONCAT(VLOOKUP(E146,'Index Web'!A$4:L$253,2,FALSE),", ")</f>
        <v xml:space="preserve">144, </v>
      </c>
      <c r="H146" t="str">
        <f>H145</f>
        <v>id:</v>
      </c>
      <c r="I146" t="str">
        <f>_xlfn.CONCAT("""",VLOOKUP(E146,'Index Web'!A$4:O$253,13,FALSE),"""",", ")</f>
        <v xml:space="preserve">"misericordiadiosmio", </v>
      </c>
      <c r="J146" t="s">
        <v>2016</v>
      </c>
      <c r="K146" t="str">
        <f>_xlfn.CONCAT("""",VLOOKUP(E146,'Index Web'!A$4:L$253,3,FALSE),"""")</f>
        <v>"Misericordia, Dios mío"</v>
      </c>
      <c r="L146" t="s">
        <v>942</v>
      </c>
      <c r="M146" t="str">
        <f>_xlfn.CONCAT("""",VLOOKUP(E146,'Index Web'!A$4:L$253,4,FALSE),"""")</f>
        <v>"Salmo 51(50)"</v>
      </c>
      <c r="N146" t="s">
        <v>943</v>
      </c>
      <c r="O146" t="str">
        <f>_xlfn.CONCAT("""",VLOOKUP(E146,'Index Web'!A$4:L$253,5,FALSE),"""")</f>
        <v>"Precatecumenado"</v>
      </c>
      <c r="P146" t="s">
        <v>944</v>
      </c>
      <c r="Q146" t="str">
        <f>_xlfn.CONCAT("[",VLOOKUP(E146,'Index Web'!A$4:N$253,14,FALSE),"]")</f>
        <v>["Cuaresma","Antiguo Testamento"]</v>
      </c>
      <c r="R146" t="s">
        <v>945</v>
      </c>
      <c r="S146" t="str">
        <f>_xlfn.CONCAT("""/src/index.html?canto=",VLOOKUP(E146,'Index Web'!A$4:N$253,13,FALSE),""", ")</f>
        <v xml:space="preserve">"/src/index.html?canto=misericordiadiosmio", </v>
      </c>
      <c r="T146" t="str">
        <f>T145</f>
        <v xml:space="preserve">visible: "", </v>
      </c>
      <c r="U146" t="str">
        <f>_xlfn.CONCAT("cejilla: """,C146,""", ")</f>
        <v xml:space="preserve">cejilla: "", </v>
      </c>
      <c r="V146" t="str">
        <f>_xlfn.CONCAT("acorde: """,D146,""", ")</f>
        <v xml:space="preserve">acorde: "Re", </v>
      </c>
      <c r="W146" t="s">
        <v>2012</v>
      </c>
      <c r="X146" t="s">
        <v>2013</v>
      </c>
      <c r="Y146" t="str">
        <f>_xlfn.CONCAT("""",VLOOKUP(E146,'Index Web'!A$4:O$253,15,FALSE)," ",VLOOKUP(E146,'Index Web'!A$4:O$253,13,FALSE),"""","},")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Z146" t="str">
        <f>_xlfn.CONCAT(F146:Y146)</f>
        <v>{idi:144, id:"misericordiadiosmio", title: "Misericordia, Dios mío", subtitle: "Salmo 51(50)", category: "Precatecumenado", moments: ["Cuaresma","Antiguo Testamento"], url: "/src/index.html?canto=misericordiadiosmio", visible: "", cejilla: "", acorde: "Re", scrollConfig: {"mobile": { "v": 25, "i": 1 },"tablet": { "v": 25, "i": 1 },"desktop": { "v": 7, "i": 1 },"desktopsmall": { "v": 7, "i": 1 }},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7" spans="2:26" x14ac:dyDescent="0.25">
      <c r="B147" s="50" t="s">
        <v>596</v>
      </c>
      <c r="C147" s="1" t="str">
        <f>IF(VLOOKUP(Table4[[#This Row],[Cantounido]],Table7[],3,FALSE)=0,"",VLOOKUP(Table4[[#This Row],[Cantounido]],Table7[],3,FALSE))</f>
        <v/>
      </c>
      <c r="D147" s="44" t="str">
        <f>IF(VLOOKUP(Table4[[#This Row],[Cantounido]],Table7[],4,FALSE)=0,"",VLOOKUP(Table4[[#This Row],[Cantounido]],Table7[],4,FALSE))</f>
        <v>La</v>
      </c>
      <c r="E147" s="25">
        <v>119</v>
      </c>
      <c r="F147" t="str">
        <f>F146</f>
        <v>{idi:</v>
      </c>
      <c r="G147" t="str">
        <f>_xlfn.CONCAT(VLOOKUP(E147,'Index Web'!A$4:L$253,2,FALSE),", ")</f>
        <v xml:space="preserve">145, </v>
      </c>
      <c r="H147" t="str">
        <f>H146</f>
        <v>id:</v>
      </c>
      <c r="I147" t="str">
        <f>_xlfn.CONCAT("""",VLOOKUP(E147,'Index Web'!A$4:O$253,13,FALSE),"""",", ")</f>
        <v xml:space="preserve">"muchomehanperseguido", </v>
      </c>
      <c r="J147" t="s">
        <v>2016</v>
      </c>
      <c r="K147" t="str">
        <f>_xlfn.CONCAT("""",VLOOKUP(E147,'Index Web'!A$4:L$253,3,FALSE),"""")</f>
        <v>"Mucho me han perseguido "</v>
      </c>
      <c r="L147" t="s">
        <v>942</v>
      </c>
      <c r="M147" t="str">
        <f>_xlfn.CONCAT("""",VLOOKUP(E147,'Index Web'!A$4:L$253,4,FALSE),"""")</f>
        <v>"Salmo 129 (128)"</v>
      </c>
      <c r="N147" t="s">
        <v>943</v>
      </c>
      <c r="O147" t="str">
        <f>_xlfn.CONCAT("""",VLOOKUP(E147,'Index Web'!A$4:L$253,5,FALSE),"""")</f>
        <v>"Precatecumenado"</v>
      </c>
      <c r="P147" t="s">
        <v>944</v>
      </c>
      <c r="Q147" t="str">
        <f>_xlfn.CONCAT("[",VLOOKUP(E147,'Index Web'!A$4:N$253,14,FALSE),"]")</f>
        <v>["Antiguo Testamento"]</v>
      </c>
      <c r="R147" t="s">
        <v>945</v>
      </c>
      <c r="S147" t="str">
        <f>_xlfn.CONCAT("""/src/index.html?canto=",VLOOKUP(E147,'Index Web'!A$4:N$253,13,FALSE),""", ")</f>
        <v xml:space="preserve">"/src/index.html?canto=muchomehanperseguido", </v>
      </c>
      <c r="T147" t="str">
        <f>T146</f>
        <v xml:space="preserve">visible: "", </v>
      </c>
      <c r="U147" t="str">
        <f>_xlfn.CONCAT("cejilla: """,C147,""", ")</f>
        <v xml:space="preserve">cejilla: "", </v>
      </c>
      <c r="V147" t="str">
        <f>_xlfn.CONCAT("acorde: """,D147,""", ")</f>
        <v xml:space="preserve">acorde: "La", </v>
      </c>
      <c r="W147" t="s">
        <v>2012</v>
      </c>
      <c r="X147" t="s">
        <v>2013</v>
      </c>
      <c r="Y147" t="str">
        <f>_xlfn.CONCAT("""",VLOOKUP(E147,'Index Web'!A$4:O$253,15,FALSE)," ",VLOOKUP(E147,'Index Web'!A$4:O$253,13,FALSE),"""","},")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Z147" t="str">
        <f>_xlfn.CONCAT(F147:Y147)</f>
        <v>{idi:145, id:"muchomehanperseguido", title: "Mucho me han perseguido ", subtitle: "Salmo 129 (128)", category: "Precatecumenado", moments: ["Antiguo Testamento"], url: "/src/index.html?canto=muchomehanperseguido", visible: "", cejilla: "", acorde: "La", scrollConfig: {"mobile": { "v": 25, "i": 1 },"tablet": { "v": 25, "i": 1 },"desktop": { "v": 7, "i": 1 },"desktopsmall": { "v": 7, "i": 1 }},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8" spans="2:26" x14ac:dyDescent="0.25">
      <c r="B148" s="56" t="s">
        <v>692</v>
      </c>
      <c r="C148" s="1" t="str">
        <f>IF(VLOOKUP(Table4[[#This Row],[Cantounido]],Table7[],3,FALSE)=0,"",VLOOKUP(Table4[[#This Row],[Cantounido]],Table7[],3,FALSE))</f>
        <v/>
      </c>
      <c r="D148" s="44" t="str">
        <f>IF(VLOOKUP(Table4[[#This Row],[Cantounido]],Table7[],4,FALSE)=0,"",VLOOKUP(Table4[[#This Row],[Cantounido]],Table7[],4,FALSE))</f>
        <v>Mi</v>
      </c>
      <c r="E148" s="30">
        <v>229</v>
      </c>
      <c r="F148" t="str">
        <f>F147</f>
        <v>{idi:</v>
      </c>
      <c r="G148" t="str">
        <f>_xlfn.CONCAT(VLOOKUP(E148,'Index Web'!A$4:L$253,2,FALSE),", ")</f>
        <v xml:space="preserve">146, </v>
      </c>
      <c r="H148" t="str">
        <f>H147</f>
        <v>id:</v>
      </c>
      <c r="I148" t="str">
        <f>_xlfn.CONCAT("""",VLOOKUP(E148,'Index Web'!A$4:O$253,13,FALSE),"""",", ")</f>
        <v xml:space="preserve">"ningunopuedeserviradossenores", </v>
      </c>
      <c r="J148" t="s">
        <v>2016</v>
      </c>
      <c r="K148" t="str">
        <f>_xlfn.CONCAT("""",VLOOKUP(E148,'Index Web'!A$4:L$253,3,FALSE),"""")</f>
        <v>"Ninguno puede servir a dos señores"</v>
      </c>
      <c r="L148" t="s">
        <v>942</v>
      </c>
      <c r="M148" t="str">
        <f>_xlfn.CONCAT("""",VLOOKUP(E148,'Index Web'!A$4:L$253,4,FALSE),"""")</f>
        <v>"Mateo 6,24-33 "</v>
      </c>
      <c r="N148" t="s">
        <v>943</v>
      </c>
      <c r="O148" t="str">
        <f>_xlfn.CONCAT("""",VLOOKUP(E148,'Index Web'!A$4:L$253,5,FALSE),"""")</f>
        <v>"Catecumenado"</v>
      </c>
      <c r="P148" t="s">
        <v>944</v>
      </c>
      <c r="Q148" t="str">
        <f>_xlfn.CONCAT("[",VLOOKUP(E148,'Index Web'!A$4:N$253,14,FALSE),"]")</f>
        <v>["Nuevo Testamento"]</v>
      </c>
      <c r="R148" t="s">
        <v>945</v>
      </c>
      <c r="S148" t="str">
        <f>_xlfn.CONCAT("""/src/index.html?canto=",VLOOKUP(E148,'Index Web'!A$4:N$253,13,FALSE),""", ")</f>
        <v xml:space="preserve">"/src/index.html?canto=ningunopuedeserviradossenores", </v>
      </c>
      <c r="T148" t="str">
        <f>T147</f>
        <v xml:space="preserve">visible: "", </v>
      </c>
      <c r="U148" t="str">
        <f>_xlfn.CONCAT("cejilla: """,C148,""", ")</f>
        <v xml:space="preserve">cejilla: "", </v>
      </c>
      <c r="V148" t="str">
        <f>_xlfn.CONCAT("acorde: """,D148,""", ")</f>
        <v xml:space="preserve">acorde: "Mi", </v>
      </c>
      <c r="W148" t="s">
        <v>2012</v>
      </c>
      <c r="X148" t="s">
        <v>2013</v>
      </c>
      <c r="Y148" t="str">
        <f>_xlfn.CONCAT("""",VLOOKUP(E148,'Index Web'!A$4:O$253,15,FALSE)," ",VLOOKUP(E148,'Index Web'!A$4:O$253,13,FALSE),"""","},")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Z148" t="str">
        <f>_xlfn.CONCAT(F148:Y148)</f>
        <v>{idi:146, id:"ningunopuedeserviradossenores", title: "Ninguno puede servir a dos señores", subtitle: "Mateo 6,24-33 ", category: "Catecumenado", moments: ["Nuevo Testamento"], url: "/src/index.html?canto=ningunopuedeserviradossenores", visible: "", cejilla: "", acorde: "Mi", scrollConfig: {"mobile": { "v": 25, "i": 1 },"tablet": { "v": 25, "i": 1 },"desktop": { "v": 7, "i": 1 },"desktopsmall": { "v": 7, "i": 1 }},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9" spans="2:26" x14ac:dyDescent="0.25">
      <c r="B149" s="50" t="s">
        <v>597</v>
      </c>
      <c r="C149" s="1">
        <f>IF(VLOOKUP(Table4[[#This Row],[Cantounido]],Table7[],3,FALSE)=0,"",VLOOKUP(Table4[[#This Row],[Cantounido]],Table7[],3,FALSE))</f>
        <v>2</v>
      </c>
      <c r="D149" s="44" t="str">
        <f>IF(VLOOKUP(Table4[[#This Row],[Cantounido]],Table7[],4,FALSE)=0,"",VLOOKUP(Table4[[#This Row],[Cantounido]],Table7[],4,FALSE))</f>
        <v>Do</v>
      </c>
      <c r="E149" s="25">
        <v>120</v>
      </c>
      <c r="F149" t="str">
        <f>F148</f>
        <v>{idi:</v>
      </c>
      <c r="G149" t="str">
        <f>_xlfn.CONCAT(VLOOKUP(E149,'Index Web'!A$4:L$253,2,FALSE),", ")</f>
        <v xml:space="preserve">147, </v>
      </c>
      <c r="H149" t="str">
        <f>H148</f>
        <v>id:</v>
      </c>
      <c r="I149" t="str">
        <f>_xlfn.CONCAT("""",VLOOKUP(E149,'Index Web'!A$4:O$253,13,FALSE),"""",", ")</f>
        <v xml:space="preserve">"noestaaquiresucito", </v>
      </c>
      <c r="J149" t="s">
        <v>2016</v>
      </c>
      <c r="K149" t="str">
        <f>_xlfn.CONCAT("""",VLOOKUP(E149,'Index Web'!A$4:L$253,3,FALSE),"""")</f>
        <v>"No está aquí, resucitó"</v>
      </c>
      <c r="L149" t="s">
        <v>942</v>
      </c>
      <c r="M149" t="str">
        <f>_xlfn.CONCAT("""",VLOOKUP(E149,'Index Web'!A$4:L$253,4,FALSE),"""")</f>
        <v>"Mateo 28,1-8"</v>
      </c>
      <c r="N149" t="s">
        <v>943</v>
      </c>
      <c r="O149" t="str">
        <f>_xlfn.CONCAT("""",VLOOKUP(E149,'Index Web'!A$4:L$253,5,FALSE),"""")</f>
        <v>"Precatecumenado"</v>
      </c>
      <c r="P149" t="s">
        <v>944</v>
      </c>
      <c r="Q149" t="str">
        <f>_xlfn.CONCAT("[",VLOOKUP(E149,'Index Web'!A$4:N$253,14,FALSE),"]")</f>
        <v>["Pascua","Pentecostés","Nuevo Testamento"]</v>
      </c>
      <c r="R149" t="s">
        <v>945</v>
      </c>
      <c r="S149" t="str">
        <f>_xlfn.CONCAT("""/src/index.html?canto=",VLOOKUP(E149,'Index Web'!A$4:N$253,13,FALSE),""", ")</f>
        <v xml:space="preserve">"/src/index.html?canto=noestaaquiresucito", </v>
      </c>
      <c r="T149" t="str">
        <f>T148</f>
        <v xml:space="preserve">visible: "", </v>
      </c>
      <c r="U149" t="str">
        <f>_xlfn.CONCAT("cejilla: """,C149,""", ")</f>
        <v xml:space="preserve">cejilla: "2", </v>
      </c>
      <c r="V149" t="str">
        <f>_xlfn.CONCAT("acorde: """,D149,""", ")</f>
        <v xml:space="preserve">acorde: "Do", </v>
      </c>
      <c r="W149" t="s">
        <v>2012</v>
      </c>
      <c r="X149" t="s">
        <v>2013</v>
      </c>
      <c r="Y149" t="str">
        <f>_xlfn.CONCAT("""",VLOOKUP(E149,'Index Web'!A$4:O$253,15,FALSE)," ",VLOOKUP(E149,'Index Web'!A$4:O$253,13,FALSE),"""","},")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Z149" t="str">
        <f>_xlfn.CONCAT(F149:Y149)</f>
        <v>{idi:147, id:"noestaaquiresucito", title: "No está aquí, resucitó", subtitle: "Mateo 28,1-8", category: "Precatecumenado", moments: ["Pascua","Pentecostés","Nuevo Testamento"], url: "/src/index.html?canto=noestaaquiresucito", visible: "", cejilla: "2", acorde: "Do", scrollConfig: {"mobile": { "v": 25, "i": 1 },"tablet": { "v": 25, "i": 1 },"desktop": { "v": 7, "i": 1 },"desktopsmall": { "v": 7, "i": 1 }},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50" spans="2:26" x14ac:dyDescent="0.25">
      <c r="B150" s="51" t="s">
        <v>598</v>
      </c>
      <c r="C150" s="1" t="str">
        <f>IF(VLOOKUP(Table4[[#This Row],[Cantounido]],Table7[],3,FALSE)=0,"",VLOOKUP(Table4[[#This Row],[Cantounido]],Table7[],3,FALSE))</f>
        <v/>
      </c>
      <c r="D150" s="44" t="str">
        <f>IF(VLOOKUP(Table4[[#This Row],[Cantounido]],Table7[],4,FALSE)=0,"",VLOOKUP(Table4[[#This Row],[Cantounido]],Table7[],4,FALSE))</f>
        <v>Do</v>
      </c>
      <c r="E150" s="26">
        <v>121</v>
      </c>
      <c r="F150" t="str">
        <f>F149</f>
        <v>{idi:</v>
      </c>
      <c r="G150" t="str">
        <f>_xlfn.CONCAT(VLOOKUP(E150,'Index Web'!A$4:L$253,2,FALSE),", ")</f>
        <v xml:space="preserve">148, </v>
      </c>
      <c r="H150" t="str">
        <f>H149</f>
        <v>id:</v>
      </c>
      <c r="I150" t="str">
        <f>_xlfn.CONCAT("""",VLOOKUP(E150,'Index Web'!A$4:O$253,13,FALSE),"""",", ")</f>
        <v xml:space="preserve">"nohayenelparecer", </v>
      </c>
      <c r="J150" t="s">
        <v>2016</v>
      </c>
      <c r="K150" t="str">
        <f>_xlfn.CONCAT("""",VLOOKUP(E150,'Index Web'!A$4:L$253,3,FALSE),"""")</f>
        <v>"No hay en él parecer"</v>
      </c>
      <c r="L150" t="s">
        <v>942</v>
      </c>
      <c r="M150" t="str">
        <f>_xlfn.CONCAT("""",VLOOKUP(E150,'Index Web'!A$4:L$253,4,FALSE),"""")</f>
        <v>"Isaías 53,2ss - Cuarto canto del Siervo de Yahveh"</v>
      </c>
      <c r="N150" t="s">
        <v>943</v>
      </c>
      <c r="O150" t="str">
        <f>_xlfn.CONCAT("""",VLOOKUP(E150,'Index Web'!A$4:L$253,5,FALSE),"""")</f>
        <v>"Precatecumenado"</v>
      </c>
      <c r="P150" t="s">
        <v>944</v>
      </c>
      <c r="Q150" t="str">
        <f>_xlfn.CONCAT("[",VLOOKUP(E150,'Index Web'!A$4:N$253,14,FALSE),"]")</f>
        <v>["Fracción Del Pan","Antiguo Testamento"]</v>
      </c>
      <c r="R150" t="s">
        <v>945</v>
      </c>
      <c r="S150" t="str">
        <f>_xlfn.CONCAT("""/src/index.html?canto=",VLOOKUP(E150,'Index Web'!A$4:N$253,13,FALSE),""", ")</f>
        <v xml:space="preserve">"/src/index.html?canto=nohayenelparecer", </v>
      </c>
      <c r="T150" t="str">
        <f>T149</f>
        <v xml:space="preserve">visible: "", </v>
      </c>
      <c r="U150" t="str">
        <f>_xlfn.CONCAT("cejilla: """,C150,""", ")</f>
        <v xml:space="preserve">cejilla: "", </v>
      </c>
      <c r="V150" t="str">
        <f>_xlfn.CONCAT("acorde: """,D150,""", ")</f>
        <v xml:space="preserve">acorde: "Do", </v>
      </c>
      <c r="W150" t="s">
        <v>2012</v>
      </c>
      <c r="X150" t="s">
        <v>2013</v>
      </c>
      <c r="Y150" t="str">
        <f>_xlfn.CONCAT("""",VLOOKUP(E150,'Index Web'!A$4:O$253,15,FALSE)," ",VLOOKUP(E150,'Index Web'!A$4:O$253,13,FALSE),"""","},")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Z150" t="str">
        <f>_xlfn.CONCAT(F150:Y150)</f>
        <v>{idi:148, id:"nohayenelparecer", title: "No hay en él parecer", subtitle: "Isaías 53,2ss - Cuarto canto del Siervo de Yahveh", category: "Precatecumenado", moments: ["Fracción Del Pan","Antiguo Testamento"], url: "/src/index.html?canto=nohayenelparecer", visible: "", cejilla: "", acorde: "Do", scrollConfig: {"mobile": { "v": 25, "i": 1 },"tablet": { "v": 25, "i": 1 },"desktop": { "v": 7, "i": 1 },"desktopsmall": { "v": 7, "i": 1 }},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1" spans="2:26" x14ac:dyDescent="0.25">
      <c r="B151" s="57" t="s">
        <v>693</v>
      </c>
      <c r="C151" s="1" t="str">
        <f>IF(VLOOKUP(Table4[[#This Row],[Cantounido]],Table7[],3,FALSE)=0,"",VLOOKUP(Table4[[#This Row],[Cantounido]],Table7[],3,FALSE))</f>
        <v/>
      </c>
      <c r="D151" s="44" t="str">
        <f>IF(VLOOKUP(Table4[[#This Row],[Cantounido]],Table7[],4,FALSE)=0,"",VLOOKUP(Table4[[#This Row],[Cantounido]],Table7[],4,FALSE))</f>
        <v>Re</v>
      </c>
      <c r="E151" s="31">
        <v>230</v>
      </c>
      <c r="F151" t="str">
        <f>F150</f>
        <v>{idi:</v>
      </c>
      <c r="G151" t="str">
        <f>_xlfn.CONCAT(VLOOKUP(E151,'Index Web'!A$4:L$253,2,FALSE),", ")</f>
        <v xml:space="preserve">149, </v>
      </c>
      <c r="H151" t="str">
        <f>H150</f>
        <v>id:</v>
      </c>
      <c r="I151" t="str">
        <f>_xlfn.CONCAT("""",VLOOKUP(E151,'Index Web'!A$4:O$253,13,FALSE),"""",", ")</f>
        <v xml:space="preserve">"noresistaisalmal", </v>
      </c>
      <c r="J151" t="s">
        <v>2016</v>
      </c>
      <c r="K151" t="str">
        <f>_xlfn.CONCAT("""",VLOOKUP(E151,'Index Web'!A$4:L$253,3,FALSE),"""")</f>
        <v>"No resistáis al mal "</v>
      </c>
      <c r="L151" t="s">
        <v>942</v>
      </c>
      <c r="M151" t="str">
        <f>_xlfn.CONCAT("""",VLOOKUP(E151,'Index Web'!A$4:L$253,4,FALSE),"""")</f>
        <v>"Mateo 5,38ss"</v>
      </c>
      <c r="N151" t="s">
        <v>943</v>
      </c>
      <c r="O151" t="str">
        <f>_xlfn.CONCAT("""",VLOOKUP(E151,'Index Web'!A$4:L$253,5,FALSE),"""")</f>
        <v>"Catecumenado"</v>
      </c>
      <c r="P151" t="s">
        <v>944</v>
      </c>
      <c r="Q151" t="str">
        <f>_xlfn.CONCAT("[",VLOOKUP(E151,'Index Web'!A$4:N$253,14,FALSE),"]")</f>
        <v>["Nuevo Testamento"]</v>
      </c>
      <c r="R151" t="s">
        <v>945</v>
      </c>
      <c r="S151" t="str">
        <f>_xlfn.CONCAT("""/src/index.html?canto=",VLOOKUP(E151,'Index Web'!A$4:N$253,13,FALSE),""", ")</f>
        <v xml:space="preserve">"/src/index.html?canto=noresistaisalmal", </v>
      </c>
      <c r="T151" t="str">
        <f>T150</f>
        <v xml:space="preserve">visible: "", </v>
      </c>
      <c r="U151" t="str">
        <f>_xlfn.CONCAT("cejilla: """,C151,""", ")</f>
        <v xml:space="preserve">cejilla: "", </v>
      </c>
      <c r="V151" t="str">
        <f>_xlfn.CONCAT("acorde: """,D151,""", ")</f>
        <v xml:space="preserve">acorde: "Re", </v>
      </c>
      <c r="W151" t="s">
        <v>2012</v>
      </c>
      <c r="X151" t="s">
        <v>2013</v>
      </c>
      <c r="Y151" t="str">
        <f>_xlfn.CONCAT("""",VLOOKUP(E151,'Index Web'!A$4:O$253,15,FALSE)," ",VLOOKUP(E151,'Index Web'!A$4:O$253,13,FALSE),"""","},")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Z151" t="str">
        <f>_xlfn.CONCAT(F151:Y151)</f>
        <v>{idi:149, id:"noresistaisalmal", title: "No resistáis al mal ", subtitle: "Mateo 5,38ss", category: "Catecumenado", moments: ["Nuevo Testamento"], url: "/src/index.html?canto=noresistaisalmal", visible: "", cejilla: "", acorde: "Re", scrollConfig: {"mobile": { "v": 25, "i": 1 },"tablet": { "v": 25, "i": 1 },"desktop": { "v": 7, "i": 1 },"desktopsmall": { "v": 7, "i": 1 }},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2" spans="2:26" x14ac:dyDescent="0.25">
      <c r="B152" s="56" t="s">
        <v>694</v>
      </c>
      <c r="C152" s="1" t="str">
        <f>IF(VLOOKUP(Table4[[#This Row],[Cantounido]],Table7[],3,FALSE)=0,"",VLOOKUP(Table4[[#This Row],[Cantounido]],Table7[],3,FALSE))</f>
        <v/>
      </c>
      <c r="D152" s="44" t="str">
        <f>IF(VLOOKUP(Table4[[#This Row],[Cantounido]],Table7[],4,FALSE)=0,"",VLOOKUP(Table4[[#This Row],[Cantounido]],Table7[],4,FALSE))</f>
        <v>La</v>
      </c>
      <c r="E152" s="30">
        <v>231</v>
      </c>
      <c r="F152" t="str">
        <f>F151</f>
        <v>{idi:</v>
      </c>
      <c r="G152" t="str">
        <f>_xlfn.CONCAT(VLOOKUP(E152,'Index Web'!A$4:L$253,2,FALSE),", ")</f>
        <v xml:space="preserve">150, </v>
      </c>
      <c r="H152" t="str">
        <f>H151</f>
        <v>id:</v>
      </c>
      <c r="I152" t="str">
        <f>_xlfn.CONCAT("""",VLOOKUP(E152,'Index Web'!A$4:O$253,13,FALSE),"""",", ")</f>
        <v xml:space="preserve">"nosufrasporlosmalvados", </v>
      </c>
      <c r="J152" t="s">
        <v>2016</v>
      </c>
      <c r="K152" t="str">
        <f>_xlfn.CONCAT("""",VLOOKUP(E152,'Index Web'!A$4:L$253,3,FALSE),"""")</f>
        <v>"No sufras por los malvados"</v>
      </c>
      <c r="L152" t="s">
        <v>942</v>
      </c>
      <c r="M152" t="str">
        <f>_xlfn.CONCAT("""",VLOOKUP(E152,'Index Web'!A$4:L$253,4,FALSE),"""")</f>
        <v>"Salmo 37 (36)"</v>
      </c>
      <c r="N152" t="s">
        <v>943</v>
      </c>
      <c r="O152" t="str">
        <f>_xlfn.CONCAT("""",VLOOKUP(E152,'Index Web'!A$4:L$253,5,FALSE),"""")</f>
        <v>"Catecumenado"</v>
      </c>
      <c r="P152" t="s">
        <v>944</v>
      </c>
      <c r="Q152" t="str">
        <f>_xlfn.CONCAT("[",VLOOKUP(E152,'Index Web'!A$4:N$253,14,FALSE),"]")</f>
        <v>["Cuaresma","Antiguo Testamento"]</v>
      </c>
      <c r="R152" t="s">
        <v>945</v>
      </c>
      <c r="S152" t="str">
        <f>_xlfn.CONCAT("""/src/index.html?canto=",VLOOKUP(E152,'Index Web'!A$4:N$253,13,FALSE),""", ")</f>
        <v xml:space="preserve">"/src/index.html?canto=nosufrasporlosmalvados", </v>
      </c>
      <c r="T152" t="str">
        <f>T151</f>
        <v xml:space="preserve">visible: "", </v>
      </c>
      <c r="U152" t="str">
        <f>_xlfn.CONCAT("cejilla: """,C152,""", ")</f>
        <v xml:space="preserve">cejilla: "", </v>
      </c>
      <c r="V152" t="str">
        <f>_xlfn.CONCAT("acorde: """,D152,""", ")</f>
        <v xml:space="preserve">acorde: "La", </v>
      </c>
      <c r="W152" t="s">
        <v>2012</v>
      </c>
      <c r="X152" t="s">
        <v>2013</v>
      </c>
      <c r="Y152" t="str">
        <f>_xlfn.CONCAT("""",VLOOKUP(E152,'Index Web'!A$4:O$253,15,FALSE)," ",VLOOKUP(E152,'Index Web'!A$4:O$253,13,FALSE),"""","},")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Z152" t="str">
        <f>_xlfn.CONCAT(F152:Y152)</f>
        <v>{idi:150, id:"nosufrasporlosmalvados", title: "No sufras por los malvados", subtitle: "Salmo 37 (36)", category: "Catecumenado", moments: ["Cuaresma","Antiguo Testamento"], url: "/src/index.html?canto=nosufrasporlosmalvados", visible: "", cejilla: "", acorde: "La", scrollConfig: {"mobile": { "v": 25, "i": 1 },"tablet": { "v": 25, "i": 1 },"desktop": { "v": 7, "i": 1 },"desktopsmall": { "v": 7, "i": 1 }},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3" spans="2:26" x14ac:dyDescent="0.25">
      <c r="B153" s="50" t="s">
        <v>599</v>
      </c>
      <c r="C153" s="1" t="str">
        <f>IF(VLOOKUP(Table4[[#This Row],[Cantounido]],Table7[],3,FALSE)=0,"",VLOOKUP(Table4[[#This Row],[Cantounido]],Table7[],3,FALSE))</f>
        <v/>
      </c>
      <c r="D153" s="44" t="str">
        <f>IF(VLOOKUP(Table4[[#This Row],[Cantounido]],Table7[],4,FALSE)=0,"",VLOOKUP(Table4[[#This Row],[Cantounido]],Table7[],4,FALSE))</f>
        <v>Do</v>
      </c>
      <c r="E153" s="25">
        <v>122</v>
      </c>
      <c r="F153" t="str">
        <f>F152</f>
        <v>{idi:</v>
      </c>
      <c r="G153" t="str">
        <f>_xlfn.CONCAT(VLOOKUP(E153,'Index Web'!A$4:L$253,2,FALSE),", ")</f>
        <v xml:space="preserve">151, </v>
      </c>
      <c r="H153" t="str">
        <f>H152</f>
        <v>id:</v>
      </c>
      <c r="I153" t="str">
        <f>_xlfn.CONCAT("""",VLOOKUP(E153,'Index Web'!A$4:O$253,13,FALSE),"""",", ")</f>
        <v xml:space="preserve">"nolimetangere", </v>
      </c>
      <c r="J153" t="s">
        <v>2016</v>
      </c>
      <c r="K153" t="str">
        <f>_xlfn.CONCAT("""",VLOOKUP(E153,'Index Web'!A$4:L$253,3,FALSE),"""")</f>
        <v>"Noli me tangere"</v>
      </c>
      <c r="L153" t="s">
        <v>942</v>
      </c>
      <c r="M153" t="str">
        <f>_xlfn.CONCAT("""",VLOOKUP(E153,'Index Web'!A$4:L$253,4,FALSE),"""")</f>
        <v>"Juan 20,15-17"</v>
      </c>
      <c r="N153" t="s">
        <v>943</v>
      </c>
      <c r="O153" t="str">
        <f>_xlfn.CONCAT("""",VLOOKUP(E153,'Index Web'!A$4:L$253,5,FALSE),"""")</f>
        <v>"Precatecumenado"</v>
      </c>
      <c r="P153" t="s">
        <v>944</v>
      </c>
      <c r="Q153" t="str">
        <f>_xlfn.CONCAT("[",VLOOKUP(E153,'Index Web'!A$4:N$253,14,FALSE),"]")</f>
        <v>["Pascua","Pentecostés","Nuevo Testamento"]</v>
      </c>
      <c r="R153" t="s">
        <v>945</v>
      </c>
      <c r="S153" t="str">
        <f>_xlfn.CONCAT("""/src/index.html?canto=",VLOOKUP(E153,'Index Web'!A$4:N$253,13,FALSE),""", ")</f>
        <v xml:space="preserve">"/src/index.html?canto=nolimetangere", </v>
      </c>
      <c r="T153" t="str">
        <f>T152</f>
        <v xml:space="preserve">visible: "", </v>
      </c>
      <c r="U153" t="str">
        <f>_xlfn.CONCAT("cejilla: """,C153,""", ")</f>
        <v xml:space="preserve">cejilla: "", </v>
      </c>
      <c r="V153" t="str">
        <f>_xlfn.CONCAT("acorde: """,D153,""", ")</f>
        <v xml:space="preserve">acorde: "Do", </v>
      </c>
      <c r="W153" t="s">
        <v>2012</v>
      </c>
      <c r="X153" t="s">
        <v>2013</v>
      </c>
      <c r="Y153" t="str">
        <f>_xlfn.CONCAT("""",VLOOKUP(E153,'Index Web'!A$4:O$253,15,FALSE)," ",VLOOKUP(E153,'Index Web'!A$4:O$253,13,FALSE),"""","},")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Z153" t="str">
        <f>_xlfn.CONCAT(F153:Y153)</f>
        <v>{idi:151, id:"nolimetangere", title: "Noli me tangere", subtitle: "Juan 20,15-17", category: "Precatecumenado", moments: ["Pascua","Pentecostés","Nuevo Testamento"], url: "/src/index.html?canto=nolimetangere", visible: "", cejilla: "", acorde: "Do", scrollConfig: {"mobile": { "v": 25, "i": 1 },"tablet": { "v": 25, "i": 1 },"desktop": { "v": 7, "i": 1 },"desktopsmall": { "v": 7, "i": 1 }},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4" spans="2:26" x14ac:dyDescent="0.25">
      <c r="B154" s="51" t="s">
        <v>600</v>
      </c>
      <c r="C154" s="1" t="str">
        <f>IF(VLOOKUP(Table4[[#This Row],[Cantounido]],Table7[],3,FALSE)=0,"",VLOOKUP(Table4[[#This Row],[Cantounido]],Table7[],3,FALSE))</f>
        <v/>
      </c>
      <c r="D154" s="44" t="str">
        <f>IF(VLOOKUP(Table4[[#This Row],[Cantounido]],Table7[],4,FALSE)=0,"",VLOOKUP(Table4[[#This Row],[Cantounido]],Table7[],4,FALSE))</f>
        <v>La</v>
      </c>
      <c r="E154" s="26">
        <v>123</v>
      </c>
      <c r="F154" t="str">
        <f>F153</f>
        <v>{idi:</v>
      </c>
      <c r="G154" t="str">
        <f>_xlfn.CONCAT(VLOOKUP(E154,'Index Web'!A$4:L$253,2,FALSE),", ")</f>
        <v xml:space="preserve">152, </v>
      </c>
      <c r="H154" t="str">
        <f>H153</f>
        <v>id:</v>
      </c>
      <c r="I154" t="str">
        <f>_xlfn.CONCAT("""",VLOOKUP(E154,'Index Web'!A$4:O$253,13,FALSE),"""",", ")</f>
        <v xml:space="preserve">"ohcieloslloveddeloalto", </v>
      </c>
      <c r="J154" t="s">
        <v>2016</v>
      </c>
      <c r="K154" t="str">
        <f>_xlfn.CONCAT("""",VLOOKUP(E154,'Index Web'!A$4:L$253,3,FALSE),"""")</f>
        <v>"Oh cielos, lloved de lo alto"</v>
      </c>
      <c r="L154" t="s">
        <v>942</v>
      </c>
      <c r="M154" t="str">
        <f>_xlfn.CONCAT("""",VLOOKUP(E154,'Index Web'!A$4:L$253,4,FALSE),"""")</f>
        <v>"Isaías 45,8"</v>
      </c>
      <c r="N154" t="s">
        <v>943</v>
      </c>
      <c r="O154" t="str">
        <f>_xlfn.CONCAT("""",VLOOKUP(E154,'Index Web'!A$4:L$253,5,FALSE),"""")</f>
        <v>"Precatecumenado"</v>
      </c>
      <c r="P154" t="s">
        <v>944</v>
      </c>
      <c r="Q154" t="str">
        <f>_xlfn.CONCAT("[",VLOOKUP(E154,'Index Web'!A$4:N$253,14,FALSE),"]")</f>
        <v>["Adviento","Navidad","Antiguo Testamento"]</v>
      </c>
      <c r="R154" t="s">
        <v>945</v>
      </c>
      <c r="S154" t="str">
        <f>_xlfn.CONCAT("""/src/index.html?canto=",VLOOKUP(E154,'Index Web'!A$4:N$253,13,FALSE),""", ")</f>
        <v xml:space="preserve">"/src/index.html?canto=ohcieloslloveddeloalto", </v>
      </c>
      <c r="T154" t="str">
        <f>T153</f>
        <v xml:space="preserve">visible: "", </v>
      </c>
      <c r="U154" t="str">
        <f>_xlfn.CONCAT("cejilla: """,C154,""", ")</f>
        <v xml:space="preserve">cejilla: "", </v>
      </c>
      <c r="V154" t="str">
        <f>_xlfn.CONCAT("acorde: """,D154,""", ")</f>
        <v xml:space="preserve">acorde: "La", </v>
      </c>
      <c r="W154" t="s">
        <v>2012</v>
      </c>
      <c r="X154" t="s">
        <v>2013</v>
      </c>
      <c r="Y154" t="str">
        <f>_xlfn.CONCAT("""",VLOOKUP(E154,'Index Web'!A$4:O$253,15,FALSE)," ",VLOOKUP(E154,'Index Web'!A$4:O$253,13,FALSE),"""","},")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Z154" t="str">
        <f>_xlfn.CONCAT(F154:Y154)</f>
        <v>{idi:152, id:"ohcieloslloveddeloalto", title: "Oh cielos, lloved de lo alto", subtitle: "Isaías 45,8", category: "Precatecumenado", moments: ["Adviento","Navidad","Antiguo Testamento"], url: "/src/index.html?canto=ohcieloslloveddeloalto", visible: "", cejilla: "", acorde: "La", scrollConfig: {"mobile": { "v": 25, "i": 1 },"tablet": { "v": 25, "i": 1 },"desktop": { "v": 7, "i": 1 },"desktopsmall": { "v": 7, "i": 1 }},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5" spans="2:26" x14ac:dyDescent="0.25">
      <c r="B155" s="50" t="s">
        <v>601</v>
      </c>
      <c r="C155" s="1" t="str">
        <f>IF(VLOOKUP(Table4[[#This Row],[Cantounido]],Table7[],3,FALSE)=0,"",VLOOKUP(Table4[[#This Row],[Cantounido]],Table7[],3,FALSE))</f>
        <v/>
      </c>
      <c r="D155" s="44" t="str">
        <f>IF(VLOOKUP(Table4[[#This Row],[Cantounido]],Table7[],4,FALSE)=0,"",VLOOKUP(Table4[[#This Row],[Cantounido]],Table7[],4,FALSE))</f>
        <v>La</v>
      </c>
      <c r="E155" s="25">
        <v>124</v>
      </c>
      <c r="F155" t="str">
        <f>F154</f>
        <v>{idi:</v>
      </c>
      <c r="G155" t="str">
        <f>_xlfn.CONCAT(VLOOKUP(E155,'Index Web'!A$4:L$253,2,FALSE),", ")</f>
        <v xml:space="preserve">153, </v>
      </c>
      <c r="H155" t="str">
        <f>H154</f>
        <v>id:</v>
      </c>
      <c r="I155" t="str">
        <f>_xlfn.CONCAT("""",VLOOKUP(E155,'Index Web'!A$4:O$253,13,FALSE),"""",", ")</f>
        <v xml:space="preserve">"ohdiosportunombre", </v>
      </c>
      <c r="J155" t="s">
        <v>2016</v>
      </c>
      <c r="K155" t="str">
        <f>_xlfn.CONCAT("""",VLOOKUP(E155,'Index Web'!A$4:L$253,3,FALSE),"""")</f>
        <v>"Oh Dios, por tu nombre "</v>
      </c>
      <c r="L155" t="s">
        <v>942</v>
      </c>
      <c r="M155" t="str">
        <f>_xlfn.CONCAT("""",VLOOKUP(E155,'Index Web'!A$4:L$253,4,FALSE),"""")</f>
        <v>"Salmo 54 (53)"</v>
      </c>
      <c r="N155" t="s">
        <v>943</v>
      </c>
      <c r="O155" t="str">
        <f>_xlfn.CONCAT("""",VLOOKUP(E155,'Index Web'!A$4:L$253,5,FALSE),"""")</f>
        <v>"Precatecumenado"</v>
      </c>
      <c r="P155" t="s">
        <v>944</v>
      </c>
      <c r="Q155" t="str">
        <f>_xlfn.CONCAT("[",VLOOKUP(E155,'Index Web'!A$4:N$253,14,FALSE),"]")</f>
        <v>["Antiguo Testamento"]</v>
      </c>
      <c r="R155" t="s">
        <v>945</v>
      </c>
      <c r="S155" t="str">
        <f>_xlfn.CONCAT("""/src/index.html?canto=",VLOOKUP(E155,'Index Web'!A$4:N$253,13,FALSE),""", ")</f>
        <v xml:space="preserve">"/src/index.html?canto=ohdiosportunombre", </v>
      </c>
      <c r="T155" t="str">
        <f>T154</f>
        <v xml:space="preserve">visible: "", </v>
      </c>
      <c r="U155" t="str">
        <f>_xlfn.CONCAT("cejilla: """,C155,""", ")</f>
        <v xml:space="preserve">cejilla: "", </v>
      </c>
      <c r="V155" t="str">
        <f>_xlfn.CONCAT("acorde: """,D155,""", ")</f>
        <v xml:space="preserve">acorde: "La", </v>
      </c>
      <c r="W155" t="s">
        <v>2012</v>
      </c>
      <c r="X155" t="s">
        <v>2013</v>
      </c>
      <c r="Y155" t="str">
        <f>_xlfn.CONCAT("""",VLOOKUP(E155,'Index Web'!A$4:O$253,15,FALSE)," ",VLOOKUP(E155,'Index Web'!A$4:O$253,13,FALSE),"""","},")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Z155" t="str">
        <f>_xlfn.CONCAT(F155:Y155)</f>
        <v>{idi:153, id:"ohdiosportunombre", title: "Oh Dios, por tu nombre ", subtitle: "Salmo 54 (53)", category: "Precatecumenado", moments: ["Antiguo Testamento"], url: "/src/index.html?canto=ohdiosportunombre", visible: "", cejilla: "", acorde: "La", scrollConfig: {"mobile": { "v": 25, "i": 1 },"tablet": { "v": 25, "i": 1 },"desktop": { "v": 7, "i": 1 },"desktopsmall": { "v": 7, "i": 1 }},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6" spans="2:26" x14ac:dyDescent="0.25">
      <c r="B156" s="51" t="s">
        <v>602</v>
      </c>
      <c r="C156" s="1" t="str">
        <f>IF(VLOOKUP(Table4[[#This Row],[Cantounido]],Table7[],3,FALSE)=0,"",VLOOKUP(Table4[[#This Row],[Cantounido]],Table7[],3,FALSE))</f>
        <v/>
      </c>
      <c r="D156" s="44" t="str">
        <f>IF(VLOOKUP(Table4[[#This Row],[Cantounido]],Table7[],4,FALSE)=0,"",VLOOKUP(Table4[[#This Row],[Cantounido]],Table7[],4,FALSE))</f>
        <v>La</v>
      </c>
      <c r="E156" s="26">
        <v>125</v>
      </c>
      <c r="F156" t="str">
        <f>F155</f>
        <v>{idi:</v>
      </c>
      <c r="G156" t="str">
        <f>_xlfn.CONCAT(VLOOKUP(E156,'Index Web'!A$4:L$253,2,FALSE),", ")</f>
        <v xml:space="preserve">154, </v>
      </c>
      <c r="H156" t="str">
        <f>H155</f>
        <v>id:</v>
      </c>
      <c r="I156" t="str">
        <f>_xlfn.CONCAT("""",VLOOKUP(E156,'Index Web'!A$4:O$253,13,FALSE),"""",", ")</f>
        <v xml:space="preserve">"ohdiostueresmidios", </v>
      </c>
      <c r="J156" t="s">
        <v>2016</v>
      </c>
      <c r="K156" t="str">
        <f>_xlfn.CONCAT("""",VLOOKUP(E156,'Index Web'!A$4:L$253,3,FALSE),"""")</f>
        <v>"Oh Dios, tú eres mi Dios "</v>
      </c>
      <c r="L156" t="s">
        <v>942</v>
      </c>
      <c r="M156" t="str">
        <f>_xlfn.CONCAT("""",VLOOKUP(E156,'Index Web'!A$4:L$253,4,FALSE),"""")</f>
        <v>"Salmo 63 (62)"</v>
      </c>
      <c r="N156" t="s">
        <v>943</v>
      </c>
      <c r="O156" t="str">
        <f>_xlfn.CONCAT("""",VLOOKUP(E156,'Index Web'!A$4:L$253,5,FALSE),"""")</f>
        <v>"Precatecumenado"</v>
      </c>
      <c r="P156" t="s">
        <v>944</v>
      </c>
      <c r="Q156" t="str">
        <f>_xlfn.CONCAT("[",VLOOKUP(E156,'Index Web'!A$4:N$253,14,FALSE),"]")</f>
        <v>["Antiguo Testamento"]</v>
      </c>
      <c r="R156" t="s">
        <v>945</v>
      </c>
      <c r="S156" t="str">
        <f>_xlfn.CONCAT("""/src/index.html?canto=",VLOOKUP(E156,'Index Web'!A$4:N$253,13,FALSE),""", ")</f>
        <v xml:space="preserve">"/src/index.html?canto=ohdiostueresmidios", </v>
      </c>
      <c r="T156" t="str">
        <f>T155</f>
        <v xml:space="preserve">visible: "", </v>
      </c>
      <c r="U156" t="str">
        <f>_xlfn.CONCAT("cejilla: """,C156,""", ")</f>
        <v xml:space="preserve">cejilla: "", </v>
      </c>
      <c r="V156" t="str">
        <f>_xlfn.CONCAT("acorde: """,D156,""", ")</f>
        <v xml:space="preserve">acorde: "La", </v>
      </c>
      <c r="W156" t="s">
        <v>2012</v>
      </c>
      <c r="X156" t="s">
        <v>2013</v>
      </c>
      <c r="Y156" t="str">
        <f>_xlfn.CONCAT("""",VLOOKUP(E156,'Index Web'!A$4:O$253,15,FALSE)," ",VLOOKUP(E156,'Index Web'!A$4:O$253,13,FALSE),"""","},")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Z156" t="str">
        <f>_xlfn.CONCAT(F156:Y156)</f>
        <v>{idi:154, id:"ohdiostueresmidios", title: "Oh Dios, tú eres mi Dios ", subtitle: "Salmo 63 (62)", category: "Precatecumenado", moments: ["Antiguo Testamento"], url: "/src/index.html?canto=ohdiostueresmidios", visible: "", cejilla: "", acorde: "La", scrollConfig: {"mobile": { "v": 25, "i": 1 },"tablet": { "v": 25, "i": 1 },"desktop": { "v": 7, "i": 1 },"desktopsmall": { "v": 7, "i": 1 }},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7" spans="2:26" x14ac:dyDescent="0.25">
      <c r="B157" s="50" t="s">
        <v>603</v>
      </c>
      <c r="C157" s="1" t="str">
        <f>IF(VLOOKUP(Table4[[#This Row],[Cantounido]],Table7[],3,FALSE)=0,"",VLOOKUP(Table4[[#This Row],[Cantounido]],Table7[],3,FALSE))</f>
        <v/>
      </c>
      <c r="D157" s="44" t="str">
        <f>IF(VLOOKUP(Table4[[#This Row],[Cantounido]],Table7[],4,FALSE)=0,"",VLOOKUP(Table4[[#This Row],[Cantounido]],Table7[],4,FALSE))</f>
        <v>La</v>
      </c>
      <c r="E157" s="25">
        <v>126</v>
      </c>
      <c r="F157" t="str">
        <f>F156</f>
        <v>{idi:</v>
      </c>
      <c r="G157" t="str">
        <f>_xlfn.CONCAT(VLOOKUP(E157,'Index Web'!A$4:L$253,2,FALSE),", ")</f>
        <v xml:space="preserve">155, </v>
      </c>
      <c r="H157" t="str">
        <f>H156</f>
        <v>id:</v>
      </c>
      <c r="I157" t="str">
        <f>_xlfn.CONCAT("""",VLOOKUP(E157,'Index Web'!A$4:O$253,13,FALSE),"""",", ")</f>
        <v xml:space="preserve">"ohjesusamormio", </v>
      </c>
      <c r="J157" t="s">
        <v>2016</v>
      </c>
      <c r="K157" t="str">
        <f>_xlfn.CONCAT("""",VLOOKUP(E157,'Index Web'!A$4:L$253,3,FALSE),"""")</f>
        <v>"Oh Jesús, amor mío"</v>
      </c>
      <c r="L157" t="s">
        <v>942</v>
      </c>
      <c r="M157" t="str">
        <f>_xlfn.CONCAT("""",VLOOKUP(E157,'Index Web'!A$4:L$253,4,FALSE),"""")</f>
        <v>"(Kiko Argüello)"</v>
      </c>
      <c r="N157" t="s">
        <v>943</v>
      </c>
      <c r="O157" t="str">
        <f>_xlfn.CONCAT("""",VLOOKUP(E157,'Index Web'!A$4:L$253,5,FALSE),"""")</f>
        <v>"Precatecumenado"</v>
      </c>
      <c r="P157" t="s">
        <v>944</v>
      </c>
      <c r="Q157" t="str">
        <f>_xlfn.CONCAT("[",VLOOKUP(E157,'Index Web'!A$4:N$253,14,FALSE),"]")</f>
        <v>["Cuaresma","Fracción Del Pan"]</v>
      </c>
      <c r="R157" t="s">
        <v>945</v>
      </c>
      <c r="S157" t="str">
        <f>_xlfn.CONCAT("""/src/index.html?canto=",VLOOKUP(E157,'Index Web'!A$4:N$253,13,FALSE),""", ")</f>
        <v xml:space="preserve">"/src/index.html?canto=ohjesusamormio", </v>
      </c>
      <c r="T157" t="str">
        <f>T156</f>
        <v xml:space="preserve">visible: "", </v>
      </c>
      <c r="U157" t="str">
        <f>_xlfn.CONCAT("cejilla: """,C157,""", ")</f>
        <v xml:space="preserve">cejilla: "", </v>
      </c>
      <c r="V157" t="str">
        <f>_xlfn.CONCAT("acorde: """,D157,""", ")</f>
        <v xml:space="preserve">acorde: "La", </v>
      </c>
      <c r="W157" t="s">
        <v>2012</v>
      </c>
      <c r="X157" t="s">
        <v>2013</v>
      </c>
      <c r="Y157" t="str">
        <f>_xlfn.CONCAT("""",VLOOKUP(E157,'Index Web'!A$4:O$253,15,FALSE)," ",VLOOKUP(E157,'Index Web'!A$4:O$253,13,FALSE),"""","},")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Z157" t="str">
        <f>_xlfn.CONCAT(F157:Y157)</f>
        <v>{idi:155, id:"ohjesusamormio", title: "Oh Jesús, amor mío", subtitle: "(Kiko Argüello)", category: "Precatecumenado", moments: ["Cuaresma","Fracción Del Pan"], url: "/src/index.html?canto=ohjesusamormio", visible: "", cejilla: "", acorde: "La", scrollConfig: {"mobile": { "v": 25, "i": 1 },"tablet": { "v": 25, "i": 1 },"desktop": { "v": 7, "i": 1 },"desktopsmall": { "v": 7, "i": 1 }},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8" spans="2:26" x14ac:dyDescent="0.25">
      <c r="B158" s="51" t="s">
        <v>2074</v>
      </c>
      <c r="C158" s="1" t="str">
        <f>IF(VLOOKUP(Table4[[#This Row],[Cantounido]],Table7[],3,FALSE)=0,"",VLOOKUP(Table4[[#This Row],[Cantounido]],Table7[],3,FALSE))</f>
        <v/>
      </c>
      <c r="D158" s="44" t="str">
        <f>IF(VLOOKUP(Table4[[#This Row],[Cantounido]],Table7[],4,FALSE)=0,"",VLOOKUP(Table4[[#This Row],[Cantounido]],Table7[],4,FALSE))</f>
        <v>Re</v>
      </c>
      <c r="E158" s="26">
        <v>127</v>
      </c>
      <c r="F158" t="str">
        <f>F157</f>
        <v>{idi:</v>
      </c>
      <c r="G158" t="str">
        <f>_xlfn.CONCAT(VLOOKUP(E158,'Index Web'!A$4:L$253,2,FALSE),", ")</f>
        <v xml:space="preserve">156, </v>
      </c>
      <c r="H158" t="str">
        <f>H157</f>
        <v>id:</v>
      </c>
      <c r="I158" t="str">
        <f>_xlfn.CONCAT("""",VLOOKUP(E158,'Index Web'!A$4:O$253,13,FALSE),"""",", ")</f>
        <v xml:space="preserve">"ohmuertedondeestatuvictoria", </v>
      </c>
      <c r="J158" t="s">
        <v>2016</v>
      </c>
      <c r="K158" t="str">
        <f>_xlfn.CONCAT("""",VLOOKUP(E158,'Index Web'!A$4:L$253,3,FALSE),"""")</f>
        <v>"Oh muerte ¿dónde está tu victoria?"</v>
      </c>
      <c r="L158" t="s">
        <v>942</v>
      </c>
      <c r="M158" t="str">
        <f>_xlfn.CONCAT("""",VLOOKUP(E158,'Index Web'!A$4:L$253,4,FALSE),"""")</f>
        <v>"1 Corintios 15"</v>
      </c>
      <c r="N158" t="s">
        <v>943</v>
      </c>
      <c r="O158" t="str">
        <f>_xlfn.CONCAT("""",VLOOKUP(E158,'Index Web'!A$4:L$253,5,FALSE),"""")</f>
        <v>"Precatecumenado"</v>
      </c>
      <c r="P158" t="s">
        <v>944</v>
      </c>
      <c r="Q158" t="str">
        <f>_xlfn.CONCAT("[",VLOOKUP(E158,'Index Web'!A$4:N$253,14,FALSE),"]")</f>
        <v>["Pascua","Pentecostés","Comunión","Nuevo Testamento"]</v>
      </c>
      <c r="R158" t="s">
        <v>945</v>
      </c>
      <c r="S158" t="str">
        <f>_xlfn.CONCAT("""/src/index.html?canto=",VLOOKUP(E158,'Index Web'!A$4:N$253,13,FALSE),""", ")</f>
        <v xml:space="preserve">"/src/index.html?canto=ohmuertedondeestatuvictoria", </v>
      </c>
      <c r="T158" t="str">
        <f>T157</f>
        <v xml:space="preserve">visible: "", </v>
      </c>
      <c r="U158" t="str">
        <f>_xlfn.CONCAT("cejilla: """,C158,""", ")</f>
        <v xml:space="preserve">cejilla: "", </v>
      </c>
      <c r="V158" t="str">
        <f>_xlfn.CONCAT("acorde: """,D158,""", ")</f>
        <v xml:space="preserve">acorde: "Re", </v>
      </c>
      <c r="W158" t="s">
        <v>2012</v>
      </c>
      <c r="X158" t="s">
        <v>2013</v>
      </c>
      <c r="Y158" t="str">
        <f>_xlfn.CONCAT("""",VLOOKUP(E158,'Index Web'!A$4:O$253,15,FALSE)," ",VLOOKUP(E158,'Index Web'!A$4:O$253,13,FALSE),"""","},")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Z158" t="str">
        <f>_xlfn.CONCAT(F158:Y158)</f>
        <v>{idi:156, id:"ohmuertedondeestatuvictoria", title: "Oh muerte ¿dónde está tu victoria?", subtitle: "1 Corintios 15", category: "Precatecumenado", moments: ["Pascua","Pentecostés","Comunión","Nuevo Testamento"], url: "/src/index.html?canto=ohmuertedondeestatuvictoria", visible: "", cejilla: "", acorde: "Re", scrollConfig: {"mobile": { "v": 25, "i": 1 },"tablet": { "v": 25, "i": 1 },"desktop": { "v": 7, "i": 1 },"desktopsmall": { "v": 7, "i": 1 }},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9" spans="2:26" x14ac:dyDescent="0.25">
      <c r="B159" s="57" t="s">
        <v>695</v>
      </c>
      <c r="C159" s="1">
        <f>IF(VLOOKUP(Table4[[#This Row],[Cantounido]],Table7[],3,FALSE)=0,"",VLOOKUP(Table4[[#This Row],[Cantounido]],Table7[],3,FALSE))</f>
        <v>2</v>
      </c>
      <c r="D159" s="44" t="str">
        <f>IF(VLOOKUP(Table4[[#This Row],[Cantounido]],Table7[],4,FALSE)=0,"",VLOOKUP(Table4[[#This Row],[Cantounido]],Table7[],4,FALSE))</f>
        <v>Mi</v>
      </c>
      <c r="E159" s="31">
        <v>232</v>
      </c>
      <c r="F159" t="str">
        <f>F158</f>
        <v>{idi:</v>
      </c>
      <c r="G159" t="str">
        <f>_xlfn.CONCAT(VLOOKUP(E159,'Index Web'!A$4:L$253,2,FALSE),", ")</f>
        <v xml:space="preserve">157, </v>
      </c>
      <c r="H159" t="str">
        <f>H158</f>
        <v>id:</v>
      </c>
      <c r="I159" t="str">
        <f>_xlfn.CONCAT("""",VLOOKUP(E159,'Index Web'!A$4:O$253,13,FALSE),"""",", ")</f>
        <v xml:space="preserve">"ohsenormicorazonyanoesambicioso", </v>
      </c>
      <c r="J159" t="s">
        <v>2016</v>
      </c>
      <c r="K159" t="str">
        <f>_xlfn.CONCAT("""",VLOOKUP(E159,'Index Web'!A$4:L$253,3,FALSE),"""")</f>
        <v>"Oh Señor, mi corazón ya no es ambicioso"</v>
      </c>
      <c r="L159" t="s">
        <v>942</v>
      </c>
      <c r="M159" t="str">
        <f>_xlfn.CONCAT("""",VLOOKUP(E159,'Index Web'!A$4:L$253,4,FALSE),"""")</f>
        <v>"Salmo 131 (130)"</v>
      </c>
      <c r="N159" t="s">
        <v>943</v>
      </c>
      <c r="O159" t="str">
        <f>_xlfn.CONCAT("""",VLOOKUP(E159,'Index Web'!A$4:L$253,5,FALSE),"""")</f>
        <v>"Catecumenado"</v>
      </c>
      <c r="P159" t="s">
        <v>944</v>
      </c>
      <c r="Q159" t="str">
        <f>_xlfn.CONCAT("[",VLOOKUP(E159,'Index Web'!A$4:N$253,14,FALSE),"]")</f>
        <v>["Antiguo Testamento"]</v>
      </c>
      <c r="R159" t="s">
        <v>945</v>
      </c>
      <c r="S159" t="str">
        <f>_xlfn.CONCAT("""/src/index.html?canto=",VLOOKUP(E159,'Index Web'!A$4:N$253,13,FALSE),""", ")</f>
        <v xml:space="preserve">"/src/index.html?canto=ohsenormicorazonyanoesambicioso", </v>
      </c>
      <c r="T159" t="str">
        <f>T158</f>
        <v xml:space="preserve">visible: "", </v>
      </c>
      <c r="U159" t="str">
        <f>_xlfn.CONCAT("cejilla: """,C159,""", ")</f>
        <v xml:space="preserve">cejilla: "2", </v>
      </c>
      <c r="V159" t="str">
        <f>_xlfn.CONCAT("acorde: """,D159,""", ")</f>
        <v xml:space="preserve">acorde: "Mi", </v>
      </c>
      <c r="W159" t="s">
        <v>2012</v>
      </c>
      <c r="X159" t="s">
        <v>2013</v>
      </c>
      <c r="Y159" t="str">
        <f>_xlfn.CONCAT("""",VLOOKUP(E159,'Index Web'!A$4:O$253,15,FALSE)," ",VLOOKUP(E159,'Index Web'!A$4:O$253,13,FALSE),"""","},")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Z159" t="str">
        <f>_xlfn.CONCAT(F159:Y159)</f>
        <v>{idi:157, id:"ohsenormicorazonyanoesambicioso", title: "Oh Señor, mi corazón ya no es ambicioso", subtitle: "Salmo 131 (130)", category: "Catecumenado", moments: ["Antiguo Testamento"], url: "/src/index.html?canto=ohsenormicorazonyanoesambicioso", visible: "", cejilla: "2", acorde: "Mi", scrollConfig: {"mobile": { "v": 25, "i": 1 },"tablet": { "v": 25, "i": 1 },"desktop": { "v": 7, "i": 1 },"desktopsmall": { "v": 7, "i": 1 }},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60" spans="2:26" x14ac:dyDescent="0.25">
      <c r="B160" s="51" t="s">
        <v>604</v>
      </c>
      <c r="C160" s="1">
        <f>IF(VLOOKUP(Table4[[#This Row],[Cantounido]],Table7[],3,FALSE)=0,"",VLOOKUP(Table4[[#This Row],[Cantounido]],Table7[],3,FALSE))</f>
        <v>2</v>
      </c>
      <c r="D160" s="44" t="str">
        <f>IF(VLOOKUP(Table4[[#This Row],[Cantounido]],Table7[],4,FALSE)=0,"",VLOOKUP(Table4[[#This Row],[Cantounido]],Table7[],4,FALSE))</f>
        <v>Re</v>
      </c>
      <c r="E160" s="26">
        <v>128</v>
      </c>
      <c r="F160" t="str">
        <f>F159</f>
        <v>{idi:</v>
      </c>
      <c r="G160" t="str">
        <f>_xlfn.CONCAT(VLOOKUP(E160,'Index Web'!A$4:L$253,2,FALSE),", ")</f>
        <v xml:space="preserve">158, </v>
      </c>
      <c r="H160" t="str">
        <f>H159</f>
        <v>id:</v>
      </c>
      <c r="I160" t="str">
        <f>_xlfn.CONCAT("""",VLOOKUP(E160,'Index Web'!A$4:O$253,13,FALSE),"""",", ")</f>
        <v xml:space="preserve">"ohsenornuestrodios", </v>
      </c>
      <c r="J160" t="s">
        <v>2016</v>
      </c>
      <c r="K160" t="str">
        <f>_xlfn.CONCAT("""",VLOOKUP(E160,'Index Web'!A$4:L$253,3,FALSE),"""")</f>
        <v>"Oh Señor, nuestro Dios"</v>
      </c>
      <c r="L160" t="s">
        <v>942</v>
      </c>
      <c r="M160" t="str">
        <f>_xlfn.CONCAT("""",VLOOKUP(E160,'Index Web'!A$4:L$253,4,FALSE),"""")</f>
        <v>"Salmo 8"</v>
      </c>
      <c r="N160" t="s">
        <v>943</v>
      </c>
      <c r="O160" t="str">
        <f>_xlfn.CONCAT("""",VLOOKUP(E160,'Index Web'!A$4:L$253,5,FALSE),"""")</f>
        <v>"Precatecumenado"</v>
      </c>
      <c r="P160" t="s">
        <v>944</v>
      </c>
      <c r="Q160" t="str">
        <f>_xlfn.CONCAT("[",VLOOKUP(E160,'Index Web'!A$4:N$253,14,FALSE),"]")</f>
        <v>["Entrada","Antiguo Testamento"]</v>
      </c>
      <c r="R160" t="s">
        <v>945</v>
      </c>
      <c r="S160" t="str">
        <f>_xlfn.CONCAT("""/src/index.html?canto=",VLOOKUP(E160,'Index Web'!A$4:N$253,13,FALSE),""", ")</f>
        <v xml:space="preserve">"/src/index.html?canto=ohsenornuestrodios", </v>
      </c>
      <c r="T160" t="str">
        <f>T159</f>
        <v xml:space="preserve">visible: "", </v>
      </c>
      <c r="U160" t="str">
        <f>_xlfn.CONCAT("cejilla: """,C160,""", ")</f>
        <v xml:space="preserve">cejilla: "2", </v>
      </c>
      <c r="V160" t="str">
        <f>_xlfn.CONCAT("acorde: """,D160,""", ")</f>
        <v xml:space="preserve">acorde: "Re", </v>
      </c>
      <c r="W160" t="s">
        <v>2012</v>
      </c>
      <c r="X160" t="s">
        <v>2013</v>
      </c>
      <c r="Y160" t="str">
        <f>_xlfn.CONCAT("""",VLOOKUP(E160,'Index Web'!A$4:O$253,15,FALSE)," ",VLOOKUP(E160,'Index Web'!A$4:O$253,13,FALSE),"""","},")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Z160" t="str">
        <f>_xlfn.CONCAT(F160:Y160)</f>
        <v>{idi:158, id:"ohsenornuestrodios", title: "Oh Señor, nuestro Dios", subtitle: "Salmo 8", category: "Precatecumenado", moments: ["Entrada","Antiguo Testamento"], url: "/src/index.html?canto=ohsenornuestrodios", visible: "", cejilla: "2", acorde: "Re", scrollConfig: {"mobile": { "v": 25, "i": 1 },"tablet": { "v": 25, "i": 1 },"desktop": { "v": 7, "i": 1 },"desktopsmall": { "v": 7, "i": 1 }},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1" spans="2:26" x14ac:dyDescent="0.25">
      <c r="B161" s="50" t="s">
        <v>605</v>
      </c>
      <c r="C161" s="1" t="str">
        <f>IF(VLOOKUP(Table4[[#This Row],[Cantounido]],Table7[],3,FALSE)=0,"",VLOOKUP(Table4[[#This Row],[Cantounido]],Table7[],3,FALSE))</f>
        <v/>
      </c>
      <c r="D161" s="44" t="str">
        <f>IF(VLOOKUP(Table4[[#This Row],[Cantounido]],Table7[],4,FALSE)=0,"",VLOOKUP(Table4[[#This Row],[Cantounido]],Table7[],4,FALSE))</f>
        <v>Re</v>
      </c>
      <c r="E161" s="25">
        <v>129</v>
      </c>
      <c r="F161" t="str">
        <f>F160</f>
        <v>{idi:</v>
      </c>
      <c r="G161" t="str">
        <f>_xlfn.CONCAT(VLOOKUP(E161,'Index Web'!A$4:L$253,2,FALSE),", ")</f>
        <v xml:space="preserve">159, </v>
      </c>
      <c r="H161" t="str">
        <f>H160</f>
        <v>id:</v>
      </c>
      <c r="I161" t="str">
        <f>_xlfn.CONCAT("""",VLOOKUP(E161,'Index Web'!A$4:O$253,13,FALSE),"""",", ")</f>
        <v xml:space="preserve">"ostomaredeentrelasnaciones", </v>
      </c>
      <c r="J161" t="s">
        <v>2016</v>
      </c>
      <c r="K161" t="str">
        <f>_xlfn.CONCAT("""",VLOOKUP(E161,'Index Web'!A$4:L$253,3,FALSE),"""")</f>
        <v>"Os tomaré de entre las naciones"</v>
      </c>
      <c r="L161" t="s">
        <v>942</v>
      </c>
      <c r="M161" t="str">
        <f>_xlfn.CONCAT("""",VLOOKUP(E161,'Index Web'!A$4:L$253,4,FALSE),"""")</f>
        <v>"Ezequiel 36,24-28"</v>
      </c>
      <c r="N161" t="s">
        <v>943</v>
      </c>
      <c r="O161" t="str">
        <f>_xlfn.CONCAT("""",VLOOKUP(E161,'Index Web'!A$4:L$253,5,FALSE),"""")</f>
        <v>"Precatecumenado"</v>
      </c>
      <c r="P161" t="s">
        <v>944</v>
      </c>
      <c r="Q161" t="str">
        <f>_xlfn.CONCAT("[",VLOOKUP(E161,'Index Web'!A$4:N$253,14,FALSE),"]")</f>
        <v>["Pascua","Pentecostés","Entrada","Antiguo Testamento"]</v>
      </c>
      <c r="R161" t="s">
        <v>945</v>
      </c>
      <c r="S161" t="str">
        <f>_xlfn.CONCAT("""/src/index.html?canto=",VLOOKUP(E161,'Index Web'!A$4:N$253,13,FALSE),""", ")</f>
        <v xml:space="preserve">"/src/index.html?canto=ostomaredeentrelasnaciones", </v>
      </c>
      <c r="T161" t="str">
        <f>T160</f>
        <v xml:space="preserve">visible: "", </v>
      </c>
      <c r="U161" t="str">
        <f>_xlfn.CONCAT("cejilla: """,C161,""", ")</f>
        <v xml:space="preserve">cejilla: "", </v>
      </c>
      <c r="V161" t="str">
        <f>_xlfn.CONCAT("acorde: """,D161,""", ")</f>
        <v xml:space="preserve">acorde: "Re", </v>
      </c>
      <c r="W161" t="s">
        <v>2012</v>
      </c>
      <c r="X161" t="s">
        <v>2013</v>
      </c>
      <c r="Y161" t="str">
        <f>_xlfn.CONCAT("""",VLOOKUP(E161,'Index Web'!A$4:O$253,15,FALSE)," ",VLOOKUP(E161,'Index Web'!A$4:O$253,13,FALSE),"""","},")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Z161" t="str">
        <f>_xlfn.CONCAT(F161:Y161)</f>
        <v>{idi:159, id:"ostomaredeentrelasnaciones", title: "Os tomaré de entre las naciones", subtitle: "Ezequiel 36,24-28", category: "Precatecumenado", moments: ["Pascua","Pentecostés","Entrada","Antiguo Testamento"], url: "/src/index.html?canto=ostomaredeentrelasnaciones", visible: "", cejilla: "", acorde: "Re", scrollConfig: {"mobile": { "v": 25, "i": 1 },"tablet": { "v": 25, "i": 1 },"desktop": { "v": 7, "i": 1 },"desktopsmall": { "v": 7, "i": 1 }},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2" spans="2:26" x14ac:dyDescent="0.25">
      <c r="B162" s="52" t="s">
        <v>665</v>
      </c>
      <c r="C162" s="1">
        <f>IF(VLOOKUP(Table4[[#This Row],[Cantounido]],Table7[],3,FALSE)=0,"",VLOOKUP(Table4[[#This Row],[Cantounido]],Table7[],3,FALSE))</f>
        <v>2</v>
      </c>
      <c r="D162" s="44" t="str">
        <f>IF(VLOOKUP(Table4[[#This Row],[Cantounido]],Table7[],4,FALSE)=0,"",VLOOKUP(Table4[[#This Row],[Cantounido]],Table7[],4,FALSE))</f>
        <v>Re</v>
      </c>
      <c r="E162" s="27">
        <v>193</v>
      </c>
      <c r="F162" t="str">
        <f>F161</f>
        <v>{idi:</v>
      </c>
      <c r="G162" t="str">
        <f>_xlfn.CONCAT(VLOOKUP(E162,'Index Web'!A$4:L$253,2,FALSE),", ")</f>
        <v xml:space="preserve">160, </v>
      </c>
      <c r="H162" t="str">
        <f>H161</f>
        <v>id:</v>
      </c>
      <c r="I162" t="str">
        <f>_xlfn.CONCAT("""",VLOOKUP(E162,'Index Web'!A$4:O$253,13,FALSE),"""",", ")</f>
        <v xml:space="preserve">"padrenuestro", </v>
      </c>
      <c r="J162" t="s">
        <v>2016</v>
      </c>
      <c r="K162" t="str">
        <f>_xlfn.CONCAT("""",VLOOKUP(E162,'Index Web'!A$4:L$253,3,FALSE),"""")</f>
        <v>"Padre nuestro"</v>
      </c>
      <c r="L162" t="s">
        <v>942</v>
      </c>
      <c r="M162" t="str">
        <f>_xlfn.CONCAT("""",VLOOKUP(E162,'Index Web'!A$4:L$253,4,FALSE),"""")</f>
        <v>"Tiempo de la Elección"</v>
      </c>
      <c r="N162" t="s">
        <v>943</v>
      </c>
      <c r="O162" t="str">
        <f>_xlfn.CONCAT("""",VLOOKUP(E162,'Index Web'!A$4:L$253,5,FALSE),"""")</f>
        <v>"Liturgia"</v>
      </c>
      <c r="P162" t="s">
        <v>944</v>
      </c>
      <c r="Q162" t="str">
        <f>_xlfn.CONCAT("[",VLOOKUP(E162,'Index Web'!A$4:N$253,14,FALSE),"]")</f>
        <v>[""]</v>
      </c>
      <c r="R162" t="s">
        <v>945</v>
      </c>
      <c r="S162" t="str">
        <f>_xlfn.CONCAT("""/src/index.html?canto=",VLOOKUP(E162,'Index Web'!A$4:N$253,13,FALSE),""", ")</f>
        <v xml:space="preserve">"/src/index.html?canto=padrenuestro", </v>
      </c>
      <c r="T162" t="str">
        <f>T161</f>
        <v xml:space="preserve">visible: "", </v>
      </c>
      <c r="U162" t="str">
        <f>_xlfn.CONCAT("cejilla: """,C162,""", ")</f>
        <v xml:space="preserve">cejilla: "2", </v>
      </c>
      <c r="V162" t="str">
        <f>_xlfn.CONCAT("acorde: """,D162,""", ")</f>
        <v xml:space="preserve">acorde: "Re", </v>
      </c>
      <c r="W162" t="s">
        <v>2012</v>
      </c>
      <c r="X162" t="s">
        <v>2013</v>
      </c>
      <c r="Y162" t="str">
        <f>_xlfn.CONCAT("""",VLOOKUP(E162,'Index Web'!A$4:O$253,15,FALSE)," ",VLOOKUP(E162,'Index Web'!A$4:O$253,13,FALSE),"""","},")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Z162" t="str">
        <f>_xlfn.CONCAT(F162:Y162)</f>
        <v>{idi:160, id:"padrenuestro", title: "Padre nuestro", subtitle: "Tiempo de la Elección", category: "Liturgia", moments: [""], url: "/src/index.html?canto=padrenuestro", visible: "", cejilla: "2", acorde: "Re", scrollConfig: {"mobile": { "v": 25, "i": 1 },"tablet": { "v": 25, "i": 1 },"desktop": { "v": 7, "i": 1 },"desktopsmall": { "v": 7, "i": 1 }},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3" spans="2:26" x14ac:dyDescent="0.25">
      <c r="B163" s="50" t="s">
        <v>606</v>
      </c>
      <c r="C163" s="1">
        <f>IF(VLOOKUP(Table4[[#This Row],[Cantounido]],Table7[],3,FALSE)=0,"",VLOOKUP(Table4[[#This Row],[Cantounido]],Table7[],3,FALSE))</f>
        <v>3</v>
      </c>
      <c r="D163" s="44" t="str">
        <f>IF(VLOOKUP(Table4[[#This Row],[Cantounido]],Table7[],4,FALSE)=0,"",VLOOKUP(Table4[[#This Row],[Cantounido]],Table7[],4,FALSE))</f>
        <v>Mi</v>
      </c>
      <c r="E163" s="25">
        <v>130</v>
      </c>
      <c r="F163" t="str">
        <f>F162</f>
        <v>{idi:</v>
      </c>
      <c r="G163" t="str">
        <f>_xlfn.CONCAT(VLOOKUP(E163,'Index Web'!A$4:L$253,2,FALSE),", ")</f>
        <v xml:space="preserve">161, </v>
      </c>
      <c r="H163" t="str">
        <f>H162</f>
        <v>id:</v>
      </c>
      <c r="I163" t="str">
        <f>_xlfn.CONCAT("""",VLOOKUP(E163,'Index Web'!A$4:O$253,13,FALSE),"""",", ")</f>
        <v xml:space="preserve">"palomaincorrupta", </v>
      </c>
      <c r="J163" t="s">
        <v>2016</v>
      </c>
      <c r="K163" t="str">
        <f>_xlfn.CONCAT("""",VLOOKUP(E163,'Index Web'!A$4:L$253,3,FALSE),"""")</f>
        <v>"Paloma incorrupta"</v>
      </c>
      <c r="L163" t="s">
        <v>942</v>
      </c>
      <c r="M163" t="str">
        <f>_xlfn.CONCAT("""",VLOOKUP(E163,'Index Web'!A$4:L$253,4,FALSE),"""")</f>
        <v>"Kontákion (Romano el Meloda)"</v>
      </c>
      <c r="N163" t="s">
        <v>943</v>
      </c>
      <c r="O163" t="str">
        <f>_xlfn.CONCAT("""",VLOOKUP(E163,'Index Web'!A$4:L$253,5,FALSE),"""")</f>
        <v>"Precatecumenado"</v>
      </c>
      <c r="P163" t="s">
        <v>944</v>
      </c>
      <c r="Q163" t="str">
        <f>_xlfn.CONCAT("[",VLOOKUP(E163,'Index Web'!A$4:N$253,14,FALSE),"]")</f>
        <v>["Vírgen María","Pascua","Pentecostés"]</v>
      </c>
      <c r="R163" t="s">
        <v>945</v>
      </c>
      <c r="S163" t="str">
        <f>_xlfn.CONCAT("""/src/index.html?canto=",VLOOKUP(E163,'Index Web'!A$4:N$253,13,FALSE),""", ")</f>
        <v xml:space="preserve">"/src/index.html?canto=palomaincorrupta", </v>
      </c>
      <c r="T163" t="str">
        <f>T162</f>
        <v xml:space="preserve">visible: "", </v>
      </c>
      <c r="U163" t="str">
        <f>_xlfn.CONCAT("cejilla: """,C163,""", ")</f>
        <v xml:space="preserve">cejilla: "3", </v>
      </c>
      <c r="V163" t="str">
        <f>_xlfn.CONCAT("acorde: """,D163,""", ")</f>
        <v xml:space="preserve">acorde: "Mi", </v>
      </c>
      <c r="W163" t="s">
        <v>2012</v>
      </c>
      <c r="X163" t="s">
        <v>2013</v>
      </c>
      <c r="Y163" t="str">
        <f>_xlfn.CONCAT("""",VLOOKUP(E163,'Index Web'!A$4:O$253,15,FALSE)," ",VLOOKUP(E163,'Index Web'!A$4:O$253,13,FALSE),"""","},")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Z163" t="str">
        <f>_xlfn.CONCAT(F163:Y163)</f>
        <v>{idi:161, id:"palomaincorrupta", title: "Paloma incorrupta", subtitle: "Kontákion (Romano el Meloda)", category: "Precatecumenado", moments: ["Vírgen María","Pascua","Pentecostés"], url: "/src/index.html?canto=palomaincorrupta", visible: "", cejilla: "3", acorde: "Mi", scrollConfig: {"mobile": { "v": 25, "i": 1 },"tablet": { "v": 25, "i": 1 },"desktop": { "v": 7, "i": 1 },"desktopsmall": { "v": 7, "i": 1 }},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4" spans="2:26" x14ac:dyDescent="0.25">
      <c r="B164" s="51" t="s">
        <v>607</v>
      </c>
      <c r="C164" s="1" t="str">
        <f>IF(VLOOKUP(Table4[[#This Row],[Cantounido]],Table7[],3,FALSE)=0,"",VLOOKUP(Table4[[#This Row],[Cantounido]],Table7[],3,FALSE))</f>
        <v/>
      </c>
      <c r="D164" s="44" t="str">
        <f>IF(VLOOKUP(Table4[[#This Row],[Cantounido]],Table7[],4,FALSE)=0,"",VLOOKUP(Table4[[#This Row],[Cantounido]],Table7[],4,FALSE))</f>
        <v>Re</v>
      </c>
      <c r="E164" s="26">
        <v>131</v>
      </c>
      <c r="F164" t="str">
        <f>F163</f>
        <v>{idi:</v>
      </c>
      <c r="G164" t="str">
        <f>_xlfn.CONCAT(VLOOKUP(E164,'Index Web'!A$4:L$253,2,FALSE),", ")</f>
        <v xml:space="preserve">162, </v>
      </c>
      <c r="H164" t="str">
        <f>H163</f>
        <v>id:</v>
      </c>
      <c r="I164" t="str">
        <f>_xlfn.CONCAT("""",VLOOKUP(E164,'Index Web'!A$4:O$253,13,FALSE),"""",", ")</f>
        <v xml:space="preserve">"pentecostes", </v>
      </c>
      <c r="J164" t="s">
        <v>2016</v>
      </c>
      <c r="K164" t="str">
        <f>_xlfn.CONCAT("""",VLOOKUP(E164,'Index Web'!A$4:L$253,3,FALSE),"""")</f>
        <v>"Pentecostés"</v>
      </c>
      <c r="L164" t="s">
        <v>942</v>
      </c>
      <c r="M164" t="str">
        <f>_xlfn.CONCAT("""",VLOOKUP(E164,'Index Web'!A$4:L$253,4,FALSE),"""")</f>
        <v>"Hchos de los Apostoles 2,1-13 "</v>
      </c>
      <c r="N164" t="s">
        <v>943</v>
      </c>
      <c r="O164" t="str">
        <f>_xlfn.CONCAT("""",VLOOKUP(E164,'Index Web'!A$4:L$253,5,FALSE),"""")</f>
        <v>"Precatecumenado"</v>
      </c>
      <c r="P164" t="s">
        <v>944</v>
      </c>
      <c r="Q164" t="str">
        <f>_xlfn.CONCAT("[",VLOOKUP(E164,'Index Web'!A$4:N$253,14,FALSE),"]")</f>
        <v>["Pascua","Pentecostés","Comunión"]</v>
      </c>
      <c r="R164" t="s">
        <v>945</v>
      </c>
      <c r="S164" t="str">
        <f>_xlfn.CONCAT("""/src/index.html?canto=",VLOOKUP(E164,'Index Web'!A$4:N$253,13,FALSE),""", ")</f>
        <v xml:space="preserve">"/src/index.html?canto=pentecostes", </v>
      </c>
      <c r="T164" t="str">
        <f>T163</f>
        <v xml:space="preserve">visible: "", </v>
      </c>
      <c r="U164" t="str">
        <f>_xlfn.CONCAT("cejilla: """,C164,""", ")</f>
        <v xml:space="preserve">cejilla: "", </v>
      </c>
      <c r="V164" t="str">
        <f>_xlfn.CONCAT("acorde: """,D164,""", ")</f>
        <v xml:space="preserve">acorde: "Re", </v>
      </c>
      <c r="W164" t="s">
        <v>2012</v>
      </c>
      <c r="X164" t="s">
        <v>2013</v>
      </c>
      <c r="Y164" t="str">
        <f>_xlfn.CONCAT("""",VLOOKUP(E164,'Index Web'!A$4:O$253,15,FALSE)," ",VLOOKUP(E164,'Index Web'!A$4:O$253,13,FALSE),"""","},")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Z164" t="str">
        <f>_xlfn.CONCAT(F164:Y164)</f>
        <v>{idi:162, id:"pentecostes", title: "Pentecostés", subtitle: "Hchos de los Apostoles 2,1-13 ", category: "Precatecumenado", moments: ["Pascua","Pentecostés","Comunión"], url: "/src/index.html?canto=pentecostes", visible: "", cejilla: "", acorde: "Re", scrollConfig: {"mobile": { "v": 25, "i": 1 },"tablet": { "v": 25, "i": 1 },"desktop": { "v": 7, "i": 1 },"desktopsmall": { "v": 7, "i": 1 }},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5" spans="2:26" x14ac:dyDescent="0.25">
      <c r="B165" s="54" t="s">
        <v>666</v>
      </c>
      <c r="C165" s="1" t="str">
        <f>IF(VLOOKUP(Table4[[#This Row],[Cantounido]],Table7[],3,FALSE)=0,"",VLOOKUP(Table4[[#This Row],[Cantounido]],Table7[],3,FALSE))</f>
        <v/>
      </c>
      <c r="D165" s="44" t="str">
        <f>IF(VLOOKUP(Table4[[#This Row],[Cantounido]],Table7[],4,FALSE)=0,"",VLOOKUP(Table4[[#This Row],[Cantounido]],Table7[],4,FALSE))</f>
        <v>Sol</v>
      </c>
      <c r="E165" s="29">
        <v>194</v>
      </c>
      <c r="F165" t="str">
        <f>F164</f>
        <v>{idi:</v>
      </c>
      <c r="G165" t="str">
        <f>_xlfn.CONCAT(VLOOKUP(E165,'Index Web'!A$4:L$253,2,FALSE),", ")</f>
        <v xml:space="preserve">163, </v>
      </c>
      <c r="H165" t="str">
        <f>H164</f>
        <v>id:</v>
      </c>
      <c r="I165" t="str">
        <f>_xlfn.CONCAT("""",VLOOKUP(E165,'Index Web'!A$4:O$253,13,FALSE),"""",", ")</f>
        <v xml:space="preserve">"plegariaeucaristicaiimodeloi", </v>
      </c>
      <c r="J165" t="s">
        <v>2016</v>
      </c>
      <c r="K165" t="str">
        <f>_xlfn.CONCAT("""",VLOOKUP(E165,'Index Web'!A$4:L$253,3,FALSE),"""")</f>
        <v>"Plegaria eucarística ii Modelo I"</v>
      </c>
      <c r="L165" t="s">
        <v>942</v>
      </c>
      <c r="M165" t="str">
        <f>_xlfn.CONCAT("""",VLOOKUP(E165,'Index Web'!A$4:L$253,4,FALSE),"""")</f>
        <v>"Modelo I"</v>
      </c>
      <c r="N165" t="s">
        <v>943</v>
      </c>
      <c r="O165" t="str">
        <f>_xlfn.CONCAT("""",VLOOKUP(E165,'Index Web'!A$4:L$253,5,FALSE),"""")</f>
        <v>"Liturgia"</v>
      </c>
      <c r="P165" t="s">
        <v>944</v>
      </c>
      <c r="Q165" t="str">
        <f>_xlfn.CONCAT("[",VLOOKUP(E165,'Index Web'!A$4:N$253,14,FALSE),"]")</f>
        <v>[""]</v>
      </c>
      <c r="R165" t="s">
        <v>945</v>
      </c>
      <c r="S165" t="str">
        <f>_xlfn.CONCAT("""/src/index.html?canto=",VLOOKUP(E165,'Index Web'!A$4:N$253,13,FALSE),""", ")</f>
        <v xml:space="preserve">"/src/index.html?canto=plegariaeucaristicaiimodeloi", </v>
      </c>
      <c r="T165" t="str">
        <f>T164</f>
        <v xml:space="preserve">visible: "", </v>
      </c>
      <c r="U165" t="str">
        <f>_xlfn.CONCAT("cejilla: """,C165,""", ")</f>
        <v xml:space="preserve">cejilla: "", </v>
      </c>
      <c r="V165" t="str">
        <f>_xlfn.CONCAT("acorde: """,D165,""", ")</f>
        <v xml:space="preserve">acorde: "Sol", </v>
      </c>
      <c r="W165" t="s">
        <v>2012</v>
      </c>
      <c r="X165" t="s">
        <v>2013</v>
      </c>
      <c r="Y165" t="str">
        <f>_xlfn.CONCAT("""",VLOOKUP(E165,'Index Web'!A$4:O$253,15,FALSE)," ",VLOOKUP(E165,'Index Web'!A$4:O$253,13,FALSE),"""","},")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Z165" t="str">
        <f>_xlfn.CONCAT(F165:Y165)</f>
        <v>{idi:163, id:"plegariaeucaristicaiimodeloi", title: "Plegaria eucarística ii Modelo I", subtitle: "Modelo I", category: "Liturgia", moments: [""], url: "/src/index.html?canto=plegariaeucaristicaiimodeloi", visible: "", cejilla: "", acorde: "Sol", scrollConfig: {"mobile": { "v": 25, "i": 1 },"tablet": { "v": 25, "i": 1 },"desktop": { "v": 7, "i": 1 },"desktopsmall": { "v": 7, "i": 1 }},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6" spans="2:26" x14ac:dyDescent="0.25">
      <c r="B166" s="52" t="s">
        <v>667</v>
      </c>
      <c r="C166" s="1" t="str">
        <f>IF(VLOOKUP(Table4[[#This Row],[Cantounido]],Table7[],3,FALSE)=0,"",VLOOKUP(Table4[[#This Row],[Cantounido]],Table7[],3,FALSE))</f>
        <v/>
      </c>
      <c r="D166" s="44" t="str">
        <f>IF(VLOOKUP(Table4[[#This Row],[Cantounido]],Table7[],4,FALSE)=0,"",VLOOKUP(Table4[[#This Row],[Cantounido]],Table7[],4,FALSE))</f>
        <v>La</v>
      </c>
      <c r="E166" s="27">
        <v>197</v>
      </c>
      <c r="F166" t="str">
        <f>F165</f>
        <v>{idi:</v>
      </c>
      <c r="G166" t="str">
        <f>_xlfn.CONCAT(VLOOKUP(E166,'Index Web'!A$4:L$253,2,FALSE),", ")</f>
        <v xml:space="preserve">164, </v>
      </c>
      <c r="H166" t="str">
        <f>H165</f>
        <v>id:</v>
      </c>
      <c r="I166" t="str">
        <f>_xlfn.CONCAT("""",VLOOKUP(E166,'Index Web'!A$4:O$253,13,FALSE),"""",", ")</f>
        <v xml:space="preserve">"plegariaeucaristicaiimodeloii", </v>
      </c>
      <c r="J166" t="s">
        <v>2016</v>
      </c>
      <c r="K166" t="str">
        <f>_xlfn.CONCAT("""",VLOOKUP(E166,'Index Web'!A$4:L$253,3,FALSE),"""")</f>
        <v>"Plegaria eucarística ii Modelo II"</v>
      </c>
      <c r="L166" t="s">
        <v>942</v>
      </c>
      <c r="M166" t="str">
        <f>_xlfn.CONCAT("""",VLOOKUP(E166,'Index Web'!A$4:L$253,4,FALSE),"""")</f>
        <v>"Modelo II (1987)"</v>
      </c>
      <c r="N166" t="s">
        <v>943</v>
      </c>
      <c r="O166" t="str">
        <f>_xlfn.CONCAT("""",VLOOKUP(E166,'Index Web'!A$4:L$253,5,FALSE),"""")</f>
        <v>"Liturgia"</v>
      </c>
      <c r="P166" t="s">
        <v>944</v>
      </c>
      <c r="Q166" t="str">
        <f>_xlfn.CONCAT("[",VLOOKUP(E166,'Index Web'!A$4:N$253,14,FALSE),"]")</f>
        <v>[""]</v>
      </c>
      <c r="R166" t="s">
        <v>945</v>
      </c>
      <c r="S166" t="str">
        <f>_xlfn.CONCAT("""/src/index.html?canto=",VLOOKUP(E166,'Index Web'!A$4:N$253,13,FALSE),""", ")</f>
        <v xml:space="preserve">"/src/index.html?canto=plegariaeucaristicaiimodeloii", </v>
      </c>
      <c r="T166" t="str">
        <f>T165</f>
        <v xml:space="preserve">visible: "", </v>
      </c>
      <c r="U166" t="str">
        <f>_xlfn.CONCAT("cejilla: """,C166,""", ")</f>
        <v xml:space="preserve">cejilla: "", </v>
      </c>
      <c r="V166" t="str">
        <f>_xlfn.CONCAT("acorde: """,D166,""", ")</f>
        <v xml:space="preserve">acorde: "La", </v>
      </c>
      <c r="W166" t="s">
        <v>2012</v>
      </c>
      <c r="X166" t="s">
        <v>2013</v>
      </c>
      <c r="Y166" t="str">
        <f>_xlfn.CONCAT("""",VLOOKUP(E166,'Index Web'!A$4:O$253,15,FALSE)," ",VLOOKUP(E166,'Index Web'!A$4:O$253,13,FALSE),"""","},")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Z166" t="str">
        <f>_xlfn.CONCAT(F166:Y166)</f>
        <v>{idi:164, id:"plegariaeucaristicaiimodeloii", title: "Plegaria eucarística ii Modelo II", subtitle: "Modelo II (1987)", category: "Liturgia", moments: [""], url: "/src/index.html?canto=plegariaeucaristicaiimodeloii", visible: "", cejilla: "", acorde: "La", scrollConfig: {"mobile": { "v": 25, "i": 1 },"tablet": { "v": 25, "i": 1 },"desktop": { "v": 7, "i": 1 },"desktopsmall": { "v": 7, "i": 1 }},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7" spans="2:26" x14ac:dyDescent="0.25">
      <c r="B167" s="54" t="s">
        <v>668</v>
      </c>
      <c r="C167" s="1" t="str">
        <f>IF(VLOOKUP(Table4[[#This Row],[Cantounido]],Table7[],3,FALSE)=0,"",VLOOKUP(Table4[[#This Row],[Cantounido]],Table7[],3,FALSE))</f>
        <v/>
      </c>
      <c r="D167" s="44" t="str">
        <f>IF(VLOOKUP(Table4[[#This Row],[Cantounido]],Table7[],4,FALSE)=0,"",VLOOKUP(Table4[[#This Row],[Cantounido]],Table7[],4,FALSE))</f>
        <v>Sol</v>
      </c>
      <c r="E167" s="29">
        <v>200</v>
      </c>
      <c r="F167" t="str">
        <f>F166</f>
        <v>{idi:</v>
      </c>
      <c r="G167" t="str">
        <f>_xlfn.CONCAT(VLOOKUP(E167,'Index Web'!A$4:L$253,2,FALSE),", ")</f>
        <v xml:space="preserve">165, </v>
      </c>
      <c r="H167" t="str">
        <f>H166</f>
        <v>id:</v>
      </c>
      <c r="I167" t="str">
        <f>_xlfn.CONCAT("""",VLOOKUP(E167,'Index Web'!A$4:O$253,13,FALSE),"""",", ")</f>
        <v xml:space="preserve">"plegariaeucaristicaiv", </v>
      </c>
      <c r="J167" t="s">
        <v>2016</v>
      </c>
      <c r="K167" t="str">
        <f>_xlfn.CONCAT("""",VLOOKUP(E167,'Index Web'!A$4:L$253,3,FALSE),"""")</f>
        <v>"Plegaria eucarística iv "</v>
      </c>
      <c r="L167" t="s">
        <v>942</v>
      </c>
      <c r="M167" t="str">
        <f>_xlfn.CONCAT("""",VLOOKUP(E167,'Index Web'!A$4:L$253,4,FALSE),"""")</f>
        <v>"(1988)"</v>
      </c>
      <c r="N167" t="s">
        <v>943</v>
      </c>
      <c r="O167" t="str">
        <f>_xlfn.CONCAT("""",VLOOKUP(E167,'Index Web'!A$4:L$253,5,FALSE),"""")</f>
        <v>"Liturgia"</v>
      </c>
      <c r="P167" t="s">
        <v>944</v>
      </c>
      <c r="Q167" t="str">
        <f>_xlfn.CONCAT("[",VLOOKUP(E167,'Index Web'!A$4:N$253,14,FALSE),"]")</f>
        <v>[""]</v>
      </c>
      <c r="R167" t="s">
        <v>945</v>
      </c>
      <c r="S167" t="str">
        <f>_xlfn.CONCAT("""/src/index.html?canto=",VLOOKUP(E167,'Index Web'!A$4:N$253,13,FALSE),""", ")</f>
        <v xml:space="preserve">"/src/index.html?canto=plegariaeucaristicaiv", </v>
      </c>
      <c r="T167" t="str">
        <f>T166</f>
        <v xml:space="preserve">visible: "", </v>
      </c>
      <c r="U167" t="str">
        <f>_xlfn.CONCAT("cejilla: """,C167,""", ")</f>
        <v xml:space="preserve">cejilla: "", </v>
      </c>
      <c r="V167" t="str">
        <f>_xlfn.CONCAT("acorde: """,D167,""", ")</f>
        <v xml:space="preserve">acorde: "Sol", </v>
      </c>
      <c r="W167" t="s">
        <v>2012</v>
      </c>
      <c r="X167" t="s">
        <v>2013</v>
      </c>
      <c r="Y167" t="str">
        <f>_xlfn.CONCAT("""",VLOOKUP(E167,'Index Web'!A$4:O$253,15,FALSE)," ",VLOOKUP(E167,'Index Web'!A$4:O$253,13,FALSE),"""","},")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Z167" t="str">
        <f>_xlfn.CONCAT(F167:Y167)</f>
        <v>{idi:165, id:"plegariaeucaristicaiv", title: "Plegaria eucarística iv ", subtitle: "(1988)", category: "Liturgia", moments: [""], url: "/src/index.html?canto=plegariaeucaristicaiv", visible: "", cejilla: "", acorde: "Sol", scrollConfig: {"mobile": { "v": 25, "i": 1 },"tablet": { "v": 25, "i": 1 },"desktop": { "v": 7, "i": 1 },"desktopsmall": { "v": 7, "i": 1 }},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8" spans="2:26" x14ac:dyDescent="0.25">
      <c r="B168" s="51" t="s">
        <v>608</v>
      </c>
      <c r="C168" s="1">
        <f>IF(VLOOKUP(Table4[[#This Row],[Cantounido]],Table7[],3,FALSE)=0,"",VLOOKUP(Table4[[#This Row],[Cantounido]],Table7[],3,FALSE))</f>
        <v>3</v>
      </c>
      <c r="D168" s="44" t="str">
        <f>IF(VLOOKUP(Table4[[#This Row],[Cantounido]],Table7[],4,FALSE)=0,"",VLOOKUP(Table4[[#This Row],[Cantounido]],Table7[],4,FALSE))</f>
        <v>Mi</v>
      </c>
      <c r="E168" s="26">
        <v>132</v>
      </c>
      <c r="F168" t="str">
        <f>F167</f>
        <v>{idi:</v>
      </c>
      <c r="G168" t="str">
        <f>_xlfn.CONCAT(VLOOKUP(E168,'Index Web'!A$4:L$253,2,FALSE),", ")</f>
        <v xml:space="preserve">166, </v>
      </c>
      <c r="H168" t="str">
        <f>H167</f>
        <v>id:</v>
      </c>
      <c r="I168" t="str">
        <f>_xlfn.CONCAT("""",VLOOKUP(E168,'Index Web'!A$4:O$253,13,FALSE),"""",", ")</f>
        <v xml:space="preserve">"porelamordemisamigos", </v>
      </c>
      <c r="J168" t="s">
        <v>2016</v>
      </c>
      <c r="K168" t="str">
        <f>_xlfn.CONCAT("""",VLOOKUP(E168,'Index Web'!A$4:L$253,3,FALSE),"""")</f>
        <v>"Por el amor de mis amigos"</v>
      </c>
      <c r="L168" t="s">
        <v>942</v>
      </c>
      <c r="M168" t="str">
        <f>_xlfn.CONCAT("""",VLOOKUP(E168,'Index Web'!A$4:L$253,4,FALSE),"""")</f>
        <v>"Salmo 122 (121) - Melodía hebraica "</v>
      </c>
      <c r="N168" t="s">
        <v>943</v>
      </c>
      <c r="O168" t="str">
        <f>_xlfn.CONCAT("""",VLOOKUP(E168,'Index Web'!A$4:L$253,5,FALSE),"""")</f>
        <v>"Precatecumenado"</v>
      </c>
      <c r="P168" t="s">
        <v>944</v>
      </c>
      <c r="Q168" t="str">
        <f>_xlfn.CONCAT("[",VLOOKUP(E168,'Index Web'!A$4:N$253,14,FALSE),"]")</f>
        <v>["Paz","Antiguo Testamento"]</v>
      </c>
      <c r="R168" t="s">
        <v>945</v>
      </c>
      <c r="S168" t="str">
        <f>_xlfn.CONCAT("""/src/index.html?canto=",VLOOKUP(E168,'Index Web'!A$4:N$253,13,FALSE),""", ")</f>
        <v xml:space="preserve">"/src/index.html?canto=porelamordemisamigos", </v>
      </c>
      <c r="T168" t="str">
        <f>T167</f>
        <v xml:space="preserve">visible: "", </v>
      </c>
      <c r="U168" t="str">
        <f>_xlfn.CONCAT("cejilla: """,C168,""", ")</f>
        <v xml:space="preserve">cejilla: "3", </v>
      </c>
      <c r="V168" t="str">
        <f>_xlfn.CONCAT("acorde: """,D168,""", ")</f>
        <v xml:space="preserve">acorde: "Mi", </v>
      </c>
      <c r="W168" t="s">
        <v>2012</v>
      </c>
      <c r="X168" t="s">
        <v>2013</v>
      </c>
      <c r="Y168" t="str">
        <f>_xlfn.CONCAT("""",VLOOKUP(E168,'Index Web'!A$4:O$253,15,FALSE)," ",VLOOKUP(E168,'Index Web'!A$4:O$253,13,FALSE),"""","},")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Z168" t="str">
        <f>_xlfn.CONCAT(F168:Y168)</f>
        <v>{idi:166, id:"porelamordemisamigos", title: "Por el amor de mis amigos", subtitle: "Salmo 122 (121) - Melodía hebraica ", category: "Precatecumenado", moments: ["Paz","Antiguo Testamento"], url: "/src/index.html?canto=porelamordemisamigos", visible: "", cejilla: "3", acorde: "Mi", scrollConfig: {"mobile": { "v": 25, "i": 1 },"tablet": { "v": 25, "i": 1 },"desktop": { "v": 7, "i": 1 },"desktopsmall": { "v": 7, "i": 1 }},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9" spans="2:26" x14ac:dyDescent="0.25">
      <c r="B169" s="50" t="s">
        <v>609</v>
      </c>
      <c r="C169" s="1">
        <f>IF(VLOOKUP(Table4[[#This Row],[Cantounido]],Table7[],3,FALSE)=0,"",VLOOKUP(Table4[[#This Row],[Cantounido]],Table7[],3,FALSE))</f>
        <v>5</v>
      </c>
      <c r="D169" s="44" t="str">
        <f>IF(VLOOKUP(Table4[[#This Row],[Cantounido]],Table7[],4,FALSE)=0,"",VLOOKUP(Table4[[#This Row],[Cantounido]],Table7[],4,FALSE))</f>
        <v>La</v>
      </c>
      <c r="E169" s="25">
        <v>133</v>
      </c>
      <c r="F169" t="str">
        <f>F168</f>
        <v>{idi:</v>
      </c>
      <c r="G169" t="str">
        <f>_xlfn.CONCAT(VLOOKUP(E169,'Index Web'!A$4:L$253,2,FALSE),", ")</f>
        <v xml:space="preserve">167, </v>
      </c>
      <c r="H169" t="str">
        <f>H168</f>
        <v>id:</v>
      </c>
      <c r="I169" t="str">
        <f>_xlfn.CONCAT("""",VLOOKUP(E169,'Index Web'!A$4:O$253,13,FALSE),"""",", ")</f>
        <v xml:space="preserve">"porqueestanocheesdiferente", </v>
      </c>
      <c r="J169" t="s">
        <v>2016</v>
      </c>
      <c r="K169" t="str">
        <f>_xlfn.CONCAT("""",VLOOKUP(E169,'Index Web'!A$4:L$253,3,FALSE),"""")</f>
        <v>"Por qué esta noche es diferente"</v>
      </c>
      <c r="L169" t="s">
        <v>942</v>
      </c>
      <c r="M169" t="str">
        <f>_xlfn.CONCAT("""",VLOOKUP(E169,'Index Web'!A$4:L$253,4,FALSE),"""")</f>
        <v>"Haggadá de Pesaj - Melodía hebraica"</v>
      </c>
      <c r="N169" t="s">
        <v>943</v>
      </c>
      <c r="O169" t="str">
        <f>_xlfn.CONCAT("""",VLOOKUP(E169,'Index Web'!A$4:L$253,5,FALSE),"""")</f>
        <v>"Precatecumenado"</v>
      </c>
      <c r="P169" t="s">
        <v>944</v>
      </c>
      <c r="Q169" t="str">
        <f>_xlfn.CONCAT("[",VLOOKUP(E169,'Index Web'!A$4:N$253,14,FALSE),"]")</f>
        <v>["Pascua","Pentecostés","Niños"]</v>
      </c>
      <c r="R169" t="s">
        <v>945</v>
      </c>
      <c r="S169" t="str">
        <f>_xlfn.CONCAT("""/src/index.html?canto=",VLOOKUP(E169,'Index Web'!A$4:N$253,13,FALSE),""", ")</f>
        <v xml:space="preserve">"/src/index.html?canto=porqueestanocheesdiferente", </v>
      </c>
      <c r="T169" t="str">
        <f>T168</f>
        <v xml:space="preserve">visible: "", </v>
      </c>
      <c r="U169" t="str">
        <f>_xlfn.CONCAT("cejilla: """,C169,""", ")</f>
        <v xml:space="preserve">cejilla: "5", </v>
      </c>
      <c r="V169" t="str">
        <f>_xlfn.CONCAT("acorde: """,D169,""", ")</f>
        <v xml:space="preserve">acorde: "La", </v>
      </c>
      <c r="W169" t="s">
        <v>2012</v>
      </c>
      <c r="X169" t="s">
        <v>2013</v>
      </c>
      <c r="Y169" t="str">
        <f>_xlfn.CONCAT("""",VLOOKUP(E169,'Index Web'!A$4:O$253,15,FALSE)," ",VLOOKUP(E169,'Index Web'!A$4:O$253,13,FALSE),"""","},")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Z169" t="str">
        <f>_xlfn.CONCAT(F169:Y169)</f>
        <v>{idi:167, id:"porqueestanocheesdiferente", title: "Por qué esta noche es diferente", subtitle: "Haggadá de Pesaj - Melodía hebraica", category: "Precatecumenado", moments: ["Pascua","Pentecostés","Niños"], url: "/src/index.html?canto=porqueestanocheesdiferente", visible: "", cejilla: "5", acorde: "La", scrollConfig: {"mobile": { "v": 25, "i": 1 },"tablet": { "v": 25, "i": 1 },"desktop": { "v": 7, "i": 1 },"desktopsmall": { "v": 7, "i": 1 }},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70" spans="2:26" x14ac:dyDescent="0.25">
      <c r="B170" s="51" t="s">
        <v>610</v>
      </c>
      <c r="C170" s="1" t="str">
        <f>IF(VLOOKUP(Table4[[#This Row],[Cantounido]],Table7[],3,FALSE)=0,"",VLOOKUP(Table4[[#This Row],[Cantounido]],Table7[],3,FALSE))</f>
        <v/>
      </c>
      <c r="D170" s="44" t="str">
        <f>IF(VLOOKUP(Table4[[#This Row],[Cantounido]],Table7[],4,FALSE)=0,"",VLOOKUP(Table4[[#This Row],[Cantounido]],Table7[],4,FALSE))</f>
        <v>Mi</v>
      </c>
      <c r="E170" s="26">
        <v>134</v>
      </c>
      <c r="F170" t="str">
        <f>F169</f>
        <v>{idi:</v>
      </c>
      <c r="G170" t="str">
        <f>_xlfn.CONCAT(VLOOKUP(E170,'Index Web'!A$4:L$253,2,FALSE),", ")</f>
        <v xml:space="preserve">168, </v>
      </c>
      <c r="H170" t="str">
        <f>H169</f>
        <v>id:</v>
      </c>
      <c r="I170" t="str">
        <f>_xlfn.CONCAT("""",VLOOKUP(E170,'Index Web'!A$4:O$253,13,FALSE),"""",", ")</f>
        <v xml:space="preserve">"porquelasgentesconjuran", </v>
      </c>
      <c r="J170" t="s">
        <v>2016</v>
      </c>
      <c r="K170" t="str">
        <f>_xlfn.CONCAT("""",VLOOKUP(E170,'Index Web'!A$4:L$253,3,FALSE),"""")</f>
        <v>"Por qué las gentes conjuran"</v>
      </c>
      <c r="L170" t="s">
        <v>942</v>
      </c>
      <c r="M170" t="str">
        <f>_xlfn.CONCAT("""",VLOOKUP(E170,'Index Web'!A$4:L$253,4,FALSE),"""")</f>
        <v>"Salmo 2"</v>
      </c>
      <c r="N170" t="s">
        <v>943</v>
      </c>
      <c r="O170" t="str">
        <f>_xlfn.CONCAT("""",VLOOKUP(E170,'Index Web'!A$4:L$253,5,FALSE),"""")</f>
        <v>"Precatecumenado"</v>
      </c>
      <c r="P170" t="s">
        <v>944</v>
      </c>
      <c r="Q170" t="str">
        <f>_xlfn.CONCAT("[",VLOOKUP(E170,'Index Web'!A$4:N$253,14,FALSE),"]")</f>
        <v>["Cuaresma","Antiguo Testamento"]</v>
      </c>
      <c r="R170" t="s">
        <v>945</v>
      </c>
      <c r="S170" t="str">
        <f>_xlfn.CONCAT("""/src/index.html?canto=",VLOOKUP(E170,'Index Web'!A$4:N$253,13,FALSE),""", ")</f>
        <v xml:space="preserve">"/src/index.html?canto=porquelasgentesconjuran", </v>
      </c>
      <c r="T170" t="str">
        <f>T169</f>
        <v xml:space="preserve">visible: "", </v>
      </c>
      <c r="U170" t="str">
        <f>_xlfn.CONCAT("cejilla: """,C170,""", ")</f>
        <v xml:space="preserve">cejilla: "", </v>
      </c>
      <c r="V170" t="str">
        <f>_xlfn.CONCAT("acorde: """,D170,""", ")</f>
        <v xml:space="preserve">acorde: "Mi", </v>
      </c>
      <c r="W170" t="s">
        <v>2012</v>
      </c>
      <c r="X170" t="s">
        <v>2013</v>
      </c>
      <c r="Y170" t="str">
        <f>_xlfn.CONCAT("""",VLOOKUP(E170,'Index Web'!A$4:O$253,15,FALSE)," ",VLOOKUP(E170,'Index Web'!A$4:O$253,13,FALSE),"""","},")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Z170" t="str">
        <f>_xlfn.CONCAT(F170:Y170)</f>
        <v>{idi:168, id:"porquelasgentesconjuran", title: "Por qué las gentes conjuran", subtitle: "Salmo 2", category: "Precatecumenado", moments: ["Cuaresma","Antiguo Testamento"], url: "/src/index.html?canto=porquelasgentesconjuran", visible: "", cejilla: "", acorde: "Mi", scrollConfig: {"mobile": { "v": 25, "i": 1 },"tablet": { "v": 25, "i": 1 },"desktop": { "v": 7, "i": 1 },"desktopsmall": { "v": 7, "i": 1 }},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1" spans="2:26" x14ac:dyDescent="0.25">
      <c r="B171" s="50" t="s">
        <v>611</v>
      </c>
      <c r="C171" s="1">
        <f>IF(VLOOKUP(Table4[[#This Row],[Cantounido]],Table7[],3,FALSE)=0,"",VLOOKUP(Table4[[#This Row],[Cantounido]],Table7[],3,FALSE))</f>
        <v>3</v>
      </c>
      <c r="D171" s="44" t="str">
        <f>IF(VLOOKUP(Table4[[#This Row],[Cantounido]],Table7[],4,FALSE)=0,"",VLOOKUP(Table4[[#This Row],[Cantounido]],Table7[],4,FALSE))</f>
        <v>Do</v>
      </c>
      <c r="E171" s="25">
        <v>135</v>
      </c>
      <c r="F171" t="str">
        <f>F170</f>
        <v>{idi:</v>
      </c>
      <c r="G171" t="str">
        <f>_xlfn.CONCAT(VLOOKUP(E171,'Index Web'!A$4:L$253,2,FALSE),", ")</f>
        <v xml:space="preserve">169, </v>
      </c>
      <c r="H171" t="str">
        <f>H170</f>
        <v>id:</v>
      </c>
      <c r="I171" t="str">
        <f>_xlfn.CONCAT("""",VLOOKUP(E171,'Index Web'!A$4:O$253,13,FALSE),"""",", ")</f>
        <v xml:space="preserve">"porquemiyugoessuave", </v>
      </c>
      <c r="J171" t="s">
        <v>2016</v>
      </c>
      <c r="K171" t="str">
        <f>_xlfn.CONCAT("""",VLOOKUP(E171,'Index Web'!A$4:L$253,3,FALSE),"""")</f>
        <v>"Porque mi yugo es suave"</v>
      </c>
      <c r="L171" t="s">
        <v>942</v>
      </c>
      <c r="M171" t="str">
        <f>_xlfn.CONCAT("""",VLOOKUP(E171,'Index Web'!A$4:L$253,4,FALSE),"""")</f>
        <v>"Mateo 11,28ss"</v>
      </c>
      <c r="N171" t="s">
        <v>943</v>
      </c>
      <c r="O171" t="str">
        <f>_xlfn.CONCAT("""",VLOOKUP(E171,'Index Web'!A$4:L$253,5,FALSE),"""")</f>
        <v>"Precatecumenado"</v>
      </c>
      <c r="P171" t="s">
        <v>944</v>
      </c>
      <c r="Q171" t="str">
        <f>_xlfn.CONCAT("[",VLOOKUP(E171,'Index Web'!A$4:N$253,14,FALSE),"]")</f>
        <v>["Cuaresma","Nuevo Testamento"]</v>
      </c>
      <c r="R171" t="s">
        <v>945</v>
      </c>
      <c r="S171" t="str">
        <f>_xlfn.CONCAT("""/src/index.html?canto=",VLOOKUP(E171,'Index Web'!A$4:N$253,13,FALSE),""", ")</f>
        <v xml:space="preserve">"/src/index.html?canto=porquemiyugoessuave", </v>
      </c>
      <c r="T171" t="str">
        <f>T170</f>
        <v xml:space="preserve">visible: "", </v>
      </c>
      <c r="U171" t="str">
        <f>_xlfn.CONCAT("cejilla: """,C171,""", ")</f>
        <v xml:space="preserve">cejilla: "3", </v>
      </c>
      <c r="V171" t="str">
        <f>_xlfn.CONCAT("acorde: """,D171,""", ")</f>
        <v xml:space="preserve">acorde: "Do", </v>
      </c>
      <c r="W171" t="s">
        <v>2012</v>
      </c>
      <c r="X171" t="s">
        <v>2013</v>
      </c>
      <c r="Y171" t="str">
        <f>_xlfn.CONCAT("""",VLOOKUP(E171,'Index Web'!A$4:O$253,15,FALSE)," ",VLOOKUP(E171,'Index Web'!A$4:O$253,13,FALSE),"""","},")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Z171" t="str">
        <f>_xlfn.CONCAT(F171:Y171)</f>
        <v>{idi:169, id:"porquemiyugoessuave", title: "Porque mi yugo es suave", subtitle: "Mateo 11,28ss", category: "Precatecumenado", moments: ["Cuaresma","Nuevo Testamento"], url: "/src/index.html?canto=porquemiyugoessuave", visible: "", cejilla: "3", acorde: "Do", scrollConfig: {"mobile": { "v": 25, "i": 1 },"tablet": { "v": 25, "i": 1 },"desktop": { "v": 7, "i": 1 },"desktopsmall": { "v": 7, "i": 1 }},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2" spans="2:26" x14ac:dyDescent="0.25">
      <c r="B172" s="52" t="s">
        <v>669</v>
      </c>
      <c r="C172" s="1" t="str">
        <f>IF(VLOOKUP(Table4[[#This Row],[Cantounido]],Table7[],3,FALSE)=0,"",VLOOKUP(Table4[[#This Row],[Cantounido]],Table7[],3,FALSE))</f>
        <v/>
      </c>
      <c r="D172" s="44" t="str">
        <f>IF(VLOOKUP(Table4[[#This Row],[Cantounido]],Table7[],4,FALSE)=0,"",VLOOKUP(Table4[[#This Row],[Cantounido]],Table7[],4,FALSE))</f>
        <v>Sol</v>
      </c>
      <c r="E172" s="27">
        <v>204</v>
      </c>
      <c r="F172" t="str">
        <f>F171</f>
        <v>{idi:</v>
      </c>
      <c r="G172" t="str">
        <f>_xlfn.CONCAT(VLOOKUP(E172,'Index Web'!A$4:L$253,2,FALSE),", ")</f>
        <v xml:space="preserve">170, </v>
      </c>
      <c r="H172" t="str">
        <f>H171</f>
        <v>id:</v>
      </c>
      <c r="I172" t="str">
        <f>_xlfn.CONCAT("""",VLOOKUP(E172,'Index Web'!A$4:O$253,13,FALSE),"""",", ")</f>
        <v xml:space="preserve">"prefacioparaadvientoynavidad", </v>
      </c>
      <c r="J172" t="s">
        <v>2016</v>
      </c>
      <c r="K172" t="str">
        <f>_xlfn.CONCAT("""",VLOOKUP(E172,'Index Web'!A$4:L$253,3,FALSE),"""")</f>
        <v>"Prefacio para Adviento y Navidad"</v>
      </c>
      <c r="L172" t="s">
        <v>942</v>
      </c>
      <c r="M172" t="str">
        <f>_xlfn.CONCAT("""",VLOOKUP(E172,'Index Web'!A$4:L$253,4,FALSE),"""")</f>
        <v>"Prefacio IV de Adviento*"</v>
      </c>
      <c r="N172" t="s">
        <v>943</v>
      </c>
      <c r="O172" t="str">
        <f>_xlfn.CONCAT("""",VLOOKUP(E172,'Index Web'!A$4:L$253,5,FALSE),"""")</f>
        <v>"Liturgia"</v>
      </c>
      <c r="P172" t="s">
        <v>944</v>
      </c>
      <c r="Q172" t="str">
        <f>_xlfn.CONCAT("[",VLOOKUP(E172,'Index Web'!A$4:N$253,14,FALSE),"]")</f>
        <v>["Adviento","Navidad"]</v>
      </c>
      <c r="R172" t="s">
        <v>945</v>
      </c>
      <c r="S172" t="str">
        <f>_xlfn.CONCAT("""/src/index.html?canto=",VLOOKUP(E172,'Index Web'!A$4:N$253,13,FALSE),""", ")</f>
        <v xml:space="preserve">"/src/index.html?canto=prefacioparaadvientoynavidad", </v>
      </c>
      <c r="T172" t="str">
        <f>T171</f>
        <v xml:space="preserve">visible: "", </v>
      </c>
      <c r="U172" t="str">
        <f>_xlfn.CONCAT("cejilla: """,C172,""", ")</f>
        <v xml:space="preserve">cejilla: "", </v>
      </c>
      <c r="V172" t="str">
        <f>_xlfn.CONCAT("acorde: """,D172,""", ")</f>
        <v xml:space="preserve">acorde: "Sol", </v>
      </c>
      <c r="W172" t="s">
        <v>2012</v>
      </c>
      <c r="X172" t="s">
        <v>2013</v>
      </c>
      <c r="Y172" t="str">
        <f>_xlfn.CONCAT("""",VLOOKUP(E172,'Index Web'!A$4:O$253,15,FALSE)," ",VLOOKUP(E172,'Index Web'!A$4:O$253,13,FALSE),"""","},")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Z172" t="str">
        <f>_xlfn.CONCAT(F172:Y172)</f>
        <v>{idi:170, id:"prefacioparaadvientoynavidad", title: "Prefacio para Adviento y Navidad", subtitle: "Prefacio IV de Adviento*", category: "Liturgia", moments: ["Adviento","Navidad"], url: "/src/index.html?canto=prefacioparaadvientoynavidad", visible: "", cejilla: "", acorde: "Sol", scrollConfig: {"mobile": { "v": 25, "i": 1 },"tablet": { "v": 25, "i": 1 },"desktop": { "v": 7, "i": 1 },"desktopsmall": { "v": 7, "i": 1 }},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3" spans="2:26" x14ac:dyDescent="0.25">
      <c r="B173" s="54" t="s">
        <v>670</v>
      </c>
      <c r="C173" s="1" t="str">
        <f>IF(VLOOKUP(Table4[[#This Row],[Cantounido]],Table7[],3,FALSE)=0,"",VLOOKUP(Table4[[#This Row],[Cantounido]],Table7[],3,FALSE))</f>
        <v/>
      </c>
      <c r="D173" s="44" t="str">
        <f>IF(VLOOKUP(Table4[[#This Row],[Cantounido]],Table7[],4,FALSE)=0,"",VLOOKUP(Table4[[#This Row],[Cantounido]],Table7[],4,FALSE))</f>
        <v>Sol</v>
      </c>
      <c r="E173" s="29">
        <v>205</v>
      </c>
      <c r="F173" t="str">
        <f>F172</f>
        <v>{idi:</v>
      </c>
      <c r="G173" t="str">
        <f>_xlfn.CONCAT(VLOOKUP(E173,'Index Web'!A$4:L$253,2,FALSE),", ")</f>
        <v xml:space="preserve">171, </v>
      </c>
      <c r="H173" t="str">
        <f>H172</f>
        <v>id:</v>
      </c>
      <c r="I173" t="str">
        <f>_xlfn.CONCAT("""",VLOOKUP(E173,'Index Web'!A$4:O$253,13,FALSE),"""",", ")</f>
        <v xml:space="preserve">"prefacioparaeltiempopascual", </v>
      </c>
      <c r="J173" t="s">
        <v>2016</v>
      </c>
      <c r="K173" t="str">
        <f>_xlfn.CONCAT("""",VLOOKUP(E173,'Index Web'!A$4:L$253,3,FALSE),"""")</f>
        <v>"Prefacio para el tiempo Pascual"</v>
      </c>
      <c r="L173" t="s">
        <v>942</v>
      </c>
      <c r="M173" t="str">
        <f>_xlfn.CONCAT("""",VLOOKUP(E173,'Index Web'!A$4:L$253,4,FALSE),"""")</f>
        <v>"Prefacio I de Pascua*"</v>
      </c>
      <c r="N173" t="s">
        <v>943</v>
      </c>
      <c r="O173" t="str">
        <f>_xlfn.CONCAT("""",VLOOKUP(E173,'Index Web'!A$4:L$253,5,FALSE),"""")</f>
        <v>"Liturgia"</v>
      </c>
      <c r="P173" t="s">
        <v>944</v>
      </c>
      <c r="Q173" t="str">
        <f>_xlfn.CONCAT("[",VLOOKUP(E173,'Index Web'!A$4:N$253,14,FALSE),"]")</f>
        <v>["Pascua"]</v>
      </c>
      <c r="R173" t="s">
        <v>945</v>
      </c>
      <c r="S173" t="str">
        <f>_xlfn.CONCAT("""/src/index.html?canto=",VLOOKUP(E173,'Index Web'!A$4:N$253,13,FALSE),""", ")</f>
        <v xml:space="preserve">"/src/index.html?canto=prefacioparaeltiempopascual", </v>
      </c>
      <c r="T173" t="str">
        <f>T172</f>
        <v xml:space="preserve">visible: "", </v>
      </c>
      <c r="U173" t="str">
        <f>_xlfn.CONCAT("cejilla: """,C173,""", ")</f>
        <v xml:space="preserve">cejilla: "", </v>
      </c>
      <c r="V173" t="str">
        <f>_xlfn.CONCAT("acorde: """,D173,""", ")</f>
        <v xml:space="preserve">acorde: "Sol", </v>
      </c>
      <c r="W173" t="s">
        <v>2012</v>
      </c>
      <c r="X173" t="s">
        <v>2013</v>
      </c>
      <c r="Y173" t="str">
        <f>_xlfn.CONCAT("""",VLOOKUP(E173,'Index Web'!A$4:O$253,15,FALSE)," ",VLOOKUP(E173,'Index Web'!A$4:O$253,13,FALSE),"""","},")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Z173" t="str">
        <f>_xlfn.CONCAT(F173:Y173)</f>
        <v>{idi:171, id:"prefacioparaeltiempopascual", title: "Prefacio para el tiempo Pascual", subtitle: "Prefacio I de Pascua*", category: "Liturgia", moments: ["Pascua"], url: "/src/index.html?canto=prefacioparaeltiempopascual", visible: "", cejilla: "", acorde: "Sol", scrollConfig: {"mobile": { "v": 25, "i": 1 },"tablet": { "v": 25, "i": 1 },"desktop": { "v": 7, "i": 1 },"desktopsmall": { "v": 7, "i": 1 }},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4" spans="2:26" x14ac:dyDescent="0.25">
      <c r="B174" s="52" t="s">
        <v>671</v>
      </c>
      <c r="C174" s="1">
        <f>IF(VLOOKUP(Table4[[#This Row],[Cantounido]],Table7[],3,FALSE)=0,"",VLOOKUP(Table4[[#This Row],[Cantounido]],Table7[],3,FALSE))</f>
        <v>3</v>
      </c>
      <c r="D174" s="44" t="str">
        <f>IF(VLOOKUP(Table4[[#This Row],[Cantounido]],Table7[],4,FALSE)=0,"",VLOOKUP(Table4[[#This Row],[Cantounido]],Table7[],4,FALSE))</f>
        <v>La</v>
      </c>
      <c r="E174" s="27">
        <v>206</v>
      </c>
      <c r="F174" t="str">
        <f>F173</f>
        <v>{idi:</v>
      </c>
      <c r="G174" t="str">
        <f>_xlfn.CONCAT(VLOOKUP(E174,'Index Web'!A$4:L$253,2,FALSE),", ")</f>
        <v xml:space="preserve">172, </v>
      </c>
      <c r="H174" t="str">
        <f>H173</f>
        <v>id:</v>
      </c>
      <c r="I174" t="str">
        <f>_xlfn.CONCAT("""",VLOOKUP(E174,'Index Web'!A$4:O$253,13,FALSE),"""",", ")</f>
        <v xml:space="preserve">"pregonpascual", </v>
      </c>
      <c r="J174" t="s">
        <v>2016</v>
      </c>
      <c r="K174" t="str">
        <f>_xlfn.CONCAT("""",VLOOKUP(E174,'Index Web'!A$4:L$253,3,FALSE),"""")</f>
        <v>"Pregón Pascual"</v>
      </c>
      <c r="L174" t="s">
        <v>942</v>
      </c>
      <c r="M174" t="str">
        <f>_xlfn.CONCAT("""",VLOOKUP(E174,'Index Web'!A$4:L$253,4,FALSE),"""")</f>
        <v>"«Exsultet»"</v>
      </c>
      <c r="N174" t="s">
        <v>943</v>
      </c>
      <c r="O174" t="str">
        <f>_xlfn.CONCAT("""",VLOOKUP(E174,'Index Web'!A$4:L$253,5,FALSE),"""")</f>
        <v>"Liturgia"</v>
      </c>
      <c r="P174" t="s">
        <v>944</v>
      </c>
      <c r="Q174" t="str">
        <f>_xlfn.CONCAT("[",VLOOKUP(E174,'Index Web'!A$4:N$253,14,FALSE),"]")</f>
        <v>["Pascua"]</v>
      </c>
      <c r="R174" t="s">
        <v>945</v>
      </c>
      <c r="S174" t="str">
        <f>_xlfn.CONCAT("""/src/index.html?canto=",VLOOKUP(E174,'Index Web'!A$4:N$253,13,FALSE),""", ")</f>
        <v xml:space="preserve">"/src/index.html?canto=pregonpascual", </v>
      </c>
      <c r="T174" t="str">
        <f>T173</f>
        <v xml:space="preserve">visible: "", </v>
      </c>
      <c r="U174" t="str">
        <f>_xlfn.CONCAT("cejilla: """,C174,""", ")</f>
        <v xml:space="preserve">cejilla: "3", </v>
      </c>
      <c r="V174" t="str">
        <f>_xlfn.CONCAT("acorde: """,D174,""", ")</f>
        <v xml:space="preserve">acorde: "La", </v>
      </c>
      <c r="W174" t="s">
        <v>2012</v>
      </c>
      <c r="X174" t="s">
        <v>2013</v>
      </c>
      <c r="Y174" t="str">
        <f>_xlfn.CONCAT("""",VLOOKUP(E174,'Index Web'!A$4:O$253,15,FALSE)," ",VLOOKUP(E174,'Index Web'!A$4:O$253,13,FALSE),"""","},")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Z174" t="str">
        <f>_xlfn.CONCAT(F174:Y174)</f>
        <v>{idi:172, id:"pregonpascual", title: "Pregón Pascual", subtitle: "«Exsultet»", category: "Liturgia", moments: ["Pascua"], url: "/src/index.html?canto=pregonpascual", visible: "", cejilla: "3", acorde: "La", scrollConfig: {"mobile": { "v": 25, "i": 1 },"tablet": { "v": 25, "i": 1 },"desktop": { "v": 7, "i": 1 },"desktopsmall": { "v": 7, "i": 1 }},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5" spans="2:26" x14ac:dyDescent="0.25">
      <c r="B175" s="50" t="s">
        <v>612</v>
      </c>
      <c r="C175" s="1">
        <f>IF(VLOOKUP(Table4[[#This Row],[Cantounido]],Table7[],3,FALSE)=0,"",VLOOKUP(Table4[[#This Row],[Cantounido]],Table7[],3,FALSE))</f>
        <v>3</v>
      </c>
      <c r="D175" s="44" t="str">
        <f>IF(VLOOKUP(Table4[[#This Row],[Cantounido]],Table7[],4,FALSE)=0,"",VLOOKUP(Table4[[#This Row],[Cantounido]],Table7[],4,FALSE))</f>
        <v>Do</v>
      </c>
      <c r="E175" s="25">
        <v>136</v>
      </c>
      <c r="F175" t="str">
        <f>F174</f>
        <v>{idi:</v>
      </c>
      <c r="G175" t="str">
        <f>_xlfn.CONCAT(VLOOKUP(E175,'Index Web'!A$4:L$253,2,FALSE),", ")</f>
        <v xml:space="preserve">173, </v>
      </c>
      <c r="H175" t="str">
        <f>H174</f>
        <v>id:</v>
      </c>
      <c r="I175" t="str">
        <f>_xlfn.CONCAT("""",VLOOKUP(E175,'Index Web'!A$4:O$253,13,FALSE),"""",", ")</f>
        <v xml:space="preserve">"queamablessontusmoradas", </v>
      </c>
      <c r="J175" t="s">
        <v>2016</v>
      </c>
      <c r="K175" t="str">
        <f>_xlfn.CONCAT("""",VLOOKUP(E175,'Index Web'!A$4:L$253,3,FALSE),"""")</f>
        <v>"Qué amables son tus moradas"</v>
      </c>
      <c r="L175" t="s">
        <v>942</v>
      </c>
      <c r="M175" t="str">
        <f>_xlfn.CONCAT("""",VLOOKUP(E175,'Index Web'!A$4:L$253,4,FALSE),"""")</f>
        <v>"Salmo 84 (83)"</v>
      </c>
      <c r="N175" t="s">
        <v>943</v>
      </c>
      <c r="O175" t="str">
        <f>_xlfn.CONCAT("""",VLOOKUP(E175,'Index Web'!A$4:L$253,5,FALSE),"""")</f>
        <v>"Precatecumenado"</v>
      </c>
      <c r="P175" t="s">
        <v>944</v>
      </c>
      <c r="Q175" t="str">
        <f>_xlfn.CONCAT("[",VLOOKUP(E175,'Index Web'!A$4:N$253,14,FALSE),"]")</f>
        <v>["Cuaresma","Entrada","Antiguo Testamento"]</v>
      </c>
      <c r="R175" t="s">
        <v>945</v>
      </c>
      <c r="S175" t="str">
        <f>_xlfn.CONCAT("""/src/index.html?canto=",VLOOKUP(E175,'Index Web'!A$4:N$253,13,FALSE),""", ")</f>
        <v xml:space="preserve">"/src/index.html?canto=queamablessontusmoradas", </v>
      </c>
      <c r="T175" t="str">
        <f>T174</f>
        <v xml:space="preserve">visible: "", </v>
      </c>
      <c r="U175" t="str">
        <f>_xlfn.CONCAT("cejilla: """,C175,""", ")</f>
        <v xml:space="preserve">cejilla: "3", </v>
      </c>
      <c r="V175" t="str">
        <f>_xlfn.CONCAT("acorde: """,D175,""", ")</f>
        <v xml:space="preserve">acorde: "Do", </v>
      </c>
      <c r="W175" t="s">
        <v>2012</v>
      </c>
      <c r="X175" t="s">
        <v>2013</v>
      </c>
      <c r="Y175" t="str">
        <f>_xlfn.CONCAT("""",VLOOKUP(E175,'Index Web'!A$4:O$253,15,FALSE)," ",VLOOKUP(E175,'Index Web'!A$4:O$253,13,FALSE),"""","},")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Z175" t="str">
        <f>_xlfn.CONCAT(F175:Y175)</f>
        <v>{idi:173, id:"queamablessontusmoradas", title: "Qué amables son tus moradas", subtitle: "Salmo 84 (83)", category: "Precatecumenado", moments: ["Cuaresma","Entrada","Antiguo Testamento"], url: "/src/index.html?canto=queamablessontusmoradas", visible: "", cejilla: "3", acorde: "Do", scrollConfig: {"mobile": { "v": 25, "i": 1 },"tablet": { "v": 25, "i": 1 },"desktop": { "v": 7, "i": 1 },"desktopsmall": { "v": 7, "i": 1 }},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6" spans="2:26" x14ac:dyDescent="0.25">
      <c r="B176" s="51" t="s">
        <v>613</v>
      </c>
      <c r="C176" s="1" t="str">
        <f>IF(VLOOKUP(Table4[[#This Row],[Cantounido]],Table7[],3,FALSE)=0,"",VLOOKUP(Table4[[#This Row],[Cantounido]],Table7[],3,FALSE))</f>
        <v/>
      </c>
      <c r="D176" s="44" t="str">
        <f>IF(VLOOKUP(Table4[[#This Row],[Cantounido]],Table7[],4,FALSE)=0,"",VLOOKUP(Table4[[#This Row],[Cantounido]],Table7[],4,FALSE))</f>
        <v>La</v>
      </c>
      <c r="E176" s="26">
        <v>137</v>
      </c>
      <c r="F176" t="str">
        <f>F175</f>
        <v>{idi:</v>
      </c>
      <c r="G176" t="str">
        <f>_xlfn.CONCAT(VLOOKUP(E176,'Index Web'!A$4:L$253,2,FALSE),", ")</f>
        <v xml:space="preserve">174, </v>
      </c>
      <c r="H176" t="str">
        <f>H175</f>
        <v>id:</v>
      </c>
      <c r="I176" t="str">
        <f>_xlfn.CONCAT("""",VLOOKUP(E176,'Index Web'!A$4:O$253,13,FALSE),"""",", ")</f>
        <v xml:space="preserve">"queestupendoquealegria", </v>
      </c>
      <c r="J176" t="s">
        <v>2016</v>
      </c>
      <c r="K176" t="str">
        <f>_xlfn.CONCAT("""",VLOOKUP(E176,'Index Web'!A$4:L$253,3,FALSE),"""")</f>
        <v>"Qué estupendo, qué alegría "</v>
      </c>
      <c r="L176" t="s">
        <v>942</v>
      </c>
      <c r="M176" t="str">
        <f>_xlfn.CONCAT("""",VLOOKUP(E176,'Index Web'!A$4:L$253,4,FALSE),"""")</f>
        <v>"Salmo 133 (132)"</v>
      </c>
      <c r="N176" t="s">
        <v>943</v>
      </c>
      <c r="O176" t="str">
        <f>_xlfn.CONCAT("""",VLOOKUP(E176,'Index Web'!A$4:L$253,5,FALSE),"""")</f>
        <v>"Precatecumenado"</v>
      </c>
      <c r="P176" t="s">
        <v>944</v>
      </c>
      <c r="Q176" t="str">
        <f>_xlfn.CONCAT("[",VLOOKUP(E176,'Index Web'!A$4:N$253,14,FALSE),"]")</f>
        <v>["Antiguo Testamento","Paz"]</v>
      </c>
      <c r="R176" t="s">
        <v>945</v>
      </c>
      <c r="S176" t="str">
        <f>_xlfn.CONCAT("""/src/index.html?canto=",VLOOKUP(E176,'Index Web'!A$4:N$253,13,FALSE),""", ")</f>
        <v xml:space="preserve">"/src/index.html?canto=queestupendoquealegria", </v>
      </c>
      <c r="T176" t="str">
        <f>T175</f>
        <v xml:space="preserve">visible: "", </v>
      </c>
      <c r="U176" t="str">
        <f>_xlfn.CONCAT("cejilla: """,C176,""", ")</f>
        <v xml:space="preserve">cejilla: "", </v>
      </c>
      <c r="V176" t="str">
        <f>_xlfn.CONCAT("acorde: """,D176,""", ")</f>
        <v xml:space="preserve">acorde: "La", </v>
      </c>
      <c r="W176" t="s">
        <v>2012</v>
      </c>
      <c r="X176" t="s">
        <v>2013</v>
      </c>
      <c r="Y176" t="str">
        <f>_xlfn.CONCAT("""",VLOOKUP(E176,'Index Web'!A$4:O$253,15,FALSE)," ",VLOOKUP(E176,'Index Web'!A$4:O$253,13,FALSE),"""","},")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Z176" t="str">
        <f>_xlfn.CONCAT(F176:Y176)</f>
        <v>{idi:174, id:"queestupendoquealegria", title: "Qué estupendo, qué alegría ", subtitle: "Salmo 133 (132)", category: "Precatecumenado", moments: ["Antiguo Testamento","Paz"], url: "/src/index.html?canto=queestupendoquealegria", visible: "", cejilla: "", acorde: "La", scrollConfig: {"mobile": { "v": 25, "i": 1 },"tablet": { "v": 25, "i": 1 },"desktop": { "v": 7, "i": 1 },"desktopsmall": { "v": 7, "i": 1 }},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7" spans="2:26" x14ac:dyDescent="0.25">
      <c r="B177" s="50" t="s">
        <v>614</v>
      </c>
      <c r="C177" s="1">
        <f>IF(VLOOKUP(Table4[[#This Row],[Cantounido]],Table7[],3,FALSE)=0,"",VLOOKUP(Table4[[#This Row],[Cantounido]],Table7[],3,FALSE))</f>
        <v>3</v>
      </c>
      <c r="D177" s="44" t="str">
        <f>IF(VLOOKUP(Table4[[#This Row],[Cantounido]],Table7[],4,FALSE)=0,"",VLOOKUP(Table4[[#This Row],[Cantounido]],Table7[],4,FALSE))</f>
        <v>La</v>
      </c>
      <c r="E177" s="25">
        <v>138</v>
      </c>
      <c r="F177" t="str">
        <f>F176</f>
        <v>{idi:</v>
      </c>
      <c r="G177" t="str">
        <f>_xlfn.CONCAT(VLOOKUP(E177,'Index Web'!A$4:L$253,2,FALSE),", ")</f>
        <v xml:space="preserve">175, </v>
      </c>
      <c r="H177" t="str">
        <f>H176</f>
        <v>id:</v>
      </c>
      <c r="I177" t="str">
        <f>_xlfn.CONCAT("""",VLOOKUP(E177,'Index Web'!A$4:O$253,13,FALSE),"""",", ")</f>
        <v xml:space="preserve">"quienesestaquesubedeldesierto", </v>
      </c>
      <c r="J177" t="s">
        <v>2016</v>
      </c>
      <c r="K177" t="str">
        <f>_xlfn.CONCAT("""",VLOOKUP(E177,'Index Web'!A$4:L$253,3,FALSE),"""")</f>
        <v>"Quién es esta que sube del desierto"</v>
      </c>
      <c r="L177" t="s">
        <v>942</v>
      </c>
      <c r="M177" t="str">
        <f>_xlfn.CONCAT("""",VLOOKUP(E177,'Index Web'!A$4:L$253,4,FALSE),"""")</f>
        <v>"Cantar de los Cantares 8,5-7"</v>
      </c>
      <c r="N177" t="s">
        <v>943</v>
      </c>
      <c r="O177" t="str">
        <f>_xlfn.CONCAT("""",VLOOKUP(E177,'Index Web'!A$4:L$253,5,FALSE),"""")</f>
        <v>"Precatecumenado"</v>
      </c>
      <c r="P177" t="s">
        <v>944</v>
      </c>
      <c r="Q177" t="str">
        <f>_xlfn.CONCAT("[",VLOOKUP(E177,'Index Web'!A$4:N$253,14,FALSE),"]")</f>
        <v>["Pascua","Pentecostés","Comunión","Final","Antiguo Testamento"]</v>
      </c>
      <c r="R177" t="s">
        <v>945</v>
      </c>
      <c r="S177" t="str">
        <f>_xlfn.CONCAT("""/src/index.html?canto=",VLOOKUP(E177,'Index Web'!A$4:N$253,13,FALSE),""", ")</f>
        <v xml:space="preserve">"/src/index.html?canto=quienesestaquesubedeldesierto", </v>
      </c>
      <c r="T177" t="str">
        <f>T176</f>
        <v xml:space="preserve">visible: "", </v>
      </c>
      <c r="U177" t="str">
        <f>_xlfn.CONCAT("cejilla: """,C177,""", ")</f>
        <v xml:space="preserve">cejilla: "3", </v>
      </c>
      <c r="V177" t="str">
        <f>_xlfn.CONCAT("acorde: """,D177,""", ")</f>
        <v xml:space="preserve">acorde: "La", </v>
      </c>
      <c r="W177" t="s">
        <v>2012</v>
      </c>
      <c r="X177" t="s">
        <v>2013</v>
      </c>
      <c r="Y177" t="str">
        <f>_xlfn.CONCAT("""",VLOOKUP(E177,'Index Web'!A$4:O$253,15,FALSE)," ",VLOOKUP(E177,'Index Web'!A$4:O$253,13,FALSE),"""","},")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Z177" t="str">
        <f>_xlfn.CONCAT(F177:Y177)</f>
        <v>{idi:175, id:"quienesestaquesubedeldesierto", title: "Quién es esta que sube del desierto", subtitle: "Cantar de los Cantares 8,5-7", category: "Precatecumenado", moments: ["Pascua","Pentecostés","Comunión","Final","Antiguo Testamento"], url: "/src/index.html?canto=quienesestaquesubedeldesierto", visible: "", cejilla: "3", acorde: "La", scrollConfig: {"mobile": { "v": 25, "i": 1 },"tablet": { "v": 25, "i": 1 },"desktop": { "v": 7, "i": 1 },"desktopsmall": { "v": 7, "i": 1 }},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8" spans="2:26" x14ac:dyDescent="0.25">
      <c r="B178" s="51" t="s">
        <v>615</v>
      </c>
      <c r="C178" s="1" t="str">
        <f>IF(VLOOKUP(Table4[[#This Row],[Cantounido]],Table7[],3,FALSE)=0,"",VLOOKUP(Table4[[#This Row],[Cantounido]],Table7[],3,FALSE))</f>
        <v/>
      </c>
      <c r="D178" s="44" t="str">
        <f>IF(VLOOKUP(Table4[[#This Row],[Cantounido]],Table7[],4,FALSE)=0,"",VLOOKUP(Table4[[#This Row],[Cantounido]],Table7[],4,FALSE))</f>
        <v>La</v>
      </c>
      <c r="E178" s="26">
        <v>139</v>
      </c>
      <c r="F178" t="str">
        <f>F177</f>
        <v>{idi:</v>
      </c>
      <c r="G178" t="str">
        <f>_xlfn.CONCAT(VLOOKUP(E178,'Index Web'!A$4:L$253,2,FALSE),", ")</f>
        <v xml:space="preserve">176, </v>
      </c>
      <c r="H178" t="str">
        <f>H177</f>
        <v>id:</v>
      </c>
      <c r="I178" t="str">
        <f>_xlfn.CONCAT("""",VLOOKUP(E178,'Index Web'!A$4:O$253,13,FALSE),"""",", ")</f>
        <v xml:space="preserve">"quiennosseparara", </v>
      </c>
      <c r="J178" t="s">
        <v>2016</v>
      </c>
      <c r="K178" t="str">
        <f>_xlfn.CONCAT("""",VLOOKUP(E178,'Index Web'!A$4:L$253,3,FALSE),"""")</f>
        <v>"Quién nos separará"</v>
      </c>
      <c r="L178" t="s">
        <v>942</v>
      </c>
      <c r="M178" t="str">
        <f>_xlfn.CONCAT("""",VLOOKUP(E178,'Index Web'!A$4:L$253,4,FALSE),"""")</f>
        <v>"Romanos 8,34-39"</v>
      </c>
      <c r="N178" t="s">
        <v>943</v>
      </c>
      <c r="O178" t="str">
        <f>_xlfn.CONCAT("""",VLOOKUP(E178,'Index Web'!A$4:L$253,5,FALSE),"""")</f>
        <v>"Precatecumenado"</v>
      </c>
      <c r="P178" t="s">
        <v>944</v>
      </c>
      <c r="Q178" t="str">
        <f>_xlfn.CONCAT("[",VLOOKUP(E178,'Index Web'!A$4:N$253,14,FALSE),"]")</f>
        <v>["Cuaresma","Comunión","Nuevo Testamento"]</v>
      </c>
      <c r="R178" t="s">
        <v>945</v>
      </c>
      <c r="S178" t="str">
        <f>_xlfn.CONCAT("""/src/index.html?canto=",VLOOKUP(E178,'Index Web'!A$4:N$253,13,FALSE),""", ")</f>
        <v xml:space="preserve">"/src/index.html?canto=quiennosseparara", </v>
      </c>
      <c r="T178" t="str">
        <f>T177</f>
        <v xml:space="preserve">visible: "", </v>
      </c>
      <c r="U178" t="str">
        <f>_xlfn.CONCAT("cejilla: """,C178,""", ")</f>
        <v xml:space="preserve">cejilla: "", </v>
      </c>
      <c r="V178" t="str">
        <f>_xlfn.CONCAT("acorde: """,D178,""", ")</f>
        <v xml:space="preserve">acorde: "La", </v>
      </c>
      <c r="W178" t="s">
        <v>2012</v>
      </c>
      <c r="X178" t="s">
        <v>2013</v>
      </c>
      <c r="Y178" t="str">
        <f>_xlfn.CONCAT("""",VLOOKUP(E178,'Index Web'!A$4:O$253,15,FALSE)," ",VLOOKUP(E178,'Index Web'!A$4:O$253,13,FALSE),"""","},")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Z178" t="str">
        <f>_xlfn.CONCAT(F178:Y178)</f>
        <v>{idi:176, id:"quiennosseparara", title: "Quién nos separará", subtitle: "Romanos 8,34-39", category: "Precatecumenado", moments: ["Cuaresma","Comunión","Nuevo Testamento"], url: "/src/index.html?canto=quiennosseparara", visible: "", cejilla: "", acorde: "La", scrollConfig: {"mobile": { "v": 25, "i": 1 },"tablet": { "v": 25, "i": 1 },"desktop": { "v": 7, "i": 1 },"desktopsmall": { "v": 7, "i": 1 }},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9" spans="2:26" x14ac:dyDescent="0.25">
      <c r="B179" s="50" t="s">
        <v>616</v>
      </c>
      <c r="C179" s="1" t="str">
        <f>IF(VLOOKUP(Table4[[#This Row],[Cantounido]],Table7[],3,FALSE)=0,"",VLOOKUP(Table4[[#This Row],[Cantounido]],Table7[],3,FALSE))</f>
        <v/>
      </c>
      <c r="D179" s="44" t="str">
        <f>IF(VLOOKUP(Table4[[#This Row],[Cantounido]],Table7[],4,FALSE)=0,"",VLOOKUP(Table4[[#This Row],[Cantounido]],Table7[],4,FALSE))</f>
        <v>Mi</v>
      </c>
      <c r="E179" s="25">
        <v>140</v>
      </c>
      <c r="F179" t="str">
        <f>F178</f>
        <v>{idi:</v>
      </c>
      <c r="G179" t="str">
        <f>_xlfn.CONCAT(VLOOKUP(E179,'Index Web'!A$4:L$253,2,FALSE),", ")</f>
        <v xml:space="preserve">177, </v>
      </c>
      <c r="H179" t="str">
        <f>H178</f>
        <v>id:</v>
      </c>
      <c r="I179" t="str">
        <f>_xlfn.CONCAT("""",VLOOKUP(E179,'Index Web'!A$4:O$253,13,FALSE),"""",", ")</f>
        <v xml:space="preserve">"quieroandarmadreajerusalen", </v>
      </c>
      <c r="J179" t="s">
        <v>2016</v>
      </c>
      <c r="K179" t="str">
        <f>_xlfn.CONCAT("""",VLOOKUP(E179,'Index Web'!A$4:L$253,3,FALSE),"""")</f>
        <v>"Quiero andar, madre, a Jerusalén"</v>
      </c>
      <c r="L179" t="s">
        <v>942</v>
      </c>
      <c r="M179" t="str">
        <f>_xlfn.CONCAT("""",VLOOKUP(E179,'Index Web'!A$4:L$253,4,FALSE),"""")</f>
        <v>"Canto sefardí"</v>
      </c>
      <c r="N179" t="s">
        <v>943</v>
      </c>
      <c r="O179" t="str">
        <f>_xlfn.CONCAT("""",VLOOKUP(E179,'Index Web'!A$4:L$253,5,FALSE),"""")</f>
        <v>"Precatecumenado"</v>
      </c>
      <c r="P179" t="s">
        <v>944</v>
      </c>
      <c r="Q179" t="str">
        <f>_xlfn.CONCAT("[",VLOOKUP(E179,'Index Web'!A$4:N$253,14,FALSE),"]")</f>
        <v>["Pascua","Pentecostés","Final"]</v>
      </c>
      <c r="R179" t="s">
        <v>945</v>
      </c>
      <c r="S179" t="str">
        <f>_xlfn.CONCAT("""/src/index.html?canto=",VLOOKUP(E179,'Index Web'!A$4:N$253,13,FALSE),""", ")</f>
        <v xml:space="preserve">"/src/index.html?canto=quieroandarmadreajerusalen", </v>
      </c>
      <c r="T179" t="str">
        <f>T178</f>
        <v xml:space="preserve">visible: "", </v>
      </c>
      <c r="U179" t="str">
        <f>_xlfn.CONCAT("cejilla: """,C179,""", ")</f>
        <v xml:space="preserve">cejilla: "", </v>
      </c>
      <c r="V179" t="str">
        <f>_xlfn.CONCAT("acorde: """,D179,""", ")</f>
        <v xml:space="preserve">acorde: "Mi", </v>
      </c>
      <c r="W179" t="s">
        <v>2012</v>
      </c>
      <c r="X179" t="s">
        <v>2013</v>
      </c>
      <c r="Y179" t="str">
        <f>_xlfn.CONCAT("""",VLOOKUP(E179,'Index Web'!A$4:O$253,15,FALSE)," ",VLOOKUP(E179,'Index Web'!A$4:O$253,13,FALSE),"""","},")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Z179" t="str">
        <f>_xlfn.CONCAT(F179:Y179)</f>
        <v>{idi:177, id:"quieroandarmadreajerusalen", title: "Quiero andar, madre, a Jerusalén", subtitle: "Canto sefardí", category: "Precatecumenado", moments: ["Pascua","Pentecostés","Final"], url: "/src/index.html?canto=quieroandarmadreajerusalen", visible: "", cejilla: "", acorde: "Mi", scrollConfig: {"mobile": { "v": 25, "i": 1 },"tablet": { "v": 25, "i": 1 },"desktop": { "v": 7, "i": 1 },"desktopsmall": { "v": 7, "i": 1 }},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80" spans="2:26" x14ac:dyDescent="0.25">
      <c r="B180" s="51" t="s">
        <v>617</v>
      </c>
      <c r="C180" s="1" t="str">
        <f>IF(VLOOKUP(Table4[[#This Row],[Cantounido]],Table7[],3,FALSE)=0,"",VLOOKUP(Table4[[#This Row],[Cantounido]],Table7[],3,FALSE))</f>
        <v/>
      </c>
      <c r="D180" s="44" t="str">
        <f>IF(VLOOKUP(Table4[[#This Row],[Cantounido]],Table7[],4,FALSE)=0,"",VLOOKUP(Table4[[#This Row],[Cantounido]],Table7[],4,FALSE))</f>
        <v>Re</v>
      </c>
      <c r="E180" s="26">
        <v>141</v>
      </c>
      <c r="F180" t="str">
        <f>F179</f>
        <v>{idi:</v>
      </c>
      <c r="G180" t="str">
        <f>_xlfn.CONCAT(VLOOKUP(E180,'Index Web'!A$4:L$253,2,FALSE),", ")</f>
        <v xml:space="preserve">178, </v>
      </c>
      <c r="H180" t="str">
        <f>H179</f>
        <v>id:</v>
      </c>
      <c r="I180" t="str">
        <f>_xlfn.CONCAT("""",VLOOKUP(E180,'Index Web'!A$4:O$253,13,FALSE),"""",", ")</f>
        <v xml:space="preserve">"quierocantar", </v>
      </c>
      <c r="J180" t="s">
        <v>2016</v>
      </c>
      <c r="K180" t="str">
        <f>_xlfn.CONCAT("""",VLOOKUP(E180,'Index Web'!A$4:L$253,3,FALSE),"""")</f>
        <v>"Quiero cantar"</v>
      </c>
      <c r="L180" t="s">
        <v>942</v>
      </c>
      <c r="M180" t="str">
        <f>_xlfn.CONCAT("""",VLOOKUP(E180,'Index Web'!A$4:L$253,4,FALSE),"""")</f>
        <v>"Salmo 57 (56)"</v>
      </c>
      <c r="N180" t="s">
        <v>943</v>
      </c>
      <c r="O180" t="str">
        <f>_xlfn.CONCAT("""",VLOOKUP(E180,'Index Web'!A$4:L$253,5,FALSE),"""")</f>
        <v>"Precatecumenado"</v>
      </c>
      <c r="P180" t="s">
        <v>944</v>
      </c>
      <c r="Q180" t="str">
        <f>_xlfn.CONCAT("[",VLOOKUP(E180,'Index Web'!A$4:N$253,14,FALSE),"]")</f>
        <v>["Cuaresma","Antiguo Testamento"]</v>
      </c>
      <c r="R180" t="s">
        <v>945</v>
      </c>
      <c r="S180" t="str">
        <f>_xlfn.CONCAT("""/src/index.html?canto=",VLOOKUP(E180,'Index Web'!A$4:N$253,13,FALSE),""", ")</f>
        <v xml:space="preserve">"/src/index.html?canto=quierocantar", </v>
      </c>
      <c r="T180" t="str">
        <f>T179</f>
        <v xml:space="preserve">visible: "", </v>
      </c>
      <c r="U180" t="str">
        <f>_xlfn.CONCAT("cejilla: """,C180,""", ")</f>
        <v xml:space="preserve">cejilla: "", </v>
      </c>
      <c r="V180" t="str">
        <f>_xlfn.CONCAT("acorde: """,D180,""", ")</f>
        <v xml:space="preserve">acorde: "Re", </v>
      </c>
      <c r="W180" t="s">
        <v>2012</v>
      </c>
      <c r="X180" t="s">
        <v>2013</v>
      </c>
      <c r="Y180" t="str">
        <f>_xlfn.CONCAT("""",VLOOKUP(E180,'Index Web'!A$4:O$253,15,FALSE)," ",VLOOKUP(E180,'Index Web'!A$4:O$253,13,FALSE),"""","},")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Z180" t="str">
        <f>_xlfn.CONCAT(F180:Y180)</f>
        <v>{idi:178, id:"quierocantar", title: "Quiero cantar", subtitle: "Salmo 57 (56)", category: "Precatecumenado", moments: ["Cuaresma","Antiguo Testamento"], url: "/src/index.html?canto=quierocantar", visible: "", cejilla: "", acorde: "Re", scrollConfig: {"mobile": { "v": 25, "i": 1 },"tablet": { "v": 25, "i": 1 },"desktop": { "v": 7, "i": 1 },"desktopsmall": { "v": 7, "i": 1 }},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1" spans="2:26" x14ac:dyDescent="0.25">
      <c r="B181" s="50" t="s">
        <v>618</v>
      </c>
      <c r="C181" s="1" t="str">
        <f>IF(VLOOKUP(Table4[[#This Row],[Cantounido]],Table7[],3,FALSE)=0,"",VLOOKUP(Table4[[#This Row],[Cantounido]],Table7[],3,FALSE))</f>
        <v/>
      </c>
      <c r="D181" s="44" t="str">
        <f>IF(VLOOKUP(Table4[[#This Row],[Cantounido]],Table7[],4,FALSE)=0,"",VLOOKUP(Table4[[#This Row],[Cantounido]],Table7[],4,FALSE))</f>
        <v>La</v>
      </c>
      <c r="E181" s="25">
        <v>142</v>
      </c>
      <c r="F181" t="str">
        <f>F180</f>
        <v>{idi:</v>
      </c>
      <c r="G181" t="str">
        <f>_xlfn.CONCAT(VLOOKUP(E181,'Index Web'!A$4:L$253,2,FALSE),", ")</f>
        <v xml:space="preserve">179, </v>
      </c>
      <c r="H181" t="str">
        <f>H180</f>
        <v>id:</v>
      </c>
      <c r="I181" t="str">
        <f>_xlfn.CONCAT("""",VLOOKUP(E181,'Index Web'!A$4:O$253,13,FALSE),"""",", ")</f>
        <v xml:space="preserve">"resucito", </v>
      </c>
      <c r="J181" t="s">
        <v>2016</v>
      </c>
      <c r="K181" t="str">
        <f>_xlfn.CONCAT("""",VLOOKUP(E181,'Index Web'!A$4:L$253,3,FALSE),"""")</f>
        <v>"Resucitó"</v>
      </c>
      <c r="L181" t="s">
        <v>942</v>
      </c>
      <c r="M181" t="str">
        <f>_xlfn.CONCAT("""",VLOOKUP(E181,'Index Web'!A$4:L$253,4,FALSE),"""")</f>
        <v>"(Kiko Argüello)"</v>
      </c>
      <c r="N181" t="s">
        <v>943</v>
      </c>
      <c r="O181" t="str">
        <f>_xlfn.CONCAT("""",VLOOKUP(E181,'Index Web'!A$4:L$253,5,FALSE),"""")</f>
        <v>"Precatecumenado"</v>
      </c>
      <c r="P181" t="s">
        <v>944</v>
      </c>
      <c r="Q181" t="str">
        <f>_xlfn.CONCAT("[",VLOOKUP(E181,'Index Web'!A$4:N$253,14,FALSE),"]")</f>
        <v>["Pascua","Pentecostés","Comunión"]</v>
      </c>
      <c r="R181" t="s">
        <v>945</v>
      </c>
      <c r="S181" t="str">
        <f>_xlfn.CONCAT("""/src/index.html?canto=",VLOOKUP(E181,'Index Web'!A$4:N$253,13,FALSE),""", ")</f>
        <v xml:space="preserve">"/src/index.html?canto=resucito", </v>
      </c>
      <c r="T181" t="str">
        <f>T180</f>
        <v xml:space="preserve">visible: "", </v>
      </c>
      <c r="U181" t="str">
        <f>_xlfn.CONCAT("cejilla: """,C181,""", ")</f>
        <v xml:space="preserve">cejilla: "", </v>
      </c>
      <c r="V181" t="str">
        <f>_xlfn.CONCAT("acorde: """,D181,""", ")</f>
        <v xml:space="preserve">acorde: "La", </v>
      </c>
      <c r="W181" t="s">
        <v>2012</v>
      </c>
      <c r="X181" t="s">
        <v>2013</v>
      </c>
      <c r="Y181" t="str">
        <f>_xlfn.CONCAT("""",VLOOKUP(E181,'Index Web'!A$4:O$253,15,FALSE)," ",VLOOKUP(E181,'Index Web'!A$4:O$253,13,FALSE),"""","},")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Z181" t="str">
        <f>_xlfn.CONCAT(F181:Y181)</f>
        <v>{idi:179, id:"resucito", title: "Resucitó", subtitle: "(Kiko Argüello)", category: "Precatecumenado", moments: ["Pascua","Pentecostés","Comunión"], url: "/src/index.html?canto=resucito", visible: "", cejilla: "", acorde: "La", scrollConfig: {"mobile": { "v": 25, "i": 1 },"tablet": { "v": 25, "i": 1 },"desktop": { "v": 7, "i": 1 },"desktopsmall": { "v": 7, "i": 1 }},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2" spans="2:26" x14ac:dyDescent="0.25">
      <c r="B182" s="51" t="s">
        <v>619</v>
      </c>
      <c r="C182" s="1">
        <f>IF(VLOOKUP(Table4[[#This Row],[Cantounido]],Table7[],3,FALSE)=0,"",VLOOKUP(Table4[[#This Row],[Cantounido]],Table7[],3,FALSE))</f>
        <v>3</v>
      </c>
      <c r="D182" s="44" t="str">
        <f>IF(VLOOKUP(Table4[[#This Row],[Cantounido]],Table7[],4,FALSE)=0,"",VLOOKUP(Table4[[#This Row],[Cantounido]],Table7[],4,FALSE))</f>
        <v>La</v>
      </c>
      <c r="E182" s="26">
        <v>143</v>
      </c>
      <c r="F182" t="str">
        <f>F181</f>
        <v>{idi:</v>
      </c>
      <c r="G182" t="str">
        <f>_xlfn.CONCAT(VLOOKUP(E182,'Index Web'!A$4:L$253,2,FALSE),", ")</f>
        <v xml:space="preserve">180, </v>
      </c>
      <c r="H182" t="str">
        <f>H181</f>
        <v>id:</v>
      </c>
      <c r="I182" t="str">
        <f>_xlfn.CONCAT("""",VLOOKUP(E182,'Index Web'!A$4:O$253,13,FALSE),"""",", ")</f>
        <v xml:space="preserve">"resurrexit", </v>
      </c>
      <c r="J182" t="s">
        <v>2016</v>
      </c>
      <c r="K182" t="str">
        <f>_xlfn.CONCAT("""",VLOOKUP(E182,'Index Web'!A$4:L$253,3,FALSE),"""")</f>
        <v>"Resurrexit"</v>
      </c>
      <c r="L182" t="s">
        <v>942</v>
      </c>
      <c r="M182" t="str">
        <f>_xlfn.CONCAT("""",VLOOKUP(E182,'Index Web'!A$4:L$253,4,FALSE),"""")</f>
        <v>"Juan 11,25s"</v>
      </c>
      <c r="N182" t="s">
        <v>943</v>
      </c>
      <c r="O182" t="str">
        <f>_xlfn.CONCAT("""",VLOOKUP(E182,'Index Web'!A$4:L$253,5,FALSE),"""")</f>
        <v>"Precatecumenado"</v>
      </c>
      <c r="P182" t="s">
        <v>944</v>
      </c>
      <c r="Q182" t="str">
        <f>_xlfn.CONCAT("[",VLOOKUP(E182,'Index Web'!A$4:N$253,14,FALSE),"]")</f>
        <v>["Pascua","Pentecostés","Nuevo Testamento"]</v>
      </c>
      <c r="R182" t="s">
        <v>945</v>
      </c>
      <c r="S182" t="str">
        <f>_xlfn.CONCAT("""/src/index.html?canto=",VLOOKUP(E182,'Index Web'!A$4:N$253,13,FALSE),""", ")</f>
        <v xml:space="preserve">"/src/index.html?canto=resurrexit", </v>
      </c>
      <c r="T182" t="str">
        <f>T181</f>
        <v xml:space="preserve">visible: "", </v>
      </c>
      <c r="U182" t="str">
        <f>_xlfn.CONCAT("cejilla: """,C182,""", ")</f>
        <v xml:space="preserve">cejilla: "3", </v>
      </c>
      <c r="V182" t="str">
        <f>_xlfn.CONCAT("acorde: """,D182,""", ")</f>
        <v xml:space="preserve">acorde: "La", </v>
      </c>
      <c r="W182" t="s">
        <v>2012</v>
      </c>
      <c r="X182" t="s">
        <v>2013</v>
      </c>
      <c r="Y182" t="str">
        <f>_xlfn.CONCAT("""",VLOOKUP(E182,'Index Web'!A$4:O$253,15,FALSE)," ",VLOOKUP(E182,'Index Web'!A$4:O$253,13,FALSE),"""","},")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Z182" t="str">
        <f>_xlfn.CONCAT(F182:Y182)</f>
        <v>{idi:180, id:"resurrexit", title: "Resurrexit", subtitle: "Juan 11,25s", category: "Precatecumenado", moments: ["Pascua","Pentecostés","Nuevo Testamento"], url: "/src/index.html?canto=resurrexit", visible: "", cejilla: "3", acorde: "La", scrollConfig: {"mobile": { "v": 25, "i": 1 },"tablet": { "v": 25, "i": 1 },"desktop": { "v": 7, "i": 1 },"desktopsmall": { "v": 7, "i": 1 }},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3" spans="2:26" x14ac:dyDescent="0.25">
      <c r="B183" s="54" t="s">
        <v>672</v>
      </c>
      <c r="C183" s="1" t="str">
        <f>IF(VLOOKUP(Table4[[#This Row],[Cantounido]],Table7[],3,FALSE)=0,"",VLOOKUP(Table4[[#This Row],[Cantounido]],Table7[],3,FALSE))</f>
        <v/>
      </c>
      <c r="D183" s="44" t="str">
        <f>IF(VLOOKUP(Table4[[#This Row],[Cantounido]],Table7[],4,FALSE)=0,"",VLOOKUP(Table4[[#This Row],[Cantounido]],Table7[],4,FALSE))</f>
        <v>Mi</v>
      </c>
      <c r="E183" s="29">
        <v>208</v>
      </c>
      <c r="F183" t="str">
        <f>F182</f>
        <v>{idi:</v>
      </c>
      <c r="G183" t="str">
        <f>_xlfn.CONCAT(VLOOKUP(E183,'Index Web'!A$4:L$253,2,FALSE),", ")</f>
        <v xml:space="preserve">181, </v>
      </c>
      <c r="H183" t="str">
        <f>H182</f>
        <v>id:</v>
      </c>
      <c r="I183" t="str">
        <f>_xlfn.CONCAT("""",VLOOKUP(E183,'Index Web'!A$4:O$253,13,FALSE),"""",", ")</f>
        <v xml:space="preserve">"salmodiaparaelevangelio", </v>
      </c>
      <c r="J183" t="s">
        <v>2016</v>
      </c>
      <c r="K183" t="str">
        <f>_xlfn.CONCAT("""",VLOOKUP(E183,'Index Web'!A$4:L$253,3,FALSE),"""")</f>
        <v>"Salmodia para el evangelio"</v>
      </c>
      <c r="L183" t="s">
        <v>942</v>
      </c>
      <c r="M183" t="str">
        <f>_xlfn.CONCAT("""",VLOOKUP(E183,'Index Web'!A$4:L$253,4,FALSE),"""")</f>
        <v>"Juan 3,11-20 "</v>
      </c>
      <c r="N183" t="s">
        <v>943</v>
      </c>
      <c r="O183" t="str">
        <f>_xlfn.CONCAT("""",VLOOKUP(E183,'Index Web'!A$4:L$253,5,FALSE),"""")</f>
        <v>"Liturgia"</v>
      </c>
      <c r="P183" t="s">
        <v>944</v>
      </c>
      <c r="Q183" t="str">
        <f>_xlfn.CONCAT("[",VLOOKUP(E183,'Index Web'!A$4:N$253,14,FALSE),"]")</f>
        <v>[""]</v>
      </c>
      <c r="R183" t="s">
        <v>945</v>
      </c>
      <c r="S183" t="str">
        <f>_xlfn.CONCAT("""/src/index.html?canto=",VLOOKUP(E183,'Index Web'!A$4:N$253,13,FALSE),""", ")</f>
        <v xml:space="preserve">"/src/index.html?canto=salmodiaparaelevangelio", </v>
      </c>
      <c r="T183" t="str">
        <f>T182</f>
        <v xml:space="preserve">visible: "", </v>
      </c>
      <c r="U183" t="str">
        <f>_xlfn.CONCAT("cejilla: """,C183,""", ")</f>
        <v xml:space="preserve">cejilla: "", </v>
      </c>
      <c r="V183" t="str">
        <f>_xlfn.CONCAT("acorde: """,D183,""", ")</f>
        <v xml:space="preserve">acorde: "Mi", </v>
      </c>
      <c r="W183" t="s">
        <v>2012</v>
      </c>
      <c r="X183" t="s">
        <v>2013</v>
      </c>
      <c r="Y183" t="str">
        <f>_xlfn.CONCAT("""",VLOOKUP(E183,'Index Web'!A$4:O$253,15,FALSE)," ",VLOOKUP(E183,'Index Web'!A$4:O$253,13,FALSE),"""","},")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Z183" t="str">
        <f>_xlfn.CONCAT(F183:Y183)</f>
        <v>{idi:181, id:"salmodiaparaelevangelio", title: "Salmodia para el evangelio", subtitle: "Juan 3,11-20 ", category: "Liturgia", moments: [""], url: "/src/index.html?canto=salmodiaparaelevangelio", visible: "", cejilla: "", acorde: "Mi", scrollConfig: {"mobile": { "v": 25, "i": 1 },"tablet": { "v": 25, "i": 1 },"desktop": { "v": 7, "i": 1 },"desktopsmall": { "v": 7, "i": 1 }},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4" spans="2:26" x14ac:dyDescent="0.25">
      <c r="B184" s="52" t="s">
        <v>673</v>
      </c>
      <c r="C184" s="1" t="str">
        <f>IF(VLOOKUP(Table4[[#This Row],[Cantounido]],Table7[],3,FALSE)=0,"",VLOOKUP(Table4[[#This Row],[Cantounido]],Table7[],3,FALSE))</f>
        <v/>
      </c>
      <c r="D184" s="44" t="str">
        <f>IF(VLOOKUP(Table4[[#This Row],[Cantounido]],Table7[],4,FALSE)=0,"",VLOOKUP(Table4[[#This Row],[Cantounido]],Table7[],4,FALSE))</f>
        <v>Mi</v>
      </c>
      <c r="E184" s="27">
        <v>209</v>
      </c>
      <c r="F184" t="str">
        <f>F183</f>
        <v>{idi:</v>
      </c>
      <c r="G184" t="str">
        <f>_xlfn.CONCAT(VLOOKUP(E184,'Index Web'!A$4:L$253,2,FALSE),", ")</f>
        <v xml:space="preserve">182, </v>
      </c>
      <c r="H184" t="str">
        <f>H183</f>
        <v>id:</v>
      </c>
      <c r="I184" t="str">
        <f>_xlfn.CONCAT("""",VLOOKUP(E184,'Index Web'!A$4:O$253,13,FALSE),"""",", ")</f>
        <v xml:space="preserve">"salmodiaparaelrosario", </v>
      </c>
      <c r="J184" t="s">
        <v>2016</v>
      </c>
      <c r="K184" t="str">
        <f>_xlfn.CONCAT("""",VLOOKUP(E184,'Index Web'!A$4:L$253,3,FALSE),"""")</f>
        <v>"Salmodia para el rosario"</v>
      </c>
      <c r="L184" t="s">
        <v>942</v>
      </c>
      <c r="M184" t="str">
        <f>_xlfn.CONCAT("""",VLOOKUP(E184,'Index Web'!A$4:L$253,4,FALSE),"""")</f>
        <v>"Santo Rosario"</v>
      </c>
      <c r="N184" t="s">
        <v>943</v>
      </c>
      <c r="O184" t="str">
        <f>_xlfn.CONCAT("""",VLOOKUP(E184,'Index Web'!A$4:L$253,5,FALSE),"""")</f>
        <v>"Liturgia"</v>
      </c>
      <c r="P184" t="s">
        <v>944</v>
      </c>
      <c r="Q184" t="str">
        <f>_xlfn.CONCAT("[",VLOOKUP(E184,'Index Web'!A$4:N$253,14,FALSE),"]")</f>
        <v>[""]</v>
      </c>
      <c r="R184" t="s">
        <v>945</v>
      </c>
      <c r="S184" t="str">
        <f>_xlfn.CONCAT("""/src/index.html?canto=",VLOOKUP(E184,'Index Web'!A$4:N$253,13,FALSE),""", ")</f>
        <v xml:space="preserve">"/src/index.html?canto=salmodiaparaelrosario", </v>
      </c>
      <c r="T184" t="str">
        <f>T183</f>
        <v xml:space="preserve">visible: "", </v>
      </c>
      <c r="U184" t="str">
        <f>_xlfn.CONCAT("cejilla: """,C184,""", ")</f>
        <v xml:space="preserve">cejilla: "", </v>
      </c>
      <c r="V184" t="str">
        <f>_xlfn.CONCAT("acorde: """,D184,""", ")</f>
        <v xml:space="preserve">acorde: "Mi", </v>
      </c>
      <c r="W184" t="s">
        <v>2012</v>
      </c>
      <c r="X184" t="s">
        <v>2013</v>
      </c>
      <c r="Y184" t="str">
        <f>_xlfn.CONCAT("""",VLOOKUP(E184,'Index Web'!A$4:O$253,15,FALSE)," ",VLOOKUP(E184,'Index Web'!A$4:O$253,13,FALSE),"""","},")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Z184" t="str">
        <f>_xlfn.CONCAT(F184:Y184)</f>
        <v>{idi:182, id:"salmodiaparaelrosario", title: "Salmodia para el rosario", subtitle: "Santo Rosario", category: "Liturgia", moments: [""], url: "/src/index.html?canto=salmodiaparaelrosario", visible: "", cejilla: "", acorde: "Mi", scrollConfig: {"mobile": { "v": 25, "i": 1 },"tablet": { "v": 25, "i": 1 },"desktop": { "v": 7, "i": 1 },"desktopsmall": { "v": 7, "i": 1 }},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5" spans="2:26" x14ac:dyDescent="0.25">
      <c r="B185" s="54" t="s">
        <v>674</v>
      </c>
      <c r="C185" s="1" t="str">
        <f>IF(VLOOKUP(Table4[[#This Row],[Cantounido]],Table7[],3,FALSE)=0,"",VLOOKUP(Table4[[#This Row],[Cantounido]],Table7[],3,FALSE))</f>
        <v/>
      </c>
      <c r="D185" s="44" t="str">
        <f>IF(VLOOKUP(Table4[[#This Row],[Cantounido]],Table7[],4,FALSE)=0,"",VLOOKUP(Table4[[#This Row],[Cantounido]],Table7[],4,FALSE))</f>
        <v>Mi</v>
      </c>
      <c r="E185" s="29">
        <v>210</v>
      </c>
      <c r="F185" t="str">
        <f>F184</f>
        <v>{idi:</v>
      </c>
      <c r="G185" t="str">
        <f>_xlfn.CONCAT(VLOOKUP(E185,'Index Web'!A$4:L$253,2,FALSE),", ")</f>
        <v xml:space="preserve">183, </v>
      </c>
      <c r="H185" t="str">
        <f>H184</f>
        <v>id:</v>
      </c>
      <c r="I185" t="str">
        <f>_xlfn.CONCAT("""",VLOOKUP(E185,'Index Web'!A$4:O$253,13,FALSE),"""",", ")</f>
        <v xml:space="preserve">"salmodiaparaelsalmoresponsorial", </v>
      </c>
      <c r="J185" t="s">
        <v>2016</v>
      </c>
      <c r="K185" t="str">
        <f>_xlfn.CONCAT("""",VLOOKUP(E185,'Index Web'!A$4:L$253,3,FALSE),"""")</f>
        <v>"Salmodia para el salmo responsorial"</v>
      </c>
      <c r="L185" t="s">
        <v>942</v>
      </c>
      <c r="M185" t="str">
        <f>_xlfn.CONCAT("""",VLOOKUP(E185,'Index Web'!A$4:L$253,4,FALSE),"""")</f>
        <v>"Modelo I, II, III"</v>
      </c>
      <c r="N185" t="s">
        <v>943</v>
      </c>
      <c r="O185" t="str">
        <f>_xlfn.CONCAT("""",VLOOKUP(E185,'Index Web'!A$4:L$253,5,FALSE),"""")</f>
        <v>"Liturgia"</v>
      </c>
      <c r="P185" t="s">
        <v>944</v>
      </c>
      <c r="Q185" t="str">
        <f>_xlfn.CONCAT("[",VLOOKUP(E185,'Index Web'!A$4:N$253,14,FALSE),"]")</f>
        <v>[""]</v>
      </c>
      <c r="R185" t="s">
        <v>945</v>
      </c>
      <c r="S185" t="str">
        <f>_xlfn.CONCAT("""/src/index.html?canto=",VLOOKUP(E185,'Index Web'!A$4:N$253,13,FALSE),""", ")</f>
        <v xml:space="preserve">"/src/index.html?canto=salmodiaparaelsalmoresponsorial", </v>
      </c>
      <c r="T185" t="str">
        <f>T184</f>
        <v xml:space="preserve">visible: "", </v>
      </c>
      <c r="U185" t="str">
        <f>_xlfn.CONCAT("cejilla: """,C185,""", ")</f>
        <v xml:space="preserve">cejilla: "", </v>
      </c>
      <c r="V185" t="str">
        <f>_xlfn.CONCAT("acorde: """,D185,""", ")</f>
        <v xml:space="preserve">acorde: "Mi", </v>
      </c>
      <c r="W185" t="s">
        <v>2012</v>
      </c>
      <c r="X185" t="s">
        <v>2013</v>
      </c>
      <c r="Y185" t="str">
        <f>_xlfn.CONCAT("""",VLOOKUP(E185,'Index Web'!A$4:O$253,15,FALSE)," ",VLOOKUP(E185,'Index Web'!A$4:O$253,13,FALSE),"""","},")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Z185" t="str">
        <f>_xlfn.CONCAT(F185:Y185)</f>
        <v>{idi:183, id:"salmodiaparaelsalmoresponsorial", title: "Salmodia para el salmo responsorial", subtitle: "Modelo I, II, III", category: "Liturgia", moments: [""], url: "/src/index.html?canto=salmodiaparaelsalmoresponsorial", visible: "", cejilla: "", acorde: "Mi", scrollConfig: {"mobile": { "v": 25, "i": 1 },"tablet": { "v": 25, "i": 1 },"desktop": { "v": 7, "i": 1 },"desktopsmall": { "v": 7, "i": 1 }},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6" spans="2:26" x14ac:dyDescent="0.25">
      <c r="B186" s="52" t="s">
        <v>675</v>
      </c>
      <c r="C186" s="1" t="str">
        <f>IF(VLOOKUP(Table4[[#This Row],[Cantounido]],Table7[],3,FALSE)=0,"",VLOOKUP(Table4[[#This Row],[Cantounido]],Table7[],3,FALSE))</f>
        <v/>
      </c>
      <c r="D186" s="44" t="str">
        <f>IF(VLOOKUP(Table4[[#This Row],[Cantounido]],Table7[],4,FALSE)=0,"",VLOOKUP(Table4[[#This Row],[Cantounido]],Table7[],4,FALSE))</f>
        <v>Mi</v>
      </c>
      <c r="E186" s="27">
        <v>211</v>
      </c>
      <c r="F186" t="str">
        <f>F185</f>
        <v>{idi:</v>
      </c>
      <c r="G186" t="str">
        <f>_xlfn.CONCAT(VLOOKUP(E186,'Index Web'!A$4:L$253,2,FALSE),", ")</f>
        <v xml:space="preserve">184, </v>
      </c>
      <c r="H186" t="str">
        <f>H185</f>
        <v>id:</v>
      </c>
      <c r="I186" t="str">
        <f>_xlfn.CONCAT("""",VLOOKUP(E186,'Index Web'!A$4:O$253,13,FALSE),"""",", ")</f>
        <v xml:space="preserve">"salmodiasparalaoraciondelosfieles", </v>
      </c>
      <c r="J186" t="s">
        <v>2016</v>
      </c>
      <c r="K186" t="str">
        <f>_xlfn.CONCAT("""",VLOOKUP(E186,'Index Web'!A$4:L$253,3,FALSE),"""")</f>
        <v>"Salmodias para la oración de los fieles"</v>
      </c>
      <c r="L186" t="s">
        <v>942</v>
      </c>
      <c r="M186" t="str">
        <f>_xlfn.CONCAT("""",VLOOKUP(E186,'Index Web'!A$4:L$253,4,FALSE),"""")</f>
        <v>"Para las solemnidades"</v>
      </c>
      <c r="N186" t="s">
        <v>943</v>
      </c>
      <c r="O186" t="str">
        <f>_xlfn.CONCAT("""",VLOOKUP(E186,'Index Web'!A$4:L$253,5,FALSE),"""")</f>
        <v>"Liturgia"</v>
      </c>
      <c r="P186" t="s">
        <v>944</v>
      </c>
      <c r="Q186" t="str">
        <f>_xlfn.CONCAT("[",VLOOKUP(E186,'Index Web'!A$4:N$253,14,FALSE),"]")</f>
        <v>[""]</v>
      </c>
      <c r="R186" t="s">
        <v>945</v>
      </c>
      <c r="S186" t="str">
        <f>_xlfn.CONCAT("""/src/index.html?canto=",VLOOKUP(E186,'Index Web'!A$4:N$253,13,FALSE),""", ")</f>
        <v xml:space="preserve">"/src/index.html?canto=salmodiasparalaoraciondelosfieles", </v>
      </c>
      <c r="T186" t="str">
        <f>T185</f>
        <v xml:space="preserve">visible: "", </v>
      </c>
      <c r="U186" t="str">
        <f>_xlfn.CONCAT("cejilla: """,C186,""", ")</f>
        <v xml:space="preserve">cejilla: "", </v>
      </c>
      <c r="V186" t="str">
        <f>_xlfn.CONCAT("acorde: """,D186,""", ")</f>
        <v xml:space="preserve">acorde: "Mi", </v>
      </c>
      <c r="W186" t="s">
        <v>2012</v>
      </c>
      <c r="X186" t="s">
        <v>2013</v>
      </c>
      <c r="Y186" t="str">
        <f>_xlfn.CONCAT("""",VLOOKUP(E186,'Index Web'!A$4:O$253,15,FALSE)," ",VLOOKUP(E186,'Index Web'!A$4:O$253,13,FALSE),"""","},")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Z186" t="str">
        <f>_xlfn.CONCAT(F186:Y186)</f>
        <v>{idi:184, id:"salmodiasparalaoraciondelosfieles", title: "Salmodias para la oración de los fieles", subtitle: "Para las solemnidades", category: "Liturgia", moments: [""], url: "/src/index.html?canto=salmodiasparalaoraciondelosfieles", visible: "", cejilla: "", acorde: "Mi", scrollConfig: {"mobile": { "v": 25, "i": 1 },"tablet": { "v": 25, "i": 1 },"desktop": { "v": 7, "i": 1 },"desktopsmall": { "v": 7, "i": 1 }},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7" spans="2:26" x14ac:dyDescent="0.25">
      <c r="B187" s="54" t="s">
        <v>2086</v>
      </c>
      <c r="C187" s="1" t="str">
        <f>IF(VLOOKUP(Table4[[#This Row],[Cantounido]],Table7[],3,FALSE)=0,"",VLOOKUP(Table4[[#This Row],[Cantounido]],Table7[],3,FALSE))</f>
        <v/>
      </c>
      <c r="D187" s="44" t="str">
        <f>IF(VLOOKUP(Table4[[#This Row],[Cantounido]],Table7[],4,FALSE)=0,"",VLOOKUP(Table4[[#This Row],[Cantounido]],Table7[],4,FALSE))</f>
        <v>Sol</v>
      </c>
      <c r="E187" s="29">
        <v>212</v>
      </c>
      <c r="F187" t="str">
        <f>F186</f>
        <v>{idi:</v>
      </c>
      <c r="G187" t="str">
        <f>_xlfn.CONCAT(VLOOKUP(E187,'Index Web'!A$4:L$253,2,FALSE),", ")</f>
        <v xml:space="preserve">185, </v>
      </c>
      <c r="H187" t="str">
        <f>H186</f>
        <v>id:</v>
      </c>
      <c r="I187" t="str">
        <f>_xlfn.CONCAT("""",VLOOKUP(E187,'Index Web'!A$4:O$253,13,FALSE),"""",", ")</f>
        <v xml:space="preserve">"salmodiasparalaudes", </v>
      </c>
      <c r="J187" t="s">
        <v>2016</v>
      </c>
      <c r="K187" t="str">
        <f>_xlfn.CONCAT("""",VLOOKUP(E187,'Index Web'!A$4:L$253,3,FALSE),"""")</f>
        <v>"Salmodias para laudes"</v>
      </c>
      <c r="L187" t="s">
        <v>942</v>
      </c>
      <c r="M187" t="str">
        <f>_xlfn.CONCAT("""",VLOOKUP(E187,'Index Web'!A$4:L$253,4,FALSE),"""")</f>
        <v>"Modelo I, II, III, IV, V"</v>
      </c>
      <c r="N187" t="s">
        <v>943</v>
      </c>
      <c r="O187" t="str">
        <f>_xlfn.CONCAT("""",VLOOKUP(E187,'Index Web'!A$4:L$253,5,FALSE),"""")</f>
        <v>"Liturgia"</v>
      </c>
      <c r="P187" t="s">
        <v>944</v>
      </c>
      <c r="Q187" t="str">
        <f>_xlfn.CONCAT("[",VLOOKUP(E187,'Index Web'!A$4:N$253,14,FALSE),"]")</f>
        <v>[""]</v>
      </c>
      <c r="R187" t="s">
        <v>945</v>
      </c>
      <c r="S187" t="str">
        <f>_xlfn.CONCAT("""/src/index.html?canto=",VLOOKUP(E187,'Index Web'!A$4:N$253,13,FALSE),""", ")</f>
        <v xml:space="preserve">"/src/index.html?canto=salmodiasparalaudes", </v>
      </c>
      <c r="T187" t="str">
        <f>T186</f>
        <v xml:space="preserve">visible: "", </v>
      </c>
      <c r="U187" t="str">
        <f>_xlfn.CONCAT("cejilla: """,C187,""", ")</f>
        <v xml:space="preserve">cejilla: "", </v>
      </c>
      <c r="V187" t="str">
        <f>_xlfn.CONCAT("acorde: """,D187,""", ")</f>
        <v xml:space="preserve">acorde: "Sol", </v>
      </c>
      <c r="W187" t="s">
        <v>2012</v>
      </c>
      <c r="X187" t="s">
        <v>2013</v>
      </c>
      <c r="Y187" t="str">
        <f>_xlfn.CONCAT("""",VLOOKUP(E187,'Index Web'!A$4:O$253,15,FALSE)," ",VLOOKUP(E187,'Index Web'!A$4:O$253,13,FALSE),"""","},")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Z187" t="str">
        <f>_xlfn.CONCAT(F187:Y187)</f>
        <v>{idi:185, id:"salmodiasparalaudes", title: "Salmodias para laudes", subtitle: "Modelo I, II, III, IV, V", category: "Liturgia", moments: [""], url: "/src/index.html?canto=salmodiasparalaudes", visible: "", cejilla: "", acorde: "Sol", scrollConfig: {"mobile": { "v": 25, "i": 1 },"tablet": { "v": 25, "i": 1 },"desktop": { "v": 7, "i": 1 },"desktopsmall": { "v": 7, "i": 1 }},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8" spans="2:26" x14ac:dyDescent="0.25">
      <c r="B188" s="54" t="s">
        <v>2088</v>
      </c>
      <c r="C188" s="1" t="str">
        <f>IF(VLOOKUP(Table4[[#This Row],[Cantounido]],Table7[],3,FALSE)=0,"",VLOOKUP(Table4[[#This Row],[Cantounido]],Table7[],3,FALSE))</f>
        <v/>
      </c>
      <c r="D188" s="44" t="str">
        <f>IF(VLOOKUP(Table4[[#This Row],[Cantounido]],Table7[],4,FALSE)=0,"",VLOOKUP(Table4[[#This Row],[Cantounido]],Table7[],4,FALSE))</f>
        <v>Sol</v>
      </c>
      <c r="E188" s="29">
        <v>212</v>
      </c>
      <c r="F188" t="str">
        <f>F187</f>
        <v>{idi:</v>
      </c>
      <c r="G188" t="str">
        <f>_xlfn.CONCAT(VLOOKUP(E188,'Index Web'!A$4:L$253,2,FALSE),", ")</f>
        <v xml:space="preserve">185, </v>
      </c>
      <c r="H188" t="str">
        <f>H187</f>
        <v>id:</v>
      </c>
      <c r="I188" t="str">
        <f>_xlfn.CONCAT("""",VLOOKUP(E188,'Index Web'!A$4:O$253,13,FALSE),"""",", ")</f>
        <v xml:space="preserve">"salmodiasparalaudes", </v>
      </c>
      <c r="J188" t="s">
        <v>2016</v>
      </c>
      <c r="K188" t="str">
        <f>_xlfn.CONCAT("""",VLOOKUP(E188,'Index Web'!A$4:L$253,3,FALSE),"""")</f>
        <v>"Salmodias para laudes"</v>
      </c>
      <c r="L188" t="s">
        <v>942</v>
      </c>
      <c r="M188" t="str">
        <f>_xlfn.CONCAT("""",VLOOKUP(E188,'Index Web'!A$4:L$253,4,FALSE),"""")</f>
        <v>"Modelo I, II, III, IV, V"</v>
      </c>
      <c r="N188" t="s">
        <v>943</v>
      </c>
      <c r="O188" t="str">
        <f>_xlfn.CONCAT("""",VLOOKUP(E188,'Index Web'!A$4:L$253,5,FALSE),"""")</f>
        <v>"Liturgia"</v>
      </c>
      <c r="P188" t="s">
        <v>944</v>
      </c>
      <c r="Q188" t="str">
        <f>_xlfn.CONCAT("[",VLOOKUP(E188,'Index Web'!A$4:N$253,14,FALSE),"]")</f>
        <v>[""]</v>
      </c>
      <c r="R188" t="s">
        <v>945</v>
      </c>
      <c r="S188" t="str">
        <f>_xlfn.CONCAT("""/src/index.html?canto=",VLOOKUP(E188,'Index Web'!A$4:N$253,13,FALSE),""", ")</f>
        <v xml:space="preserve">"/src/index.html?canto=salmodiasparalaudes", </v>
      </c>
      <c r="T188" t="str">
        <f>T187</f>
        <v xml:space="preserve">visible: "", </v>
      </c>
      <c r="U188" t="str">
        <f>_xlfn.CONCAT("cejilla: """,C188,""", ")</f>
        <v xml:space="preserve">cejilla: "", </v>
      </c>
      <c r="V188" t="str">
        <f>_xlfn.CONCAT("acorde: """,D188,""", ")</f>
        <v xml:space="preserve">acorde: "Sol", </v>
      </c>
      <c r="W188" t="s">
        <v>2012</v>
      </c>
      <c r="X188" t="s">
        <v>2013</v>
      </c>
      <c r="Y188" t="str">
        <f>_xlfn.CONCAT("""",VLOOKUP(E188,'Index Web'!A$4:O$253,15,FALSE)," ",VLOOKUP(E188,'Index Web'!A$4:O$253,13,FALSE),"""","},")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Z188" t="str">
        <f>_xlfn.CONCAT(F188:Y188)</f>
        <v>{idi:185, id:"salmodiasparalaudes", title: "Salmodias para laudes", subtitle: "Modelo I, II, III, IV, V", category: "Liturgia", moments: [""], url: "/src/index.html?canto=salmodiasparalaudes", visible: "", cejilla: "", acorde: "Sol", scrollConfig: {"mobile": { "v": 25, "i": 1 },"tablet": { "v": 25, "i": 1 },"desktop": { "v": 7, "i": 1 },"desktopsmall": { "v": 7, "i": 1 }},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9" spans="2:26" x14ac:dyDescent="0.25">
      <c r="B189" s="51" t="s">
        <v>620</v>
      </c>
      <c r="C189" s="1" t="str">
        <f>IF(VLOOKUP(Table4[[#This Row],[Cantounido]],Table7[],3,FALSE)=0,"",VLOOKUP(Table4[[#This Row],[Cantounido]],Table7[],3,FALSE))</f>
        <v/>
      </c>
      <c r="D189" s="44" t="str">
        <f>IF(VLOOKUP(Table4[[#This Row],[Cantounido]],Table7[],4,FALSE)=0,"",VLOOKUP(Table4[[#This Row],[Cantounido]],Table7[],4,FALSE))</f>
        <v>La</v>
      </c>
      <c r="E189" s="26">
        <v>144</v>
      </c>
      <c r="F189" t="str">
        <f>F187</f>
        <v>{idi:</v>
      </c>
      <c r="G189" t="str">
        <f>_xlfn.CONCAT(VLOOKUP(E189,'Index Web'!A$4:L$253,2,FALSE),", ")</f>
        <v xml:space="preserve">186, </v>
      </c>
      <c r="H189" t="str">
        <f>H187</f>
        <v>id:</v>
      </c>
      <c r="I189" t="str">
        <f>_xlfn.CONCAT("""",VLOOKUP(E189,'Index Web'!A$4:O$253,13,FALSE),"""",", ")</f>
        <v xml:space="preserve">"salvereinadeloscielos", </v>
      </c>
      <c r="J189" t="s">
        <v>2016</v>
      </c>
      <c r="K189" t="str">
        <f>_xlfn.CONCAT("""",VLOOKUP(E189,'Index Web'!A$4:L$253,3,FALSE),"""")</f>
        <v>"Salve, reina de los cielos"</v>
      </c>
      <c r="L189" t="s">
        <v>942</v>
      </c>
      <c r="M189" t="str">
        <f>_xlfn.CONCAT("""",VLOOKUP(E189,'Index Web'!A$4:L$253,4,FALSE),"""")</f>
        <v>"Himno lat. «Ave, Regina Caelorum»"</v>
      </c>
      <c r="N189" t="s">
        <v>943</v>
      </c>
      <c r="O189" t="str">
        <f>_xlfn.CONCAT("""",VLOOKUP(E189,'Index Web'!A$4:L$253,5,FALSE),"""")</f>
        <v>"Precatecumenado"</v>
      </c>
      <c r="P189" t="s">
        <v>944</v>
      </c>
      <c r="Q189" t="str">
        <f>_xlfn.CONCAT("[",VLOOKUP(E189,'Index Web'!A$4:N$253,14,FALSE),"]")</f>
        <v>["Vírgen María"]</v>
      </c>
      <c r="R189" t="s">
        <v>945</v>
      </c>
      <c r="S189" t="str">
        <f>_xlfn.CONCAT("""/src/index.html?canto=",VLOOKUP(E189,'Index Web'!A$4:N$253,13,FALSE),""", ")</f>
        <v xml:space="preserve">"/src/index.html?canto=salvereinadeloscielos", </v>
      </c>
      <c r="T189" t="str">
        <f>T187</f>
        <v xml:space="preserve">visible: "", </v>
      </c>
      <c r="U189" t="str">
        <f>_xlfn.CONCAT("cejilla: """,C189,""", ")</f>
        <v xml:space="preserve">cejilla: "", </v>
      </c>
      <c r="V189" t="str">
        <f>_xlfn.CONCAT("acorde: """,D189,""", ")</f>
        <v xml:space="preserve">acorde: "La", </v>
      </c>
      <c r="W189" t="s">
        <v>2012</v>
      </c>
      <c r="X189" t="s">
        <v>2013</v>
      </c>
      <c r="Y189" t="str">
        <f>_xlfn.CONCAT("""",VLOOKUP(E189,'Index Web'!A$4:O$253,15,FALSE)," ",VLOOKUP(E189,'Index Web'!A$4:O$253,13,FALSE),"""","},")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Z189" t="str">
        <f>_xlfn.CONCAT(F189:Y189)</f>
        <v>{idi:186, id:"salvereinadeloscielos", title: "Salve, reina de los cielos", subtitle: "Himno lat. «Ave, Regina Caelorum»", category: "Precatecumenado", moments: ["Vírgen María"], url: "/src/index.html?canto=salvereinadeloscielos", visible: "", cejilla: "", acorde: "La", scrollConfig: {"mobile": { "v": 25, "i": 1 },"tablet": { "v": 25, "i": 1 },"desktop": { "v": 7, "i": 1 },"desktopsmall": { "v": 7, "i": 1 }},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90" spans="2:26" x14ac:dyDescent="0.25">
      <c r="B190" s="52" t="s">
        <v>681</v>
      </c>
      <c r="C190" s="1" t="str">
        <f>IF(VLOOKUP(Table4[[#This Row],[Cantounido]],Table7[],3,FALSE)=0,"",VLOOKUP(Table4[[#This Row],[Cantounido]],Table7[],3,FALSE))</f>
        <v/>
      </c>
      <c r="D190" s="44" t="str">
        <f>IF(VLOOKUP(Table4[[#This Row],[Cantounido]],Table7[],4,FALSE)=0,"",VLOOKUP(Table4[[#This Row],[Cantounido]],Table7[],4,FALSE))</f>
        <v>La</v>
      </c>
      <c r="E190" s="27">
        <v>218</v>
      </c>
      <c r="F190" t="str">
        <f>F189</f>
        <v>{idi:</v>
      </c>
      <c r="G190" t="str">
        <f>_xlfn.CONCAT(VLOOKUP(E190,'Index Web'!A$4:L$253,2,FALSE),", ")</f>
        <v xml:space="preserve">187, </v>
      </c>
      <c r="H190" t="str">
        <f>H189</f>
        <v>id:</v>
      </c>
      <c r="I190" t="str">
        <f>_xlfn.CONCAT("""",VLOOKUP(E190,'Index Web'!A$4:O$253,13,FALSE),"""",", ")</f>
        <v xml:space="preserve">"santo1982", </v>
      </c>
      <c r="J190" t="s">
        <v>2016</v>
      </c>
      <c r="K190" t="str">
        <f>_xlfn.CONCAT("""",VLOOKUP(E190,'Index Web'!A$4:L$253,3,FALSE),"""")</f>
        <v>"Santo 1982"</v>
      </c>
      <c r="L190" t="s">
        <v>942</v>
      </c>
      <c r="M190" t="str">
        <f>_xlfn.CONCAT("""",VLOOKUP(E190,'Index Web'!A$4:L$253,4,FALSE),"""")</f>
        <v>"1982"</v>
      </c>
      <c r="N190" t="s">
        <v>943</v>
      </c>
      <c r="O190" t="str">
        <f>_xlfn.CONCAT("""",VLOOKUP(E190,'Index Web'!A$4:L$253,5,FALSE),"""")</f>
        <v>"Liturgia"</v>
      </c>
      <c r="P190" t="s">
        <v>944</v>
      </c>
      <c r="Q190" t="str">
        <f>_xlfn.CONCAT("[",VLOOKUP(E190,'Index Web'!A$4:N$253,14,FALSE),"]")</f>
        <v>[""]</v>
      </c>
      <c r="R190" t="s">
        <v>945</v>
      </c>
      <c r="S190" t="str">
        <f>_xlfn.CONCAT("""/src/index.html?canto=",VLOOKUP(E190,'Index Web'!A$4:N$253,13,FALSE),""", ")</f>
        <v xml:space="preserve">"/src/index.html?canto=santo1982", </v>
      </c>
      <c r="T190" t="str">
        <f>T189</f>
        <v xml:space="preserve">visible: "", </v>
      </c>
      <c r="U190" t="str">
        <f>_xlfn.CONCAT("cejilla: """,C190,""", ")</f>
        <v xml:space="preserve">cejilla: "", </v>
      </c>
      <c r="V190" t="str">
        <f>_xlfn.CONCAT("acorde: """,D190,""", ")</f>
        <v xml:space="preserve">acorde: "La", </v>
      </c>
      <c r="W190" t="s">
        <v>2012</v>
      </c>
      <c r="X190" t="s">
        <v>2013</v>
      </c>
      <c r="Y190" t="str">
        <f>_xlfn.CONCAT("""",VLOOKUP(E190,'Index Web'!A$4:O$253,15,FALSE)," ",VLOOKUP(E190,'Index Web'!A$4:O$253,13,FALSE),"""","},")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Z190" t="str">
        <f>_xlfn.CONCAT(F190:Y190)</f>
        <v>{idi:187, id:"santo1982", title: "Santo 1982", subtitle: "1982", category: "Liturgia", moments: [""], url: "/src/index.html?canto=santo1982", visible: "", cejilla: "", acorde: "La", scrollConfig: {"mobile": { "v": 25, "i": 1 },"tablet": { "v": 25, "i": 1 },"desktop": { "v": 7, "i": 1 },"desktopsmall": { "v": 7, "i": 1 }},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91" spans="2:26" x14ac:dyDescent="0.25">
      <c r="B191" s="54" t="s">
        <v>682</v>
      </c>
      <c r="C191" s="1" t="str">
        <f>IF(VLOOKUP(Table4[[#This Row],[Cantounido]],Table7[],3,FALSE)=0,"",VLOOKUP(Table4[[#This Row],[Cantounido]],Table7[],3,FALSE))</f>
        <v/>
      </c>
      <c r="D191" s="44" t="str">
        <f>IF(VLOOKUP(Table4[[#This Row],[Cantounido]],Table7[],4,FALSE)=0,"",VLOOKUP(Table4[[#This Row],[Cantounido]],Table7[],4,FALSE))</f>
        <v>La</v>
      </c>
      <c r="E191" s="29">
        <v>219</v>
      </c>
      <c r="F191" t="str">
        <f>F190</f>
        <v>{idi:</v>
      </c>
      <c r="G191" t="str">
        <f>_xlfn.CONCAT(VLOOKUP(E191,'Index Web'!A$4:L$253,2,FALSE),", ")</f>
        <v xml:space="preserve">188, </v>
      </c>
      <c r="H191" t="str">
        <f>H190</f>
        <v>id:</v>
      </c>
      <c r="I191" t="str">
        <f>_xlfn.CONCAT("""",VLOOKUP(E191,'Index Web'!A$4:O$253,13,FALSE),"""",", ")</f>
        <v xml:space="preserve">"santo1988", </v>
      </c>
      <c r="J191" t="s">
        <v>2016</v>
      </c>
      <c r="K191" t="str">
        <f>_xlfn.CONCAT("""",VLOOKUP(E191,'Index Web'!A$4:L$253,3,FALSE),"""")</f>
        <v>"Santo 1988"</v>
      </c>
      <c r="L191" t="s">
        <v>942</v>
      </c>
      <c r="M191" t="str">
        <f>_xlfn.CONCAT("""",VLOOKUP(E191,'Index Web'!A$4:L$253,4,FALSE),"""")</f>
        <v>"1988"</v>
      </c>
      <c r="N191" t="s">
        <v>943</v>
      </c>
      <c r="O191" t="str">
        <f>_xlfn.CONCAT("""",VLOOKUP(E191,'Index Web'!A$4:L$253,5,FALSE),"""")</f>
        <v>"Liturgia"</v>
      </c>
      <c r="P191" t="s">
        <v>944</v>
      </c>
      <c r="Q191" t="str">
        <f>_xlfn.CONCAT("[",VLOOKUP(E191,'Index Web'!A$4:N$253,14,FALSE),"]")</f>
        <v>[""]</v>
      </c>
      <c r="R191" t="s">
        <v>945</v>
      </c>
      <c r="S191" t="str">
        <f>_xlfn.CONCAT("""/src/index.html?canto=",VLOOKUP(E191,'Index Web'!A$4:N$253,13,FALSE),""", ")</f>
        <v xml:space="preserve">"/src/index.html?canto=santo1988", </v>
      </c>
      <c r="T191" t="str">
        <f>T190</f>
        <v xml:space="preserve">visible: "", </v>
      </c>
      <c r="U191" t="str">
        <f>_xlfn.CONCAT("cejilla: """,C191,""", ")</f>
        <v xml:space="preserve">cejilla: "", </v>
      </c>
      <c r="V191" t="str">
        <f>_xlfn.CONCAT("acorde: """,D191,""", ")</f>
        <v xml:space="preserve">acorde: "La", </v>
      </c>
      <c r="W191" t="s">
        <v>2012</v>
      </c>
      <c r="X191" t="s">
        <v>2013</v>
      </c>
      <c r="Y191" t="str">
        <f>_xlfn.CONCAT("""",VLOOKUP(E191,'Index Web'!A$4:O$253,15,FALSE)," ",VLOOKUP(E191,'Index Web'!A$4:O$253,13,FALSE),"""","},")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Z191" t="str">
        <f>_xlfn.CONCAT(F191:Y191)</f>
        <v>{idi:188, id:"santo1988", title: "Santo 1988", subtitle: "1988", category: "Liturgia", moments: [""], url: "/src/index.html?canto=santo1988", visible: "", cejilla: "", acorde: "La", scrollConfig: {"mobile": { "v": 25, "i": 1 },"tablet": { "v": 25, "i": 1 },"desktop": { "v": 7, "i": 1 },"desktopsmall": { "v": 7, "i": 1 }},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2" spans="2:26" x14ac:dyDescent="0.25">
      <c r="B192" s="54" t="s">
        <v>678</v>
      </c>
      <c r="C192" s="1" t="str">
        <f>IF(VLOOKUP(Table4[[#This Row],[Cantounido]],Table7[],3,FALSE)=0,"",VLOOKUP(Table4[[#This Row],[Cantounido]],Table7[],3,FALSE))</f>
        <v/>
      </c>
      <c r="D192" s="44" t="str">
        <f>IF(VLOOKUP(Table4[[#This Row],[Cantounido]],Table7[],4,FALSE)=0,"",VLOOKUP(Table4[[#This Row],[Cantounido]],Table7[],4,FALSE))</f>
        <v>Re</v>
      </c>
      <c r="E192" s="29">
        <v>215</v>
      </c>
      <c r="F192" t="str">
        <f>F191</f>
        <v>{idi:</v>
      </c>
      <c r="G192" t="str">
        <f>_xlfn.CONCAT(VLOOKUP(E192,'Index Web'!A$4:L$253,2,FALSE),", ")</f>
        <v xml:space="preserve">189, </v>
      </c>
      <c r="H192" t="str">
        <f>H191</f>
        <v>id:</v>
      </c>
      <c r="I192" t="str">
        <f>_xlfn.CONCAT("""",VLOOKUP(E192,'Index Web'!A$4:O$253,13,FALSE),"""",", ")</f>
        <v xml:space="preserve">"santomelodiahebraica", </v>
      </c>
      <c r="J192" t="s">
        <v>2016</v>
      </c>
      <c r="K192" t="str">
        <f>_xlfn.CONCAT("""",VLOOKUP(E192,'Index Web'!A$4:L$253,3,FALSE),"""")</f>
        <v>"Santo Melodía hebraica"</v>
      </c>
      <c r="L192" t="s">
        <v>942</v>
      </c>
      <c r="M192" t="str">
        <f>_xlfn.CONCAT("""",VLOOKUP(E192,'Index Web'!A$4:L$253,4,FALSE),"""")</f>
        <v>"Melodía hebraica "</v>
      </c>
      <c r="N192" t="s">
        <v>943</v>
      </c>
      <c r="O192" t="str">
        <f>_xlfn.CONCAT("""",VLOOKUP(E192,'Index Web'!A$4:L$253,5,FALSE),"""")</f>
        <v>"Liturgia"</v>
      </c>
      <c r="P192" t="s">
        <v>944</v>
      </c>
      <c r="Q192" t="str">
        <f>_xlfn.CONCAT("[",VLOOKUP(E192,'Index Web'!A$4:N$253,14,FALSE),"]")</f>
        <v>[""]</v>
      </c>
      <c r="R192" t="s">
        <v>945</v>
      </c>
      <c r="S192" t="str">
        <f>_xlfn.CONCAT("""/src/index.html?canto=",VLOOKUP(E192,'Index Web'!A$4:N$253,13,FALSE),""", ")</f>
        <v xml:space="preserve">"/src/index.html?canto=santomelodiahebraica", </v>
      </c>
      <c r="T192" t="str">
        <f>T191</f>
        <v xml:space="preserve">visible: "", </v>
      </c>
      <c r="U192" t="str">
        <f>_xlfn.CONCAT("cejilla: """,C192,""", ")</f>
        <v xml:space="preserve">cejilla: "", </v>
      </c>
      <c r="V192" t="str">
        <f>_xlfn.CONCAT("acorde: """,D192,""", ")</f>
        <v xml:space="preserve">acorde: "Re", </v>
      </c>
      <c r="W192" t="s">
        <v>2012</v>
      </c>
      <c r="X192" t="s">
        <v>2013</v>
      </c>
      <c r="Y192" t="str">
        <f>_xlfn.CONCAT("""",VLOOKUP(E192,'Index Web'!A$4:O$253,15,FALSE)," ",VLOOKUP(E192,'Index Web'!A$4:O$253,13,FALSE),"""","},")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Z192" t="str">
        <f>_xlfn.CONCAT(F192:Y192)</f>
        <v>{idi:189, id:"santomelodiahebraica", title: "Santo Melodía hebraica", subtitle: "Melodía hebraica ", category: "Liturgia", moments: [""], url: "/src/index.html?canto=santomelodiahebraica", visible: "", cejilla: "", acorde: "Re", scrollConfig: {"mobile": { "v": 25, "i": 1 },"tablet": { "v": 25, "i": 1 },"desktop": { "v": 7, "i": 1 },"desktopsmall": { "v": 7, "i": 1 }},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3" spans="2:26" x14ac:dyDescent="0.25">
      <c r="B193" s="52" t="s">
        <v>679</v>
      </c>
      <c r="C193" s="1" t="str">
        <f>IF(VLOOKUP(Table4[[#This Row],[Cantounido]],Table7[],3,FALSE)=0,"",VLOOKUP(Table4[[#This Row],[Cantounido]],Table7[],3,FALSE))</f>
        <v/>
      </c>
      <c r="D193" s="44" t="str">
        <f>IF(VLOOKUP(Table4[[#This Row],[Cantounido]],Table7[],4,FALSE)=0,"",VLOOKUP(Table4[[#This Row],[Cantounido]],Table7[],4,FALSE))</f>
        <v>Re</v>
      </c>
      <c r="E193" s="27">
        <v>216</v>
      </c>
      <c r="F193" t="str">
        <f>F192</f>
        <v>{idi:</v>
      </c>
      <c r="G193" t="str">
        <f>_xlfn.CONCAT(VLOOKUP(E193,'Index Web'!A$4:L$253,2,FALSE),", ")</f>
        <v xml:space="preserve">190, </v>
      </c>
      <c r="H193" t="str">
        <f>H192</f>
        <v>id:</v>
      </c>
      <c r="I193" t="str">
        <f>_xlfn.CONCAT("""",VLOOKUP(E193,'Index Web'!A$4:O$253,13,FALSE),"""",", ")</f>
        <v xml:space="preserve">"santopalestina74", </v>
      </c>
      <c r="J193" t="s">
        <v>2016</v>
      </c>
      <c r="K193" t="str">
        <f>_xlfn.CONCAT("""",VLOOKUP(E193,'Index Web'!A$4:L$253,3,FALSE),"""")</f>
        <v>"Santo Palestina 74"</v>
      </c>
      <c r="L193" t="s">
        <v>942</v>
      </c>
      <c r="M193" t="str">
        <f>_xlfn.CONCAT("""",VLOOKUP(E193,'Index Web'!A$4:L$253,4,FALSE),"""")</f>
        <v>"Palestina 74"</v>
      </c>
      <c r="N193" t="s">
        <v>943</v>
      </c>
      <c r="O193" t="str">
        <f>_xlfn.CONCAT("""",VLOOKUP(E193,'Index Web'!A$4:L$253,5,FALSE),"""")</f>
        <v>"Liturgia"</v>
      </c>
      <c r="P193" t="s">
        <v>944</v>
      </c>
      <c r="Q193" t="str">
        <f>_xlfn.CONCAT("[",VLOOKUP(E193,'Index Web'!A$4:N$253,14,FALSE),"]")</f>
        <v>[""]</v>
      </c>
      <c r="R193" t="s">
        <v>945</v>
      </c>
      <c r="S193" t="str">
        <f>_xlfn.CONCAT("""/src/index.html?canto=",VLOOKUP(E193,'Index Web'!A$4:N$253,13,FALSE),""", ")</f>
        <v xml:space="preserve">"/src/index.html?canto=santopalestina74", </v>
      </c>
      <c r="T193" t="str">
        <f>T192</f>
        <v xml:space="preserve">visible: "", </v>
      </c>
      <c r="U193" t="str">
        <f>_xlfn.CONCAT("cejilla: """,C193,""", ")</f>
        <v xml:space="preserve">cejilla: "", </v>
      </c>
      <c r="V193" t="str">
        <f>_xlfn.CONCAT("acorde: """,D193,""", ")</f>
        <v xml:space="preserve">acorde: "Re", </v>
      </c>
      <c r="W193" t="s">
        <v>2012</v>
      </c>
      <c r="X193" t="s">
        <v>2013</v>
      </c>
      <c r="Y193" t="str">
        <f>_xlfn.CONCAT("""",VLOOKUP(E193,'Index Web'!A$4:O$253,15,FALSE)," ",VLOOKUP(E193,'Index Web'!A$4:O$253,13,FALSE),"""","},")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Z193" t="str">
        <f>_xlfn.CONCAT(F193:Y193)</f>
        <v>{idi:190, id:"santopalestina74", title: "Santo Palestina 74", subtitle: "Palestina 74", category: "Liturgia", moments: [""], url: "/src/index.html?canto=santopalestina74", visible: "", cejilla: "", acorde: "Re", scrollConfig: {"mobile": { "v": 25, "i": 1 },"tablet": { "v": 25, "i": 1 },"desktop": { "v": 7, "i": 1 },"desktopsmall": { "v": 7, "i": 1 }},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4" spans="2:26" x14ac:dyDescent="0.25">
      <c r="B194" s="52" t="s">
        <v>677</v>
      </c>
      <c r="C194" s="1" t="str">
        <f>IF(VLOOKUP(Table4[[#This Row],[Cantounido]],Table7[],3,FALSE)=0,"",VLOOKUP(Table4[[#This Row],[Cantounido]],Table7[],3,FALSE))</f>
        <v/>
      </c>
      <c r="D194" s="44" t="str">
        <f>IF(VLOOKUP(Table4[[#This Row],[Cantounido]],Table7[],4,FALSE)=0,"",VLOOKUP(Table4[[#This Row],[Cantounido]],Table7[],4,FALSE))</f>
        <v>Mi</v>
      </c>
      <c r="E194" s="27">
        <v>214</v>
      </c>
      <c r="F194" t="str">
        <f>F193</f>
        <v>{idi:</v>
      </c>
      <c r="G194" t="str">
        <f>_xlfn.CONCAT(VLOOKUP(E194,'Index Web'!A$4:L$253,2,FALSE),", ")</f>
        <v xml:space="preserve">191, </v>
      </c>
      <c r="H194" t="str">
        <f>H193</f>
        <v>id:</v>
      </c>
      <c r="I194" t="str">
        <f>_xlfn.CONCAT("""",VLOOKUP(E194,'Index Web'!A$4:O$253,13,FALSE),"""",", ")</f>
        <v xml:space="preserve">"santopalomeras65", </v>
      </c>
      <c r="J194" t="s">
        <v>2016</v>
      </c>
      <c r="K194" t="str">
        <f>_xlfn.CONCAT("""",VLOOKUP(E194,'Index Web'!A$4:L$253,3,FALSE),"""")</f>
        <v>"Santo Palomeras 65 "</v>
      </c>
      <c r="L194" t="s">
        <v>942</v>
      </c>
      <c r="M194" t="str">
        <f>_xlfn.CONCAT("""",VLOOKUP(E194,'Index Web'!A$4:L$253,4,FALSE),"""")</f>
        <v>"Palomeras 65"</v>
      </c>
      <c r="N194" t="s">
        <v>943</v>
      </c>
      <c r="O194" t="str">
        <f>_xlfn.CONCAT("""",VLOOKUP(E194,'Index Web'!A$4:L$253,5,FALSE),"""")</f>
        <v>"Liturgia"</v>
      </c>
      <c r="P194" t="s">
        <v>944</v>
      </c>
      <c r="Q194" t="str">
        <f>_xlfn.CONCAT("[",VLOOKUP(E194,'Index Web'!A$4:N$253,14,FALSE),"]")</f>
        <v>[""]</v>
      </c>
      <c r="R194" t="s">
        <v>945</v>
      </c>
      <c r="S194" t="str">
        <f>_xlfn.CONCAT("""/src/index.html?canto=",VLOOKUP(E194,'Index Web'!A$4:N$253,13,FALSE),""", ")</f>
        <v xml:space="preserve">"/src/index.html?canto=santopalomeras65", </v>
      </c>
      <c r="T194" t="str">
        <f>T193</f>
        <v xml:space="preserve">visible: "", </v>
      </c>
      <c r="U194" t="str">
        <f>_xlfn.CONCAT("cejilla: """,C194,""", ")</f>
        <v xml:space="preserve">cejilla: "", </v>
      </c>
      <c r="V194" t="str">
        <f>_xlfn.CONCAT("acorde: """,D194,""", ")</f>
        <v xml:space="preserve">acorde: "Mi", </v>
      </c>
      <c r="W194" t="s">
        <v>2012</v>
      </c>
      <c r="X194" t="s">
        <v>2013</v>
      </c>
      <c r="Y194" t="str">
        <f>_xlfn.CONCAT("""",VLOOKUP(E194,'Index Web'!A$4:O$253,15,FALSE)," ",VLOOKUP(E194,'Index Web'!A$4:O$253,13,FALSE),"""","},")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Z194" t="str">
        <f>_xlfn.CONCAT(F194:Y194)</f>
        <v>{idi:191, id:"santopalomeras65", title: "Santo Palomeras 65 ", subtitle: "Palomeras 65", category: "Liturgia", moments: [""], url: "/src/index.html?canto=santopalomeras65", visible: "", cejilla: "", acorde: "Mi", scrollConfig: {"mobile": { "v": 25, "i": 1 },"tablet": { "v": 25, "i": 1 },"desktop": { "v": 7, "i": 1 },"desktopsmall": { "v": 7, "i": 1 }},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5" spans="2:26" x14ac:dyDescent="0.25">
      <c r="B195" s="54" t="s">
        <v>680</v>
      </c>
      <c r="C195" s="1" t="str">
        <f>IF(VLOOKUP(Table4[[#This Row],[Cantounido]],Table7[],3,FALSE)=0,"",VLOOKUP(Table4[[#This Row],[Cantounido]],Table7[],3,FALSE))</f>
        <v/>
      </c>
      <c r="D195" s="44" t="str">
        <f>IF(VLOOKUP(Table4[[#This Row],[Cantounido]],Table7[],4,FALSE)=0,"",VLOOKUP(Table4[[#This Row],[Cantounido]],Table7[],4,FALSE))</f>
        <v>La</v>
      </c>
      <c r="E195" s="29">
        <v>217</v>
      </c>
      <c r="F195" t="str">
        <f>F194</f>
        <v>{idi:</v>
      </c>
      <c r="G195" t="str">
        <f>_xlfn.CONCAT(VLOOKUP(E195,'Index Web'!A$4:L$253,2,FALSE),", ")</f>
        <v xml:space="preserve">192, </v>
      </c>
      <c r="H195" t="str">
        <f>H194</f>
        <v>id:</v>
      </c>
      <c r="I195" t="str">
        <f>_xlfn.CONCAT("""",VLOOKUP(E195,'Index Web'!A$4:O$253,13,FALSE),"""",", ")</f>
        <v xml:space="preserve">"santoroma77", </v>
      </c>
      <c r="J195" t="s">
        <v>2016</v>
      </c>
      <c r="K195" t="str">
        <f>_xlfn.CONCAT("""",VLOOKUP(E195,'Index Web'!A$4:L$253,3,FALSE),"""")</f>
        <v>"Santo Roma 77"</v>
      </c>
      <c r="L195" t="s">
        <v>942</v>
      </c>
      <c r="M195" t="str">
        <f>_xlfn.CONCAT("""",VLOOKUP(E195,'Index Web'!A$4:L$253,4,FALSE),"""")</f>
        <v>"Roma 77"</v>
      </c>
      <c r="N195" t="s">
        <v>943</v>
      </c>
      <c r="O195" t="str">
        <f>_xlfn.CONCAT("""",VLOOKUP(E195,'Index Web'!A$4:L$253,5,FALSE),"""")</f>
        <v>"Liturgia"</v>
      </c>
      <c r="P195" t="s">
        <v>944</v>
      </c>
      <c r="Q195" t="str">
        <f>_xlfn.CONCAT("[",VLOOKUP(E195,'Index Web'!A$4:N$253,14,FALSE),"]")</f>
        <v>[""]</v>
      </c>
      <c r="R195" t="s">
        <v>945</v>
      </c>
      <c r="S195" t="str">
        <f>_xlfn.CONCAT("""/src/index.html?canto=",VLOOKUP(E195,'Index Web'!A$4:N$253,13,FALSE),""", ")</f>
        <v xml:space="preserve">"/src/index.html?canto=santoroma77", </v>
      </c>
      <c r="T195" t="str">
        <f>T194</f>
        <v xml:space="preserve">visible: "", </v>
      </c>
      <c r="U195" t="str">
        <f>_xlfn.CONCAT("cejilla: """,C195,""", ")</f>
        <v xml:space="preserve">cejilla: "", </v>
      </c>
      <c r="V195" t="str">
        <f>_xlfn.CONCAT("acorde: """,D195,""", ")</f>
        <v xml:space="preserve">acorde: "La", </v>
      </c>
      <c r="W195" t="s">
        <v>2012</v>
      </c>
      <c r="X195" t="s">
        <v>2013</v>
      </c>
      <c r="Y195" t="str">
        <f>_xlfn.CONCAT("""",VLOOKUP(E195,'Index Web'!A$4:O$253,15,FALSE)," ",VLOOKUP(E195,'Index Web'!A$4:O$253,13,FALSE),"""","},")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Z195" t="str">
        <f>_xlfn.CONCAT(F195:Y195)</f>
        <v>{idi:192, id:"santoroma77", title: "Santo Roma 77", subtitle: "Roma 77", category: "Liturgia", moments: [""], url: "/src/index.html?canto=santoroma77", visible: "", cejilla: "", acorde: "La", scrollConfig: {"mobile": { "v": 25, "i": 1 },"tablet": { "v": 25, "i": 1 },"desktop": { "v": 7, "i": 1 },"desktopsmall": { "v": 7, "i": 1 }},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6" spans="2:26" x14ac:dyDescent="0.25">
      <c r="B196" s="50" t="s">
        <v>621</v>
      </c>
      <c r="C196" s="1" t="str">
        <f>IF(VLOOKUP(Table4[[#This Row],[Cantounido]],Table7[],3,FALSE)=0,"",VLOOKUP(Table4[[#This Row],[Cantounido]],Table7[],3,FALSE))</f>
        <v/>
      </c>
      <c r="D196" s="44" t="str">
        <f>IF(VLOOKUP(Table4[[#This Row],[Cantounido]],Table7[],4,FALSE)=0,"",VLOOKUP(Table4[[#This Row],[Cantounido]],Table7[],4,FALSE))</f>
        <v>La</v>
      </c>
      <c r="E196" s="25">
        <v>145</v>
      </c>
      <c r="F196" t="str">
        <f>F195</f>
        <v>{idi:</v>
      </c>
      <c r="G196" t="str">
        <f>_xlfn.CONCAT(VLOOKUP(E196,'Index Web'!A$4:L$253,2,FALSE),", ")</f>
        <v xml:space="preserve">193, </v>
      </c>
      <c r="H196" t="str">
        <f>H195</f>
        <v>id:</v>
      </c>
      <c r="I196" t="str">
        <f>_xlfn.CONCAT("""",VLOOKUP(E196,'Index Web'!A$4:O$253,13,FALSE),"""",", ")</f>
        <v xml:space="preserve">"seencontrarondosangeles", </v>
      </c>
      <c r="J196" t="s">
        <v>2016</v>
      </c>
      <c r="K196" t="str">
        <f>_xlfn.CONCAT("""",VLOOKUP(E196,'Index Web'!A$4:L$253,3,FALSE),"""")</f>
        <v>"Se encontraron dos ángeles"</v>
      </c>
      <c r="L196" t="s">
        <v>942</v>
      </c>
      <c r="M196" t="str">
        <f>_xlfn.CONCAT("""",VLOOKUP(E196,'Index Web'!A$4:L$253,4,FALSE),"""")</f>
        <v>"Melodía hebraica"</v>
      </c>
      <c r="N196" t="s">
        <v>943</v>
      </c>
      <c r="O196" t="str">
        <f>_xlfn.CONCAT("""",VLOOKUP(E196,'Index Web'!A$4:L$253,5,FALSE),"""")</f>
        <v>"Precatecumenado"</v>
      </c>
      <c r="P196" t="s">
        <v>944</v>
      </c>
      <c r="Q196" t="str">
        <f>_xlfn.CONCAT("[",VLOOKUP(E196,'Index Web'!A$4:N$253,14,FALSE),"]")</f>
        <v>["Niños","Paz"]</v>
      </c>
      <c r="R196" t="s">
        <v>945</v>
      </c>
      <c r="S196" t="str">
        <f>_xlfn.CONCAT("""/src/index.html?canto=",VLOOKUP(E196,'Index Web'!A$4:N$253,13,FALSE),""", ")</f>
        <v xml:space="preserve">"/src/index.html?canto=seencontrarondosangeles", </v>
      </c>
      <c r="T196" t="str">
        <f>T195</f>
        <v xml:space="preserve">visible: "", </v>
      </c>
      <c r="U196" t="str">
        <f>_xlfn.CONCAT("cejilla: """,C196,""", ")</f>
        <v xml:space="preserve">cejilla: "", </v>
      </c>
      <c r="V196" t="str">
        <f>_xlfn.CONCAT("acorde: """,D196,""", ")</f>
        <v xml:space="preserve">acorde: "La", </v>
      </c>
      <c r="W196" t="s">
        <v>2012</v>
      </c>
      <c r="X196" t="s">
        <v>2013</v>
      </c>
      <c r="Y196" t="str">
        <f>_xlfn.CONCAT("""",VLOOKUP(E196,'Index Web'!A$4:O$253,15,FALSE)," ",VLOOKUP(E196,'Index Web'!A$4:O$253,13,FALSE),"""","},")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Z196" t="str">
        <f>_xlfn.CONCAT(F196:Y196)</f>
        <v>{idi:193, id:"seencontrarondosangeles", title: "Se encontraron dos ángeles", subtitle: "Melodía hebraica", category: "Precatecumenado", moments: ["Niños","Paz"], url: "/src/index.html?canto=seencontrarondosangeles", visible: "", cejilla: "", acorde: "La", scrollConfig: {"mobile": { "v": 25, "i": 1 },"tablet": { "v": 25, "i": 1 },"desktop": { "v": 7, "i": 1 },"desktopsmall": { "v": 7, "i": 1 }},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7" spans="2:26" x14ac:dyDescent="0.25">
      <c r="B197" s="51" t="s">
        <v>622</v>
      </c>
      <c r="C197" s="1" t="str">
        <f>IF(VLOOKUP(Table4[[#This Row],[Cantounido]],Table7[],3,FALSE)=0,"",VLOOKUP(Table4[[#This Row],[Cantounido]],Table7[],3,FALSE))</f>
        <v/>
      </c>
      <c r="D197" s="44" t="str">
        <f>IF(VLOOKUP(Table4[[#This Row],[Cantounido]],Table7[],4,FALSE)=0,"",VLOOKUP(Table4[[#This Row],[Cantounido]],Table7[],4,FALSE))</f>
        <v>Si</v>
      </c>
      <c r="E197" s="26">
        <v>146</v>
      </c>
      <c r="F197" t="str">
        <f>F196</f>
        <v>{idi:</v>
      </c>
      <c r="G197" t="str">
        <f>_xlfn.CONCAT(VLOOKUP(E197,'Index Web'!A$4:L$253,2,FALSE),", ")</f>
        <v xml:space="preserve">194, </v>
      </c>
      <c r="H197" t="str">
        <f>H196</f>
        <v>id:</v>
      </c>
      <c r="I197" t="str">
        <f>_xlfn.CONCAT("""",VLOOKUP(E197,'Index Web'!A$4:O$253,13,FALSE),"""",", ")</f>
        <v xml:space="preserve">"senorayudameanodudardeti", </v>
      </c>
      <c r="J197" t="s">
        <v>2016</v>
      </c>
      <c r="K197" t="str">
        <f>_xlfn.CONCAT("""",VLOOKUP(E197,'Index Web'!A$4:L$253,3,FALSE),"""")</f>
        <v>"Señor, ayúdame a no dudar de ti"</v>
      </c>
      <c r="L197" t="s">
        <v>942</v>
      </c>
      <c r="M197" t="str">
        <f>_xlfn.CONCAT("""",VLOOKUP(E197,'Index Web'!A$4:L$253,4,FALSE),"""")</f>
        <v>"(Kiko Argüello)"</v>
      </c>
      <c r="N197" t="s">
        <v>943</v>
      </c>
      <c r="O197" t="str">
        <f>_xlfn.CONCAT("""",VLOOKUP(E197,'Index Web'!A$4:L$253,5,FALSE),"""")</f>
        <v>"Precatecumenado"</v>
      </c>
      <c r="P197" t="s">
        <v>944</v>
      </c>
      <c r="Q197" t="str">
        <f>_xlfn.CONCAT("[",VLOOKUP(E197,'Index Web'!A$4:N$253,14,FALSE),"]")</f>
        <v>["Cuaresma"]</v>
      </c>
      <c r="R197" t="s">
        <v>945</v>
      </c>
      <c r="S197" t="str">
        <f>_xlfn.CONCAT("""/src/index.html?canto=",VLOOKUP(E197,'Index Web'!A$4:N$253,13,FALSE),""", ")</f>
        <v xml:space="preserve">"/src/index.html?canto=senorayudameanodudardeti", </v>
      </c>
      <c r="T197" t="str">
        <f>T196</f>
        <v xml:space="preserve">visible: "", </v>
      </c>
      <c r="U197" t="str">
        <f>_xlfn.CONCAT("cejilla: """,C197,""", ")</f>
        <v xml:space="preserve">cejilla: "", </v>
      </c>
      <c r="V197" t="str">
        <f>_xlfn.CONCAT("acorde: """,D197,""", ")</f>
        <v xml:space="preserve">acorde: "Si", </v>
      </c>
      <c r="W197" t="s">
        <v>2012</v>
      </c>
      <c r="X197" t="s">
        <v>2013</v>
      </c>
      <c r="Y197" t="str">
        <f>_xlfn.CONCAT("""",VLOOKUP(E197,'Index Web'!A$4:O$253,15,FALSE)," ",VLOOKUP(E197,'Index Web'!A$4:O$253,13,FALSE),"""","},")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Z197" t="str">
        <f>_xlfn.CONCAT(F197:Y197)</f>
        <v>{idi:194, id:"senorayudameanodudardeti", title: "Señor, ayúdame a no dudar de ti", subtitle: "(Kiko Argüello)", category: "Precatecumenado", moments: ["Cuaresma"], url: "/src/index.html?canto=senorayudameanodudardeti", visible: "", cejilla: "", acorde: "Si", scrollConfig: {"mobile": { "v": 25, "i": 1 },"tablet": { "v": 25, "i": 1 },"desktop": { "v": 7, "i": 1 },"desktopsmall": { "v": 7, "i": 1 }},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8" spans="2:26" x14ac:dyDescent="0.25">
      <c r="B198" s="50" t="s">
        <v>623</v>
      </c>
      <c r="C198" s="1" t="str">
        <f>IF(VLOOKUP(Table4[[#This Row],[Cantounido]],Table7[],3,FALSE)=0,"",VLOOKUP(Table4[[#This Row],[Cantounido]],Table7[],3,FALSE))</f>
        <v/>
      </c>
      <c r="D198" s="44" t="str">
        <f>IF(VLOOKUP(Table4[[#This Row],[Cantounido]],Table7[],4,FALSE)=0,"",VLOOKUP(Table4[[#This Row],[Cantounido]],Table7[],4,FALSE))</f>
        <v>Fa#</v>
      </c>
      <c r="E198" s="25">
        <v>147</v>
      </c>
      <c r="F198" t="str">
        <f>F197</f>
        <v>{idi:</v>
      </c>
      <c r="G198" t="str">
        <f>_xlfn.CONCAT(VLOOKUP(E198,'Index Web'!A$4:L$253,2,FALSE),", ")</f>
        <v xml:space="preserve">195, </v>
      </c>
      <c r="H198" t="str">
        <f>H197</f>
        <v>id:</v>
      </c>
      <c r="I198" t="str">
        <f>_xlfn.CONCAT("""",VLOOKUP(E198,'Index Web'!A$4:O$253,13,FALSE),"""",", ")</f>
        <v xml:space="preserve">"senornomecorrijasentucolera", </v>
      </c>
      <c r="J198" t="s">
        <v>2016</v>
      </c>
      <c r="K198" t="str">
        <f>_xlfn.CONCAT("""",VLOOKUP(E198,'Index Web'!A$4:L$253,3,FALSE),"""")</f>
        <v>"Señor, no me corrijas en tu cólera"</v>
      </c>
      <c r="L198" t="s">
        <v>942</v>
      </c>
      <c r="M198" t="str">
        <f>_xlfn.CONCAT("""",VLOOKUP(E198,'Index Web'!A$4:L$253,4,FALSE),"""")</f>
        <v>"Salmo 6"</v>
      </c>
      <c r="N198" t="s">
        <v>943</v>
      </c>
      <c r="O198" t="str">
        <f>_xlfn.CONCAT("""",VLOOKUP(E198,'Index Web'!A$4:L$253,5,FALSE),"""")</f>
        <v>"Precatecumenado"</v>
      </c>
      <c r="P198" t="s">
        <v>944</v>
      </c>
      <c r="Q198" t="str">
        <f>_xlfn.CONCAT("[",VLOOKUP(E198,'Index Web'!A$4:N$253,14,FALSE),"]")</f>
        <v>["Cuaresma","Antiguo Testamento"]</v>
      </c>
      <c r="R198" t="s">
        <v>945</v>
      </c>
      <c r="S198" t="str">
        <f>_xlfn.CONCAT("""/src/index.html?canto=",VLOOKUP(E198,'Index Web'!A$4:N$253,13,FALSE),""", ")</f>
        <v xml:space="preserve">"/src/index.html?canto=senornomecorrijasentucolera", </v>
      </c>
      <c r="T198" t="str">
        <f>T197</f>
        <v xml:space="preserve">visible: "", </v>
      </c>
      <c r="U198" t="str">
        <f>_xlfn.CONCAT("cejilla: """,C198,""", ")</f>
        <v xml:space="preserve">cejilla: "", </v>
      </c>
      <c r="V198" t="str">
        <f>_xlfn.CONCAT("acorde: """,D198,""", ")</f>
        <v xml:space="preserve">acorde: "Fa#", </v>
      </c>
      <c r="W198" t="s">
        <v>2012</v>
      </c>
      <c r="X198" t="s">
        <v>2013</v>
      </c>
      <c r="Y198" t="str">
        <f>_xlfn.CONCAT("""",VLOOKUP(E198,'Index Web'!A$4:O$253,15,FALSE)," ",VLOOKUP(E198,'Index Web'!A$4:O$253,13,FALSE),"""","},")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Z198" t="str">
        <f>_xlfn.CONCAT(F198:Y198)</f>
        <v>{idi:195, id:"senornomecorrijasentucolera", title: "Señor, no me corrijas en tu cólera", subtitle: "Salmo 6", category: "Precatecumenado", moments: ["Cuaresma","Antiguo Testamento"], url: "/src/index.html?canto=senornomecorrijasentucolera", visible: "", cejilla: "", acorde: "Fa#", scrollConfig: {"mobile": { "v": 25, "i": 1 },"tablet": { "v": 25, "i": 1 },"desktop": { "v": 7, "i": 1 },"desktopsmall": { "v": 7, "i": 1 }},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9" spans="2:26" x14ac:dyDescent="0.25">
      <c r="B199" s="56" t="s">
        <v>696</v>
      </c>
      <c r="C199" s="1">
        <f>IF(VLOOKUP(Table4[[#This Row],[Cantounido]],Table7[],3,FALSE)=0,"",VLOOKUP(Table4[[#This Row],[Cantounido]],Table7[],3,FALSE))</f>
        <v>2</v>
      </c>
      <c r="D199" s="44" t="str">
        <f>IF(VLOOKUP(Table4[[#This Row],[Cantounido]],Table7[],4,FALSE)=0,"",VLOOKUP(Table4[[#This Row],[Cantounido]],Table7[],4,FALSE))</f>
        <v>Re</v>
      </c>
      <c r="E199" s="30">
        <v>233</v>
      </c>
      <c r="F199" t="str">
        <f>F198</f>
        <v>{idi:</v>
      </c>
      <c r="G199" t="str">
        <f>_xlfn.CONCAT(VLOOKUP(E199,'Index Web'!A$4:L$253,2,FALSE),", ")</f>
        <v xml:space="preserve">196, </v>
      </c>
      <c r="H199" t="str">
        <f>H198</f>
        <v>id:</v>
      </c>
      <c r="I199" t="str">
        <f>_xlfn.CONCAT("""",VLOOKUP(E199,'Index Web'!A$4:O$253,13,FALSE),"""",", ")</f>
        <v xml:space="preserve">"senortumeescrutasyconoces", </v>
      </c>
      <c r="J199" t="s">
        <v>2016</v>
      </c>
      <c r="K199" t="str">
        <f>_xlfn.CONCAT("""",VLOOKUP(E199,'Index Web'!A$4:L$253,3,FALSE),"""")</f>
        <v>"Señor, tú me escrutas y conoces"</v>
      </c>
      <c r="L199" t="s">
        <v>942</v>
      </c>
      <c r="M199" t="str">
        <f>_xlfn.CONCAT("""",VLOOKUP(E199,'Index Web'!A$4:L$253,4,FALSE),"""")</f>
        <v>"Salmo 139 (138)"</v>
      </c>
      <c r="N199" t="s">
        <v>943</v>
      </c>
      <c r="O199" t="str">
        <f>_xlfn.CONCAT("""",VLOOKUP(E199,'Index Web'!A$4:L$253,5,FALSE),"""")</f>
        <v>"Catecumenado"</v>
      </c>
      <c r="P199" t="s">
        <v>944</v>
      </c>
      <c r="Q199" t="str">
        <f>_xlfn.CONCAT("[",VLOOKUP(E199,'Index Web'!A$4:N$253,14,FALSE),"]")</f>
        <v>["Antiguo Testamento"]</v>
      </c>
      <c r="R199" t="s">
        <v>945</v>
      </c>
      <c r="S199" t="str">
        <f>_xlfn.CONCAT("""/src/index.html?canto=",VLOOKUP(E199,'Index Web'!A$4:N$253,13,FALSE),""", ")</f>
        <v xml:space="preserve">"/src/index.html?canto=senortumeescrutasyconoces", </v>
      </c>
      <c r="T199" t="str">
        <f>T198</f>
        <v xml:space="preserve">visible: "", </v>
      </c>
      <c r="U199" t="str">
        <f>_xlfn.CONCAT("cejilla: """,C199,""", ")</f>
        <v xml:space="preserve">cejilla: "2", </v>
      </c>
      <c r="V199" t="str">
        <f>_xlfn.CONCAT("acorde: """,D199,""", ")</f>
        <v xml:space="preserve">acorde: "Re", </v>
      </c>
      <c r="W199" t="s">
        <v>2012</v>
      </c>
      <c r="X199" t="s">
        <v>2013</v>
      </c>
      <c r="Y199" t="str">
        <f>_xlfn.CONCAT("""",VLOOKUP(E199,'Index Web'!A$4:O$253,15,FALSE)," ",VLOOKUP(E199,'Index Web'!A$4:O$253,13,FALSE),"""","},")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Z199" t="str">
        <f>_xlfn.CONCAT(F199:Y199)</f>
        <v>{idi:196, id:"senortumeescrutasyconoces", title: "Señor, tú me escrutas y conoces", subtitle: "Salmo 139 (138)", category: "Catecumenado", moments: ["Antiguo Testamento"], url: "/src/index.html?canto=senortumeescrutasyconoces", visible: "", cejilla: "2", acorde: "Re", scrollConfig: {"mobile": { "v": 25, "i": 1 },"tablet": { "v": 25, "i": 1 },"desktop": { "v": 7, "i": 1 },"desktopsmall": { "v": 7, "i": 1 }},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200" spans="2:26" x14ac:dyDescent="0.25">
      <c r="B200" s="50" t="s">
        <v>624</v>
      </c>
      <c r="C200" s="1">
        <f>IF(VLOOKUP(Table4[[#This Row],[Cantounido]],Table7[],3,FALSE)=0,"",VLOOKUP(Table4[[#This Row],[Cantounido]],Table7[],3,FALSE))</f>
        <v>3</v>
      </c>
      <c r="D200" s="44" t="str">
        <f>IF(VLOOKUP(Table4[[#This Row],[Cantounido]],Table7[],4,FALSE)=0,"",VLOOKUP(Table4[[#This Row],[Cantounido]],Table7[],4,FALSE))</f>
        <v>Re</v>
      </c>
      <c r="E200" s="25">
        <v>148</v>
      </c>
      <c r="F200" t="str">
        <f>F199</f>
        <v>{idi:</v>
      </c>
      <c r="G200" t="str">
        <f>_xlfn.CONCAT(VLOOKUP(E200,'Index Web'!A$4:L$253,2,FALSE),", ")</f>
        <v xml:space="preserve">197, </v>
      </c>
      <c r="H200" t="str">
        <f>H199</f>
        <v>id:</v>
      </c>
      <c r="I200" t="str">
        <f>_xlfn.CONCAT("""",VLOOKUP(E200,'Index Web'!A$4:O$253,13,FALSE),"""",", ")</f>
        <v xml:space="preserve">"sermondelamontana", </v>
      </c>
      <c r="J200" t="s">
        <v>2016</v>
      </c>
      <c r="K200" t="str">
        <f>_xlfn.CONCAT("""",VLOOKUP(E200,'Index Web'!A$4:L$253,3,FALSE),"""")</f>
        <v>"Sermón de la montaña "</v>
      </c>
      <c r="L200" t="s">
        <v>942</v>
      </c>
      <c r="M200" t="str">
        <f>_xlfn.CONCAT("""",VLOOKUP(E200,'Index Web'!A$4:L$253,4,FALSE),"""")</f>
        <v>"Lucas 6,20-38"</v>
      </c>
      <c r="N200" t="s">
        <v>943</v>
      </c>
      <c r="O200" t="str">
        <f>_xlfn.CONCAT("""",VLOOKUP(E200,'Index Web'!A$4:L$253,5,FALSE),"""")</f>
        <v>"Precatecumenado"</v>
      </c>
      <c r="P200" t="s">
        <v>944</v>
      </c>
      <c r="Q200" t="str">
        <f>_xlfn.CONCAT("[",VLOOKUP(E200,'Index Web'!A$4:N$253,14,FALSE),"]")</f>
        <v>["Nuevo Testamento"]</v>
      </c>
      <c r="R200" t="s">
        <v>945</v>
      </c>
      <c r="S200" t="str">
        <f>_xlfn.CONCAT("""/src/index.html?canto=",VLOOKUP(E200,'Index Web'!A$4:N$253,13,FALSE),""", ")</f>
        <v xml:space="preserve">"/src/index.html?canto=sermondelamontana", </v>
      </c>
      <c r="T200" t="str">
        <f>T199</f>
        <v xml:space="preserve">visible: "", </v>
      </c>
      <c r="U200" t="str">
        <f>_xlfn.CONCAT("cejilla: """,C200,""", ")</f>
        <v xml:space="preserve">cejilla: "3", </v>
      </c>
      <c r="V200" t="str">
        <f>_xlfn.CONCAT("acorde: """,D200,""", ")</f>
        <v xml:space="preserve">acorde: "Re", </v>
      </c>
      <c r="W200" t="s">
        <v>2012</v>
      </c>
      <c r="X200" t="s">
        <v>2013</v>
      </c>
      <c r="Y200" t="str">
        <f>_xlfn.CONCAT("""",VLOOKUP(E200,'Index Web'!A$4:O$253,15,FALSE)," ",VLOOKUP(E200,'Index Web'!A$4:O$253,13,FALSE),"""","},")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Z200" t="str">
        <f>_xlfn.CONCAT(F200:Y200)</f>
        <v>{idi:197, id:"sermondelamontana", title: "Sermón de la montaña ", subtitle: "Lucas 6,20-38", category: "Precatecumenado", moments: ["Nuevo Testamento"], url: "/src/index.html?canto=sermondelamontana", visible: "", cejilla: "3", acorde: "Re", scrollConfig: {"mobile": { "v": 25, "i": 1 },"tablet": { "v": 25, "i": 1 },"desktop": { "v": 7, "i": 1 },"desktopsmall": { "v": 7, "i": 1 }},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201" spans="2:26" x14ac:dyDescent="0.25">
      <c r="B201" s="57" t="s">
        <v>697</v>
      </c>
      <c r="C201" s="1">
        <f>IF(VLOOKUP(Table4[[#This Row],[Cantounido]],Table7[],3,FALSE)=0,"",VLOOKUP(Table4[[#This Row],[Cantounido]],Table7[],3,FALSE))</f>
        <v>4</v>
      </c>
      <c r="D201" s="44" t="str">
        <f>IF(VLOOKUP(Table4[[#This Row],[Cantounido]],Table7[],4,FALSE)=0,"",VLOOKUP(Table4[[#This Row],[Cantounido]],Table7[],4,FALSE))</f>
        <v>La</v>
      </c>
      <c r="E201" s="31">
        <v>234</v>
      </c>
      <c r="F201" t="str">
        <f>F200</f>
        <v>{idi:</v>
      </c>
      <c r="G201" t="str">
        <f>_xlfn.CONCAT(VLOOKUP(E201,'Index Web'!A$4:L$253,2,FALSE),", ")</f>
        <v xml:space="preserve">198, </v>
      </c>
      <c r="H201" t="str">
        <f>H200</f>
        <v>id:</v>
      </c>
      <c r="I201" t="str">
        <f>_xlfn.CONCAT("""",VLOOKUP(E201,'Index Web'!A$4:O$253,13,FALSE),"""",", ")</f>
        <v xml:space="preserve">"shemaisrael", </v>
      </c>
      <c r="J201" t="s">
        <v>2016</v>
      </c>
      <c r="K201" t="str">
        <f>_xlfn.CONCAT("""",VLOOKUP(E201,'Index Web'!A$4:L$253,3,FALSE),"""")</f>
        <v>"Shemá Israel "</v>
      </c>
      <c r="L201" t="s">
        <v>942</v>
      </c>
      <c r="M201" t="str">
        <f>_xlfn.CONCAT("""",VLOOKUP(E201,'Index Web'!A$4:L$253,4,FALSE),"""")</f>
        <v>"Deuteronomio 6,4-9"</v>
      </c>
      <c r="N201" t="s">
        <v>943</v>
      </c>
      <c r="O201" t="str">
        <f>_xlfn.CONCAT("""",VLOOKUP(E201,'Index Web'!A$4:L$253,5,FALSE),"""")</f>
        <v>"Catecumenado"</v>
      </c>
      <c r="P201" t="s">
        <v>944</v>
      </c>
      <c r="Q201" t="str">
        <f>_xlfn.CONCAT("[",VLOOKUP(E201,'Index Web'!A$4:N$253,14,FALSE),"]")</f>
        <v>["Antiguo Testamento"]</v>
      </c>
      <c r="R201" t="s">
        <v>945</v>
      </c>
      <c r="S201" t="str">
        <f>_xlfn.CONCAT("""/src/index.html?canto=",VLOOKUP(E201,'Index Web'!A$4:N$253,13,FALSE),""", ")</f>
        <v xml:space="preserve">"/src/index.html?canto=shemaisrael", </v>
      </c>
      <c r="T201" t="str">
        <f>T200</f>
        <v xml:space="preserve">visible: "", </v>
      </c>
      <c r="U201" t="str">
        <f>_xlfn.CONCAT("cejilla: """,C201,""", ")</f>
        <v xml:space="preserve">cejilla: "4", </v>
      </c>
      <c r="V201" t="str">
        <f>_xlfn.CONCAT("acorde: """,D201,""", ")</f>
        <v xml:space="preserve">acorde: "La", </v>
      </c>
      <c r="W201" t="s">
        <v>2012</v>
      </c>
      <c r="X201" t="s">
        <v>2013</v>
      </c>
      <c r="Y201" t="str">
        <f>_xlfn.CONCAT("""",VLOOKUP(E201,'Index Web'!A$4:O$253,15,FALSE)," ",VLOOKUP(E201,'Index Web'!A$4:O$253,13,FALSE),"""","},")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Z201" t="str">
        <f>_xlfn.CONCAT(F201:Y201)</f>
        <v>{idi:198, id:"shemaisrael", title: "Shemá Israel ", subtitle: "Deuteronomio 6,4-9", category: "Catecumenado", moments: ["Antiguo Testamento"], url: "/src/index.html?canto=shemaisrael", visible: "", cejilla: "4", acorde: "La", scrollConfig: {"mobile": { "v": 25, "i": 1 },"tablet": { "v": 25, "i": 1 },"desktop": { "v": 7, "i": 1 },"desktopsmall": { "v": 7, "i": 1 }},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2" spans="2:26" x14ac:dyDescent="0.25">
      <c r="B202" s="50" t="s">
        <v>625</v>
      </c>
      <c r="C202" s="1" t="str">
        <f>IF(VLOOKUP(Table4[[#This Row],[Cantounido]],Table7[],3,FALSE)=0,"",VLOOKUP(Table4[[#This Row],[Cantounido]],Table7[],3,FALSE))</f>
        <v/>
      </c>
      <c r="D202" s="44" t="str">
        <f>IF(VLOOKUP(Table4[[#This Row],[Cantounido]],Table7[],4,FALSE)=0,"",VLOOKUP(Table4[[#This Row],[Cantounido]],Table7[],4,FALSE))</f>
        <v>Mi</v>
      </c>
      <c r="E202" s="25">
        <v>149</v>
      </c>
      <c r="F202" t="str">
        <f>F201</f>
        <v>{idi:</v>
      </c>
      <c r="G202" t="str">
        <f>_xlfn.CONCAT(VLOOKUP(E202,'Index Web'!A$4:L$253,2,FALSE),", ")</f>
        <v xml:space="preserve">199, </v>
      </c>
      <c r="H202" t="str">
        <f>H201</f>
        <v>id:</v>
      </c>
      <c r="I202" t="str">
        <f>_xlfn.CONCAT("""",VLOOKUP(E202,'Index Web'!A$4:O$253,13,FALSE),"""",", ")</f>
        <v xml:space="preserve">"shlomlejmariam", </v>
      </c>
      <c r="J202" t="s">
        <v>2016</v>
      </c>
      <c r="K202" t="str">
        <f>_xlfn.CONCAT("""",VLOOKUP(E202,'Index Web'!A$4:L$253,3,FALSE),"""")</f>
        <v>"Shlom lej Mariam"</v>
      </c>
      <c r="L202" t="s">
        <v>942</v>
      </c>
      <c r="M202" t="str">
        <f>_xlfn.CONCAT("""",VLOOKUP(E202,'Index Web'!A$4:L$253,4,FALSE),"""")</f>
        <v>"Ave María en arameo antiguo"</v>
      </c>
      <c r="N202" t="s">
        <v>943</v>
      </c>
      <c r="O202" t="str">
        <f>_xlfn.CONCAT("""",VLOOKUP(E202,'Index Web'!A$4:L$253,5,FALSE),"""")</f>
        <v>"Precatecumenado"</v>
      </c>
      <c r="P202" t="s">
        <v>944</v>
      </c>
      <c r="Q202" t="str">
        <f>_xlfn.CONCAT("[",VLOOKUP(E202,'Index Web'!A$4:N$253,14,FALSE),"]")</f>
        <v>["Vírgen María"]</v>
      </c>
      <c r="R202" t="s">
        <v>945</v>
      </c>
      <c r="S202" t="str">
        <f>_xlfn.CONCAT("""/src/index.html?canto=",VLOOKUP(E202,'Index Web'!A$4:N$253,13,FALSE),""", ")</f>
        <v xml:space="preserve">"/src/index.html?canto=shlomlejmariam", </v>
      </c>
      <c r="T202" t="str">
        <f>T201</f>
        <v xml:space="preserve">visible: "", </v>
      </c>
      <c r="U202" t="str">
        <f>_xlfn.CONCAT("cejilla: """,C202,""", ")</f>
        <v xml:space="preserve">cejilla: "", </v>
      </c>
      <c r="V202" t="str">
        <f>_xlfn.CONCAT("acorde: """,D202,""", ")</f>
        <v xml:space="preserve">acorde: "Mi", </v>
      </c>
      <c r="W202" t="s">
        <v>2012</v>
      </c>
      <c r="X202" t="s">
        <v>2013</v>
      </c>
      <c r="Y202" t="str">
        <f>_xlfn.CONCAT("""",VLOOKUP(E202,'Index Web'!A$4:O$253,15,FALSE)," ",VLOOKUP(E202,'Index Web'!A$4:O$253,13,FALSE),"""","},")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Z202" t="str">
        <f>_xlfn.CONCAT(F202:Y202)</f>
        <v>{idi:199, id:"shlomlejmariam", title: "Shlom lej Mariam", subtitle: "Ave María en arameo antiguo", category: "Precatecumenado", moments: ["Vírgen María"], url: "/src/index.html?canto=shlomlejmariam", visible: "", cejilla: "", acorde: "Mi", scrollConfig: {"mobile": { "v": 25, "i": 1 },"tablet": { "v": 25, "i": 1 },"desktop": { "v": 7, "i": 1 },"desktopsmall": { "v": 7, "i": 1 }},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3" spans="2:26" x14ac:dyDescent="0.25">
      <c r="B203" s="51" t="s">
        <v>626</v>
      </c>
      <c r="C203" s="1" t="str">
        <f>IF(VLOOKUP(Table4[[#This Row],[Cantounido]],Table7[],3,FALSE)=0,"",VLOOKUP(Table4[[#This Row],[Cantounido]],Table7[],3,FALSE))</f>
        <v/>
      </c>
      <c r="D203" s="44" t="str">
        <f>IF(VLOOKUP(Table4[[#This Row],[Cantounido]],Table7[],4,FALSE)=0,"",VLOOKUP(Table4[[#This Row],[Cantounido]],Table7[],4,FALSE))</f>
        <v>Mi</v>
      </c>
      <c r="E203" s="26">
        <v>150</v>
      </c>
      <c r="F203" t="str">
        <f>F202</f>
        <v>{idi:</v>
      </c>
      <c r="G203" t="str">
        <f>_xlfn.CONCAT(VLOOKUP(E203,'Index Web'!A$4:L$253,2,FALSE),", ")</f>
        <v xml:space="preserve">200, </v>
      </c>
      <c r="H203" t="str">
        <f>H202</f>
        <v>id:</v>
      </c>
      <c r="I203" t="str">
        <f>_xlfn.CONCAT("""",VLOOKUP(E203,'Index Web'!A$4:O$253,13,FALSE),"""",", ")</f>
        <v xml:space="preserve">"sielsenornoconstruyelacasa", </v>
      </c>
      <c r="J203" t="s">
        <v>2016</v>
      </c>
      <c r="K203" t="str">
        <f>_xlfn.CONCAT("""",VLOOKUP(E203,'Index Web'!A$4:L$253,3,FALSE),"""")</f>
        <v>"Si el Señor no construye la casa"</v>
      </c>
      <c r="L203" t="s">
        <v>942</v>
      </c>
      <c r="M203" t="str">
        <f>_xlfn.CONCAT("""",VLOOKUP(E203,'Index Web'!A$4:L$253,4,FALSE),"""")</f>
        <v>"Salmo 127 (126)"</v>
      </c>
      <c r="N203" t="s">
        <v>943</v>
      </c>
      <c r="O203" t="str">
        <f>_xlfn.CONCAT("""",VLOOKUP(E203,'Index Web'!A$4:L$253,5,FALSE),"""")</f>
        <v>"Precatecumenado"</v>
      </c>
      <c r="P203" t="s">
        <v>944</v>
      </c>
      <c r="Q203" t="str">
        <f>_xlfn.CONCAT("[",VLOOKUP(E203,'Index Web'!A$4:N$253,14,FALSE),"]")</f>
        <v>["Entrada","Antiguo Testamento"]</v>
      </c>
      <c r="R203" t="s">
        <v>945</v>
      </c>
      <c r="S203" t="str">
        <f>_xlfn.CONCAT("""/src/index.html?canto=",VLOOKUP(E203,'Index Web'!A$4:N$253,13,FALSE),""", ")</f>
        <v xml:space="preserve">"/src/index.html?canto=sielsenornoconstruyelacasa", </v>
      </c>
      <c r="T203" t="str">
        <f>T202</f>
        <v xml:space="preserve">visible: "", </v>
      </c>
      <c r="U203" t="str">
        <f>_xlfn.CONCAT("cejilla: """,C203,""", ")</f>
        <v xml:space="preserve">cejilla: "", </v>
      </c>
      <c r="V203" t="str">
        <f>_xlfn.CONCAT("acorde: """,D203,""", ")</f>
        <v xml:space="preserve">acorde: "Mi", </v>
      </c>
      <c r="W203" t="s">
        <v>2012</v>
      </c>
      <c r="X203" t="s">
        <v>2013</v>
      </c>
      <c r="Y203" t="str">
        <f>_xlfn.CONCAT("""",VLOOKUP(E203,'Index Web'!A$4:O$253,15,FALSE)," ",VLOOKUP(E203,'Index Web'!A$4:O$253,13,FALSE),"""","},")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Z203" t="str">
        <f>_xlfn.CONCAT(F203:Y203)</f>
        <v>{idi:200, id:"sielsenornoconstruyelacasa", title: "Si el Señor no construye la casa", subtitle: "Salmo 127 (126)", category: "Precatecumenado", moments: ["Entrada","Antiguo Testamento"], url: "/src/index.html?canto=sielsenornoconstruyelacasa", visible: "", cejilla: "", acorde: "Mi", scrollConfig: {"mobile": { "v": 25, "i": 1 },"tablet": { "v": 25, "i": 1 },"desktop": { "v": 7, "i": 1 },"desktopsmall": { "v": 7, "i": 1 }},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4" spans="2:26" x14ac:dyDescent="0.25">
      <c r="B204" s="50" t="s">
        <v>627</v>
      </c>
      <c r="C204" s="1">
        <f>IF(VLOOKUP(Table4[[#This Row],[Cantounido]],Table7[],3,FALSE)=0,"",VLOOKUP(Table4[[#This Row],[Cantounido]],Table7[],3,FALSE))</f>
        <v>1</v>
      </c>
      <c r="D204" s="44" t="str">
        <f>IF(VLOOKUP(Table4[[#This Row],[Cantounido]],Table7[],4,FALSE)=0,"",VLOOKUP(Table4[[#This Row],[Cantounido]],Table7[],4,FALSE))</f>
        <v>Mi</v>
      </c>
      <c r="E204" s="25">
        <v>151</v>
      </c>
      <c r="F204" t="str">
        <f>F203</f>
        <v>{idi:</v>
      </c>
      <c r="G204" t="str">
        <f>_xlfn.CONCAT(VLOOKUP(E204,'Index Web'!A$4:L$253,2,FALSE),", ")</f>
        <v xml:space="preserve">201, </v>
      </c>
      <c r="H204" t="str">
        <f>H203</f>
        <v>id:</v>
      </c>
      <c r="I204" t="str">
        <f>_xlfn.CONCAT("""",VLOOKUP(E204,'Index Web'!A$4:O$253,13,FALSE),"""",", ")</f>
        <v xml:space="preserve">"sihabeisresucitadoconcristo", </v>
      </c>
      <c r="J204" t="s">
        <v>2016</v>
      </c>
      <c r="K204" t="str">
        <f>_xlfn.CONCAT("""",VLOOKUP(E204,'Index Web'!A$4:L$253,3,FALSE),"""")</f>
        <v>"Si habéis resucitado con Cristo"</v>
      </c>
      <c r="L204" t="s">
        <v>942</v>
      </c>
      <c r="M204" t="str">
        <f>_xlfn.CONCAT("""",VLOOKUP(E204,'Index Web'!A$4:L$253,4,FALSE),"""")</f>
        <v>"Colosense 3,1-4"</v>
      </c>
      <c r="N204" t="s">
        <v>943</v>
      </c>
      <c r="O204" t="str">
        <f>_xlfn.CONCAT("""",VLOOKUP(E204,'Index Web'!A$4:L$253,5,FALSE),"""")</f>
        <v>"Precatecumenado"</v>
      </c>
      <c r="P204" t="s">
        <v>944</v>
      </c>
      <c r="Q204" t="str">
        <f>_xlfn.CONCAT("[",VLOOKUP(E204,'Index Web'!A$4:N$253,14,FALSE),"]")</f>
        <v>["Nuevo Testamento"]</v>
      </c>
      <c r="R204" t="s">
        <v>945</v>
      </c>
      <c r="S204" t="str">
        <f>_xlfn.CONCAT("""/src/index.html?canto=",VLOOKUP(E204,'Index Web'!A$4:N$253,13,FALSE),""", ")</f>
        <v xml:space="preserve">"/src/index.html?canto=sihabeisresucitadoconcristo", </v>
      </c>
      <c r="T204" t="str">
        <f>T203</f>
        <v xml:space="preserve">visible: "", </v>
      </c>
      <c r="U204" t="str">
        <f>_xlfn.CONCAT("cejilla: """,C204,""", ")</f>
        <v xml:space="preserve">cejilla: "1", </v>
      </c>
      <c r="V204" t="str">
        <f>_xlfn.CONCAT("acorde: """,D204,""", ")</f>
        <v xml:space="preserve">acorde: "Mi", </v>
      </c>
      <c r="W204" t="s">
        <v>2012</v>
      </c>
      <c r="X204" t="s">
        <v>2013</v>
      </c>
      <c r="Y204" t="str">
        <f>_xlfn.CONCAT("""",VLOOKUP(E204,'Index Web'!A$4:O$253,15,FALSE)," ",VLOOKUP(E204,'Index Web'!A$4:O$253,13,FALSE),"""","},")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Z204" t="str">
        <f>_xlfn.CONCAT(F204:Y204)</f>
        <v>{idi:201, id:"sihabeisresucitadoconcristo", title: "Si habéis resucitado con Cristo", subtitle: "Colosense 3,1-4", category: "Precatecumenado", moments: ["Nuevo Testamento"], url: "/src/index.html?canto=sihabeisresucitadoconcristo", visible: "", cejilla: "1", acorde: "Mi", scrollConfig: {"mobile": { "v": 25, "i": 1 },"tablet": { "v": 25, "i": 1 },"desktop": { "v": 7, "i": 1 },"desktopsmall": { "v": 7, "i": 1 }},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5" spans="2:26" x14ac:dyDescent="0.25">
      <c r="B205" s="51" t="s">
        <v>628</v>
      </c>
      <c r="C205" s="1" t="str">
        <f>IF(VLOOKUP(Table4[[#This Row],[Cantounido]],Table7[],3,FALSE)=0,"",VLOOKUP(Table4[[#This Row],[Cantounido]],Table7[],3,FALSE))</f>
        <v/>
      </c>
      <c r="D205" s="44" t="str">
        <f>IF(VLOOKUP(Table4[[#This Row],[Cantounido]],Table7[],4,FALSE)=0,"",VLOOKUP(Table4[[#This Row],[Cantounido]],Table7[],4,FALSE))</f>
        <v>Mi</v>
      </c>
      <c r="E205" s="26">
        <v>152</v>
      </c>
      <c r="F205" t="str">
        <f>F204</f>
        <v>{idi:</v>
      </c>
      <c r="G205" t="str">
        <f>_xlfn.CONCAT(VLOOKUP(E205,'Index Web'!A$4:L$253,2,FALSE),", ")</f>
        <v xml:space="preserve">202, </v>
      </c>
      <c r="H205" t="str">
        <f>H204</f>
        <v>id:</v>
      </c>
      <c r="I205" t="str">
        <f>_xlfn.CONCAT("""",VLOOKUP(E205,'Index Web'!A$4:O$253,13,FALSE),"""",", ")</f>
        <v xml:space="preserve">"sihoyescuchaissuvoz", </v>
      </c>
      <c r="J205" t="s">
        <v>2016</v>
      </c>
      <c r="K205" t="str">
        <f>_xlfn.CONCAT("""",VLOOKUP(E205,'Index Web'!A$4:L$253,3,FALSE),"""")</f>
        <v>"Si hoy escucháis su voz "</v>
      </c>
      <c r="L205" t="s">
        <v>942</v>
      </c>
      <c r="M205" t="str">
        <f>_xlfn.CONCAT("""",VLOOKUP(E205,'Index Web'!A$4:L$253,4,FALSE),"""")</f>
        <v>"Salmo 95 (94)"</v>
      </c>
      <c r="N205" t="s">
        <v>943</v>
      </c>
      <c r="O205" t="str">
        <f>_xlfn.CONCAT("""",VLOOKUP(E205,'Index Web'!A$4:L$253,5,FALSE),"""")</f>
        <v>"Precatecumenado"</v>
      </c>
      <c r="P205" t="s">
        <v>944</v>
      </c>
      <c r="Q205" t="str">
        <f>_xlfn.CONCAT("[",VLOOKUP(E205,'Index Web'!A$4:N$253,14,FALSE),"]")</f>
        <v>["Antiguo Testamento"]</v>
      </c>
      <c r="R205" t="s">
        <v>945</v>
      </c>
      <c r="S205" t="str">
        <f>_xlfn.CONCAT("""/src/index.html?canto=",VLOOKUP(E205,'Index Web'!A$4:N$253,13,FALSE),""", ")</f>
        <v xml:space="preserve">"/src/index.html?canto=sihoyescuchaissuvoz", </v>
      </c>
      <c r="T205" t="str">
        <f>T204</f>
        <v xml:space="preserve">visible: "", </v>
      </c>
      <c r="U205" t="str">
        <f>_xlfn.CONCAT("cejilla: """,C205,""", ")</f>
        <v xml:space="preserve">cejilla: "", </v>
      </c>
      <c r="V205" t="str">
        <f>_xlfn.CONCAT("acorde: """,D205,""", ")</f>
        <v xml:space="preserve">acorde: "Mi", </v>
      </c>
      <c r="W205" t="s">
        <v>2012</v>
      </c>
      <c r="X205" t="s">
        <v>2013</v>
      </c>
      <c r="Y205" t="str">
        <f>_xlfn.CONCAT("""",VLOOKUP(E205,'Index Web'!A$4:O$253,15,FALSE)," ",VLOOKUP(E205,'Index Web'!A$4:O$253,13,FALSE),"""","},")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Z205" t="str">
        <f>_xlfn.CONCAT(F205:Y205)</f>
        <v>{idi:202, id:"sihoyescuchaissuvoz", title: "Si hoy escucháis su voz ", subtitle: "Salmo 95 (94)", category: "Precatecumenado", moments: ["Antiguo Testamento"], url: "/src/index.html?canto=sihoyescuchaissuvoz", visible: "", cejilla: "", acorde: "Mi", scrollConfig: {"mobile": { "v": 25, "i": 1 },"tablet": { "v": 25, "i": 1 },"desktop": { "v": 7, "i": 1 },"desktopsmall": { "v": 7, "i": 1 }},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6" spans="2:26" x14ac:dyDescent="0.25">
      <c r="B206" s="50" t="s">
        <v>629</v>
      </c>
      <c r="C206" s="1" t="str">
        <f>IF(VLOOKUP(Table4[[#This Row],[Cantounido]],Table7[],3,FALSE)=0,"",VLOOKUP(Table4[[#This Row],[Cantounido]],Table7[],3,FALSE))</f>
        <v/>
      </c>
      <c r="D206" s="44" t="str">
        <f>IF(VLOOKUP(Table4[[#This Row],[Cantounido]],Table7[],4,FALSE)=0,"",VLOOKUP(Table4[[#This Row],[Cantounido]],Table7[],4,FALSE))</f>
        <v>Sol</v>
      </c>
      <c r="E206" s="25">
        <v>153</v>
      </c>
      <c r="F206" t="str">
        <f>F205</f>
        <v>{idi:</v>
      </c>
      <c r="G206" t="str">
        <f>_xlfn.CONCAT(VLOOKUP(E206,'Index Web'!A$4:L$253,2,FALSE),", ")</f>
        <v xml:space="preserve">203, </v>
      </c>
      <c r="H206" t="str">
        <f>H205</f>
        <v>id:</v>
      </c>
      <c r="I206" t="str">
        <f>_xlfn.CONCAT("""",VLOOKUP(E206,'Index Web'!A$4:O$253,13,FALSE),"""",", ")</f>
        <v xml:space="preserve">"simeherefugiadoenelsenor", </v>
      </c>
      <c r="J206" t="s">
        <v>2016</v>
      </c>
      <c r="K206" t="str">
        <f>_xlfn.CONCAT("""",VLOOKUP(E206,'Index Web'!A$4:L$253,3,FALSE),"""")</f>
        <v>"Si me he refugiado en el Señor"</v>
      </c>
      <c r="L206" t="s">
        <v>942</v>
      </c>
      <c r="M206" t="str">
        <f>_xlfn.CONCAT("""",VLOOKUP(E206,'Index Web'!A$4:L$253,4,FALSE),"""")</f>
        <v>"Salmo 11(10)"</v>
      </c>
      <c r="N206" t="s">
        <v>943</v>
      </c>
      <c r="O206" t="str">
        <f>_xlfn.CONCAT("""",VLOOKUP(E206,'Index Web'!A$4:L$253,5,FALSE),"""")</f>
        <v>"Precatecumenado"</v>
      </c>
      <c r="P206" t="s">
        <v>944</v>
      </c>
      <c r="Q206" t="str">
        <f>_xlfn.CONCAT("[",VLOOKUP(E206,'Index Web'!A$4:N$253,14,FALSE),"]")</f>
        <v>["Cuaresma","Antiguo Testamento"]</v>
      </c>
      <c r="R206" t="s">
        <v>945</v>
      </c>
      <c r="S206" t="str">
        <f>_xlfn.CONCAT("""/src/index.html?canto=",VLOOKUP(E206,'Index Web'!A$4:N$253,13,FALSE),""", ")</f>
        <v xml:space="preserve">"/src/index.html?canto=simeherefugiadoenelsenor", </v>
      </c>
      <c r="T206" t="str">
        <f>T205</f>
        <v xml:space="preserve">visible: "", </v>
      </c>
      <c r="U206" t="str">
        <f>_xlfn.CONCAT("cejilla: """,C206,""", ")</f>
        <v xml:space="preserve">cejilla: "", </v>
      </c>
      <c r="V206" t="str">
        <f>_xlfn.CONCAT("acorde: """,D206,""", ")</f>
        <v xml:space="preserve">acorde: "Sol", </v>
      </c>
      <c r="W206" t="s">
        <v>2012</v>
      </c>
      <c r="X206" t="s">
        <v>2013</v>
      </c>
      <c r="Y206" t="str">
        <f>_xlfn.CONCAT("""",VLOOKUP(E206,'Index Web'!A$4:O$253,15,FALSE)," ",VLOOKUP(E206,'Index Web'!A$4:O$253,13,FALSE),"""","},")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Z206" t="str">
        <f>_xlfn.CONCAT(F206:Y206)</f>
        <v>{idi:203, id:"simeherefugiadoenelsenor", title: "Si me he refugiado en el Señor", subtitle: "Salmo 11(10)", category: "Precatecumenado", moments: ["Cuaresma","Antiguo Testamento"], url: "/src/index.html?canto=simeherefugiadoenelsenor", visible: "", cejilla: "", acorde: "Sol", scrollConfig: {"mobile": { "v": 25, "i": 1 },"tablet": { "v": 25, "i": 1 },"desktop": { "v": 7, "i": 1 },"desktopsmall": { "v": 7, "i": 1 }},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7" spans="2:26" x14ac:dyDescent="0.25">
      <c r="B207" s="56" t="s">
        <v>698</v>
      </c>
      <c r="C207" s="1" t="str">
        <f>IF(VLOOKUP(Table4[[#This Row],[Cantounido]],Table7[],3,FALSE)=0,"",VLOOKUP(Table4[[#This Row],[Cantounido]],Table7[],3,FALSE))</f>
        <v/>
      </c>
      <c r="D207" s="44" t="str">
        <f>IF(VLOOKUP(Table4[[#This Row],[Cantounido]],Table7[],4,FALSE)=0,"",VLOOKUP(Table4[[#This Row],[Cantounido]],Table7[],4,FALSE))</f>
        <v>Re</v>
      </c>
      <c r="E207" s="30">
        <v>235</v>
      </c>
      <c r="F207" t="str">
        <f>F206</f>
        <v>{idi:</v>
      </c>
      <c r="G207" t="str">
        <f>_xlfn.CONCAT(VLOOKUP(E207,'Index Web'!A$4:L$253,2,FALSE),", ")</f>
        <v xml:space="preserve">204, </v>
      </c>
      <c r="H207" t="str">
        <f>H206</f>
        <v>id:</v>
      </c>
      <c r="I207" t="str">
        <f>_xlfn.CONCAT("""",VLOOKUP(E207,'Index Web'!A$4:O$253,13,FALSE),"""",", ")</f>
        <v xml:space="preserve">"sientatesolitarioysilencioso", </v>
      </c>
      <c r="J207" t="s">
        <v>2016</v>
      </c>
      <c r="K207" t="str">
        <f>_xlfn.CONCAT("""",VLOOKUP(E207,'Index Web'!A$4:L$253,3,FALSE),"""")</f>
        <v>"Sientate solitario y silencioso"</v>
      </c>
      <c r="L207" t="s">
        <v>942</v>
      </c>
      <c r="M207" t="str">
        <f>_xlfn.CONCAT("""",VLOOKUP(E207,'Index Web'!A$4:L$253,4,FALSE),"""")</f>
        <v>"Lamentaciones 3"</v>
      </c>
      <c r="N207" t="s">
        <v>943</v>
      </c>
      <c r="O207" t="str">
        <f>_xlfn.CONCAT("""",VLOOKUP(E207,'Index Web'!A$4:L$253,5,FALSE),"""")</f>
        <v>"Catecumenado"</v>
      </c>
      <c r="P207" t="s">
        <v>944</v>
      </c>
      <c r="Q207" t="str">
        <f>_xlfn.CONCAT("[",VLOOKUP(E207,'Index Web'!A$4:N$253,14,FALSE),"]")</f>
        <v>["Cuaresma"]</v>
      </c>
      <c r="R207" t="s">
        <v>945</v>
      </c>
      <c r="S207" t="str">
        <f>_xlfn.CONCAT("""/src/index.html?canto=",VLOOKUP(E207,'Index Web'!A$4:N$253,13,FALSE),""", ")</f>
        <v xml:space="preserve">"/src/index.html?canto=sientatesolitarioysilencioso", </v>
      </c>
      <c r="T207" t="str">
        <f>T206</f>
        <v xml:space="preserve">visible: "", </v>
      </c>
      <c r="U207" t="str">
        <f>_xlfn.CONCAT("cejilla: """,C207,""", ")</f>
        <v xml:space="preserve">cejilla: "", </v>
      </c>
      <c r="V207" t="str">
        <f>_xlfn.CONCAT("acorde: """,D207,""", ")</f>
        <v xml:space="preserve">acorde: "Re", </v>
      </c>
      <c r="W207" t="s">
        <v>2012</v>
      </c>
      <c r="X207" t="s">
        <v>2013</v>
      </c>
      <c r="Y207" t="str">
        <f>_xlfn.CONCAT("""",VLOOKUP(E207,'Index Web'!A$4:O$253,15,FALSE)," ",VLOOKUP(E207,'Index Web'!A$4:O$253,13,FALSE),"""","},")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Z207" t="str">
        <f>_xlfn.CONCAT(F207:Y207)</f>
        <v>{idi:204, id:"sientatesolitarioysilencioso", title: "Sientate solitario y silencioso", subtitle: "Lamentaciones 3", category: "Catecumenado", moments: ["Cuaresma"], url: "/src/index.html?canto=sientatesolitarioysilencioso", visible: "", cejilla: "", acorde: "Re", scrollConfig: {"mobile": { "v": 25, "i": 1 },"tablet": { "v": 25, "i": 1 },"desktop": { "v": 7, "i": 1 },"desktopsmall": { "v": 7, "i": 1 }},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8" spans="2:26" x14ac:dyDescent="0.25">
      <c r="B208" s="50" t="s">
        <v>630</v>
      </c>
      <c r="C208" s="1">
        <f>IF(VLOOKUP(Table4[[#This Row],[Cantounido]],Table7[],3,FALSE)=0,"",VLOOKUP(Table4[[#This Row],[Cantounido]],Table7[],3,FALSE))</f>
        <v>2</v>
      </c>
      <c r="D208" s="44" t="str">
        <f>IF(VLOOKUP(Table4[[#This Row],[Cantounido]],Table7[],4,FALSE)=0,"",VLOOKUP(Table4[[#This Row],[Cantounido]],Table7[],4,FALSE))</f>
        <v>La</v>
      </c>
      <c r="E208" s="25">
        <v>154</v>
      </c>
      <c r="F208" t="str">
        <f>F207</f>
        <v>{idi:</v>
      </c>
      <c r="G208" t="str">
        <f>_xlfn.CONCAT(VLOOKUP(E208,'Index Web'!A$4:L$253,2,FALSE),", ")</f>
        <v xml:space="preserve">205, </v>
      </c>
      <c r="H208" t="str">
        <f>H207</f>
        <v>id:</v>
      </c>
      <c r="I208" t="str">
        <f>_xlfn.CONCAT("""",VLOOKUP(E208,'Index Web'!A$4:O$253,13,FALSE),"""",", ")</f>
        <v xml:space="preserve">"sionmadredetodoslospueblos", </v>
      </c>
      <c r="J208" t="s">
        <v>2016</v>
      </c>
      <c r="K208" t="str">
        <f>_xlfn.CONCAT("""",VLOOKUP(E208,'Index Web'!A$4:L$253,3,FALSE),"""")</f>
        <v>"Sión, madre de todos los pueblos"</v>
      </c>
      <c r="L208" t="s">
        <v>942</v>
      </c>
      <c r="M208" t="str">
        <f>_xlfn.CONCAT("""",VLOOKUP(E208,'Index Web'!A$4:L$253,4,FALSE),"""")</f>
        <v>"Salmo 87 (86)"</v>
      </c>
      <c r="N208" t="s">
        <v>943</v>
      </c>
      <c r="O208" t="str">
        <f>_xlfn.CONCAT("""",VLOOKUP(E208,'Index Web'!A$4:L$253,5,FALSE),"""")</f>
        <v>"Precatecumenado"</v>
      </c>
      <c r="P208" t="s">
        <v>944</v>
      </c>
      <c r="Q208" t="str">
        <f>_xlfn.CONCAT("[",VLOOKUP(E208,'Index Web'!A$4:N$253,14,FALSE),"]")</f>
        <v>["Vírgen María","Final","Antiguo Testamento"]</v>
      </c>
      <c r="R208" t="s">
        <v>945</v>
      </c>
      <c r="S208" t="str">
        <f>_xlfn.CONCAT("""/src/index.html?canto=",VLOOKUP(E208,'Index Web'!A$4:N$253,13,FALSE),""", ")</f>
        <v xml:space="preserve">"/src/index.html?canto=sionmadredetodoslospueblos", </v>
      </c>
      <c r="T208" t="str">
        <f>T207</f>
        <v xml:space="preserve">visible: "", </v>
      </c>
      <c r="U208" t="str">
        <f>_xlfn.CONCAT("cejilla: """,C208,""", ")</f>
        <v xml:space="preserve">cejilla: "2", </v>
      </c>
      <c r="V208" t="str">
        <f>_xlfn.CONCAT("acorde: """,D208,""", ")</f>
        <v xml:space="preserve">acorde: "La", </v>
      </c>
      <c r="W208" t="s">
        <v>2012</v>
      </c>
      <c r="X208" t="s">
        <v>2013</v>
      </c>
      <c r="Y208" t="str">
        <f>_xlfn.CONCAT("""",VLOOKUP(E208,'Index Web'!A$4:O$253,15,FALSE)," ",VLOOKUP(E208,'Index Web'!A$4:O$253,13,FALSE),"""","},")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Z208" t="str">
        <f>_xlfn.CONCAT(F208:Y208)</f>
        <v>{idi:205, id:"sionmadredetodoslospueblos", title: "Sión, madre de todos los pueblos", subtitle: "Salmo 87 (86)", category: "Precatecumenado", moments: ["Vírgen María","Final","Antiguo Testamento"], url: "/src/index.html?canto=sionmadredetodoslospueblos", visible: "", cejilla: "2", acorde: "La", scrollConfig: {"mobile": { "v": 25, "i": 1 },"tablet": { "v": 25, "i": 1 },"desktop": { "v": 7, "i": 1 },"desktopsmall": { "v": 7, "i": 1 }},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9" spans="2:26" x14ac:dyDescent="0.25">
      <c r="B209" s="51" t="s">
        <v>631</v>
      </c>
      <c r="C209" s="1" t="str">
        <f>IF(VLOOKUP(Table4[[#This Row],[Cantounido]],Table7[],3,FALSE)=0,"",VLOOKUP(Table4[[#This Row],[Cantounido]],Table7[],3,FALSE))</f>
        <v/>
      </c>
      <c r="D209" s="44" t="str">
        <f>IF(VLOOKUP(Table4[[#This Row],[Cantounido]],Table7[],4,FALSE)=0,"",VLOOKUP(Table4[[#This Row],[Cantounido]],Table7[],4,FALSE))</f>
        <v>Re</v>
      </c>
      <c r="E209" s="26">
        <v>155</v>
      </c>
      <c r="F209" t="str">
        <f>F208</f>
        <v>{idi:</v>
      </c>
      <c r="G209" t="str">
        <f>_xlfn.CONCAT(VLOOKUP(E209,'Index Web'!A$4:L$253,2,FALSE),", ")</f>
        <v xml:space="preserve">206, </v>
      </c>
      <c r="H209" t="str">
        <f>H208</f>
        <v>id:</v>
      </c>
      <c r="I209" t="str">
        <f>_xlfn.CONCAT("""",VLOOKUP(E209,'Index Web'!A$4:O$253,13,FALSE),"""",", ")</f>
        <v xml:space="preserve">"solaasolo", </v>
      </c>
      <c r="J209" t="s">
        <v>2016</v>
      </c>
      <c r="K209" t="str">
        <f>_xlfn.CONCAT("""",VLOOKUP(E209,'Index Web'!A$4:L$253,3,FALSE),"""")</f>
        <v>"Sola a Solo"</v>
      </c>
      <c r="L209" t="s">
        <v>942</v>
      </c>
      <c r="M209" t="str">
        <f>_xlfn.CONCAT("""",VLOOKUP(E209,'Index Web'!A$4:L$253,4,FALSE),"""")</f>
        <v>"(Kiko Argüello)"</v>
      </c>
      <c r="N209" t="s">
        <v>943</v>
      </c>
      <c r="O209" t="str">
        <f>_xlfn.CONCAT("""",VLOOKUP(E209,'Index Web'!A$4:L$253,5,FALSE),"""")</f>
        <v>"Precatecumenado"</v>
      </c>
      <c r="P209" t="s">
        <v>944</v>
      </c>
      <c r="Q209" t="str">
        <f>_xlfn.CONCAT("[",VLOOKUP(E209,'Index Web'!A$4:N$253,14,FALSE),"]")</f>
        <v>["Vírgen María","Cuaresma","Fracción Del Pan"]</v>
      </c>
      <c r="R209" t="s">
        <v>945</v>
      </c>
      <c r="S209" t="str">
        <f>_xlfn.CONCAT("""/src/index.html?canto=",VLOOKUP(E209,'Index Web'!A$4:N$253,13,FALSE),""", ")</f>
        <v xml:space="preserve">"/src/index.html?canto=solaasolo", </v>
      </c>
      <c r="T209" t="str">
        <f>T208</f>
        <v xml:space="preserve">visible: "", </v>
      </c>
      <c r="U209" t="str">
        <f>_xlfn.CONCAT("cejilla: """,C209,""", ")</f>
        <v xml:space="preserve">cejilla: "", </v>
      </c>
      <c r="V209" t="str">
        <f>_xlfn.CONCAT("acorde: """,D209,""", ")</f>
        <v xml:space="preserve">acorde: "Re", </v>
      </c>
      <c r="W209" t="s">
        <v>2012</v>
      </c>
      <c r="X209" t="s">
        <v>2013</v>
      </c>
      <c r="Y209" t="str">
        <f>_xlfn.CONCAT("""",VLOOKUP(E209,'Index Web'!A$4:O$253,15,FALSE)," ",VLOOKUP(E209,'Index Web'!A$4:O$253,13,FALSE),"""","},")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Z209" t="str">
        <f>_xlfn.CONCAT(F209:Y209)</f>
        <v>{idi:206, id:"solaasolo", title: "Sola a Solo", subtitle: "(Kiko Argüello)", category: "Precatecumenado", moments: ["Vírgen María","Cuaresma","Fracción Del Pan"], url: "/src/index.html?canto=solaasolo", visible: "", cejilla: "", acorde: "Re", scrollConfig: {"mobile": { "v": 25, "i": 1 },"tablet": { "v": 25, "i": 1 },"desktop": { "v": 7, "i": 1 },"desktopsmall": { "v": 7, "i": 1 }},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10" spans="2:26" x14ac:dyDescent="0.25">
      <c r="B210" s="50" t="s">
        <v>632</v>
      </c>
      <c r="C210" s="1" t="str">
        <f>IF(VLOOKUP(Table4[[#This Row],[Cantounido]],Table7[],3,FALSE)=0,"",VLOOKUP(Table4[[#This Row],[Cantounido]],Table7[],3,FALSE))</f>
        <v/>
      </c>
      <c r="D210" s="44" t="str">
        <f>IF(VLOOKUP(Table4[[#This Row],[Cantounido]],Table7[],4,FALSE)=0,"",VLOOKUP(Table4[[#This Row],[Cantounido]],Table7[],4,FALSE))</f>
        <v>Re</v>
      </c>
      <c r="E210" s="25">
        <v>156</v>
      </c>
      <c r="F210" t="str">
        <f>F209</f>
        <v>{idi:</v>
      </c>
      <c r="G210" t="str">
        <f>_xlfn.CONCAT(VLOOKUP(E210,'Index Web'!A$4:L$253,2,FALSE),", ")</f>
        <v xml:space="preserve">207, </v>
      </c>
      <c r="H210" t="str">
        <f>H209</f>
        <v>id:</v>
      </c>
      <c r="I210" t="str">
        <f>_xlfn.CONCAT("""",VLOOKUP(E210,'Index Web'!A$4:O$253,13,FALSE),"""",", ")</f>
        <v xml:space="preserve">"stabatmaterdolorosa", </v>
      </c>
      <c r="J210" t="s">
        <v>2016</v>
      </c>
      <c r="K210" t="str">
        <f>_xlfn.CONCAT("""",VLOOKUP(E210,'Index Web'!A$4:L$253,3,FALSE),"""")</f>
        <v>"Stabat Mater dolorosa"</v>
      </c>
      <c r="L210" t="s">
        <v>942</v>
      </c>
      <c r="M210" t="str">
        <f>_xlfn.CONCAT("""",VLOOKUP(E210,'Index Web'!A$4:L$253,4,FALSE),"""")</f>
        <v>"Himno latin"</v>
      </c>
      <c r="N210" t="s">
        <v>943</v>
      </c>
      <c r="O210" t="str">
        <f>_xlfn.CONCAT("""",VLOOKUP(E210,'Index Web'!A$4:L$253,5,FALSE),"""")</f>
        <v>"Precatecumenado"</v>
      </c>
      <c r="P210" t="s">
        <v>944</v>
      </c>
      <c r="Q210" t="str">
        <f>_xlfn.CONCAT("[",VLOOKUP(E210,'Index Web'!A$4:N$253,14,FALSE),"]")</f>
        <v>["Vírgen María","Cuaresma","Fracción Del Pan"]</v>
      </c>
      <c r="R210" t="s">
        <v>945</v>
      </c>
      <c r="S210" t="str">
        <f>_xlfn.CONCAT("""/src/index.html?canto=",VLOOKUP(E210,'Index Web'!A$4:N$253,13,FALSE),""", ")</f>
        <v xml:space="preserve">"/src/index.html?canto=stabatmaterdolorosa", </v>
      </c>
      <c r="T210" t="str">
        <f>T209</f>
        <v xml:space="preserve">visible: "", </v>
      </c>
      <c r="U210" t="str">
        <f>_xlfn.CONCAT("cejilla: """,C210,""", ")</f>
        <v xml:space="preserve">cejilla: "", </v>
      </c>
      <c r="V210" t="str">
        <f>_xlfn.CONCAT("acorde: """,D210,""", ")</f>
        <v xml:space="preserve">acorde: "Re", </v>
      </c>
      <c r="W210" t="s">
        <v>2012</v>
      </c>
      <c r="X210" t="s">
        <v>2013</v>
      </c>
      <c r="Y210" t="str">
        <f>_xlfn.CONCAT("""",VLOOKUP(E210,'Index Web'!A$4:O$253,15,FALSE)," ",VLOOKUP(E210,'Index Web'!A$4:O$253,13,FALSE),"""","},")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Z210" t="str">
        <f>_xlfn.CONCAT(F210:Y210)</f>
        <v>{idi:207, id:"stabatmaterdolorosa", title: "Stabat Mater dolorosa", subtitle: "Himno latin", category: "Precatecumenado", moments: ["Vírgen María","Cuaresma","Fracción Del Pan"], url: "/src/index.html?canto=stabatmaterdolorosa", visible: "", cejilla: "", acorde: "Re", scrollConfig: {"mobile": { "v": 25, "i": 1 },"tablet": { "v": 25, "i": 1 },"desktop": { "v": 7, "i": 1 },"desktopsmall": { "v": 7, "i": 1 }},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11" spans="2:26" x14ac:dyDescent="0.25">
      <c r="B211" s="53" t="s">
        <v>707</v>
      </c>
      <c r="C211" s="1">
        <f>IF(VLOOKUP(Table4[[#This Row],[Cantounido]],Table7[],3,FALSE)=0,"",VLOOKUP(Table4[[#This Row],[Cantounido]],Table7[],3,FALSE))</f>
        <v>3</v>
      </c>
      <c r="D211" s="44" t="str">
        <f>IF(VLOOKUP(Table4[[#This Row],[Cantounido]],Table7[],4,FALSE)=0,"",VLOOKUP(Table4[[#This Row],[Cantounido]],Table7[],4,FALSE))</f>
        <v>La</v>
      </c>
      <c r="E211" s="28">
        <v>244</v>
      </c>
      <c r="F211" t="str">
        <f>F210</f>
        <v>{idi:</v>
      </c>
      <c r="G211" t="str">
        <f>_xlfn.CONCAT(VLOOKUP(E211,'Index Web'!A$4:L$253,2,FALSE),", ")</f>
        <v xml:space="preserve">208, </v>
      </c>
      <c r="H211" t="str">
        <f>H210</f>
        <v>id:</v>
      </c>
      <c r="I211" t="str">
        <f>_xlfn.CONCAT("""",VLOOKUP(E211,'Index Web'!A$4:O$253,13,FALSE),"""",", ")</f>
        <v xml:space="preserve">"subaelesposoallenodesutalamo", </v>
      </c>
      <c r="J211" t="s">
        <v>2016</v>
      </c>
      <c r="K211" t="str">
        <f>_xlfn.CONCAT("""",VLOOKUP(E211,'Index Web'!A$4:L$253,3,FALSE),"""")</f>
        <v>"Suba el esposo al leño de su tálamo "</v>
      </c>
      <c r="L211" t="s">
        <v>942</v>
      </c>
      <c r="M211" t="str">
        <f>_xlfn.CONCAT("""",VLOOKUP(E211,'Index Web'!A$4:L$253,4,FALSE),"""")</f>
        <v>"Himno (San Quodvultdeus)"</v>
      </c>
      <c r="N211" t="s">
        <v>943</v>
      </c>
      <c r="O211" t="str">
        <f>_xlfn.CONCAT("""",VLOOKUP(E211,'Index Web'!A$4:L$253,5,FALSE),"""")</f>
        <v>"Eleccion"</v>
      </c>
      <c r="P211" t="s">
        <v>944</v>
      </c>
      <c r="Q211" t="str">
        <f>_xlfn.CONCAT("[",VLOOKUP(E211,'Index Web'!A$4:N$253,14,FALSE),"]")</f>
        <v>[""]</v>
      </c>
      <c r="R211" t="s">
        <v>945</v>
      </c>
      <c r="S211" t="str">
        <f>_xlfn.CONCAT("""/src/index.html?canto=",VLOOKUP(E211,'Index Web'!A$4:N$253,13,FALSE),""", ")</f>
        <v xml:space="preserve">"/src/index.html?canto=subaelesposoallenodesutalamo", </v>
      </c>
      <c r="T211" t="str">
        <f>T210</f>
        <v xml:space="preserve">visible: "", </v>
      </c>
      <c r="U211" t="str">
        <f>_xlfn.CONCAT("cejilla: """,C211,""", ")</f>
        <v xml:space="preserve">cejilla: "3", </v>
      </c>
      <c r="V211" t="str">
        <f>_xlfn.CONCAT("acorde: """,D211,""", ")</f>
        <v xml:space="preserve">acorde: "La", </v>
      </c>
      <c r="W211" t="s">
        <v>2012</v>
      </c>
      <c r="X211" t="s">
        <v>2013</v>
      </c>
      <c r="Y211" t="str">
        <f>_xlfn.CONCAT("""",VLOOKUP(E211,'Index Web'!A$4:O$253,15,FALSE)," ",VLOOKUP(E211,'Index Web'!A$4:O$253,13,FALSE),"""","},")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Z211" t="str">
        <f>_xlfn.CONCAT(F211:Y211)</f>
        <v>{idi:208, id:"subaelesposoallenodesutalamo", title: "Suba el esposo al leño de su tálamo ", subtitle: "Himno (San Quodvultdeus)", category: "Eleccion", moments: [""], url: "/src/index.html?canto=subaelesposoallenodesutalamo", visible: "", cejilla: "3", acorde: "La", scrollConfig: {"mobile": { "v": 25, "i": 1 },"tablet": { "v": 25, "i": 1 },"desktop": { "v": 7, "i": 1 },"desktopsmall": { "v": 7, "i": 1 }},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2" spans="2:26" x14ac:dyDescent="0.25">
      <c r="B212" s="50" t="s">
        <v>633</v>
      </c>
      <c r="C212" s="1" t="str">
        <f>IF(VLOOKUP(Table4[[#This Row],[Cantounido]],Table7[],3,FALSE)=0,"",VLOOKUP(Table4[[#This Row],[Cantounido]],Table7[],3,FALSE))</f>
        <v/>
      </c>
      <c r="D212" s="44" t="str">
        <f>IF(VLOOKUP(Table4[[#This Row],[Cantounido]],Table7[],4,FALSE)=0,"",VLOOKUP(Table4[[#This Row],[Cantounido]],Table7[],4,FALSE))</f>
        <v>Re</v>
      </c>
      <c r="E212" s="25">
        <v>157</v>
      </c>
      <c r="F212" t="str">
        <f>F211</f>
        <v>{idi:</v>
      </c>
      <c r="G212" t="str">
        <f>_xlfn.CONCAT(VLOOKUP(E212,'Index Web'!A$4:L$253,2,FALSE),", ")</f>
        <v xml:space="preserve">209, </v>
      </c>
      <c r="H212" t="str">
        <f>H211</f>
        <v>id:</v>
      </c>
      <c r="I212" t="str">
        <f>_xlfn.CONCAT("""",VLOOKUP(E212,'Index Web'!A$4:O$253,13,FALSE),"""",", ")</f>
        <v xml:space="preserve">"subediosentreaclamaciones", </v>
      </c>
      <c r="J212" t="s">
        <v>2016</v>
      </c>
      <c r="K212" t="str">
        <f>_xlfn.CONCAT("""",VLOOKUP(E212,'Index Web'!A$4:L$253,3,FALSE),"""")</f>
        <v>"Sube Dios entre aclamaciones"</v>
      </c>
      <c r="L212" t="s">
        <v>942</v>
      </c>
      <c r="M212" t="str">
        <f>_xlfn.CONCAT("""",VLOOKUP(E212,'Index Web'!A$4:L$253,4,FALSE),"""")</f>
        <v>"Salmo 47 (46)"</v>
      </c>
      <c r="N212" t="s">
        <v>943</v>
      </c>
      <c r="O212" t="str">
        <f>_xlfn.CONCAT("""",VLOOKUP(E212,'Index Web'!A$4:L$253,5,FALSE),"""")</f>
        <v>"Precatecumenado"</v>
      </c>
      <c r="P212" t="s">
        <v>944</v>
      </c>
      <c r="Q212" t="str">
        <f>_xlfn.CONCAT("[",VLOOKUP(E212,'Index Web'!A$4:N$253,14,FALSE),"]")</f>
        <v>["Pascua","Pentecostés","Antiguo Testamento","Paz"]</v>
      </c>
      <c r="R212" t="s">
        <v>945</v>
      </c>
      <c r="S212" t="str">
        <f>_xlfn.CONCAT("""/src/index.html?canto=",VLOOKUP(E212,'Index Web'!A$4:N$253,13,FALSE),""", ")</f>
        <v xml:space="preserve">"/src/index.html?canto=subediosentreaclamaciones", </v>
      </c>
      <c r="T212" t="str">
        <f>T211</f>
        <v xml:space="preserve">visible: "", </v>
      </c>
      <c r="U212" t="str">
        <f>_xlfn.CONCAT("cejilla: """,C212,""", ")</f>
        <v xml:space="preserve">cejilla: "", </v>
      </c>
      <c r="V212" t="str">
        <f>_xlfn.CONCAT("acorde: """,D212,""", ")</f>
        <v xml:space="preserve">acorde: "Re", </v>
      </c>
      <c r="W212" t="s">
        <v>2012</v>
      </c>
      <c r="X212" t="s">
        <v>2013</v>
      </c>
      <c r="Y212" t="str">
        <f>_xlfn.CONCAT("""",VLOOKUP(E212,'Index Web'!A$4:O$253,15,FALSE)," ",VLOOKUP(E212,'Index Web'!A$4:O$253,13,FALSE),"""","},")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Z212" t="str">
        <f>_xlfn.CONCAT(F212:Y212)</f>
        <v>{idi:209, id:"subediosentreaclamaciones", title: "Sube Dios entre aclamaciones", subtitle: "Salmo 47 (46)", category: "Precatecumenado", moments: ["Pascua","Pentecostés","Antiguo Testamento","Paz"], url: "/src/index.html?canto=subediosentreaclamaciones", visible: "", cejilla: "", acorde: "Re", scrollConfig: {"mobile": { "v": 25, "i": 1 },"tablet": { "v": 25, "i": 1 },"desktop": { "v": 7, "i": 1 },"desktopsmall": { "v": 7, "i": 1 }},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3" spans="2:26" x14ac:dyDescent="0.25">
      <c r="B213" s="52" t="s">
        <v>683</v>
      </c>
      <c r="C213" s="1" t="str">
        <f>IF(VLOOKUP(Table4[[#This Row],[Cantounido]],Table7[],3,FALSE)=0,"",VLOOKUP(Table4[[#This Row],[Cantounido]],Table7[],3,FALSE))</f>
        <v/>
      </c>
      <c r="D213" s="44" t="str">
        <f>IF(VLOOKUP(Table4[[#This Row],[Cantounido]],Table7[],4,FALSE)=0,"",VLOOKUP(Table4[[#This Row],[Cantounido]],Table7[],4,FALSE))</f>
        <v>Re</v>
      </c>
      <c r="E213" s="27">
        <v>220</v>
      </c>
      <c r="F213" t="str">
        <f>F212</f>
        <v>{idi:</v>
      </c>
      <c r="G213" t="str">
        <f>_xlfn.CONCAT(VLOOKUP(E213,'Index Web'!A$4:L$253,2,FALSE),", ")</f>
        <v xml:space="preserve">210, </v>
      </c>
      <c r="H213" t="str">
        <f>H212</f>
        <v>id:</v>
      </c>
      <c r="I213" t="str">
        <f>_xlfn.CONCAT("""",VLOOKUP(E213,'Index Web'!A$4:O$253,13,FALSE),"""",", ")</f>
        <v xml:space="preserve">"tedeum", </v>
      </c>
      <c r="J213" t="s">
        <v>2016</v>
      </c>
      <c r="K213" t="str">
        <f>_xlfn.CONCAT("""",VLOOKUP(E213,'Index Web'!A$4:L$253,3,FALSE),"""")</f>
        <v>"Te deum"</v>
      </c>
      <c r="L213" t="s">
        <v>942</v>
      </c>
      <c r="M213" t="str">
        <f>_xlfn.CONCAT("""",VLOOKUP(E213,'Index Web'!A$4:L$253,4,FALSE),"""")</f>
        <v>"Himno"</v>
      </c>
      <c r="N213" t="s">
        <v>943</v>
      </c>
      <c r="O213" t="str">
        <f>_xlfn.CONCAT("""",VLOOKUP(E213,'Index Web'!A$4:L$253,5,FALSE),"""")</f>
        <v>"Liturgia"</v>
      </c>
      <c r="P213" t="s">
        <v>944</v>
      </c>
      <c r="Q213" t="str">
        <f>_xlfn.CONCAT("[",VLOOKUP(E213,'Index Web'!A$4:N$253,14,FALSE),"]")</f>
        <v>[""]</v>
      </c>
      <c r="R213" t="s">
        <v>945</v>
      </c>
      <c r="S213" t="str">
        <f>_xlfn.CONCAT("""/src/index.html?canto=",VLOOKUP(E213,'Index Web'!A$4:N$253,13,FALSE),""", ")</f>
        <v xml:space="preserve">"/src/index.html?canto=tedeum", </v>
      </c>
      <c r="T213" t="str">
        <f>T212</f>
        <v xml:space="preserve">visible: "", </v>
      </c>
      <c r="U213" t="str">
        <f>_xlfn.CONCAT("cejilla: """,C213,""", ")</f>
        <v xml:space="preserve">cejilla: "", </v>
      </c>
      <c r="V213" t="str">
        <f>_xlfn.CONCAT("acorde: """,D213,""", ")</f>
        <v xml:space="preserve">acorde: "Re", </v>
      </c>
      <c r="W213" t="s">
        <v>2012</v>
      </c>
      <c r="X213" t="s">
        <v>2013</v>
      </c>
      <c r="Y213" t="str">
        <f>_xlfn.CONCAT("""",VLOOKUP(E213,'Index Web'!A$4:O$253,15,FALSE)," ",VLOOKUP(E213,'Index Web'!A$4:O$253,13,FALSE),"""","},")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Z213" t="str">
        <f>_xlfn.CONCAT(F213:Y213)</f>
        <v>{idi:210, id:"tedeum", title: "Te deum", subtitle: "Himno", category: "Liturgia", moments: [""], url: "/src/index.html?canto=tedeum", visible: "", cejilla: "", acorde: "Re", scrollConfig: {"mobile": { "v": 25, "i": 1 },"tablet": { "v": 25, "i": 1 },"desktop": { "v": 7, "i": 1 },"desktopsmall": { "v": 7, "i": 1 }},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4" spans="2:26" x14ac:dyDescent="0.25">
      <c r="B214" s="50" t="s">
        <v>634</v>
      </c>
      <c r="C214" s="1" t="str">
        <f>IF(VLOOKUP(Table4[[#This Row],[Cantounido]],Table7[],3,FALSE)=0,"",VLOOKUP(Table4[[#This Row],[Cantounido]],Table7[],3,FALSE))</f>
        <v/>
      </c>
      <c r="D214" s="44" t="str">
        <f>IF(VLOOKUP(Table4[[#This Row],[Cantounido]],Table7[],4,FALSE)=0,"",VLOOKUP(Table4[[#This Row],[Cantounido]],Table7[],4,FALSE))</f>
        <v>Re</v>
      </c>
      <c r="E214" s="25">
        <v>158</v>
      </c>
      <c r="F214" t="str">
        <f>F213</f>
        <v>{idi:</v>
      </c>
      <c r="G214" t="str">
        <f>_xlfn.CONCAT(VLOOKUP(E214,'Index Web'!A$4:L$253,2,FALSE),", ")</f>
        <v xml:space="preserve">211, </v>
      </c>
      <c r="H214" t="str">
        <f>H213</f>
        <v>id:</v>
      </c>
      <c r="I214" t="str">
        <f>_xlfn.CONCAT("""",VLOOKUP(E214,'Index Web'!A$4:O$253,13,FALSE),"""",", ")</f>
        <v xml:space="preserve">"teestoyllamandosenor", </v>
      </c>
      <c r="J214" t="s">
        <v>2016</v>
      </c>
      <c r="K214" t="str">
        <f>_xlfn.CONCAT("""",VLOOKUP(E214,'Index Web'!A$4:L$253,3,FALSE),"""")</f>
        <v>"Te estoy llamando, Señor"</v>
      </c>
      <c r="L214" t="s">
        <v>942</v>
      </c>
      <c r="M214" t="str">
        <f>_xlfn.CONCAT("""",VLOOKUP(E214,'Index Web'!A$4:L$253,4,FALSE),"""")</f>
        <v>"Salmo 141 (140)"</v>
      </c>
      <c r="N214" t="s">
        <v>943</v>
      </c>
      <c r="O214" t="str">
        <f>_xlfn.CONCAT("""",VLOOKUP(E214,'Index Web'!A$4:L$253,5,FALSE),"""")</f>
        <v>"Precatecumenado"</v>
      </c>
      <c r="P214" t="s">
        <v>944</v>
      </c>
      <c r="Q214" t="str">
        <f>_xlfn.CONCAT("[",VLOOKUP(E214,'Index Web'!A$4:N$253,14,FALSE),"]")</f>
        <v>["Cuaresma","Antiguo Testamento"]</v>
      </c>
      <c r="R214" t="s">
        <v>945</v>
      </c>
      <c r="S214" t="str">
        <f>_xlfn.CONCAT("""/src/index.html?canto=",VLOOKUP(E214,'Index Web'!A$4:N$253,13,FALSE),""", ")</f>
        <v xml:space="preserve">"/src/index.html?canto=teestoyllamandosenor", </v>
      </c>
      <c r="T214" t="str">
        <f>T213</f>
        <v xml:space="preserve">visible: "", </v>
      </c>
      <c r="U214" t="str">
        <f>_xlfn.CONCAT("cejilla: """,C214,""", ")</f>
        <v xml:space="preserve">cejilla: "", </v>
      </c>
      <c r="V214" t="str">
        <f>_xlfn.CONCAT("acorde: """,D214,""", ")</f>
        <v xml:space="preserve">acorde: "Re", </v>
      </c>
      <c r="W214" t="s">
        <v>2012</v>
      </c>
      <c r="X214" t="s">
        <v>2013</v>
      </c>
      <c r="Y214" t="str">
        <f>_xlfn.CONCAT("""",VLOOKUP(E214,'Index Web'!A$4:O$253,15,FALSE)," ",VLOOKUP(E214,'Index Web'!A$4:O$253,13,FALSE),"""","},")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Z214" t="str">
        <f>_xlfn.CONCAT(F214:Y214)</f>
        <v>{idi:211, id:"teestoyllamandosenor", title: "Te estoy llamando, Señor", subtitle: "Salmo 141 (140)", category: "Precatecumenado", moments: ["Cuaresma","Antiguo Testamento"], url: "/src/index.html?canto=teestoyllamandosenor", visible: "", cejilla: "", acorde: "Re", scrollConfig: {"mobile": { "v": 25, "i": 1 },"tablet": { "v": 25, "i": 1 },"desktop": { "v": 7, "i": 1 },"desktopsmall": { "v": 7, "i": 1 }},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5" spans="2:26" x14ac:dyDescent="0.25">
      <c r="B215" s="51" t="s">
        <v>635</v>
      </c>
      <c r="C215" s="1" t="str">
        <f>IF(VLOOKUP(Table4[[#This Row],[Cantounido]],Table7[],3,FALSE)=0,"",VLOOKUP(Table4[[#This Row],[Cantounido]],Table7[],3,FALSE))</f>
        <v/>
      </c>
      <c r="D215" s="44" t="str">
        <f>IF(VLOOKUP(Table4[[#This Row],[Cantounido]],Table7[],4,FALSE)=0,"",VLOOKUP(Table4[[#This Row],[Cantounido]],Table7[],4,FALSE))</f>
        <v>La</v>
      </c>
      <c r="E215" s="26">
        <v>159</v>
      </c>
      <c r="F215" t="str">
        <f>F214</f>
        <v>{idi:</v>
      </c>
      <c r="G215" t="str">
        <f>_xlfn.CONCAT(VLOOKUP(E215,'Index Web'!A$4:L$253,2,FALSE),", ")</f>
        <v xml:space="preserve">212, </v>
      </c>
      <c r="H215" t="str">
        <f>H214</f>
        <v>id:</v>
      </c>
      <c r="I215" t="str">
        <f>_xlfn.CONCAT("""",VLOOKUP(E215,'Index Web'!A$4:O$253,13,FALSE),"""",", ")</f>
        <v xml:space="preserve">"tehemanifestadomipecado", </v>
      </c>
      <c r="J215" t="s">
        <v>2016</v>
      </c>
      <c r="K215" t="str">
        <f>_xlfn.CONCAT("""",VLOOKUP(E215,'Index Web'!A$4:L$253,3,FALSE),"""")</f>
        <v>"Te he manifestado mi pecado"</v>
      </c>
      <c r="L215" t="s">
        <v>942</v>
      </c>
      <c r="M215" t="str">
        <f>_xlfn.CONCAT("""",VLOOKUP(E215,'Index Web'!A$4:L$253,4,FALSE),"""")</f>
        <v>"Salmo 32 (31)"</v>
      </c>
      <c r="N215" t="s">
        <v>943</v>
      </c>
      <c r="O215" t="str">
        <f>_xlfn.CONCAT("""",VLOOKUP(E215,'Index Web'!A$4:L$253,5,FALSE),"""")</f>
        <v>"Precatecumenado"</v>
      </c>
      <c r="P215" t="s">
        <v>944</v>
      </c>
      <c r="Q215" t="str">
        <f>_xlfn.CONCAT("[",VLOOKUP(E215,'Index Web'!A$4:N$253,14,FALSE),"]")</f>
        <v>["Cuaresma","Antiguo Testamento"]</v>
      </c>
      <c r="R215" t="s">
        <v>945</v>
      </c>
      <c r="S215" t="str">
        <f>_xlfn.CONCAT("""/src/index.html?canto=",VLOOKUP(E215,'Index Web'!A$4:N$253,13,FALSE),""", ")</f>
        <v xml:space="preserve">"/src/index.html?canto=tehemanifestadomipecado", </v>
      </c>
      <c r="T215" t="str">
        <f>T214</f>
        <v xml:space="preserve">visible: "", </v>
      </c>
      <c r="U215" t="str">
        <f>_xlfn.CONCAT("cejilla: """,C215,""", ")</f>
        <v xml:space="preserve">cejilla: "", </v>
      </c>
      <c r="V215" t="str">
        <f>_xlfn.CONCAT("acorde: """,D215,""", ")</f>
        <v xml:space="preserve">acorde: "La", </v>
      </c>
      <c r="W215" t="s">
        <v>2012</v>
      </c>
      <c r="X215" t="s">
        <v>2013</v>
      </c>
      <c r="Y215" t="str">
        <f>_xlfn.CONCAT("""",VLOOKUP(E215,'Index Web'!A$4:O$253,15,FALSE)," ",VLOOKUP(E215,'Index Web'!A$4:O$253,13,FALSE),"""","},")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Z215" t="str">
        <f>_xlfn.CONCAT(F215:Y215)</f>
        <v>{idi:212, id:"tehemanifestadomipecado", title: "Te he manifestado mi pecado", subtitle: "Salmo 32 (31)", category: "Precatecumenado", moments: ["Cuaresma","Antiguo Testamento"], url: "/src/index.html?canto=tehemanifestadomipecado", visible: "", cejilla: "", acorde: "La", scrollConfig: {"mobile": { "v": 25, "i": 1 },"tablet": { "v": 25, "i": 1 },"desktop": { "v": 7, "i": 1 },"desktopsmall": { "v": 7, "i": 1 }},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6" spans="2:26" x14ac:dyDescent="0.25">
      <c r="B216" s="57" t="s">
        <v>699</v>
      </c>
      <c r="C216" s="1" t="str">
        <f>IF(VLOOKUP(Table4[[#This Row],[Cantounido]],Table7[],3,FALSE)=0,"",VLOOKUP(Table4[[#This Row],[Cantounido]],Table7[],3,FALSE))</f>
        <v/>
      </c>
      <c r="D216" s="44" t="str">
        <f>IF(VLOOKUP(Table4[[#This Row],[Cantounido]],Table7[],4,FALSE)=0,"",VLOOKUP(Table4[[#This Row],[Cantounido]],Table7[],4,FALSE))</f>
        <v>Do#</v>
      </c>
      <c r="E216" s="31">
        <v>236</v>
      </c>
      <c r="F216" t="str">
        <f>F215</f>
        <v>{idi:</v>
      </c>
      <c r="G216" t="str">
        <f>_xlfn.CONCAT(VLOOKUP(E216,'Index Web'!A$4:L$253,2,FALSE),", ")</f>
        <v xml:space="preserve">213, </v>
      </c>
      <c r="H216" t="str">
        <f>H215</f>
        <v>id:</v>
      </c>
      <c r="I216" t="str">
        <f>_xlfn.CONCAT("""",VLOOKUP(E216,'Index Web'!A$4:O$253,13,FALSE),"""",", ")</f>
        <v xml:space="preserve">"tueresmiesperanzasenor", </v>
      </c>
      <c r="J216" t="s">
        <v>2016</v>
      </c>
      <c r="K216" t="str">
        <f>_xlfn.CONCAT("""",VLOOKUP(E216,'Index Web'!A$4:L$253,3,FALSE),"""")</f>
        <v>"Tú eres mi esperanza, Señor"</v>
      </c>
      <c r="L216" t="s">
        <v>942</v>
      </c>
      <c r="M216" t="str">
        <f>_xlfn.CONCAT("""",VLOOKUP(E216,'Index Web'!A$4:L$253,4,FALSE),"""")</f>
        <v>"Oda XXIX de Salomón"</v>
      </c>
      <c r="N216" t="s">
        <v>943</v>
      </c>
      <c r="O216" t="str">
        <f>_xlfn.CONCAT("""",VLOOKUP(E216,'Index Web'!A$4:L$253,5,FALSE),"""")</f>
        <v>"Catecumenado"</v>
      </c>
      <c r="P216" t="s">
        <v>944</v>
      </c>
      <c r="Q216" t="str">
        <f>_xlfn.CONCAT("[",VLOOKUP(E216,'Index Web'!A$4:N$253,14,FALSE),"]")</f>
        <v>["Adviento","Navidad","Cuaresma","Antiguo Testamento"]</v>
      </c>
      <c r="R216" t="s">
        <v>945</v>
      </c>
      <c r="S216" t="str">
        <f>_xlfn.CONCAT("""/src/index.html?canto=",VLOOKUP(E216,'Index Web'!A$4:N$253,13,FALSE),""", ")</f>
        <v xml:space="preserve">"/src/index.html?canto=tueresmiesperanzasenor", </v>
      </c>
      <c r="T216" t="str">
        <f>T215</f>
        <v xml:space="preserve">visible: "", </v>
      </c>
      <c r="U216" t="str">
        <f>_xlfn.CONCAT("cejilla: """,C216,""", ")</f>
        <v xml:space="preserve">cejilla: "", </v>
      </c>
      <c r="V216" t="str">
        <f>_xlfn.CONCAT("acorde: """,D216,""", ")</f>
        <v xml:space="preserve">acorde: "Do#", </v>
      </c>
      <c r="W216" t="s">
        <v>2012</v>
      </c>
      <c r="X216" t="s">
        <v>2013</v>
      </c>
      <c r="Y216" t="str">
        <f>_xlfn.CONCAT("""",VLOOKUP(E216,'Index Web'!A$4:O$253,15,FALSE)," ",VLOOKUP(E216,'Index Web'!A$4:O$253,13,FALSE),"""","},")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Z216" t="str">
        <f>_xlfn.CONCAT(F216:Y216)</f>
        <v>{idi:213, id:"tueresmiesperanzasenor", title: "Tú eres mi esperanza, Señor", subtitle: "Oda XXIX de Salomón", category: "Catecumenado", moments: ["Adviento","Navidad","Cuaresma","Antiguo Testamento"], url: "/src/index.html?canto=tueresmiesperanzasenor", visible: "", cejilla: "", acorde: "Do#", scrollConfig: {"mobile": { "v": 25, "i": 1 },"tablet": { "v": 25, "i": 1 },"desktop": { "v": 7, "i": 1 },"desktopsmall": { "v": 7, "i": 1 }},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7" spans="2:26" x14ac:dyDescent="0.25">
      <c r="B217" s="51" t="s">
        <v>2099</v>
      </c>
      <c r="C217" s="1" t="str">
        <f>IF(VLOOKUP(Table4[[#This Row],[Cantounido]],Table7[],3,FALSE)=0,"",VLOOKUP(Table4[[#This Row],[Cantounido]],Table7[],3,FALSE))</f>
        <v/>
      </c>
      <c r="D217" s="44" t="str">
        <f>IF(VLOOKUP(Table4[[#This Row],[Cantounido]],Table7[],4,FALSE)=0,"",VLOOKUP(Table4[[#This Row],[Cantounido]],Table7[],4,FALSE))</f>
        <v>Re</v>
      </c>
      <c r="E217" s="26">
        <v>160</v>
      </c>
      <c r="F217" t="str">
        <f>F216</f>
        <v>{idi:</v>
      </c>
      <c r="G217" t="str">
        <f>_xlfn.CONCAT(VLOOKUP(E217,'Index Web'!A$4:L$253,2,FALSE),", ")</f>
        <v xml:space="preserve">214, </v>
      </c>
      <c r="H217" t="str">
        <f>H216</f>
        <v>id:</v>
      </c>
      <c r="I217" t="str">
        <f>_xlfn.CONCAT("""",VLOOKUP(E217,'Index Web'!A$4:O$253,13,FALSE),"""",", ")</f>
        <v xml:space="preserve">"tuhascubiertodevergüenzalamuerte", </v>
      </c>
      <c r="J217" t="s">
        <v>2016</v>
      </c>
      <c r="K217" t="str">
        <f>_xlfn.CONCAT("""",VLOOKUP(E217,'Index Web'!A$4:L$253,3,FALSE),"""")</f>
        <v>"Tú has cubierto de vergüenza la muerte"</v>
      </c>
      <c r="L217" t="s">
        <v>942</v>
      </c>
      <c r="M217" t="str">
        <f>_xlfn.CONCAT("""",VLOOKUP(E217,'Index Web'!A$4:L$253,4,FALSE),"""")</f>
        <v>"Homilía Pascual (Melltón de Sardes)"</v>
      </c>
      <c r="N217" t="s">
        <v>943</v>
      </c>
      <c r="O217" t="str">
        <f>_xlfn.CONCAT("""",VLOOKUP(E217,'Index Web'!A$4:L$253,5,FALSE),"""")</f>
        <v>"Precatecumenado"</v>
      </c>
      <c r="P217" t="s">
        <v>944</v>
      </c>
      <c r="Q217" t="str">
        <f>_xlfn.CONCAT("[",VLOOKUP(E217,'Index Web'!A$4:N$253,14,FALSE),"]")</f>
        <v>["Vírgen María","Pascua","Pentecostés","Fracción Del Pan"]</v>
      </c>
      <c r="R217" t="s">
        <v>945</v>
      </c>
      <c r="S217" t="str">
        <f>_xlfn.CONCAT("""/src/index.html?canto=",VLOOKUP(E217,'Index Web'!A$4:N$253,13,FALSE),""", ")</f>
        <v xml:space="preserve">"/src/index.html?canto=tuhascubiertodevergüenzalamuerte", </v>
      </c>
      <c r="T217" t="str">
        <f>T216</f>
        <v xml:space="preserve">visible: "", </v>
      </c>
      <c r="U217" t="str">
        <f>_xlfn.CONCAT("cejilla: """,C217,""", ")</f>
        <v xml:space="preserve">cejilla: "", </v>
      </c>
      <c r="V217" t="str">
        <f>_xlfn.CONCAT("acorde: """,D217,""", ")</f>
        <v xml:space="preserve">acorde: "Re", </v>
      </c>
      <c r="W217" t="s">
        <v>2012</v>
      </c>
      <c r="X217" t="s">
        <v>2013</v>
      </c>
      <c r="Y217" t="str">
        <f>_xlfn.CONCAT("""",VLOOKUP(E217,'Index Web'!A$4:O$253,15,FALSE)," ",VLOOKUP(E217,'Index Web'!A$4:O$253,13,FALSE),"""","},")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Z217" t="str">
        <f>_xlfn.CONCAT(F217:Y217)</f>
        <v>{idi:214, id:"tuhascubiertodevergüenzalamuerte", title: "Tú has cubierto de vergüenza la muerte", subtitle: "Homilía Pascual (Melltón de Sardes)", category: "Precatecumenado", moments: ["Vírgen María","Pascua","Pentecostés","Fracción Del Pan"], url: "/src/index.html?canto=tuhascubiertodevergüenzalamuerte", visible: "", cejilla: "", acorde: "Re", scrollConfig: {"mobile": { "v": 25, "i": 1 },"tablet": { "v": 25, "i": 1 },"desktop": { "v": 7, "i": 1 },"desktopsmall": { "v": 7, "i": 1 }},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8" spans="2:26" x14ac:dyDescent="0.25">
      <c r="B218" s="50" t="s">
        <v>637</v>
      </c>
      <c r="C218" s="1" t="str">
        <f>IF(VLOOKUP(Table4[[#This Row],[Cantounido]],Table7[],3,FALSE)=0,"",VLOOKUP(Table4[[#This Row],[Cantounido]],Table7[],3,FALSE))</f>
        <v/>
      </c>
      <c r="D218" s="44" t="str">
        <f>IF(VLOOKUP(Table4[[#This Row],[Cantounido]],Table7[],4,FALSE)=0,"",VLOOKUP(Table4[[#This Row],[Cantounido]],Table7[],4,FALSE))</f>
        <v>Do</v>
      </c>
      <c r="E218" s="25">
        <v>161</v>
      </c>
      <c r="F218" t="str">
        <f>F217</f>
        <v>{idi:</v>
      </c>
      <c r="G218" t="str">
        <f>_xlfn.CONCAT(VLOOKUP(E218,'Index Web'!A$4:L$253,2,FALSE),", ")</f>
        <v xml:space="preserve">215, </v>
      </c>
      <c r="H218" t="str">
        <f>H217</f>
        <v>id:</v>
      </c>
      <c r="I218" t="str">
        <f>_xlfn.CONCAT("""",VLOOKUP(E218,'Index Web'!A$4:O$253,13,FALSE),"""",", ")</f>
        <v xml:space="preserve">"tuqueeresfiel", </v>
      </c>
      <c r="J218" t="s">
        <v>2016</v>
      </c>
      <c r="K218" t="str">
        <f>_xlfn.CONCAT("""",VLOOKUP(E218,'Index Web'!A$4:L$253,3,FALSE),"""")</f>
        <v>"Tú que eres fiel"</v>
      </c>
      <c r="L218" t="s">
        <v>942</v>
      </c>
      <c r="M218" t="str">
        <f>_xlfn.CONCAT("""",VLOOKUP(E218,'Index Web'!A$4:L$253,4,FALSE),"""")</f>
        <v>"Salmo 143 (142)"</v>
      </c>
      <c r="N218" t="s">
        <v>943</v>
      </c>
      <c r="O218" t="str">
        <f>_xlfn.CONCAT("""",VLOOKUP(E218,'Index Web'!A$4:L$253,5,FALSE),"""")</f>
        <v>"Precatecumenado"</v>
      </c>
      <c r="P218" t="s">
        <v>944</v>
      </c>
      <c r="Q218" t="str">
        <f>_xlfn.CONCAT("[",VLOOKUP(E218,'Index Web'!A$4:N$253,14,FALSE),"]")</f>
        <v>["Cuaresma","Entrada","Antiguo Testamento"]</v>
      </c>
      <c r="R218" t="s">
        <v>945</v>
      </c>
      <c r="S218" t="str">
        <f>_xlfn.CONCAT("""/src/index.html?canto=",VLOOKUP(E218,'Index Web'!A$4:N$253,13,FALSE),""", ")</f>
        <v xml:space="preserve">"/src/index.html?canto=tuqueeresfiel", </v>
      </c>
      <c r="T218" t="str">
        <f>T217</f>
        <v xml:space="preserve">visible: "", </v>
      </c>
      <c r="U218" t="str">
        <f>_xlfn.CONCAT("cejilla: """,C218,""", ")</f>
        <v xml:space="preserve">cejilla: "", </v>
      </c>
      <c r="V218" t="str">
        <f>_xlfn.CONCAT("acorde: """,D218,""", ")</f>
        <v xml:space="preserve">acorde: "Do", </v>
      </c>
      <c r="W218" t="s">
        <v>2012</v>
      </c>
      <c r="X218" t="s">
        <v>2013</v>
      </c>
      <c r="Y218" t="str">
        <f>_xlfn.CONCAT("""",VLOOKUP(E218,'Index Web'!A$4:O$253,15,FALSE)," ",VLOOKUP(E218,'Index Web'!A$4:O$253,13,FALSE),"""","},")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Z218" t="str">
        <f>_xlfn.CONCAT(F218:Y218)</f>
        <v>{idi:215, id:"tuqueeresfiel", title: "Tú que eres fiel", subtitle: "Salmo 143 (142)", category: "Precatecumenado", moments: ["Cuaresma","Entrada","Antiguo Testamento"], url: "/src/index.html?canto=tuqueeresfiel", visible: "", cejilla: "", acorde: "Do", scrollConfig: {"mobile": { "v": 25, "i": 1 },"tablet": { "v": 25, "i": 1 },"desktop": { "v": 7, "i": 1 },"desktopsmall": { "v": 7, "i": 1 }},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9" spans="2:26" x14ac:dyDescent="0.25">
      <c r="B219" s="51" t="s">
        <v>638</v>
      </c>
      <c r="C219" s="1" t="str">
        <f>IF(VLOOKUP(Table4[[#This Row],[Cantounido]],Table7[],3,FALSE)=0,"",VLOOKUP(Table4[[#This Row],[Cantounido]],Table7[],3,FALSE))</f>
        <v/>
      </c>
      <c r="D219" s="44" t="str">
        <f>IF(VLOOKUP(Table4[[#This Row],[Cantounido]],Table7[],4,FALSE)=0,"",VLOOKUP(Table4[[#This Row],[Cantounido]],Table7[],4,FALSE))</f>
        <v>Sol</v>
      </c>
      <c r="E219" s="26">
        <v>162</v>
      </c>
      <c r="F219" t="str">
        <f>F218</f>
        <v>{idi:</v>
      </c>
      <c r="G219" t="str">
        <f>_xlfn.CONCAT(VLOOKUP(E219,'Index Web'!A$4:L$253,2,FALSE),", ")</f>
        <v xml:space="preserve">216, </v>
      </c>
      <c r="H219" t="str">
        <f>H218</f>
        <v>id:</v>
      </c>
      <c r="I219" t="str">
        <f>_xlfn.CONCAT("""",VLOOKUP(E219,'Index Web'!A$4:O$253,13,FALSE),"""",", ")</f>
        <v xml:space="preserve">"unretonobrotadeltroncodejese", </v>
      </c>
      <c r="J219" t="s">
        <v>2016</v>
      </c>
      <c r="K219" t="str">
        <f>_xlfn.CONCAT("""",VLOOKUP(E219,'Index Web'!A$4:L$253,3,FALSE),"""")</f>
        <v>"Un retoño brota del tronco de Jesé"</v>
      </c>
      <c r="L219" t="s">
        <v>942</v>
      </c>
      <c r="M219" t="str">
        <f>_xlfn.CONCAT("""",VLOOKUP(E219,'Index Web'!A$4:L$253,4,FALSE),"""")</f>
        <v>"Isaías 11,1-11"</v>
      </c>
      <c r="N219" t="s">
        <v>943</v>
      </c>
      <c r="O219" t="str">
        <f>_xlfn.CONCAT("""",VLOOKUP(E219,'Index Web'!A$4:L$253,5,FALSE),"""")</f>
        <v>"Precatecumenado"</v>
      </c>
      <c r="P219" t="s">
        <v>944</v>
      </c>
      <c r="Q219" t="str">
        <f>_xlfn.CONCAT("[",VLOOKUP(E219,'Index Web'!A$4:N$253,14,FALSE),"]")</f>
        <v>["Adviento","Navidad","Pascua","Pentecostés","Comunión","Antiguo Testamento"]</v>
      </c>
      <c r="R219" t="s">
        <v>945</v>
      </c>
      <c r="S219" t="str">
        <f>_xlfn.CONCAT("""/src/index.html?canto=",VLOOKUP(E219,'Index Web'!A$4:N$253,13,FALSE),""", ")</f>
        <v xml:space="preserve">"/src/index.html?canto=unretonobrotadeltroncodejese", </v>
      </c>
      <c r="T219" t="str">
        <f>T218</f>
        <v xml:space="preserve">visible: "", </v>
      </c>
      <c r="U219" t="str">
        <f>_xlfn.CONCAT("cejilla: """,C219,""", ")</f>
        <v xml:space="preserve">cejilla: "", </v>
      </c>
      <c r="V219" t="str">
        <f>_xlfn.CONCAT("acorde: """,D219,""", ")</f>
        <v xml:space="preserve">acorde: "Sol", </v>
      </c>
      <c r="W219" t="s">
        <v>2012</v>
      </c>
      <c r="X219" t="s">
        <v>2013</v>
      </c>
      <c r="Y219" t="str">
        <f>_xlfn.CONCAT("""",VLOOKUP(E219,'Index Web'!A$4:O$253,15,FALSE)," ",VLOOKUP(E219,'Index Web'!A$4:O$253,13,FALSE),"""","},")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Z219" t="str">
        <f>_xlfn.CONCAT(F219:Y219)</f>
        <v>{idi:216, id:"unretonobrotadeltroncodejese", title: "Un retoño brota del tronco de Jesé", subtitle: "Isaías 11,1-11", category: "Precatecumenado", moments: ["Adviento","Navidad","Pascua","Pentecostés","Comunión","Antiguo Testamento"], url: "/src/index.html?canto=unretonobrotadeltroncodejese", visible: "", cejilla: "", acorde: "Sol", scrollConfig: {"mobile": { "v": 25, "i": 1 },"tablet": { "v": 25, "i": 1 },"desktop": { "v": 7, "i": 1 },"desktopsmall": { "v": 7, "i": 1 }},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20" spans="2:26" x14ac:dyDescent="0.25">
      <c r="B220" s="50" t="s">
        <v>639</v>
      </c>
      <c r="C220" s="1" t="str">
        <f>IF(VLOOKUP(Table4[[#This Row],[Cantounido]],Table7[],3,FALSE)=0,"",VLOOKUP(Table4[[#This Row],[Cantounido]],Table7[],3,FALSE))</f>
        <v/>
      </c>
      <c r="D220" s="44" t="str">
        <f>IF(VLOOKUP(Table4[[#This Row],[Cantounido]],Table7[],4,FALSE)=0,"",VLOOKUP(Table4[[#This Row],[Cantounido]],Table7[],4,FALSE))</f>
        <v>La</v>
      </c>
      <c r="E220" s="25">
        <v>163</v>
      </c>
      <c r="F220" t="str">
        <f>F219</f>
        <v>{idi:</v>
      </c>
      <c r="G220" t="str">
        <f>_xlfn.CONCAT(VLOOKUP(E220,'Index Web'!A$4:L$253,2,FALSE),", ")</f>
        <v xml:space="preserve">217, </v>
      </c>
      <c r="H220" t="str">
        <f>H219</f>
        <v>id:</v>
      </c>
      <c r="I220" t="str">
        <f>_xlfn.CONCAT("""",VLOOKUP(E220,'Index Web'!A$4:O$253,13,FALSE),"""",", ")</f>
        <v xml:space="preserve">"unagransenal", </v>
      </c>
      <c r="J220" t="s">
        <v>2016</v>
      </c>
      <c r="K220" t="str">
        <f>_xlfn.CONCAT("""",VLOOKUP(E220,'Index Web'!A$4:L$253,3,FALSE),"""")</f>
        <v>"Una gran señal"</v>
      </c>
      <c r="L220" t="s">
        <v>942</v>
      </c>
      <c r="M220" t="str">
        <f>_xlfn.CONCAT("""",VLOOKUP(E220,'Index Web'!A$4:L$253,4,FALSE),"""")</f>
        <v>"Apocalipsis 12"</v>
      </c>
      <c r="N220" t="s">
        <v>943</v>
      </c>
      <c r="O220" t="str">
        <f>_xlfn.CONCAT("""",VLOOKUP(E220,'Index Web'!A$4:L$253,5,FALSE),"""")</f>
        <v>"Precatecumenado"</v>
      </c>
      <c r="P220" t="s">
        <v>944</v>
      </c>
      <c r="Q220" t="str">
        <f>_xlfn.CONCAT("[",VLOOKUP(E220,'Index Web'!A$4:N$253,14,FALSE),"]")</f>
        <v>["Vírgen María","Adviento","Navidad","Pascua","Pentecostés","Final","Nuevo Testamento"]</v>
      </c>
      <c r="R220" t="s">
        <v>945</v>
      </c>
      <c r="S220" t="str">
        <f>_xlfn.CONCAT("""/src/index.html?canto=",VLOOKUP(E220,'Index Web'!A$4:N$253,13,FALSE),""", ")</f>
        <v xml:space="preserve">"/src/index.html?canto=unagransenal", </v>
      </c>
      <c r="T220" t="str">
        <f>T219</f>
        <v xml:space="preserve">visible: "", </v>
      </c>
      <c r="U220" t="str">
        <f>_xlfn.CONCAT("cejilla: """,C220,""", ")</f>
        <v xml:space="preserve">cejilla: "", </v>
      </c>
      <c r="V220" t="str">
        <f>_xlfn.CONCAT("acorde: """,D220,""", ")</f>
        <v xml:space="preserve">acorde: "La", </v>
      </c>
      <c r="W220" t="s">
        <v>2012</v>
      </c>
      <c r="X220" t="s">
        <v>2013</v>
      </c>
      <c r="Y220" t="str">
        <f>_xlfn.CONCAT("""",VLOOKUP(E220,'Index Web'!A$4:O$253,15,FALSE)," ",VLOOKUP(E220,'Index Web'!A$4:O$253,13,FALSE),"""","},")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Z220" t="str">
        <f>_xlfn.CONCAT(F220:Y220)</f>
        <v>{idi:217, id:"unagransenal", title: "Una gran señal", subtitle: "Apocalipsis 12", category: "Precatecumenado", moments: ["Vírgen María","Adviento","Navidad","Pascua","Pentecostés","Final","Nuevo Testamento"], url: "/src/index.html?canto=unagransenal", visible: "", cejilla: "", acorde: "La", scrollConfig: {"mobile": { "v": 25, "i": 1 },"tablet": { "v": 25, "i": 1 },"desktop": { "v": 7, "i": 1 },"desktopsmall": { "v": 7, "i": 1 }},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21" spans="2:26" x14ac:dyDescent="0.25">
      <c r="B221" s="51" t="s">
        <v>640</v>
      </c>
      <c r="C221" s="1" t="str">
        <f>IF(VLOOKUP(Table4[[#This Row],[Cantounido]],Table7[],3,FALSE)=0,"",VLOOKUP(Table4[[#This Row],[Cantounido]],Table7[],3,FALSE))</f>
        <v/>
      </c>
      <c r="D221" s="44" t="str">
        <f>IF(VLOOKUP(Table4[[#This Row],[Cantounido]],Table7[],4,FALSE)=0,"",VLOOKUP(Table4[[#This Row],[Cantounido]],Table7[],4,FALSE))</f>
        <v>Mi</v>
      </c>
      <c r="E221" s="26">
        <v>164</v>
      </c>
      <c r="F221" t="str">
        <f>F220</f>
        <v>{idi:</v>
      </c>
      <c r="G221" t="str">
        <f>_xlfn.CONCAT(VLOOKUP(E221,'Index Web'!A$4:L$253,2,FALSE),", ")</f>
        <v xml:space="preserve">218, </v>
      </c>
      <c r="H221" t="str">
        <f>H220</f>
        <v>id:</v>
      </c>
      <c r="I221" t="str">
        <f>_xlfn.CONCAT("""",VLOOKUP(E221,'Index Web'!A$4:O$253,13,FALSE),"""",", ")</f>
        <v xml:space="preserve">"uriuriura", </v>
      </c>
      <c r="J221" t="s">
        <v>2016</v>
      </c>
      <c r="K221" t="str">
        <f>_xlfn.CONCAT("""",VLOOKUP(E221,'Index Web'!A$4:L$253,3,FALSE),"""")</f>
        <v>"Urí, urí, urá"</v>
      </c>
      <c r="L221" t="s">
        <v>942</v>
      </c>
      <c r="M221" t="str">
        <f>_xlfn.CONCAT("""",VLOOKUP(E221,'Index Web'!A$4:L$253,4,FALSE),"""")</f>
        <v>"Villancico (Kiko Argüello)"</v>
      </c>
      <c r="N221" t="s">
        <v>943</v>
      </c>
      <c r="O221" t="str">
        <f>_xlfn.CONCAT("""",VLOOKUP(E221,'Index Web'!A$4:L$253,5,FALSE),"""")</f>
        <v>"Precatecumenado"</v>
      </c>
      <c r="P221" t="s">
        <v>944</v>
      </c>
      <c r="Q221" t="str">
        <f>_xlfn.CONCAT("[",VLOOKUP(E221,'Index Web'!A$4:N$253,14,FALSE),"]")</f>
        <v>["Adviento","Navidad","Niños"]</v>
      </c>
      <c r="R221" t="s">
        <v>945</v>
      </c>
      <c r="S221" t="str">
        <f>_xlfn.CONCAT("""/src/index.html?canto=",VLOOKUP(E221,'Index Web'!A$4:N$253,13,FALSE),""", ")</f>
        <v xml:space="preserve">"/src/index.html?canto=uriuriura", </v>
      </c>
      <c r="T221" t="str">
        <f>T220</f>
        <v xml:space="preserve">visible: "", </v>
      </c>
      <c r="U221" t="str">
        <f>_xlfn.CONCAT("cejilla: """,C221,""", ")</f>
        <v xml:space="preserve">cejilla: "", </v>
      </c>
      <c r="V221" t="str">
        <f>_xlfn.CONCAT("acorde: """,D221,""", ")</f>
        <v xml:space="preserve">acorde: "Mi", </v>
      </c>
      <c r="W221" t="s">
        <v>2012</v>
      </c>
      <c r="X221" t="s">
        <v>2013</v>
      </c>
      <c r="Y221" t="str">
        <f>_xlfn.CONCAT("""",VLOOKUP(E221,'Index Web'!A$4:O$253,15,FALSE)," ",VLOOKUP(E221,'Index Web'!A$4:O$253,13,FALSE),"""","},")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Z221" t="str">
        <f>_xlfn.CONCAT(F221:Y221)</f>
        <v>{idi:218, id:"uriuriura", title: "Urí, urí, urá", subtitle: "Villancico (Kiko Argüello)", category: "Precatecumenado", moments: ["Adviento","Navidad","Niños"], url: "/src/index.html?canto=uriuriura", visible: "", cejilla: "", acorde: "Mi", scrollConfig: {"mobile": { "v": 25, "i": 1 },"tablet": { "v": 25, "i": 1 },"desktop": { "v": 7, "i": 1 },"desktopsmall": { "v": 7, "i": 1 }},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2" spans="2:26" x14ac:dyDescent="0.25">
      <c r="B222" s="50" t="s">
        <v>641</v>
      </c>
      <c r="C222" s="1" t="str">
        <f>IF(VLOOKUP(Table4[[#This Row],[Cantounido]],Table7[],3,FALSE)=0,"",VLOOKUP(Table4[[#This Row],[Cantounido]],Table7[],3,FALSE))</f>
        <v/>
      </c>
      <c r="D222" s="44" t="str">
        <f>IF(VLOOKUP(Table4[[#This Row],[Cantounido]],Table7[],4,FALSE)=0,"",VLOOKUP(Table4[[#This Row],[Cantounido]],Table7[],4,FALSE))</f>
        <v>Mi</v>
      </c>
      <c r="E222" s="25">
        <v>165</v>
      </c>
      <c r="F222" t="str">
        <f>F221</f>
        <v>{idi:</v>
      </c>
      <c r="G222" t="str">
        <f>_xlfn.CONCAT(VLOOKUP(E222,'Index Web'!A$4:L$253,2,FALSE),", ")</f>
        <v xml:space="preserve">219, </v>
      </c>
      <c r="H222" t="str">
        <f>H221</f>
        <v>id:</v>
      </c>
      <c r="I222" t="str">
        <f>_xlfn.CONCAT("""",VLOOKUP(E222,'Index Web'!A$4:O$253,13,FALSE),"""",", ")</f>
        <v xml:space="preserve">"vamosyapastores", </v>
      </c>
      <c r="J222" t="s">
        <v>2016</v>
      </c>
      <c r="K222" t="str">
        <f>_xlfn.CONCAT("""",VLOOKUP(E222,'Index Web'!A$4:L$253,3,FALSE),"""")</f>
        <v>"Vamos ya, pastores"</v>
      </c>
      <c r="L222" t="s">
        <v>942</v>
      </c>
      <c r="M222" t="str">
        <f>_xlfn.CONCAT("""",VLOOKUP(E222,'Index Web'!A$4:L$253,4,FALSE),"""")</f>
        <v>"Villancico (Kiko Argüello)"</v>
      </c>
      <c r="N222" t="s">
        <v>943</v>
      </c>
      <c r="O222" t="str">
        <f>_xlfn.CONCAT("""",VLOOKUP(E222,'Index Web'!A$4:L$253,5,FALSE),"""")</f>
        <v>"Precatecumenado"</v>
      </c>
      <c r="P222" t="s">
        <v>944</v>
      </c>
      <c r="Q222" t="str">
        <f>_xlfn.CONCAT("[",VLOOKUP(E222,'Index Web'!A$4:N$253,14,FALSE),"]")</f>
        <v>["Adviento","Navidad","Niños"]</v>
      </c>
      <c r="R222" t="s">
        <v>945</v>
      </c>
      <c r="S222" t="str">
        <f>_xlfn.CONCAT("""/src/index.html?canto=",VLOOKUP(E222,'Index Web'!A$4:N$253,13,FALSE),""", ")</f>
        <v xml:space="preserve">"/src/index.html?canto=vamosyapastores", </v>
      </c>
      <c r="T222" t="str">
        <f>T221</f>
        <v xml:space="preserve">visible: "", </v>
      </c>
      <c r="U222" t="str">
        <f>_xlfn.CONCAT("cejilla: """,C222,""", ")</f>
        <v xml:space="preserve">cejilla: "", </v>
      </c>
      <c r="V222" t="str">
        <f>_xlfn.CONCAT("acorde: """,D222,""", ")</f>
        <v xml:space="preserve">acorde: "Mi", </v>
      </c>
      <c r="W222" t="s">
        <v>2012</v>
      </c>
      <c r="X222" t="s">
        <v>2013</v>
      </c>
      <c r="Y222" t="str">
        <f>_xlfn.CONCAT("""",VLOOKUP(E222,'Index Web'!A$4:O$253,15,FALSE)," ",VLOOKUP(E222,'Index Web'!A$4:O$253,13,FALSE),"""","},")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Z222" t="str">
        <f>_xlfn.CONCAT(F222:Y222)</f>
        <v>{idi:219, id:"vamosyapastores", title: "Vamos ya, pastores", subtitle: "Villancico (Kiko Argüello)", category: "Precatecumenado", moments: ["Adviento","Navidad","Niños"], url: "/src/index.html?canto=vamosyapastores", visible: "", cejilla: "", acorde: "Mi", scrollConfig: {"mobile": { "v": 25, "i": 1 },"tablet": { "v": 25, "i": 1 },"desktop": { "v": 7, "i": 1 },"desktopsmall": { "v": 7, "i": 1 }},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3" spans="2:26" x14ac:dyDescent="0.25">
      <c r="B223" s="51" t="s">
        <v>642</v>
      </c>
      <c r="C223" s="1" t="str">
        <f>IF(VLOOKUP(Table4[[#This Row],[Cantounido]],Table7[],3,FALSE)=0,"",VLOOKUP(Table4[[#This Row],[Cantounido]],Table7[],3,FALSE))</f>
        <v/>
      </c>
      <c r="D223" s="44" t="str">
        <f>IF(VLOOKUP(Table4[[#This Row],[Cantounido]],Table7[],4,FALSE)=0,"",VLOOKUP(Table4[[#This Row],[Cantounido]],Table7[],4,FALSE))</f>
        <v>Mi</v>
      </c>
      <c r="E223" s="26">
        <v>166</v>
      </c>
      <c r="F223" t="str">
        <f>F222</f>
        <v>{idi:</v>
      </c>
      <c r="G223" t="str">
        <f>_xlfn.CONCAT(VLOOKUP(E223,'Index Web'!A$4:L$253,2,FALSE),", ")</f>
        <v xml:space="preserve">220, </v>
      </c>
      <c r="H223" t="str">
        <f>H222</f>
        <v>id:</v>
      </c>
      <c r="I223" t="str">
        <f>_xlfn.CONCAT("""",VLOOKUP(E223,'Index Web'!A$4:O$253,13,FALSE),"""",", ")</f>
        <v xml:space="preserve">"vendellibano", </v>
      </c>
      <c r="J223" t="s">
        <v>2016</v>
      </c>
      <c r="K223" t="str">
        <f>_xlfn.CONCAT("""",VLOOKUP(E223,'Index Web'!A$4:L$253,3,FALSE),"""")</f>
        <v>"Ven del Líbano"</v>
      </c>
      <c r="L223" t="s">
        <v>942</v>
      </c>
      <c r="M223" t="str">
        <f>_xlfn.CONCAT("""",VLOOKUP(E223,'Index Web'!A$4:L$253,4,FALSE),"""")</f>
        <v>"Cantar de los cantares 4,8ss"</v>
      </c>
      <c r="N223" t="s">
        <v>943</v>
      </c>
      <c r="O223" t="str">
        <f>_xlfn.CONCAT("""",VLOOKUP(E223,'Index Web'!A$4:L$253,5,FALSE),"""")</f>
        <v>"Precatecumenado"</v>
      </c>
      <c r="P223" t="s">
        <v>944</v>
      </c>
      <c r="Q223" t="str">
        <f>_xlfn.CONCAT("[",VLOOKUP(E223,'Index Web'!A$4:N$253,14,FALSE),"]")</f>
        <v>["Pascua","Pentecostés","Entrada","Comunión","Antiguo Testamento"]</v>
      </c>
      <c r="R223" t="s">
        <v>945</v>
      </c>
      <c r="S223" t="str">
        <f>_xlfn.CONCAT("""/src/index.html?canto=",VLOOKUP(E223,'Index Web'!A$4:N$253,13,FALSE),""", ")</f>
        <v xml:space="preserve">"/src/index.html?canto=vendellibano", </v>
      </c>
      <c r="T223" t="str">
        <f>T222</f>
        <v xml:space="preserve">visible: "", </v>
      </c>
      <c r="U223" t="str">
        <f>_xlfn.CONCAT("cejilla: """,C223,""", ")</f>
        <v xml:space="preserve">cejilla: "", </v>
      </c>
      <c r="V223" t="str">
        <f>_xlfn.CONCAT("acorde: """,D223,""", ")</f>
        <v xml:space="preserve">acorde: "Mi", </v>
      </c>
      <c r="W223" t="s">
        <v>2012</v>
      </c>
      <c r="X223" t="s">
        <v>2013</v>
      </c>
      <c r="Y223" t="str">
        <f>_xlfn.CONCAT("""",VLOOKUP(E223,'Index Web'!A$4:O$253,15,FALSE)," ",VLOOKUP(E223,'Index Web'!A$4:O$253,13,FALSE),"""","},")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Z223" t="str">
        <f>_xlfn.CONCAT(F223:Y223)</f>
        <v>{idi:220, id:"vendellibano", title: "Ven del Líbano", subtitle: "Cantar de los cantares 4,8ss", category: "Precatecumenado", moments: ["Pascua","Pentecostés","Entrada","Comunión","Antiguo Testamento"], url: "/src/index.html?canto=vendellibano", visible: "", cejilla: "", acorde: "Mi", scrollConfig: {"mobile": { "v": 25, "i": 1 },"tablet": { "v": 25, "i": 1 },"desktop": { "v": 7, "i": 1 },"desktopsmall": { "v": 7, "i": 1 }},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4" spans="2:26" x14ac:dyDescent="0.25">
      <c r="B224" s="50" t="s">
        <v>643</v>
      </c>
      <c r="C224" s="1" t="str">
        <f>IF(VLOOKUP(Table4[[#This Row],[Cantounido]],Table7[],3,FALSE)=0,"",VLOOKUP(Table4[[#This Row],[Cantounido]],Table7[],3,FALSE))</f>
        <v/>
      </c>
      <c r="D224" s="44" t="str">
        <f>IF(VLOOKUP(Table4[[#This Row],[Cantounido]],Table7[],4,FALSE)=0,"",VLOOKUP(Table4[[#This Row],[Cantounido]],Table7[],4,FALSE))</f>
        <v>Do</v>
      </c>
      <c r="E224" s="25">
        <v>167</v>
      </c>
      <c r="F224" t="str">
        <f>F223</f>
        <v>{idi:</v>
      </c>
      <c r="G224" t="str">
        <f>_xlfn.CONCAT(VLOOKUP(E224,'Index Web'!A$4:L$253,2,FALSE),", ")</f>
        <v xml:space="preserve">221, </v>
      </c>
      <c r="H224" t="str">
        <f>H223</f>
        <v>id:</v>
      </c>
      <c r="I224" t="str">
        <f>_xlfn.CONCAT("""",VLOOKUP(E224,'Index Web'!A$4:O$253,13,FALSE),"""",", ")</f>
        <v xml:space="preserve">"venespiritusanto", </v>
      </c>
      <c r="J224" t="s">
        <v>2016</v>
      </c>
      <c r="K224" t="str">
        <f>_xlfn.CONCAT("""",VLOOKUP(E224,'Index Web'!A$4:L$253,3,FALSE),"""")</f>
        <v>"Ven, Espíritu Santo"</v>
      </c>
      <c r="L224" t="s">
        <v>942</v>
      </c>
      <c r="M224" t="str">
        <f>_xlfn.CONCAT("""",VLOOKUP(E224,'Index Web'!A$4:L$253,4,FALSE),"""")</f>
        <v>"Secuencia de Pentecostés - Himno latin. «Veni, Sancte Spiritus»"</v>
      </c>
      <c r="N224" t="s">
        <v>943</v>
      </c>
      <c r="O224" t="str">
        <f>_xlfn.CONCAT("""",VLOOKUP(E224,'Index Web'!A$4:L$253,5,FALSE),"""")</f>
        <v>"Precatecumenado"</v>
      </c>
      <c r="P224" t="s">
        <v>944</v>
      </c>
      <c r="Q224" t="str">
        <f>_xlfn.CONCAT("[",VLOOKUP(E224,'Index Web'!A$4:N$253,14,FALSE),"]")</f>
        <v>["Pascua","Pentecostés"]</v>
      </c>
      <c r="R224" t="s">
        <v>945</v>
      </c>
      <c r="S224" t="str">
        <f>_xlfn.CONCAT("""/src/index.html?canto=",VLOOKUP(E224,'Index Web'!A$4:N$253,13,FALSE),""", ")</f>
        <v xml:space="preserve">"/src/index.html?canto=venespiritusanto", </v>
      </c>
      <c r="T224" t="str">
        <f>T223</f>
        <v xml:space="preserve">visible: "", </v>
      </c>
      <c r="U224" t="str">
        <f>_xlfn.CONCAT("cejilla: """,C224,""", ")</f>
        <v xml:space="preserve">cejilla: "", </v>
      </c>
      <c r="V224" t="str">
        <f>_xlfn.CONCAT("acorde: """,D224,""", ")</f>
        <v xml:space="preserve">acorde: "Do", </v>
      </c>
      <c r="W224" t="s">
        <v>2012</v>
      </c>
      <c r="X224" t="s">
        <v>2013</v>
      </c>
      <c r="Y224" t="str">
        <f>_xlfn.CONCAT("""",VLOOKUP(E224,'Index Web'!A$4:O$253,15,FALSE)," ",VLOOKUP(E224,'Index Web'!A$4:O$253,13,FALSE),"""","},")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Z224" t="str">
        <f>_xlfn.CONCAT(F224:Y224)</f>
        <v>{idi:221, id:"venespiritusanto", title: "Ven, Espíritu Santo", subtitle: "Secuencia de Pentecostés - Himno latin. «Veni, Sancte Spiritus»", category: "Precatecumenado", moments: ["Pascua","Pentecostés"], url: "/src/index.html?canto=venespiritusanto", visible: "", cejilla: "", acorde: "Do", scrollConfig: {"mobile": { "v": 25, "i": 1 },"tablet": { "v": 25, "i": 1 },"desktop": { "v": 7, "i": 1 },"desktopsmall": { "v": 7, "i": 1 }},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5" spans="2:26" x14ac:dyDescent="0.25">
      <c r="B225" s="51" t="s">
        <v>644</v>
      </c>
      <c r="C225" s="1" t="str">
        <f>IF(VLOOKUP(Table4[[#This Row],[Cantounido]],Table7[],3,FALSE)=0,"",VLOOKUP(Table4[[#This Row],[Cantounido]],Table7[],3,FALSE))</f>
        <v/>
      </c>
      <c r="D225" s="44" t="str">
        <f>IF(VLOOKUP(Table4[[#This Row],[Cantounido]],Table7[],4,FALSE)=0,"",VLOOKUP(Table4[[#This Row],[Cantounido]],Table7[],4,FALSE))</f>
        <v>Mi</v>
      </c>
      <c r="E225" s="26">
        <v>168</v>
      </c>
      <c r="F225" t="str">
        <f>F224</f>
        <v>{idi:</v>
      </c>
      <c r="G225" t="str">
        <f>_xlfn.CONCAT(VLOOKUP(E225,'Index Web'!A$4:L$253,2,FALSE),", ")</f>
        <v xml:space="preserve">222, </v>
      </c>
      <c r="H225" t="str">
        <f>H224</f>
        <v>id:</v>
      </c>
      <c r="I225" t="str">
        <f>_xlfn.CONCAT("""",VLOOKUP(E225,'Index Web'!A$4:O$253,13,FALSE),"""",", ")</f>
        <v xml:space="preserve">"venhijodelhombre", </v>
      </c>
      <c r="J225" t="s">
        <v>2016</v>
      </c>
      <c r="K225" t="str">
        <f>_xlfn.CONCAT("""",VLOOKUP(E225,'Index Web'!A$4:L$253,3,FALSE),"""")</f>
        <v>"Ven, Hijo del Hombre"</v>
      </c>
      <c r="L225" t="s">
        <v>942</v>
      </c>
      <c r="M225" t="str">
        <f>_xlfn.CONCAT("""",VLOOKUP(E225,'Index Web'!A$4:L$253,4,FALSE),"""")</f>
        <v>"Apocalipsis 21,17ss"</v>
      </c>
      <c r="N225" t="s">
        <v>943</v>
      </c>
      <c r="O225" t="str">
        <f>_xlfn.CONCAT("""",VLOOKUP(E225,'Index Web'!A$4:L$253,5,FALSE),"""")</f>
        <v>"Precatecumenado"</v>
      </c>
      <c r="P225" t="s">
        <v>944</v>
      </c>
      <c r="Q225" t="str">
        <f>_xlfn.CONCAT("[",VLOOKUP(E225,'Index Web'!A$4:N$253,14,FALSE),"]")</f>
        <v>["Adviento","Navidad","Nuevo Testamento"]</v>
      </c>
      <c r="R225" t="s">
        <v>945</v>
      </c>
      <c r="S225" t="str">
        <f>_xlfn.CONCAT("""/src/index.html?canto=",VLOOKUP(E225,'Index Web'!A$4:N$253,13,FALSE),""", ")</f>
        <v xml:space="preserve">"/src/index.html?canto=venhijodelhombre", </v>
      </c>
      <c r="T225" t="str">
        <f>T224</f>
        <v xml:space="preserve">visible: "", </v>
      </c>
      <c r="U225" t="str">
        <f>_xlfn.CONCAT("cejilla: """,C225,""", ")</f>
        <v xml:space="preserve">cejilla: "", </v>
      </c>
      <c r="V225" t="str">
        <f>_xlfn.CONCAT("acorde: """,D225,""", ")</f>
        <v xml:space="preserve">acorde: "Mi", </v>
      </c>
      <c r="W225" t="s">
        <v>2012</v>
      </c>
      <c r="X225" t="s">
        <v>2013</v>
      </c>
      <c r="Y225" t="str">
        <f>_xlfn.CONCAT("""",VLOOKUP(E225,'Index Web'!A$4:O$253,15,FALSE)," ",VLOOKUP(E225,'Index Web'!A$4:O$253,13,FALSE),"""","},")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Z225" t="str">
        <f>_xlfn.CONCAT(F225:Y225)</f>
        <v>{idi:222, id:"venhijodelhombre", title: "Ven, Hijo del Hombre", subtitle: "Apocalipsis 21,17ss", category: "Precatecumenado", moments: ["Adviento","Navidad","Nuevo Testamento"], url: "/src/index.html?canto=venhijodelhombre", visible: "", cejilla: "", acorde: "Mi", scrollConfig: {"mobile": { "v": 25, "i": 1 },"tablet": { "v": 25, "i": 1 },"desktop": { "v": 7, "i": 1 },"desktopsmall": { "v": 7, "i": 1 }},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6" spans="2:26" x14ac:dyDescent="0.25">
      <c r="B226" s="50" t="s">
        <v>645</v>
      </c>
      <c r="C226" s="1" t="str">
        <f>IF(VLOOKUP(Table4[[#This Row],[Cantounido]],Table7[],3,FALSE)=0,"",VLOOKUP(Table4[[#This Row],[Cantounido]],Table7[],3,FALSE))</f>
        <v/>
      </c>
      <c r="D226" s="44" t="str">
        <f>IF(VLOOKUP(Table4[[#This Row],[Cantounido]],Table7[],4,FALSE)=0,"",VLOOKUP(Table4[[#This Row],[Cantounido]],Table7[],4,FALSE))</f>
        <v>La</v>
      </c>
      <c r="E226" s="25">
        <v>169</v>
      </c>
      <c r="F226" t="str">
        <f>F225</f>
        <v>{idi:</v>
      </c>
      <c r="G226" t="str">
        <f>_xlfn.CONCAT(VLOOKUP(E226,'Index Web'!A$4:L$253,2,FALSE),", ")</f>
        <v xml:space="preserve">223, </v>
      </c>
      <c r="H226" t="str">
        <f>H225</f>
        <v>id:</v>
      </c>
      <c r="I226" t="str">
        <f>_xlfn.CONCAT("""",VLOOKUP(E226,'Index Web'!A$4:O$253,13,FALSE),"""",", ")</f>
        <v xml:space="preserve">"venicreator", </v>
      </c>
      <c r="J226" t="s">
        <v>2016</v>
      </c>
      <c r="K226" t="str">
        <f>_xlfn.CONCAT("""",VLOOKUP(E226,'Index Web'!A$4:L$253,3,FALSE),"""")</f>
        <v>"Veni creator"</v>
      </c>
      <c r="L226" t="s">
        <v>942</v>
      </c>
      <c r="M226" t="str">
        <f>_xlfn.CONCAT("""",VLOOKUP(E226,'Index Web'!A$4:L$253,4,FALSE),"""")</f>
        <v>"Himno latin"</v>
      </c>
      <c r="N226" t="s">
        <v>943</v>
      </c>
      <c r="O226" t="str">
        <f>_xlfn.CONCAT("""",VLOOKUP(E226,'Index Web'!A$4:L$253,5,FALSE),"""")</f>
        <v>"Precatecumenado"</v>
      </c>
      <c r="P226" t="s">
        <v>944</v>
      </c>
      <c r="Q226" t="str">
        <f>_xlfn.CONCAT("[",VLOOKUP(E226,'Index Web'!A$4:N$253,14,FALSE),"]")</f>
        <v>["Pascua","Pentecostés"]</v>
      </c>
      <c r="R226" t="s">
        <v>945</v>
      </c>
      <c r="S226" t="str">
        <f>_xlfn.CONCAT("""/src/index.html?canto=",VLOOKUP(E226,'Index Web'!A$4:N$253,13,FALSE),""", ")</f>
        <v xml:space="preserve">"/src/index.html?canto=venicreator", </v>
      </c>
      <c r="T226" t="str">
        <f>T225</f>
        <v xml:space="preserve">visible: "", </v>
      </c>
      <c r="U226" t="str">
        <f>_xlfn.CONCAT("cejilla: """,C226,""", ")</f>
        <v xml:space="preserve">cejilla: "", </v>
      </c>
      <c r="V226" t="str">
        <f>_xlfn.CONCAT("acorde: """,D226,""", ")</f>
        <v xml:space="preserve">acorde: "La", </v>
      </c>
      <c r="W226" t="s">
        <v>2012</v>
      </c>
      <c r="X226" t="s">
        <v>2013</v>
      </c>
      <c r="Y226" t="str">
        <f>_xlfn.CONCAT("""",VLOOKUP(E226,'Index Web'!A$4:O$253,15,FALSE)," ",VLOOKUP(E226,'Index Web'!A$4:O$253,13,FALSE),"""","},")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Z226" t="str">
        <f>_xlfn.CONCAT(F226:Y226)</f>
        <v>{idi:223, id:"venicreator", title: "Veni creator", subtitle: "Himno latin", category: "Precatecumenado", moments: ["Pascua","Pentecostés"], url: "/src/index.html?canto=venicreator", visible: "", cejilla: "", acorde: "La", scrollConfig: {"mobile": { "v": 25, "i": 1 },"tablet": { "v": 25, "i": 1 },"desktop": { "v": 7, "i": 1 },"desktopsmall": { "v": 7, "i": 1 }},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7" spans="2:26" x14ac:dyDescent="0.25">
      <c r="B227" s="51" t="s">
        <v>646</v>
      </c>
      <c r="C227" s="1">
        <f>IF(VLOOKUP(Table4[[#This Row],[Cantounido]],Table7[],3,FALSE)=0,"",VLOOKUP(Table4[[#This Row],[Cantounido]],Table7[],3,FALSE))</f>
        <v>2</v>
      </c>
      <c r="D227" s="44" t="str">
        <f>IF(VLOOKUP(Table4[[#This Row],[Cantounido]],Table7[],4,FALSE)=0,"",VLOOKUP(Table4[[#This Row],[Cantounido]],Table7[],4,FALSE))</f>
        <v>Mi</v>
      </c>
      <c r="E227" s="26">
        <v>170</v>
      </c>
      <c r="F227" t="str">
        <f>F226</f>
        <v>{idi:</v>
      </c>
      <c r="G227" t="str">
        <f>_xlfn.CONCAT(VLOOKUP(E227,'Index Web'!A$4:L$253,2,FALSE),", ")</f>
        <v xml:space="preserve">224, </v>
      </c>
      <c r="H227" t="str">
        <f>H226</f>
        <v>id:</v>
      </c>
      <c r="I227" t="str">
        <f>_xlfn.CONCAT("""",VLOOKUP(E227,'Index Web'!A$4:O$253,13,FALSE),"""",", ")</f>
        <v xml:space="preserve">"vieneelsenor", </v>
      </c>
      <c r="J227" t="s">
        <v>2016</v>
      </c>
      <c r="K227" t="str">
        <f>_xlfn.CONCAT("""",VLOOKUP(E227,'Index Web'!A$4:L$253,3,FALSE),"""")</f>
        <v>"Viene el Señor"</v>
      </c>
      <c r="L227" t="s">
        <v>942</v>
      </c>
      <c r="M227" t="str">
        <f>_xlfn.CONCAT("""",VLOOKUP(E227,'Index Web'!A$4:L$253,4,FALSE),"""")</f>
        <v>"Salmo 93 (92) - Apocalipsis 1,5-7"</v>
      </c>
      <c r="N227" t="s">
        <v>943</v>
      </c>
      <c r="O227" t="str">
        <f>_xlfn.CONCAT("""",VLOOKUP(E227,'Index Web'!A$4:L$253,5,FALSE),"""")</f>
        <v>"Precatecumenado"</v>
      </c>
      <c r="P227" t="s">
        <v>944</v>
      </c>
      <c r="Q227" t="str">
        <f>_xlfn.CONCAT("[",VLOOKUP(E227,'Index Web'!A$4:N$253,14,FALSE),"]")</f>
        <v>["Adviento","Navidad","Nuevo Testamento","Antiguo Testamento"]</v>
      </c>
      <c r="R227" t="s">
        <v>945</v>
      </c>
      <c r="S227" t="str">
        <f>_xlfn.CONCAT("""/src/index.html?canto=",VLOOKUP(E227,'Index Web'!A$4:N$253,13,FALSE),""", ")</f>
        <v xml:space="preserve">"/src/index.html?canto=vieneelsenor", </v>
      </c>
      <c r="T227" t="str">
        <f>T226</f>
        <v xml:space="preserve">visible: "", </v>
      </c>
      <c r="U227" t="str">
        <f>_xlfn.CONCAT("cejilla: """,C227,""", ")</f>
        <v xml:space="preserve">cejilla: "2", </v>
      </c>
      <c r="V227" t="str">
        <f>_xlfn.CONCAT("acorde: """,D227,""", ")</f>
        <v xml:space="preserve">acorde: "Mi", </v>
      </c>
      <c r="W227" t="s">
        <v>2012</v>
      </c>
      <c r="X227" t="s">
        <v>2013</v>
      </c>
      <c r="Y227" t="str">
        <f>_xlfn.CONCAT("""",VLOOKUP(E227,'Index Web'!A$4:O$253,15,FALSE)," ",VLOOKUP(E227,'Index Web'!A$4:O$253,13,FALSE),"""","},")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Z227" t="str">
        <f>_xlfn.CONCAT(F227:Y227)</f>
        <v>{idi:224, id:"vieneelsenor", title: "Viene el Señor", subtitle: "Salmo 93 (92) - Apocalipsis 1,5-7", category: "Precatecumenado", moments: ["Adviento","Navidad","Nuevo Testamento","Antiguo Testamento"], url: "/src/index.html?canto=vieneelsenor", visible: "", cejilla: "2", acorde: "Mi", scrollConfig: {"mobile": { "v": 25, "i": 1 },"tablet": { "v": 25, "i": 1 },"desktop": { "v": 7, "i": 1 },"desktopsmall": { "v": 7, "i": 1 }},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8" spans="2:26" x14ac:dyDescent="0.25">
      <c r="B228" s="50" t="s">
        <v>647</v>
      </c>
      <c r="C228" s="1">
        <f>IF(VLOOKUP(Table4[[#This Row],[Cantounido]],Table7[],3,FALSE)=0,"",VLOOKUP(Table4[[#This Row],[Cantounido]],Table7[],3,FALSE))</f>
        <v>3</v>
      </c>
      <c r="D228" s="44" t="str">
        <f>IF(VLOOKUP(Table4[[#This Row],[Cantounido]],Table7[],4,FALSE)=0,"",VLOOKUP(Table4[[#This Row],[Cantounido]],Table7[],4,FALSE))</f>
        <v>Si</v>
      </c>
      <c r="E228" s="25">
        <v>171</v>
      </c>
      <c r="F228" t="str">
        <f>F227</f>
        <v>{idi:</v>
      </c>
      <c r="G228" t="str">
        <f>_xlfn.CONCAT(VLOOKUP(E228,'Index Web'!A$4:L$253,2,FALSE),", ")</f>
        <v xml:space="preserve">225, </v>
      </c>
      <c r="H228" t="str">
        <f>H227</f>
        <v>id:</v>
      </c>
      <c r="I228" t="str">
        <f>_xlfn.CONCAT("""",VLOOKUP(E228,'Index Web'!A$4:O$253,13,FALSE),"""",", ")</f>
        <v xml:space="preserve">"virgendelamaravilla", </v>
      </c>
      <c r="J228" t="s">
        <v>2016</v>
      </c>
      <c r="K228" t="str">
        <f>_xlfn.CONCAT("""",VLOOKUP(E228,'Index Web'!A$4:L$253,3,FALSE),"""")</f>
        <v>"Virgen de la maravilla"</v>
      </c>
      <c r="L228" t="s">
        <v>942</v>
      </c>
      <c r="M228" t="str">
        <f>_xlfn.CONCAT("""",VLOOKUP(E228,'Index Web'!A$4:L$253,4,FALSE),"""")</f>
        <v>"(Dante Allghlerl)"</v>
      </c>
      <c r="N228" t="s">
        <v>943</v>
      </c>
      <c r="O228" t="str">
        <f>_xlfn.CONCAT("""",VLOOKUP(E228,'Index Web'!A$4:L$253,5,FALSE),"""")</f>
        <v>"Precatecumenado"</v>
      </c>
      <c r="P228" t="s">
        <v>944</v>
      </c>
      <c r="Q228" t="str">
        <f>_xlfn.CONCAT("[",VLOOKUP(E228,'Index Web'!A$4:N$253,14,FALSE),"]")</f>
        <v>["Vírgen María","Adviento","Navidad"]</v>
      </c>
      <c r="R228" t="s">
        <v>945</v>
      </c>
      <c r="S228" t="str">
        <f>_xlfn.CONCAT("""/src/index.html?canto=",VLOOKUP(E228,'Index Web'!A$4:N$253,13,FALSE),""", ")</f>
        <v xml:space="preserve">"/src/index.html?canto=virgendelamaravilla", </v>
      </c>
      <c r="T228" t="str">
        <f>T227</f>
        <v xml:space="preserve">visible: "", </v>
      </c>
      <c r="U228" t="str">
        <f>_xlfn.CONCAT("cejilla: """,C228,""", ")</f>
        <v xml:space="preserve">cejilla: "3", </v>
      </c>
      <c r="V228" t="str">
        <f>_xlfn.CONCAT("acorde: """,D228,""", ")</f>
        <v xml:space="preserve">acorde: "Si", </v>
      </c>
      <c r="W228" t="s">
        <v>2012</v>
      </c>
      <c r="X228" t="s">
        <v>2013</v>
      </c>
      <c r="Y228" t="str">
        <f>_xlfn.CONCAT("""",VLOOKUP(E228,'Index Web'!A$4:O$253,15,FALSE)," ",VLOOKUP(E228,'Index Web'!A$4:O$253,13,FALSE),"""","},")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Z228" t="str">
        <f>_xlfn.CONCAT(F228:Y228)</f>
        <v>{idi:225, id:"virgendelamaravilla", title: "Virgen de la maravilla", subtitle: "(Dante Allghlerl)", category: "Precatecumenado", moments: ["Vírgen María","Adviento","Navidad"], url: "/src/index.html?canto=virgendelamaravilla", visible: "", cejilla: "3", acorde: "Si", scrollConfig: {"mobile": { "v": 25, "i": 1 },"tablet": { "v": 25, "i": 1 },"desktop": { "v": 7, "i": 1 },"desktopsmall": { "v": 7, "i": 1 }},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9" spans="2:26" x14ac:dyDescent="0.25">
      <c r="B229" s="51" t="s">
        <v>648</v>
      </c>
      <c r="C229" s="1" t="str">
        <f>IF(VLOOKUP(Table4[[#This Row],[Cantounido]],Table7[],3,FALSE)=0,"",VLOOKUP(Table4[[#This Row],[Cantounido]],Table7[],3,FALSE))</f>
        <v/>
      </c>
      <c r="D229" s="44" t="str">
        <f>IF(VLOOKUP(Table4[[#This Row],[Cantounido]],Table7[],4,FALSE)=0,"",VLOOKUP(Table4[[#This Row],[Cantounido]],Table7[],4,FALSE))</f>
        <v>La</v>
      </c>
      <c r="E229" s="26">
        <v>172</v>
      </c>
      <c r="F229" t="str">
        <f>F228</f>
        <v>{idi:</v>
      </c>
      <c r="G229" t="str">
        <f>_xlfn.CONCAT(VLOOKUP(E229,'Index Web'!A$4:L$253,2,FALSE),", ")</f>
        <v xml:space="preserve">226, </v>
      </c>
      <c r="H229" t="str">
        <f>H228</f>
        <v>id:</v>
      </c>
      <c r="I229" t="str">
        <f>_xlfn.CONCAT("""",VLOOKUP(E229,'Index Web'!A$4:O$253,13,FALSE),"""",", ")</f>
        <v xml:space="preserve">"vividalegres", </v>
      </c>
      <c r="J229" t="s">
        <v>2016</v>
      </c>
      <c r="K229" t="str">
        <f>_xlfn.CONCAT("""",VLOOKUP(E229,'Index Web'!A$4:L$253,3,FALSE),"""")</f>
        <v>"Vivid alegres"</v>
      </c>
      <c r="L229" t="s">
        <v>942</v>
      </c>
      <c r="M229" t="str">
        <f>_xlfn.CONCAT("""",VLOOKUP(E229,'Index Web'!A$4:L$253,4,FALSE),"""")</f>
        <v>"Filipenses 4,4ss"</v>
      </c>
      <c r="N229" t="s">
        <v>943</v>
      </c>
      <c r="O229" t="str">
        <f>_xlfn.CONCAT("""",VLOOKUP(E229,'Index Web'!A$4:L$253,5,FALSE),"""")</f>
        <v>"Precatecumenado"</v>
      </c>
      <c r="P229" t="s">
        <v>944</v>
      </c>
      <c r="Q229" t="str">
        <f>_xlfn.CONCAT("[",VLOOKUP(E229,'Index Web'!A$4:N$253,14,FALSE),"]")</f>
        <v>["Adviento","Navidad","Nuevo Testamento"]</v>
      </c>
      <c r="R229" t="s">
        <v>945</v>
      </c>
      <c r="S229" t="str">
        <f>_xlfn.CONCAT("""/src/index.html?canto=",VLOOKUP(E229,'Index Web'!A$4:N$253,13,FALSE),""", ")</f>
        <v xml:space="preserve">"/src/index.html?canto=vividalegres", </v>
      </c>
      <c r="T229" t="str">
        <f>T228</f>
        <v xml:space="preserve">visible: "", </v>
      </c>
      <c r="U229" t="str">
        <f>_xlfn.CONCAT("cejilla: """,C229,""", ")</f>
        <v xml:space="preserve">cejilla: "", </v>
      </c>
      <c r="V229" t="str">
        <f>_xlfn.CONCAT("acorde: """,D229,""", ")</f>
        <v xml:space="preserve">acorde: "La", </v>
      </c>
      <c r="W229" t="s">
        <v>2012</v>
      </c>
      <c r="X229" t="s">
        <v>2013</v>
      </c>
      <c r="Y229" t="str">
        <f>_xlfn.CONCAT("""",VLOOKUP(E229,'Index Web'!A$4:O$253,15,FALSE)," ",VLOOKUP(E229,'Index Web'!A$4:O$253,13,FALSE),"""","},")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Z229" t="str">
        <f>_xlfn.CONCAT(F229:Y229)</f>
        <v>{idi:226, id:"vividalegres", title: "Vivid alegres", subtitle: "Filipenses 4,4ss", category: "Precatecumenado", moments: ["Adviento","Navidad","Nuevo Testamento"], url: "/src/index.html?canto=vividalegres", visible: "", cejilla: "", acorde: "La", scrollConfig: {"mobile": { "v": 25, "i": 1 },"tablet": { "v": 25, "i": 1 },"desktop": { "v": 7, "i": 1 },"desktopsmall": { "v": 7, "i": 1 }},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30" spans="2:26" x14ac:dyDescent="0.25">
      <c r="B230" s="50" t="s">
        <v>649</v>
      </c>
      <c r="C230" s="1" t="str">
        <f>IF(VLOOKUP(Table4[[#This Row],[Cantounido]],Table7[],3,FALSE)=0,"",VLOOKUP(Table4[[#This Row],[Cantounido]],Table7[],3,FALSE))</f>
        <v/>
      </c>
      <c r="D230" s="44" t="str">
        <f>IF(VLOOKUP(Table4[[#This Row],[Cantounido]],Table7[],4,FALSE)=0,"",VLOOKUP(Table4[[#This Row],[Cantounido]],Table7[],4,FALSE))</f>
        <v>La</v>
      </c>
      <c r="E230" s="25">
        <v>173</v>
      </c>
      <c r="F230" t="str">
        <f>F229</f>
        <v>{idi:</v>
      </c>
      <c r="G230" t="str">
        <f>_xlfn.CONCAT(VLOOKUP(E230,'Index Web'!A$4:L$253,2,FALSE),", ")</f>
        <v xml:space="preserve">227, </v>
      </c>
      <c r="H230" t="str">
        <f>H229</f>
        <v>id:</v>
      </c>
      <c r="I230" t="str">
        <f>_xlfn.CONCAT("""",VLOOKUP(E230,'Index Web'!A$4:O$253,13,FALSE),"""",", ")</f>
        <v xml:space="preserve">"vosotrossoislaluzdelmundo", </v>
      </c>
      <c r="J230" t="s">
        <v>2016</v>
      </c>
      <c r="K230" t="str">
        <f>_xlfn.CONCAT("""",VLOOKUP(E230,'Index Web'!A$4:L$253,3,FALSE),"""")</f>
        <v>"Vosotros sois la luz del mundo"</v>
      </c>
      <c r="L230" t="s">
        <v>942</v>
      </c>
      <c r="M230" t="str">
        <f>_xlfn.CONCAT("""",VLOOKUP(E230,'Index Web'!A$4:L$253,4,FALSE),"""")</f>
        <v>"Mateo 5,14ss "</v>
      </c>
      <c r="N230" t="s">
        <v>943</v>
      </c>
      <c r="O230" t="str">
        <f>_xlfn.CONCAT("""",VLOOKUP(E230,'Index Web'!A$4:L$253,5,FALSE),"""")</f>
        <v>"Precatecumenado"</v>
      </c>
      <c r="P230" t="s">
        <v>944</v>
      </c>
      <c r="Q230" t="str">
        <f>_xlfn.CONCAT("[",VLOOKUP(E230,'Index Web'!A$4:N$253,14,FALSE),"]")</f>
        <v>["Nuevo Testamento"]</v>
      </c>
      <c r="R230" t="s">
        <v>945</v>
      </c>
      <c r="S230" t="str">
        <f>_xlfn.CONCAT("""/src/index.html?canto=",VLOOKUP(E230,'Index Web'!A$4:N$253,13,FALSE),""", ")</f>
        <v xml:space="preserve">"/src/index.html?canto=vosotrossoislaluzdelmundo", </v>
      </c>
      <c r="T230" t="str">
        <f>T229</f>
        <v xml:space="preserve">visible: "", </v>
      </c>
      <c r="U230" t="str">
        <f>_xlfn.CONCAT("cejilla: """,C230,""", ")</f>
        <v xml:space="preserve">cejilla: "", </v>
      </c>
      <c r="V230" t="str">
        <f>_xlfn.CONCAT("acorde: """,D230,""", ")</f>
        <v xml:space="preserve">acorde: "La", </v>
      </c>
      <c r="W230" t="s">
        <v>2012</v>
      </c>
      <c r="X230" t="s">
        <v>2013</v>
      </c>
      <c r="Y230" t="str">
        <f>_xlfn.CONCAT("""",VLOOKUP(E230,'Index Web'!A$4:O$253,15,FALSE)," ",VLOOKUP(E230,'Index Web'!A$4:O$253,13,FALSE),"""","},")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Z230" t="str">
        <f>_xlfn.CONCAT(F230:Y230)</f>
        <v>{idi:227, id:"vosotrossoislaluzdelmundo", title: "Vosotros sois la luz del mundo", subtitle: "Mateo 5,14ss ", category: "Precatecumenado", moments: ["Nuevo Testamento"], url: "/src/index.html?canto=vosotrossoislaluzdelmundo", visible: "", cejilla: "", acorde: "La", scrollConfig: {"mobile": { "v": 25, "i": 1 },"tablet": { "v": 25, "i": 1 },"desktop": { "v": 7, "i": 1 },"desktopsmall": { "v": 7, "i": 1 }},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31" spans="2:26" x14ac:dyDescent="0.25">
      <c r="B231" s="51" t="s">
        <v>650</v>
      </c>
      <c r="C231" s="1">
        <f>IF(VLOOKUP(Table4[[#This Row],[Cantounido]],Table7[],3,FALSE)=0,"",VLOOKUP(Table4[[#This Row],[Cantounido]],Table7[],3,FALSE))</f>
        <v>3</v>
      </c>
      <c r="D231" s="44" t="str">
        <f>IF(VLOOKUP(Table4[[#This Row],[Cantounido]],Table7[],4,FALSE)=0,"",VLOOKUP(Table4[[#This Row],[Cantounido]],Table7[],4,FALSE))</f>
        <v>Mi</v>
      </c>
      <c r="E231" s="26">
        <v>174</v>
      </c>
      <c r="F231" t="str">
        <f>F230</f>
        <v>{idi:</v>
      </c>
      <c r="G231" t="str">
        <f>_xlfn.CONCAT(VLOOKUP(E231,'Index Web'!A$4:L$253,2,FALSE),", ")</f>
        <v xml:space="preserve">228, </v>
      </c>
      <c r="H231" t="str">
        <f>H230</f>
        <v>id:</v>
      </c>
      <c r="I231" t="str">
        <f>_xlfn.CONCAT("""",VLOOKUP(E231,'Index Web'!A$4:O$253,13,FALSE),"""",", ")</f>
        <v xml:space="preserve">"yavienemidios", </v>
      </c>
      <c r="J231" t="s">
        <v>2016</v>
      </c>
      <c r="K231" t="str">
        <f>_xlfn.CONCAT("""",VLOOKUP(E231,'Index Web'!A$4:L$253,3,FALSE),"""")</f>
        <v>"Ya viene mi Dios"</v>
      </c>
      <c r="L231" t="s">
        <v>942</v>
      </c>
      <c r="M231" t="str">
        <f>_xlfn.CONCAT("""",VLOOKUP(E231,'Index Web'!A$4:L$253,4,FALSE),"""")</f>
        <v>"Villancico (Kiko Argüello)"</v>
      </c>
      <c r="N231" t="s">
        <v>943</v>
      </c>
      <c r="O231" t="str">
        <f>_xlfn.CONCAT("""",VLOOKUP(E231,'Index Web'!A$4:L$253,5,FALSE),"""")</f>
        <v>"Precatecumenado"</v>
      </c>
      <c r="P231" t="s">
        <v>944</v>
      </c>
      <c r="Q231" t="str">
        <f>_xlfn.CONCAT("[",VLOOKUP(E231,'Index Web'!A$4:N$253,14,FALSE),"]")</f>
        <v>["Adviento","Navidad","Niños"]</v>
      </c>
      <c r="R231" t="s">
        <v>945</v>
      </c>
      <c r="S231" t="str">
        <f>_xlfn.CONCAT("""/src/index.html?canto=",VLOOKUP(E231,'Index Web'!A$4:N$253,13,FALSE),""", ")</f>
        <v xml:space="preserve">"/src/index.html?canto=yavienemidios", </v>
      </c>
      <c r="T231" t="str">
        <f>T230</f>
        <v xml:space="preserve">visible: "", </v>
      </c>
      <c r="U231" t="str">
        <f>_xlfn.CONCAT("cejilla: """,C231,""", ")</f>
        <v xml:space="preserve">cejilla: "3", </v>
      </c>
      <c r="V231" t="str">
        <f>_xlfn.CONCAT("acorde: """,D231,""", ")</f>
        <v xml:space="preserve">acorde: "Mi", </v>
      </c>
      <c r="W231" t="s">
        <v>2012</v>
      </c>
      <c r="X231" t="s">
        <v>2013</v>
      </c>
      <c r="Y231" t="str">
        <f>_xlfn.CONCAT("""",VLOOKUP(E231,'Index Web'!A$4:O$253,15,FALSE)," ",VLOOKUP(E231,'Index Web'!A$4:O$253,13,FALSE),"""","},")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Z231" t="str">
        <f>_xlfn.CONCAT(F231:Y231)</f>
        <v>{idi:228, id:"yavienemidios", title: "Ya viene mi Dios", subtitle: "Villancico (Kiko Argüello)", category: "Precatecumenado", moments: ["Adviento","Navidad","Niños"], url: "/src/index.html?canto=yavienemidios", visible: "", cejilla: "3", acorde: "Mi", scrollConfig: {"mobile": { "v": 25, "i": 1 },"tablet": { "v": 25, "i": 1 },"desktop": { "v": 7, "i": 1 },"desktopsmall": { "v": 7, "i": 1 }},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2" spans="2:26" x14ac:dyDescent="0.25">
      <c r="B232" s="50" t="s">
        <v>651</v>
      </c>
      <c r="C232" s="1" t="str">
        <f>IF(VLOOKUP(Table4[[#This Row],[Cantounido]],Table7[],3,FALSE)=0,"",VLOOKUP(Table4[[#This Row],[Cantounido]],Table7[],3,FALSE))</f>
        <v/>
      </c>
      <c r="D232" s="44" t="str">
        <f>IF(VLOOKUP(Table4[[#This Row],[Cantounido]],Table7[],4,FALSE)=0,"",VLOOKUP(Table4[[#This Row],[Cantounido]],Table7[],4,FALSE))</f>
        <v>La</v>
      </c>
      <c r="E232" s="25">
        <v>175</v>
      </c>
      <c r="F232" t="str">
        <f>F231</f>
        <v>{idi:</v>
      </c>
      <c r="G232" t="str">
        <f>_xlfn.CONCAT(VLOOKUP(E232,'Index Web'!A$4:L$253,2,FALSE),", ")</f>
        <v xml:space="preserve">229, </v>
      </c>
      <c r="H232" t="str">
        <f>H231</f>
        <v>id:</v>
      </c>
      <c r="I232" t="str">
        <f>_xlfn.CONCAT("""",VLOOKUP(E232,'Index Web'!A$4:O$253,13,FALSE),"""",", ")</f>
        <v xml:space="preserve">"yahvehtueresmidios", </v>
      </c>
      <c r="J232" t="s">
        <v>2016</v>
      </c>
      <c r="K232" t="str">
        <f>_xlfn.CONCAT("""",VLOOKUP(E232,'Index Web'!A$4:L$253,3,FALSE),"""")</f>
        <v>"Yahveh, tú eres mi Dios"</v>
      </c>
      <c r="L232" t="s">
        <v>942</v>
      </c>
      <c r="M232" t="str">
        <f>_xlfn.CONCAT("""",VLOOKUP(E232,'Index Web'!A$4:L$253,4,FALSE),"""")</f>
        <v>"Isaías 25,1-8"</v>
      </c>
      <c r="N232" t="s">
        <v>943</v>
      </c>
      <c r="O232" t="str">
        <f>_xlfn.CONCAT("""",VLOOKUP(E232,'Index Web'!A$4:L$253,5,FALSE),"""")</f>
        <v>"Precatecumenado"</v>
      </c>
      <c r="P232" t="s">
        <v>944</v>
      </c>
      <c r="Q232" t="str">
        <f>_xlfn.CONCAT("[",VLOOKUP(E232,'Index Web'!A$4:N$253,14,FALSE),"]")</f>
        <v>["Cuaresma","Antiguo Testamento"]</v>
      </c>
      <c r="R232" t="s">
        <v>945</v>
      </c>
      <c r="S232" t="str">
        <f>_xlfn.CONCAT("""/src/index.html?canto=",VLOOKUP(E232,'Index Web'!A$4:N$253,13,FALSE),""", ")</f>
        <v xml:space="preserve">"/src/index.html?canto=yahvehtueresmidios", </v>
      </c>
      <c r="T232" t="str">
        <f>T231</f>
        <v xml:space="preserve">visible: "", </v>
      </c>
      <c r="U232" t="str">
        <f>_xlfn.CONCAT("cejilla: """,C232,""", ")</f>
        <v xml:space="preserve">cejilla: "", </v>
      </c>
      <c r="V232" t="str">
        <f>_xlfn.CONCAT("acorde: """,D232,""", ")</f>
        <v xml:space="preserve">acorde: "La", </v>
      </c>
      <c r="W232" t="s">
        <v>2012</v>
      </c>
      <c r="X232" t="s">
        <v>2013</v>
      </c>
      <c r="Y232" t="str">
        <f>_xlfn.CONCAT("""",VLOOKUP(E232,'Index Web'!A$4:O$253,15,FALSE)," ",VLOOKUP(E232,'Index Web'!A$4:O$253,13,FALSE),"""","},")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Z232" t="str">
        <f>_xlfn.CONCAT(F232:Y232)</f>
        <v>{idi:229, id:"yahvehtueresmidios", title: "Yahveh, tú eres mi Dios", subtitle: "Isaías 25,1-8", category: "Precatecumenado", moments: ["Cuaresma","Antiguo Testamento"], url: "/src/index.html?canto=yahvehtueresmidios", visible: "", cejilla: "", acorde: "La", scrollConfig: {"mobile": { "v": 25, "i": 1 },"tablet": { "v": 25, "i": 1 },"desktop": { "v": 7, "i": 1 },"desktopsmall": { "v": 7, "i": 1 }},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3" spans="2:26" x14ac:dyDescent="0.25">
      <c r="B233" s="51" t="s">
        <v>652</v>
      </c>
      <c r="C233" s="1" t="str">
        <f>IF(VLOOKUP(Table4[[#This Row],[Cantounido]],Table7[],3,FALSE)=0,"",VLOOKUP(Table4[[#This Row],[Cantounido]],Table7[],3,FALSE))</f>
        <v/>
      </c>
      <c r="D233" s="44" t="str">
        <f>IF(VLOOKUP(Table4[[#This Row],[Cantounido]],Table7[],4,FALSE)=0,"",VLOOKUP(Table4[[#This Row],[Cantounido]],Table7[],4,FALSE))</f>
        <v>Re</v>
      </c>
      <c r="E233" s="26">
        <v>176</v>
      </c>
      <c r="F233" t="str">
        <f>F232</f>
        <v>{idi:</v>
      </c>
      <c r="G233" t="str">
        <f>_xlfn.CONCAT(VLOOKUP(E233,'Index Web'!A$4:L$253,2,FALSE),", ")</f>
        <v xml:space="preserve">230, </v>
      </c>
      <c r="H233" t="str">
        <f>H232</f>
        <v>id:</v>
      </c>
      <c r="I233" t="str">
        <f>_xlfn.CONCAT("""",VLOOKUP(E233,'Index Web'!A$4:O$253,13,FALSE),"""",", ")</f>
        <v xml:space="preserve">"yoteamosenor", </v>
      </c>
      <c r="J233" t="s">
        <v>2016</v>
      </c>
      <c r="K233" t="str">
        <f>_xlfn.CONCAT("""",VLOOKUP(E233,'Index Web'!A$4:L$253,3,FALSE),"""")</f>
        <v>"Yo te amo, Señor"</v>
      </c>
      <c r="L233" t="s">
        <v>942</v>
      </c>
      <c r="M233" t="str">
        <f>_xlfn.CONCAT("""",VLOOKUP(E233,'Index Web'!A$4:L$253,4,FALSE),"""")</f>
        <v>"Salmo 18 (17)"</v>
      </c>
      <c r="N233" t="s">
        <v>943</v>
      </c>
      <c r="O233" t="str">
        <f>_xlfn.CONCAT("""",VLOOKUP(E233,'Index Web'!A$4:L$253,5,FALSE),"""")</f>
        <v>"Precatecumenado"</v>
      </c>
      <c r="P233" t="s">
        <v>944</v>
      </c>
      <c r="Q233" t="str">
        <f>_xlfn.CONCAT("[",VLOOKUP(E233,'Index Web'!A$4:N$253,14,FALSE),"]")</f>
        <v>["Entrada","Antiguo Testamento"]</v>
      </c>
      <c r="R233" t="s">
        <v>945</v>
      </c>
      <c r="S233" t="str">
        <f>_xlfn.CONCAT("""/src/index.html?canto=",VLOOKUP(E233,'Index Web'!A$4:N$253,13,FALSE),""", ")</f>
        <v xml:space="preserve">"/src/index.html?canto=yoteamosenor", </v>
      </c>
      <c r="T233" t="str">
        <f>T232</f>
        <v xml:space="preserve">visible: "", </v>
      </c>
      <c r="U233" t="str">
        <f>_xlfn.CONCAT("cejilla: """,C233,""", ")</f>
        <v xml:space="preserve">cejilla: "", </v>
      </c>
      <c r="V233" t="str">
        <f>_xlfn.CONCAT("acorde: """,D233,""", ")</f>
        <v xml:space="preserve">acorde: "Re", </v>
      </c>
      <c r="W233" t="s">
        <v>2012</v>
      </c>
      <c r="X233" t="s">
        <v>2013</v>
      </c>
      <c r="Y233" t="str">
        <f>_xlfn.CONCAT("""",VLOOKUP(E233,'Index Web'!A$4:O$253,15,FALSE)," ",VLOOKUP(E233,'Index Web'!A$4:O$253,13,FALSE),"""","},")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Z233" t="str">
        <f>_xlfn.CONCAT(F233:Y233)</f>
        <v>{idi:230, id:"yoteamosenor", title: "Yo te amo, Señor", subtitle: "Salmo 18 (17)", category: "Precatecumenado", moments: ["Entrada","Antiguo Testamento"], url: "/src/index.html?canto=yoteamosenor", visible: "", cejilla: "", acorde: "Re", scrollConfig: {"mobile": { "v": 25, "i": 1 },"tablet": { "v": 25, "i": 1 },"desktop": { "v": 7, "i": 1 },"desktopsmall": { "v": 7, "i": 1 }},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4" spans="2:26" x14ac:dyDescent="0.25">
      <c r="B234" s="50" t="s">
        <v>653</v>
      </c>
      <c r="C234" s="1" t="str">
        <f>IF(VLOOKUP(Table4[[#This Row],[Cantounido]],Table7[],3,FALSE)=0,"",VLOOKUP(Table4[[#This Row],[Cantounido]],Table7[],3,FALSE))</f>
        <v/>
      </c>
      <c r="D234" s="44" t="str">
        <f>IF(VLOOKUP(Table4[[#This Row],[Cantounido]],Table7[],4,FALSE)=0,"",VLOOKUP(Table4[[#This Row],[Cantounido]],Table7[],4,FALSE))</f>
        <v>Mi</v>
      </c>
      <c r="E234" s="25">
        <v>177</v>
      </c>
      <c r="F234" t="str">
        <f>F233</f>
        <v>{idi:</v>
      </c>
      <c r="G234" t="str">
        <f>_xlfn.CONCAT(VLOOKUP(E234,'Index Web'!A$4:L$253,2,FALSE),", ")</f>
        <v xml:space="preserve">231, </v>
      </c>
      <c r="H234" t="str">
        <f>H233</f>
        <v>id:</v>
      </c>
      <c r="I234" t="str">
        <f>_xlfn.CONCAT("""",VLOOKUP(E234,'Index Web'!A$4:O$253,13,FALSE),"""",", ")</f>
        <v xml:space="preserve">"yovengoareunir", </v>
      </c>
      <c r="J234" t="s">
        <v>2016</v>
      </c>
      <c r="K234" t="str">
        <f>_xlfn.CONCAT("""",VLOOKUP(E234,'Index Web'!A$4:L$253,3,FALSE),"""")</f>
        <v>"Yo vengo a reunir"</v>
      </c>
      <c r="L234" t="s">
        <v>942</v>
      </c>
      <c r="M234" t="str">
        <f>_xlfn.CONCAT("""",VLOOKUP(E234,'Index Web'!A$4:L$253,4,FALSE),"""")</f>
        <v>"Isaías 66,18-21"</v>
      </c>
      <c r="N234" t="s">
        <v>943</v>
      </c>
      <c r="O234" t="str">
        <f>_xlfn.CONCAT("""",VLOOKUP(E234,'Index Web'!A$4:L$253,5,FALSE),"""")</f>
        <v>"Precatecumenado"</v>
      </c>
      <c r="P234" t="s">
        <v>944</v>
      </c>
      <c r="Q234" t="str">
        <f>_xlfn.CONCAT("[",VLOOKUP(E234,'Index Web'!A$4:N$253,14,FALSE),"]")</f>
        <v>["Entrada","Final","Antiguo Testamento"]</v>
      </c>
      <c r="R234" t="s">
        <v>945</v>
      </c>
      <c r="S234" t="str">
        <f>_xlfn.CONCAT("""/src/index.html?canto=",VLOOKUP(E234,'Index Web'!A$4:N$253,13,FALSE),""", ")</f>
        <v xml:space="preserve">"/src/index.html?canto=yovengoareunir", </v>
      </c>
      <c r="T234" t="str">
        <f>T233</f>
        <v xml:space="preserve">visible: "", </v>
      </c>
      <c r="U234" t="str">
        <f>_xlfn.CONCAT("cejilla: """,C234,""", ")</f>
        <v xml:space="preserve">cejilla: "", </v>
      </c>
      <c r="V234" t="str">
        <f>_xlfn.CONCAT("acorde: """,D234,""", ")</f>
        <v xml:space="preserve">acorde: "Mi", </v>
      </c>
      <c r="W234" t="s">
        <v>2012</v>
      </c>
      <c r="X234" t="s">
        <v>2013</v>
      </c>
      <c r="Y234" t="str">
        <f>_xlfn.CONCAT("""",VLOOKUP(E234,'Index Web'!A$4:O$253,15,FALSE)," ",VLOOKUP(E234,'Index Web'!A$4:O$253,13,FALSE),"""","},")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Z234" t="str">
        <f>_xlfn.CONCAT(F234:Y234)</f>
        <v>{idi:231, id:"yovengoareunir", title: "Yo vengo a reunir", subtitle: "Isaías 66,18-21", category: "Precatecumenado", moments: ["Entrada","Final","Antiguo Testamento"], url: "/src/index.html?canto=yovengoareunir", visible: "", cejilla: "", acorde: "Mi", scrollConfig: {"mobile": { "v": 25, "i": 1 },"tablet": { "v": 25, "i": 1 },"desktop": { "v": 7, "i": 1 },"desktopsmall": { "v": 7, "i": 1 }},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5" spans="2:26" x14ac:dyDescent="0.25">
      <c r="B235" s="50" t="s">
        <v>654</v>
      </c>
      <c r="C235" s="1" t="str">
        <f>IF(VLOOKUP(Table4[[#This Row],[Cantounido]],Table7[],3,FALSE)=0,"",VLOOKUP(Table4[[#This Row],[Cantounido]],Table7[],3,FALSE))</f>
        <v/>
      </c>
      <c r="D235" s="44" t="str">
        <f>IF(VLOOKUP(Table4[[#This Row],[Cantounido]],Table7[],4,FALSE)=0,"",VLOOKUP(Table4[[#This Row],[Cantounido]],Table7[],4,FALSE))</f>
        <v>La</v>
      </c>
      <c r="E235" s="26">
        <v>178</v>
      </c>
      <c r="F235" t="str">
        <f>F234</f>
        <v>{idi:</v>
      </c>
      <c r="G235" t="str">
        <f>_xlfn.CONCAT(VLOOKUP(E235,'Index Web'!A$4:L$253,2,FALSE),", ")</f>
        <v xml:space="preserve">232, </v>
      </c>
      <c r="H235" t="str">
        <f>H234</f>
        <v>id:</v>
      </c>
      <c r="I235" t="str">
        <f>_xlfn.CONCAT("""",VLOOKUP(E235,'Index Web'!A$4:O$253,13,FALSE),"""",", ")</f>
        <v xml:space="preserve">"zaqueo", </v>
      </c>
      <c r="J235" t="s">
        <v>2016</v>
      </c>
      <c r="K235" t="str">
        <f>_xlfn.CONCAT("""",VLOOKUP(E235,'Index Web'!A$4:L$253,3,FALSE),"""")</f>
        <v>"Zaqueo"</v>
      </c>
      <c r="L235" t="s">
        <v>942</v>
      </c>
      <c r="M235" t="str">
        <f>_xlfn.CONCAT("""",VLOOKUP(E235,'Index Web'!A$4:L$253,4,FALSE),"""")</f>
        <v>"Lucas 19,1-10"</v>
      </c>
      <c r="N235" t="s">
        <v>943</v>
      </c>
      <c r="O235" t="str">
        <f>_xlfn.CONCAT("""",VLOOKUP(E235,'Index Web'!A$4:L$253,5,FALSE),"""")</f>
        <v>"Precatecumenado"</v>
      </c>
      <c r="P235" t="s">
        <v>944</v>
      </c>
      <c r="Q235" t="str">
        <f>_xlfn.CONCAT("[",VLOOKUP(E235,'Index Web'!A$4:N$253,14,FALSE),"]")</f>
        <v>["Cuaresma","Entrada","Nuevo Testamento"]</v>
      </c>
      <c r="R235" t="s">
        <v>945</v>
      </c>
      <c r="S235" t="str">
        <f>_xlfn.CONCAT("""/src/index.html?canto=",VLOOKUP(E235,'Index Web'!A$4:N$253,13,FALSE),""", ")</f>
        <v xml:space="preserve">"/src/index.html?canto=zaqueo", </v>
      </c>
      <c r="T235" t="str">
        <f>T234</f>
        <v xml:space="preserve">visible: "", </v>
      </c>
      <c r="U235" t="str">
        <f>_xlfn.CONCAT("cejilla: """,C235,""", ")</f>
        <v xml:space="preserve">cejilla: "", </v>
      </c>
      <c r="V235" t="str">
        <f>_xlfn.CONCAT("acorde: """,D235,""", ")</f>
        <v xml:space="preserve">acorde: "La", </v>
      </c>
      <c r="W235" t="s">
        <v>2012</v>
      </c>
      <c r="X235" t="s">
        <v>2013</v>
      </c>
      <c r="Y235" t="str">
        <f>_xlfn.CONCAT("""",VLOOKUP(E235,'Index Web'!A$4:O$253,15,FALSE)," ",VLOOKUP(E235,'Index Web'!A$4:O$253,13,FALSE),"""","},")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Z235" t="str">
        <f>_xlfn.CONCAT(F235:Y235)</f>
        <v>{idi:232, id:"zaqueo", title: "Zaqueo", subtitle: "Lucas 19,1-10", category: "Precatecumenado", moments: ["Cuaresma","Entrada","Nuevo Testamento"], url: "/src/index.html?canto=zaqueo", visible: "", cejilla: "", acorde: "La", scrollConfig: {"mobile": { "v": 25, "i": 1 },"tablet": { "v": 25, "i": 1 },"desktop": { "v": 7, "i": 1 },"desktopsmall": { "v": 7, "i": 1 }},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row r="236" spans="2:26" x14ac:dyDescent="0.25">
      <c r="B236" s="50" t="s">
        <v>2026</v>
      </c>
      <c r="C236" s="1">
        <f>IF(VLOOKUP(Table4[[#This Row],[Cantounido]],Table7[],3,FALSE)=0,"",VLOOKUP(Table4[[#This Row],[Cantounido]],Table7[],3,FALSE))</f>
        <v>3</v>
      </c>
      <c r="D236" s="44" t="str">
        <f>IF(VLOOKUP(Table4[[#This Row],[Cantounido]],Table7[],4,FALSE)=0,"",VLOOKUP(Table4[[#This Row],[Cantounido]],Table7[],4,FALSE))</f>
        <v>Mi</v>
      </c>
      <c r="E236" s="26">
        <v>245</v>
      </c>
      <c r="F236" t="str">
        <f>F235</f>
        <v>{idi:</v>
      </c>
      <c r="G236" t="str">
        <f>_xlfn.CONCAT(VLOOKUP(E236,'Index Web'!A$4:L$253,2,FALSE),", ")</f>
        <v xml:space="preserve">233, </v>
      </c>
      <c r="H236" t="str">
        <f>H235</f>
        <v>id:</v>
      </c>
      <c r="I236" t="str">
        <f>_xlfn.CONCAT("""",VLOOKUP(E236,'Index Web'!A$4:O$253,13,FALSE),"""",", ")</f>
        <v xml:space="preserve">"iespiritusanto", </v>
      </c>
      <c r="J236" t="s">
        <v>2016</v>
      </c>
      <c r="K236" t="str">
        <f>_xlfn.CONCAT("""",VLOOKUP(E236,'Index Web'!A$4:L$253,3,FALSE),"""")</f>
        <v>"Invocación Al Espiritu Santo"</v>
      </c>
      <c r="L236" t="s">
        <v>942</v>
      </c>
      <c r="M236" t="str">
        <f>_xlfn.CONCAT("""",VLOOKUP(E236,'Index Web'!A$4:L$253,4,FALSE),"""")</f>
        <v>"elebración "</v>
      </c>
      <c r="N236" t="s">
        <v>943</v>
      </c>
      <c r="O236" t="str">
        <f>_xlfn.CONCAT("""",VLOOKUP(E236,'Index Web'!A$4:L$253,5,FALSE),"""")</f>
        <v>"Precatecumenado"</v>
      </c>
      <c r="P236" t="s">
        <v>944</v>
      </c>
      <c r="Q236" t="str">
        <f>_xlfn.CONCAT("[",VLOOKUP(E236,'Index Web'!A$4:N$253,14,FALSE),"]")</f>
        <v>[]</v>
      </c>
      <c r="R236" t="s">
        <v>945</v>
      </c>
      <c r="S236" t="str">
        <f>_xlfn.CONCAT("""/src/index.html?canto=",VLOOKUP(E236,'Index Web'!A$4:N$253,13,FALSE),""", ")</f>
        <v xml:space="preserve">"/src/index.html?canto=iespiritusanto", </v>
      </c>
      <c r="T236" t="str">
        <f>T235</f>
        <v xml:space="preserve">visible: "", </v>
      </c>
      <c r="U236" t="str">
        <f>_xlfn.CONCAT("cejilla: """,C236,""", ")</f>
        <v xml:space="preserve">cejilla: "3", </v>
      </c>
      <c r="V236" t="str">
        <f>_xlfn.CONCAT("acorde: """,D236,""", ")</f>
        <v xml:space="preserve">acorde: "Mi", </v>
      </c>
      <c r="W236" t="s">
        <v>2012</v>
      </c>
      <c r="X236" t="s">
        <v>2013</v>
      </c>
      <c r="Y236" t="str">
        <f>_xlfn.CONCAT("""",VLOOKUP(E236,'Index Web'!A$4:O$253,15,FALSE)," ",VLOOKUP(E236,'Index Web'!A$4:O$253,13,FALSE),"""","},")</f>
        <v>"OH SEÑOR, ENVIA TU ESPIRITU, QUE RENUEVE LA FAZ, DE LA TIERRA, Invocación Al Espiritu Santo, invocaciónalespiritusanto, espiritusanto iespiritusanto"},</v>
      </c>
      <c r="Z236" t="str">
        <f>_xlfn.CONCAT(F236:Y236)</f>
        <v>{idi:233, id:"iespiritusanto", title: "Invocación Al Espiritu Santo", subtitle: "elebración ", category: "Precatecumenado", moments: [], url: "/src/index.html?canto=iespiritusanto", visible: "", cejilla: "3", acorde: "Mi", scrollConfig: {"mobile": { "v": 25, "i": 1 },"tablet": { "v": 25, "i": 1 },"desktop": { "v": 7, "i": 1 },"desktopsmall": { "v": 7, "i": 1 }}, content: "OH SEÑOR, ENVIA TU ESPIRITU, QUE RENUEVE LA FAZ, DE LA TIERRA, Invocación Al Espiritu Santo, invocaciónalespiritusanto, espiritusanto iespiritusanto"},</v>
      </c>
    </row>
    <row r="237" spans="2:26" x14ac:dyDescent="0.25">
      <c r="B237" s="50" t="s">
        <v>2022</v>
      </c>
      <c r="C237" s="1" t="str">
        <f>IF(VLOOKUP(Table4[[#This Row],[Cantounido]],Table7[],3,FALSE)=0,"",VLOOKUP(Table4[[#This Row],[Cantounido]],Table7[],3,FALSE))</f>
        <v/>
      </c>
      <c r="D237" s="44" t="str">
        <f>IF(VLOOKUP(Table4[[#This Row],[Cantounido]],Table7[],4,FALSE)=0,"",VLOOKUP(Table4[[#This Row],[Cantounido]],Table7[],4,FALSE))</f>
        <v>Sol</v>
      </c>
      <c r="E237" s="26">
        <v>246</v>
      </c>
      <c r="F237" t="str">
        <f>F236</f>
        <v>{idi:</v>
      </c>
      <c r="G237" t="str">
        <f>_xlfn.CONCAT(VLOOKUP(E237,'Index Web'!A$4:L$253,2,FALSE),", ")</f>
        <v xml:space="preserve">234, </v>
      </c>
      <c r="H237" t="str">
        <f>H236</f>
        <v>id:</v>
      </c>
      <c r="I237" t="str">
        <f>_xlfn.CONCAT("""",VLOOKUP(E237,'Index Web'!A$4:O$253,13,FALSE),"""",", ")</f>
        <v xml:space="preserve">"ohluzgozosa", </v>
      </c>
      <c r="J237" t="s">
        <v>2016</v>
      </c>
      <c r="K237" t="str">
        <f>_xlfn.CONCAT("""",VLOOKUP(E237,'Index Web'!A$4:L$253,3,FALSE),"""")</f>
        <v>"Oh Luz Gozosa"</v>
      </c>
      <c r="L237" t="s">
        <v>942</v>
      </c>
      <c r="M237" t="str">
        <f>_xlfn.CONCAT("""",VLOOKUP(E237,'Index Web'!A$4:L$253,4,FALSE),"""")</f>
        <v>"Pascua"</v>
      </c>
      <c r="N237" t="s">
        <v>943</v>
      </c>
      <c r="O237" t="str">
        <f>_xlfn.CONCAT("""",VLOOKUP(E237,'Index Web'!A$4:L$253,5,FALSE),"""")</f>
        <v>"Liturgia"</v>
      </c>
      <c r="P237" t="s">
        <v>944</v>
      </c>
      <c r="Q237" t="str">
        <f>_xlfn.CONCAT("[",VLOOKUP(E237,'Index Web'!A$4:N$253,14,FALSE),"]")</f>
        <v>[""]</v>
      </c>
      <c r="R237" t="s">
        <v>945</v>
      </c>
      <c r="S237" t="str">
        <f>_xlfn.CONCAT("""/src/index.html?canto=",VLOOKUP(E237,'Index Web'!A$4:N$253,13,FALSE),""", ")</f>
        <v xml:space="preserve">"/src/index.html?canto=ohluzgozosa", </v>
      </c>
      <c r="T237" t="str">
        <f>T236</f>
        <v xml:space="preserve">visible: "", </v>
      </c>
      <c r="U237" t="str">
        <f>_xlfn.CONCAT("cejilla: """,C237,""", ")</f>
        <v xml:space="preserve">cejilla: "", </v>
      </c>
      <c r="V237" t="str">
        <f>_xlfn.CONCAT("acorde: """,D237,""", ")</f>
        <v xml:space="preserve">acorde: "Sol", </v>
      </c>
      <c r="W237" t="s">
        <v>2012</v>
      </c>
      <c r="X237" t="s">
        <v>2013</v>
      </c>
      <c r="Y237" t="str">
        <f>_xlfn.CONCAT("""",VLOOKUP(E237,'Index Web'!A$4:O$253,15,FALSE)," ",VLOOKUP(E237,'Index Web'!A$4:O$253,13,FALSE),"""","},")</f>
        <v>"Oh luz gozosa de la santa Gloria del Padre celeste inmortal, Santo y feliz, Jesucristo, Oh luz gozosa, Ohluzgozosa ohluzgozosa"},</v>
      </c>
      <c r="Z237" t="str">
        <f>_xlfn.CONCAT(F237:Y237)</f>
        <v>{idi:234, id:"ohluzgozosa", title: "Oh Luz Gozosa", subtitle: "Pascua", category: "Liturgia", moments: [""], url: "/src/index.html?canto=ohluzgozosa", visible: "", cejilla: "", acorde: "Sol", scrollConfig: {"mobile": { "v": 25, "i": 1 },"tablet": { "v": 25, "i": 1 },"desktop": { "v": 7, "i": 1 },"desktopsmall": { "v": 7, "i": 1 }}, content: "Oh luz gozosa de la santa Gloria del Padre celeste inmortal, Santo y feliz, Jesucristo, Oh luz gozosa, Ohluzgozosa ohluzgozosa"},</v>
      </c>
    </row>
    <row r="238" spans="2:26" x14ac:dyDescent="0.25">
      <c r="B238" s="51" t="s">
        <v>2020</v>
      </c>
      <c r="C238" s="1" t="str">
        <f>IF(VLOOKUP(Table4[[#This Row],[Cantounido]],Table7[],3,FALSE)=0,"",VLOOKUP(Table4[[#This Row],[Cantounido]],Table7[],3,FALSE))</f>
        <v/>
      </c>
      <c r="D238" s="44" t="str">
        <f>IF(VLOOKUP(Table4[[#This Row],[Cantounido]],Table7[],4,FALSE)=0,"",VLOOKUP(Table4[[#This Row],[Cantounido]],Table7[],4,FALSE))</f>
        <v/>
      </c>
      <c r="E238" s="26">
        <v>247</v>
      </c>
      <c r="F238" t="str">
        <f>F237</f>
        <v>{idi:</v>
      </c>
      <c r="G238" t="str">
        <f>_xlfn.CONCAT(VLOOKUP(E238,'Index Web'!A$4:L$253,2,FALSE),", ")</f>
        <v xml:space="preserve">235, </v>
      </c>
      <c r="H238" t="str">
        <f>H237</f>
        <v>id:</v>
      </c>
      <c r="I238" t="str">
        <f>_xlfn.CONCAT("""",VLOOKUP(E238,'Index Web'!A$4:O$253,13,FALSE),"""",", ")</f>
        <v xml:space="preserve">"prontuario", </v>
      </c>
      <c r="J238" t="s">
        <v>2016</v>
      </c>
      <c r="K238" t="str">
        <f>_xlfn.CONCAT("""",VLOOKUP(E238,'Index Web'!A$4:L$253,3,FALSE),"""")</f>
        <v>"Prountuario de Acordes"</v>
      </c>
      <c r="L238" t="s">
        <v>942</v>
      </c>
      <c r="M238" t="str">
        <f>_xlfn.CONCAT("""",VLOOKUP(E238,'Index Web'!A$4:L$253,4,FALSE),"""")</f>
        <v>"Notas"</v>
      </c>
      <c r="N238" t="s">
        <v>943</v>
      </c>
      <c r="O238" t="str">
        <f>_xlfn.CONCAT("""",VLOOKUP(E238,'Index Web'!A$4:L$253,5,FALSE),"""")</f>
        <v>"Precatecumenado"</v>
      </c>
      <c r="P238" t="s">
        <v>944</v>
      </c>
      <c r="Q238" t="str">
        <f>_xlfn.CONCAT("[",VLOOKUP(E238,'Index Web'!A$4:N$253,14,FALSE),"]")</f>
        <v>[]</v>
      </c>
      <c r="R238" t="s">
        <v>945</v>
      </c>
      <c r="S238" t="str">
        <f>_xlfn.CONCAT("""/src/index.html?canto=",VLOOKUP(E238,'Index Web'!A$4:N$253,13,FALSE),""", ")</f>
        <v xml:space="preserve">"/src/index.html?canto=prontuario", </v>
      </c>
      <c r="T238" t="str">
        <f>T237</f>
        <v xml:space="preserve">visible: "", </v>
      </c>
      <c r="U238" t="str">
        <f>_xlfn.CONCAT("cejilla: """,C238,""", ")</f>
        <v xml:space="preserve">cejilla: "", </v>
      </c>
      <c r="V238" t="str">
        <f>_xlfn.CONCAT("acorde: """,D238,""", ")</f>
        <v xml:space="preserve">acorde: "", </v>
      </c>
      <c r="W238" t="s">
        <v>2012</v>
      </c>
      <c r="X238" t="s">
        <v>2013</v>
      </c>
      <c r="Y238" t="str">
        <f>_xlfn.CONCAT("""",VLOOKUP(E238,'Index Web'!A$4:O$253,15,FALSE)," ",VLOOKUP(E238,'Index Web'!A$4:O$253,13,FALSE),"""","},")</f>
        <v>" prontuario"},</v>
      </c>
      <c r="Z238" t="str">
        <f>_xlfn.CONCAT(F238:Y238)</f>
        <v>{idi:235, id:"prontuario", title: "Prountuario de Acordes", subtitle: "Notas", category: "Precatecumenado", moments: [], url: "/src/index.html?canto=prontuario", visible: "", cejilla: "", acorde: "", scrollConfig: {"mobile": { "v": 25, "i": 1 },"tablet": { "v": 25, "i": 1 },"desktop": { "v": 7, "i": 1 },"desktopsmall": { "v": 7, "i": 1 }}, content: " prontuario"},</v>
      </c>
    </row>
    <row r="239" spans="2:26" x14ac:dyDescent="0.25">
      <c r="B239" s="50" t="s">
        <v>2103</v>
      </c>
      <c r="C239" s="1" t="e">
        <f>IF(VLOOKUP(Table4[[#This Row],[Cantounido]],Table7[],3,FALSE)=0,"",VLOOKUP(Table4[[#This Row],[Cantounido]],Table7[],3,FALSE))</f>
        <v>#N/A</v>
      </c>
      <c r="D239" s="44" t="e">
        <f>IF(VLOOKUP(Table4[[#This Row],[Cantounido]],Table7[],4,FALSE)=0,"",VLOOKUP(Table4[[#This Row],[Cantounido]],Table7[],4,FALSE))</f>
        <v>#N/A</v>
      </c>
      <c r="E239" s="26">
        <v>248</v>
      </c>
      <c r="F239" t="str">
        <f>F238</f>
        <v>{idi:</v>
      </c>
      <c r="G239" t="str">
        <f>_xlfn.CONCAT(VLOOKUP(E239,'Index Web'!A$4:L$253,2,FALSE),", ")</f>
        <v xml:space="preserve">236, </v>
      </c>
      <c r="H239" t="str">
        <f>H238</f>
        <v>id:</v>
      </c>
      <c r="I239" t="str">
        <f>_xlfn.CONCAT("""",VLOOKUP(E239,'Index Web'!A$4:O$253,13,FALSE),"""",", ")</f>
        <v xml:space="preserve">"", </v>
      </c>
      <c r="J239" t="s">
        <v>2016</v>
      </c>
      <c r="K239" t="str">
        <f>_xlfn.CONCAT("""",VLOOKUP(E239,'Index Web'!A$4:L$253,3,FALSE),"""")</f>
        <v>""</v>
      </c>
      <c r="L239" t="s">
        <v>942</v>
      </c>
      <c r="M239" t="str">
        <f>_xlfn.CONCAT("""",VLOOKUP(E239,'Index Web'!A$4:L$253,4,FALSE),"""")</f>
        <v>""</v>
      </c>
      <c r="N239" t="s">
        <v>943</v>
      </c>
      <c r="O239" t="str">
        <f>_xlfn.CONCAT("""",VLOOKUP(E239,'Index Web'!A$4:L$253,5,FALSE),"""")</f>
        <v>""</v>
      </c>
      <c r="P239" t="s">
        <v>944</v>
      </c>
      <c r="Q239" t="str">
        <f>_xlfn.CONCAT("[",VLOOKUP(E239,'Index Web'!A$4:N$253,14,FALSE),"]")</f>
        <v>[""]</v>
      </c>
      <c r="R239" t="s">
        <v>945</v>
      </c>
      <c r="S239" t="str">
        <f>_xlfn.CONCAT("""/src/index.html?canto=",VLOOKUP(E239,'Index Web'!A$4:N$253,13,FALSE),""", ")</f>
        <v xml:space="preserve">"/src/index.html?canto=", </v>
      </c>
      <c r="T239" t="str">
        <f>T238</f>
        <v xml:space="preserve">visible: "", </v>
      </c>
      <c r="U239" t="e">
        <f>_xlfn.CONCAT("cejilla: """,C239,""", ")</f>
        <v>#N/A</v>
      </c>
      <c r="V239" t="e">
        <f>_xlfn.CONCAT("acorde: """,D239,""", ")</f>
        <v>#N/A</v>
      </c>
      <c r="W239" t="s">
        <v>2012</v>
      </c>
      <c r="X239" t="s">
        <v>2013</v>
      </c>
      <c r="Y239" t="str">
        <f>_xlfn.CONCAT("""",VLOOKUP(E239,'Index Web'!A$4:O$253,15,FALSE)," ",VLOOKUP(E239,'Index Web'!A$4:O$253,13,FALSE),"""","},")</f>
        <v>" "},</v>
      </c>
      <c r="Z239" t="e">
        <f>_xlfn.CONCAT(F239:Y239)</f>
        <v>#N/A</v>
      </c>
    </row>
    <row r="240" spans="2:26" x14ac:dyDescent="0.25">
      <c r="B240" s="50" t="s">
        <v>2103</v>
      </c>
      <c r="C240" s="1" t="e">
        <f>IF(VLOOKUP(Table4[[#This Row],[Cantounido]],Table7[],3,FALSE)=0,"",VLOOKUP(Table4[[#This Row],[Cantounido]],Table7[],3,FALSE))</f>
        <v>#N/A</v>
      </c>
      <c r="D240" s="44" t="e">
        <f>IF(VLOOKUP(Table4[[#This Row],[Cantounido]],Table7[],4,FALSE)=0,"",VLOOKUP(Table4[[#This Row],[Cantounido]],Table7[],4,FALSE))</f>
        <v>#N/A</v>
      </c>
      <c r="E240" s="26">
        <v>249</v>
      </c>
      <c r="F240" t="str">
        <f>F239</f>
        <v>{idi:</v>
      </c>
      <c r="G240" t="str">
        <f>_xlfn.CONCAT(VLOOKUP(E240,'Index Web'!A$4:L$253,2,FALSE),", ")</f>
        <v xml:space="preserve">237, </v>
      </c>
      <c r="H240" t="str">
        <f>H239</f>
        <v>id:</v>
      </c>
      <c r="I240" t="str">
        <f>_xlfn.CONCAT("""",VLOOKUP(E240,'Index Web'!A$4:O$253,13,FALSE),"""",", ")</f>
        <v xml:space="preserve">"", </v>
      </c>
      <c r="J240" t="s">
        <v>2016</v>
      </c>
      <c r="K240" t="str">
        <f>_xlfn.CONCAT("""",VLOOKUP(E240,'Index Web'!A$4:L$253,3,FALSE),"""")</f>
        <v>""</v>
      </c>
      <c r="L240" t="s">
        <v>942</v>
      </c>
      <c r="M240" t="str">
        <f>_xlfn.CONCAT("""",VLOOKUP(E240,'Index Web'!A$4:L$253,4,FALSE),"""")</f>
        <v>""</v>
      </c>
      <c r="N240" t="s">
        <v>943</v>
      </c>
      <c r="O240" t="str">
        <f>_xlfn.CONCAT("""",VLOOKUP(E240,'Index Web'!A$4:L$253,5,FALSE),"""")</f>
        <v>""</v>
      </c>
      <c r="P240" t="s">
        <v>944</v>
      </c>
      <c r="Q240" t="str">
        <f>_xlfn.CONCAT("[",VLOOKUP(E240,'Index Web'!A$4:N$253,14,FALSE),"]")</f>
        <v>[""]</v>
      </c>
      <c r="R240" t="s">
        <v>945</v>
      </c>
      <c r="S240" t="str">
        <f>_xlfn.CONCAT("""/src/index.html?canto=",VLOOKUP(E240,'Index Web'!A$4:N$253,13,FALSE),""", ")</f>
        <v xml:space="preserve">"/src/index.html?canto=", </v>
      </c>
      <c r="T240" t="str">
        <f>T239</f>
        <v xml:space="preserve">visible: "", </v>
      </c>
      <c r="U240" t="e">
        <f>_xlfn.CONCAT("cejilla: """,C240,""", ")</f>
        <v>#N/A</v>
      </c>
      <c r="V240" t="e">
        <f>_xlfn.CONCAT("acorde: """,D240,""", ")</f>
        <v>#N/A</v>
      </c>
      <c r="W240" t="s">
        <v>2012</v>
      </c>
      <c r="X240" t="s">
        <v>2013</v>
      </c>
      <c r="Y240" t="str">
        <f>_xlfn.CONCAT("""",VLOOKUP(E240,'Index Web'!A$4:O$253,15,FALSE)," ",VLOOKUP(E240,'Index Web'!A$4:O$253,13,FALSE),"""","},")</f>
        <v>" "},</v>
      </c>
      <c r="Z240" t="e">
        <f>_xlfn.CONCAT(F240:Y240)</f>
        <v>#N/A</v>
      </c>
    </row>
  </sheetData>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13</xdr:col>
                    <xdr:colOff>247650</xdr:colOff>
                    <xdr:row>0</xdr:row>
                    <xdr:rowOff>19050</xdr:rowOff>
                  </from>
                  <to>
                    <xdr:col>13</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F4B81-DFAD-46CA-98EB-D888CF92A91A}">
  <dimension ref="A1:G238"/>
  <sheetViews>
    <sheetView topLeftCell="A169" zoomScale="145" zoomScaleNormal="145" workbookViewId="0">
      <selection activeCell="A188" sqref="A188"/>
    </sheetView>
  </sheetViews>
  <sheetFormatPr defaultRowHeight="15" x14ac:dyDescent="0.25"/>
  <cols>
    <col min="1" max="1" width="34.28515625" bestFit="1" customWidth="1"/>
    <col min="2" max="2" width="36.28515625" bestFit="1" customWidth="1"/>
    <col min="3" max="3" width="8.7109375" customWidth="1"/>
    <col min="4" max="4" width="9.28515625" customWidth="1"/>
    <col min="5" max="5" width="13.85546875" customWidth="1"/>
    <col min="6" max="6" width="13.28515625" customWidth="1"/>
    <col min="7" max="7" width="14.28515625" customWidth="1"/>
  </cols>
  <sheetData>
    <row r="1" spans="1:7" x14ac:dyDescent="0.25">
      <c r="A1" t="s">
        <v>260</v>
      </c>
      <c r="B1" t="s">
        <v>2029</v>
      </c>
      <c r="C1" t="s">
        <v>2030</v>
      </c>
      <c r="D1" t="s">
        <v>2002</v>
      </c>
      <c r="E1" t="s">
        <v>2037</v>
      </c>
      <c r="F1" t="s">
        <v>2038</v>
      </c>
      <c r="G1" t="s">
        <v>2039</v>
      </c>
    </row>
    <row r="2" spans="1:7" x14ac:dyDescent="0.25">
      <c r="A2" t="s">
        <v>700</v>
      </c>
      <c r="B2" t="s">
        <v>248</v>
      </c>
      <c r="D2" t="s">
        <v>978</v>
      </c>
      <c r="E2">
        <v>25</v>
      </c>
      <c r="F2">
        <v>7</v>
      </c>
      <c r="G2">
        <v>7</v>
      </c>
    </row>
    <row r="3" spans="1:7" x14ac:dyDescent="0.25">
      <c r="A3" t="s">
        <v>483</v>
      </c>
      <c r="B3" t="s">
        <v>11</v>
      </c>
      <c r="C3">
        <v>5</v>
      </c>
      <c r="D3" t="s">
        <v>978</v>
      </c>
      <c r="E3">
        <v>23</v>
      </c>
      <c r="F3">
        <v>22</v>
      </c>
      <c r="G3">
        <v>7</v>
      </c>
    </row>
    <row r="4" spans="1:7" x14ac:dyDescent="0.25">
      <c r="A4" t="s">
        <v>484</v>
      </c>
      <c r="B4" t="s">
        <v>14</v>
      </c>
      <c r="D4" t="s">
        <v>978</v>
      </c>
      <c r="E4">
        <v>23</v>
      </c>
      <c r="F4">
        <v>7</v>
      </c>
      <c r="G4">
        <v>7</v>
      </c>
    </row>
    <row r="5" spans="1:7" x14ac:dyDescent="0.25">
      <c r="A5" t="s">
        <v>485</v>
      </c>
      <c r="B5" t="s">
        <v>16</v>
      </c>
      <c r="D5" t="s">
        <v>981</v>
      </c>
      <c r="E5">
        <v>23</v>
      </c>
      <c r="F5">
        <v>7</v>
      </c>
      <c r="G5">
        <v>7</v>
      </c>
    </row>
    <row r="6" spans="1:7" x14ac:dyDescent="0.25">
      <c r="A6" t="s">
        <v>486</v>
      </c>
      <c r="B6" t="s">
        <v>19</v>
      </c>
      <c r="C6">
        <v>2</v>
      </c>
      <c r="D6" t="s">
        <v>978</v>
      </c>
      <c r="E6">
        <v>23</v>
      </c>
      <c r="F6">
        <v>7</v>
      </c>
      <c r="G6">
        <v>7</v>
      </c>
    </row>
    <row r="7" spans="1:7" x14ac:dyDescent="0.25">
      <c r="A7" t="s">
        <v>487</v>
      </c>
      <c r="B7" t="s">
        <v>20</v>
      </c>
      <c r="C7">
        <v>3</v>
      </c>
      <c r="D7" t="s">
        <v>978</v>
      </c>
      <c r="E7">
        <v>23</v>
      </c>
      <c r="F7">
        <v>7</v>
      </c>
      <c r="G7">
        <v>7</v>
      </c>
    </row>
    <row r="8" spans="1:7" x14ac:dyDescent="0.25">
      <c r="A8" t="s">
        <v>488</v>
      </c>
      <c r="B8" t="s">
        <v>21</v>
      </c>
      <c r="C8">
        <v>3</v>
      </c>
      <c r="D8" t="s">
        <v>981</v>
      </c>
      <c r="E8">
        <v>23</v>
      </c>
      <c r="F8">
        <v>7</v>
      </c>
      <c r="G8">
        <v>7</v>
      </c>
    </row>
    <row r="9" spans="1:7" x14ac:dyDescent="0.25">
      <c r="A9" t="s">
        <v>2007</v>
      </c>
      <c r="B9" t="s">
        <v>2005</v>
      </c>
      <c r="C9">
        <v>1</v>
      </c>
      <c r="D9" t="s">
        <v>977</v>
      </c>
      <c r="E9">
        <v>23</v>
      </c>
      <c r="F9">
        <v>7</v>
      </c>
      <c r="G9">
        <v>7</v>
      </c>
    </row>
    <row r="10" spans="1:7" x14ac:dyDescent="0.25">
      <c r="A10" t="s">
        <v>489</v>
      </c>
      <c r="B10" t="s">
        <v>22</v>
      </c>
      <c r="D10" t="s">
        <v>980</v>
      </c>
      <c r="E10">
        <v>23</v>
      </c>
      <c r="F10">
        <v>7</v>
      </c>
      <c r="G10">
        <v>7</v>
      </c>
    </row>
    <row r="11" spans="1:7" x14ac:dyDescent="0.25">
      <c r="A11" t="s">
        <v>490</v>
      </c>
      <c r="B11" t="s">
        <v>24</v>
      </c>
      <c r="D11" t="s">
        <v>978</v>
      </c>
      <c r="E11">
        <v>23</v>
      </c>
      <c r="F11">
        <v>7</v>
      </c>
      <c r="G11">
        <v>7</v>
      </c>
    </row>
    <row r="12" spans="1:7" x14ac:dyDescent="0.25">
      <c r="A12" t="s">
        <v>655</v>
      </c>
      <c r="B12" t="s">
        <v>200</v>
      </c>
      <c r="D12" t="s">
        <v>979</v>
      </c>
      <c r="E12">
        <v>23</v>
      </c>
      <c r="F12">
        <v>7</v>
      </c>
      <c r="G12">
        <v>7</v>
      </c>
    </row>
    <row r="13" spans="1:7" x14ac:dyDescent="0.25">
      <c r="A13" t="s">
        <v>491</v>
      </c>
      <c r="B13" t="s">
        <v>25</v>
      </c>
      <c r="D13" t="s">
        <v>981</v>
      </c>
      <c r="E13">
        <v>23</v>
      </c>
      <c r="F13">
        <v>7</v>
      </c>
      <c r="G13">
        <v>7</v>
      </c>
    </row>
    <row r="14" spans="1:7" x14ac:dyDescent="0.25">
      <c r="A14" t="s">
        <v>701</v>
      </c>
      <c r="B14" t="s">
        <v>2031</v>
      </c>
      <c r="D14" t="s">
        <v>977</v>
      </c>
      <c r="E14">
        <v>23</v>
      </c>
      <c r="F14">
        <v>7</v>
      </c>
      <c r="G14">
        <v>7</v>
      </c>
    </row>
    <row r="15" spans="1:7" x14ac:dyDescent="0.25">
      <c r="A15" t="s">
        <v>492</v>
      </c>
      <c r="B15" t="s">
        <v>26</v>
      </c>
      <c r="D15" t="s">
        <v>974</v>
      </c>
      <c r="E15">
        <v>23</v>
      </c>
      <c r="F15">
        <v>7</v>
      </c>
      <c r="G15">
        <v>7</v>
      </c>
    </row>
    <row r="16" spans="1:7" x14ac:dyDescent="0.25">
      <c r="A16" t="s">
        <v>493</v>
      </c>
      <c r="B16" t="s">
        <v>2032</v>
      </c>
      <c r="D16" t="s">
        <v>978</v>
      </c>
      <c r="E16">
        <v>23</v>
      </c>
      <c r="F16">
        <v>7</v>
      </c>
      <c r="G16">
        <v>7</v>
      </c>
    </row>
    <row r="17" spans="1:7" x14ac:dyDescent="0.25">
      <c r="A17" t="s">
        <v>494</v>
      </c>
      <c r="B17" t="s">
        <v>28</v>
      </c>
      <c r="D17" t="s">
        <v>981</v>
      </c>
      <c r="E17">
        <v>23</v>
      </c>
      <c r="F17">
        <v>7</v>
      </c>
      <c r="G17">
        <v>7</v>
      </c>
    </row>
    <row r="18" spans="1:7" x14ac:dyDescent="0.25">
      <c r="A18" t="s">
        <v>656</v>
      </c>
      <c r="B18" t="s">
        <v>201</v>
      </c>
      <c r="D18" t="s">
        <v>979</v>
      </c>
      <c r="E18">
        <v>23</v>
      </c>
      <c r="F18">
        <v>7</v>
      </c>
      <c r="G18">
        <v>7</v>
      </c>
    </row>
    <row r="19" spans="1:7" x14ac:dyDescent="0.25">
      <c r="A19" t="s">
        <v>657</v>
      </c>
      <c r="B19" t="s">
        <v>202</v>
      </c>
      <c r="D19" t="s">
        <v>978</v>
      </c>
      <c r="E19">
        <v>23</v>
      </c>
      <c r="F19">
        <v>7</v>
      </c>
      <c r="G19">
        <v>7</v>
      </c>
    </row>
    <row r="20" spans="1:7" x14ac:dyDescent="0.25">
      <c r="A20" t="s">
        <v>495</v>
      </c>
      <c r="B20" t="s">
        <v>2033</v>
      </c>
      <c r="D20" t="s">
        <v>977</v>
      </c>
      <c r="E20">
        <v>23</v>
      </c>
      <c r="F20">
        <v>7</v>
      </c>
      <c r="G20">
        <v>7</v>
      </c>
    </row>
    <row r="21" spans="1:7" x14ac:dyDescent="0.25">
      <c r="A21" t="s">
        <v>496</v>
      </c>
      <c r="B21" t="s">
        <v>33</v>
      </c>
      <c r="C21">
        <v>2</v>
      </c>
      <c r="D21" t="s">
        <v>978</v>
      </c>
      <c r="E21">
        <v>23</v>
      </c>
      <c r="F21">
        <v>7</v>
      </c>
      <c r="G21">
        <v>7</v>
      </c>
    </row>
    <row r="22" spans="1:7" x14ac:dyDescent="0.25">
      <c r="A22" t="s">
        <v>497</v>
      </c>
      <c r="B22" t="s">
        <v>35</v>
      </c>
      <c r="D22" t="s">
        <v>980</v>
      </c>
      <c r="E22">
        <v>23</v>
      </c>
      <c r="F22">
        <v>7</v>
      </c>
      <c r="G22">
        <v>7</v>
      </c>
    </row>
    <row r="23" spans="1:7" x14ac:dyDescent="0.25">
      <c r="A23" t="s">
        <v>498</v>
      </c>
      <c r="B23" t="s">
        <v>36</v>
      </c>
      <c r="D23" t="s">
        <v>977</v>
      </c>
      <c r="E23">
        <v>23</v>
      </c>
      <c r="F23">
        <v>7</v>
      </c>
      <c r="G23">
        <v>7</v>
      </c>
    </row>
    <row r="24" spans="1:7" x14ac:dyDescent="0.25">
      <c r="A24" t="s">
        <v>499</v>
      </c>
      <c r="B24" t="s">
        <v>37</v>
      </c>
      <c r="D24" t="s">
        <v>980</v>
      </c>
      <c r="E24">
        <v>23</v>
      </c>
      <c r="F24">
        <v>7</v>
      </c>
      <c r="G24">
        <v>7</v>
      </c>
    </row>
    <row r="25" spans="1:7" x14ac:dyDescent="0.25">
      <c r="A25" t="s">
        <v>500</v>
      </c>
      <c r="B25" t="s">
        <v>38</v>
      </c>
      <c r="D25" t="s">
        <v>981</v>
      </c>
      <c r="E25">
        <v>23</v>
      </c>
      <c r="F25">
        <v>7</v>
      </c>
      <c r="G25">
        <v>7</v>
      </c>
    </row>
    <row r="26" spans="1:7" x14ac:dyDescent="0.25">
      <c r="A26" t="s">
        <v>658</v>
      </c>
      <c r="B26" t="s">
        <v>203</v>
      </c>
      <c r="D26" t="s">
        <v>979</v>
      </c>
      <c r="E26">
        <v>23</v>
      </c>
      <c r="F26">
        <v>7</v>
      </c>
      <c r="G26">
        <v>7</v>
      </c>
    </row>
    <row r="27" spans="1:7" x14ac:dyDescent="0.25">
      <c r="A27" t="s">
        <v>501</v>
      </c>
      <c r="B27" t="s">
        <v>39</v>
      </c>
      <c r="D27" t="s">
        <v>978</v>
      </c>
      <c r="E27">
        <v>23</v>
      </c>
      <c r="F27">
        <v>7</v>
      </c>
      <c r="G27">
        <v>7</v>
      </c>
    </row>
    <row r="28" spans="1:7" x14ac:dyDescent="0.25">
      <c r="A28" t="s">
        <v>502</v>
      </c>
      <c r="B28" t="s">
        <v>40</v>
      </c>
      <c r="D28" t="s">
        <v>977</v>
      </c>
      <c r="E28">
        <v>23</v>
      </c>
      <c r="F28">
        <v>7</v>
      </c>
      <c r="G28">
        <v>7</v>
      </c>
    </row>
    <row r="29" spans="1:7" x14ac:dyDescent="0.25">
      <c r="A29" t="s">
        <v>503</v>
      </c>
      <c r="B29" t="s">
        <v>41</v>
      </c>
      <c r="D29" t="s">
        <v>980</v>
      </c>
      <c r="E29">
        <v>23</v>
      </c>
      <c r="F29">
        <v>7</v>
      </c>
      <c r="G29">
        <v>7</v>
      </c>
    </row>
    <row r="30" spans="1:7" x14ac:dyDescent="0.25">
      <c r="A30" t="s">
        <v>963</v>
      </c>
      <c r="B30" t="s">
        <v>962</v>
      </c>
      <c r="D30" t="s">
        <v>980</v>
      </c>
      <c r="E30">
        <v>23</v>
      </c>
      <c r="F30">
        <v>7</v>
      </c>
      <c r="G30">
        <v>7</v>
      </c>
    </row>
    <row r="31" spans="1:7" x14ac:dyDescent="0.25">
      <c r="A31" t="s">
        <v>504</v>
      </c>
      <c r="B31" t="s">
        <v>44</v>
      </c>
      <c r="D31" t="s">
        <v>977</v>
      </c>
      <c r="E31">
        <v>23</v>
      </c>
      <c r="F31">
        <v>7</v>
      </c>
      <c r="G31">
        <v>7</v>
      </c>
    </row>
    <row r="32" spans="1:7" x14ac:dyDescent="0.25">
      <c r="A32" t="s">
        <v>505</v>
      </c>
      <c r="B32" t="s">
        <v>45</v>
      </c>
      <c r="D32" t="s">
        <v>977</v>
      </c>
      <c r="E32">
        <v>23</v>
      </c>
      <c r="F32">
        <v>7</v>
      </c>
      <c r="G32">
        <v>7</v>
      </c>
    </row>
    <row r="33" spans="1:7" x14ac:dyDescent="0.25">
      <c r="A33" t="s">
        <v>506</v>
      </c>
      <c r="B33" t="s">
        <v>47</v>
      </c>
      <c r="D33" t="s">
        <v>981</v>
      </c>
      <c r="E33">
        <v>23</v>
      </c>
      <c r="F33">
        <v>7</v>
      </c>
      <c r="G33">
        <v>7</v>
      </c>
    </row>
    <row r="34" spans="1:7" x14ac:dyDescent="0.25">
      <c r="A34" t="s">
        <v>507</v>
      </c>
      <c r="B34" t="s">
        <v>49</v>
      </c>
      <c r="D34" t="s">
        <v>978</v>
      </c>
      <c r="E34">
        <v>23</v>
      </c>
      <c r="F34">
        <v>7</v>
      </c>
      <c r="G34">
        <v>7</v>
      </c>
    </row>
    <row r="35" spans="1:7" x14ac:dyDescent="0.25">
      <c r="A35" t="s">
        <v>659</v>
      </c>
      <c r="B35" t="s">
        <v>204</v>
      </c>
      <c r="D35" t="s">
        <v>977</v>
      </c>
      <c r="E35">
        <v>23</v>
      </c>
      <c r="F35">
        <v>7</v>
      </c>
      <c r="G35">
        <v>7</v>
      </c>
    </row>
    <row r="36" spans="1:7" x14ac:dyDescent="0.25">
      <c r="A36" t="s">
        <v>508</v>
      </c>
      <c r="B36" t="s">
        <v>50</v>
      </c>
      <c r="C36">
        <v>3</v>
      </c>
      <c r="D36" t="s">
        <v>978</v>
      </c>
      <c r="E36">
        <v>23</v>
      </c>
      <c r="F36">
        <v>7</v>
      </c>
      <c r="G36">
        <v>7</v>
      </c>
    </row>
    <row r="37" spans="1:7" x14ac:dyDescent="0.25">
      <c r="A37" t="s">
        <v>509</v>
      </c>
      <c r="B37" t="s">
        <v>2040</v>
      </c>
      <c r="D37" t="s">
        <v>979</v>
      </c>
      <c r="E37">
        <v>23</v>
      </c>
      <c r="F37">
        <v>7</v>
      </c>
      <c r="G37">
        <v>7</v>
      </c>
    </row>
    <row r="38" spans="1:7" x14ac:dyDescent="0.25">
      <c r="A38" t="s">
        <v>510</v>
      </c>
      <c r="B38" t="s">
        <v>52</v>
      </c>
      <c r="D38" t="s">
        <v>981</v>
      </c>
      <c r="E38">
        <v>23</v>
      </c>
      <c r="F38">
        <v>7</v>
      </c>
      <c r="G38">
        <v>7</v>
      </c>
    </row>
    <row r="39" spans="1:7" x14ac:dyDescent="0.25">
      <c r="A39" t="s">
        <v>511</v>
      </c>
      <c r="B39" t="s">
        <v>2041</v>
      </c>
      <c r="D39" t="s">
        <v>981</v>
      </c>
      <c r="E39">
        <v>23</v>
      </c>
      <c r="F39">
        <v>7</v>
      </c>
      <c r="G39">
        <v>7</v>
      </c>
    </row>
    <row r="40" spans="1:7" x14ac:dyDescent="0.25">
      <c r="A40" t="s">
        <v>512</v>
      </c>
      <c r="B40" t="s">
        <v>2042</v>
      </c>
      <c r="D40" t="s">
        <v>977</v>
      </c>
      <c r="E40">
        <v>23</v>
      </c>
      <c r="F40">
        <v>7</v>
      </c>
      <c r="G40">
        <v>7</v>
      </c>
    </row>
    <row r="41" spans="1:7" x14ac:dyDescent="0.25">
      <c r="A41" t="s">
        <v>513</v>
      </c>
      <c r="B41" t="s">
        <v>55</v>
      </c>
      <c r="D41" t="s">
        <v>979</v>
      </c>
      <c r="E41">
        <v>23</v>
      </c>
      <c r="F41">
        <v>7</v>
      </c>
      <c r="G41">
        <v>7</v>
      </c>
    </row>
    <row r="42" spans="1:7" x14ac:dyDescent="0.25">
      <c r="A42" t="s">
        <v>514</v>
      </c>
      <c r="B42" t="s">
        <v>2043</v>
      </c>
      <c r="D42" t="s">
        <v>978</v>
      </c>
      <c r="E42">
        <v>23</v>
      </c>
      <c r="F42">
        <v>7</v>
      </c>
      <c r="G42">
        <v>7</v>
      </c>
    </row>
    <row r="43" spans="1:7" x14ac:dyDescent="0.25">
      <c r="A43" t="s">
        <v>2044</v>
      </c>
      <c r="B43" t="s">
        <v>2045</v>
      </c>
      <c r="D43" t="s">
        <v>977</v>
      </c>
      <c r="E43">
        <v>15</v>
      </c>
      <c r="F43">
        <v>11</v>
      </c>
      <c r="G43">
        <v>20</v>
      </c>
    </row>
    <row r="44" spans="1:7" x14ac:dyDescent="0.25">
      <c r="A44" t="s">
        <v>515</v>
      </c>
      <c r="B44" t="s">
        <v>57</v>
      </c>
      <c r="D44" t="s">
        <v>2034</v>
      </c>
      <c r="E44">
        <v>23</v>
      </c>
      <c r="F44">
        <v>7</v>
      </c>
      <c r="G44">
        <v>7</v>
      </c>
    </row>
    <row r="45" spans="1:7" x14ac:dyDescent="0.25">
      <c r="A45" t="s">
        <v>516</v>
      </c>
      <c r="B45" t="s">
        <v>58</v>
      </c>
      <c r="D45" t="s">
        <v>978</v>
      </c>
      <c r="E45">
        <v>23</v>
      </c>
      <c r="F45">
        <v>7</v>
      </c>
      <c r="G45">
        <v>7</v>
      </c>
    </row>
    <row r="46" spans="1:7" x14ac:dyDescent="0.25">
      <c r="A46" t="s">
        <v>517</v>
      </c>
      <c r="B46" t="s">
        <v>59</v>
      </c>
      <c r="D46" t="s">
        <v>978</v>
      </c>
      <c r="E46">
        <v>23</v>
      </c>
      <c r="F46">
        <v>7</v>
      </c>
      <c r="G46">
        <v>7</v>
      </c>
    </row>
    <row r="47" spans="1:7" x14ac:dyDescent="0.25">
      <c r="A47" t="s">
        <v>2046</v>
      </c>
      <c r="B47" t="s">
        <v>2047</v>
      </c>
      <c r="D47" t="s">
        <v>979</v>
      </c>
      <c r="E47">
        <v>23</v>
      </c>
      <c r="F47">
        <v>7</v>
      </c>
      <c r="G47">
        <v>7</v>
      </c>
    </row>
    <row r="48" spans="1:7" x14ac:dyDescent="0.25">
      <c r="A48" t="s">
        <v>518</v>
      </c>
      <c r="B48" t="s">
        <v>2048</v>
      </c>
      <c r="D48" t="s">
        <v>978</v>
      </c>
      <c r="E48">
        <v>23</v>
      </c>
      <c r="F48">
        <v>7</v>
      </c>
      <c r="G48">
        <v>7</v>
      </c>
    </row>
    <row r="49" spans="1:7" x14ac:dyDescent="0.25">
      <c r="A49" t="s">
        <v>702</v>
      </c>
      <c r="B49" t="s">
        <v>250</v>
      </c>
      <c r="D49" t="s">
        <v>978</v>
      </c>
      <c r="E49">
        <v>23</v>
      </c>
      <c r="F49">
        <v>7</v>
      </c>
      <c r="G49">
        <v>7</v>
      </c>
    </row>
    <row r="50" spans="1:7" x14ac:dyDescent="0.25">
      <c r="A50" t="s">
        <v>684</v>
      </c>
      <c r="B50" t="s">
        <v>232</v>
      </c>
      <c r="D50" t="s">
        <v>979</v>
      </c>
      <c r="E50">
        <v>23</v>
      </c>
      <c r="F50">
        <v>7</v>
      </c>
      <c r="G50">
        <v>7</v>
      </c>
    </row>
    <row r="51" spans="1:7" x14ac:dyDescent="0.25">
      <c r="A51" t="s">
        <v>519</v>
      </c>
      <c r="B51" t="s">
        <v>61</v>
      </c>
      <c r="D51" t="s">
        <v>977</v>
      </c>
      <c r="E51">
        <v>23</v>
      </c>
      <c r="F51">
        <v>7</v>
      </c>
      <c r="G51">
        <v>7</v>
      </c>
    </row>
    <row r="52" spans="1:7" x14ac:dyDescent="0.25">
      <c r="A52" t="s">
        <v>520</v>
      </c>
      <c r="B52" t="s">
        <v>62</v>
      </c>
      <c r="D52" t="s">
        <v>977</v>
      </c>
      <c r="E52">
        <v>23</v>
      </c>
      <c r="F52">
        <v>7</v>
      </c>
      <c r="G52">
        <v>7</v>
      </c>
    </row>
    <row r="53" spans="1:7" x14ac:dyDescent="0.25">
      <c r="A53" t="s">
        <v>703</v>
      </c>
      <c r="B53" t="s">
        <v>2049</v>
      </c>
      <c r="D53" t="s">
        <v>974</v>
      </c>
      <c r="E53">
        <v>23</v>
      </c>
      <c r="F53">
        <v>7</v>
      </c>
      <c r="G53">
        <v>7</v>
      </c>
    </row>
    <row r="54" spans="1:7" x14ac:dyDescent="0.25">
      <c r="A54" t="s">
        <v>521</v>
      </c>
      <c r="B54" t="s">
        <v>63</v>
      </c>
      <c r="C54">
        <v>2</v>
      </c>
      <c r="D54" t="s">
        <v>977</v>
      </c>
      <c r="E54">
        <v>23</v>
      </c>
      <c r="F54">
        <v>7</v>
      </c>
      <c r="G54">
        <v>7</v>
      </c>
    </row>
    <row r="55" spans="1:7" x14ac:dyDescent="0.25">
      <c r="A55" t="s">
        <v>522</v>
      </c>
      <c r="B55" t="s">
        <v>65</v>
      </c>
      <c r="D55" t="s">
        <v>977</v>
      </c>
      <c r="E55">
        <v>23</v>
      </c>
      <c r="F55">
        <v>7</v>
      </c>
      <c r="G55">
        <v>7</v>
      </c>
    </row>
    <row r="56" spans="1:7" x14ac:dyDescent="0.25">
      <c r="A56" t="s">
        <v>660</v>
      </c>
      <c r="B56" t="s">
        <v>206</v>
      </c>
      <c r="D56" t="s">
        <v>978</v>
      </c>
      <c r="E56">
        <v>23</v>
      </c>
      <c r="F56">
        <v>7</v>
      </c>
      <c r="G56">
        <v>7</v>
      </c>
    </row>
    <row r="57" spans="1:7" x14ac:dyDescent="0.25">
      <c r="A57" t="s">
        <v>661</v>
      </c>
      <c r="B57" t="s">
        <v>207</v>
      </c>
      <c r="D57" t="s">
        <v>981</v>
      </c>
      <c r="E57">
        <v>23</v>
      </c>
      <c r="F57">
        <v>7</v>
      </c>
      <c r="G57">
        <v>7</v>
      </c>
    </row>
    <row r="58" spans="1:7" x14ac:dyDescent="0.25">
      <c r="A58" t="s">
        <v>523</v>
      </c>
      <c r="B58" t="s">
        <v>66</v>
      </c>
      <c r="D58" t="s">
        <v>980</v>
      </c>
      <c r="E58">
        <v>23</v>
      </c>
      <c r="F58">
        <v>7</v>
      </c>
      <c r="G58">
        <v>7</v>
      </c>
    </row>
    <row r="59" spans="1:7" x14ac:dyDescent="0.25">
      <c r="A59" t="s">
        <v>685</v>
      </c>
      <c r="B59" t="s">
        <v>233</v>
      </c>
      <c r="D59" t="s">
        <v>980</v>
      </c>
      <c r="E59">
        <v>23</v>
      </c>
      <c r="F59">
        <v>7</v>
      </c>
      <c r="G59">
        <v>7</v>
      </c>
    </row>
    <row r="60" spans="1:7" x14ac:dyDescent="0.25">
      <c r="A60" t="s">
        <v>524</v>
      </c>
      <c r="B60" t="s">
        <v>2050</v>
      </c>
      <c r="D60" t="s">
        <v>981</v>
      </c>
      <c r="E60">
        <v>23</v>
      </c>
      <c r="F60">
        <v>7</v>
      </c>
      <c r="G60">
        <v>7</v>
      </c>
    </row>
    <row r="61" spans="1:7" x14ac:dyDescent="0.25">
      <c r="A61" t="s">
        <v>525</v>
      </c>
      <c r="B61" t="s">
        <v>68</v>
      </c>
      <c r="D61" t="s">
        <v>977</v>
      </c>
      <c r="E61">
        <v>23</v>
      </c>
      <c r="F61">
        <v>7</v>
      </c>
      <c r="G61">
        <v>7</v>
      </c>
    </row>
    <row r="62" spans="1:7" x14ac:dyDescent="0.25">
      <c r="A62" t="s">
        <v>526</v>
      </c>
      <c r="B62" t="s">
        <v>69</v>
      </c>
      <c r="D62" t="s">
        <v>977</v>
      </c>
      <c r="E62">
        <v>23</v>
      </c>
      <c r="F62">
        <v>7</v>
      </c>
      <c r="G62">
        <v>7</v>
      </c>
    </row>
    <row r="63" spans="1:7" x14ac:dyDescent="0.25">
      <c r="A63" t="s">
        <v>527</v>
      </c>
      <c r="B63" t="s">
        <v>70</v>
      </c>
      <c r="C63">
        <v>3</v>
      </c>
      <c r="D63" t="s">
        <v>978</v>
      </c>
      <c r="E63">
        <v>23</v>
      </c>
      <c r="F63">
        <v>7</v>
      </c>
      <c r="G63">
        <v>7</v>
      </c>
    </row>
    <row r="64" spans="1:7" x14ac:dyDescent="0.25">
      <c r="A64" t="s">
        <v>686</v>
      </c>
      <c r="B64" t="s">
        <v>234</v>
      </c>
      <c r="D64" t="s">
        <v>2051</v>
      </c>
      <c r="E64">
        <v>23</v>
      </c>
      <c r="F64">
        <v>7</v>
      </c>
      <c r="G64">
        <v>7</v>
      </c>
    </row>
    <row r="65" spans="1:7" x14ac:dyDescent="0.25">
      <c r="A65" t="s">
        <v>528</v>
      </c>
      <c r="B65" t="s">
        <v>71</v>
      </c>
      <c r="D65" t="s">
        <v>978</v>
      </c>
      <c r="E65">
        <v>23</v>
      </c>
      <c r="F65">
        <v>7</v>
      </c>
      <c r="G65">
        <v>7</v>
      </c>
    </row>
    <row r="66" spans="1:7" x14ac:dyDescent="0.25">
      <c r="A66" t="s">
        <v>529</v>
      </c>
      <c r="B66" t="s">
        <v>2052</v>
      </c>
      <c r="D66" t="s">
        <v>980</v>
      </c>
      <c r="E66">
        <v>23</v>
      </c>
      <c r="F66">
        <v>7</v>
      </c>
      <c r="G66">
        <v>7</v>
      </c>
    </row>
    <row r="67" spans="1:7" x14ac:dyDescent="0.25">
      <c r="A67" t="s">
        <v>530</v>
      </c>
      <c r="B67" t="s">
        <v>73</v>
      </c>
      <c r="D67" t="s">
        <v>977</v>
      </c>
      <c r="E67">
        <v>23</v>
      </c>
      <c r="F67">
        <v>7</v>
      </c>
      <c r="G67">
        <v>7</v>
      </c>
    </row>
    <row r="68" spans="1:7" x14ac:dyDescent="0.25">
      <c r="A68" t="s">
        <v>531</v>
      </c>
      <c r="B68" t="s">
        <v>74</v>
      </c>
      <c r="D68" t="s">
        <v>977</v>
      </c>
      <c r="E68">
        <v>23</v>
      </c>
      <c r="F68">
        <v>7</v>
      </c>
      <c r="G68">
        <v>7</v>
      </c>
    </row>
    <row r="69" spans="1:7" x14ac:dyDescent="0.25">
      <c r="A69" t="s">
        <v>532</v>
      </c>
      <c r="B69" t="s">
        <v>2053</v>
      </c>
      <c r="D69" t="s">
        <v>978</v>
      </c>
      <c r="E69">
        <v>23</v>
      </c>
      <c r="F69">
        <v>7</v>
      </c>
      <c r="G69">
        <v>7</v>
      </c>
    </row>
    <row r="70" spans="1:7" x14ac:dyDescent="0.25">
      <c r="A70" t="s">
        <v>533</v>
      </c>
      <c r="B70" t="s">
        <v>76</v>
      </c>
      <c r="D70" t="s">
        <v>977</v>
      </c>
      <c r="E70">
        <v>23</v>
      </c>
      <c r="F70">
        <v>7</v>
      </c>
      <c r="G70">
        <v>7</v>
      </c>
    </row>
    <row r="71" spans="1:7" x14ac:dyDescent="0.25">
      <c r="A71" t="s">
        <v>534</v>
      </c>
      <c r="B71" t="s">
        <v>77</v>
      </c>
      <c r="D71" t="s">
        <v>978</v>
      </c>
      <c r="E71">
        <v>23</v>
      </c>
      <c r="F71">
        <v>7</v>
      </c>
      <c r="G71">
        <v>7</v>
      </c>
    </row>
    <row r="72" spans="1:7" x14ac:dyDescent="0.25">
      <c r="A72" t="s">
        <v>535</v>
      </c>
      <c r="B72" t="s">
        <v>78</v>
      </c>
      <c r="D72" t="s">
        <v>981</v>
      </c>
      <c r="E72">
        <v>23</v>
      </c>
      <c r="F72">
        <v>7</v>
      </c>
      <c r="G72">
        <v>7</v>
      </c>
    </row>
    <row r="73" spans="1:7" x14ac:dyDescent="0.25">
      <c r="A73" t="s">
        <v>536</v>
      </c>
      <c r="B73" t="s">
        <v>79</v>
      </c>
      <c r="D73" t="s">
        <v>977</v>
      </c>
      <c r="E73">
        <v>23</v>
      </c>
      <c r="F73">
        <v>7</v>
      </c>
      <c r="G73">
        <v>7</v>
      </c>
    </row>
    <row r="74" spans="1:7" x14ac:dyDescent="0.25">
      <c r="A74" t="s">
        <v>537</v>
      </c>
      <c r="B74" t="s">
        <v>80</v>
      </c>
      <c r="D74" t="s">
        <v>978</v>
      </c>
      <c r="E74">
        <v>23</v>
      </c>
      <c r="F74">
        <v>7</v>
      </c>
      <c r="G74">
        <v>7</v>
      </c>
    </row>
    <row r="75" spans="1:7" x14ac:dyDescent="0.25">
      <c r="A75" t="s">
        <v>687</v>
      </c>
      <c r="B75" t="s">
        <v>235</v>
      </c>
      <c r="D75" t="s">
        <v>981</v>
      </c>
      <c r="E75">
        <v>23</v>
      </c>
      <c r="F75">
        <v>7</v>
      </c>
      <c r="G75">
        <v>7</v>
      </c>
    </row>
    <row r="76" spans="1:7" x14ac:dyDescent="0.25">
      <c r="A76" t="s">
        <v>2054</v>
      </c>
      <c r="B76" t="s">
        <v>2055</v>
      </c>
      <c r="D76" t="s">
        <v>981</v>
      </c>
      <c r="E76">
        <v>23</v>
      </c>
      <c r="F76">
        <v>7</v>
      </c>
      <c r="G76">
        <v>7</v>
      </c>
    </row>
    <row r="77" spans="1:7" x14ac:dyDescent="0.25">
      <c r="A77" t="s">
        <v>539</v>
      </c>
      <c r="B77" t="s">
        <v>82</v>
      </c>
      <c r="C77">
        <v>3</v>
      </c>
      <c r="D77" t="s">
        <v>980</v>
      </c>
      <c r="E77">
        <v>23</v>
      </c>
      <c r="F77">
        <v>7</v>
      </c>
      <c r="G77">
        <v>7</v>
      </c>
    </row>
    <row r="78" spans="1:7" x14ac:dyDescent="0.25">
      <c r="A78" t="s">
        <v>688</v>
      </c>
      <c r="B78" t="s">
        <v>2056</v>
      </c>
      <c r="D78" t="s">
        <v>981</v>
      </c>
      <c r="E78">
        <v>23</v>
      </c>
      <c r="F78">
        <v>7</v>
      </c>
      <c r="G78">
        <v>7</v>
      </c>
    </row>
    <row r="79" spans="1:7" x14ac:dyDescent="0.25">
      <c r="A79" t="s">
        <v>540</v>
      </c>
      <c r="B79" t="s">
        <v>83</v>
      </c>
      <c r="D79" t="s">
        <v>979</v>
      </c>
      <c r="E79">
        <v>23</v>
      </c>
      <c r="F79">
        <v>7</v>
      </c>
      <c r="G79">
        <v>7</v>
      </c>
    </row>
    <row r="80" spans="1:7" x14ac:dyDescent="0.25">
      <c r="A80" t="s">
        <v>541</v>
      </c>
      <c r="B80" t="s">
        <v>84</v>
      </c>
      <c r="C80">
        <v>2</v>
      </c>
      <c r="D80" t="s">
        <v>978</v>
      </c>
      <c r="E80">
        <v>23</v>
      </c>
      <c r="F80">
        <v>7</v>
      </c>
      <c r="G80">
        <v>7</v>
      </c>
    </row>
    <row r="81" spans="1:7" x14ac:dyDescent="0.25">
      <c r="A81" t="s">
        <v>542</v>
      </c>
      <c r="B81" t="s">
        <v>85</v>
      </c>
      <c r="D81" t="s">
        <v>974</v>
      </c>
      <c r="E81">
        <v>23</v>
      </c>
      <c r="F81">
        <v>7</v>
      </c>
      <c r="G81">
        <v>7</v>
      </c>
    </row>
    <row r="82" spans="1:7" x14ac:dyDescent="0.25">
      <c r="A82" t="s">
        <v>543</v>
      </c>
      <c r="B82" t="s">
        <v>2057</v>
      </c>
      <c r="D82" t="s">
        <v>977</v>
      </c>
      <c r="E82">
        <v>23</v>
      </c>
      <c r="F82">
        <v>7</v>
      </c>
      <c r="G82">
        <v>7</v>
      </c>
    </row>
    <row r="83" spans="1:7" x14ac:dyDescent="0.25">
      <c r="A83" t="s">
        <v>544</v>
      </c>
      <c r="B83" t="s">
        <v>87</v>
      </c>
      <c r="D83" t="s">
        <v>978</v>
      </c>
      <c r="E83">
        <v>23</v>
      </c>
      <c r="F83">
        <v>7</v>
      </c>
      <c r="G83">
        <v>7</v>
      </c>
    </row>
    <row r="84" spans="1:7" x14ac:dyDescent="0.25">
      <c r="A84" t="s">
        <v>545</v>
      </c>
      <c r="B84" t="s">
        <v>88</v>
      </c>
      <c r="D84" t="s">
        <v>978</v>
      </c>
      <c r="E84">
        <v>23</v>
      </c>
      <c r="F84">
        <v>7</v>
      </c>
      <c r="G84">
        <v>7</v>
      </c>
    </row>
    <row r="85" spans="1:7" x14ac:dyDescent="0.25">
      <c r="A85" t="s">
        <v>546</v>
      </c>
      <c r="B85" t="s">
        <v>89</v>
      </c>
      <c r="C85">
        <v>3</v>
      </c>
      <c r="D85" t="s">
        <v>981</v>
      </c>
      <c r="E85">
        <v>23</v>
      </c>
      <c r="F85">
        <v>7</v>
      </c>
      <c r="G85">
        <v>7</v>
      </c>
    </row>
    <row r="86" spans="1:7" x14ac:dyDescent="0.25">
      <c r="A86" t="s">
        <v>547</v>
      </c>
      <c r="B86" t="s">
        <v>90</v>
      </c>
      <c r="D86" t="s">
        <v>977</v>
      </c>
      <c r="E86">
        <v>23</v>
      </c>
      <c r="F86">
        <v>7</v>
      </c>
      <c r="G86">
        <v>7</v>
      </c>
    </row>
    <row r="87" spans="1:7" x14ac:dyDescent="0.25">
      <c r="A87" t="s">
        <v>548</v>
      </c>
      <c r="B87" t="s">
        <v>91</v>
      </c>
      <c r="D87" t="s">
        <v>978</v>
      </c>
      <c r="E87">
        <v>23</v>
      </c>
      <c r="F87">
        <v>7</v>
      </c>
      <c r="G87">
        <v>7</v>
      </c>
    </row>
    <row r="88" spans="1:7" x14ac:dyDescent="0.25">
      <c r="A88" t="s">
        <v>2106</v>
      </c>
      <c r="B88" t="s">
        <v>2058</v>
      </c>
      <c r="D88" t="s">
        <v>978</v>
      </c>
      <c r="E88">
        <v>23</v>
      </c>
      <c r="F88">
        <v>7</v>
      </c>
      <c r="G88">
        <v>7</v>
      </c>
    </row>
    <row r="89" spans="1:7" x14ac:dyDescent="0.25">
      <c r="A89" t="s">
        <v>549</v>
      </c>
      <c r="B89" t="s">
        <v>93</v>
      </c>
      <c r="D89" t="s">
        <v>2059</v>
      </c>
      <c r="E89">
        <v>23</v>
      </c>
      <c r="F89">
        <v>7</v>
      </c>
      <c r="G89">
        <v>7</v>
      </c>
    </row>
    <row r="90" spans="1:7" x14ac:dyDescent="0.25">
      <c r="A90" t="s">
        <v>2060</v>
      </c>
      <c r="B90" t="s">
        <v>2061</v>
      </c>
      <c r="D90" t="s">
        <v>978</v>
      </c>
      <c r="E90">
        <v>23</v>
      </c>
      <c r="F90">
        <v>7</v>
      </c>
      <c r="G90">
        <v>7</v>
      </c>
    </row>
    <row r="91" spans="1:7" x14ac:dyDescent="0.25">
      <c r="A91" t="s">
        <v>551</v>
      </c>
      <c r="B91" t="s">
        <v>95</v>
      </c>
      <c r="D91" t="s">
        <v>978</v>
      </c>
      <c r="E91">
        <v>23</v>
      </c>
      <c r="F91">
        <v>7</v>
      </c>
      <c r="G91">
        <v>7</v>
      </c>
    </row>
    <row r="92" spans="1:7" x14ac:dyDescent="0.25">
      <c r="A92" t="s">
        <v>552</v>
      </c>
      <c r="B92" t="s">
        <v>96</v>
      </c>
      <c r="D92" t="s">
        <v>981</v>
      </c>
      <c r="E92">
        <v>23</v>
      </c>
      <c r="F92">
        <v>7</v>
      </c>
      <c r="G92">
        <v>7</v>
      </c>
    </row>
    <row r="93" spans="1:7" x14ac:dyDescent="0.25">
      <c r="A93" t="s">
        <v>553</v>
      </c>
      <c r="B93" t="s">
        <v>97</v>
      </c>
      <c r="D93" t="s">
        <v>981</v>
      </c>
      <c r="E93">
        <v>23</v>
      </c>
      <c r="F93">
        <v>7</v>
      </c>
      <c r="G93">
        <v>7</v>
      </c>
    </row>
    <row r="94" spans="1:7" x14ac:dyDescent="0.25">
      <c r="A94" t="s">
        <v>554</v>
      </c>
      <c r="B94" t="s">
        <v>98</v>
      </c>
      <c r="D94" t="s">
        <v>979</v>
      </c>
      <c r="E94">
        <v>23</v>
      </c>
      <c r="F94">
        <v>7</v>
      </c>
      <c r="G94">
        <v>7</v>
      </c>
    </row>
    <row r="95" spans="1:7" x14ac:dyDescent="0.25">
      <c r="A95" t="s">
        <v>555</v>
      </c>
      <c r="B95" t="s">
        <v>2062</v>
      </c>
      <c r="D95" t="s">
        <v>978</v>
      </c>
      <c r="E95">
        <v>23</v>
      </c>
      <c r="F95">
        <v>7</v>
      </c>
      <c r="G95">
        <v>7</v>
      </c>
    </row>
    <row r="96" spans="1:7" x14ac:dyDescent="0.25">
      <c r="A96" t="s">
        <v>662</v>
      </c>
      <c r="B96" t="s">
        <v>208</v>
      </c>
      <c r="D96" t="s">
        <v>981</v>
      </c>
      <c r="E96">
        <v>23</v>
      </c>
      <c r="F96">
        <v>7</v>
      </c>
      <c r="G96">
        <v>7</v>
      </c>
    </row>
    <row r="97" spans="1:7" x14ac:dyDescent="0.25">
      <c r="A97" t="s">
        <v>556</v>
      </c>
      <c r="B97" t="s">
        <v>100</v>
      </c>
      <c r="D97" t="s">
        <v>977</v>
      </c>
      <c r="E97">
        <v>23</v>
      </c>
      <c r="F97">
        <v>7</v>
      </c>
      <c r="G97">
        <v>7</v>
      </c>
    </row>
    <row r="98" spans="1:7" x14ac:dyDescent="0.25">
      <c r="A98" t="s">
        <v>557</v>
      </c>
      <c r="B98" t="s">
        <v>101</v>
      </c>
      <c r="D98" t="s">
        <v>978</v>
      </c>
      <c r="E98">
        <v>23</v>
      </c>
      <c r="F98">
        <v>7</v>
      </c>
      <c r="G98">
        <v>7</v>
      </c>
    </row>
    <row r="99" spans="1:7" x14ac:dyDescent="0.25">
      <c r="A99" t="s">
        <v>558</v>
      </c>
      <c r="B99" t="s">
        <v>102</v>
      </c>
      <c r="D99" t="s">
        <v>978</v>
      </c>
      <c r="E99">
        <v>23</v>
      </c>
      <c r="F99">
        <v>7</v>
      </c>
      <c r="G99">
        <v>7</v>
      </c>
    </row>
    <row r="100" spans="1:7" x14ac:dyDescent="0.25">
      <c r="A100" t="s">
        <v>559</v>
      </c>
      <c r="B100" t="s">
        <v>103</v>
      </c>
      <c r="D100" t="s">
        <v>978</v>
      </c>
      <c r="E100">
        <v>23</v>
      </c>
      <c r="F100">
        <v>7</v>
      </c>
      <c r="G100">
        <v>7</v>
      </c>
    </row>
    <row r="101" spans="1:7" x14ac:dyDescent="0.25">
      <c r="A101" t="s">
        <v>560</v>
      </c>
      <c r="B101" t="s">
        <v>104</v>
      </c>
      <c r="D101" t="s">
        <v>978</v>
      </c>
      <c r="E101">
        <v>23</v>
      </c>
      <c r="F101">
        <v>7</v>
      </c>
      <c r="G101">
        <v>7</v>
      </c>
    </row>
    <row r="102" spans="1:7" x14ac:dyDescent="0.25">
      <c r="A102" t="s">
        <v>689</v>
      </c>
      <c r="B102" t="s">
        <v>2063</v>
      </c>
      <c r="D102" t="s">
        <v>981</v>
      </c>
      <c r="E102">
        <v>23</v>
      </c>
      <c r="F102">
        <v>7</v>
      </c>
      <c r="G102">
        <v>7</v>
      </c>
    </row>
    <row r="103" spans="1:7" x14ac:dyDescent="0.25">
      <c r="A103" t="s">
        <v>561</v>
      </c>
      <c r="B103" t="s">
        <v>105</v>
      </c>
      <c r="D103" t="s">
        <v>978</v>
      </c>
      <c r="E103">
        <v>23</v>
      </c>
      <c r="F103">
        <v>7</v>
      </c>
      <c r="G103">
        <v>7</v>
      </c>
    </row>
    <row r="104" spans="1:7" x14ac:dyDescent="0.25">
      <c r="A104" t="s">
        <v>562</v>
      </c>
      <c r="B104" t="s">
        <v>106</v>
      </c>
      <c r="C104">
        <v>3</v>
      </c>
      <c r="D104" t="s">
        <v>978</v>
      </c>
      <c r="E104">
        <v>23</v>
      </c>
      <c r="F104">
        <v>7</v>
      </c>
      <c r="G104">
        <v>7</v>
      </c>
    </row>
    <row r="105" spans="1:7" x14ac:dyDescent="0.25">
      <c r="A105" t="s">
        <v>704</v>
      </c>
      <c r="B105" t="s">
        <v>252</v>
      </c>
      <c r="D105" t="s">
        <v>981</v>
      </c>
      <c r="E105">
        <v>23</v>
      </c>
      <c r="F105">
        <v>7</v>
      </c>
      <c r="G105">
        <v>7</v>
      </c>
    </row>
    <row r="106" spans="1:7" x14ac:dyDescent="0.25">
      <c r="A106" t="s">
        <v>563</v>
      </c>
      <c r="B106" t="s">
        <v>107</v>
      </c>
      <c r="D106" t="s">
        <v>978</v>
      </c>
      <c r="E106">
        <v>23</v>
      </c>
      <c r="F106">
        <v>7</v>
      </c>
      <c r="G106">
        <v>7</v>
      </c>
    </row>
    <row r="107" spans="1:7" x14ac:dyDescent="0.25">
      <c r="A107" t="s">
        <v>564</v>
      </c>
      <c r="B107" t="s">
        <v>108</v>
      </c>
      <c r="D107" t="s">
        <v>977</v>
      </c>
      <c r="E107">
        <v>23</v>
      </c>
      <c r="F107">
        <v>7</v>
      </c>
      <c r="G107">
        <v>7</v>
      </c>
    </row>
    <row r="108" spans="1:7" x14ac:dyDescent="0.25">
      <c r="A108" t="s">
        <v>565</v>
      </c>
      <c r="B108" t="s">
        <v>109</v>
      </c>
      <c r="D108" t="s">
        <v>980</v>
      </c>
      <c r="E108">
        <v>23</v>
      </c>
      <c r="F108">
        <v>7</v>
      </c>
      <c r="G108">
        <v>7</v>
      </c>
    </row>
    <row r="109" spans="1:7" x14ac:dyDescent="0.25">
      <c r="A109" t="s">
        <v>690</v>
      </c>
      <c r="B109" t="s">
        <v>238</v>
      </c>
      <c r="D109" t="s">
        <v>977</v>
      </c>
      <c r="E109">
        <v>23</v>
      </c>
      <c r="F109">
        <v>7</v>
      </c>
      <c r="G109">
        <v>7</v>
      </c>
    </row>
    <row r="110" spans="1:7" x14ac:dyDescent="0.25">
      <c r="A110" t="s">
        <v>566</v>
      </c>
      <c r="B110" t="s">
        <v>110</v>
      </c>
      <c r="D110" t="s">
        <v>977</v>
      </c>
      <c r="E110">
        <v>23</v>
      </c>
      <c r="F110">
        <v>7</v>
      </c>
      <c r="G110">
        <v>7</v>
      </c>
    </row>
    <row r="111" spans="1:7" x14ac:dyDescent="0.25">
      <c r="A111" t="s">
        <v>567</v>
      </c>
      <c r="B111" t="s">
        <v>111</v>
      </c>
      <c r="D111" t="s">
        <v>981</v>
      </c>
      <c r="E111">
        <v>23</v>
      </c>
      <c r="F111">
        <v>7</v>
      </c>
      <c r="G111">
        <v>7</v>
      </c>
    </row>
    <row r="112" spans="1:7" x14ac:dyDescent="0.25">
      <c r="A112" t="s">
        <v>568</v>
      </c>
      <c r="B112" t="s">
        <v>112</v>
      </c>
      <c r="D112" t="s">
        <v>978</v>
      </c>
      <c r="E112">
        <v>23</v>
      </c>
      <c r="F112">
        <v>7</v>
      </c>
      <c r="G112">
        <v>7</v>
      </c>
    </row>
    <row r="113" spans="1:7" x14ac:dyDescent="0.25">
      <c r="A113" t="s">
        <v>569</v>
      </c>
      <c r="B113" t="s">
        <v>113</v>
      </c>
      <c r="D113" t="s">
        <v>978</v>
      </c>
      <c r="E113">
        <v>23</v>
      </c>
      <c r="F113">
        <v>7</v>
      </c>
      <c r="G113">
        <v>7</v>
      </c>
    </row>
    <row r="114" spans="1:7" x14ac:dyDescent="0.25">
      <c r="A114" t="s">
        <v>570</v>
      </c>
      <c r="B114" t="s">
        <v>114</v>
      </c>
      <c r="D114" t="s">
        <v>978</v>
      </c>
      <c r="E114">
        <v>23</v>
      </c>
      <c r="F114">
        <v>7</v>
      </c>
      <c r="G114">
        <v>7</v>
      </c>
    </row>
    <row r="115" spans="1:7" x14ac:dyDescent="0.25">
      <c r="A115" t="s">
        <v>571</v>
      </c>
      <c r="B115" t="s">
        <v>115</v>
      </c>
      <c r="D115" t="s">
        <v>978</v>
      </c>
      <c r="E115">
        <v>23</v>
      </c>
      <c r="F115">
        <v>7</v>
      </c>
      <c r="G115">
        <v>7</v>
      </c>
    </row>
    <row r="116" spans="1:7" x14ac:dyDescent="0.25">
      <c r="A116" t="s">
        <v>572</v>
      </c>
      <c r="B116" t="s">
        <v>116</v>
      </c>
      <c r="D116" t="s">
        <v>977</v>
      </c>
      <c r="E116">
        <v>23</v>
      </c>
      <c r="F116">
        <v>7</v>
      </c>
      <c r="G116">
        <v>7</v>
      </c>
    </row>
    <row r="117" spans="1:7" x14ac:dyDescent="0.25">
      <c r="A117" t="s">
        <v>691</v>
      </c>
      <c r="B117" t="s">
        <v>2064</v>
      </c>
      <c r="D117" t="s">
        <v>978</v>
      </c>
      <c r="E117">
        <v>23</v>
      </c>
      <c r="F117">
        <v>7</v>
      </c>
      <c r="G117">
        <v>7</v>
      </c>
    </row>
    <row r="118" spans="1:7" x14ac:dyDescent="0.25">
      <c r="A118" t="s">
        <v>573</v>
      </c>
      <c r="B118" t="s">
        <v>117</v>
      </c>
      <c r="C118">
        <v>5</v>
      </c>
      <c r="D118" t="s">
        <v>977</v>
      </c>
      <c r="E118">
        <v>23</v>
      </c>
      <c r="F118">
        <v>7</v>
      </c>
      <c r="G118">
        <v>7</v>
      </c>
    </row>
    <row r="119" spans="1:7" x14ac:dyDescent="0.25">
      <c r="A119" t="s">
        <v>2065</v>
      </c>
      <c r="B119" t="s">
        <v>2066</v>
      </c>
      <c r="D119" t="s">
        <v>978</v>
      </c>
      <c r="E119">
        <v>23</v>
      </c>
      <c r="F119">
        <v>7</v>
      </c>
      <c r="G119">
        <v>7</v>
      </c>
    </row>
    <row r="120" spans="1:7" x14ac:dyDescent="0.25">
      <c r="A120" t="s">
        <v>574</v>
      </c>
      <c r="B120" t="s">
        <v>119</v>
      </c>
      <c r="C120">
        <v>3</v>
      </c>
      <c r="D120" t="s">
        <v>977</v>
      </c>
      <c r="E120">
        <v>23</v>
      </c>
      <c r="F120">
        <v>7</v>
      </c>
      <c r="G120">
        <v>7</v>
      </c>
    </row>
    <row r="121" spans="1:7" x14ac:dyDescent="0.25">
      <c r="A121" t="s">
        <v>575</v>
      </c>
      <c r="B121" t="s">
        <v>120</v>
      </c>
      <c r="D121" t="s">
        <v>978</v>
      </c>
      <c r="E121">
        <v>23</v>
      </c>
      <c r="F121">
        <v>7</v>
      </c>
      <c r="G121">
        <v>7</v>
      </c>
    </row>
    <row r="122" spans="1:7" x14ac:dyDescent="0.25">
      <c r="A122" t="s">
        <v>576</v>
      </c>
      <c r="B122" t="s">
        <v>121</v>
      </c>
      <c r="D122" t="s">
        <v>977</v>
      </c>
      <c r="E122">
        <v>23</v>
      </c>
      <c r="F122">
        <v>7</v>
      </c>
      <c r="G122">
        <v>7</v>
      </c>
    </row>
    <row r="123" spans="1:7" x14ac:dyDescent="0.25">
      <c r="A123" t="s">
        <v>705</v>
      </c>
      <c r="B123" t="s">
        <v>2067</v>
      </c>
      <c r="D123" t="s">
        <v>977</v>
      </c>
      <c r="E123">
        <v>23</v>
      </c>
      <c r="F123">
        <v>7</v>
      </c>
      <c r="G123">
        <v>7</v>
      </c>
    </row>
    <row r="124" spans="1:7" x14ac:dyDescent="0.25">
      <c r="A124" t="s">
        <v>577</v>
      </c>
      <c r="B124" t="s">
        <v>122</v>
      </c>
      <c r="D124" t="s">
        <v>977</v>
      </c>
      <c r="E124">
        <v>23</v>
      </c>
      <c r="F124">
        <v>7</v>
      </c>
      <c r="G124">
        <v>7</v>
      </c>
    </row>
    <row r="125" spans="1:7" x14ac:dyDescent="0.25">
      <c r="A125" t="s">
        <v>578</v>
      </c>
      <c r="B125" t="s">
        <v>123</v>
      </c>
      <c r="D125" t="s">
        <v>981</v>
      </c>
      <c r="E125">
        <v>23</v>
      </c>
      <c r="F125">
        <v>7</v>
      </c>
      <c r="G125">
        <v>7</v>
      </c>
    </row>
    <row r="126" spans="1:7" x14ac:dyDescent="0.25">
      <c r="A126" t="s">
        <v>579</v>
      </c>
      <c r="B126" t="s">
        <v>124</v>
      </c>
      <c r="C126">
        <v>3</v>
      </c>
      <c r="D126" t="s">
        <v>980</v>
      </c>
      <c r="E126">
        <v>23</v>
      </c>
      <c r="F126">
        <v>7</v>
      </c>
      <c r="G126">
        <v>7</v>
      </c>
    </row>
    <row r="127" spans="1:7" x14ac:dyDescent="0.25">
      <c r="A127" t="s">
        <v>580</v>
      </c>
      <c r="B127" t="s">
        <v>125</v>
      </c>
      <c r="D127" t="s">
        <v>978</v>
      </c>
      <c r="E127">
        <v>23</v>
      </c>
      <c r="F127">
        <v>7</v>
      </c>
      <c r="G127">
        <v>7</v>
      </c>
    </row>
    <row r="128" spans="1:7" x14ac:dyDescent="0.25">
      <c r="A128" t="s">
        <v>581</v>
      </c>
      <c r="B128" t="s">
        <v>126</v>
      </c>
      <c r="C128">
        <v>3</v>
      </c>
      <c r="D128" t="s">
        <v>978</v>
      </c>
      <c r="E128">
        <v>23</v>
      </c>
      <c r="F128">
        <v>7</v>
      </c>
      <c r="G128">
        <v>7</v>
      </c>
    </row>
    <row r="129" spans="1:7" x14ac:dyDescent="0.25">
      <c r="A129" t="s">
        <v>663</v>
      </c>
      <c r="B129" t="s">
        <v>210</v>
      </c>
      <c r="D129" t="s">
        <v>977</v>
      </c>
      <c r="E129">
        <v>23</v>
      </c>
      <c r="F129">
        <v>7</v>
      </c>
      <c r="G129">
        <v>7</v>
      </c>
    </row>
    <row r="130" spans="1:7" x14ac:dyDescent="0.25">
      <c r="A130" t="s">
        <v>664</v>
      </c>
      <c r="B130" t="s">
        <v>211</v>
      </c>
      <c r="D130" t="s">
        <v>977</v>
      </c>
      <c r="E130">
        <v>23</v>
      </c>
      <c r="F130">
        <v>7</v>
      </c>
      <c r="G130">
        <v>7</v>
      </c>
    </row>
    <row r="131" spans="1:7" x14ac:dyDescent="0.25">
      <c r="A131" t="s">
        <v>958</v>
      </c>
      <c r="B131" t="s">
        <v>957</v>
      </c>
      <c r="D131" t="s">
        <v>977</v>
      </c>
      <c r="E131">
        <v>23</v>
      </c>
      <c r="F131">
        <v>7</v>
      </c>
      <c r="G131">
        <v>7</v>
      </c>
    </row>
    <row r="132" spans="1:7" x14ac:dyDescent="0.25">
      <c r="A132" t="s">
        <v>582</v>
      </c>
      <c r="B132" t="s">
        <v>127</v>
      </c>
      <c r="D132" t="s">
        <v>979</v>
      </c>
      <c r="E132">
        <v>23</v>
      </c>
      <c r="F132">
        <v>7</v>
      </c>
      <c r="G132">
        <v>7</v>
      </c>
    </row>
    <row r="133" spans="1:7" x14ac:dyDescent="0.25">
      <c r="A133" t="s">
        <v>583</v>
      </c>
      <c r="B133" t="s">
        <v>128</v>
      </c>
      <c r="D133" t="s">
        <v>978</v>
      </c>
      <c r="E133">
        <v>23</v>
      </c>
      <c r="F133">
        <v>7</v>
      </c>
      <c r="G133">
        <v>7</v>
      </c>
    </row>
    <row r="134" spans="1:7" x14ac:dyDescent="0.25">
      <c r="A134" t="s">
        <v>584</v>
      </c>
      <c r="B134" t="s">
        <v>129</v>
      </c>
      <c r="D134" t="s">
        <v>977</v>
      </c>
      <c r="E134">
        <v>23</v>
      </c>
      <c r="F134">
        <v>7</v>
      </c>
      <c r="G134">
        <v>7</v>
      </c>
    </row>
    <row r="135" spans="1:7" x14ac:dyDescent="0.25">
      <c r="A135" t="s">
        <v>585</v>
      </c>
      <c r="B135" t="s">
        <v>130</v>
      </c>
      <c r="D135" t="s">
        <v>981</v>
      </c>
      <c r="E135">
        <v>23</v>
      </c>
      <c r="F135">
        <v>7</v>
      </c>
      <c r="G135">
        <v>7</v>
      </c>
    </row>
    <row r="136" spans="1:7" x14ac:dyDescent="0.25">
      <c r="A136" t="s">
        <v>587</v>
      </c>
      <c r="B136" t="s">
        <v>132</v>
      </c>
      <c r="D136" t="s">
        <v>978</v>
      </c>
      <c r="E136">
        <v>23</v>
      </c>
      <c r="F136">
        <v>7</v>
      </c>
      <c r="G136">
        <v>7</v>
      </c>
    </row>
    <row r="137" spans="1:7" x14ac:dyDescent="0.25">
      <c r="A137" t="s">
        <v>586</v>
      </c>
      <c r="B137" t="s">
        <v>131</v>
      </c>
      <c r="D137" t="s">
        <v>981</v>
      </c>
      <c r="E137">
        <v>23</v>
      </c>
      <c r="F137">
        <v>7</v>
      </c>
      <c r="G137">
        <v>7</v>
      </c>
    </row>
    <row r="138" spans="1:7" x14ac:dyDescent="0.25">
      <c r="A138" t="s">
        <v>588</v>
      </c>
      <c r="B138" t="s">
        <v>133</v>
      </c>
      <c r="D138" t="s">
        <v>977</v>
      </c>
      <c r="E138">
        <v>23</v>
      </c>
      <c r="F138">
        <v>7</v>
      </c>
      <c r="G138">
        <v>7</v>
      </c>
    </row>
    <row r="139" spans="1:7" x14ac:dyDescent="0.25">
      <c r="A139" t="s">
        <v>589</v>
      </c>
      <c r="B139" t="s">
        <v>134</v>
      </c>
      <c r="D139" t="s">
        <v>979</v>
      </c>
      <c r="E139">
        <v>23</v>
      </c>
      <c r="F139">
        <v>7</v>
      </c>
      <c r="G139">
        <v>7</v>
      </c>
    </row>
    <row r="140" spans="1:7" x14ac:dyDescent="0.25">
      <c r="A140" t="s">
        <v>590</v>
      </c>
      <c r="B140" t="s">
        <v>135</v>
      </c>
      <c r="D140" t="s">
        <v>981</v>
      </c>
      <c r="E140">
        <v>23</v>
      </c>
      <c r="F140">
        <v>7</v>
      </c>
      <c r="G140">
        <v>7</v>
      </c>
    </row>
    <row r="141" spans="1:7" x14ac:dyDescent="0.25">
      <c r="A141" t="s">
        <v>591</v>
      </c>
      <c r="B141" t="s">
        <v>136</v>
      </c>
      <c r="D141" t="s">
        <v>978</v>
      </c>
      <c r="E141">
        <v>23</v>
      </c>
      <c r="F141">
        <v>7</v>
      </c>
      <c r="G141">
        <v>7</v>
      </c>
    </row>
    <row r="142" spans="1:7" x14ac:dyDescent="0.25">
      <c r="A142" t="s">
        <v>592</v>
      </c>
      <c r="B142" t="s">
        <v>2068</v>
      </c>
      <c r="D142" t="s">
        <v>978</v>
      </c>
      <c r="E142">
        <v>23</v>
      </c>
      <c r="F142">
        <v>7</v>
      </c>
      <c r="G142">
        <v>7</v>
      </c>
    </row>
    <row r="143" spans="1:7" x14ac:dyDescent="0.25">
      <c r="A143" t="s">
        <v>706</v>
      </c>
      <c r="B143" t="s">
        <v>2069</v>
      </c>
      <c r="D143" t="s">
        <v>981</v>
      </c>
      <c r="E143">
        <v>23</v>
      </c>
      <c r="F143">
        <v>7</v>
      </c>
      <c r="G143">
        <v>7</v>
      </c>
    </row>
    <row r="144" spans="1:7" x14ac:dyDescent="0.25">
      <c r="A144" t="s">
        <v>593</v>
      </c>
      <c r="B144" t="s">
        <v>138</v>
      </c>
      <c r="C144">
        <v>3</v>
      </c>
      <c r="D144" t="s">
        <v>977</v>
      </c>
      <c r="E144">
        <v>23</v>
      </c>
      <c r="F144">
        <v>7</v>
      </c>
      <c r="G144">
        <v>7</v>
      </c>
    </row>
    <row r="145" spans="1:7" x14ac:dyDescent="0.25">
      <c r="A145" t="s">
        <v>595</v>
      </c>
      <c r="B145" t="s">
        <v>140</v>
      </c>
      <c r="D145" t="s">
        <v>977</v>
      </c>
      <c r="E145">
        <v>23</v>
      </c>
      <c r="F145">
        <v>7</v>
      </c>
      <c r="G145">
        <v>7</v>
      </c>
    </row>
    <row r="146" spans="1:7" x14ac:dyDescent="0.25">
      <c r="A146" t="s">
        <v>594</v>
      </c>
      <c r="B146" t="s">
        <v>139</v>
      </c>
      <c r="D146" t="s">
        <v>981</v>
      </c>
      <c r="E146">
        <v>23</v>
      </c>
      <c r="F146">
        <v>7</v>
      </c>
      <c r="G146">
        <v>7</v>
      </c>
    </row>
    <row r="147" spans="1:7" x14ac:dyDescent="0.25">
      <c r="A147" t="s">
        <v>596</v>
      </c>
      <c r="B147" t="s">
        <v>2070</v>
      </c>
      <c r="D147" t="s">
        <v>978</v>
      </c>
      <c r="E147">
        <v>23</v>
      </c>
      <c r="F147">
        <v>7</v>
      </c>
      <c r="G147">
        <v>7</v>
      </c>
    </row>
    <row r="148" spans="1:7" x14ac:dyDescent="0.25">
      <c r="A148" t="s">
        <v>692</v>
      </c>
      <c r="B148" t="s">
        <v>240</v>
      </c>
      <c r="D148" t="s">
        <v>977</v>
      </c>
      <c r="E148">
        <v>23</v>
      </c>
      <c r="F148">
        <v>7</v>
      </c>
      <c r="G148">
        <v>7</v>
      </c>
    </row>
    <row r="149" spans="1:7" x14ac:dyDescent="0.25">
      <c r="A149" t="s">
        <v>597</v>
      </c>
      <c r="B149" t="s">
        <v>142</v>
      </c>
      <c r="C149">
        <v>2</v>
      </c>
      <c r="D149" t="s">
        <v>980</v>
      </c>
      <c r="E149">
        <v>23</v>
      </c>
      <c r="F149">
        <v>7</v>
      </c>
      <c r="G149">
        <v>7</v>
      </c>
    </row>
    <row r="150" spans="1:7" x14ac:dyDescent="0.25">
      <c r="A150" t="s">
        <v>598</v>
      </c>
      <c r="B150" t="s">
        <v>143</v>
      </c>
      <c r="D150" t="s">
        <v>980</v>
      </c>
      <c r="E150">
        <v>23</v>
      </c>
      <c r="F150">
        <v>7</v>
      </c>
      <c r="G150">
        <v>7</v>
      </c>
    </row>
    <row r="151" spans="1:7" x14ac:dyDescent="0.25">
      <c r="A151" t="s">
        <v>693</v>
      </c>
      <c r="B151" t="s">
        <v>2071</v>
      </c>
      <c r="D151" t="s">
        <v>981</v>
      </c>
      <c r="E151">
        <v>23</v>
      </c>
      <c r="F151">
        <v>7</v>
      </c>
      <c r="G151">
        <v>7</v>
      </c>
    </row>
    <row r="152" spans="1:7" x14ac:dyDescent="0.25">
      <c r="A152" t="s">
        <v>694</v>
      </c>
      <c r="B152" t="s">
        <v>242</v>
      </c>
      <c r="D152" t="s">
        <v>978</v>
      </c>
      <c r="E152">
        <v>23</v>
      </c>
      <c r="F152">
        <v>7</v>
      </c>
      <c r="G152">
        <v>7</v>
      </c>
    </row>
    <row r="153" spans="1:7" x14ac:dyDescent="0.25">
      <c r="A153" t="s">
        <v>599</v>
      </c>
      <c r="B153" t="s">
        <v>144</v>
      </c>
      <c r="D153" t="s">
        <v>980</v>
      </c>
      <c r="E153">
        <v>23</v>
      </c>
      <c r="F153">
        <v>7</v>
      </c>
      <c r="G153">
        <v>7</v>
      </c>
    </row>
    <row r="154" spans="1:7" x14ac:dyDescent="0.25">
      <c r="A154" t="s">
        <v>600</v>
      </c>
      <c r="B154" t="s">
        <v>145</v>
      </c>
      <c r="D154" t="s">
        <v>978</v>
      </c>
      <c r="E154">
        <v>23</v>
      </c>
      <c r="F154">
        <v>7</v>
      </c>
      <c r="G154">
        <v>7</v>
      </c>
    </row>
    <row r="155" spans="1:7" x14ac:dyDescent="0.25">
      <c r="A155" t="s">
        <v>601</v>
      </c>
      <c r="B155" t="s">
        <v>2072</v>
      </c>
      <c r="D155" t="s">
        <v>978</v>
      </c>
      <c r="E155">
        <v>23</v>
      </c>
      <c r="F155">
        <v>7</v>
      </c>
      <c r="G155">
        <v>7</v>
      </c>
    </row>
    <row r="156" spans="1:7" x14ac:dyDescent="0.25">
      <c r="A156" t="s">
        <v>602</v>
      </c>
      <c r="B156" t="s">
        <v>2073</v>
      </c>
      <c r="D156" t="s">
        <v>978</v>
      </c>
      <c r="E156">
        <v>23</v>
      </c>
      <c r="F156">
        <v>7</v>
      </c>
      <c r="G156">
        <v>7</v>
      </c>
    </row>
    <row r="157" spans="1:7" x14ac:dyDescent="0.25">
      <c r="A157" t="s">
        <v>603</v>
      </c>
      <c r="B157" t="s">
        <v>148</v>
      </c>
      <c r="D157" t="s">
        <v>978</v>
      </c>
      <c r="E157">
        <v>23</v>
      </c>
      <c r="F157">
        <v>7</v>
      </c>
      <c r="G157">
        <v>7</v>
      </c>
    </row>
    <row r="158" spans="1:7" x14ac:dyDescent="0.25">
      <c r="A158" t="s">
        <v>2074</v>
      </c>
      <c r="B158" t="s">
        <v>149</v>
      </c>
      <c r="D158" t="s">
        <v>981</v>
      </c>
      <c r="E158">
        <v>23</v>
      </c>
      <c r="F158">
        <v>7</v>
      </c>
      <c r="G158">
        <v>7</v>
      </c>
    </row>
    <row r="159" spans="1:7" x14ac:dyDescent="0.25">
      <c r="A159" t="s">
        <v>695</v>
      </c>
      <c r="B159" t="s">
        <v>2075</v>
      </c>
      <c r="C159">
        <v>2</v>
      </c>
      <c r="D159" t="s">
        <v>977</v>
      </c>
      <c r="E159">
        <v>23</v>
      </c>
      <c r="F159">
        <v>7</v>
      </c>
      <c r="G159">
        <v>7</v>
      </c>
    </row>
    <row r="160" spans="1:7" x14ac:dyDescent="0.25">
      <c r="A160" t="s">
        <v>604</v>
      </c>
      <c r="B160" t="s">
        <v>150</v>
      </c>
      <c r="C160">
        <v>2</v>
      </c>
      <c r="D160" t="s">
        <v>981</v>
      </c>
      <c r="E160">
        <v>23</v>
      </c>
      <c r="F160">
        <v>7</v>
      </c>
      <c r="G160">
        <v>7</v>
      </c>
    </row>
    <row r="161" spans="1:7" x14ac:dyDescent="0.25">
      <c r="A161" t="s">
        <v>605</v>
      </c>
      <c r="B161" t="s">
        <v>151</v>
      </c>
      <c r="D161" t="s">
        <v>981</v>
      </c>
      <c r="E161">
        <v>23</v>
      </c>
      <c r="F161">
        <v>7</v>
      </c>
      <c r="G161">
        <v>7</v>
      </c>
    </row>
    <row r="162" spans="1:7" x14ac:dyDescent="0.25">
      <c r="A162" t="s">
        <v>665</v>
      </c>
      <c r="B162" t="s">
        <v>213</v>
      </c>
      <c r="C162">
        <v>2</v>
      </c>
      <c r="D162" t="s">
        <v>981</v>
      </c>
      <c r="E162">
        <v>23</v>
      </c>
      <c r="F162">
        <v>7</v>
      </c>
      <c r="G162">
        <v>7</v>
      </c>
    </row>
    <row r="163" spans="1:7" x14ac:dyDescent="0.25">
      <c r="A163" t="s">
        <v>606</v>
      </c>
      <c r="B163" t="s">
        <v>152</v>
      </c>
      <c r="C163">
        <v>3</v>
      </c>
      <c r="D163" t="s">
        <v>977</v>
      </c>
      <c r="E163">
        <v>23</v>
      </c>
      <c r="F163">
        <v>7</v>
      </c>
      <c r="G163">
        <v>7</v>
      </c>
    </row>
    <row r="164" spans="1:7" x14ac:dyDescent="0.25">
      <c r="A164" t="s">
        <v>607</v>
      </c>
      <c r="B164" t="s">
        <v>13</v>
      </c>
      <c r="D164" t="s">
        <v>981</v>
      </c>
      <c r="E164">
        <v>23</v>
      </c>
      <c r="F164">
        <v>7</v>
      </c>
      <c r="G164">
        <v>7</v>
      </c>
    </row>
    <row r="165" spans="1:7" x14ac:dyDescent="0.25">
      <c r="A165" t="s">
        <v>666</v>
      </c>
      <c r="B165" t="s">
        <v>2076</v>
      </c>
      <c r="D165" t="s">
        <v>979</v>
      </c>
      <c r="E165">
        <v>23</v>
      </c>
      <c r="F165">
        <v>7</v>
      </c>
      <c r="G165">
        <v>7</v>
      </c>
    </row>
    <row r="166" spans="1:7" x14ac:dyDescent="0.25">
      <c r="A166" t="s">
        <v>667</v>
      </c>
      <c r="B166" t="s">
        <v>2077</v>
      </c>
      <c r="D166" t="s">
        <v>978</v>
      </c>
      <c r="E166">
        <v>23</v>
      </c>
      <c r="F166">
        <v>7</v>
      </c>
      <c r="G166">
        <v>7</v>
      </c>
    </row>
    <row r="167" spans="1:7" x14ac:dyDescent="0.25">
      <c r="A167" t="s">
        <v>668</v>
      </c>
      <c r="B167" t="s">
        <v>2078</v>
      </c>
      <c r="D167" t="s">
        <v>979</v>
      </c>
      <c r="E167">
        <v>23</v>
      </c>
      <c r="F167">
        <v>7</v>
      </c>
      <c r="G167">
        <v>7</v>
      </c>
    </row>
    <row r="168" spans="1:7" x14ac:dyDescent="0.25">
      <c r="A168" t="s">
        <v>608</v>
      </c>
      <c r="B168" t="s">
        <v>153</v>
      </c>
      <c r="C168">
        <v>3</v>
      </c>
      <c r="D168" t="s">
        <v>977</v>
      </c>
      <c r="E168">
        <v>23</v>
      </c>
      <c r="F168">
        <v>7</v>
      </c>
      <c r="G168">
        <v>7</v>
      </c>
    </row>
    <row r="169" spans="1:7" x14ac:dyDescent="0.25">
      <c r="A169" t="s">
        <v>609</v>
      </c>
      <c r="B169" t="s">
        <v>154</v>
      </c>
      <c r="C169">
        <v>5</v>
      </c>
      <c r="D169" t="s">
        <v>978</v>
      </c>
      <c r="E169">
        <v>23</v>
      </c>
      <c r="F169">
        <v>7</v>
      </c>
      <c r="G169">
        <v>7</v>
      </c>
    </row>
    <row r="170" spans="1:7" x14ac:dyDescent="0.25">
      <c r="A170" t="s">
        <v>610</v>
      </c>
      <c r="B170" t="s">
        <v>155</v>
      </c>
      <c r="D170" t="s">
        <v>977</v>
      </c>
      <c r="E170">
        <v>23</v>
      </c>
      <c r="F170">
        <v>7</v>
      </c>
      <c r="G170">
        <v>7</v>
      </c>
    </row>
    <row r="171" spans="1:7" x14ac:dyDescent="0.25">
      <c r="A171" t="s">
        <v>611</v>
      </c>
      <c r="B171" t="s">
        <v>156</v>
      </c>
      <c r="C171">
        <v>3</v>
      </c>
      <c r="D171" t="s">
        <v>980</v>
      </c>
      <c r="E171">
        <v>23</v>
      </c>
      <c r="F171">
        <v>7</v>
      </c>
      <c r="G171">
        <v>7</v>
      </c>
    </row>
    <row r="172" spans="1:7" x14ac:dyDescent="0.25">
      <c r="A172" t="s">
        <v>669</v>
      </c>
      <c r="B172" t="s">
        <v>2079</v>
      </c>
      <c r="D172" t="s">
        <v>979</v>
      </c>
      <c r="E172">
        <v>23</v>
      </c>
      <c r="F172">
        <v>7</v>
      </c>
      <c r="G172">
        <v>7</v>
      </c>
    </row>
    <row r="173" spans="1:7" x14ac:dyDescent="0.25">
      <c r="A173" t="s">
        <v>670</v>
      </c>
      <c r="B173" t="s">
        <v>2080</v>
      </c>
      <c r="D173" t="s">
        <v>979</v>
      </c>
      <c r="E173">
        <v>23</v>
      </c>
      <c r="F173">
        <v>7</v>
      </c>
      <c r="G173">
        <v>7</v>
      </c>
    </row>
    <row r="174" spans="1:7" x14ac:dyDescent="0.25">
      <c r="A174" t="s">
        <v>671</v>
      </c>
      <c r="B174" t="s">
        <v>219</v>
      </c>
      <c r="C174">
        <v>3</v>
      </c>
      <c r="D174" t="s">
        <v>978</v>
      </c>
      <c r="E174">
        <v>23</v>
      </c>
      <c r="F174">
        <v>7</v>
      </c>
      <c r="G174">
        <v>7</v>
      </c>
    </row>
    <row r="175" spans="1:7" x14ac:dyDescent="0.25">
      <c r="A175" t="s">
        <v>612</v>
      </c>
      <c r="B175" t="s">
        <v>157</v>
      </c>
      <c r="C175">
        <v>3</v>
      </c>
      <c r="D175" t="s">
        <v>980</v>
      </c>
      <c r="E175">
        <v>23</v>
      </c>
      <c r="F175">
        <v>7</v>
      </c>
      <c r="G175">
        <v>7</v>
      </c>
    </row>
    <row r="176" spans="1:7" x14ac:dyDescent="0.25">
      <c r="A176" t="s">
        <v>613</v>
      </c>
      <c r="B176" t="s">
        <v>2081</v>
      </c>
      <c r="D176" t="s">
        <v>978</v>
      </c>
      <c r="E176">
        <v>23</v>
      </c>
      <c r="F176">
        <v>7</v>
      </c>
      <c r="G176">
        <v>7</v>
      </c>
    </row>
    <row r="177" spans="1:7" x14ac:dyDescent="0.25">
      <c r="A177" t="s">
        <v>614</v>
      </c>
      <c r="B177" t="s">
        <v>2082</v>
      </c>
      <c r="C177">
        <v>3</v>
      </c>
      <c r="D177" t="s">
        <v>978</v>
      </c>
      <c r="E177">
        <v>23</v>
      </c>
      <c r="F177">
        <v>7</v>
      </c>
      <c r="G177">
        <v>7</v>
      </c>
    </row>
    <row r="178" spans="1:7" x14ac:dyDescent="0.25">
      <c r="A178" t="s">
        <v>615</v>
      </c>
      <c r="B178" t="s">
        <v>160</v>
      </c>
      <c r="D178" t="s">
        <v>978</v>
      </c>
      <c r="E178">
        <v>23</v>
      </c>
      <c r="F178">
        <v>7</v>
      </c>
      <c r="G178">
        <v>7</v>
      </c>
    </row>
    <row r="179" spans="1:7" x14ac:dyDescent="0.25">
      <c r="A179" t="s">
        <v>616</v>
      </c>
      <c r="B179" t="s">
        <v>2083</v>
      </c>
      <c r="D179" t="s">
        <v>977</v>
      </c>
      <c r="E179">
        <v>23</v>
      </c>
      <c r="F179">
        <v>7</v>
      </c>
      <c r="G179">
        <v>7</v>
      </c>
    </row>
    <row r="180" spans="1:7" x14ac:dyDescent="0.25">
      <c r="A180" t="s">
        <v>617</v>
      </c>
      <c r="B180" t="s">
        <v>162</v>
      </c>
      <c r="D180" t="s">
        <v>981</v>
      </c>
      <c r="E180">
        <v>23</v>
      </c>
      <c r="F180">
        <v>7</v>
      </c>
      <c r="G180">
        <v>7</v>
      </c>
    </row>
    <row r="181" spans="1:7" x14ac:dyDescent="0.25">
      <c r="A181" t="s">
        <v>618</v>
      </c>
      <c r="B181" t="s">
        <v>163</v>
      </c>
      <c r="D181" t="s">
        <v>978</v>
      </c>
      <c r="E181">
        <v>23</v>
      </c>
      <c r="F181">
        <v>7</v>
      </c>
      <c r="G181">
        <v>7</v>
      </c>
    </row>
    <row r="182" spans="1:7" x14ac:dyDescent="0.25">
      <c r="A182" t="s">
        <v>619</v>
      </c>
      <c r="B182" t="s">
        <v>164</v>
      </c>
      <c r="C182">
        <v>3</v>
      </c>
      <c r="D182" t="s">
        <v>978</v>
      </c>
      <c r="E182">
        <v>23</v>
      </c>
      <c r="F182">
        <v>7</v>
      </c>
      <c r="G182">
        <v>7</v>
      </c>
    </row>
    <row r="183" spans="1:7" x14ac:dyDescent="0.25">
      <c r="A183" t="s">
        <v>672</v>
      </c>
      <c r="B183" t="s">
        <v>220</v>
      </c>
      <c r="D183" t="s">
        <v>977</v>
      </c>
      <c r="E183">
        <v>23</v>
      </c>
      <c r="F183">
        <v>7</v>
      </c>
      <c r="G183">
        <v>7</v>
      </c>
    </row>
    <row r="184" spans="1:7" x14ac:dyDescent="0.25">
      <c r="A184" t="s">
        <v>673</v>
      </c>
      <c r="B184" t="s">
        <v>221</v>
      </c>
      <c r="D184" t="s">
        <v>977</v>
      </c>
      <c r="E184">
        <v>23</v>
      </c>
      <c r="F184">
        <v>7</v>
      </c>
      <c r="G184">
        <v>7</v>
      </c>
    </row>
    <row r="185" spans="1:7" x14ac:dyDescent="0.25">
      <c r="A185" t="s">
        <v>674</v>
      </c>
      <c r="B185" t="s">
        <v>2084</v>
      </c>
      <c r="D185" t="s">
        <v>977</v>
      </c>
      <c r="E185">
        <v>23</v>
      </c>
      <c r="F185">
        <v>7</v>
      </c>
      <c r="G185">
        <v>7</v>
      </c>
    </row>
    <row r="186" spans="1:7" x14ac:dyDescent="0.25">
      <c r="A186" t="s">
        <v>675</v>
      </c>
      <c r="B186" t="s">
        <v>2085</v>
      </c>
      <c r="D186" t="s">
        <v>977</v>
      </c>
      <c r="E186">
        <v>23</v>
      </c>
      <c r="F186">
        <v>7</v>
      </c>
      <c r="G186">
        <v>7</v>
      </c>
    </row>
    <row r="187" spans="1:7" x14ac:dyDescent="0.25">
      <c r="A187" t="s">
        <v>2086</v>
      </c>
      <c r="B187" t="s">
        <v>2087</v>
      </c>
      <c r="D187" t="s">
        <v>979</v>
      </c>
      <c r="E187">
        <v>23</v>
      </c>
      <c r="F187">
        <v>7</v>
      </c>
      <c r="G187">
        <v>7</v>
      </c>
    </row>
    <row r="188" spans="1:7" x14ac:dyDescent="0.25">
      <c r="A188" t="s">
        <v>2088</v>
      </c>
      <c r="B188" t="s">
        <v>2089</v>
      </c>
      <c r="D188" t="s">
        <v>979</v>
      </c>
      <c r="E188">
        <v>23</v>
      </c>
      <c r="F188">
        <v>7</v>
      </c>
      <c r="G188">
        <v>7</v>
      </c>
    </row>
    <row r="189" spans="1:7" x14ac:dyDescent="0.25">
      <c r="A189" t="s">
        <v>620</v>
      </c>
      <c r="B189" t="s">
        <v>165</v>
      </c>
      <c r="D189" t="s">
        <v>978</v>
      </c>
      <c r="E189">
        <v>23</v>
      </c>
      <c r="F189">
        <v>7</v>
      </c>
      <c r="G189">
        <v>7</v>
      </c>
    </row>
    <row r="190" spans="1:7" x14ac:dyDescent="0.25">
      <c r="A190" t="s">
        <v>681</v>
      </c>
      <c r="B190" t="s">
        <v>229</v>
      </c>
      <c r="D190" t="s">
        <v>978</v>
      </c>
      <c r="E190">
        <v>23</v>
      </c>
      <c r="F190">
        <v>7</v>
      </c>
      <c r="G190">
        <v>7</v>
      </c>
    </row>
    <row r="191" spans="1:7" x14ac:dyDescent="0.25">
      <c r="A191" t="s">
        <v>682</v>
      </c>
      <c r="B191" t="s">
        <v>230</v>
      </c>
      <c r="D191" t="s">
        <v>978</v>
      </c>
      <c r="E191">
        <v>23</v>
      </c>
      <c r="F191">
        <v>7</v>
      </c>
      <c r="G191">
        <v>7</v>
      </c>
    </row>
    <row r="192" spans="1:7" x14ac:dyDescent="0.25">
      <c r="A192" t="s">
        <v>678</v>
      </c>
      <c r="B192" t="s">
        <v>226</v>
      </c>
      <c r="D192" t="s">
        <v>981</v>
      </c>
      <c r="E192">
        <v>23</v>
      </c>
      <c r="F192">
        <v>7</v>
      </c>
      <c r="G192">
        <v>7</v>
      </c>
    </row>
    <row r="193" spans="1:7" x14ac:dyDescent="0.25">
      <c r="A193" t="s">
        <v>679</v>
      </c>
      <c r="B193" t="s">
        <v>227</v>
      </c>
      <c r="D193" t="s">
        <v>981</v>
      </c>
      <c r="E193">
        <v>23</v>
      </c>
      <c r="F193">
        <v>17</v>
      </c>
      <c r="G193">
        <v>7</v>
      </c>
    </row>
    <row r="194" spans="1:7" x14ac:dyDescent="0.25">
      <c r="A194" t="s">
        <v>677</v>
      </c>
      <c r="B194" t="s">
        <v>2090</v>
      </c>
      <c r="D194" t="s">
        <v>977</v>
      </c>
      <c r="E194">
        <v>23</v>
      </c>
      <c r="F194">
        <v>7</v>
      </c>
      <c r="G194">
        <v>7</v>
      </c>
    </row>
    <row r="195" spans="1:7" x14ac:dyDescent="0.25">
      <c r="A195" t="s">
        <v>680</v>
      </c>
      <c r="B195" t="s">
        <v>228</v>
      </c>
      <c r="D195" t="s">
        <v>978</v>
      </c>
      <c r="E195">
        <v>23</v>
      </c>
      <c r="F195">
        <v>7</v>
      </c>
      <c r="G195">
        <v>7</v>
      </c>
    </row>
    <row r="196" spans="1:7" x14ac:dyDescent="0.25">
      <c r="A196" t="s">
        <v>621</v>
      </c>
      <c r="B196" t="s">
        <v>166</v>
      </c>
      <c r="D196" t="s">
        <v>978</v>
      </c>
      <c r="E196">
        <v>23</v>
      </c>
      <c r="F196">
        <v>7</v>
      </c>
      <c r="G196">
        <v>7</v>
      </c>
    </row>
    <row r="197" spans="1:7" x14ac:dyDescent="0.25">
      <c r="A197" t="s">
        <v>622</v>
      </c>
      <c r="B197" t="s">
        <v>2091</v>
      </c>
      <c r="D197" t="s">
        <v>974</v>
      </c>
      <c r="E197">
        <v>23</v>
      </c>
      <c r="F197">
        <v>7</v>
      </c>
      <c r="G197">
        <v>7</v>
      </c>
    </row>
    <row r="198" spans="1:7" x14ac:dyDescent="0.25">
      <c r="A198" t="s">
        <v>623</v>
      </c>
      <c r="B198" t="s">
        <v>2092</v>
      </c>
      <c r="D198" t="s">
        <v>2093</v>
      </c>
      <c r="E198">
        <v>23</v>
      </c>
      <c r="F198">
        <v>7</v>
      </c>
      <c r="G198">
        <v>7</v>
      </c>
    </row>
    <row r="199" spans="1:7" x14ac:dyDescent="0.25">
      <c r="A199" t="s">
        <v>696</v>
      </c>
      <c r="B199" t="s">
        <v>2094</v>
      </c>
      <c r="C199">
        <v>2</v>
      </c>
      <c r="D199" t="s">
        <v>981</v>
      </c>
      <c r="E199">
        <v>23</v>
      </c>
      <c r="F199">
        <v>7</v>
      </c>
      <c r="G199">
        <v>7</v>
      </c>
    </row>
    <row r="200" spans="1:7" x14ac:dyDescent="0.25">
      <c r="A200" t="s">
        <v>624</v>
      </c>
      <c r="B200" t="s">
        <v>2035</v>
      </c>
      <c r="C200">
        <v>3</v>
      </c>
      <c r="D200" t="s">
        <v>981</v>
      </c>
      <c r="E200">
        <v>23</v>
      </c>
      <c r="F200">
        <v>7</v>
      </c>
      <c r="G200">
        <v>7</v>
      </c>
    </row>
    <row r="201" spans="1:7" x14ac:dyDescent="0.25">
      <c r="A201" t="s">
        <v>697</v>
      </c>
      <c r="B201" t="s">
        <v>2036</v>
      </c>
      <c r="C201">
        <v>4</v>
      </c>
      <c r="D201" t="s">
        <v>978</v>
      </c>
      <c r="E201">
        <v>23</v>
      </c>
      <c r="F201">
        <v>7</v>
      </c>
      <c r="G201">
        <v>7</v>
      </c>
    </row>
    <row r="202" spans="1:7" x14ac:dyDescent="0.25">
      <c r="A202" t="s">
        <v>625</v>
      </c>
      <c r="B202" t="s">
        <v>170</v>
      </c>
      <c r="D202" t="s">
        <v>977</v>
      </c>
      <c r="E202">
        <v>23</v>
      </c>
      <c r="F202">
        <v>7</v>
      </c>
      <c r="G202">
        <v>7</v>
      </c>
    </row>
    <row r="203" spans="1:7" x14ac:dyDescent="0.25">
      <c r="A203" t="s">
        <v>626</v>
      </c>
      <c r="B203" t="s">
        <v>171</v>
      </c>
      <c r="D203" t="s">
        <v>977</v>
      </c>
      <c r="E203">
        <v>23</v>
      </c>
      <c r="F203">
        <v>7</v>
      </c>
      <c r="G203">
        <v>7</v>
      </c>
    </row>
    <row r="204" spans="1:7" x14ac:dyDescent="0.25">
      <c r="A204" t="s">
        <v>627</v>
      </c>
      <c r="B204" t="s">
        <v>172</v>
      </c>
      <c r="C204">
        <v>1</v>
      </c>
      <c r="D204" t="s">
        <v>977</v>
      </c>
      <c r="E204">
        <v>23</v>
      </c>
      <c r="F204">
        <v>7</v>
      </c>
      <c r="G204">
        <v>7</v>
      </c>
    </row>
    <row r="205" spans="1:7" x14ac:dyDescent="0.25">
      <c r="A205" t="s">
        <v>628</v>
      </c>
      <c r="B205" t="s">
        <v>2095</v>
      </c>
      <c r="D205" t="s">
        <v>977</v>
      </c>
      <c r="E205">
        <v>23</v>
      </c>
      <c r="F205">
        <v>7</v>
      </c>
      <c r="G205">
        <v>7</v>
      </c>
    </row>
    <row r="206" spans="1:7" x14ac:dyDescent="0.25">
      <c r="A206" t="s">
        <v>629</v>
      </c>
      <c r="B206" t="s">
        <v>174</v>
      </c>
      <c r="D206" t="s">
        <v>979</v>
      </c>
      <c r="E206">
        <v>23</v>
      </c>
      <c r="F206">
        <v>7</v>
      </c>
      <c r="G206">
        <v>7</v>
      </c>
    </row>
    <row r="207" spans="1:7" x14ac:dyDescent="0.25">
      <c r="A207" t="s">
        <v>698</v>
      </c>
      <c r="B207" t="s">
        <v>2096</v>
      </c>
      <c r="D207" t="s">
        <v>981</v>
      </c>
      <c r="E207">
        <v>23</v>
      </c>
      <c r="F207">
        <v>7</v>
      </c>
      <c r="G207">
        <v>7</v>
      </c>
    </row>
    <row r="208" spans="1:7" x14ac:dyDescent="0.25">
      <c r="A208" t="s">
        <v>630</v>
      </c>
      <c r="B208" t="s">
        <v>175</v>
      </c>
      <c r="C208">
        <v>2</v>
      </c>
      <c r="D208" t="s">
        <v>978</v>
      </c>
      <c r="E208">
        <v>23</v>
      </c>
      <c r="F208">
        <v>7</v>
      </c>
      <c r="G208">
        <v>7</v>
      </c>
    </row>
    <row r="209" spans="1:7" x14ac:dyDescent="0.25">
      <c r="A209" t="s">
        <v>631</v>
      </c>
      <c r="B209" t="s">
        <v>176</v>
      </c>
      <c r="D209" t="s">
        <v>981</v>
      </c>
      <c r="E209">
        <v>23</v>
      </c>
      <c r="F209">
        <v>7</v>
      </c>
      <c r="G209">
        <v>7</v>
      </c>
    </row>
    <row r="210" spans="1:7" x14ac:dyDescent="0.25">
      <c r="A210" t="s">
        <v>632</v>
      </c>
      <c r="B210" t="s">
        <v>177</v>
      </c>
      <c r="D210" t="s">
        <v>981</v>
      </c>
      <c r="E210">
        <v>23</v>
      </c>
      <c r="F210">
        <v>7</v>
      </c>
      <c r="G210">
        <v>7</v>
      </c>
    </row>
    <row r="211" spans="1:7" x14ac:dyDescent="0.25">
      <c r="A211" t="s">
        <v>707</v>
      </c>
      <c r="B211" t="s">
        <v>2097</v>
      </c>
      <c r="C211">
        <v>3</v>
      </c>
      <c r="D211" t="s">
        <v>978</v>
      </c>
      <c r="E211">
        <v>23</v>
      </c>
      <c r="F211">
        <v>7</v>
      </c>
      <c r="G211">
        <v>7</v>
      </c>
    </row>
    <row r="212" spans="1:7" x14ac:dyDescent="0.25">
      <c r="A212" t="s">
        <v>633</v>
      </c>
      <c r="B212" t="s">
        <v>178</v>
      </c>
      <c r="D212" t="s">
        <v>981</v>
      </c>
      <c r="E212">
        <v>23</v>
      </c>
      <c r="F212">
        <v>7</v>
      </c>
      <c r="G212">
        <v>7</v>
      </c>
    </row>
    <row r="213" spans="1:7" x14ac:dyDescent="0.25">
      <c r="A213" t="s">
        <v>683</v>
      </c>
      <c r="B213" t="s">
        <v>231</v>
      </c>
      <c r="D213" t="s">
        <v>981</v>
      </c>
      <c r="E213">
        <v>23</v>
      </c>
      <c r="F213">
        <v>7</v>
      </c>
      <c r="G213">
        <v>7</v>
      </c>
    </row>
    <row r="214" spans="1:7" x14ac:dyDescent="0.25">
      <c r="A214" t="s">
        <v>634</v>
      </c>
      <c r="B214" t="s">
        <v>179</v>
      </c>
      <c r="D214" t="s">
        <v>981</v>
      </c>
      <c r="E214">
        <v>23</v>
      </c>
      <c r="F214">
        <v>7</v>
      </c>
      <c r="G214">
        <v>7</v>
      </c>
    </row>
    <row r="215" spans="1:7" x14ac:dyDescent="0.25">
      <c r="A215" t="s">
        <v>635</v>
      </c>
      <c r="B215" t="s">
        <v>180</v>
      </c>
      <c r="D215" t="s">
        <v>978</v>
      </c>
      <c r="E215">
        <v>23</v>
      </c>
      <c r="F215">
        <v>7</v>
      </c>
      <c r="G215">
        <v>7</v>
      </c>
    </row>
    <row r="216" spans="1:7" x14ac:dyDescent="0.25">
      <c r="A216" t="s">
        <v>699</v>
      </c>
      <c r="B216" t="s">
        <v>247</v>
      </c>
      <c r="D216" t="s">
        <v>2098</v>
      </c>
      <c r="E216">
        <v>23</v>
      </c>
      <c r="F216">
        <v>7</v>
      </c>
      <c r="G216">
        <v>7</v>
      </c>
    </row>
    <row r="217" spans="1:7" x14ac:dyDescent="0.25">
      <c r="A217" t="s">
        <v>2099</v>
      </c>
      <c r="B217" t="s">
        <v>2100</v>
      </c>
      <c r="D217" t="s">
        <v>981</v>
      </c>
      <c r="E217">
        <v>23</v>
      </c>
      <c r="F217">
        <v>7</v>
      </c>
      <c r="G217">
        <v>7</v>
      </c>
    </row>
    <row r="218" spans="1:7" x14ac:dyDescent="0.25">
      <c r="A218" t="s">
        <v>637</v>
      </c>
      <c r="B218" t="s">
        <v>182</v>
      </c>
      <c r="D218" t="s">
        <v>980</v>
      </c>
      <c r="E218">
        <v>23</v>
      </c>
      <c r="F218">
        <v>7</v>
      </c>
      <c r="G218">
        <v>7</v>
      </c>
    </row>
    <row r="219" spans="1:7" x14ac:dyDescent="0.25">
      <c r="A219" t="s">
        <v>638</v>
      </c>
      <c r="B219" t="s">
        <v>2101</v>
      </c>
      <c r="D219" t="s">
        <v>979</v>
      </c>
      <c r="E219">
        <v>23</v>
      </c>
      <c r="F219">
        <v>7</v>
      </c>
      <c r="G219">
        <v>7</v>
      </c>
    </row>
    <row r="220" spans="1:7" x14ac:dyDescent="0.25">
      <c r="A220" t="s">
        <v>639</v>
      </c>
      <c r="B220" t="s">
        <v>184</v>
      </c>
      <c r="D220" t="s">
        <v>978</v>
      </c>
      <c r="E220">
        <v>23</v>
      </c>
      <c r="F220">
        <v>7</v>
      </c>
      <c r="G220">
        <v>7</v>
      </c>
    </row>
    <row r="221" spans="1:7" x14ac:dyDescent="0.25">
      <c r="A221" t="s">
        <v>640</v>
      </c>
      <c r="B221" t="s">
        <v>185</v>
      </c>
      <c r="D221" t="s">
        <v>977</v>
      </c>
      <c r="E221">
        <v>23</v>
      </c>
      <c r="F221">
        <v>7</v>
      </c>
      <c r="G221">
        <v>7</v>
      </c>
    </row>
    <row r="222" spans="1:7" x14ac:dyDescent="0.25">
      <c r="A222" t="s">
        <v>641</v>
      </c>
      <c r="B222" t="s">
        <v>186</v>
      </c>
      <c r="D222" t="s">
        <v>977</v>
      </c>
      <c r="E222">
        <v>23</v>
      </c>
      <c r="F222">
        <v>7</v>
      </c>
      <c r="G222">
        <v>7</v>
      </c>
    </row>
    <row r="223" spans="1:7" x14ac:dyDescent="0.25">
      <c r="A223" t="s">
        <v>642</v>
      </c>
      <c r="B223" t="s">
        <v>187</v>
      </c>
      <c r="D223" t="s">
        <v>977</v>
      </c>
      <c r="E223">
        <v>23</v>
      </c>
      <c r="F223">
        <v>7</v>
      </c>
      <c r="G223">
        <v>7</v>
      </c>
    </row>
    <row r="224" spans="1:7" x14ac:dyDescent="0.25">
      <c r="A224" t="s">
        <v>643</v>
      </c>
      <c r="B224" t="s">
        <v>188</v>
      </c>
      <c r="D224" t="s">
        <v>980</v>
      </c>
      <c r="E224">
        <v>23</v>
      </c>
      <c r="F224">
        <v>7</v>
      </c>
      <c r="G224">
        <v>7</v>
      </c>
    </row>
    <row r="225" spans="1:7" x14ac:dyDescent="0.25">
      <c r="A225" t="s">
        <v>644</v>
      </c>
      <c r="B225" t="s">
        <v>189</v>
      </c>
      <c r="D225" t="s">
        <v>977</v>
      </c>
      <c r="E225">
        <v>23</v>
      </c>
      <c r="F225">
        <v>7</v>
      </c>
      <c r="G225">
        <v>7</v>
      </c>
    </row>
    <row r="226" spans="1:7" x14ac:dyDescent="0.25">
      <c r="A226" t="s">
        <v>645</v>
      </c>
      <c r="B226" t="s">
        <v>190</v>
      </c>
      <c r="D226" t="s">
        <v>978</v>
      </c>
      <c r="E226">
        <v>23</v>
      </c>
      <c r="F226">
        <v>7</v>
      </c>
      <c r="G226">
        <v>7</v>
      </c>
    </row>
    <row r="227" spans="1:7" x14ac:dyDescent="0.25">
      <c r="A227" t="s">
        <v>646</v>
      </c>
      <c r="B227" t="s">
        <v>191</v>
      </c>
      <c r="C227">
        <v>2</v>
      </c>
      <c r="D227" t="s">
        <v>977</v>
      </c>
      <c r="E227">
        <v>23</v>
      </c>
      <c r="F227">
        <v>7</v>
      </c>
      <c r="G227">
        <v>7</v>
      </c>
    </row>
    <row r="228" spans="1:7" x14ac:dyDescent="0.25">
      <c r="A228" t="s">
        <v>647</v>
      </c>
      <c r="B228" t="s">
        <v>192</v>
      </c>
      <c r="C228">
        <v>3</v>
      </c>
      <c r="D228" t="s">
        <v>974</v>
      </c>
      <c r="E228">
        <v>23</v>
      </c>
      <c r="F228">
        <v>7</v>
      </c>
      <c r="G228">
        <v>7</v>
      </c>
    </row>
    <row r="229" spans="1:7" x14ac:dyDescent="0.25">
      <c r="A229" t="s">
        <v>648</v>
      </c>
      <c r="B229" t="s">
        <v>193</v>
      </c>
      <c r="D229" t="s">
        <v>978</v>
      </c>
      <c r="E229">
        <v>23</v>
      </c>
      <c r="F229">
        <v>7</v>
      </c>
      <c r="G229">
        <v>7</v>
      </c>
    </row>
    <row r="230" spans="1:7" x14ac:dyDescent="0.25">
      <c r="A230" t="s">
        <v>649</v>
      </c>
      <c r="B230" t="s">
        <v>194</v>
      </c>
      <c r="D230" t="s">
        <v>978</v>
      </c>
      <c r="E230">
        <v>23</v>
      </c>
      <c r="F230">
        <v>7</v>
      </c>
      <c r="G230">
        <v>7</v>
      </c>
    </row>
    <row r="231" spans="1:7" x14ac:dyDescent="0.25">
      <c r="A231" t="s">
        <v>650</v>
      </c>
      <c r="B231" t="s">
        <v>195</v>
      </c>
      <c r="C231">
        <v>3</v>
      </c>
      <c r="D231" t="s">
        <v>977</v>
      </c>
      <c r="E231">
        <v>23</v>
      </c>
      <c r="F231">
        <v>7</v>
      </c>
      <c r="G231">
        <v>7</v>
      </c>
    </row>
    <row r="232" spans="1:7" x14ac:dyDescent="0.25">
      <c r="A232" t="s">
        <v>651</v>
      </c>
      <c r="B232" t="s">
        <v>196</v>
      </c>
      <c r="D232" t="s">
        <v>978</v>
      </c>
      <c r="E232">
        <v>23</v>
      </c>
      <c r="F232">
        <v>7</v>
      </c>
      <c r="G232">
        <v>7</v>
      </c>
    </row>
    <row r="233" spans="1:7" x14ac:dyDescent="0.25">
      <c r="A233" t="s">
        <v>652</v>
      </c>
      <c r="B233" t="s">
        <v>197</v>
      </c>
      <c r="D233" t="s">
        <v>981</v>
      </c>
      <c r="E233">
        <v>23</v>
      </c>
      <c r="F233">
        <v>7</v>
      </c>
      <c r="G233">
        <v>7</v>
      </c>
    </row>
    <row r="234" spans="1:7" x14ac:dyDescent="0.25">
      <c r="A234" t="s">
        <v>653</v>
      </c>
      <c r="B234" t="s">
        <v>198</v>
      </c>
      <c r="D234" t="s">
        <v>977</v>
      </c>
      <c r="E234">
        <v>23</v>
      </c>
      <c r="F234">
        <v>7</v>
      </c>
      <c r="G234">
        <v>7</v>
      </c>
    </row>
    <row r="235" spans="1:7" x14ac:dyDescent="0.25">
      <c r="A235" t="s">
        <v>654</v>
      </c>
      <c r="B235" t="s">
        <v>199</v>
      </c>
      <c r="D235" t="s">
        <v>978</v>
      </c>
      <c r="E235">
        <v>23</v>
      </c>
      <c r="F235">
        <v>7</v>
      </c>
      <c r="G235">
        <v>7</v>
      </c>
    </row>
    <row r="236" spans="1:7" x14ac:dyDescent="0.25">
      <c r="A236" s="50" t="s">
        <v>2026</v>
      </c>
      <c r="B236" t="s">
        <v>2105</v>
      </c>
      <c r="C236">
        <v>3</v>
      </c>
      <c r="D236" t="s">
        <v>977</v>
      </c>
      <c r="E236">
        <v>7</v>
      </c>
      <c r="F236">
        <v>1</v>
      </c>
      <c r="G236">
        <v>1</v>
      </c>
    </row>
    <row r="237" spans="1:7" x14ac:dyDescent="0.25">
      <c r="A237" s="50" t="s">
        <v>2022</v>
      </c>
      <c r="B237" t="s">
        <v>2021</v>
      </c>
      <c r="D237" t="s">
        <v>979</v>
      </c>
      <c r="E237">
        <v>7</v>
      </c>
      <c r="F237">
        <v>1</v>
      </c>
      <c r="G237">
        <v>1</v>
      </c>
    </row>
    <row r="238" spans="1:7" x14ac:dyDescent="0.25">
      <c r="A238" s="51" t="s">
        <v>2020</v>
      </c>
      <c r="B238" t="s">
        <v>2104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code</vt:lpstr>
      <vt:lpstr>Indice</vt:lpstr>
      <vt:lpstr>Aleluya</vt:lpstr>
      <vt:lpstr>Sheet1</vt:lpstr>
      <vt:lpstr>Index</vt:lpstr>
      <vt:lpstr>Aleluya-NoOrganizado</vt:lpstr>
      <vt:lpstr>Find</vt:lpstr>
      <vt:lpstr>Index Web</vt:lpstr>
      <vt:lpstr>cantosJS</vt:lpstr>
      <vt:lpstr>Acorde y Cejilla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2026-03-18T22:24:59Z</dcterms:modified>
</cp:coreProperties>
</file>