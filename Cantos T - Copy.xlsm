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05C3169A-CAF6-449B-A7B9-0DFC417339C6}" xr6:coauthVersionLast="47" xr6:coauthVersionMax="47" xr10:uidLastSave="{00000000-0000-0000-0000-000000000000}"/>
  <bookViews>
    <workbookView xWindow="-110" yWindow="-110" windowWidth="25820" windowHeight="15500" tabRatio="693" firstSheet="3" activeTab="8"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TÚ QUE ERES FIEL" sheetId="78" r:id="rId8"/>
    <sheet name="Campana sobre campanas" sheetId="79" r:id="rId9"/>
    <sheet name="MARIA, MADRE MÍA" sheetId="7" r:id="rId10"/>
    <sheet name="boceto" sheetId="36" state="hidden" r:id="rId11"/>
  </sheets>
  <functionGroups builtInGroupCount="19"/>
  <externalReferences>
    <externalReference r:id="rId1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8" i="79" l="1"/>
  <c r="AI48" i="79"/>
  <c r="AH48" i="79" s="1"/>
  <c r="AD48" i="79"/>
  <c r="AB48" i="79"/>
  <c r="AA48" i="79"/>
  <c r="W48" i="79"/>
  <c r="U48" i="79"/>
  <c r="T48" i="79" s="1"/>
  <c r="P48" i="79"/>
  <c r="N48" i="79"/>
  <c r="M48" i="79"/>
  <c r="AK47" i="79"/>
  <c r="AI47" i="79"/>
  <c r="AH47" i="79"/>
  <c r="AD47" i="79"/>
  <c r="AB47" i="79"/>
  <c r="W47" i="79"/>
  <c r="U47" i="79"/>
  <c r="T47" i="79" s="1"/>
  <c r="P47" i="79"/>
  <c r="N47" i="79"/>
  <c r="M47" i="79"/>
  <c r="AK46" i="79"/>
  <c r="AI46" i="79"/>
  <c r="AH46" i="79" s="1"/>
  <c r="AD46" i="79"/>
  <c r="AB46" i="79"/>
  <c r="AA46" i="79"/>
  <c r="W46" i="79"/>
  <c r="U46" i="79"/>
  <c r="Z46" i="79" s="1"/>
  <c r="T46" i="79"/>
  <c r="P46" i="79"/>
  <c r="N46" i="79"/>
  <c r="M46" i="79"/>
  <c r="AK45" i="79"/>
  <c r="AI45" i="79"/>
  <c r="AH45" i="79" s="1"/>
  <c r="AD45" i="79"/>
  <c r="AB45" i="79"/>
  <c r="AA45" i="79"/>
  <c r="W45" i="79"/>
  <c r="U45" i="79"/>
  <c r="T45" i="79" s="1"/>
  <c r="P45" i="79"/>
  <c r="N45" i="79"/>
  <c r="M45" i="79"/>
  <c r="AK59" i="79"/>
  <c r="AI59" i="79"/>
  <c r="AH59" i="79"/>
  <c r="AD59" i="79"/>
  <c r="AB59" i="79"/>
  <c r="AA59" i="79"/>
  <c r="W59" i="79"/>
  <c r="U59" i="79"/>
  <c r="T59" i="79"/>
  <c r="P59" i="79"/>
  <c r="N59" i="79"/>
  <c r="M59" i="79"/>
  <c r="AK58" i="79"/>
  <c r="AI58" i="79"/>
  <c r="AD58" i="79"/>
  <c r="AB58" i="79"/>
  <c r="W58" i="79"/>
  <c r="U58" i="79"/>
  <c r="P58" i="79"/>
  <c r="N58" i="79"/>
  <c r="AK57" i="79"/>
  <c r="AI57" i="79"/>
  <c r="AH57" i="79"/>
  <c r="AD57" i="79"/>
  <c r="AB57" i="79"/>
  <c r="AA57" i="79"/>
  <c r="W57" i="79"/>
  <c r="U57" i="79"/>
  <c r="T57" i="79"/>
  <c r="P57" i="79"/>
  <c r="N57" i="79"/>
  <c r="AK56" i="79"/>
  <c r="AI56" i="79"/>
  <c r="AD56" i="79"/>
  <c r="AB56" i="79"/>
  <c r="W56" i="79"/>
  <c r="U56" i="79"/>
  <c r="P56" i="79"/>
  <c r="N56" i="79"/>
  <c r="AK69" i="79"/>
  <c r="AI69" i="79"/>
  <c r="AH69" i="79"/>
  <c r="AD69" i="79"/>
  <c r="AB69" i="79"/>
  <c r="AA69" i="79"/>
  <c r="W69" i="79"/>
  <c r="U69" i="79"/>
  <c r="T69" i="79"/>
  <c r="P69" i="79"/>
  <c r="N69" i="79"/>
  <c r="M69" i="79"/>
  <c r="AK68" i="79"/>
  <c r="AI68" i="79"/>
  <c r="AD68" i="79"/>
  <c r="AB68" i="79"/>
  <c r="W68" i="79"/>
  <c r="U68" i="79"/>
  <c r="V68" i="79" s="1"/>
  <c r="P68" i="79"/>
  <c r="N68" i="79"/>
  <c r="M68" i="79" s="1"/>
  <c r="AK67" i="79"/>
  <c r="AI67" i="79"/>
  <c r="AH67" i="79"/>
  <c r="AD67" i="79"/>
  <c r="AB67" i="79"/>
  <c r="W67" i="79"/>
  <c r="U67" i="79"/>
  <c r="P67" i="79"/>
  <c r="N67" i="79"/>
  <c r="M67" i="79" s="1"/>
  <c r="AK66" i="79"/>
  <c r="AI66" i="79"/>
  <c r="AH66" i="79" s="1"/>
  <c r="AD66" i="79"/>
  <c r="AB66" i="79"/>
  <c r="AA66" i="79" s="1"/>
  <c r="W66" i="79"/>
  <c r="U66" i="79"/>
  <c r="T66" i="79" s="1"/>
  <c r="P66" i="79"/>
  <c r="N66" i="79"/>
  <c r="M66" i="79" s="1"/>
  <c r="R65" i="79"/>
  <c r="R60" i="79"/>
  <c r="R55" i="79"/>
  <c r="R49" i="79"/>
  <c r="R44" i="79"/>
  <c r="R39" i="79"/>
  <c r="R35" i="79"/>
  <c r="R82" i="79"/>
  <c r="AK81" i="79"/>
  <c r="AI81" i="79"/>
  <c r="AH81" i="79" s="1"/>
  <c r="AD81" i="79"/>
  <c r="AB81" i="79"/>
  <c r="AA81" i="79" s="1"/>
  <c r="W81" i="79"/>
  <c r="U81" i="79"/>
  <c r="T81" i="79" s="1"/>
  <c r="P81" i="79"/>
  <c r="N81" i="79"/>
  <c r="M81" i="79" s="1"/>
  <c r="AK80" i="79"/>
  <c r="AI80" i="79"/>
  <c r="AH80" i="79" s="1"/>
  <c r="AD80" i="79"/>
  <c r="AB80" i="79"/>
  <c r="AA80" i="79" s="1"/>
  <c r="W80" i="79"/>
  <c r="U80" i="79"/>
  <c r="T80" i="79" s="1"/>
  <c r="P80" i="79"/>
  <c r="N80" i="79"/>
  <c r="M80" i="79" s="1"/>
  <c r="AK79" i="79"/>
  <c r="AI79" i="79"/>
  <c r="AH79" i="79" s="1"/>
  <c r="AD79" i="79"/>
  <c r="AB79" i="79"/>
  <c r="AA79" i="79" s="1"/>
  <c r="W79" i="79"/>
  <c r="U79" i="79"/>
  <c r="T79" i="79" s="1"/>
  <c r="P79" i="79"/>
  <c r="N79" i="79"/>
  <c r="M79" i="79" s="1"/>
  <c r="AK78" i="79"/>
  <c r="AI78" i="79"/>
  <c r="AH78" i="79" s="1"/>
  <c r="AD78" i="79"/>
  <c r="AB78" i="79"/>
  <c r="AA78" i="79" s="1"/>
  <c r="W78" i="79"/>
  <c r="U78" i="79"/>
  <c r="P78" i="79"/>
  <c r="N78" i="79"/>
  <c r="M78" i="79" s="1"/>
  <c r="AK77" i="79"/>
  <c r="AI77" i="79"/>
  <c r="AD77" i="79"/>
  <c r="AB77" i="79"/>
  <c r="W77" i="79"/>
  <c r="U77" i="79"/>
  <c r="P77" i="79"/>
  <c r="N77" i="79"/>
  <c r="AK76" i="79"/>
  <c r="AI76" i="79"/>
  <c r="AD76" i="79"/>
  <c r="AB76" i="79"/>
  <c r="W76" i="79"/>
  <c r="U76" i="79"/>
  <c r="P76" i="79"/>
  <c r="N76" i="79"/>
  <c r="M76" i="79" s="1"/>
  <c r="AK75" i="79"/>
  <c r="AI75" i="79"/>
  <c r="AH75" i="79" s="1"/>
  <c r="AD75" i="79"/>
  <c r="AB75" i="79"/>
  <c r="AA75" i="79" s="1"/>
  <c r="W75" i="79"/>
  <c r="U75" i="79"/>
  <c r="T75" i="79"/>
  <c r="P75" i="79"/>
  <c r="N75" i="79"/>
  <c r="M75" i="79" s="1"/>
  <c r="AK74" i="79"/>
  <c r="AI74" i="79"/>
  <c r="AH74" i="79" s="1"/>
  <c r="AD74" i="79"/>
  <c r="AB74" i="79"/>
  <c r="AA74" i="79" s="1"/>
  <c r="W74" i="79"/>
  <c r="U74" i="79"/>
  <c r="P74" i="79"/>
  <c r="N74" i="79"/>
  <c r="R73" i="79"/>
  <c r="AK64" i="79"/>
  <c r="AI64" i="79"/>
  <c r="AD64" i="79"/>
  <c r="AB64" i="79"/>
  <c r="W64" i="79"/>
  <c r="U64" i="79"/>
  <c r="P64" i="79"/>
  <c r="N64" i="79"/>
  <c r="M64" i="79" s="1"/>
  <c r="AK63" i="79"/>
  <c r="AI63" i="79"/>
  <c r="AH63" i="79" s="1"/>
  <c r="AD63" i="79"/>
  <c r="AB63" i="79"/>
  <c r="W63" i="79"/>
  <c r="U63" i="79"/>
  <c r="P63" i="79"/>
  <c r="N63" i="79"/>
  <c r="AK62" i="79"/>
  <c r="AI62" i="79"/>
  <c r="AD62" i="79"/>
  <c r="AB62" i="79"/>
  <c r="AA62" i="79" s="1"/>
  <c r="W62" i="79"/>
  <c r="U62" i="79"/>
  <c r="P62" i="79"/>
  <c r="N62" i="79"/>
  <c r="M62" i="79" s="1"/>
  <c r="AK61" i="79"/>
  <c r="AI61" i="79"/>
  <c r="AD61" i="79"/>
  <c r="AB61" i="79"/>
  <c r="W61" i="79"/>
  <c r="U61" i="79"/>
  <c r="P61" i="79"/>
  <c r="N61" i="79"/>
  <c r="AK54" i="79"/>
  <c r="AI54" i="79"/>
  <c r="AD54" i="79"/>
  <c r="AB54" i="79"/>
  <c r="AA54" i="79" s="1"/>
  <c r="W54" i="79"/>
  <c r="U54" i="79"/>
  <c r="P54" i="79"/>
  <c r="N54" i="79"/>
  <c r="AK53" i="79"/>
  <c r="AI53" i="79"/>
  <c r="AD53" i="79"/>
  <c r="AB53" i="79"/>
  <c r="AA53" i="79" s="1"/>
  <c r="W53" i="79"/>
  <c r="U53" i="79"/>
  <c r="P53" i="79"/>
  <c r="N53" i="79"/>
  <c r="M53" i="79" s="1"/>
  <c r="AK52" i="79"/>
  <c r="AI52" i="79"/>
  <c r="AD52" i="79"/>
  <c r="AB52" i="79"/>
  <c r="AE52" i="79" s="1"/>
  <c r="W52" i="79"/>
  <c r="U52" i="79"/>
  <c r="P52" i="79"/>
  <c r="N52" i="79"/>
  <c r="AK51" i="79"/>
  <c r="AI51" i="79"/>
  <c r="AD51" i="79"/>
  <c r="AB51" i="79"/>
  <c r="W51" i="79"/>
  <c r="U51" i="79"/>
  <c r="P51" i="79"/>
  <c r="N51" i="79"/>
  <c r="O51" i="79" s="1"/>
  <c r="R50" i="79"/>
  <c r="AK43" i="79"/>
  <c r="AI43" i="79"/>
  <c r="AH43" i="79" s="1"/>
  <c r="AD43" i="79"/>
  <c r="AB43" i="79"/>
  <c r="AA43" i="79" s="1"/>
  <c r="W43" i="79"/>
  <c r="U43" i="79"/>
  <c r="T43" i="79" s="1"/>
  <c r="P43" i="79"/>
  <c r="N43" i="79"/>
  <c r="M43" i="79" s="1"/>
  <c r="AK42" i="79"/>
  <c r="AI42" i="79"/>
  <c r="AH42" i="79" s="1"/>
  <c r="AD42" i="79"/>
  <c r="AB42" i="79"/>
  <c r="AA42" i="79" s="1"/>
  <c r="W42" i="79"/>
  <c r="U42" i="79"/>
  <c r="T42" i="79" s="1"/>
  <c r="P42" i="79"/>
  <c r="N42" i="79"/>
  <c r="M42" i="79" s="1"/>
  <c r="AK41" i="79"/>
  <c r="AI41" i="79"/>
  <c r="AH41" i="79" s="1"/>
  <c r="AD41" i="79"/>
  <c r="AB41" i="79"/>
  <c r="AA41" i="79" s="1"/>
  <c r="W41" i="79"/>
  <c r="U41" i="79"/>
  <c r="T41" i="79" s="1"/>
  <c r="P41" i="79"/>
  <c r="N41" i="79"/>
  <c r="M41" i="79" s="1"/>
  <c r="AK40" i="79"/>
  <c r="AI40" i="79"/>
  <c r="AH40" i="79" s="1"/>
  <c r="AD40" i="79"/>
  <c r="AB40" i="79"/>
  <c r="AA40" i="79" s="1"/>
  <c r="W40" i="79"/>
  <c r="U40" i="79"/>
  <c r="T40" i="79" s="1"/>
  <c r="P40" i="79"/>
  <c r="N40" i="79"/>
  <c r="M40" i="79" s="1"/>
  <c r="AK38" i="79"/>
  <c r="AI38" i="79"/>
  <c r="AH38" i="79" s="1"/>
  <c r="AD38" i="79"/>
  <c r="AB38" i="79"/>
  <c r="AA38" i="79" s="1"/>
  <c r="W38" i="79"/>
  <c r="U38" i="79"/>
  <c r="T38" i="79" s="1"/>
  <c r="P38" i="79"/>
  <c r="N38" i="79"/>
  <c r="M38" i="79" s="1"/>
  <c r="AK37" i="79"/>
  <c r="AI37" i="79"/>
  <c r="AH37" i="79" s="1"/>
  <c r="AD37" i="79"/>
  <c r="AB37" i="79"/>
  <c r="AA37" i="79" s="1"/>
  <c r="W37" i="79"/>
  <c r="U37" i="79"/>
  <c r="T37" i="79" s="1"/>
  <c r="P37" i="79"/>
  <c r="N37" i="79"/>
  <c r="M37" i="79" s="1"/>
  <c r="AK36" i="79"/>
  <c r="AI36" i="79"/>
  <c r="AH36" i="79" s="1"/>
  <c r="AD36" i="79"/>
  <c r="AB36" i="79"/>
  <c r="AA36" i="79" s="1"/>
  <c r="W36" i="79"/>
  <c r="U36" i="79"/>
  <c r="T36" i="79" s="1"/>
  <c r="P36" i="79"/>
  <c r="N36" i="79"/>
  <c r="M36" i="79" s="1"/>
  <c r="AK34" i="79"/>
  <c r="AI34" i="79"/>
  <c r="AH34" i="79" s="1"/>
  <c r="AD34" i="79"/>
  <c r="AB34" i="79"/>
  <c r="AA34" i="79" s="1"/>
  <c r="W34" i="79"/>
  <c r="U34" i="79"/>
  <c r="T34" i="79" s="1"/>
  <c r="P34" i="79"/>
  <c r="N34" i="79"/>
  <c r="M34" i="79" s="1"/>
  <c r="AK33" i="79"/>
  <c r="AI33" i="79"/>
  <c r="AH33" i="79" s="1"/>
  <c r="AD33" i="79"/>
  <c r="AB33" i="79"/>
  <c r="AA33" i="79" s="1"/>
  <c r="W33" i="79"/>
  <c r="U33" i="79"/>
  <c r="T33" i="79" s="1"/>
  <c r="P33" i="79"/>
  <c r="N33" i="79"/>
  <c r="M33" i="79" s="1"/>
  <c r="AK32" i="79"/>
  <c r="AI32" i="79"/>
  <c r="AH32" i="79" s="1"/>
  <c r="AD32" i="79"/>
  <c r="AB32" i="79"/>
  <c r="AA32" i="79" s="1"/>
  <c r="W32" i="79"/>
  <c r="U32" i="79"/>
  <c r="T32" i="79" s="1"/>
  <c r="P32" i="79"/>
  <c r="N32" i="79"/>
  <c r="M32" i="79" s="1"/>
  <c r="AK31" i="79"/>
  <c r="AI31" i="79"/>
  <c r="AH31" i="79" s="1"/>
  <c r="AD31" i="79"/>
  <c r="AB31" i="79"/>
  <c r="AA31" i="79" s="1"/>
  <c r="W31" i="79"/>
  <c r="U31" i="79"/>
  <c r="T31" i="79" s="1"/>
  <c r="P31" i="79"/>
  <c r="N31" i="79"/>
  <c r="M31" i="79" s="1"/>
  <c r="R30" i="79"/>
  <c r="L18" i="79"/>
  <c r="L17" i="79"/>
  <c r="L15" i="79"/>
  <c r="L14" i="79"/>
  <c r="L13" i="79"/>
  <c r="R76" i="78"/>
  <c r="AK75" i="78"/>
  <c r="AI75" i="78"/>
  <c r="AN75" i="78" s="1"/>
  <c r="AD75" i="78"/>
  <c r="AB75" i="78"/>
  <c r="AG75" i="78" s="1"/>
  <c r="W75" i="78"/>
  <c r="U75" i="78"/>
  <c r="Y75" i="78" s="1"/>
  <c r="R75" i="78"/>
  <c r="Q75" i="78"/>
  <c r="P75" i="78"/>
  <c r="N75" i="78"/>
  <c r="O75" i="78" s="1"/>
  <c r="AN74" i="78"/>
  <c r="AL74" i="78"/>
  <c r="AK74" i="78"/>
  <c r="AJ74" i="78"/>
  <c r="AI74" i="78"/>
  <c r="AM74" i="78" s="1"/>
  <c r="AH74" i="78"/>
  <c r="AD74" i="78"/>
  <c r="AB74" i="78"/>
  <c r="AC74" i="78" s="1"/>
  <c r="Z74" i="78"/>
  <c r="Y74" i="78"/>
  <c r="W74" i="78"/>
  <c r="U74" i="78"/>
  <c r="X74" i="78" s="1"/>
  <c r="R74" i="78"/>
  <c r="Q74" i="78"/>
  <c r="P74" i="78"/>
  <c r="N74" i="78"/>
  <c r="M74" i="78" s="1"/>
  <c r="AK73" i="78"/>
  <c r="AI73" i="78"/>
  <c r="AH73" i="78" s="1"/>
  <c r="AD73" i="78"/>
  <c r="AB73" i="78"/>
  <c r="AA73" i="78" s="1"/>
  <c r="W73" i="78"/>
  <c r="U73" i="78"/>
  <c r="Z73" i="78" s="1"/>
  <c r="T73" i="78"/>
  <c r="P73" i="78"/>
  <c r="N73" i="78"/>
  <c r="S73" i="78" s="1"/>
  <c r="AL72" i="78"/>
  <c r="AK72" i="78"/>
  <c r="AJ72" i="78"/>
  <c r="AI72" i="78"/>
  <c r="AN72" i="78" s="1"/>
  <c r="AH72" i="78"/>
  <c r="AG72" i="78"/>
  <c r="AD72" i="78"/>
  <c r="AB72" i="78"/>
  <c r="AF72" i="78" s="1"/>
  <c r="W72" i="78"/>
  <c r="U72" i="78"/>
  <c r="V72" i="78" s="1"/>
  <c r="T72" i="78"/>
  <c r="P72" i="78"/>
  <c r="N72" i="78"/>
  <c r="O72" i="78" s="1"/>
  <c r="R71" i="78"/>
  <c r="R66" i="78"/>
  <c r="AK65" i="78"/>
  <c r="AI65" i="78"/>
  <c r="AN65" i="78" s="1"/>
  <c r="AD65" i="78"/>
  <c r="AB65" i="78"/>
  <c r="AG65" i="78" s="1"/>
  <c r="AA65" i="78"/>
  <c r="W65" i="78"/>
  <c r="U65" i="78"/>
  <c r="Y65" i="78" s="1"/>
  <c r="P65" i="78"/>
  <c r="N65" i="78"/>
  <c r="O65" i="78" s="1"/>
  <c r="M65" i="78"/>
  <c r="AK64" i="78"/>
  <c r="AI64" i="78"/>
  <c r="AJ64" i="78" s="1"/>
  <c r="AD64" i="78"/>
  <c r="AB64" i="78"/>
  <c r="AC64" i="78" s="1"/>
  <c r="Z64" i="78"/>
  <c r="W64" i="78"/>
  <c r="U64" i="78"/>
  <c r="Y64" i="78" s="1"/>
  <c r="P64" i="78"/>
  <c r="N64" i="78"/>
  <c r="M64" i="78" s="1"/>
  <c r="AK63" i="78"/>
  <c r="AI63" i="78"/>
  <c r="AH63" i="78" s="1"/>
  <c r="AD63" i="78"/>
  <c r="AB63" i="78"/>
  <c r="AC63" i="78" s="1"/>
  <c r="W63" i="78"/>
  <c r="U63" i="78"/>
  <c r="Z63" i="78" s="1"/>
  <c r="P63" i="78"/>
  <c r="N63" i="78"/>
  <c r="S63" i="78" s="1"/>
  <c r="AK62" i="78"/>
  <c r="AI62" i="78"/>
  <c r="AN62" i="78" s="1"/>
  <c r="AH62" i="78"/>
  <c r="AD62" i="78"/>
  <c r="AB62" i="78"/>
  <c r="AF62" i="78" s="1"/>
  <c r="W62" i="78"/>
  <c r="U62" i="78"/>
  <c r="Y62" i="78" s="1"/>
  <c r="P62" i="78"/>
  <c r="N62" i="78"/>
  <c r="O62" i="78" s="1"/>
  <c r="R61" i="78"/>
  <c r="N67" i="78"/>
  <c r="M67" i="78" s="1"/>
  <c r="P67" i="78"/>
  <c r="U67" i="78"/>
  <c r="X67" i="78" s="1"/>
  <c r="W67" i="78"/>
  <c r="AB67" i="78"/>
  <c r="AF67" i="78" s="1"/>
  <c r="AC67" i="78"/>
  <c r="AD67" i="78"/>
  <c r="AI67" i="78"/>
  <c r="AM67" i="78" s="1"/>
  <c r="AJ67" i="78"/>
  <c r="AK67" i="78"/>
  <c r="N68" i="78"/>
  <c r="S68" i="78" s="1"/>
  <c r="O68" i="78"/>
  <c r="P68" i="78"/>
  <c r="U68" i="78"/>
  <c r="T68" i="78" s="1"/>
  <c r="W68" i="78"/>
  <c r="AB68" i="78"/>
  <c r="AE68" i="78" s="1"/>
  <c r="AD68" i="78"/>
  <c r="AI68" i="78"/>
  <c r="AJ68" i="78" s="1"/>
  <c r="AK68" i="78"/>
  <c r="N69" i="78"/>
  <c r="O69" i="78" s="1"/>
  <c r="P69" i="78"/>
  <c r="U69" i="78"/>
  <c r="V69" i="78" s="1"/>
  <c r="W69" i="78"/>
  <c r="AB69" i="78"/>
  <c r="AE69" i="78" s="1"/>
  <c r="AD69" i="78"/>
  <c r="AI69" i="78"/>
  <c r="AL69" i="78" s="1"/>
  <c r="AJ69" i="78"/>
  <c r="AK69" i="78"/>
  <c r="AK55" i="78"/>
  <c r="AI55" i="78"/>
  <c r="AN55" i="78" s="1"/>
  <c r="AD55" i="78"/>
  <c r="AB55" i="78"/>
  <c r="AG55" i="78" s="1"/>
  <c r="W55" i="78"/>
  <c r="U55" i="78"/>
  <c r="Y55" i="78" s="1"/>
  <c r="P55" i="78"/>
  <c r="N55" i="78"/>
  <c r="O55" i="78" s="1"/>
  <c r="AK54" i="78"/>
  <c r="AI54" i="78"/>
  <c r="AJ54" i="78" s="1"/>
  <c r="AD54" i="78"/>
  <c r="AB54" i="78"/>
  <c r="AC54" i="78" s="1"/>
  <c r="W54" i="78"/>
  <c r="U54" i="78"/>
  <c r="Z54" i="78" s="1"/>
  <c r="P54" i="78"/>
  <c r="N54" i="78"/>
  <c r="M54" i="78" s="1"/>
  <c r="AK53" i="78"/>
  <c r="AI53" i="78"/>
  <c r="AH53" i="78" s="1"/>
  <c r="AD53" i="78"/>
  <c r="AB53" i="78"/>
  <c r="AC53" i="78" s="1"/>
  <c r="W53" i="78"/>
  <c r="U53" i="78"/>
  <c r="V53" i="78" s="1"/>
  <c r="P53" i="78"/>
  <c r="N53" i="78"/>
  <c r="S53" i="78" s="1"/>
  <c r="AK52" i="78"/>
  <c r="AI52" i="78"/>
  <c r="AN52" i="78" s="1"/>
  <c r="AD52" i="78"/>
  <c r="AB52" i="78"/>
  <c r="AF52" i="78" s="1"/>
  <c r="X52" i="78"/>
  <c r="W52" i="78"/>
  <c r="V52" i="78"/>
  <c r="U52" i="78"/>
  <c r="Z52" i="78" s="1"/>
  <c r="P52" i="78"/>
  <c r="N52" i="78"/>
  <c r="O52" i="78" s="1"/>
  <c r="R51" i="78"/>
  <c r="R36" i="78"/>
  <c r="R46" i="78"/>
  <c r="AK45" i="78"/>
  <c r="AI45" i="78"/>
  <c r="AD45" i="78"/>
  <c r="AB45" i="78"/>
  <c r="AA45" i="78" s="1"/>
  <c r="W45" i="78"/>
  <c r="U45" i="78"/>
  <c r="Y45" i="78" s="1"/>
  <c r="P45" i="78"/>
  <c r="N45" i="78"/>
  <c r="O45" i="78" s="1"/>
  <c r="AK44" i="78"/>
  <c r="AI44" i="78"/>
  <c r="AH44" i="78" s="1"/>
  <c r="AD44" i="78"/>
  <c r="AB44" i="78"/>
  <c r="W44" i="78"/>
  <c r="U44" i="78"/>
  <c r="T44" i="78" s="1"/>
  <c r="P44" i="78"/>
  <c r="N44" i="78"/>
  <c r="R44" i="78" s="1"/>
  <c r="AK43" i="78"/>
  <c r="AI43" i="78"/>
  <c r="AM43" i="78" s="1"/>
  <c r="AD43" i="78"/>
  <c r="AB43" i="78"/>
  <c r="AE43" i="78" s="1"/>
  <c r="W43" i="78"/>
  <c r="U43" i="78"/>
  <c r="V43" i="78" s="1"/>
  <c r="P43" i="78"/>
  <c r="N43" i="78"/>
  <c r="O43" i="78" s="1"/>
  <c r="AK42" i="78"/>
  <c r="AI42" i="78"/>
  <c r="AJ42" i="78" s="1"/>
  <c r="AD42" i="78"/>
  <c r="AB42" i="78"/>
  <c r="AA42" i="78" s="1"/>
  <c r="W42" i="78"/>
  <c r="U42" i="78"/>
  <c r="T42" i="78" s="1"/>
  <c r="P42" i="78"/>
  <c r="N42" i="78"/>
  <c r="O42" i="78" s="1"/>
  <c r="R41" i="78"/>
  <c r="AK70" i="78"/>
  <c r="AI70" i="78"/>
  <c r="AH70" i="78" s="1"/>
  <c r="AD70" i="78"/>
  <c r="AB70" i="78"/>
  <c r="AF70" i="78" s="1"/>
  <c r="W70" i="78"/>
  <c r="U70" i="78"/>
  <c r="P70" i="78"/>
  <c r="N70" i="78"/>
  <c r="M70" i="78" s="1"/>
  <c r="AK60" i="78"/>
  <c r="AI60" i="78"/>
  <c r="AN60" i="78" s="1"/>
  <c r="AD60" i="78"/>
  <c r="AB60" i="78"/>
  <c r="AC60" i="78" s="1"/>
  <c r="W60" i="78"/>
  <c r="U60" i="78"/>
  <c r="Z60" i="78" s="1"/>
  <c r="P60" i="78"/>
  <c r="N60" i="78"/>
  <c r="Q60" i="78" s="1"/>
  <c r="AK59" i="78"/>
  <c r="AI59" i="78"/>
  <c r="AN59" i="78" s="1"/>
  <c r="AD59" i="78"/>
  <c r="AB59" i="78"/>
  <c r="AA59" i="78" s="1"/>
  <c r="W59" i="78"/>
  <c r="U59" i="78"/>
  <c r="T59" i="78" s="1"/>
  <c r="P59" i="78"/>
  <c r="N59" i="78"/>
  <c r="M59" i="78" s="1"/>
  <c r="AK58" i="78"/>
  <c r="AI58" i="78"/>
  <c r="AH58" i="78" s="1"/>
  <c r="AD58" i="78"/>
  <c r="AB58" i="78"/>
  <c r="AE58" i="78" s="1"/>
  <c r="W58" i="78"/>
  <c r="U58" i="78"/>
  <c r="T58" i="78" s="1"/>
  <c r="P58" i="78"/>
  <c r="N58" i="78"/>
  <c r="M58" i="78" s="1"/>
  <c r="AK57" i="78"/>
  <c r="AI57" i="78"/>
  <c r="AJ57" i="78" s="1"/>
  <c r="AD57" i="78"/>
  <c r="AB57" i="78"/>
  <c r="AG57" i="78" s="1"/>
  <c r="W57" i="78"/>
  <c r="U57" i="78"/>
  <c r="Z57" i="78" s="1"/>
  <c r="P57" i="78"/>
  <c r="N57" i="78"/>
  <c r="M57" i="78" s="1"/>
  <c r="R56" i="78"/>
  <c r="AK50" i="78"/>
  <c r="AI50" i="78"/>
  <c r="AJ50" i="78" s="1"/>
  <c r="AD50" i="78"/>
  <c r="AB50" i="78"/>
  <c r="AC50" i="78" s="1"/>
  <c r="W50" i="78"/>
  <c r="U50" i="78"/>
  <c r="Z50" i="78" s="1"/>
  <c r="P50" i="78"/>
  <c r="N50" i="78"/>
  <c r="Q50" i="78" s="1"/>
  <c r="AK49" i="78"/>
  <c r="AI49" i="78"/>
  <c r="AD49" i="78"/>
  <c r="AB49" i="78"/>
  <c r="AE49" i="78" s="1"/>
  <c r="W49" i="78"/>
  <c r="U49" i="78"/>
  <c r="V49" i="78" s="1"/>
  <c r="P49" i="78"/>
  <c r="N49" i="78"/>
  <c r="S49" i="78" s="1"/>
  <c r="AK48" i="78"/>
  <c r="AI48" i="78"/>
  <c r="AH48" i="78" s="1"/>
  <c r="AD48" i="78"/>
  <c r="AB48" i="78"/>
  <c r="AG48" i="78" s="1"/>
  <c r="W48" i="78"/>
  <c r="U48" i="78"/>
  <c r="V48" i="78" s="1"/>
  <c r="P48" i="78"/>
  <c r="N48" i="78"/>
  <c r="O48" i="78" s="1"/>
  <c r="AK47" i="78"/>
  <c r="AI47" i="78"/>
  <c r="AJ47" i="78" s="1"/>
  <c r="AD47" i="78"/>
  <c r="AB47" i="78"/>
  <c r="AG47" i="78" s="1"/>
  <c r="W47" i="78"/>
  <c r="U47" i="78"/>
  <c r="P47" i="78"/>
  <c r="N47" i="78"/>
  <c r="Q47" i="78" s="1"/>
  <c r="AK40" i="78"/>
  <c r="AI40" i="78"/>
  <c r="AL40" i="78" s="1"/>
  <c r="AD40" i="78"/>
  <c r="AB40" i="78"/>
  <c r="AA40" i="78" s="1"/>
  <c r="W40" i="78"/>
  <c r="U40" i="78"/>
  <c r="Y40" i="78" s="1"/>
  <c r="P40" i="78"/>
  <c r="N40" i="78"/>
  <c r="S40" i="78" s="1"/>
  <c r="AK39" i="78"/>
  <c r="AI39" i="78"/>
  <c r="AD39" i="78"/>
  <c r="AB39" i="78"/>
  <c r="AE39" i="78" s="1"/>
  <c r="W39" i="78"/>
  <c r="U39" i="78"/>
  <c r="Z39" i="78" s="1"/>
  <c r="P39" i="78"/>
  <c r="N39" i="78"/>
  <c r="S39" i="78" s="1"/>
  <c r="AK38" i="78"/>
  <c r="AI38" i="78"/>
  <c r="AH38" i="78" s="1"/>
  <c r="AD38" i="78"/>
  <c r="AB38" i="78"/>
  <c r="AE38" i="78" s="1"/>
  <c r="W38" i="78"/>
  <c r="U38" i="78"/>
  <c r="T38" i="78" s="1"/>
  <c r="P38" i="78"/>
  <c r="N38" i="78"/>
  <c r="O38" i="78" s="1"/>
  <c r="AK37" i="78"/>
  <c r="AI37" i="78"/>
  <c r="AJ37" i="78" s="1"/>
  <c r="AD37" i="78"/>
  <c r="AB37" i="78"/>
  <c r="AG37" i="78" s="1"/>
  <c r="W37" i="78"/>
  <c r="U37" i="78"/>
  <c r="X37" i="78" s="1"/>
  <c r="P37" i="78"/>
  <c r="N37" i="78"/>
  <c r="Q37" i="78" s="1"/>
  <c r="AK35" i="78"/>
  <c r="AI35" i="78"/>
  <c r="AL35" i="78" s="1"/>
  <c r="AD35" i="78"/>
  <c r="AB35" i="78"/>
  <c r="AC35" i="78" s="1"/>
  <c r="W35" i="78"/>
  <c r="U35" i="78"/>
  <c r="X35" i="78" s="1"/>
  <c r="P35" i="78"/>
  <c r="N35" i="78"/>
  <c r="M35" i="78" s="1"/>
  <c r="AK34" i="78"/>
  <c r="AI34" i="78"/>
  <c r="AH34" i="78" s="1"/>
  <c r="AD34" i="78"/>
  <c r="AB34" i="78"/>
  <c r="AE34" i="78" s="1"/>
  <c r="W34" i="78"/>
  <c r="U34" i="78"/>
  <c r="Z34" i="78" s="1"/>
  <c r="P34" i="78"/>
  <c r="N34" i="78"/>
  <c r="S34" i="78" s="1"/>
  <c r="AK33" i="78"/>
  <c r="AI33" i="78"/>
  <c r="AN33" i="78" s="1"/>
  <c r="AD33" i="78"/>
  <c r="AB33" i="78"/>
  <c r="AE33" i="78" s="1"/>
  <c r="W33" i="78"/>
  <c r="U33" i="78"/>
  <c r="X33" i="78" s="1"/>
  <c r="P33" i="78"/>
  <c r="N33" i="78"/>
  <c r="O33" i="78" s="1"/>
  <c r="AK31" i="78"/>
  <c r="AI31" i="78"/>
  <c r="AJ31" i="78" s="1"/>
  <c r="AD31" i="78"/>
  <c r="AB31" i="78"/>
  <c r="AF31" i="78" s="1"/>
  <c r="W31" i="78"/>
  <c r="U31" i="78"/>
  <c r="T31" i="78" s="1"/>
  <c r="P31" i="78"/>
  <c r="N31" i="78"/>
  <c r="O31" i="78" s="1"/>
  <c r="AK30" i="78"/>
  <c r="AI30" i="78"/>
  <c r="AH30" i="78" s="1"/>
  <c r="AD30" i="78"/>
  <c r="AB30" i="78"/>
  <c r="AG30" i="78" s="1"/>
  <c r="W30" i="78"/>
  <c r="U30" i="78"/>
  <c r="Y30" i="78" s="1"/>
  <c r="P30" i="78"/>
  <c r="N30" i="78"/>
  <c r="Q30" i="78" s="1"/>
  <c r="R32" i="78"/>
  <c r="L18" i="78"/>
  <c r="L17" i="78"/>
  <c r="L15" i="78"/>
  <c r="L14" i="78"/>
  <c r="L13" i="78"/>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78" a="1"/>
  <c r="AA47" i="79" l="1"/>
  <c r="AG47" i="79"/>
  <c r="AN48" i="79"/>
  <c r="AM48" i="79"/>
  <c r="AL48" i="79"/>
  <c r="AJ48" i="79"/>
  <c r="AG48" i="79"/>
  <c r="AF48" i="79"/>
  <c r="AE48" i="79"/>
  <c r="AC48" i="79"/>
  <c r="Z48" i="79"/>
  <c r="Y48" i="79"/>
  <c r="X48" i="79"/>
  <c r="V48" i="79"/>
  <c r="S48" i="79"/>
  <c r="R48" i="79"/>
  <c r="Q48" i="79"/>
  <c r="O48" i="79"/>
  <c r="L48" i="79" s="1"/>
  <c r="AN47" i="79"/>
  <c r="AM47" i="79"/>
  <c r="AL47" i="79"/>
  <c r="AJ47" i="79"/>
  <c r="AF47" i="79"/>
  <c r="AE47" i="79"/>
  <c r="AC47" i="79"/>
  <c r="Z47" i="79"/>
  <c r="Y47" i="79"/>
  <c r="X47" i="79"/>
  <c r="V47" i="79"/>
  <c r="S47" i="79"/>
  <c r="R47" i="79"/>
  <c r="Q47" i="79"/>
  <c r="O47" i="79"/>
  <c r="L47" i="79" s="1"/>
  <c r="AN46" i="79"/>
  <c r="AM46" i="79"/>
  <c r="AL46" i="79"/>
  <c r="AJ46" i="79"/>
  <c r="AG46" i="79"/>
  <c r="AF46" i="79"/>
  <c r="AE46" i="79"/>
  <c r="AC46" i="79"/>
  <c r="Y46" i="79"/>
  <c r="X46" i="79"/>
  <c r="V46" i="79"/>
  <c r="S46" i="79"/>
  <c r="R46" i="79"/>
  <c r="Q46" i="79"/>
  <c r="O46" i="79"/>
  <c r="L46" i="79" s="1"/>
  <c r="AN45" i="79"/>
  <c r="AM45" i="79"/>
  <c r="AL45" i="79"/>
  <c r="AJ45" i="79"/>
  <c r="AG45" i="79"/>
  <c r="AF45" i="79"/>
  <c r="AE45" i="79"/>
  <c r="AC45" i="79"/>
  <c r="Z45" i="79"/>
  <c r="Y45" i="79"/>
  <c r="X45" i="79"/>
  <c r="V45" i="79"/>
  <c r="S45" i="79"/>
  <c r="R45" i="79"/>
  <c r="Q45" i="79"/>
  <c r="O45" i="79"/>
  <c r="AN59" i="79"/>
  <c r="AM59" i="79"/>
  <c r="AL59" i="79"/>
  <c r="AJ59" i="79"/>
  <c r="AG59" i="79"/>
  <c r="AF59" i="79"/>
  <c r="AE59" i="79"/>
  <c r="AC59" i="79"/>
  <c r="Z59" i="79"/>
  <c r="Y59" i="79"/>
  <c r="X59" i="79"/>
  <c r="V59" i="79"/>
  <c r="S59" i="79"/>
  <c r="R59" i="79"/>
  <c r="Q59" i="79"/>
  <c r="O59" i="79"/>
  <c r="AH58" i="79"/>
  <c r="AL58" i="79"/>
  <c r="AM58" i="79"/>
  <c r="AJ58" i="79"/>
  <c r="AN58" i="79"/>
  <c r="AG58" i="79"/>
  <c r="AF58" i="79"/>
  <c r="AE58" i="79"/>
  <c r="AC58" i="79"/>
  <c r="AA58" i="79"/>
  <c r="Z58" i="79"/>
  <c r="Y58" i="79"/>
  <c r="X58" i="79"/>
  <c r="T58" i="79"/>
  <c r="V58" i="79"/>
  <c r="Q58" i="79"/>
  <c r="O58" i="79"/>
  <c r="M58" i="79"/>
  <c r="S58" i="79"/>
  <c r="R58" i="79"/>
  <c r="AN57" i="79"/>
  <c r="AM57" i="79"/>
  <c r="AL57" i="79"/>
  <c r="AJ57" i="79"/>
  <c r="AF57" i="79"/>
  <c r="AE57" i="79"/>
  <c r="AG57" i="79"/>
  <c r="AC57" i="79"/>
  <c r="Z57" i="79"/>
  <c r="X57" i="79"/>
  <c r="Y57" i="79"/>
  <c r="V57" i="79"/>
  <c r="S57" i="79"/>
  <c r="Q57" i="79"/>
  <c r="R57" i="79"/>
  <c r="O57" i="79"/>
  <c r="M57" i="79"/>
  <c r="L57" i="79" s="1"/>
  <c r="AM56" i="79"/>
  <c r="AJ56" i="79"/>
  <c r="AH56" i="79"/>
  <c r="AL56" i="79"/>
  <c r="AN56" i="79"/>
  <c r="AF56" i="79"/>
  <c r="AC56" i="79"/>
  <c r="AA56" i="79"/>
  <c r="AG56" i="79"/>
  <c r="AE56" i="79"/>
  <c r="Y56" i="79"/>
  <c r="Z56" i="79"/>
  <c r="V56" i="79"/>
  <c r="X56" i="79"/>
  <c r="T56" i="79"/>
  <c r="R56" i="79"/>
  <c r="Q56" i="79"/>
  <c r="M56" i="79"/>
  <c r="S56" i="79"/>
  <c r="O56" i="79"/>
  <c r="O67" i="79"/>
  <c r="S67" i="79"/>
  <c r="R67" i="79"/>
  <c r="Q67" i="79"/>
  <c r="AN69" i="79"/>
  <c r="AM69" i="79"/>
  <c r="AL69" i="79"/>
  <c r="AJ69" i="79"/>
  <c r="AG69" i="79"/>
  <c r="AF69" i="79"/>
  <c r="AE69" i="79"/>
  <c r="AC69" i="79"/>
  <c r="Z69" i="79"/>
  <c r="Y69" i="79"/>
  <c r="X69" i="79"/>
  <c r="V69" i="79"/>
  <c r="S69" i="79"/>
  <c r="R69" i="79"/>
  <c r="Q69" i="79"/>
  <c r="O69" i="79"/>
  <c r="AH68" i="79"/>
  <c r="AJ68" i="79"/>
  <c r="AL68" i="79"/>
  <c r="AN68" i="79"/>
  <c r="AM68" i="79"/>
  <c r="AF68" i="79"/>
  <c r="AA68" i="79"/>
  <c r="AE68" i="79"/>
  <c r="AG68" i="79"/>
  <c r="AC68" i="79"/>
  <c r="Z68" i="79"/>
  <c r="T68" i="79"/>
  <c r="Y68" i="79"/>
  <c r="X68" i="79"/>
  <c r="Q68" i="79"/>
  <c r="O68" i="79"/>
  <c r="R68" i="79"/>
  <c r="S68" i="79"/>
  <c r="AJ67" i="79"/>
  <c r="AN67" i="79"/>
  <c r="AL67" i="79"/>
  <c r="AM67" i="79"/>
  <c r="AG67" i="79"/>
  <c r="AA67" i="79"/>
  <c r="AE67" i="79"/>
  <c r="AC67" i="79"/>
  <c r="AF67" i="79"/>
  <c r="Y67" i="79"/>
  <c r="V67" i="79"/>
  <c r="X67" i="79"/>
  <c r="Z67" i="79"/>
  <c r="T67" i="79"/>
  <c r="AN66" i="79"/>
  <c r="AM66" i="79"/>
  <c r="AL66" i="79"/>
  <c r="AJ66" i="79"/>
  <c r="AG66" i="79"/>
  <c r="AF66" i="79"/>
  <c r="AE66" i="79"/>
  <c r="AC66" i="79"/>
  <c r="Z66" i="79"/>
  <c r="Y66" i="79"/>
  <c r="X66" i="79"/>
  <c r="V66" i="79"/>
  <c r="S66" i="79"/>
  <c r="R66" i="79"/>
  <c r="Q66" i="79"/>
  <c r="O66" i="79"/>
  <c r="O79" i="79"/>
  <c r="S79" i="79"/>
  <c r="R79" i="79"/>
  <c r="Q79" i="79"/>
  <c r="S76" i="79"/>
  <c r="R76" i="79"/>
  <c r="AN81" i="79"/>
  <c r="AM81" i="79"/>
  <c r="AL81" i="79"/>
  <c r="AJ81" i="79"/>
  <c r="AG81" i="79"/>
  <c r="AF81" i="79"/>
  <c r="AE81" i="79"/>
  <c r="AC81" i="79"/>
  <c r="Z81" i="79"/>
  <c r="Y81" i="79"/>
  <c r="X81" i="79"/>
  <c r="V81" i="79"/>
  <c r="S81" i="79"/>
  <c r="R81" i="79"/>
  <c r="Q81" i="79"/>
  <c r="O81" i="79"/>
  <c r="AN80" i="79"/>
  <c r="AM80" i="79"/>
  <c r="AL80" i="79"/>
  <c r="AJ80" i="79"/>
  <c r="AG80" i="79"/>
  <c r="AF80" i="79"/>
  <c r="AE80" i="79"/>
  <c r="AC80" i="79"/>
  <c r="Z80" i="79"/>
  <c r="Y80" i="79"/>
  <c r="X80" i="79"/>
  <c r="V80" i="79"/>
  <c r="S80" i="79"/>
  <c r="R80" i="79"/>
  <c r="Q80" i="79"/>
  <c r="O80" i="79"/>
  <c r="AN79" i="79"/>
  <c r="AM79" i="79"/>
  <c r="AL79" i="79"/>
  <c r="AJ79" i="79"/>
  <c r="AG79" i="79"/>
  <c r="AF79" i="79"/>
  <c r="AE79" i="79"/>
  <c r="AC79" i="79"/>
  <c r="Z79" i="79"/>
  <c r="Y79" i="79"/>
  <c r="X79" i="79"/>
  <c r="V79" i="79"/>
  <c r="AN78" i="79"/>
  <c r="AM78" i="79"/>
  <c r="AL78" i="79"/>
  <c r="AJ78" i="79"/>
  <c r="AF78" i="79"/>
  <c r="AE78" i="79"/>
  <c r="AC78" i="79"/>
  <c r="AG78" i="79"/>
  <c r="V78" i="79"/>
  <c r="T78" i="79"/>
  <c r="X78" i="79"/>
  <c r="Y78" i="79"/>
  <c r="Z78" i="79"/>
  <c r="O78" i="79"/>
  <c r="Q78" i="79"/>
  <c r="R78" i="79"/>
  <c r="S78" i="79"/>
  <c r="AJ77" i="79"/>
  <c r="AH77" i="79"/>
  <c r="AL77" i="79"/>
  <c r="AM77" i="79"/>
  <c r="AN77" i="79"/>
  <c r="AC77" i="79"/>
  <c r="AA77" i="79"/>
  <c r="AF77" i="79"/>
  <c r="AG77" i="79"/>
  <c r="AE77" i="79"/>
  <c r="V77" i="79"/>
  <c r="X77" i="79"/>
  <c r="Z77" i="79"/>
  <c r="Y77" i="79"/>
  <c r="T77" i="79"/>
  <c r="Q77" i="79"/>
  <c r="O77" i="79"/>
  <c r="R77" i="79"/>
  <c r="M77" i="79"/>
  <c r="S77" i="79"/>
  <c r="AL76" i="79"/>
  <c r="AN76" i="79"/>
  <c r="AM76" i="79"/>
  <c r="AH76" i="79"/>
  <c r="AJ76" i="79"/>
  <c r="AG76" i="79"/>
  <c r="AF76" i="79"/>
  <c r="AE76" i="79"/>
  <c r="AA76" i="79"/>
  <c r="AC76" i="79"/>
  <c r="X76" i="79"/>
  <c r="T76" i="79"/>
  <c r="Z76" i="79"/>
  <c r="Y76" i="79"/>
  <c r="V76" i="79"/>
  <c r="O76" i="79"/>
  <c r="Q76" i="79"/>
  <c r="AJ75" i="79"/>
  <c r="AL75" i="79"/>
  <c r="AM75" i="79"/>
  <c r="AN75" i="79"/>
  <c r="AC75" i="79"/>
  <c r="AE75" i="79"/>
  <c r="AF75" i="79"/>
  <c r="AG75" i="79"/>
  <c r="V75" i="79"/>
  <c r="X75" i="79"/>
  <c r="Y75" i="79"/>
  <c r="Z75" i="79"/>
  <c r="R75" i="79"/>
  <c r="S75" i="79"/>
  <c r="O75" i="79"/>
  <c r="Q75" i="79"/>
  <c r="AN74" i="79"/>
  <c r="AM74" i="79"/>
  <c r="AJ74" i="79"/>
  <c r="AL74" i="79"/>
  <c r="AC74" i="79"/>
  <c r="AF74" i="79"/>
  <c r="AG74" i="79"/>
  <c r="AE74" i="79"/>
  <c r="Z74" i="79"/>
  <c r="Y74" i="79"/>
  <c r="X74" i="79"/>
  <c r="T74" i="79"/>
  <c r="V74" i="79"/>
  <c r="R74" i="79"/>
  <c r="M74" i="79"/>
  <c r="S74" i="79"/>
  <c r="O74" i="79"/>
  <c r="Q74" i="79"/>
  <c r="AL64" i="79"/>
  <c r="AJ64" i="79"/>
  <c r="AM64" i="79"/>
  <c r="AH64" i="79"/>
  <c r="AN64" i="79"/>
  <c r="AG64" i="79"/>
  <c r="AA64" i="79"/>
  <c r="AE64" i="79"/>
  <c r="AC64" i="79"/>
  <c r="AF64" i="79"/>
  <c r="X64" i="79"/>
  <c r="V64" i="79"/>
  <c r="T64" i="79"/>
  <c r="Y64" i="79"/>
  <c r="Z64" i="79"/>
  <c r="Q64" i="79"/>
  <c r="O64" i="79"/>
  <c r="S64" i="79"/>
  <c r="R64" i="79"/>
  <c r="AJ63" i="79"/>
  <c r="AL63" i="79"/>
  <c r="AM63" i="79"/>
  <c r="AN63" i="79"/>
  <c r="AF63" i="79"/>
  <c r="AA63" i="79"/>
  <c r="AC63" i="79"/>
  <c r="AG63" i="79"/>
  <c r="AE63" i="79"/>
  <c r="T63" i="79"/>
  <c r="X63" i="79"/>
  <c r="Z63" i="79"/>
  <c r="V63" i="79"/>
  <c r="Y63" i="79"/>
  <c r="R63" i="79"/>
  <c r="S63" i="79"/>
  <c r="O63" i="79"/>
  <c r="M63" i="79"/>
  <c r="Q63" i="79"/>
  <c r="AL62" i="79"/>
  <c r="AH62" i="79"/>
  <c r="AJ62" i="79"/>
  <c r="AN62" i="79"/>
  <c r="AM62" i="79"/>
  <c r="AF62" i="79"/>
  <c r="AE62" i="79"/>
  <c r="AG62" i="79"/>
  <c r="AC62" i="79"/>
  <c r="X62" i="79"/>
  <c r="Z62" i="79"/>
  <c r="V62" i="79"/>
  <c r="Y62" i="79"/>
  <c r="T62" i="79"/>
  <c r="Q62" i="79"/>
  <c r="O62" i="79"/>
  <c r="R62" i="79"/>
  <c r="S62" i="79"/>
  <c r="AN61" i="79"/>
  <c r="AH61" i="79"/>
  <c r="AJ61" i="79"/>
  <c r="AM61" i="79"/>
  <c r="AL61" i="79"/>
  <c r="AE61" i="79"/>
  <c r="AF61" i="79"/>
  <c r="AC61" i="79"/>
  <c r="AA61" i="79"/>
  <c r="AG61" i="79"/>
  <c r="Z61" i="79"/>
  <c r="X61" i="79"/>
  <c r="T61" i="79"/>
  <c r="V61" i="79"/>
  <c r="Y61" i="79"/>
  <c r="M61" i="79"/>
  <c r="Q61" i="79"/>
  <c r="O61" i="79"/>
  <c r="S61" i="79"/>
  <c r="R61" i="79"/>
  <c r="AL54" i="79"/>
  <c r="AM54" i="79"/>
  <c r="AH54" i="79"/>
  <c r="AN54" i="79"/>
  <c r="AJ54" i="79"/>
  <c r="AF54" i="79"/>
  <c r="AC54" i="79"/>
  <c r="AE54" i="79"/>
  <c r="AG54" i="79"/>
  <c r="T54" i="79"/>
  <c r="Z54" i="79"/>
  <c r="V54" i="79"/>
  <c r="X54" i="79"/>
  <c r="Y54" i="79"/>
  <c r="S54" i="79"/>
  <c r="R54" i="79"/>
  <c r="O54" i="79"/>
  <c r="Q54" i="79"/>
  <c r="M54" i="79"/>
  <c r="AJ53" i="79"/>
  <c r="AL53" i="79"/>
  <c r="AM53" i="79"/>
  <c r="AN53" i="79"/>
  <c r="AH53" i="79"/>
  <c r="AG53" i="79"/>
  <c r="AE53" i="79"/>
  <c r="AC53" i="79"/>
  <c r="AF53" i="79"/>
  <c r="V53" i="79"/>
  <c r="Z53" i="79"/>
  <c r="X53" i="79"/>
  <c r="T53" i="79"/>
  <c r="Y53" i="79"/>
  <c r="O53" i="79"/>
  <c r="R53" i="79"/>
  <c r="S53" i="79"/>
  <c r="Q53" i="79"/>
  <c r="AH52" i="79"/>
  <c r="AN52" i="79"/>
  <c r="AJ52" i="79"/>
  <c r="AL52" i="79"/>
  <c r="AM52" i="79"/>
  <c r="AF52" i="79"/>
  <c r="AG52" i="79"/>
  <c r="AA52" i="79"/>
  <c r="AC52" i="79"/>
  <c r="Z52" i="79"/>
  <c r="T52" i="79"/>
  <c r="V52" i="79"/>
  <c r="Y52" i="79"/>
  <c r="X52" i="79"/>
  <c r="O52" i="79"/>
  <c r="R52" i="79"/>
  <c r="M52" i="79"/>
  <c r="Q52" i="79"/>
  <c r="S52" i="79"/>
  <c r="AH51" i="79"/>
  <c r="AJ51" i="79"/>
  <c r="AM51" i="79"/>
  <c r="AN51" i="79"/>
  <c r="AL51" i="79"/>
  <c r="AC51" i="79"/>
  <c r="AG51" i="79"/>
  <c r="AF51" i="79"/>
  <c r="AA51" i="79"/>
  <c r="AE51" i="79"/>
  <c r="X51" i="79"/>
  <c r="Z51" i="79"/>
  <c r="V51" i="79"/>
  <c r="T51" i="79"/>
  <c r="Y51" i="79"/>
  <c r="S51" i="79"/>
  <c r="R51" i="79"/>
  <c r="M51" i="79"/>
  <c r="Q51" i="79"/>
  <c r="AN43" i="79"/>
  <c r="AL43" i="79"/>
  <c r="AJ43" i="79"/>
  <c r="AM43" i="79"/>
  <c r="AF43" i="79"/>
  <c r="AE43" i="79"/>
  <c r="AC43" i="79"/>
  <c r="AG43" i="79"/>
  <c r="Y43" i="79"/>
  <c r="X43" i="79"/>
  <c r="Z43" i="79"/>
  <c r="V43" i="79"/>
  <c r="S43" i="79"/>
  <c r="O43" i="79"/>
  <c r="Q43" i="79"/>
  <c r="R43" i="79"/>
  <c r="AM42" i="79"/>
  <c r="AL42" i="79"/>
  <c r="AJ42" i="79"/>
  <c r="AN42" i="79"/>
  <c r="AG42" i="79"/>
  <c r="AF42" i="79"/>
  <c r="AE42" i="79"/>
  <c r="AC42" i="79"/>
  <c r="Z42" i="79"/>
  <c r="Y42" i="79"/>
  <c r="X42" i="79"/>
  <c r="V42" i="79"/>
  <c r="O42" i="79"/>
  <c r="S42" i="79"/>
  <c r="R42" i="79"/>
  <c r="Q42" i="79"/>
  <c r="AL41" i="79"/>
  <c r="AN41" i="79"/>
  <c r="AJ41" i="79"/>
  <c r="AM41" i="79"/>
  <c r="AE41" i="79"/>
  <c r="AF41" i="79"/>
  <c r="AC41" i="79"/>
  <c r="AG41" i="79"/>
  <c r="V41" i="79"/>
  <c r="X41" i="79"/>
  <c r="Y41" i="79"/>
  <c r="Z41" i="79"/>
  <c r="O41" i="79"/>
  <c r="Q41" i="79"/>
  <c r="R41" i="79"/>
  <c r="S41" i="79"/>
  <c r="AN40" i="79"/>
  <c r="AM40" i="79"/>
  <c r="AL40" i="79"/>
  <c r="AJ40" i="79"/>
  <c r="AG40" i="79"/>
  <c r="AF40" i="79"/>
  <c r="AC40" i="79"/>
  <c r="AE40" i="79"/>
  <c r="Z40" i="79"/>
  <c r="V40" i="79"/>
  <c r="Y40" i="79"/>
  <c r="X40" i="79"/>
  <c r="O40" i="79"/>
  <c r="R40" i="79"/>
  <c r="Q40" i="79"/>
  <c r="S40" i="79"/>
  <c r="AN38" i="79"/>
  <c r="AM38" i="79"/>
  <c r="AJ38" i="79"/>
  <c r="AL38" i="79"/>
  <c r="AC38" i="79"/>
  <c r="AF38" i="79"/>
  <c r="AG38" i="79"/>
  <c r="AE38" i="79"/>
  <c r="Y38" i="79"/>
  <c r="X38" i="79"/>
  <c r="V38" i="79"/>
  <c r="Z38" i="79"/>
  <c r="O38" i="79"/>
  <c r="Q38" i="79"/>
  <c r="R38" i="79"/>
  <c r="S38" i="79"/>
  <c r="AJ37" i="79"/>
  <c r="AL37" i="79"/>
  <c r="AM37" i="79"/>
  <c r="AN37" i="79"/>
  <c r="AC37" i="79"/>
  <c r="AE37" i="79"/>
  <c r="AF37" i="79"/>
  <c r="AG37" i="79"/>
  <c r="Z37" i="79"/>
  <c r="V37" i="79"/>
  <c r="X37" i="79"/>
  <c r="Y37" i="79"/>
  <c r="S37" i="79"/>
  <c r="R37" i="79"/>
  <c r="O37" i="79"/>
  <c r="Q37" i="79"/>
  <c r="AN36" i="79"/>
  <c r="AM36" i="79"/>
  <c r="AL36" i="79"/>
  <c r="AJ36" i="79"/>
  <c r="AG36" i="79"/>
  <c r="AF36" i="79"/>
  <c r="AE36" i="79"/>
  <c r="AC36" i="79"/>
  <c r="Z36" i="79"/>
  <c r="Y36" i="79"/>
  <c r="X36" i="79"/>
  <c r="V36" i="79"/>
  <c r="Q36" i="79"/>
  <c r="O36" i="79"/>
  <c r="S36" i="79"/>
  <c r="R36" i="79"/>
  <c r="AM34" i="79"/>
  <c r="AL34" i="79"/>
  <c r="AJ34" i="79"/>
  <c r="AN34" i="79"/>
  <c r="AG34" i="79"/>
  <c r="AF34" i="79"/>
  <c r="AE34" i="79"/>
  <c r="AC34" i="79"/>
  <c r="Y34" i="79"/>
  <c r="V34" i="79"/>
  <c r="X34" i="79"/>
  <c r="Z34" i="79"/>
  <c r="O34" i="79"/>
  <c r="S34" i="79"/>
  <c r="Q34" i="79"/>
  <c r="R34" i="79"/>
  <c r="AN33" i="79"/>
  <c r="AM33" i="79"/>
  <c r="AJ33" i="79"/>
  <c r="AL33" i="79"/>
  <c r="AG33" i="79"/>
  <c r="AF33" i="79"/>
  <c r="AE33" i="79"/>
  <c r="AC33" i="79"/>
  <c r="Y33" i="79"/>
  <c r="X33" i="79"/>
  <c r="V33" i="79"/>
  <c r="Z33" i="79"/>
  <c r="S33" i="79"/>
  <c r="O33" i="79"/>
  <c r="Q33" i="79"/>
  <c r="R33" i="79"/>
  <c r="AJ32" i="79"/>
  <c r="AN32" i="79"/>
  <c r="AM32" i="79"/>
  <c r="AL32" i="79"/>
  <c r="AE32" i="79"/>
  <c r="AC32" i="79"/>
  <c r="AG32" i="79"/>
  <c r="AF32" i="79"/>
  <c r="V32" i="79"/>
  <c r="Y32" i="79"/>
  <c r="X32" i="79"/>
  <c r="Z32" i="79"/>
  <c r="O32" i="79"/>
  <c r="Q32" i="79"/>
  <c r="R32" i="79"/>
  <c r="S32" i="79"/>
  <c r="AJ31" i="79"/>
  <c r="AL31" i="79"/>
  <c r="AM31" i="79"/>
  <c r="AN31" i="79"/>
  <c r="AC31" i="79"/>
  <c r="AE31" i="79"/>
  <c r="AF31" i="79"/>
  <c r="AG31" i="79"/>
  <c r="V31" i="79"/>
  <c r="X31" i="79"/>
  <c r="Y31" i="79"/>
  <c r="Z31" i="79"/>
  <c r="S31" i="79"/>
  <c r="O31" i="79"/>
  <c r="R31" i="79"/>
  <c r="Q31" i="79"/>
  <c r="AC75" i="78"/>
  <c r="AJ73" i="78"/>
  <c r="AA54" i="78"/>
  <c r="AH64" i="78"/>
  <c r="Q73" i="78"/>
  <c r="T74" i="78"/>
  <c r="S75" i="78"/>
  <c r="AE75" i="78"/>
  <c r="AL67" i="78"/>
  <c r="V67" i="78"/>
  <c r="X72" i="78"/>
  <c r="AL73" i="78"/>
  <c r="AE74" i="78"/>
  <c r="AH75" i="78"/>
  <c r="AA62" i="78"/>
  <c r="T64" i="78"/>
  <c r="Y72" i="78"/>
  <c r="AM73" i="78"/>
  <c r="V74" i="78"/>
  <c r="AF74" i="78"/>
  <c r="M75" i="78"/>
  <c r="X68" i="78"/>
  <c r="AL64" i="78"/>
  <c r="Q72" i="78"/>
  <c r="Z72" i="78"/>
  <c r="Z75" i="78"/>
  <c r="O73" i="78"/>
  <c r="R69" i="78"/>
  <c r="AN64" i="78"/>
  <c r="R72" i="78"/>
  <c r="M73" i="78"/>
  <c r="O74" i="78"/>
  <c r="AA75" i="78"/>
  <c r="AC73" i="78"/>
  <c r="T69" i="78"/>
  <c r="AA52" i="78"/>
  <c r="S69" i="78"/>
  <c r="Y68" i="78"/>
  <c r="R62" i="78"/>
  <c r="AA63" i="78"/>
  <c r="S72" i="78"/>
  <c r="AA72" i="78"/>
  <c r="V73" i="78"/>
  <c r="AG74" i="78"/>
  <c r="T75" i="78"/>
  <c r="AJ75" i="78"/>
  <c r="R47" i="78"/>
  <c r="X54" i="78"/>
  <c r="S62" i="78"/>
  <c r="AE73" i="78"/>
  <c r="T62" i="78"/>
  <c r="Q64" i="78"/>
  <c r="M72" i="78"/>
  <c r="AC72" i="78"/>
  <c r="X73" i="78"/>
  <c r="AF73" i="78"/>
  <c r="AN73" i="78"/>
  <c r="S74" i="78"/>
  <c r="AA74" i="78"/>
  <c r="V75" i="78"/>
  <c r="AL75" i="78"/>
  <c r="AE63" i="78"/>
  <c r="Y73" i="78"/>
  <c r="AG73" i="78"/>
  <c r="AM75" i="78"/>
  <c r="R68" i="78"/>
  <c r="AF63" i="78"/>
  <c r="AE72" i="78"/>
  <c r="AM72" i="78"/>
  <c r="R73" i="78"/>
  <c r="X75" i="78"/>
  <c r="AF75" i="78"/>
  <c r="AH54" i="78"/>
  <c r="Q68" i="78"/>
  <c r="Z62" i="78"/>
  <c r="AG63" i="78"/>
  <c r="AM68" i="78"/>
  <c r="AC68" i="78"/>
  <c r="M63" i="78"/>
  <c r="AH68" i="78"/>
  <c r="AF64" i="78"/>
  <c r="AA68" i="78"/>
  <c r="Q54" i="78"/>
  <c r="AF54" i="78"/>
  <c r="AG68" i="78"/>
  <c r="AH67" i="78"/>
  <c r="V62" i="78"/>
  <c r="AG62" i="78"/>
  <c r="V64" i="78"/>
  <c r="AG64" i="78"/>
  <c r="S47" i="78"/>
  <c r="Z69" i="78"/>
  <c r="AF68" i="78"/>
  <c r="M68" i="78"/>
  <c r="Q65" i="78"/>
  <c r="S52" i="78"/>
  <c r="AG52" i="78"/>
  <c r="V54" i="78"/>
  <c r="X69" i="78"/>
  <c r="M69" i="78"/>
  <c r="AN67" i="78"/>
  <c r="X62" i="78"/>
  <c r="AL63" i="78"/>
  <c r="X64" i="78"/>
  <c r="S65" i="78"/>
  <c r="AE53" i="78"/>
  <c r="AN68" i="78"/>
  <c r="T65" i="78"/>
  <c r="AC69" i="78"/>
  <c r="Z68" i="78"/>
  <c r="AE67" i="78"/>
  <c r="O67" i="78"/>
  <c r="Q62" i="78"/>
  <c r="T63" i="78"/>
  <c r="AJ63" i="78"/>
  <c r="O64" i="78"/>
  <c r="AE64" i="78"/>
  <c r="AM64" i="78"/>
  <c r="R65" i="78"/>
  <c r="Z65" i="78"/>
  <c r="AH65" i="78"/>
  <c r="V63" i="78"/>
  <c r="AJ65" i="78"/>
  <c r="AH69" i="78"/>
  <c r="T67" i="78"/>
  <c r="AJ62" i="78"/>
  <c r="O63" i="78"/>
  <c r="AM63" i="78"/>
  <c r="R64" i="78"/>
  <c r="AC65" i="78"/>
  <c r="Y52" i="78"/>
  <c r="Y54" i="78"/>
  <c r="AL54" i="78"/>
  <c r="AG69" i="78"/>
  <c r="Y69" i="78"/>
  <c r="Q69" i="78"/>
  <c r="AL68" i="78"/>
  <c r="V68" i="78"/>
  <c r="AA67" i="78"/>
  <c r="S67" i="78"/>
  <c r="M62" i="78"/>
  <c r="AC62" i="78"/>
  <c r="X63" i="78"/>
  <c r="AN63" i="78"/>
  <c r="S64" i="78"/>
  <c r="AA64" i="78"/>
  <c r="V65" i="78"/>
  <c r="AL65" i="78"/>
  <c r="AA69" i="78"/>
  <c r="AN69" i="78"/>
  <c r="AF69" i="78"/>
  <c r="Z67" i="78"/>
  <c r="R67" i="78"/>
  <c r="AL62" i="78"/>
  <c r="Q63" i="78"/>
  <c r="Y63" i="78"/>
  <c r="AE65" i="78"/>
  <c r="AM65" i="78"/>
  <c r="AM69" i="78"/>
  <c r="AG67" i="78"/>
  <c r="Y67" i="78"/>
  <c r="Q67" i="78"/>
  <c r="AE62" i="78"/>
  <c r="AM62" i="78"/>
  <c r="R63" i="78"/>
  <c r="X65" i="78"/>
  <c r="AF65" i="78"/>
  <c r="T52" i="78"/>
  <c r="T54" i="78"/>
  <c r="R52" i="78"/>
  <c r="M53" i="78"/>
  <c r="T55" i="78"/>
  <c r="AF53" i="78"/>
  <c r="AN54" i="78"/>
  <c r="AG53" i="78"/>
  <c r="M55" i="78"/>
  <c r="AA55" i="78"/>
  <c r="AH31" i="78"/>
  <c r="AH52" i="78"/>
  <c r="AA53" i="78"/>
  <c r="AG54" i="78"/>
  <c r="AL53" i="78"/>
  <c r="Q55" i="78"/>
  <c r="S55" i="78"/>
  <c r="Q52" i="78"/>
  <c r="T53" i="78"/>
  <c r="AJ53" i="78"/>
  <c r="O54" i="78"/>
  <c r="AE54" i="78"/>
  <c r="AM54" i="78"/>
  <c r="R55" i="78"/>
  <c r="Z55" i="78"/>
  <c r="AH55" i="78"/>
  <c r="AJ55" i="78"/>
  <c r="AJ52" i="78"/>
  <c r="O53" i="78"/>
  <c r="AM53" i="78"/>
  <c r="R54" i="78"/>
  <c r="AC55" i="78"/>
  <c r="X42" i="78"/>
  <c r="M52" i="78"/>
  <c r="AC52" i="78"/>
  <c r="X53" i="78"/>
  <c r="AN53" i="78"/>
  <c r="S54" i="78"/>
  <c r="V55" i="78"/>
  <c r="AL55" i="78"/>
  <c r="AL52" i="78"/>
  <c r="Q53" i="78"/>
  <c r="Y53" i="78"/>
  <c r="AE55" i="78"/>
  <c r="AM55" i="78"/>
  <c r="AE52" i="78"/>
  <c r="AM52" i="78"/>
  <c r="R53" i="78"/>
  <c r="Z53" i="78"/>
  <c r="X55" i="78"/>
  <c r="AF55" i="78"/>
  <c r="M34" i="78"/>
  <c r="AA34" i="78"/>
  <c r="M33" i="78"/>
  <c r="AJ70" i="78"/>
  <c r="Y43" i="78"/>
  <c r="AC43" i="78"/>
  <c r="M43" i="78"/>
  <c r="AJ59" i="78"/>
  <c r="V42" i="78"/>
  <c r="Q35" i="78"/>
  <c r="AN35" i="78"/>
  <c r="AG38" i="78"/>
  <c r="AN42" i="78"/>
  <c r="X57" i="78"/>
  <c r="T60" i="78"/>
  <c r="AC42" i="78"/>
  <c r="S35" i="78"/>
  <c r="R33" i="78"/>
  <c r="S33" i="78"/>
  <c r="AA37" i="78"/>
  <c r="AE42" i="78"/>
  <c r="Q31" i="78"/>
  <c r="V35" i="78"/>
  <c r="AF50" i="78"/>
  <c r="AA57" i="78"/>
  <c r="AL70" i="78"/>
  <c r="AF42" i="78"/>
  <c r="AG43" i="78"/>
  <c r="R31" i="78"/>
  <c r="AL34" i="78"/>
  <c r="AG50" i="78"/>
  <c r="S60" i="78"/>
  <c r="AM60" i="78"/>
  <c r="AG42" i="78"/>
  <c r="AH43" i="78"/>
  <c r="AN34" i="78"/>
  <c r="AJ30" i="78"/>
  <c r="AF33" i="78"/>
  <c r="Y37" i="78"/>
  <c r="AH57" i="78"/>
  <c r="AA31" i="78"/>
  <c r="AH33" i="78"/>
  <c r="AM40" i="78"/>
  <c r="AF47" i="78"/>
  <c r="Z48" i="78"/>
  <c r="AL50" i="78"/>
  <c r="AL42" i="78"/>
  <c r="Z43" i="78"/>
  <c r="M44" i="78"/>
  <c r="T30" i="78"/>
  <c r="M31" i="78"/>
  <c r="T39" i="78"/>
  <c r="AH47" i="78"/>
  <c r="AN50" i="78"/>
  <c r="AN44" i="78"/>
  <c r="Q45" i="78"/>
  <c r="AL30" i="78"/>
  <c r="S31" i="78"/>
  <c r="AC34" i="78"/>
  <c r="Y35" i="78"/>
  <c r="AA38" i="78"/>
  <c r="AA48" i="78"/>
  <c r="AN70" i="78"/>
  <c r="Z42" i="78"/>
  <c r="AH42" i="78"/>
  <c r="AA43" i="78"/>
  <c r="M45" i="78"/>
  <c r="AM30" i="78"/>
  <c r="AM31" i="78"/>
  <c r="Z35" i="78"/>
  <c r="AM47" i="78"/>
  <c r="AL57" i="78"/>
  <c r="AF58" i="78"/>
  <c r="Q43" i="78"/>
  <c r="AN30" i="78"/>
  <c r="AN31" i="78"/>
  <c r="AA33" i="78"/>
  <c r="AF34" i="78"/>
  <c r="AA35" i="78"/>
  <c r="T37" i="78"/>
  <c r="AC38" i="78"/>
  <c r="AJ40" i="78"/>
  <c r="AN47" i="78"/>
  <c r="AA49" i="78"/>
  <c r="AN57" i="78"/>
  <c r="AG58" i="78"/>
  <c r="O60" i="78"/>
  <c r="R43" i="78"/>
  <c r="AJ44" i="78"/>
  <c r="AG34" i="78"/>
  <c r="S43" i="78"/>
  <c r="M30" i="78"/>
  <c r="T35" i="78"/>
  <c r="V37" i="78"/>
  <c r="AF38" i="78"/>
  <c r="T40" i="78"/>
  <c r="AE47" i="78"/>
  <c r="AF59" i="78"/>
  <c r="AM42" i="78"/>
  <c r="AF43" i="78"/>
  <c r="AL44" i="78"/>
  <c r="S45" i="78"/>
  <c r="AG49" i="78"/>
  <c r="AN58" i="78"/>
  <c r="AL60" i="78"/>
  <c r="T45" i="78"/>
  <c r="M38" i="78"/>
  <c r="M48" i="78"/>
  <c r="AE60" i="78"/>
  <c r="X58" i="78"/>
  <c r="X59" i="78"/>
  <c r="V60" i="78"/>
  <c r="AF60" i="78"/>
  <c r="AC57" i="78"/>
  <c r="AA58" i="78"/>
  <c r="AG60" i="78"/>
  <c r="X60" i="78"/>
  <c r="AE57" i="78"/>
  <c r="AC58" i="78"/>
  <c r="Y60" i="78"/>
  <c r="AF57" i="78"/>
  <c r="AA60" i="78"/>
  <c r="AE31" i="78"/>
  <c r="Z33" i="78"/>
  <c r="Q38" i="78"/>
  <c r="Y38" i="78"/>
  <c r="V39" i="78"/>
  <c r="X40" i="78"/>
  <c r="M47" i="78"/>
  <c r="AA47" i="78"/>
  <c r="S48" i="78"/>
  <c r="M49" i="78"/>
  <c r="Y50" i="78"/>
  <c r="X38" i="78"/>
  <c r="AC48" i="78"/>
  <c r="AC49" i="78"/>
  <c r="AA50" i="78"/>
  <c r="V38" i="78"/>
  <c r="V50" i="78"/>
  <c r="X50" i="78"/>
  <c r="AF35" i="78"/>
  <c r="R38" i="78"/>
  <c r="X31" i="78"/>
  <c r="AG31" i="78"/>
  <c r="AG35" i="78"/>
  <c r="S38" i="78"/>
  <c r="X39" i="78"/>
  <c r="Z40" i="78"/>
  <c r="O47" i="78"/>
  <c r="AC47" i="78"/>
  <c r="AF48" i="78"/>
  <c r="AC31" i="78"/>
  <c r="V40" i="78"/>
  <c r="R48" i="78"/>
  <c r="O30" i="78"/>
  <c r="S37" i="78"/>
  <c r="Z38" i="78"/>
  <c r="AE48" i="78"/>
  <c r="R30" i="78"/>
  <c r="Z31" i="78"/>
  <c r="AC33" i="78"/>
  <c r="Y39" i="78"/>
  <c r="Q40" i="78"/>
  <c r="X48" i="78"/>
  <c r="AF49" i="78"/>
  <c r="T50" i="78"/>
  <c r="C1" i="78"/>
  <c r="AH39" i="78"/>
  <c r="AM39" i="78"/>
  <c r="Z70" i="78"/>
  <c r="Y70" i="78"/>
  <c r="X70" i="78"/>
  <c r="T70" i="78"/>
  <c r="AC30" i="78"/>
  <c r="T47" i="78"/>
  <c r="Y47" i="78"/>
  <c r="V47" i="78"/>
  <c r="V70" i="78"/>
  <c r="Z30" i="78"/>
  <c r="S30" i="78"/>
  <c r="AA30" i="78"/>
  <c r="V31" i="78"/>
  <c r="AL31" i="78"/>
  <c r="Q33" i="78"/>
  <c r="Y33" i="78"/>
  <c r="AG33" i="78"/>
  <c r="T34" i="78"/>
  <c r="AJ34" i="78"/>
  <c r="O35" i="78"/>
  <c r="AE35" i="78"/>
  <c r="AM35" i="78"/>
  <c r="R37" i="78"/>
  <c r="Z37" i="78"/>
  <c r="AH37" i="78"/>
  <c r="M39" i="78"/>
  <c r="AG39" i="78"/>
  <c r="O40" i="78"/>
  <c r="AN40" i="78"/>
  <c r="AH40" i="78"/>
  <c r="R49" i="78"/>
  <c r="Q49" i="78"/>
  <c r="O49" i="78"/>
  <c r="M50" i="78"/>
  <c r="S50" i="78"/>
  <c r="R50" i="78"/>
  <c r="O50" i="78"/>
  <c r="Q57" i="78"/>
  <c r="S57" i="78"/>
  <c r="R57" i="78"/>
  <c r="O57" i="78"/>
  <c r="V34" i="78"/>
  <c r="V30" i="78"/>
  <c r="Y31" i="78"/>
  <c r="T33" i="78"/>
  <c r="AJ33" i="78"/>
  <c r="O34" i="78"/>
  <c r="AM34" i="78"/>
  <c r="R35" i="78"/>
  <c r="AH35" i="78"/>
  <c r="M37" i="78"/>
  <c r="AC37" i="78"/>
  <c r="AL37" i="78"/>
  <c r="AM38" i="78"/>
  <c r="AJ38" i="78"/>
  <c r="Q39" i="78"/>
  <c r="AA39" i="78"/>
  <c r="AM48" i="78"/>
  <c r="AL48" i="78"/>
  <c r="AJ48" i="78"/>
  <c r="Z49" i="78"/>
  <c r="Y49" i="78"/>
  <c r="X49" i="78"/>
  <c r="T49" i="78"/>
  <c r="O58" i="78"/>
  <c r="S58" i="78"/>
  <c r="R58" i="78"/>
  <c r="Q58" i="78"/>
  <c r="R59" i="78"/>
  <c r="O59" i="78"/>
  <c r="S59" i="78"/>
  <c r="Q59" i="78"/>
  <c r="AG45" i="78"/>
  <c r="AF45" i="78"/>
  <c r="AE45" i="78"/>
  <c r="AC45" i="78"/>
  <c r="X34" i="78"/>
  <c r="AM37" i="78"/>
  <c r="AL39" i="78"/>
  <c r="AF40" i="78"/>
  <c r="AC40" i="78"/>
  <c r="X47" i="78"/>
  <c r="AH49" i="78"/>
  <c r="AN49" i="78"/>
  <c r="AM49" i="78"/>
  <c r="AJ49" i="78"/>
  <c r="R39" i="78"/>
  <c r="O39" i="78"/>
  <c r="X30" i="78"/>
  <c r="AF30" i="78"/>
  <c r="V33" i="78"/>
  <c r="AL33" i="78"/>
  <c r="Q34" i="78"/>
  <c r="Y34" i="78"/>
  <c r="AJ35" i="78"/>
  <c r="O37" i="78"/>
  <c r="AE37" i="78"/>
  <c r="AN37" i="78"/>
  <c r="AL38" i="78"/>
  <c r="AC39" i="78"/>
  <c r="AN39" i="78"/>
  <c r="Z47" i="78"/>
  <c r="AN48" i="78"/>
  <c r="AE30" i="78"/>
  <c r="AM33" i="78"/>
  <c r="R34" i="78"/>
  <c r="AF37" i="78"/>
  <c r="AN38" i="78"/>
  <c r="AE40" i="78"/>
  <c r="AL49" i="78"/>
  <c r="AJ39" i="78"/>
  <c r="AF39" i="78"/>
  <c r="M40" i="78"/>
  <c r="R40" i="78"/>
  <c r="AG40" i="78"/>
  <c r="AL47" i="78"/>
  <c r="Q48" i="78"/>
  <c r="Y48" i="78"/>
  <c r="AE50" i="78"/>
  <c r="AM50" i="78"/>
  <c r="V57" i="78"/>
  <c r="V58" i="78"/>
  <c r="V59" i="78"/>
  <c r="AH59" i="78"/>
  <c r="AM59" i="78"/>
  <c r="T48" i="78"/>
  <c r="AH50" i="78"/>
  <c r="Y58" i="78"/>
  <c r="AL59" i="78"/>
  <c r="Z44" i="78"/>
  <c r="Y44" i="78"/>
  <c r="X44" i="78"/>
  <c r="V44" i="78"/>
  <c r="Z58" i="78"/>
  <c r="AM58" i="78"/>
  <c r="AJ58" i="78"/>
  <c r="AG59" i="78"/>
  <c r="AE59" i="78"/>
  <c r="AN45" i="78"/>
  <c r="AM45" i="78"/>
  <c r="AL45" i="78"/>
  <c r="AH45" i="78"/>
  <c r="AC59" i="78"/>
  <c r="AG70" i="78"/>
  <c r="AE70" i="78"/>
  <c r="AA70" i="78"/>
  <c r="AG44" i="78"/>
  <c r="AF44" i="78"/>
  <c r="AE44" i="78"/>
  <c r="AA44" i="78"/>
  <c r="AJ45" i="78"/>
  <c r="AM57" i="78"/>
  <c r="AL58" i="78"/>
  <c r="M60" i="78"/>
  <c r="R60" i="78"/>
  <c r="R70" i="78"/>
  <c r="Q70" i="78"/>
  <c r="O70" i="78"/>
  <c r="S70" i="78"/>
  <c r="AC70" i="78"/>
  <c r="S42" i="78"/>
  <c r="R42" i="78"/>
  <c r="Q42" i="78"/>
  <c r="M42" i="78"/>
  <c r="AC44" i="78"/>
  <c r="T57" i="78"/>
  <c r="Y57" i="78"/>
  <c r="Z59" i="78"/>
  <c r="Y59" i="78"/>
  <c r="AJ60" i="78"/>
  <c r="AH60" i="78"/>
  <c r="X43" i="78"/>
  <c r="AN43" i="78"/>
  <c r="S44" i="78"/>
  <c r="R45" i="78"/>
  <c r="Z45" i="78"/>
  <c r="AM70" i="78"/>
  <c r="Y42" i="78"/>
  <c r="T43" i="78"/>
  <c r="AJ43" i="78"/>
  <c r="O44" i="78"/>
  <c r="AM44" i="78"/>
  <c r="V45" i="78"/>
  <c r="AL43" i="78"/>
  <c r="Q44" i="78"/>
  <c r="X45" i="78"/>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58" i="79" l="1"/>
  <c r="L67" i="79"/>
  <c r="L59" i="79"/>
  <c r="L81" i="79"/>
  <c r="L79" i="79"/>
  <c r="L68" i="79"/>
  <c r="L69" i="79"/>
  <c r="L53" i="79"/>
  <c r="L54" i="79"/>
  <c r="L52" i="79"/>
  <c r="L64" i="79"/>
  <c r="L63" i="79"/>
  <c r="L61" i="79"/>
  <c r="L62" i="79"/>
  <c r="L51" i="79"/>
  <c r="L78" i="79"/>
  <c r="L77" i="79"/>
  <c r="L41" i="79"/>
  <c r="L43" i="79"/>
  <c r="L37" i="79"/>
  <c r="L36" i="79"/>
  <c r="L34" i="79"/>
  <c r="L33" i="79"/>
  <c r="L32" i="79"/>
  <c r="L31" i="79"/>
  <c r="L38" i="79"/>
  <c r="L42" i="79"/>
  <c r="L40" i="79"/>
  <c r="L80" i="79"/>
  <c r="L76" i="79"/>
  <c r="L75" i="79"/>
  <c r="L73" i="78"/>
  <c r="L75" i="78"/>
  <c r="L74" i="78"/>
  <c r="L64" i="78"/>
  <c r="L68" i="78"/>
  <c r="L69" i="78"/>
  <c r="L63" i="78"/>
  <c r="L65" i="78"/>
  <c r="L67" i="78"/>
  <c r="L55" i="78"/>
  <c r="L53" i="78"/>
  <c r="L54" i="78"/>
  <c r="L45" i="78"/>
  <c r="L43" i="78"/>
  <c r="L59" i="78"/>
  <c r="L33" i="78"/>
  <c r="L44" i="78"/>
  <c r="L58" i="78"/>
  <c r="L57" i="78"/>
  <c r="L31" i="78"/>
  <c r="L48" i="78"/>
  <c r="L60" i="78"/>
  <c r="L70" i="78"/>
  <c r="L47" i="78"/>
  <c r="L50" i="78"/>
  <c r="L35" i="78"/>
  <c r="L34" i="78"/>
  <c r="L40" i="78"/>
  <c r="L39" i="78"/>
  <c r="L30" i="78"/>
  <c r="L49" i="78"/>
  <c r="L37" i="78"/>
  <c r="L38" i="78"/>
  <c r="C12" i="78"/>
  <c r="L12" i="78" s="1"/>
  <c r="L1" i="78"/>
  <c r="B27" i="78"/>
  <c r="C27" i="78" s="1"/>
  <c r="L27" i="78" s="1"/>
  <c r="C11" i="78"/>
  <c r="L11" i="78" s="1"/>
  <c r="C16" i="78"/>
  <c r="L16" i="78" s="1"/>
  <c r="C10" i="78"/>
  <c r="L10" i="78" s="1"/>
  <c r="B26" i="78"/>
  <c r="C26" i="78" s="1"/>
  <c r="L26" i="78"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77" i="78" l="1"/>
  <c r="C8" i="78"/>
  <c r="L8" i="78" s="1"/>
  <c r="C7" i="78" a="1"/>
  <c r="C7" i="78" s="1"/>
  <c r="L4" i="78"/>
  <c r="C9" i="78"/>
  <c r="L9" i="78" s="1"/>
  <c r="L96" i="36"/>
  <c r="L86" i="36"/>
  <c r="L91" i="36"/>
  <c r="L99" i="36"/>
  <c r="L90" i="36"/>
  <c r="L100" i="36"/>
  <c r="L7" i="78" l="1"/>
  <c r="C19" i="78"/>
  <c r="L19" i="7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9" l="1" a="1"/>
  <c r="C1" i="79" s="1"/>
  <c r="C1" i="7" s="1" a="1"/>
  <c r="C1" i="7" s="1"/>
  <c r="C16" i="7" l="1"/>
  <c r="L16" i="7" s="1"/>
  <c r="C10" i="7"/>
  <c r="L10" i="7" s="1"/>
  <c r="B27" i="7"/>
  <c r="C27" i="7" s="1"/>
  <c r="L27" i="7" s="1"/>
  <c r="B26" i="7"/>
  <c r="C26" i="7" s="1"/>
  <c r="L26" i="7" s="1"/>
  <c r="L1" i="7"/>
  <c r="C7" i="7" s="1" a="1"/>
  <c r="C7" i="7" s="1"/>
  <c r="C12" i="7"/>
  <c r="L12" i="7" s="1"/>
  <c r="C11" i="7"/>
  <c r="L11" i="7" s="1"/>
  <c r="C1" i="36" a="1"/>
  <c r="C1" i="36" s="1"/>
  <c r="C10" i="79"/>
  <c r="L10" i="79" s="1"/>
  <c r="C11" i="79"/>
  <c r="L11" i="79" s="1"/>
  <c r="C12" i="79"/>
  <c r="L12" i="79" s="1"/>
  <c r="C16" i="79"/>
  <c r="L16" i="79" s="1"/>
  <c r="B26" i="79"/>
  <c r="C26" i="79" s="1"/>
  <c r="L26" i="79" s="1"/>
  <c r="B27" i="79"/>
  <c r="C27" i="79" s="1"/>
  <c r="L27" i="79" s="1"/>
  <c r="L94" i="7" l="1"/>
  <c r="C8" i="7"/>
  <c r="L8" i="7" s="1"/>
  <c r="C9" i="7"/>
  <c r="L9" i="7" s="1"/>
  <c r="L4" i="7"/>
  <c r="L70" i="79"/>
  <c r="C7" i="79" a="1"/>
  <c r="C7" i="79" s="1"/>
  <c r="C8" i="79"/>
  <c r="L8" i="79" s="1"/>
  <c r="C9" i="79"/>
  <c r="L9" i="79" s="1"/>
  <c r="L4" i="79"/>
  <c r="B26" i="36"/>
  <c r="C26" i="36" s="1"/>
  <c r="L26" i="36" s="1"/>
  <c r="C12" i="36"/>
  <c r="L12" i="36" s="1"/>
  <c r="L1" i="36"/>
  <c r="C7" i="36" s="1" a="1"/>
  <c r="C7" i="36" s="1"/>
  <c r="C11" i="36"/>
  <c r="L11" i="36" s="1"/>
  <c r="C10" i="36"/>
  <c r="L10" i="36" s="1"/>
  <c r="C16" i="36"/>
  <c r="L16" i="36" s="1"/>
  <c r="B27" i="36"/>
  <c r="C27" i="36" s="1"/>
  <c r="L27" i="36" s="1"/>
  <c r="L7" i="7"/>
  <c r="C19" i="7"/>
  <c r="L19" i="7" s="1"/>
  <c r="L4" i="36" l="1"/>
  <c r="C9" i="36"/>
  <c r="L9" i="36" s="1"/>
  <c r="L7" i="79"/>
  <c r="C19" i="79"/>
  <c r="L19" i="79" s="1"/>
  <c r="L102" i="36"/>
  <c r="C8" i="36"/>
  <c r="L8" i="36" s="1"/>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9193E-39D2-4CB0-8787-D07A4AC487B5}">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F368CEA-5A85-4752-AD3C-5C3B2097F65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<sst xmlns="http://schemas.openxmlformats.org/spreadsheetml/2006/main" count="4857" uniqueCount="1088">
  <si>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</si>
  <si>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</si>
  <si>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</si>
  <si>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</si>
  <si>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</si>
  <si>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</si>
  <si>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</si>
  <si>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</si>
  <si>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</si>
  <si>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</si>
  <si>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</si>
  <si>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</si>
  <si>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</si>
  <si>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</si>
  <si>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</si>
  <si>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</si>
  <si>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</si>
  <si>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</si>
  <si>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</si>
  <si>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</si>
  <si>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</si>
  <si>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</si>
  <si>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</si>
  <si>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</si>
  <si>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</si>
  <si>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</si>
  <si>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</si>
  <si>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</si>
  <si>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</si>
  <si>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</si>
  <si>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</si>
  <si>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</si>
  <si>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</si>
  <si>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</si>
  <si>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</si>
  <si>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</si>
  <si>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</si>
  <si>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</si>
  <si>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</si>
  <si>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</si>
  <si>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</si>
  <si>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</si>
  <si>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</si>
  <si>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</si>
  <si>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</si>
  <si>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</si>
  <si>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</si>
  <si>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</si>
  <si>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</si>
  <si>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</si>
  <si>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</si>
  <si>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</si>
  <si>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</si>
  <si>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</si>
  <si>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</si>
  <si>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</si>
  <si>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</si>
  <si>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</si>
  <si>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</si>
  <si>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</si>
  <si>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</si>
  <si>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</si>
  <si>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</si>
  <si>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</si>
  <si>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</si>
  <si>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</si>
  <si>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</si>
  <si>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</si>
  <si>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</si>
  <si>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</si>
  <si>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</si>
  <si>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</si>
  <si>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</si>
  <si>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</si>
  <si>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</si>
  <si>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</si>
  <si>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</si>
  <si>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</si>
  <si>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</si>
  <si>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</si>
  <si>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</si>
  <si>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</si>
  <si>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</si>
  <si>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</si>
  <si>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</si>
  <si>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</si>
  <si>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</si>
  <si>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</si>
  <si>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</si>
  <si>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</si>
  <si>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</si>
  <si>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</si>
  <si>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</si>
  <si>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</si>
  <si>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</si>
  <si>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</si>
  <si>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</si>
  <si>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</si>
  <si>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</si>
  <si>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</si>
  <si>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</si>
  <si>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</si>
  <si>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</si>
  <si>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</si>
  <si>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</si>
  <si>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</si>
  <si>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</si>
  <si>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</si>
  <si>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</si>
  <si>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</si>
  <si>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</si>
  <si>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</si>
  <si>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</si>
  <si>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</si>
  <si>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</si>
  <si>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</si>
  <si>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</si>
  <si>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</si>
  <si>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</si>
  <si>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</si>
  <si>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</si>
  <si>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</si>
  <si>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</si>
  <si>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</si>
  <si>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</si>
  <si>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</si>
  <si>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</si>
  <si>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</si>
  <si>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</si>
  <si>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</si>
  <si>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</si>
  <si>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</si>
  <si>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</si>
  <si>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</si>
  <si>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</si>
  <si>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</si>
  <si>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</si>
  <si>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</si>
  <si>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</si>
  <si>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</si>
  <si>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</si>
  <si>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</si>
  <si>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</si>
  <si>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</si>
  <si>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</si>
  <si>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</si>
  <si>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</si>
  <si>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</si>
  <si>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</si>
  <si>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</si>
  <si>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</si>
  <si>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</si>
  <si>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</si>
  <si>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</si>
  <si>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</si>
  <si>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</si>
  <si>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</si>
  <si>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</si>
  <si>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</si>
  <si>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</si>
  <si>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</si>
  <si>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</si>
  <si>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</si>
  <si>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</si>
  <si>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</si>
  <si>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</si>
  <si>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</si>
  <si>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</si>
  <si>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</si>
  <si>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</si>
  <si>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</si>
  <si>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</si>
  <si>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</si>
  <si>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</si>
  <si>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</si>
  <si>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</si>
  <si>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</si>
  <si>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</si>
  <si>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</si>
  <si>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</si>
  <si>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</si>
  <si>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</si>
  <si>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</si>
  <si>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</si>
  <si>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</si>
  <si>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</si>
  <si>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</si>
  <si>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</si>
  <si>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</si>
  <si>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</si>
  <si>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</si>
  <si>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</si>
  <si>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</si>
  <si>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</si>
  <si>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</si>
  <si>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</si>
  <si>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</si>
  <si>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</si>
  <si>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</si>
  <si>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</si>
  <si>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</si>
  <si>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</si>
  <si>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</si>
  <si>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</si>
  <si>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</si>
  <si>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</si>
  <si>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</si>
  <si>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</si>
  <si>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</si>
  <si>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</si>
  <si>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</si>
  <si>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</si>
  <si>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</si>
  <si>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</si>
  <si>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</si>
  <si>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</si>
  <si>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</si>
  <si>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</si>
  <si>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</si>
  <si>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</si>
  <si>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</si>
  <si>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</si>
  <si>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</si>
  <si>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</si>
  <si>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</si>
  <si>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</si>
  <si>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</si>
  <si>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</si>
  <si>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</si>
  <si>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</si>
  <si>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</si>
  <si>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</si>
  <si>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</si>
  <si>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</si>
  <si>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</si>
  <si>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</si>
  <si>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</si>
  <si>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</si>
  <si>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</si>
  <si>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</si>
  <si>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</si>
  <si>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</si>
  <si>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</si>
  <si>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</si>
  <si>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</si>
  <si>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</si>
  <si>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</si>
  <si>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</si>
  <si>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</si>
  <si>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</si>
  <si>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</si>
  <si>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</si>
  <si>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</si>
  <si>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</si>
  <si>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</si>
  <si>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</si>
  <si>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</si>
  <si>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</si>
  <si>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</si>
  <si>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</si>
  <si>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</si>
  <si>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</si>
  <si>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</si>
  <si>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</si>
  <si>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</si>
  <si>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</si>
  <si>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</si>
  <si>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</si>
  <si>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</si>
  <si>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</si>
  <si>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</si>
  <si>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</si>
  <si>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</si>
  <si>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</si>
  <si>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</si>
  <si>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</si>
  <si>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</si>
  <si>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</si>
  <si>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</si>
  <si>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</si>
  <si>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</si>
  <si>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</si>
  <si>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</si>
  <si>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</si>
  <si>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</si>
  <si>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</si>
  <si>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</si>
  <si>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</si>
  <si>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</si>
  <si>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</si>
  <si>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</si>
  <si>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</si>
  <si>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</si>
  <si>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</si>
  <si>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</si>
  <si>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</si>
  <si>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</si>
  <si>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</si>
  <si>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</si>
  <si>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</si>
  <si>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</si>
  <si>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</si>
  <si>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</si>
  <si>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</si>
  <si>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</si>
  <si>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</si>
  <si>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</si>
  <si>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</si>
  <si>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</si>
  <si>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</si>
  <si>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</si>
  <si>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</si>
  <si>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</si>
  <si>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</si>
  <si>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</si>
  <si>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</si>
  <si>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</si>
  <si>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</si>
  <si>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</si>
  <si>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</si>
  <si>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</si>
  <si>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</si>
  <si>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</si>
  <si>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</si>
  <si>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</si>
  <si>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</si>
  <si>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</si>
  <si>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</si>
  <si>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</si>
  <si>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</si>
  <si>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</si>
  <si>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</si>
  <si>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</si>
  <si>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</si>
  <si>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</si>
  <si>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</si>
  <si>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</si>
  <si>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</si>
  <si>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</si>
  <si>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</si>
  <si>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</si>
  <si>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</si>
  <si>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</si>
  <si>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</si>
  <si>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</si>
  <si>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</si>
  <si>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</si>
  <si>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</si>
  <si>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</si>
  <si>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</si>
  <si>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</si>
  <si>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</si>
  <si>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</si>
  <si>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</si>
  <si>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</si>
  <si>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</si>
  <si>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</si>
  <si>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</si>
  <si>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</si>
  <si>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</si>
  <si>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</si>
  <si>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</si>
  <si>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</si>
  <si>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</si>
  <si>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</si>
  <si>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</si>
  <si>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</si>
  <si>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</si>
  <si>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</si>
  <si>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</si>
  <si>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</si>
  <si>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</si>
  <si>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</si>
  <si>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</si>
  <si>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</si>
  <si>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</si>
  <si>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</si>
  <si>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</si>
  <si>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</si>
  <si>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</si>
  <si>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</si>
  <si>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</si>
  <si>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</si>
  <si>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</si>
  <si>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</si>
  <si>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</si>
  <si>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</si>
  <si>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</si>
  <si>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</si>
  <si>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</si>
  <si>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</si>
  <si>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</si>
  <si>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</si>
  <si>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</si>
  <si>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</si>
  <si>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</si>
  <si>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</si>
  <si>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</si>
  <si>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</si>
  <si>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</si>
  <si>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</si>
  <si>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</si>
  <si>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</si>
  <si>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</si>
  <si>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</si>
  <si>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</si>
  <si>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</si>
  <si>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</si>
  <si>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</si>
  <si>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</si>
  <si>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</si>
  <si>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</si>
  <si>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</si>
  <si>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</si>
  <si>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</si>
  <si>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</si>
  <si>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</si>
  <si>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</si>
  <si>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</si>
  <si>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</si>
  <si>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</si>
  <si>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</si>
  <si>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</si>
  <si>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</si>
  <si>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</si>
  <si>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</si>
  <si>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</si>
  <si>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</si>
  <si>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</si>
  <si>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</si>
  <si>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</si>
  <si>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</si>
  <si>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</si>
  <si>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</si>
  <si>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</si>
  <si>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</si>
  <si>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</si>
  <si>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</si>
  <si>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</si>
  <si>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</si>
  <si>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</si>
  <si>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</si>
  <si>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</si>
  <si>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</si>
  <si>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</si>
  <si>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</si>
  <si>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</si>
  <si>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</si>
  <si>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</si>
  <si>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</si>
  <si>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</si>
  <si>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</si>
  <si>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</si>
  <si>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</si>
  <si>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</si>
  <si>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</si>
  <si>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</si>
  <si>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</si>
  <si>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</si>
  <si>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</si>
  <si>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</si>
  <si>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</si>
  <si>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</si>
  <si>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</si>
  <si>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</si>
  <si>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</si>
  <si>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</si>
  <si>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</si>
  <si>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</si>
  <si>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</si>
  <si>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</si>
  <si>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</si>
  <si>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</si>
  <si>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</si>
  <si>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</si>
  <si>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</si>
  <si>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</si>
  <si>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</si>
  <si>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</si>
  <si>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</si>
  <si>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</si>
  <si>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</si>
  <si>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</si>
  <si>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</si>
  <si>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</si>
  <si>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</si>
  <si>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</si>
  <si>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</si>
  <si>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</si>
  <si>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</si>
  <si>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</si>
  <si>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</si>
  <si>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</si>
  <si>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</si>
  <si>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</si>
  <si>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</si>
  <si>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</si>
  <si>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</si>
  <si>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</si>
  <si>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</si>
  <si>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</si>
  <si>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</si>
  <si>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</si>
  <si>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</si>
  <si>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</si>
  <si>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</si>
  <si>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</si>
  <si>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</si>
  <si>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</si>
  <si>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</si>
  <si>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</si>
  <si>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</si>
  <si>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</si>
  <si>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</si>
  <si>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</si>
  <si>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</si>
  <si>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</si>
  <si>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</si>
  <si>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</si>
  <si>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</si>
  <si>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</si>
  <si>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</si>
  <si>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</si>
  <si>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</si>
  <si>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</si>
  <si>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</si>
  <si>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</si>
  <si>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</si>
  <si>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</si>
  <si>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</si>
  <si>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</si>
  <si>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</si>
  <si>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</si>
  <si>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</si>
  <si>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</si>
  <si>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</si>
  <si>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</si>
  <si>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</si>
  <si>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</si>
  <si>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</si>
  <si>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</si>
  <si>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</si>
  <si>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</si>
  <si>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</si>
  <si>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</si>
  <si>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</si>
  <si>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</si>
  <si>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</si>
  <si>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</si>
  <si>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</si>
  <si>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</si>
  <si>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</si>
  <si>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</si>
  <si>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</si>
  <si>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</si>
  <si>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</si>
  <si>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</si>
  <si>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</si>
  <si>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</si>
  <si>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</si>
  <si>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</si>
  <si>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</si>
  <si>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</si>
  <si>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</si>
  <si>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</si>
  <si>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</si>
  <si>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</si>
  <si>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</si>
  <si>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</si>
  <si>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</si>
  <si>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</si>
  <si>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</si>
  <si>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</si>
  <si>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</si>
  <si>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</si>
  <si>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</si>
  <si>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</si>
  <si>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</si>
  <si>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</si>
  <si>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</si>
  <si>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</si>
  <si>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</si>
  <si>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</si>
  <si>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</si>
  <si>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</si>
  <si>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</si>
  <si>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</si>
  <si>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</si>
  <si>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</si>
  <si>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</si>
  <si>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</si>
  <si>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</si>
  <si>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</si>
  <si>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</si>
  <si>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</si>
  <si>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</si>
  <si>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</si>
  <si>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</si>
  <si>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</si>
  <si>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</si>
  <si>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</si>
  <si>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</si>
  <si>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</si>
  <si>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</si>
  <si>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</si>
  <si>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</si>
  <si>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</si>
  <si>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</si>
  <si>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</si>
  <si>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</si>
  <si>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</si>
  <si>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</si>
  <si>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</si>
  <si>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</si>
  <si>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</si>
  <si>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</si>
  <si>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</si>
  <si>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</si>
  <si>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</si>
  <si>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</si>
  <si>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</si>
  <si>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</si>
  <si>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</si>
  <si>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</si>
  <si>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</si>
  <si>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</si>
  <si>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</si>
  <si>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</si>
  <si>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</si>
  <si>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</si>
  <si>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</si>
  <si>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</si>
  <si>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</si>
  <si>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</si>
  <si>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</si>
  <si>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</si>
  <si>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</si>
  <si>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</si>
  <si>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</si>
  <si>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</si>
  <si>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</si>
  <si>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</si>
  <si>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</si>
  <si>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</si>
  <si>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</si>
  <si>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</si>
  <si>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</si>
  <si>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</si>
  <si>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</si>
  <si>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</si>
  <si>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</si>
  <si>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</si>
  <si>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</si>
  <si>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</si>
  <si>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</si>
  <si>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</si>
  <si>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</si>
  <si>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</si>
  <si>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</si>
  <si>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</si>
  <si>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</si>
  <si>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</si>
  <si>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</si>
  <si>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</si>
  <si>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</si>
  <si>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</si>
  <si>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</si>
  <si>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</si>
  <si>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</si>
  <si>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</si>
  <si>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</si>
  <si>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</si>
  <si>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</si>
  <si>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</si>
  <si>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</si>
  <si>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</si>
  <si>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</si>
  <si>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</si>
  <si>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</si>
  <si>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</si>
  <si>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</si>
  <si>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</si>
  <si>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</si>
  <si>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</si>
  <si>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</si>
  <si>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</si>
  <si>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</si>
  <si>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</si>
  <si>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</si>
  <si>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</si>
  <si>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</si>
  <si>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</si>
  <si>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</si>
  <si>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</si>
  <si>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</si>
  <si>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</si>
  <si>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</si>
  <si>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</si>
  <si>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</si>
  <si>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</si>
  <si>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</si>
  <si>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</si>
  <si>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</si>
  <si>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</si>
  <si>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</si>
  <si>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</si>
  <si>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</si>
  <si>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</si>
  <si>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</si>
  <si>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</si>
  <si>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</si>
  <si>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</si>
  <si>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</si>
  <si>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</si>
  <si>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</si>
  <si>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</si>
  <si>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</si>
  <si>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</si>
  <si>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</si>
  <si>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</si>
  <si>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</si>
  <si>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</si>
  <si>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</si>
  <si>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</si>
  <si>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</si>
  <si>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</si>
  <si>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</si>
  <si>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</si>
  <si>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</si>
  <si>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</si>
  <si>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</si>
  <si>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</si>
  <si>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</si>
  <si>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</si>
  <si>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</si>
  <si>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</si>
  <si>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</si>
  <si>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</si>
  <si>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</si>
  <si>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</si>
  <si>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</si>
  <si>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</si>
  <si>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</si>
  <si>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</si>
  <si>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</si>
  <si>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</si>
  <si>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</si>
  <si>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</si>
  <si>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</si>
  <si>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</si>
  <si>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</si>
  <si>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</si>
  <si>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</si>
  <si>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</si>
  <si>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</si>
  <si>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</si>
  <si>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</si>
  <si>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</si>
  <si>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</si>
  <si>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</si>
  <si>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</si>
  <si>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</si>
  <si>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</si>
  <si>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</si>
  <si>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</si>
  <si>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</si>
  <si>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</si>
  <si>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</si>
  <si>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</si>
  <si>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</si>
  <si>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</si>
  <si>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</si>
  <si>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</si>
  <si>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</si>
  <si>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</si>
  <si>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</si>
  <si>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</si>
  <si>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</si>
  <si>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</si>
  <si>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</si>
  <si>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</si>
  <si>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</si>
  <si>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</si>
  <si>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</si>
  <si>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</si>
  <si>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</si>
  <si>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</si>
  <si>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</si>
  <si>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</si>
  <si>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</si>
  <si>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</si>
  <si>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</si>
  <si>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</si>
  <si>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</si>
  <si>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</si>
  <si>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</si>
  <si>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</si>
  <si>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</si>
  <si>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</si>
  <si>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</si>
  <si>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</si>
  <si>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</si>
  <si>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</si>
  <si>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</si>
  <si>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</si>
  <si>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</si>
  <si>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</si>
  <si>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</si>
  <si>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</si>
  <si>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</si>
  <si>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</si>
  <si>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</si>
  <si>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</si>
  <si>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</si>
  <si>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</si>
  <si>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</si>
  <si>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</si>
  <si>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</si>
  <si>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</si>
  <si>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</si>
  <si>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</si>
  <si>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</si>
  <si>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</si>
  <si>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</si>
  <si>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</si>
  <si>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</si>
  <si>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</si>
  <si>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</si>
  <si>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</si>
  <si>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</si>
  <si>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</si>
  <si>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</si>
  <si>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</si>
  <si>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</si>
  <si>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</si>
  <si>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</si>
  <si>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</si>
  <si>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</si>
  <si>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</si>
  <si>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</si>
  <si>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</si>
  <si>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</si>
  <si>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</si>
  <si>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</si>
  <si>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</si>
  <si>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</si>
  <si>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</si>
  <si>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</si>
  <si>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</si>
  <si>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</si>
  <si>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</si>
  <si>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</si>
  <si>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</si>
  <si>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</si>
  <si>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</si>
  <si>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</si>
  <si>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</si>
  <si>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</si>
  <si>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</si>
  <si>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</si>
  <si>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</si>
  <si>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</si>
  <si>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</si>
  <si>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</si>
  <si>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</si>
  <si>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</si>
  <si>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</si>
  <si>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</si>
  <si>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</si>
  <si>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</si>
  <si>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</si>
  <si>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</si>
  <si>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</si>
  <si>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</si>
  <si>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</si>
  <si>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</si>
  <si>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</si>
  <si>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</si>
  <si>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</si>
  <si>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</si>
  <si>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</si>
  <si>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</si>
  <si>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</si>
  <si>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</si>
  <si>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</si>
  <si>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</si>
  <si>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</si>
  <si>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</si>
  <si>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</si>
  <si>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</si>
  <si>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</si>
  <si>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</si>
  <si>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</si>
  <si>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</si>
  <si>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</si>
  <si>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</si>
  <si>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</si>
  <si>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</si>
  <si>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</si>
  <si>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</si>
  <si>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</si>
  <si>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</si>
  <si>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</si>
  <si>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</si>
  <si>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</si>
  <si>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</si>
  <si>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</si>
  <si>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</si>
  <si>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</si>
  <si>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</si>
  <si>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</si>
  <si>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</si>
  <si>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</si>
  <si>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</si>
  <si>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</si>
  <si>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</si>
  <si>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</si>
  <si>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</si>
  <si>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</si>
  <si>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</si>
  <si>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</si>
  <si>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</si>
  <si>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</si>
  <si>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</si>
  <si>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</si>
  <si>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</si>
  <si>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</si>
  <si>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</si>
  <si>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</si>
  <si>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</si>
  <si>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</si>
  <si>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</si>
  <si>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</si>
  <si>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</si>
  <si>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</si>
  <si>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</si>
  <si>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</si>
  <si>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</si>
  <si>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</si>
  <si>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</si>
  <si>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</si>
  <si>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</si>
  <si>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</si>
  <si>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</si>
  <si>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</si>
  <si>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</si>
  <si>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</si>
  <si>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</si>
  <si>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</si>
  <si>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</si>
  <si>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</si>
  <si>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</si>
  <si>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</si>
  <si>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</si>
  <si>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</si>
  <si>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</si>
  <si>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</si>
  <si>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</si>
  <si>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</si>
  <si>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</si>
  <si>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</si>
  <si>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</si>
  <si>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</si>
  <si>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</si>
  <si>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</si>
  <si>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</si>
  <si>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</si>
  <si>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</si>
  <si>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</si>
  <si>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</si>
  <si>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</si>
  <si>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</si>
  <si>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</si>
  <si>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</si>
  <si>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</si>
  <si>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</si>
  <si>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</si>
  <si>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</si>
  <si>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</si>
  <si>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</si>
  <si>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</si>
  <si>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</si>
  <si>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</si>
  <si>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</si>
  <si>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</si>
  <si>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</si>
  <si>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</si>
  <si>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</si>
  <si>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</si>
  <si>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</si>
  <si>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</si>
  <si>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</si>
  <si>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</si>
  <si>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</si>
  <si>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</si>
  <si>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</si>
  <si>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</si>
  <si>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</si>
  <si>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</si>
  <si>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</si>
  <si>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</si>
  <si>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</si>
  <si>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</si>
  <si>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</si>
  <si>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</si>
  <si>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</si>
  <si>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</si>
  <si>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</si>
  <si>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</si>
  <si>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</si>
  <si>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</si>
  <si>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</si>
  <si>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</si>
  <si>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</si>
  <si>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</si>
  <si>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</si>
  <si>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</si>
  <si>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</si>
  <si>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</si>
  <si>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</si>
  <si>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</si>
  <si>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</si>
  <si>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</si>
  <si>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</si>
  <si>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</si>
  <si>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</si>
  <si>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</si>
  <si>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</si>
  <si>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</si>
  <si>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</si>
  <si>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</si>
  <si>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</si>
  <si>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</si>
  <si>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</si>
  <si>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</si>
  <si>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</si>
  <si>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</si>
  <si>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</si>
  <si>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</si>
  <si>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</si>
  <si>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</si>
  <si>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</si>
  <si>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</si>
  <si>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</si>
  <si>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</si>
  <si>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</si>
  <si>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</si>
  <si>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t>
  </si>
  <si>
    <t>Señor, escucha mi oración,</t>
  </si>
  <si>
    <t>presta oídos a mi súplica.</t>
  </si>
  <si>
    <t>TÚ QUE ERES FIEL,</t>
  </si>
  <si>
    <t>TÚ QUE ERES FIEL, RESPÓNDEME,</t>
  </si>
  <si>
    <t>POR TU JUSTICIA RESPÓNDEME.</t>
  </si>
  <si>
    <t>No llames a juicio a tu siervo,</t>
  </si>
  <si>
    <t>ningún hombre es inocente frente a ti.</t>
  </si>
  <si>
    <t>El enemigo me persigue,</t>
  </si>
  <si>
    <t>estrella mi vida contra el suelo.</t>
  </si>
  <si>
    <t>Extiendo mis manos hacia ti,</t>
  </si>
  <si>
    <t>tengo sed de ti como tierra reseca.</t>
  </si>
  <si>
    <t>¡Escúchame pronto, Señor,</t>
  </si>
  <si>
    <t>que me falta el aliento!</t>
  </si>
  <si>
    <t>Hazme conocer el camino,</t>
  </si>
  <si>
    <t>la vía que he de seguir.</t>
  </si>
  <si>
    <t>Líbrame de mis enemigos,</t>
  </si>
  <si>
    <t>Señor, que me refugio en ti.</t>
  </si>
  <si>
    <t>Enséñame a cumplir tu voluntad,</t>
  </si>
  <si>
    <t>porque tú eres mi Dios;</t>
  </si>
  <si>
    <t>tu Espíritu me guíe,</t>
  </si>
  <si>
    <t>tu Espíritu me guíe por tierra llana.</t>
  </si>
  <si>
    <t>Campana sobre campana,</t>
  </si>
  <si>
    <t>y sobre campana una,</t>
  </si>
  <si>
    <t>asómate a la ventana,</t>
  </si>
  <si>
    <t>verás al Niño en la cuna.</t>
  </si>
  <si>
    <t>Belén, campanas de Belén,</t>
  </si>
  <si>
    <t>que los ángeles tocan</t>
  </si>
  <si>
    <t>¿qué nuevas me traéis?</t>
  </si>
  <si>
    <t>¿a dónde vas pastorcito?</t>
  </si>
  <si>
    <t>La</t>
  </si>
  <si>
    <t>Mi</t>
  </si>
  <si>
    <t>Voy a llevar al portal</t>
  </si>
  <si>
    <t>requesón, manteca y vino.</t>
  </si>
  <si>
    <t>y sobre campana dos,</t>
  </si>
  <si>
    <t>verás al Hijo de Dios.</t>
  </si>
  <si>
    <t>Caminando a media noche,</t>
  </si>
  <si>
    <t>¿dónde caminas pastor?</t>
  </si>
  <si>
    <t>Le llevo al Niño que nace,</t>
  </si>
  <si>
    <t>Recogido su rebaño,</t>
  </si>
  <si>
    <t>como a Dios mi corazón.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</si>
</sst>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9"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6"/>
      <color theme="1"/>
      <name val="Aptos Narrow"/>
      <family val="2"/>
      <scheme val="minor"/>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48" fillId="0" borderId="9" xfId="0" applyFont="1" applyBorder="1"/>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E5E45BD-3FDC-4261-A9AE-22B216831A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BE0D29C-B655-4671-9E39-143A8EC03D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700-0000010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42F37C-FDAA-4228-BF68-E23F727F17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565505-1A0B-49A3-BFF3-7E274BB7E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44C5D5F9-6697-4C53-92E8-4536660AA63B}"/>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1017</v>
      </c>
    </row>
    <row r="3" spans="1:1" ht="58" x14ac:dyDescent="0.35">
      <c r="A3" s="102" t="s">
        <v>1018</v>
      </c>
    </row>
    <row r="5" spans="1:1" x14ac:dyDescent="0.35">
      <c r="A5" t="s">
        <v>1019</v>
      </c>
    </row>
    <row r="6" spans="1:1" ht="72.5" x14ac:dyDescent="0.35">
      <c r="A6" s="102" t="s">
        <v>1020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1016</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1014</v>
      </c>
      <c r="B7" s="37"/>
      <c r="C7" s="37"/>
      <c r="D7" s="37"/>
      <c r="E7" s="37"/>
      <c r="F7" s="38"/>
      <c r="G7" s="38"/>
      <c r="H7" s="38"/>
    </row>
    <row r="8" spans="1:8" ht="26.15" customHeight="1" x14ac:dyDescent="0.7">
      <c r="A8" s="37" t="s">
        <v>1022</v>
      </c>
      <c r="B8" s="37"/>
      <c r="C8" s="37"/>
      <c r="D8" s="37"/>
      <c r="E8" s="37"/>
      <c r="F8" s="38"/>
      <c r="G8" s="38"/>
      <c r="H8" s="38"/>
    </row>
    <row r="9" spans="1:8" ht="26.15" customHeight="1" x14ac:dyDescent="0.7">
      <c r="A9" s="37" t="s">
        <v>1023</v>
      </c>
      <c r="B9" s="37"/>
      <c r="C9" s="37"/>
      <c r="D9" s="37"/>
      <c r="E9" s="37"/>
      <c r="F9" s="38"/>
      <c r="G9" s="38"/>
      <c r="H9" s="38"/>
    </row>
    <row r="10" spans="1:8" ht="26.15" customHeight="1" x14ac:dyDescent="0.7">
      <c r="A10" s="37" t="s">
        <v>1024</v>
      </c>
      <c r="B10" s="37"/>
      <c r="C10" s="37"/>
      <c r="D10" s="37"/>
      <c r="E10" s="38"/>
      <c r="F10" s="38"/>
      <c r="G10" s="38"/>
      <c r="H10" s="38"/>
    </row>
    <row r="11" spans="1:8" ht="26.15" customHeight="1" x14ac:dyDescent="0.7">
      <c r="A11" s="37" t="s">
        <v>1025</v>
      </c>
      <c r="B11" s="37"/>
      <c r="C11" s="37"/>
      <c r="D11" s="37"/>
      <c r="E11" s="38"/>
      <c r="F11" s="38"/>
      <c r="G11" s="38"/>
      <c r="H11" s="38"/>
    </row>
    <row r="12" spans="1:8" ht="26.15" customHeight="1" x14ac:dyDescent="0.7">
      <c r="A12" s="37" t="s">
        <v>1026</v>
      </c>
      <c r="B12" s="37"/>
      <c r="C12" s="37"/>
      <c r="D12" s="37"/>
      <c r="E12" s="38"/>
      <c r="F12" s="38"/>
      <c r="G12" s="38"/>
      <c r="H12" s="38"/>
    </row>
    <row r="13" spans="1:8" ht="26.15" customHeight="1" x14ac:dyDescent="0.7">
      <c r="A13" s="37" t="s">
        <v>1027</v>
      </c>
      <c r="B13" s="37"/>
      <c r="C13" s="37"/>
      <c r="D13" s="37"/>
      <c r="E13" s="38"/>
      <c r="F13" s="38"/>
      <c r="G13" s="38"/>
      <c r="H13" s="38"/>
    </row>
    <row r="14" spans="1:8" ht="26.15" customHeight="1" x14ac:dyDescent="0.7">
      <c r="A14" s="37" t="s">
        <v>1028</v>
      </c>
      <c r="B14" s="37"/>
      <c r="C14" s="37"/>
      <c r="D14" s="37"/>
      <c r="E14" s="38"/>
      <c r="F14" s="38"/>
      <c r="G14" s="38"/>
      <c r="H14" s="38"/>
    </row>
    <row r="15" spans="1:8" ht="26.15" customHeight="1" x14ac:dyDescent="0.7">
      <c r="A15" s="37" t="s">
        <v>1029</v>
      </c>
      <c r="B15" s="37"/>
      <c r="C15" s="37"/>
      <c r="D15" s="37"/>
      <c r="E15" s="38"/>
      <c r="F15" s="38"/>
      <c r="G15" s="38"/>
      <c r="H15" s="38"/>
    </row>
    <row r="16" spans="1:8" ht="26.15" customHeight="1" x14ac:dyDescent="0.7">
      <c r="A16" s="37" t="s">
        <v>1030</v>
      </c>
      <c r="B16" s="37"/>
      <c r="C16" s="37"/>
      <c r="D16" s="37"/>
      <c r="E16" s="38"/>
      <c r="F16" s="38"/>
      <c r="G16" s="38"/>
      <c r="H16" s="38"/>
    </row>
    <row r="17" spans="1:8" ht="26.15" customHeight="1" x14ac:dyDescent="0.7">
      <c r="A17" s="37" t="s">
        <v>1031</v>
      </c>
      <c r="B17" s="37"/>
      <c r="C17" s="37"/>
      <c r="D17" s="37"/>
      <c r="E17" s="38"/>
      <c r="F17" s="38"/>
      <c r="G17" s="38"/>
      <c r="H17" s="38"/>
    </row>
    <row r="18" spans="1:8" ht="26.15" customHeight="1" x14ac:dyDescent="0.7">
      <c r="A18" s="37" t="s">
        <v>1032</v>
      </c>
      <c r="B18" s="37"/>
      <c r="C18" s="37"/>
      <c r="D18" s="37"/>
      <c r="E18" s="38"/>
      <c r="F18" s="38"/>
      <c r="G18" s="38"/>
      <c r="H18" s="38"/>
    </row>
    <row r="19" spans="1:8" ht="26.15" customHeight="1" x14ac:dyDescent="0.7">
      <c r="A19" s="37" t="s">
        <v>1033</v>
      </c>
      <c r="B19" s="37"/>
      <c r="C19" s="37"/>
      <c r="D19" s="37"/>
      <c r="E19" s="38"/>
      <c r="F19" s="38"/>
      <c r="G19" s="38"/>
      <c r="H19" s="38"/>
    </row>
    <row r="20" spans="1:8" ht="25" x14ac:dyDescent="0.7">
      <c r="A20" s="37" t="s">
        <v>1034</v>
      </c>
      <c r="B20" s="37"/>
      <c r="C20" s="37"/>
      <c r="D20" s="37"/>
      <c r="E20" s="37"/>
      <c r="F20" s="37"/>
      <c r="G20" s="37"/>
      <c r="H20" s="37"/>
    </row>
    <row r="21" spans="1:8" ht="25" x14ac:dyDescent="0.7">
      <c r="A21" s="37" t="s">
        <v>1035</v>
      </c>
      <c r="B21" s="37"/>
      <c r="C21" s="37"/>
      <c r="D21" s="37"/>
      <c r="E21" s="37"/>
      <c r="F21" s="37"/>
      <c r="G21" s="37"/>
      <c r="H21" s="37"/>
    </row>
    <row r="22" spans="1:8" ht="25" x14ac:dyDescent="0.7">
      <c r="A22" s="37" t="s">
        <v>1036</v>
      </c>
      <c r="B22" s="37"/>
      <c r="C22" s="37"/>
      <c r="D22" s="37"/>
      <c r="E22" s="37"/>
      <c r="F22" s="37"/>
      <c r="G22" s="37"/>
      <c r="H22" s="37"/>
    </row>
    <row r="23" spans="1:8" ht="25" x14ac:dyDescent="0.7">
      <c r="A23" s="37" t="s">
        <v>1037</v>
      </c>
      <c r="B23" s="37"/>
      <c r="C23" s="37"/>
      <c r="D23" s="37"/>
      <c r="E23" s="37"/>
      <c r="F23" s="37"/>
      <c r="G23" s="37"/>
      <c r="H23" s="37"/>
    </row>
    <row r="24" spans="1:8" ht="25" x14ac:dyDescent="0.7">
      <c r="A24" s="37" t="s">
        <v>1038</v>
      </c>
      <c r="B24" s="37"/>
      <c r="C24" s="37"/>
      <c r="D24" s="37"/>
      <c r="E24" s="37"/>
      <c r="F24" s="37"/>
      <c r="G24" s="37"/>
      <c r="H24" s="37"/>
    </row>
    <row r="25" spans="1:8" ht="25" x14ac:dyDescent="0.7">
      <c r="A25" s="37" t="s">
        <v>1041</v>
      </c>
      <c r="B25" s="37"/>
      <c r="C25" s="37"/>
      <c r="D25" s="37"/>
      <c r="E25" s="37"/>
      <c r="F25" s="37"/>
      <c r="G25" s="37"/>
      <c r="H25" s="37"/>
    </row>
    <row r="26" spans="1:8" ht="25" x14ac:dyDescent="0.7">
      <c r="A26" s="37" t="s">
        <v>1015</v>
      </c>
      <c r="B26" s="37"/>
      <c r="C26" s="37"/>
      <c r="D26" s="37"/>
      <c r="E26" s="37"/>
      <c r="F26" s="37"/>
      <c r="G26" s="37"/>
      <c r="H26" s="37"/>
    </row>
    <row r="27" spans="1:8" ht="25" x14ac:dyDescent="0.7">
      <c r="A27" s="37" t="s">
        <v>1042</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1021</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1040</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1021</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1040</v>
      </c>
      <c r="D70" t="s">
        <v>326</v>
      </c>
      <c r="E70" t="s">
        <v>260</v>
      </c>
      <c r="F70" s="6" t="s">
        <v>18</v>
      </c>
      <c r="M70" t="s">
        <v>1039</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1043</v>
      </c>
      <c r="D72" t="s">
        <v>449</v>
      </c>
      <c r="E72" t="s">
        <v>260</v>
      </c>
      <c r="F72" s="6" t="s">
        <v>18</v>
      </c>
      <c r="M72" t="s">
        <v>1044</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160</v>
      </c>
      <c r="E1" s="40"/>
      <c r="F1" s="40"/>
      <c r="G1" s="40"/>
      <c r="H1" s="40"/>
      <c r="I1" s="40"/>
      <c r="J1" s="40"/>
      <c r="K1" s="40"/>
      <c r="L1" s="41" t="str">
        <f>VLOOKUP(C1,'[1]Codigo Canto'!A3:AQ236,38,FALSE)</f>
        <v>TÚ HAS CUBIERTO DE VERGÜENZA LA MUERTE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TÚ HAS CUBIERTO DE VERGÜENZA LA MUERTE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tuhascubiertodevergüenzalamuerte</v>
      </c>
      <c r="L7" s="48" t="str">
        <f>_xlfn.CONCAT("        id: ","""",C7,"""",",")</f>
        <v xml:space="preserve">        id: "tuhascubiertodevergüenzalamuerte",</v>
      </c>
    </row>
    <row r="8" spans="2:32" ht="23" x14ac:dyDescent="0.35">
      <c r="C8" t="str">
        <f>PROPER(L1)</f>
        <v>Tú Has Cubierto De Vergüenza La Muerte</v>
      </c>
      <c r="L8" s="48" t="str">
        <f>_xlfn.CONCAT("        tt: ","""",C8,"""",",")</f>
        <v xml:space="preserve">        tt: "Tú Has Cubierto De Vergüenza La Muerte",</v>
      </c>
    </row>
    <row r="9" spans="2:32" ht="23" x14ac:dyDescent="0.35">
      <c r="C9" t="str">
        <f>PROPER(L1)</f>
        <v>Tú Has Cubierto De Vergüenza La Muerte</v>
      </c>
      <c r="L9" s="48" t="str">
        <f>_xlfn.CONCAT("        title: ","""",C9,"""",",")</f>
        <v xml:space="preserve">        title: "Tú Has Cubierto De Vergüenza La Muerte",</v>
      </c>
    </row>
    <row r="10" spans="2:32" ht="23" x14ac:dyDescent="0.35">
      <c r="C10" t="str">
        <f>VLOOKUP(C1,'[1]Codigo Canto'!A3:AQ236,12,FALSE)</f>
        <v>Homilía Pascual (Melltón de Sardes)</v>
      </c>
      <c r="L10" s="48" t="str">
        <f>_xlfn.CONCAT("        ","subtitle: ","""",C10,"""",",")</f>
        <v xml:space="preserve">        subtitle: "Homilía Pascual (Melltón de Sardes)",</v>
      </c>
    </row>
    <row r="11" spans="2:32" ht="23" x14ac:dyDescent="0.35">
      <c r="C11" t="str">
        <f>_xlfn.CONCAT("category: [",VLOOKUP(C1,Table223[],16,FALSE),"],")</f>
        <v>category: ["Precatecumenado","Vírgen María","Pascua","Pentecostés","Fracción Del Pan"],</v>
      </c>
      <c r="L11" s="48" t="str">
        <f>_xlfn.CONCAT("        ",C11)</f>
        <v xml:space="preserve">        category: ["Precatecumenado","Vírgen María","Pascua","Pentecostés","Fracción Del Pan"],</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160</v>
      </c>
      <c r="L16" s="48" t="str">
        <f>_xlfn.CONCAT("        dbno: ","""",C16,"""",",")</f>
        <v xml:space="preserve">        dbno: "160",</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tuhascubiertodevergüenzalamuerte</v>
      </c>
      <c r="L19" s="48" t="str">
        <f>_xlfn.CONCAT("        audioSrc: ","""/audio/",C19,".mp3""",",")</f>
        <v xml:space="preserve">        audioSrc: "/audio/tuhascubiertodevergüenzalamuerte.mp3",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159</v>
      </c>
      <c r="C26" t="str">
        <f>VLOOKUP(B26,[1]Buscador!A3:AP240,31,FALSE)</f>
        <v>/resucito/src/index.html?canto=tehemanifestadomipecado</v>
      </c>
      <c r="L26" s="48" t="str">
        <f>_xlfn.CONCAT("        ant: ","""",C26,"""",",")</f>
        <v xml:space="preserve">        ant: "/resucito/src/index.html?canto=tehemanifestadomipecado",</v>
      </c>
    </row>
    <row r="27" spans="2:40" ht="23" x14ac:dyDescent="0.35">
      <c r="B27">
        <f>+C1+1</f>
        <v>161</v>
      </c>
      <c r="C27" t="str">
        <f>VLOOKUP(B27,[1]Buscador!A3:AP240,31,FALSE)</f>
        <v>/resucito/src/index.html?canto=tuqueeresfiel</v>
      </c>
      <c r="L27" s="48" t="str">
        <f>_xlfn.CONCAT("        sig: ","""",C27,"""",",")</f>
        <v xml:space="preserve">        sig: "/resucito/src/index.html?canto=tuqueeresfiel",</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TÚ HAS CUBIERTO DE VERGÜENZA LA MUERTE</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F214C-4D5F-47F4-9C39-CB9113297E4D}">
  <sheetPr codeName="Sheet69">
    <tabColor rgb="FF00B0F0"/>
  </sheetPr>
  <dimension ref="A1:AN79"/>
  <sheetViews>
    <sheetView zoomScale="85" zoomScaleNormal="85" workbookViewId="0">
      <pane xSplit="2" ySplit="1" topLeftCell="C40" activePane="bottomRight" state="frozen"/>
      <selection pane="topRight" activeCell="C1" sqref="C1"/>
      <selection pane="bottomLeft" activeCell="A2" sqref="A2"/>
      <selection pane="bottomRight" activeCell="L48" sqref="L4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161</v>
      </c>
      <c r="E1" s="40"/>
      <c r="F1" s="40"/>
      <c r="G1" s="40"/>
      <c r="H1" s="40"/>
      <c r="I1" s="40"/>
      <c r="J1" s="40"/>
      <c r="K1" s="40"/>
      <c r="L1" s="41" t="str">
        <f ca="1">UPPER(VLOOKUP(C1,Table223[],3,FALSE))</f>
        <v>TÚ QUE ERES FIEL</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TÚ QUE ERES FIEL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tuqueeresfiel</v>
      </c>
      <c r="L7" s="48" t="str">
        <f ca="1">_xlfn.CONCAT("        id: ","""",C7,"""",",")</f>
        <v xml:space="preserve">        id: "tuqueeresfiel",</v>
      </c>
    </row>
    <row r="8" spans="2:32" ht="23" x14ac:dyDescent="0.35">
      <c r="C8" t="str">
        <f ca="1">PROPER(L1)</f>
        <v>Tú Que Eres Fiel</v>
      </c>
      <c r="L8" s="48" t="str">
        <f ca="1">_xlfn.CONCAT("        tt: ","""",C8,"""",",")</f>
        <v xml:space="preserve">        tt: "Tú Que Eres Fiel",</v>
      </c>
    </row>
    <row r="9" spans="2:32" ht="23" x14ac:dyDescent="0.35">
      <c r="C9" t="str">
        <f ca="1">PROPER(L1)</f>
        <v>Tú Que Eres Fiel</v>
      </c>
      <c r="L9" s="48" t="str">
        <f ca="1">_xlfn.CONCAT("        title: ","""",C9,"""",",")</f>
        <v xml:space="preserve">        title: "Tú Que Eres Fiel",</v>
      </c>
    </row>
    <row r="10" spans="2:32" ht="23" x14ac:dyDescent="0.35">
      <c r="C10" t="str">
        <f ca="1">VLOOKUP(C1,Table223[],4,FALSE)</f>
        <v>Salmo 143 (142)</v>
      </c>
      <c r="L10" s="48" t="str">
        <f ca="1">_xlfn.CONCAT("        ","subtitle: ","""",C10,"""",",")</f>
        <v xml:space="preserve">        subtitle: "Salmo 143 (142)",</v>
      </c>
    </row>
    <row r="11" spans="2:32" ht="23" x14ac:dyDescent="0.3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161</v>
      </c>
      <c r="L16" s="48" t="str">
        <f ca="1">_xlfn.CONCAT("        dbno: ","""",C16,"""",",")</f>
        <v xml:space="preserve">        dbno: "161",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tuqueeresfiel</v>
      </c>
      <c r="L19" s="48" t="str">
        <f ca="1">_xlfn.CONCAT("        audioSrc: ","""/audio/",C19,".mp3""",",")</f>
        <v xml:space="preserve">        audioSrc: "/audio/tuqueeresfiel.mp3",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160</v>
      </c>
      <c r="C26" t="str">
        <f ca="1">VLOOKUP(B26,Table4[],13,FALSE)</f>
        <v>"/resucito/src/index.html?canto=tuhascubiertodevergüenzalamuerte"</v>
      </c>
      <c r="L26" s="48" t="str">
        <f ca="1">_xlfn.CONCAT("        ant: ",C26,",")</f>
        <v xml:space="preserve">        ant: "/resucito/src/index.html?canto=tuhascubiertodevergüenzalamuerte",</v>
      </c>
    </row>
    <row r="27" spans="1:40" ht="23" x14ac:dyDescent="0.35">
      <c r="B27">
        <f ca="1">+C1+1</f>
        <v>162</v>
      </c>
      <c r="C27" t="str">
        <f ca="1">VLOOKUP(B27,Table4[],13,FALSE)</f>
        <v>"/resucito/src/index.html?canto=unretonobrotadeltroncodejese"</v>
      </c>
      <c r="L27" s="48" t="str">
        <f ca="1">_xlfn.CONCAT("        sig: ",C27,",")</f>
        <v xml:space="preserve">        sig: "/resucito/src/index.html?canto=unretonobrotadeltroncodejese",</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4.5" thickTop="1" thickBot="1" x14ac:dyDescent="0.55000000000000004">
      <c r="B30" t="s">
        <v>1012</v>
      </c>
      <c r="C30" s="113" t="s">
        <v>1048</v>
      </c>
      <c r="D30" s="112" t="s">
        <v>1046</v>
      </c>
      <c r="E30" s="52"/>
      <c r="F30" s="53" t="s">
        <v>1045</v>
      </c>
      <c r="G30" s="53"/>
      <c r="H30" s="52" t="s">
        <v>1046</v>
      </c>
      <c r="I30" s="52" t="s">
        <v>1011</v>
      </c>
      <c r="J30" s="54"/>
      <c r="K30" s="54"/>
      <c r="L30" s="55" t="str">
        <f t="shared" ref="L30:L31" si="0">IF(C30="","",_xlfn.CONCAT("            { line: ","""",C30,", ",M30:AN30,""", sC: ","""",B30,"""},"))</f>
        <v xml:space="preserve">            { line: "Señor, escucha mi oración,, (Do,,10)(Re,,250)(Do,m,350)", sC: "tc"},</v>
      </c>
      <c r="M30" s="56" t="str">
        <f t="shared" ref="M30:M35" si="1">IF(N30="","","(")</f>
        <v>(</v>
      </c>
      <c r="N30" s="57" t="str">
        <f t="shared" ref="N30:N70" si="2">IF(D30="","",D30)</f>
        <v>Do</v>
      </c>
      <c r="O30" s="58" t="str">
        <f t="shared" ref="O30:O35" si="3">IF(N30="","",",")</f>
        <v>,</v>
      </c>
      <c r="P30" s="59" t="str">
        <f t="shared" ref="P30:P70"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v>
      </c>
      <c r="U30" s="63" t="str">
        <f t="shared" ref="U30:U70" si="8">IF(F30="","",F30)</f>
        <v>Re</v>
      </c>
      <c r="V30" s="64" t="str">
        <f t="shared" ref="V30:V35" si="9">IF(U30="","",",")</f>
        <v>,</v>
      </c>
      <c r="W30" s="65" t="str">
        <f t="shared" ref="W30:W70" si="10">IF(G30="","",G30)</f>
        <v/>
      </c>
      <c r="X30" s="64" t="str">
        <f t="shared" ref="X30:X35" si="11">IF(U30="","",",")</f>
        <v>,</v>
      </c>
      <c r="Y30" s="64">
        <f t="shared" ref="Y30:Y35" si="12">IF(U30="","",250)</f>
        <v>250</v>
      </c>
      <c r="Z30" s="56" t="str">
        <f t="shared" ref="Z30:Z35" si="13">IF(U30="","",")")</f>
        <v>)</v>
      </c>
      <c r="AA30" s="66" t="str">
        <f t="shared" ref="AA30:AA35" si="14">IF(AB30="","","(")</f>
        <v>(</v>
      </c>
      <c r="AB30" s="57" t="str">
        <f t="shared" ref="AB30:AB70" si="15">IF(H30="","",H30)</f>
        <v>Do</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70"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1049</v>
      </c>
      <c r="D31" s="112" t="s">
        <v>1045</v>
      </c>
      <c r="E31" s="52"/>
      <c r="F31" s="53" t="s">
        <v>1046</v>
      </c>
      <c r="G31" s="53" t="s">
        <v>1011</v>
      </c>
      <c r="H31" s="52" t="s">
        <v>1045</v>
      </c>
      <c r="I31" s="52"/>
      <c r="J31" s="54"/>
      <c r="K31" s="54"/>
      <c r="L31" s="55" t="str">
        <f t="shared" si="0"/>
        <v xml:space="preserve">            { line: "presta oídos a mi súplica., (Re,,22)(Do,m,250)(Re,,350)", sC: ""},</v>
      </c>
      <c r="M31" s="56" t="str">
        <f t="shared" si="1"/>
        <v>(</v>
      </c>
      <c r="N31" s="57" t="str">
        <f t="shared" si="2"/>
        <v>Re</v>
      </c>
      <c r="O31" s="58" t="str">
        <f t="shared" si="3"/>
        <v>,</v>
      </c>
      <c r="P31" s="59" t="str">
        <f t="shared" si="4"/>
        <v/>
      </c>
      <c r="Q31" s="60" t="str">
        <f t="shared" si="5"/>
        <v>,</v>
      </c>
      <c r="R31" s="61">
        <f t="shared" ref="R31:R70" si="28">IF(N31="Do",10,IF(N31="Re",22,IF(N31="Mi",20,IF(N31="Fa",20,IF(N31="Sol",14,IF(N31="La",20,IF(N31="Si",20,IF(N31="Do#",14,IF(N31="Fa#",15,IF(N31="Sol#",20,""))))))))))</f>
        <v>22</v>
      </c>
      <c r="S31" s="56" t="str">
        <f t="shared" si="6"/>
        <v>)</v>
      </c>
      <c r="T31" s="62" t="str">
        <f t="shared" si="7"/>
        <v>(</v>
      </c>
      <c r="U31" s="63" t="str">
        <f t="shared" si="8"/>
        <v>Do</v>
      </c>
      <c r="V31" s="64" t="str">
        <f t="shared" si="9"/>
        <v>,</v>
      </c>
      <c r="W31" s="65" t="str">
        <f t="shared" si="10"/>
        <v>m</v>
      </c>
      <c r="X31" s="64" t="str">
        <f t="shared" si="11"/>
        <v>,</v>
      </c>
      <c r="Y31" s="64">
        <f t="shared" si="12"/>
        <v>250</v>
      </c>
      <c r="Z31" s="56" t="str">
        <f t="shared" si="13"/>
        <v>)</v>
      </c>
      <c r="AA31" s="66" t="str">
        <f t="shared" si="14"/>
        <v>(</v>
      </c>
      <c r="AB31" s="57" t="str">
        <f t="shared" si="15"/>
        <v>Re</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997</v>
      </c>
      <c r="C33" s="113" t="s">
        <v>1050</v>
      </c>
      <c r="D33" s="112" t="s">
        <v>1013</v>
      </c>
      <c r="E33" s="52" t="s">
        <v>1011</v>
      </c>
      <c r="F33" s="53" t="s">
        <v>1046</v>
      </c>
      <c r="G33" s="53" t="s">
        <v>1011</v>
      </c>
      <c r="H33" s="52"/>
      <c r="I33" s="52"/>
      <c r="J33" s="54"/>
      <c r="K33" s="54"/>
      <c r="L33" s="55" t="str">
        <f>IF(C33="","",_xlfn.CONCAT("            { line: ","""",C33,", ",M33:AN33,""", sC: ","""",B33,"""},"))</f>
        <v xml:space="preserve">            { line: "TÚ QUE ERES FIEL,, (Sol,m,14)(Do,m,250)", sC: "ta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v>
      </c>
      <c r="U33" s="63" t="str">
        <f t="shared" si="8"/>
        <v>Do</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1051</v>
      </c>
      <c r="D34" s="112" t="s">
        <v>1013</v>
      </c>
      <c r="E34" s="52" t="s">
        <v>1011</v>
      </c>
      <c r="F34" s="53" t="s">
        <v>1046</v>
      </c>
      <c r="G34" s="53" t="s">
        <v>1011</v>
      </c>
      <c r="H34" s="52" t="s">
        <v>1045</v>
      </c>
      <c r="I34" s="52">
        <v>7</v>
      </c>
      <c r="J34" s="54"/>
      <c r="K34" s="54"/>
      <c r="L34" s="55" t="str">
        <f>IF(C34="","",_xlfn.CONCAT("            { line: ","""",C34,", ",M34:AN34,""", sC: ","""",B34,"""},"))</f>
        <v xml:space="preserve">            { line: "TÚ QUE ERES FIEL, RESPÓNDEME,, (Sol,m,14)(Do,m,250)(Re,7,350)", sC: "as"},</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Do</v>
      </c>
      <c r="V34" s="64" t="str">
        <f t="shared" si="9"/>
        <v>,</v>
      </c>
      <c r="W34" s="65" t="str">
        <f t="shared" si="10"/>
        <v>m</v>
      </c>
      <c r="X34" s="64" t="str">
        <f t="shared" si="11"/>
        <v>,</v>
      </c>
      <c r="Y34" s="64">
        <f t="shared" si="12"/>
        <v>250</v>
      </c>
      <c r="Z34" s="56" t="str">
        <f t="shared" si="13"/>
        <v>)</v>
      </c>
      <c r="AA34" s="66" t="str">
        <f t="shared" si="14"/>
        <v>(</v>
      </c>
      <c r="AB34" s="57" t="str">
        <f t="shared" si="15"/>
        <v>Re</v>
      </c>
      <c r="AC34" s="67" t="str">
        <f t="shared" si="16"/>
        <v>,</v>
      </c>
      <c r="AD34" s="59">
        <f t="shared" si="17"/>
        <v>7</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1052</v>
      </c>
      <c r="D35" s="112" t="s">
        <v>1046</v>
      </c>
      <c r="E35" s="52" t="s">
        <v>1011</v>
      </c>
      <c r="F35" s="53" t="s">
        <v>1045</v>
      </c>
      <c r="G35" s="53">
        <v>7</v>
      </c>
      <c r="H35" s="52"/>
      <c r="I35" s="52"/>
      <c r="J35" s="54"/>
      <c r="K35" s="54"/>
      <c r="L35" s="55" t="str">
        <f t="shared" ref="L35:L50" si="29">IF(C35="","",_xlfn.CONCAT("            { line: ","""",C35,", ",M35:AN35,""", sC: ","""",B35,"""},"))</f>
        <v xml:space="preserve">            { line: "POR TU JUSTICIA RESPÓNDEME., (Do,m,10)(Re,7,250)", sC: "as"},</v>
      </c>
      <c r="M35" s="56" t="str">
        <f t="shared" si="1"/>
        <v>(</v>
      </c>
      <c r="N35" s="57" t="str">
        <f t="shared" si="2"/>
        <v>Do</v>
      </c>
      <c r="O35" s="58" t="str">
        <f t="shared" si="3"/>
        <v>,</v>
      </c>
      <c r="P35" s="59" t="str">
        <f t="shared" si="4"/>
        <v>m</v>
      </c>
      <c r="Q35" s="60" t="str">
        <f t="shared" si="5"/>
        <v>,</v>
      </c>
      <c r="R35" s="61">
        <f t="shared" si="28"/>
        <v>10</v>
      </c>
      <c r="S35" s="56" t="str">
        <f t="shared" si="6"/>
        <v>)</v>
      </c>
      <c r="T35" s="62" t="str">
        <f t="shared" si="7"/>
        <v>(</v>
      </c>
      <c r="U35" s="63" t="str">
        <f t="shared" si="8"/>
        <v>Re</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1012</v>
      </c>
      <c r="C37" s="113" t="s">
        <v>1053</v>
      </c>
      <c r="D37" s="112" t="s">
        <v>1013</v>
      </c>
      <c r="E37" s="52" t="s">
        <v>1011</v>
      </c>
      <c r="F37" s="53" t="s">
        <v>1045</v>
      </c>
      <c r="G37" s="53">
        <v>7</v>
      </c>
      <c r="H37" s="52"/>
      <c r="I37" s="52"/>
      <c r="J37" s="54"/>
      <c r="K37" s="54"/>
      <c r="L37" s="55" t="str">
        <f t="shared" si="29"/>
        <v xml:space="preserve">            { line: "No llames a juicio a tu siervo,, (Sol,m,14)(Re,7,250)", sC: "tc"},</v>
      </c>
      <c r="M37" s="56" t="str">
        <f>IF(N37="","","(")</f>
        <v>(</v>
      </c>
      <c r="N37" s="57" t="str">
        <f>IF(D37="","",D37)</f>
        <v>Sol</v>
      </c>
      <c r="O37" s="58" t="str">
        <f>IF(N37="","",",")</f>
        <v>,</v>
      </c>
      <c r="P37" s="59" t="str">
        <f>IF(E37="","",E37)</f>
        <v>m</v>
      </c>
      <c r="Q37" s="60" t="str">
        <f>IF(N37="","",",")</f>
        <v>,</v>
      </c>
      <c r="R37" s="61">
        <f t="shared" si="28"/>
        <v>14</v>
      </c>
      <c r="S37" s="56" t="str">
        <f>IF(N37="","",")")</f>
        <v>)</v>
      </c>
      <c r="T37" s="62" t="str">
        <f>IF(U37="","","(")</f>
        <v>(</v>
      </c>
      <c r="U37" s="63" t="str">
        <f>IF(F37="","",F37)</f>
        <v>Re</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1054</v>
      </c>
      <c r="D38" s="112" t="s">
        <v>1013</v>
      </c>
      <c r="E38" s="52" t="s">
        <v>1011</v>
      </c>
      <c r="F38" s="53"/>
      <c r="G38" s="53"/>
      <c r="H38" s="52"/>
      <c r="I38" s="52"/>
      <c r="J38" s="54"/>
      <c r="K38" s="54"/>
      <c r="L38" s="55" t="str">
        <f t="shared" si="29"/>
        <v xml:space="preserve">            { line: "ningún hombre es inocente frente a ti., (Sol,m,14)", sC: ""},</v>
      </c>
      <c r="M38" s="56" t="str">
        <f>IF(N38="","","(")</f>
        <v>(</v>
      </c>
      <c r="N38" s="57" t="str">
        <f>IF(D38="","",D38)</f>
        <v>Sol</v>
      </c>
      <c r="O38" s="58" t="str">
        <f>IF(N38="","",",")</f>
        <v>,</v>
      </c>
      <c r="P38" s="59" t="str">
        <f>IF(E38="","",E38)</f>
        <v>m</v>
      </c>
      <c r="Q38" s="60" t="str">
        <f>IF(N38="","",",")</f>
        <v>,</v>
      </c>
      <c r="R38" s="61">
        <f t="shared" si="28"/>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1055</v>
      </c>
      <c r="D39" s="112" t="s">
        <v>1045</v>
      </c>
      <c r="E39" s="52">
        <v>7</v>
      </c>
      <c r="F39" s="53"/>
      <c r="G39" s="53"/>
      <c r="H39" s="52"/>
      <c r="I39" s="52"/>
      <c r="J39" s="54"/>
      <c r="K39" s="54"/>
      <c r="L39" s="55" t="str">
        <f t="shared" si="29"/>
        <v xml:space="preserve">            { line: "El enemigo me persigue,, (Re,7,22)", sC: ""},</v>
      </c>
      <c r="M39" s="56" t="str">
        <f>IF(N39="","","(")</f>
        <v>(</v>
      </c>
      <c r="N39" s="57" t="str">
        <f>IF(D39="","",D39)</f>
        <v>Re</v>
      </c>
      <c r="O39" s="58" t="str">
        <f>IF(N39="","",",")</f>
        <v>,</v>
      </c>
      <c r="P39" s="59">
        <f>IF(E39="","",E39)</f>
        <v>7</v>
      </c>
      <c r="Q39" s="60" t="str">
        <f>IF(N39="","",",")</f>
        <v>,</v>
      </c>
      <c r="R39" s="61">
        <f t="shared" si="28"/>
        <v>22</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1056</v>
      </c>
      <c r="D40" s="112" t="s">
        <v>1046</v>
      </c>
      <c r="E40" s="52" t="s">
        <v>1011</v>
      </c>
      <c r="F40" s="53" t="s">
        <v>1045</v>
      </c>
      <c r="G40" s="53">
        <v>7</v>
      </c>
      <c r="H40" s="52"/>
      <c r="I40" s="52"/>
      <c r="J40" s="54"/>
      <c r="K40" s="54"/>
      <c r="L40" s="55" t="str">
        <f t="shared" si="29"/>
        <v xml:space="preserve">            { line: "estrella mi vida contra el suelo., (Do,m,10)(Re,7,250)", sC: ""},</v>
      </c>
      <c r="M40" s="56" t="str">
        <f t="shared" ref="M40" si="30">IF(N40="","","(")</f>
        <v>(</v>
      </c>
      <c r="N40" s="57" t="str">
        <f t="shared" ref="N40" si="31">IF(D40="","",D40)</f>
        <v>Do</v>
      </c>
      <c r="O40" s="58" t="str">
        <f t="shared" ref="O40" si="32">IF(N40="","",",")</f>
        <v>,</v>
      </c>
      <c r="P40" s="59" t="str">
        <f t="shared" ref="P40" si="33">IF(E40="","",E40)</f>
        <v>m</v>
      </c>
      <c r="Q40" s="60" t="str">
        <f t="shared" ref="Q40" si="34">IF(N40="","",",")</f>
        <v>,</v>
      </c>
      <c r="R40" s="61">
        <f t="shared" si="28"/>
        <v>10</v>
      </c>
      <c r="S40" s="56" t="str">
        <f t="shared" ref="S40" si="35">IF(N40="","",")")</f>
        <v>)</v>
      </c>
      <c r="T40" s="62" t="str">
        <f t="shared" ref="T40" si="36">IF(U40="","","(")</f>
        <v>(</v>
      </c>
      <c r="U40" s="63" t="str">
        <f t="shared" ref="U40" si="37">IF(F40="","",F40)</f>
        <v>Re</v>
      </c>
      <c r="V40" s="64" t="str">
        <f t="shared" ref="V40" si="38">IF(U40="","",",")</f>
        <v>,</v>
      </c>
      <c r="W40" s="65">
        <f t="shared" ref="W40" si="39">IF(G40="","",G40)</f>
        <v>7</v>
      </c>
      <c r="X40" s="64" t="str">
        <f t="shared" ref="X40" si="40">IF(U40="","",",")</f>
        <v>,</v>
      </c>
      <c r="Y40" s="64">
        <f t="shared" ref="Y40" si="41">IF(U40="","",250)</f>
        <v>250</v>
      </c>
      <c r="Z40" s="56" t="str">
        <f t="shared" ref="Z40" si="42">IF(U40="","",")")</f>
        <v>)</v>
      </c>
      <c r="AA40" s="66" t="str">
        <f t="shared" ref="AA40" si="43">IF(AB40="","","(")</f>
        <v/>
      </c>
      <c r="AB40" s="57" t="str">
        <f t="shared" ref="AB40" si="44">IF(H40="","",H40)</f>
        <v/>
      </c>
      <c r="AC40" s="67" t="str">
        <f t="shared" ref="AC40" si="45">IF(AB40="","",",")</f>
        <v/>
      </c>
      <c r="AD40" s="59" t="str">
        <f t="shared" ref="AD40" si="46">IF(I40="","",I40)</f>
        <v/>
      </c>
      <c r="AE40" s="68" t="str">
        <f t="shared" ref="AE40" si="47">IF(AB40="","",",")</f>
        <v/>
      </c>
      <c r="AF40" s="61" t="str">
        <f t="shared" ref="AF40" si="48">IF(AB40="","",350)</f>
        <v/>
      </c>
      <c r="AG40" s="61" t="str">
        <f t="shared" ref="AG40" si="49">IF(AB40="","",")")</f>
        <v/>
      </c>
      <c r="AH40" s="69" t="str">
        <f t="shared" ref="AH40" si="50">IF(AI40="","","(")</f>
        <v/>
      </c>
      <c r="AI40" s="70" t="str">
        <f t="shared" ref="AI40" si="51">IF(J40="","",J40)</f>
        <v/>
      </c>
      <c r="AJ40" s="64" t="str">
        <f t="shared" ref="AJ40" si="52">IF(AI40="","",",")</f>
        <v/>
      </c>
      <c r="AK40" s="64" t="str">
        <f t="shared" ref="AK40" si="53">IF(K40="","",K40)</f>
        <v/>
      </c>
      <c r="AL40" s="64" t="str">
        <f t="shared" ref="AL40" si="54">IF(AI40="","",",")</f>
        <v/>
      </c>
      <c r="AM40" s="64" t="str">
        <f t="shared" ref="AM40" si="55">IF(AI40="","",450)</f>
        <v/>
      </c>
      <c r="AN40" s="64" t="str">
        <f t="shared" ref="AN40" si="56">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6"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5" si="58">IF(N42="","","(")</f>
        <v/>
      </c>
      <c r="N42" s="57" t="str">
        <f t="shared" ref="N42:N45" si="59">IF(D42="","",D42)</f>
        <v/>
      </c>
      <c r="O42" s="58" t="str">
        <f t="shared" ref="O42:O45" si="60">IF(N42="","",",")</f>
        <v/>
      </c>
      <c r="P42" s="59" t="str">
        <f t="shared" ref="P42:P45" si="61">IF(E42="","",E42)</f>
        <v/>
      </c>
      <c r="Q42" s="60" t="str">
        <f t="shared" ref="Q42:Q45" si="62">IF(N42="","",",")</f>
        <v/>
      </c>
      <c r="R42" s="61" t="str">
        <f t="shared" si="57"/>
        <v/>
      </c>
      <c r="S42" s="56" t="str">
        <f t="shared" ref="S42:S45" si="63">IF(N42="","",")")</f>
        <v/>
      </c>
      <c r="T42" s="62" t="str">
        <f t="shared" ref="T42:T45" si="64">IF(U42="","","(")</f>
        <v/>
      </c>
      <c r="U42" s="63" t="str">
        <f t="shared" ref="U42:U45" si="65">IF(F42="","",F42)</f>
        <v/>
      </c>
      <c r="V42" s="64" t="str">
        <f t="shared" ref="V42:V45" si="66">IF(U42="","",",")</f>
        <v/>
      </c>
      <c r="W42" s="65" t="str">
        <f t="shared" ref="W42:W45" si="67">IF(G42="","",G42)</f>
        <v/>
      </c>
      <c r="X42" s="64" t="str">
        <f t="shared" ref="X42:X45" si="68">IF(U42="","",",")</f>
        <v/>
      </c>
      <c r="Y42" s="64" t="str">
        <f t="shared" ref="Y42:Y45" si="69">IF(U42="","",250)</f>
        <v/>
      </c>
      <c r="Z42" s="56" t="str">
        <f t="shared" ref="Z42:Z45" si="70">IF(U42="","",")")</f>
        <v/>
      </c>
      <c r="AA42" s="66" t="str">
        <f t="shared" ref="AA42:AA45" si="71">IF(AB42="","","(")</f>
        <v/>
      </c>
      <c r="AB42" s="57" t="str">
        <f t="shared" ref="AB42:AB45" si="72">IF(H42="","",H42)</f>
        <v/>
      </c>
      <c r="AC42" s="67" t="str">
        <f t="shared" ref="AC42:AC45" si="73">IF(AB42="","",",")</f>
        <v/>
      </c>
      <c r="AD42" s="59" t="str">
        <f t="shared" ref="AD42:AD45" si="74">IF(I42="","",I42)</f>
        <v/>
      </c>
      <c r="AE42" s="68" t="str">
        <f t="shared" ref="AE42:AE45" si="75">IF(AB42="","",",")</f>
        <v/>
      </c>
      <c r="AF42" s="61" t="str">
        <f t="shared" ref="AF42:AF45" si="76">IF(AB42="","",350)</f>
        <v/>
      </c>
      <c r="AG42" s="61" t="str">
        <f t="shared" ref="AG42:AG45" si="77">IF(AB42="","",")")</f>
        <v/>
      </c>
      <c r="AH42" s="69" t="str">
        <f t="shared" ref="AH42:AH45" si="78">IF(AI42="","","(")</f>
        <v/>
      </c>
      <c r="AI42" s="70" t="str">
        <f t="shared" ref="AI42:AI45" si="79">IF(J42="","",J42)</f>
        <v/>
      </c>
      <c r="AJ42" s="64" t="str">
        <f t="shared" ref="AJ42:AJ45" si="80">IF(AI42="","",",")</f>
        <v/>
      </c>
      <c r="AK42" s="64" t="str">
        <f t="shared" ref="AK42:AK45" si="81">IF(K42="","",K42)</f>
        <v/>
      </c>
      <c r="AL42" s="64" t="str">
        <f t="shared" ref="AL42:AL45" si="82">IF(AI42="","",",")</f>
        <v/>
      </c>
      <c r="AM42" s="64" t="str">
        <f t="shared" ref="AM42:AM45" si="83">IF(AI42="","",450)</f>
        <v/>
      </c>
      <c r="AN42" s="64" t="str">
        <f t="shared" ref="AN42:AN45" si="84">IF(AI42="","",")")</f>
        <v/>
      </c>
    </row>
    <row r="43" spans="1:40" ht="24.5" thickTop="1" thickBot="1" x14ac:dyDescent="0.55000000000000004">
      <c r="B43" t="s">
        <v>997</v>
      </c>
      <c r="C43" s="82" t="s">
        <v>1050</v>
      </c>
      <c r="D43" s="83" t="s">
        <v>1013</v>
      </c>
      <c r="E43" s="83" t="s">
        <v>1011</v>
      </c>
      <c r="F43" s="83" t="s">
        <v>1046</v>
      </c>
      <c r="G43" s="83" t="s">
        <v>1011</v>
      </c>
      <c r="H43" s="83"/>
      <c r="I43" s="83"/>
      <c r="J43" s="83"/>
      <c r="K43" s="83"/>
      <c r="L43" s="84" t="str">
        <f>IF(C43="","",_xlfn.CONCAT("       triggerLine: ","""",C43,", ",M43:AN43,""", sC: ","""",B43,""", lines: ["))</f>
        <v xml:space="preserve">       triggerLine: "TÚ QUE ERES FIEL,, (Sol,m,14)(Do,m,250)", sC: "ta as", lines: [</v>
      </c>
      <c r="M43" s="56" t="str">
        <f t="shared" si="58"/>
        <v>(</v>
      </c>
      <c r="N43" s="57" t="str">
        <f t="shared" si="59"/>
        <v>Sol</v>
      </c>
      <c r="O43" s="58" t="str">
        <f t="shared" si="60"/>
        <v>,</v>
      </c>
      <c r="P43" s="59" t="str">
        <f t="shared" si="61"/>
        <v>m</v>
      </c>
      <c r="Q43" s="60" t="str">
        <f t="shared" si="62"/>
        <v>,</v>
      </c>
      <c r="R43" s="61">
        <f t="shared" si="57"/>
        <v>14</v>
      </c>
      <c r="S43" s="56" t="str">
        <f t="shared" si="63"/>
        <v>)</v>
      </c>
      <c r="T43" s="62" t="str">
        <f t="shared" si="64"/>
        <v>(</v>
      </c>
      <c r="U43" s="63" t="str">
        <f t="shared" si="65"/>
        <v>Do</v>
      </c>
      <c r="V43" s="64" t="str">
        <f t="shared" si="66"/>
        <v>,</v>
      </c>
      <c r="W43" s="65" t="str">
        <f t="shared" si="67"/>
        <v>m</v>
      </c>
      <c r="X43" s="64" t="str">
        <f t="shared" si="68"/>
        <v>,</v>
      </c>
      <c r="Y43" s="64">
        <f t="shared" si="69"/>
        <v>250</v>
      </c>
      <c r="Z43" s="56" t="str">
        <f t="shared" si="70"/>
        <v>)</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4.5" thickTop="1" thickBot="1" x14ac:dyDescent="0.55000000000000004">
      <c r="B44" t="s">
        <v>999</v>
      </c>
      <c r="C44" s="85" t="s">
        <v>1051</v>
      </c>
      <c r="D44" s="86" t="s">
        <v>1013</v>
      </c>
      <c r="E44" s="86" t="s">
        <v>1011</v>
      </c>
      <c r="F44" s="86" t="s">
        <v>1046</v>
      </c>
      <c r="G44" s="86" t="s">
        <v>1011</v>
      </c>
      <c r="H44" s="87" t="s">
        <v>1045</v>
      </c>
      <c r="I44" s="87">
        <v>7</v>
      </c>
      <c r="J44" s="87"/>
      <c r="K44" s="87"/>
      <c r="L44" s="88" t="str">
        <f>IF(C44="","",_xlfn.CONCAT("            { line: ","""",C44,", ",M44:AN44,""", sC: ","""",B44,"""},"))</f>
        <v xml:space="preserve">            { line: "TÚ QUE ERES FIEL, RESPÓNDEME,, (Sol,m,14)(Do,m,250)(Re,7,350)", sC: "as"},</v>
      </c>
      <c r="M44" s="56" t="str">
        <f t="shared" si="58"/>
        <v>(</v>
      </c>
      <c r="N44" s="57" t="str">
        <f t="shared" si="59"/>
        <v>Sol</v>
      </c>
      <c r="O44" s="58" t="str">
        <f t="shared" si="60"/>
        <v>,</v>
      </c>
      <c r="P44" s="59" t="str">
        <f t="shared" si="61"/>
        <v>m</v>
      </c>
      <c r="Q44" s="60" t="str">
        <f t="shared" si="62"/>
        <v>,</v>
      </c>
      <c r="R44" s="61">
        <f t="shared" si="57"/>
        <v>14</v>
      </c>
      <c r="S44" s="56" t="str">
        <f t="shared" si="63"/>
        <v>)</v>
      </c>
      <c r="T44" s="62" t="str">
        <f t="shared" si="64"/>
        <v>(</v>
      </c>
      <c r="U44" s="63" t="str">
        <f t="shared" si="65"/>
        <v>Do</v>
      </c>
      <c r="V44" s="64" t="str">
        <f t="shared" si="66"/>
        <v>,</v>
      </c>
      <c r="W44" s="65" t="str">
        <f t="shared" si="67"/>
        <v>m</v>
      </c>
      <c r="X44" s="64" t="str">
        <f t="shared" si="68"/>
        <v>,</v>
      </c>
      <c r="Y44" s="64">
        <f t="shared" si="69"/>
        <v>250</v>
      </c>
      <c r="Z44" s="56" t="str">
        <f t="shared" si="70"/>
        <v>)</v>
      </c>
      <c r="AA44" s="66" t="str">
        <f t="shared" si="71"/>
        <v>(</v>
      </c>
      <c r="AB44" s="57" t="str">
        <f t="shared" si="72"/>
        <v>Re</v>
      </c>
      <c r="AC44" s="67" t="str">
        <f t="shared" si="73"/>
        <v>,</v>
      </c>
      <c r="AD44" s="59">
        <f t="shared" si="74"/>
        <v>7</v>
      </c>
      <c r="AE44" s="68" t="str">
        <f t="shared" si="75"/>
        <v>,</v>
      </c>
      <c r="AF44" s="61">
        <f t="shared" si="76"/>
        <v>350</v>
      </c>
      <c r="AG44" s="61" t="str">
        <f t="shared" si="77"/>
        <v>)</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4.5" thickTop="1" thickBot="1" x14ac:dyDescent="0.55000000000000004">
      <c r="B45" t="s">
        <v>999</v>
      </c>
      <c r="C45" s="93" t="s">
        <v>1052</v>
      </c>
      <c r="D45" s="83" t="s">
        <v>1046</v>
      </c>
      <c r="E45" s="83" t="s">
        <v>1011</v>
      </c>
      <c r="F45" s="83" t="s">
        <v>1045</v>
      </c>
      <c r="G45" s="83">
        <v>7</v>
      </c>
      <c r="H45" s="83"/>
      <c r="I45" s="83"/>
      <c r="J45" s="83"/>
      <c r="K45" s="83"/>
      <c r="L45" s="94" t="str">
        <f>IF(C45="","",_xlfn.CONCAT("            { line: ","""",C45,", ",M45:AN45,""", sC: ","""",B45,"""},  ]},"))</f>
        <v xml:space="preserve">            { line: "POR TU JUSTICIA RESPÓNDEME., (Do,m,10)(Re,7,250)", sC: "as"},  ]},</v>
      </c>
      <c r="M45" s="56" t="str">
        <f t="shared" si="58"/>
        <v>(</v>
      </c>
      <c r="N45" s="57" t="str">
        <f t="shared" si="59"/>
        <v>Do</v>
      </c>
      <c r="O45" s="58" t="str">
        <f t="shared" si="60"/>
        <v>,</v>
      </c>
      <c r="P45" s="59" t="str">
        <f t="shared" si="61"/>
        <v>m</v>
      </c>
      <c r="Q45" s="60" t="str">
        <f t="shared" si="62"/>
        <v>,</v>
      </c>
      <c r="R45" s="61">
        <f t="shared" si="57"/>
        <v>10</v>
      </c>
      <c r="S45" s="56" t="str">
        <f t="shared" si="63"/>
        <v>)</v>
      </c>
      <c r="T45" s="62" t="str">
        <f t="shared" si="64"/>
        <v>(</v>
      </c>
      <c r="U45" s="63" t="str">
        <f t="shared" si="65"/>
        <v>Re</v>
      </c>
      <c r="V45" s="64" t="str">
        <f t="shared" si="66"/>
        <v>,</v>
      </c>
      <c r="W45" s="65">
        <f t="shared" si="67"/>
        <v>7</v>
      </c>
      <c r="X45" s="64" t="str">
        <f t="shared" si="68"/>
        <v>,</v>
      </c>
      <c r="Y45" s="64">
        <f t="shared" si="69"/>
        <v>250</v>
      </c>
      <c r="Z45" s="56" t="str">
        <f t="shared" si="70"/>
        <v>)</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57"/>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1012</v>
      </c>
      <c r="C47" s="113" t="s">
        <v>1057</v>
      </c>
      <c r="D47" s="112" t="s">
        <v>1013</v>
      </c>
      <c r="E47" s="52" t="s">
        <v>1011</v>
      </c>
      <c r="F47" s="53" t="s">
        <v>1045</v>
      </c>
      <c r="G47" s="53">
        <v>7</v>
      </c>
      <c r="H47" s="52"/>
      <c r="I47" s="52"/>
      <c r="J47" s="54"/>
      <c r="K47" s="54"/>
      <c r="L47" s="55" t="str">
        <f t="shared" si="29"/>
        <v xml:space="preserve">            { line: "Extiendo mis manos hacia ti,,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1058</v>
      </c>
      <c r="D48" s="112" t="s">
        <v>1013</v>
      </c>
      <c r="E48" s="52" t="s">
        <v>1011</v>
      </c>
      <c r="F48" s="53"/>
      <c r="G48" s="53"/>
      <c r="H48" s="52"/>
      <c r="I48" s="52"/>
      <c r="J48" s="54"/>
      <c r="K48" s="54"/>
      <c r="L48" s="55" t="str">
        <f t="shared" si="29"/>
        <v xml:space="preserve">            { line: "tengo sed de ti como tierra reseca., (Sol,m,14)", sC: ""},</v>
      </c>
      <c r="M48" s="56" t="str">
        <f>IF(N48="","","(")</f>
        <v>(</v>
      </c>
      <c r="N48" s="57" t="str">
        <f>IF(D48="","",D48)</f>
        <v>Sol</v>
      </c>
      <c r="O48" s="58" t="str">
        <f>IF(N48="","",",")</f>
        <v>,</v>
      </c>
      <c r="P48" s="59" t="str">
        <f>IF(E48="","",E48)</f>
        <v>m</v>
      </c>
      <c r="Q48" s="60" t="str">
        <f>IF(N48="","",",")</f>
        <v>,</v>
      </c>
      <c r="R48" s="61">
        <f t="shared" si="28"/>
        <v>14</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1059</v>
      </c>
      <c r="D49" s="112" t="s">
        <v>1045</v>
      </c>
      <c r="E49" s="52">
        <v>7</v>
      </c>
      <c r="F49" s="53"/>
      <c r="G49" s="53"/>
      <c r="H49" s="52"/>
      <c r="I49" s="52"/>
      <c r="J49" s="54"/>
      <c r="K49" s="54"/>
      <c r="L49" s="55" t="str">
        <f t="shared" si="29"/>
        <v xml:space="preserve">            { line: "¡Escúchame pronto, Señor,, (Re,7,22)", sC: ""},</v>
      </c>
      <c r="M49" s="56" t="str">
        <f>IF(N49="","","(")</f>
        <v>(</v>
      </c>
      <c r="N49" s="57" t="str">
        <f>IF(D49="","",D49)</f>
        <v>Re</v>
      </c>
      <c r="O49" s="58" t="str">
        <f>IF(N49="","",",")</f>
        <v>,</v>
      </c>
      <c r="P49" s="59">
        <f>IF(E49="","",E49)</f>
        <v>7</v>
      </c>
      <c r="Q49" s="60" t="str">
        <f>IF(N49="","",",")</f>
        <v>,</v>
      </c>
      <c r="R49" s="61">
        <f t="shared" si="28"/>
        <v>22</v>
      </c>
      <c r="S49" s="56" t="str">
        <f>IF(N49="","",")")</f>
        <v>)</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t="s">
        <v>1060</v>
      </c>
      <c r="D50" s="112" t="s">
        <v>1046</v>
      </c>
      <c r="E50" s="52" t="s">
        <v>1011</v>
      </c>
      <c r="F50" s="53" t="s">
        <v>1045</v>
      </c>
      <c r="G50" s="53">
        <v>7</v>
      </c>
      <c r="H50" s="52"/>
      <c r="I50" s="52"/>
      <c r="J50" s="54"/>
      <c r="K50" s="54"/>
      <c r="L50" s="55" t="str">
        <f t="shared" si="29"/>
        <v xml:space="preserve">            { line: "que me falta el aliento!, (Do,m,10)(Re,7,250)", sC: ""},</v>
      </c>
      <c r="M50" s="56" t="str">
        <f t="shared" ref="M50" si="85">IF(N50="","","(")</f>
        <v>(</v>
      </c>
      <c r="N50" s="57" t="str">
        <f t="shared" ref="N50" si="86">IF(D50="","",D50)</f>
        <v>Do</v>
      </c>
      <c r="O50" s="58" t="str">
        <f t="shared" ref="O50" si="87">IF(N50="","",",")</f>
        <v>,</v>
      </c>
      <c r="P50" s="59" t="str">
        <f t="shared" ref="P50" si="88">IF(E50="","",E50)</f>
        <v>m</v>
      </c>
      <c r="Q50" s="60" t="str">
        <f t="shared" ref="Q50" si="89">IF(N50="","",",")</f>
        <v>,</v>
      </c>
      <c r="R50" s="61">
        <f t="shared" si="28"/>
        <v>10</v>
      </c>
      <c r="S50" s="56" t="str">
        <f t="shared" ref="S50" si="90">IF(N50="","",")")</f>
        <v>)</v>
      </c>
      <c r="T50" s="62" t="str">
        <f t="shared" ref="T50" si="91">IF(U50="","","(")</f>
        <v>(</v>
      </c>
      <c r="U50" s="63" t="str">
        <f t="shared" ref="U50" si="92">IF(F50="","",F50)</f>
        <v>Re</v>
      </c>
      <c r="V50" s="64" t="str">
        <f t="shared" ref="V50" si="93">IF(U50="","",",")</f>
        <v>,</v>
      </c>
      <c r="W50" s="65">
        <f t="shared" ref="W50" si="94">IF(G50="","",G50)</f>
        <v>7</v>
      </c>
      <c r="X50" s="64" t="str">
        <f t="shared" ref="X50" si="95">IF(U50="","",",")</f>
        <v>,</v>
      </c>
      <c r="Y50" s="64">
        <f t="shared" ref="Y50" si="96">IF(U50="","",250)</f>
        <v>250</v>
      </c>
      <c r="Z50" s="56" t="str">
        <f t="shared" ref="Z50" si="97">IF(U50="","",")")</f>
        <v>)</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5" si="112">IF(N52="","","(")</f>
        <v/>
      </c>
      <c r="N52" s="57" t="str">
        <f t="shared" ref="N52:N55" si="113">IF(D52="","",D52)</f>
        <v/>
      </c>
      <c r="O52" s="58" t="str">
        <f t="shared" ref="O52:O55" si="114">IF(N52="","",",")</f>
        <v/>
      </c>
      <c r="P52" s="59" t="str">
        <f t="shared" ref="P52:P55" si="115">IF(E52="","",E52)</f>
        <v/>
      </c>
      <c r="Q52" s="60" t="str">
        <f t="shared" ref="Q52:Q55" si="116">IF(N52="","",",")</f>
        <v/>
      </c>
      <c r="R52" s="61" t="str">
        <f t="shared" si="28"/>
        <v/>
      </c>
      <c r="S52" s="56" t="str">
        <f t="shared" ref="S52:S55" si="117">IF(N52="","",")")</f>
        <v/>
      </c>
      <c r="T52" s="62" t="str">
        <f t="shared" ref="T52:T55" si="118">IF(U52="","","(")</f>
        <v/>
      </c>
      <c r="U52" s="63" t="str">
        <f t="shared" ref="U52:U55" si="119">IF(F52="","",F52)</f>
        <v/>
      </c>
      <c r="V52" s="64" t="str">
        <f t="shared" ref="V52:V55" si="120">IF(U52="","",",")</f>
        <v/>
      </c>
      <c r="W52" s="65" t="str">
        <f t="shared" ref="W52:W55" si="121">IF(G52="","",G52)</f>
        <v/>
      </c>
      <c r="X52" s="64" t="str">
        <f t="shared" ref="X52:X55" si="122">IF(U52="","",",")</f>
        <v/>
      </c>
      <c r="Y52" s="64" t="str">
        <f t="shared" ref="Y52:Y55" si="123">IF(U52="","",250)</f>
        <v/>
      </c>
      <c r="Z52" s="56" t="str">
        <f t="shared" ref="Z52:Z55" si="124">IF(U52="","",")")</f>
        <v/>
      </c>
      <c r="AA52" s="66" t="str">
        <f t="shared" ref="AA52:AA55" si="125">IF(AB52="","","(")</f>
        <v/>
      </c>
      <c r="AB52" s="57" t="str">
        <f t="shared" ref="AB52:AB55" si="126">IF(H52="","",H52)</f>
        <v/>
      </c>
      <c r="AC52" s="67" t="str">
        <f t="shared" ref="AC52:AC55" si="127">IF(AB52="","",",")</f>
        <v/>
      </c>
      <c r="AD52" s="59" t="str">
        <f t="shared" ref="AD52:AD55" si="128">IF(I52="","",I52)</f>
        <v/>
      </c>
      <c r="AE52" s="68" t="str">
        <f t="shared" ref="AE52:AE55" si="129">IF(AB52="","",",")</f>
        <v/>
      </c>
      <c r="AF52" s="61" t="str">
        <f t="shared" ref="AF52:AF55" si="130">IF(AB52="","",350)</f>
        <v/>
      </c>
      <c r="AG52" s="61" t="str">
        <f t="shared" ref="AG52:AG55" si="131">IF(AB52="","",")")</f>
        <v/>
      </c>
      <c r="AH52" s="69" t="str">
        <f t="shared" ref="AH52:AH55" si="132">IF(AI52="","","(")</f>
        <v/>
      </c>
      <c r="AI52" s="70" t="str">
        <f t="shared" ref="AI52:AI55" si="133">IF(J52="","",J52)</f>
        <v/>
      </c>
      <c r="AJ52" s="64" t="str">
        <f t="shared" ref="AJ52:AJ55" si="134">IF(AI52="","",",")</f>
        <v/>
      </c>
      <c r="AK52" s="64" t="str">
        <f t="shared" ref="AK52:AK55" si="135">IF(K52="","",K52)</f>
        <v/>
      </c>
      <c r="AL52" s="64" t="str">
        <f t="shared" ref="AL52:AL55" si="136">IF(AI52="","",",")</f>
        <v/>
      </c>
      <c r="AM52" s="64" t="str">
        <f t="shared" ref="AM52:AM55" si="137">IF(AI52="","",450)</f>
        <v/>
      </c>
      <c r="AN52" s="64" t="str">
        <f t="shared" ref="AN52:AN55" si="138">IF(AI52="","",")")</f>
        <v/>
      </c>
    </row>
    <row r="53" spans="1:40" ht="24.5" thickTop="1" thickBot="1" x14ac:dyDescent="0.55000000000000004">
      <c r="B53" t="s">
        <v>997</v>
      </c>
      <c r="C53" s="82" t="s">
        <v>1050</v>
      </c>
      <c r="D53" s="83" t="s">
        <v>1013</v>
      </c>
      <c r="E53" s="83" t="s">
        <v>1011</v>
      </c>
      <c r="F53" s="83" t="s">
        <v>1046</v>
      </c>
      <c r="G53" s="83" t="s">
        <v>1011</v>
      </c>
      <c r="H53" s="83"/>
      <c r="I53" s="83"/>
      <c r="J53" s="83"/>
      <c r="K53" s="83"/>
      <c r="L53" s="84" t="str">
        <f>IF(C53="","",_xlfn.CONCAT("       triggerLine: ","""",C53,", ",M53:AN53,""", sC: ","""",B53,""", lines: ["))</f>
        <v xml:space="preserve">       triggerLine: "TÚ QUE ERES FIEL,, (Sol,m,14)(Do,m,250)", sC: "ta as", lines: [</v>
      </c>
      <c r="M53" s="56" t="str">
        <f t="shared" si="112"/>
        <v>(</v>
      </c>
      <c r="N53" s="57" t="str">
        <f t="shared" si="113"/>
        <v>Sol</v>
      </c>
      <c r="O53" s="58" t="str">
        <f t="shared" si="114"/>
        <v>,</v>
      </c>
      <c r="P53" s="59" t="str">
        <f t="shared" si="115"/>
        <v>m</v>
      </c>
      <c r="Q53" s="60" t="str">
        <f t="shared" si="116"/>
        <v>,</v>
      </c>
      <c r="R53" s="61">
        <f t="shared" si="28"/>
        <v>14</v>
      </c>
      <c r="S53" s="56" t="str">
        <f t="shared" si="117"/>
        <v>)</v>
      </c>
      <c r="T53" s="62" t="str">
        <f t="shared" si="118"/>
        <v>(</v>
      </c>
      <c r="U53" s="63" t="str">
        <f t="shared" si="119"/>
        <v>Do</v>
      </c>
      <c r="V53" s="64" t="str">
        <f t="shared" si="120"/>
        <v>,</v>
      </c>
      <c r="W53" s="65" t="str">
        <f t="shared" si="121"/>
        <v>m</v>
      </c>
      <c r="X53" s="64" t="str">
        <f t="shared" si="122"/>
        <v>,</v>
      </c>
      <c r="Y53" s="64">
        <f t="shared" si="123"/>
        <v>250</v>
      </c>
      <c r="Z53" s="56" t="str">
        <f t="shared" si="124"/>
        <v>)</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4.5" thickTop="1" thickBot="1" x14ac:dyDescent="0.55000000000000004">
      <c r="B54" t="s">
        <v>999</v>
      </c>
      <c r="C54" s="85" t="s">
        <v>1051</v>
      </c>
      <c r="D54" s="86" t="s">
        <v>1013</v>
      </c>
      <c r="E54" s="86" t="s">
        <v>1011</v>
      </c>
      <c r="F54" s="86" t="s">
        <v>1046</v>
      </c>
      <c r="G54" s="86" t="s">
        <v>1011</v>
      </c>
      <c r="H54" s="87" t="s">
        <v>1045</v>
      </c>
      <c r="I54" s="87">
        <v>7</v>
      </c>
      <c r="J54" s="87"/>
      <c r="K54" s="87"/>
      <c r="L54" s="88" t="str">
        <f>IF(C54="","",_xlfn.CONCAT("            { line: ","""",C54,", ",M54:AN54,""", sC: ","""",B54,"""},"))</f>
        <v xml:space="preserve">            { line: "TÚ QUE ERES FIEL, RESPÓNDEME,, (Sol,m,14)(Do,m,250)(Re,7,350)", sC: "as"},</v>
      </c>
      <c r="M54" s="56" t="str">
        <f t="shared" si="112"/>
        <v>(</v>
      </c>
      <c r="N54" s="57" t="str">
        <f t="shared" si="113"/>
        <v>Sol</v>
      </c>
      <c r="O54" s="58" t="str">
        <f t="shared" si="114"/>
        <v>,</v>
      </c>
      <c r="P54" s="59" t="str">
        <f t="shared" si="115"/>
        <v>m</v>
      </c>
      <c r="Q54" s="60" t="str">
        <f t="shared" si="116"/>
        <v>,</v>
      </c>
      <c r="R54" s="61">
        <f t="shared" si="28"/>
        <v>14</v>
      </c>
      <c r="S54" s="56" t="str">
        <f t="shared" si="117"/>
        <v>)</v>
      </c>
      <c r="T54" s="62" t="str">
        <f t="shared" si="118"/>
        <v>(</v>
      </c>
      <c r="U54" s="63" t="str">
        <f t="shared" si="119"/>
        <v>Do</v>
      </c>
      <c r="V54" s="64" t="str">
        <f t="shared" si="120"/>
        <v>,</v>
      </c>
      <c r="W54" s="65" t="str">
        <f t="shared" si="121"/>
        <v>m</v>
      </c>
      <c r="X54" s="64" t="str">
        <f t="shared" si="122"/>
        <v>,</v>
      </c>
      <c r="Y54" s="64">
        <f t="shared" si="123"/>
        <v>250</v>
      </c>
      <c r="Z54" s="56" t="str">
        <f t="shared" si="124"/>
        <v>)</v>
      </c>
      <c r="AA54" s="66" t="str">
        <f t="shared" si="125"/>
        <v>(</v>
      </c>
      <c r="AB54" s="57" t="str">
        <f t="shared" si="126"/>
        <v>Re</v>
      </c>
      <c r="AC54" s="67" t="str">
        <f t="shared" si="127"/>
        <v>,</v>
      </c>
      <c r="AD54" s="59">
        <f t="shared" si="128"/>
        <v>7</v>
      </c>
      <c r="AE54" s="68" t="str">
        <f t="shared" si="129"/>
        <v>,</v>
      </c>
      <c r="AF54" s="61">
        <f t="shared" si="130"/>
        <v>350</v>
      </c>
      <c r="AG54" s="61" t="str">
        <f t="shared" si="131"/>
        <v>)</v>
      </c>
      <c r="AH54" s="69" t="str">
        <f t="shared" si="132"/>
        <v/>
      </c>
      <c r="AI54" s="70" t="str">
        <f t="shared" si="133"/>
        <v/>
      </c>
      <c r="AJ54" s="64" t="str">
        <f t="shared" si="134"/>
        <v/>
      </c>
      <c r="AK54" s="64" t="str">
        <f t="shared" si="135"/>
        <v/>
      </c>
      <c r="AL54" s="64" t="str">
        <f t="shared" si="136"/>
        <v/>
      </c>
      <c r="AM54" s="64" t="str">
        <f t="shared" si="137"/>
        <v/>
      </c>
      <c r="AN54" s="64" t="str">
        <f t="shared" si="138"/>
        <v/>
      </c>
    </row>
    <row r="55" spans="1:40" ht="24.5" thickTop="1" thickBot="1" x14ac:dyDescent="0.55000000000000004">
      <c r="B55" t="s">
        <v>999</v>
      </c>
      <c r="C55" s="93" t="s">
        <v>1052</v>
      </c>
      <c r="D55" s="83" t="s">
        <v>1046</v>
      </c>
      <c r="E55" s="83" t="s">
        <v>1011</v>
      </c>
      <c r="F55" s="83" t="s">
        <v>1045</v>
      </c>
      <c r="G55" s="83">
        <v>7</v>
      </c>
      <c r="H55" s="83"/>
      <c r="I55" s="83"/>
      <c r="J55" s="83"/>
      <c r="K55" s="83"/>
      <c r="L55" s="94" t="str">
        <f>IF(C55="","",_xlfn.CONCAT("            { line: ","""",C55,", ",M55:AN55,""", sC: ","""",B55,"""},  ]},"))</f>
        <v xml:space="preserve">            { line: "POR TU JUSTICIA RESPÓNDEME., (Do,m,10)(Re,7,250)", sC: "as"},  ]},</v>
      </c>
      <c r="M55" s="56" t="str">
        <f t="shared" si="112"/>
        <v>(</v>
      </c>
      <c r="N55" s="57" t="str">
        <f t="shared" si="113"/>
        <v>Do</v>
      </c>
      <c r="O55" s="58" t="str">
        <f t="shared" si="114"/>
        <v>,</v>
      </c>
      <c r="P55" s="59" t="str">
        <f t="shared" si="115"/>
        <v>m</v>
      </c>
      <c r="Q55" s="60" t="str">
        <f t="shared" si="116"/>
        <v>,</v>
      </c>
      <c r="R55" s="61">
        <f t="shared" si="28"/>
        <v>10</v>
      </c>
      <c r="S55" s="56" t="str">
        <f t="shared" si="117"/>
        <v>)</v>
      </c>
      <c r="T55" s="62" t="str">
        <f t="shared" si="118"/>
        <v>(</v>
      </c>
      <c r="U55" s="63" t="str">
        <f t="shared" si="119"/>
        <v>Re</v>
      </c>
      <c r="V55" s="64" t="str">
        <f t="shared" si="120"/>
        <v>,</v>
      </c>
      <c r="W55" s="65">
        <f t="shared" si="121"/>
        <v>7</v>
      </c>
      <c r="X55" s="64" t="str">
        <f t="shared" si="122"/>
        <v>,</v>
      </c>
      <c r="Y55" s="64">
        <f t="shared" si="123"/>
        <v>250</v>
      </c>
      <c r="Z55" s="56" t="str">
        <f t="shared" si="124"/>
        <v>)</v>
      </c>
      <c r="AA55" s="66" t="str">
        <f t="shared" si="125"/>
        <v/>
      </c>
      <c r="AB55" s="57" t="str">
        <f t="shared" si="126"/>
        <v/>
      </c>
      <c r="AC55" s="67" t="str">
        <f t="shared" si="127"/>
        <v/>
      </c>
      <c r="AD55" s="59" t="str">
        <f t="shared" si="128"/>
        <v/>
      </c>
      <c r="AE55" s="68" t="str">
        <f t="shared" si="129"/>
        <v/>
      </c>
      <c r="AF55" s="61" t="str">
        <f t="shared" si="130"/>
        <v/>
      </c>
      <c r="AG55" s="61" t="str">
        <f t="shared" si="131"/>
        <v/>
      </c>
      <c r="AH55" s="69" t="str">
        <f t="shared" si="132"/>
        <v/>
      </c>
      <c r="AI55" s="70" t="str">
        <f t="shared" si="133"/>
        <v/>
      </c>
      <c r="AJ55" s="64" t="str">
        <f t="shared" si="134"/>
        <v/>
      </c>
      <c r="AK55" s="64" t="str">
        <f t="shared" si="135"/>
        <v/>
      </c>
      <c r="AL55" s="64" t="str">
        <f t="shared" si="136"/>
        <v/>
      </c>
      <c r="AM55" s="64" t="str">
        <f t="shared" si="137"/>
        <v/>
      </c>
      <c r="AN55" s="64" t="str">
        <f t="shared" si="138"/>
        <v/>
      </c>
    </row>
    <row r="56" spans="1:40" ht="36.5" thickTop="1" thickBot="1" x14ac:dyDescent="0.55000000000000004">
      <c r="A56" s="76"/>
      <c r="B56" s="76"/>
      <c r="C56" s="76" t="s">
        <v>1047</v>
      </c>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thickTop="1" thickBot="1" x14ac:dyDescent="0.55000000000000004">
      <c r="B57" t="s">
        <v>1012</v>
      </c>
      <c r="C57" s="113" t="s">
        <v>1061</v>
      </c>
      <c r="D57" s="112" t="s">
        <v>1013</v>
      </c>
      <c r="E57" s="52" t="s">
        <v>1011</v>
      </c>
      <c r="F57" s="53" t="s">
        <v>1045</v>
      </c>
      <c r="G57" s="53">
        <v>7</v>
      </c>
      <c r="H57" s="52"/>
      <c r="I57" s="52"/>
      <c r="J57" s="54"/>
      <c r="K57" s="54"/>
      <c r="L57" s="55" t="str">
        <f t="shared" ref="L57:L70" si="139">IF(C57="","",_xlfn.CONCAT("            { line: ","""",C57,", ",M57:AN57,""", sC: ","""",B57,"""},"))</f>
        <v xml:space="preserve">            { line: "Hazme conocer el camino,, (Sol,m,14)(Re,7,250)", sC: "tc"},</v>
      </c>
      <c r="M57" s="56" t="str">
        <f t="shared" ref="M57:M70" si="140">IF(N57="","","(")</f>
        <v>(</v>
      </c>
      <c r="N57" s="57" t="str">
        <f t="shared" si="2"/>
        <v>Sol</v>
      </c>
      <c r="O57" s="58" t="str">
        <f t="shared" ref="O57:O70" si="141">IF(N57="","",",")</f>
        <v>,</v>
      </c>
      <c r="P57" s="59" t="str">
        <f t="shared" si="4"/>
        <v>m</v>
      </c>
      <c r="Q57" s="60" t="str">
        <f t="shared" ref="Q57:Q70" si="142">IF(N57="","",",")</f>
        <v>,</v>
      </c>
      <c r="R57" s="61">
        <f t="shared" si="28"/>
        <v>14</v>
      </c>
      <c r="S57" s="56" t="str">
        <f t="shared" ref="S57:S70" si="143">IF(N57="","",")")</f>
        <v>)</v>
      </c>
      <c r="T57" s="62" t="str">
        <f t="shared" ref="T57:T70" si="144">IF(U57="","","(")</f>
        <v>(</v>
      </c>
      <c r="U57" s="63" t="str">
        <f t="shared" si="8"/>
        <v>Re</v>
      </c>
      <c r="V57" s="64" t="str">
        <f t="shared" ref="V57:V70" si="145">IF(U57="","",",")</f>
        <v>,</v>
      </c>
      <c r="W57" s="65">
        <f t="shared" si="10"/>
        <v>7</v>
      </c>
      <c r="X57" s="64" t="str">
        <f t="shared" ref="X57:X70" si="146">IF(U57="","",",")</f>
        <v>,</v>
      </c>
      <c r="Y57" s="64">
        <f t="shared" ref="Y57:Y70" si="147">IF(U57="","",250)</f>
        <v>250</v>
      </c>
      <c r="Z57" s="56" t="str">
        <f t="shared" ref="Z57:Z70" si="148">IF(U57="","",")")</f>
        <v>)</v>
      </c>
      <c r="AA57" s="66" t="str">
        <f t="shared" ref="AA57:AA70" si="149">IF(AB57="","","(")</f>
        <v/>
      </c>
      <c r="AB57" s="57" t="str">
        <f t="shared" si="15"/>
        <v/>
      </c>
      <c r="AC57" s="67" t="str">
        <f t="shared" ref="AC57:AC70" si="150">IF(AB57="","",",")</f>
        <v/>
      </c>
      <c r="AD57" s="59" t="str">
        <f t="shared" ref="AD57:AD70" si="151">IF(I57="","",I57)</f>
        <v/>
      </c>
      <c r="AE57" s="68" t="str">
        <f t="shared" ref="AE57:AE70" si="152">IF(AB57="","",",")</f>
        <v/>
      </c>
      <c r="AF57" s="61" t="str">
        <f t="shared" ref="AF57:AF70" si="153">IF(AB57="","",350)</f>
        <v/>
      </c>
      <c r="AG57" s="61" t="str">
        <f t="shared" ref="AG57:AG70" si="154">IF(AB57="","",")")</f>
        <v/>
      </c>
      <c r="AH57" s="69" t="str">
        <f t="shared" ref="AH57:AH70" si="155">IF(AI57="","","(")</f>
        <v/>
      </c>
      <c r="AI57" s="70" t="str">
        <f t="shared" si="22"/>
        <v/>
      </c>
      <c r="AJ57" s="64" t="str">
        <f t="shared" ref="AJ57:AJ70" si="156">IF(AI57="","",",")</f>
        <v/>
      </c>
      <c r="AK57" s="64" t="str">
        <f t="shared" ref="AK57:AK70" si="157">IF(K57="","",K57)</f>
        <v/>
      </c>
      <c r="AL57" s="64" t="str">
        <f t="shared" ref="AL57:AL70" si="158">IF(AI57="","",",")</f>
        <v/>
      </c>
      <c r="AM57" s="64" t="str">
        <f t="shared" ref="AM57:AM70" si="159">IF(AI57="","",450)</f>
        <v/>
      </c>
      <c r="AN57" s="64" t="str">
        <f t="shared" ref="AN57:AN70" si="160">IF(AI57="","",")")</f>
        <v/>
      </c>
    </row>
    <row r="58" spans="1:40" ht="24.5" thickTop="1" thickBot="1" x14ac:dyDescent="0.55000000000000004">
      <c r="C58" s="113" t="s">
        <v>1062</v>
      </c>
      <c r="D58" s="112" t="s">
        <v>1013</v>
      </c>
      <c r="E58" s="52" t="s">
        <v>1011</v>
      </c>
      <c r="F58" s="53"/>
      <c r="G58" s="53"/>
      <c r="H58" s="52"/>
      <c r="I58" s="52"/>
      <c r="J58" s="54"/>
      <c r="K58" s="54"/>
      <c r="L58" s="55" t="str">
        <f t="shared" si="139"/>
        <v xml:space="preserve">            { line: "la vía que he de seguir., (Sol,m,14)", sC: ""},</v>
      </c>
      <c r="M58" s="56" t="str">
        <f t="shared" si="140"/>
        <v>(</v>
      </c>
      <c r="N58" s="57" t="str">
        <f t="shared" si="2"/>
        <v>Sol</v>
      </c>
      <c r="O58" s="58" t="str">
        <f t="shared" si="141"/>
        <v>,</v>
      </c>
      <c r="P58" s="59" t="str">
        <f t="shared" si="4"/>
        <v>m</v>
      </c>
      <c r="Q58" s="60" t="str">
        <f t="shared" si="142"/>
        <v>,</v>
      </c>
      <c r="R58" s="61">
        <f t="shared" si="28"/>
        <v>14</v>
      </c>
      <c r="S58" s="56" t="str">
        <f t="shared" si="143"/>
        <v>)</v>
      </c>
      <c r="T58" s="62" t="str">
        <f t="shared" si="144"/>
        <v/>
      </c>
      <c r="U58" s="63" t="str">
        <f t="shared" si="8"/>
        <v/>
      </c>
      <c r="V58" s="64" t="str">
        <f t="shared" si="145"/>
        <v/>
      </c>
      <c r="W58" s="65" t="str">
        <f t="shared" si="10"/>
        <v/>
      </c>
      <c r="X58" s="64" t="str">
        <f t="shared" si="146"/>
        <v/>
      </c>
      <c r="Y58" s="64" t="str">
        <f t="shared" si="147"/>
        <v/>
      </c>
      <c r="Z58" s="56" t="str">
        <f t="shared" si="148"/>
        <v/>
      </c>
      <c r="AA58" s="66" t="str">
        <f t="shared" si="149"/>
        <v/>
      </c>
      <c r="AB58" s="57" t="str">
        <f t="shared" si="15"/>
        <v/>
      </c>
      <c r="AC58" s="67" t="str">
        <f t="shared" si="150"/>
        <v/>
      </c>
      <c r="AD58" s="59" t="str">
        <f t="shared" si="151"/>
        <v/>
      </c>
      <c r="AE58" s="68" t="str">
        <f t="shared" si="152"/>
        <v/>
      </c>
      <c r="AF58" s="61" t="str">
        <f t="shared" si="153"/>
        <v/>
      </c>
      <c r="AG58" s="61" t="str">
        <f t="shared" si="154"/>
        <v/>
      </c>
      <c r="AH58" s="69" t="str">
        <f t="shared" si="155"/>
        <v/>
      </c>
      <c r="AI58" s="70" t="str">
        <f t="shared" si="22"/>
        <v/>
      </c>
      <c r="AJ58" s="64" t="str">
        <f t="shared" si="156"/>
        <v/>
      </c>
      <c r="AK58" s="64" t="str">
        <f t="shared" si="157"/>
        <v/>
      </c>
      <c r="AL58" s="64" t="str">
        <f t="shared" si="158"/>
        <v/>
      </c>
      <c r="AM58" s="64" t="str">
        <f t="shared" si="159"/>
        <v/>
      </c>
      <c r="AN58" s="64" t="str">
        <f t="shared" si="160"/>
        <v/>
      </c>
    </row>
    <row r="59" spans="1:40" ht="24.5" thickTop="1" thickBot="1" x14ac:dyDescent="0.55000000000000004">
      <c r="C59" s="113" t="s">
        <v>1063</v>
      </c>
      <c r="D59" s="112" t="s">
        <v>1045</v>
      </c>
      <c r="E59" s="52">
        <v>7</v>
      </c>
      <c r="F59" s="53"/>
      <c r="G59" s="53"/>
      <c r="H59" s="52"/>
      <c r="I59" s="52"/>
      <c r="J59" s="54"/>
      <c r="K59" s="54"/>
      <c r="L59" s="55" t="str">
        <f t="shared" si="139"/>
        <v xml:space="preserve">            { line: "Líbrame de mis enemigos,, (Re,7,22)", sC: ""},</v>
      </c>
      <c r="M59" s="56" t="str">
        <f t="shared" si="140"/>
        <v>(</v>
      </c>
      <c r="N59" s="57" t="str">
        <f t="shared" si="2"/>
        <v>Re</v>
      </c>
      <c r="O59" s="58" t="str">
        <f t="shared" si="141"/>
        <v>,</v>
      </c>
      <c r="P59" s="59">
        <f t="shared" si="4"/>
        <v>7</v>
      </c>
      <c r="Q59" s="60" t="str">
        <f t="shared" si="142"/>
        <v>,</v>
      </c>
      <c r="R59" s="61">
        <f t="shared" si="28"/>
        <v>22</v>
      </c>
      <c r="S59" s="56" t="str">
        <f t="shared" si="143"/>
        <v>)</v>
      </c>
      <c r="T59" s="62" t="str">
        <f t="shared" si="144"/>
        <v/>
      </c>
      <c r="U59" s="63" t="str">
        <f t="shared" si="8"/>
        <v/>
      </c>
      <c r="V59" s="64" t="str">
        <f t="shared" si="145"/>
        <v/>
      </c>
      <c r="W59" s="65" t="str">
        <f t="shared" si="10"/>
        <v/>
      </c>
      <c r="X59" s="64" t="str">
        <f t="shared" si="146"/>
        <v/>
      </c>
      <c r="Y59" s="64" t="str">
        <f t="shared" si="147"/>
        <v/>
      </c>
      <c r="Z59" s="56" t="str">
        <f t="shared" si="148"/>
        <v/>
      </c>
      <c r="AA59" s="66" t="str">
        <f t="shared" si="149"/>
        <v/>
      </c>
      <c r="AB59" s="57" t="str">
        <f t="shared" si="15"/>
        <v/>
      </c>
      <c r="AC59" s="67" t="str">
        <f t="shared" si="150"/>
        <v/>
      </c>
      <c r="AD59" s="59" t="str">
        <f t="shared" si="151"/>
        <v/>
      </c>
      <c r="AE59" s="68" t="str">
        <f t="shared" si="152"/>
        <v/>
      </c>
      <c r="AF59" s="61" t="str">
        <f t="shared" si="153"/>
        <v/>
      </c>
      <c r="AG59" s="61" t="str">
        <f t="shared" si="154"/>
        <v/>
      </c>
      <c r="AH59" s="69" t="str">
        <f t="shared" si="155"/>
        <v/>
      </c>
      <c r="AI59" s="70" t="str">
        <f t="shared" si="22"/>
        <v/>
      </c>
      <c r="AJ59" s="64" t="str">
        <f t="shared" si="156"/>
        <v/>
      </c>
      <c r="AK59" s="64" t="str">
        <f t="shared" si="157"/>
        <v/>
      </c>
      <c r="AL59" s="64" t="str">
        <f t="shared" si="158"/>
        <v/>
      </c>
      <c r="AM59" s="64" t="str">
        <f t="shared" si="159"/>
        <v/>
      </c>
      <c r="AN59" s="64" t="str">
        <f t="shared" si="160"/>
        <v/>
      </c>
    </row>
    <row r="60" spans="1:40" ht="24.5" thickTop="1" thickBot="1" x14ac:dyDescent="0.55000000000000004">
      <c r="C60" s="113" t="s">
        <v>1064</v>
      </c>
      <c r="D60" s="112" t="s">
        <v>1046</v>
      </c>
      <c r="E60" s="52" t="s">
        <v>1011</v>
      </c>
      <c r="F60" s="53" t="s">
        <v>1045</v>
      </c>
      <c r="G60" s="53">
        <v>7</v>
      </c>
      <c r="H60" s="52"/>
      <c r="I60" s="52"/>
      <c r="J60" s="54"/>
      <c r="K60" s="54"/>
      <c r="L60" s="55" t="str">
        <f t="shared" si="139"/>
        <v xml:space="preserve">            { line: "Señor, que me refugio en ti., (Do,m,10)(Re,7,250)", sC: ""},</v>
      </c>
      <c r="M60" s="56" t="str">
        <f t="shared" si="140"/>
        <v>(</v>
      </c>
      <c r="N60" s="57" t="str">
        <f t="shared" si="2"/>
        <v>Do</v>
      </c>
      <c r="O60" s="58" t="str">
        <f t="shared" si="141"/>
        <v>,</v>
      </c>
      <c r="P60" s="59" t="str">
        <f t="shared" si="4"/>
        <v>m</v>
      </c>
      <c r="Q60" s="60" t="str">
        <f t="shared" si="142"/>
        <v>,</v>
      </c>
      <c r="R60" s="61">
        <f t="shared" si="28"/>
        <v>10</v>
      </c>
      <c r="S60" s="56" t="str">
        <f t="shared" si="143"/>
        <v>)</v>
      </c>
      <c r="T60" s="62" t="str">
        <f t="shared" si="144"/>
        <v>(</v>
      </c>
      <c r="U60" s="63" t="str">
        <f t="shared" si="8"/>
        <v>Re</v>
      </c>
      <c r="V60" s="64" t="str">
        <f t="shared" si="145"/>
        <v>,</v>
      </c>
      <c r="W60" s="65">
        <f t="shared" si="10"/>
        <v>7</v>
      </c>
      <c r="X60" s="64" t="str">
        <f t="shared" si="146"/>
        <v>,</v>
      </c>
      <c r="Y60" s="64">
        <f t="shared" si="147"/>
        <v>250</v>
      </c>
      <c r="Z60" s="56" t="str">
        <f t="shared" si="148"/>
        <v>)</v>
      </c>
      <c r="AA60" s="66" t="str">
        <f t="shared" si="149"/>
        <v/>
      </c>
      <c r="AB60" s="57" t="str">
        <f t="shared" si="15"/>
        <v/>
      </c>
      <c r="AC60" s="67" t="str">
        <f t="shared" si="150"/>
        <v/>
      </c>
      <c r="AD60" s="59" t="str">
        <f t="shared" si="151"/>
        <v/>
      </c>
      <c r="AE60" s="68" t="str">
        <f t="shared" si="152"/>
        <v/>
      </c>
      <c r="AF60" s="61" t="str">
        <f t="shared" si="153"/>
        <v/>
      </c>
      <c r="AG60" s="61" t="str">
        <f t="shared" si="154"/>
        <v/>
      </c>
      <c r="AH60" s="69" t="str">
        <f t="shared" si="155"/>
        <v/>
      </c>
      <c r="AI60" s="70" t="str">
        <f t="shared" si="22"/>
        <v/>
      </c>
      <c r="AJ60" s="64" t="str">
        <f t="shared" si="156"/>
        <v/>
      </c>
      <c r="AK60" s="64" t="str">
        <f t="shared" si="157"/>
        <v/>
      </c>
      <c r="AL60" s="64" t="str">
        <f t="shared" si="158"/>
        <v/>
      </c>
      <c r="AM60" s="64" t="str">
        <f t="shared" si="159"/>
        <v/>
      </c>
      <c r="AN60" s="64" t="str">
        <f t="shared" si="160"/>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 t="shared" si="28"/>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C62" s="79" t="s">
        <v>995</v>
      </c>
      <c r="D62" s="80"/>
      <c r="E62" s="80"/>
      <c r="F62" s="80"/>
      <c r="G62" s="80"/>
      <c r="H62" s="80"/>
      <c r="I62" s="80"/>
      <c r="J62" s="80"/>
      <c r="K62" s="80"/>
      <c r="L62" s="81" t="s">
        <v>996</v>
      </c>
      <c r="M62" s="56" t="str">
        <f t="shared" ref="M62:M65" si="161">IF(N62="","","(")</f>
        <v/>
      </c>
      <c r="N62" s="57" t="str">
        <f t="shared" ref="N62:N65" si="162">IF(D62="","",D62)</f>
        <v/>
      </c>
      <c r="O62" s="58" t="str">
        <f t="shared" ref="O62:O65" si="163">IF(N62="","",",")</f>
        <v/>
      </c>
      <c r="P62" s="59" t="str">
        <f t="shared" ref="P62:P65" si="164">IF(E62="","",E62)</f>
        <v/>
      </c>
      <c r="Q62" s="60" t="str">
        <f t="shared" ref="Q62:Q65" si="165">IF(N62="","",",")</f>
        <v/>
      </c>
      <c r="R62" s="61" t="str">
        <f t="shared" si="28"/>
        <v/>
      </c>
      <c r="S62" s="56" t="str">
        <f t="shared" ref="S62:S65" si="166">IF(N62="","",")")</f>
        <v/>
      </c>
      <c r="T62" s="62" t="str">
        <f t="shared" ref="T62:T65" si="167">IF(U62="","","(")</f>
        <v/>
      </c>
      <c r="U62" s="63" t="str">
        <f t="shared" ref="U62:U65" si="168">IF(F62="","",F62)</f>
        <v/>
      </c>
      <c r="V62" s="64" t="str">
        <f t="shared" ref="V62:V65" si="169">IF(U62="","",",")</f>
        <v/>
      </c>
      <c r="W62" s="65" t="str">
        <f t="shared" ref="W62:W65" si="170">IF(G62="","",G62)</f>
        <v/>
      </c>
      <c r="X62" s="64" t="str">
        <f t="shared" ref="X62:X65" si="171">IF(U62="","",",")</f>
        <v/>
      </c>
      <c r="Y62" s="64" t="str">
        <f t="shared" ref="Y62:Y65" si="172">IF(U62="","",250)</f>
        <v/>
      </c>
      <c r="Z62" s="56" t="str">
        <f t="shared" ref="Z62:Z65" si="173">IF(U62="","",")")</f>
        <v/>
      </c>
      <c r="AA62" s="66" t="str">
        <f t="shared" ref="AA62:AA65" si="174">IF(AB62="","","(")</f>
        <v/>
      </c>
      <c r="AB62" s="57" t="str">
        <f t="shared" ref="AB62:AB65" si="175">IF(H62="","",H62)</f>
        <v/>
      </c>
      <c r="AC62" s="67" t="str">
        <f t="shared" ref="AC62:AC65" si="176">IF(AB62="","",",")</f>
        <v/>
      </c>
      <c r="AD62" s="59" t="str">
        <f t="shared" ref="AD62:AD65" si="177">IF(I62="","",I62)</f>
        <v/>
      </c>
      <c r="AE62" s="68" t="str">
        <f t="shared" ref="AE62:AE65" si="178">IF(AB62="","",",")</f>
        <v/>
      </c>
      <c r="AF62" s="61" t="str">
        <f t="shared" ref="AF62:AF65" si="179">IF(AB62="","",350)</f>
        <v/>
      </c>
      <c r="AG62" s="61" t="str">
        <f t="shared" ref="AG62:AG65" si="180">IF(AB62="","",")")</f>
        <v/>
      </c>
      <c r="AH62" s="69" t="str">
        <f t="shared" ref="AH62:AH65" si="181">IF(AI62="","","(")</f>
        <v/>
      </c>
      <c r="AI62" s="70" t="str">
        <f t="shared" ref="AI62:AI65" si="182">IF(J62="","",J62)</f>
        <v/>
      </c>
      <c r="AJ62" s="64" t="str">
        <f t="shared" ref="AJ62:AJ65" si="183">IF(AI62="","",",")</f>
        <v/>
      </c>
      <c r="AK62" s="64" t="str">
        <f t="shared" ref="AK62:AK65" si="184">IF(K62="","",K62)</f>
        <v/>
      </c>
      <c r="AL62" s="64" t="str">
        <f t="shared" ref="AL62:AL65" si="185">IF(AI62="","",",")</f>
        <v/>
      </c>
      <c r="AM62" s="64" t="str">
        <f t="shared" ref="AM62:AM65" si="186">IF(AI62="","",450)</f>
        <v/>
      </c>
      <c r="AN62" s="64" t="str">
        <f t="shared" ref="AN62:AN65" si="187">IF(AI62="","",")")</f>
        <v/>
      </c>
    </row>
    <row r="63" spans="1:40" ht="24.5" thickTop="1" thickBot="1" x14ac:dyDescent="0.55000000000000004">
      <c r="B63" t="s">
        <v>997</v>
      </c>
      <c r="C63" s="82" t="s">
        <v>1050</v>
      </c>
      <c r="D63" s="83" t="s">
        <v>1013</v>
      </c>
      <c r="E63" s="83" t="s">
        <v>1011</v>
      </c>
      <c r="F63" s="83" t="s">
        <v>1046</v>
      </c>
      <c r="G63" s="83" t="s">
        <v>1011</v>
      </c>
      <c r="H63" s="83"/>
      <c r="I63" s="83"/>
      <c r="J63" s="83"/>
      <c r="K63" s="83"/>
      <c r="L63" s="84" t="str">
        <f>IF(C63="","",_xlfn.CONCAT("       triggerLine: ","""",C63,", ",M63:AN63,""", sC: ","""",B63,""", lines: ["))</f>
        <v xml:space="preserve">       triggerLine: "TÚ QUE ERES FIEL,, (Sol,m,14)(Do,m,250)", sC: "ta as", lines: [</v>
      </c>
      <c r="M63" s="56" t="str">
        <f t="shared" si="161"/>
        <v>(</v>
      </c>
      <c r="N63" s="57" t="str">
        <f t="shared" si="162"/>
        <v>Sol</v>
      </c>
      <c r="O63" s="58" t="str">
        <f t="shared" si="163"/>
        <v>,</v>
      </c>
      <c r="P63" s="59" t="str">
        <f t="shared" si="164"/>
        <v>m</v>
      </c>
      <c r="Q63" s="60" t="str">
        <f t="shared" si="165"/>
        <v>,</v>
      </c>
      <c r="R63" s="61">
        <f t="shared" si="28"/>
        <v>14</v>
      </c>
      <c r="S63" s="56" t="str">
        <f t="shared" si="166"/>
        <v>)</v>
      </c>
      <c r="T63" s="62" t="str">
        <f t="shared" si="167"/>
        <v>(</v>
      </c>
      <c r="U63" s="63" t="str">
        <f t="shared" si="168"/>
        <v>Do</v>
      </c>
      <c r="V63" s="64" t="str">
        <f t="shared" si="169"/>
        <v>,</v>
      </c>
      <c r="W63" s="65" t="str">
        <f t="shared" si="170"/>
        <v>m</v>
      </c>
      <c r="X63" s="64" t="str">
        <f t="shared" si="171"/>
        <v>,</v>
      </c>
      <c r="Y63" s="64">
        <f t="shared" si="172"/>
        <v>250</v>
      </c>
      <c r="Z63" s="56" t="str">
        <f t="shared" si="173"/>
        <v>)</v>
      </c>
      <c r="AA63" s="66" t="str">
        <f t="shared" si="174"/>
        <v/>
      </c>
      <c r="AB63" s="57" t="str">
        <f t="shared" si="175"/>
        <v/>
      </c>
      <c r="AC63" s="67" t="str">
        <f t="shared" si="176"/>
        <v/>
      </c>
      <c r="AD63" s="59" t="str">
        <f t="shared" si="177"/>
        <v/>
      </c>
      <c r="AE63" s="68" t="str">
        <f t="shared" si="178"/>
        <v/>
      </c>
      <c r="AF63" s="61" t="str">
        <f t="shared" si="179"/>
        <v/>
      </c>
      <c r="AG63" s="61" t="str">
        <f t="shared" si="180"/>
        <v/>
      </c>
      <c r="AH63" s="69" t="str">
        <f t="shared" si="181"/>
        <v/>
      </c>
      <c r="AI63" s="70" t="str">
        <f t="shared" si="182"/>
        <v/>
      </c>
      <c r="AJ63" s="64" t="str">
        <f t="shared" si="183"/>
        <v/>
      </c>
      <c r="AK63" s="64" t="str">
        <f t="shared" si="184"/>
        <v/>
      </c>
      <c r="AL63" s="64" t="str">
        <f t="shared" si="185"/>
        <v/>
      </c>
      <c r="AM63" s="64" t="str">
        <f t="shared" si="186"/>
        <v/>
      </c>
      <c r="AN63" s="64" t="str">
        <f t="shared" si="187"/>
        <v/>
      </c>
    </row>
    <row r="64" spans="1:40" ht="24.5" thickTop="1" thickBot="1" x14ac:dyDescent="0.55000000000000004">
      <c r="B64" t="s">
        <v>999</v>
      </c>
      <c r="C64" s="85" t="s">
        <v>1051</v>
      </c>
      <c r="D64" s="86" t="s">
        <v>1013</v>
      </c>
      <c r="E64" s="86" t="s">
        <v>1011</v>
      </c>
      <c r="F64" s="86" t="s">
        <v>1046</v>
      </c>
      <c r="G64" s="86" t="s">
        <v>1011</v>
      </c>
      <c r="H64" s="87" t="s">
        <v>1045</v>
      </c>
      <c r="I64" s="87">
        <v>7</v>
      </c>
      <c r="J64" s="87"/>
      <c r="K64" s="87"/>
      <c r="L64" s="88" t="str">
        <f>IF(C64="","",_xlfn.CONCAT("            { line: ","""",C64,", ",M64:AN64,""", sC: ","""",B64,"""},"))</f>
        <v xml:space="preserve">            { line: "TÚ QUE ERES FIEL, RESPÓNDEME,, (Sol,m,14)(Do,m,250)(Re,7,350)", sC: "as"},</v>
      </c>
      <c r="M64" s="56" t="str">
        <f t="shared" si="161"/>
        <v>(</v>
      </c>
      <c r="N64" s="57" t="str">
        <f t="shared" si="162"/>
        <v>Sol</v>
      </c>
      <c r="O64" s="58" t="str">
        <f t="shared" si="163"/>
        <v>,</v>
      </c>
      <c r="P64" s="59" t="str">
        <f t="shared" si="164"/>
        <v>m</v>
      </c>
      <c r="Q64" s="60" t="str">
        <f t="shared" si="165"/>
        <v>,</v>
      </c>
      <c r="R64" s="61">
        <f t="shared" si="28"/>
        <v>14</v>
      </c>
      <c r="S64" s="56" t="str">
        <f t="shared" si="166"/>
        <v>)</v>
      </c>
      <c r="T64" s="62" t="str">
        <f t="shared" si="167"/>
        <v>(</v>
      </c>
      <c r="U64" s="63" t="str">
        <f t="shared" si="168"/>
        <v>Do</v>
      </c>
      <c r="V64" s="64" t="str">
        <f t="shared" si="169"/>
        <v>,</v>
      </c>
      <c r="W64" s="65" t="str">
        <f t="shared" si="170"/>
        <v>m</v>
      </c>
      <c r="X64" s="64" t="str">
        <f t="shared" si="171"/>
        <v>,</v>
      </c>
      <c r="Y64" s="64">
        <f t="shared" si="172"/>
        <v>250</v>
      </c>
      <c r="Z64" s="56" t="str">
        <f t="shared" si="173"/>
        <v>)</v>
      </c>
      <c r="AA64" s="66" t="str">
        <f t="shared" si="174"/>
        <v>(</v>
      </c>
      <c r="AB64" s="57" t="str">
        <f t="shared" si="175"/>
        <v>Re</v>
      </c>
      <c r="AC64" s="67" t="str">
        <f t="shared" si="176"/>
        <v>,</v>
      </c>
      <c r="AD64" s="59">
        <f t="shared" si="177"/>
        <v>7</v>
      </c>
      <c r="AE64" s="68" t="str">
        <f t="shared" si="178"/>
        <v>,</v>
      </c>
      <c r="AF64" s="61">
        <f t="shared" si="179"/>
        <v>350</v>
      </c>
      <c r="AG64" s="61" t="str">
        <f t="shared" si="180"/>
        <v>)</v>
      </c>
      <c r="AH64" s="69" t="str">
        <f t="shared" si="181"/>
        <v/>
      </c>
      <c r="AI64" s="70" t="str">
        <f t="shared" si="182"/>
        <v/>
      </c>
      <c r="AJ64" s="64" t="str">
        <f t="shared" si="183"/>
        <v/>
      </c>
      <c r="AK64" s="64" t="str">
        <f t="shared" si="184"/>
        <v/>
      </c>
      <c r="AL64" s="64" t="str">
        <f t="shared" si="185"/>
        <v/>
      </c>
      <c r="AM64" s="64" t="str">
        <f t="shared" si="186"/>
        <v/>
      </c>
      <c r="AN64" s="64" t="str">
        <f t="shared" si="187"/>
        <v/>
      </c>
    </row>
    <row r="65" spans="1:40" ht="24.5" thickTop="1" thickBot="1" x14ac:dyDescent="0.55000000000000004">
      <c r="B65" t="s">
        <v>999</v>
      </c>
      <c r="C65" s="93" t="s">
        <v>1052</v>
      </c>
      <c r="D65" s="83" t="s">
        <v>1046</v>
      </c>
      <c r="E65" s="83" t="s">
        <v>1011</v>
      </c>
      <c r="F65" s="83" t="s">
        <v>1045</v>
      </c>
      <c r="G65" s="83">
        <v>7</v>
      </c>
      <c r="H65" s="83"/>
      <c r="I65" s="83"/>
      <c r="J65" s="83"/>
      <c r="K65" s="83"/>
      <c r="L65" s="94" t="str">
        <f>IF(C65="","",_xlfn.CONCAT("            { line: ","""",C65,", ",M65:AN65,""", sC: ","""",B65,"""},  ]},"))</f>
        <v xml:space="preserve">            { line: "POR TU JUSTICIA RESPÓNDEME., (Do,m,10)(Re,7,250)", sC: "as"},  ]},</v>
      </c>
      <c r="M65" s="56" t="str">
        <f t="shared" si="161"/>
        <v>(</v>
      </c>
      <c r="N65" s="57" t="str">
        <f t="shared" si="162"/>
        <v>Do</v>
      </c>
      <c r="O65" s="58" t="str">
        <f t="shared" si="163"/>
        <v>,</v>
      </c>
      <c r="P65" s="59" t="str">
        <f t="shared" si="164"/>
        <v>m</v>
      </c>
      <c r="Q65" s="60" t="str">
        <f t="shared" si="165"/>
        <v>,</v>
      </c>
      <c r="R65" s="61">
        <f t="shared" si="28"/>
        <v>10</v>
      </c>
      <c r="S65" s="56" t="str">
        <f t="shared" si="166"/>
        <v>)</v>
      </c>
      <c r="T65" s="62" t="str">
        <f t="shared" si="167"/>
        <v>(</v>
      </c>
      <c r="U65" s="63" t="str">
        <f t="shared" si="168"/>
        <v>Re</v>
      </c>
      <c r="V65" s="64" t="str">
        <f t="shared" si="169"/>
        <v>,</v>
      </c>
      <c r="W65" s="65">
        <f t="shared" si="170"/>
        <v>7</v>
      </c>
      <c r="X65" s="64" t="str">
        <f t="shared" si="171"/>
        <v>,</v>
      </c>
      <c r="Y65" s="64">
        <f t="shared" si="172"/>
        <v>250</v>
      </c>
      <c r="Z65" s="56" t="str">
        <f t="shared" si="173"/>
        <v>)</v>
      </c>
      <c r="AA65" s="66" t="str">
        <f t="shared" si="174"/>
        <v/>
      </c>
      <c r="AB65" s="57" t="str">
        <f t="shared" si="175"/>
        <v/>
      </c>
      <c r="AC65" s="67" t="str">
        <f t="shared" si="176"/>
        <v/>
      </c>
      <c r="AD65" s="59" t="str">
        <f t="shared" si="177"/>
        <v/>
      </c>
      <c r="AE65" s="68" t="str">
        <f t="shared" si="178"/>
        <v/>
      </c>
      <c r="AF65" s="61" t="str">
        <f t="shared" si="179"/>
        <v/>
      </c>
      <c r="AG65" s="61" t="str">
        <f t="shared" si="180"/>
        <v/>
      </c>
      <c r="AH65" s="69" t="str">
        <f t="shared" si="181"/>
        <v/>
      </c>
      <c r="AI65" s="70" t="str">
        <f t="shared" si="182"/>
        <v/>
      </c>
      <c r="AJ65" s="64" t="str">
        <f t="shared" si="183"/>
        <v/>
      </c>
      <c r="AK65" s="64" t="str">
        <f t="shared" si="184"/>
        <v/>
      </c>
      <c r="AL65" s="64" t="str">
        <f t="shared" si="185"/>
        <v/>
      </c>
      <c r="AM65" s="64" t="str">
        <f t="shared" si="186"/>
        <v/>
      </c>
      <c r="AN65" s="64" t="str">
        <f t="shared" si="187"/>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28"/>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1012</v>
      </c>
      <c r="C67" s="113" t="s">
        <v>1065</v>
      </c>
      <c r="D67" s="112" t="s">
        <v>1013</v>
      </c>
      <c r="E67" s="52" t="s">
        <v>1011</v>
      </c>
      <c r="F67" s="53" t="s">
        <v>1045</v>
      </c>
      <c r="G67" s="53">
        <v>7</v>
      </c>
      <c r="H67" s="52"/>
      <c r="I67" s="52"/>
      <c r="J67" s="54"/>
      <c r="K67" s="54"/>
      <c r="L67" s="55" t="str">
        <f t="shared" si="139"/>
        <v xml:space="preserve">            { line: "Enséñame a cumplir tu voluntad,, (Sol,m,14)(Re,7,250)", sC: "tc"},</v>
      </c>
      <c r="M67" s="56" t="str">
        <f t="shared" si="140"/>
        <v>(</v>
      </c>
      <c r="N67" s="57" t="str">
        <f t="shared" si="2"/>
        <v>Sol</v>
      </c>
      <c r="O67" s="58" t="str">
        <f t="shared" si="141"/>
        <v>,</v>
      </c>
      <c r="P67" s="59" t="str">
        <f t="shared" si="4"/>
        <v>m</v>
      </c>
      <c r="Q67" s="60" t="str">
        <f t="shared" si="142"/>
        <v>,</v>
      </c>
      <c r="R67" s="61">
        <f t="shared" si="28"/>
        <v>14</v>
      </c>
      <c r="S67" s="56" t="str">
        <f t="shared" si="143"/>
        <v>)</v>
      </c>
      <c r="T67" s="62" t="str">
        <f t="shared" si="144"/>
        <v>(</v>
      </c>
      <c r="U67" s="63" t="str">
        <f t="shared" si="8"/>
        <v>Re</v>
      </c>
      <c r="V67" s="64" t="str">
        <f t="shared" si="145"/>
        <v>,</v>
      </c>
      <c r="W67" s="65">
        <f t="shared" si="10"/>
        <v>7</v>
      </c>
      <c r="X67" s="64" t="str">
        <f t="shared" si="146"/>
        <v>,</v>
      </c>
      <c r="Y67" s="64">
        <f t="shared" si="147"/>
        <v>250</v>
      </c>
      <c r="Z67" s="56" t="str">
        <f t="shared" si="148"/>
        <v>)</v>
      </c>
      <c r="AA67" s="66" t="str">
        <f t="shared" si="149"/>
        <v/>
      </c>
      <c r="AB67" s="57" t="str">
        <f t="shared" si="15"/>
        <v/>
      </c>
      <c r="AC67" s="67" t="str">
        <f t="shared" si="150"/>
        <v/>
      </c>
      <c r="AD67" s="59" t="str">
        <f t="shared" si="151"/>
        <v/>
      </c>
      <c r="AE67" s="68" t="str">
        <f t="shared" si="152"/>
        <v/>
      </c>
      <c r="AF67" s="61" t="str">
        <f t="shared" si="153"/>
        <v/>
      </c>
      <c r="AG67" s="61" t="str">
        <f t="shared" si="154"/>
        <v/>
      </c>
      <c r="AH67" s="69" t="str">
        <f t="shared" si="155"/>
        <v/>
      </c>
      <c r="AI67" s="70" t="str">
        <f t="shared" si="22"/>
        <v/>
      </c>
      <c r="AJ67" s="64" t="str">
        <f t="shared" si="156"/>
        <v/>
      </c>
      <c r="AK67" s="64" t="str">
        <f t="shared" si="157"/>
        <v/>
      </c>
      <c r="AL67" s="64" t="str">
        <f t="shared" si="158"/>
        <v/>
      </c>
      <c r="AM67" s="64" t="str">
        <f t="shared" si="159"/>
        <v/>
      </c>
      <c r="AN67" s="64" t="str">
        <f t="shared" si="160"/>
        <v/>
      </c>
    </row>
    <row r="68" spans="1:40" ht="24.5" thickTop="1" thickBot="1" x14ac:dyDescent="0.55000000000000004">
      <c r="C68" s="113" t="s">
        <v>1066</v>
      </c>
      <c r="D68" s="112" t="s">
        <v>1013</v>
      </c>
      <c r="E68" s="52" t="s">
        <v>1011</v>
      </c>
      <c r="F68" s="53"/>
      <c r="G68" s="53"/>
      <c r="H68" s="52"/>
      <c r="I68" s="52"/>
      <c r="J68" s="54"/>
      <c r="K68" s="54"/>
      <c r="L68" s="55" t="str">
        <f t="shared" si="139"/>
        <v xml:space="preserve">            { line: "porque tú eres mi Dios;, (Sol,m,14)", sC: ""},</v>
      </c>
      <c r="M68" s="56" t="str">
        <f t="shared" si="140"/>
        <v>(</v>
      </c>
      <c r="N68" s="57" t="str">
        <f t="shared" si="2"/>
        <v>Sol</v>
      </c>
      <c r="O68" s="58" t="str">
        <f t="shared" si="141"/>
        <v>,</v>
      </c>
      <c r="P68" s="59" t="str">
        <f t="shared" si="4"/>
        <v>m</v>
      </c>
      <c r="Q68" s="60" t="str">
        <f t="shared" si="142"/>
        <v>,</v>
      </c>
      <c r="R68" s="61">
        <f t="shared" si="28"/>
        <v>14</v>
      </c>
      <c r="S68" s="56" t="str">
        <f t="shared" si="143"/>
        <v>)</v>
      </c>
      <c r="T68" s="62" t="str">
        <f t="shared" si="144"/>
        <v/>
      </c>
      <c r="U68" s="63" t="str">
        <f t="shared" si="8"/>
        <v/>
      </c>
      <c r="V68" s="64" t="str">
        <f t="shared" si="145"/>
        <v/>
      </c>
      <c r="W68" s="65" t="str">
        <f t="shared" si="10"/>
        <v/>
      </c>
      <c r="X68" s="64" t="str">
        <f t="shared" si="146"/>
        <v/>
      </c>
      <c r="Y68" s="64" t="str">
        <f t="shared" si="147"/>
        <v/>
      </c>
      <c r="Z68" s="56" t="str">
        <f t="shared" si="148"/>
        <v/>
      </c>
      <c r="AA68" s="66" t="str">
        <f t="shared" si="149"/>
        <v/>
      </c>
      <c r="AB68" s="57" t="str">
        <f t="shared" si="15"/>
        <v/>
      </c>
      <c r="AC68" s="67" t="str">
        <f t="shared" si="150"/>
        <v/>
      </c>
      <c r="AD68" s="59" t="str">
        <f t="shared" si="151"/>
        <v/>
      </c>
      <c r="AE68" s="68" t="str">
        <f t="shared" si="152"/>
        <v/>
      </c>
      <c r="AF68" s="61" t="str">
        <f t="shared" si="153"/>
        <v/>
      </c>
      <c r="AG68" s="61" t="str">
        <f t="shared" si="154"/>
        <v/>
      </c>
      <c r="AH68" s="69" t="str">
        <f t="shared" si="155"/>
        <v/>
      </c>
      <c r="AI68" s="70" t="str">
        <f t="shared" si="22"/>
        <v/>
      </c>
      <c r="AJ68" s="64" t="str">
        <f t="shared" si="156"/>
        <v/>
      </c>
      <c r="AK68" s="64" t="str">
        <f t="shared" si="157"/>
        <v/>
      </c>
      <c r="AL68" s="64" t="str">
        <f t="shared" si="158"/>
        <v/>
      </c>
      <c r="AM68" s="64" t="str">
        <f t="shared" si="159"/>
        <v/>
      </c>
      <c r="AN68" s="64" t="str">
        <f t="shared" si="160"/>
        <v/>
      </c>
    </row>
    <row r="69" spans="1:40" ht="24.5" thickTop="1" thickBot="1" x14ac:dyDescent="0.55000000000000004">
      <c r="C69" s="113" t="s">
        <v>1067</v>
      </c>
      <c r="D69" s="112" t="s">
        <v>1045</v>
      </c>
      <c r="E69" s="52">
        <v>7</v>
      </c>
      <c r="F69" s="53"/>
      <c r="G69" s="53"/>
      <c r="H69" s="52"/>
      <c r="I69" s="52"/>
      <c r="J69" s="54"/>
      <c r="K69" s="54"/>
      <c r="L69" s="55" t="str">
        <f t="shared" si="139"/>
        <v xml:space="preserve">            { line: "tu Espíritu me guíe,, (Re,7,22)", sC: ""},</v>
      </c>
      <c r="M69" s="56" t="str">
        <f t="shared" si="140"/>
        <v>(</v>
      </c>
      <c r="N69" s="57" t="str">
        <f t="shared" si="2"/>
        <v>Re</v>
      </c>
      <c r="O69" s="58" t="str">
        <f t="shared" si="141"/>
        <v>,</v>
      </c>
      <c r="P69" s="59">
        <f t="shared" si="4"/>
        <v>7</v>
      </c>
      <c r="Q69" s="60" t="str">
        <f t="shared" si="142"/>
        <v>,</v>
      </c>
      <c r="R69" s="61">
        <f t="shared" si="28"/>
        <v>22</v>
      </c>
      <c r="S69" s="56" t="str">
        <f t="shared" si="143"/>
        <v>)</v>
      </c>
      <c r="T69" s="62" t="str">
        <f t="shared" si="144"/>
        <v/>
      </c>
      <c r="U69" s="63" t="str">
        <f t="shared" si="8"/>
        <v/>
      </c>
      <c r="V69" s="64" t="str">
        <f t="shared" si="145"/>
        <v/>
      </c>
      <c r="W69" s="65" t="str">
        <f t="shared" si="10"/>
        <v/>
      </c>
      <c r="X69" s="64" t="str">
        <f t="shared" si="146"/>
        <v/>
      </c>
      <c r="Y69" s="64" t="str">
        <f t="shared" si="147"/>
        <v/>
      </c>
      <c r="Z69" s="56" t="str">
        <f t="shared" si="148"/>
        <v/>
      </c>
      <c r="AA69" s="66" t="str">
        <f t="shared" si="149"/>
        <v/>
      </c>
      <c r="AB69" s="57" t="str">
        <f t="shared" si="15"/>
        <v/>
      </c>
      <c r="AC69" s="67" t="str">
        <f t="shared" si="150"/>
        <v/>
      </c>
      <c r="AD69" s="59" t="str">
        <f t="shared" si="151"/>
        <v/>
      </c>
      <c r="AE69" s="68" t="str">
        <f t="shared" si="152"/>
        <v/>
      </c>
      <c r="AF69" s="61" t="str">
        <f t="shared" si="153"/>
        <v/>
      </c>
      <c r="AG69" s="61" t="str">
        <f t="shared" si="154"/>
        <v/>
      </c>
      <c r="AH69" s="69" t="str">
        <f t="shared" si="155"/>
        <v/>
      </c>
      <c r="AI69" s="70" t="str">
        <f t="shared" si="22"/>
        <v/>
      </c>
      <c r="AJ69" s="64" t="str">
        <f t="shared" si="156"/>
        <v/>
      </c>
      <c r="AK69" s="64" t="str">
        <f t="shared" si="157"/>
        <v/>
      </c>
      <c r="AL69" s="64" t="str">
        <f t="shared" si="158"/>
        <v/>
      </c>
      <c r="AM69" s="64" t="str">
        <f t="shared" si="159"/>
        <v/>
      </c>
      <c r="AN69" s="64" t="str">
        <f t="shared" si="160"/>
        <v/>
      </c>
    </row>
    <row r="70" spans="1:40" ht="24.5" thickTop="1" thickBot="1" x14ac:dyDescent="0.55000000000000004">
      <c r="C70" s="113" t="s">
        <v>1068</v>
      </c>
      <c r="D70" s="112" t="s">
        <v>1046</v>
      </c>
      <c r="E70" s="52" t="s">
        <v>1011</v>
      </c>
      <c r="F70" s="53" t="s">
        <v>1045</v>
      </c>
      <c r="G70" s="53">
        <v>7</v>
      </c>
      <c r="H70" s="52"/>
      <c r="I70" s="52"/>
      <c r="J70" s="54"/>
      <c r="K70" s="54"/>
      <c r="L70" s="55" t="str">
        <f t="shared" si="139"/>
        <v xml:space="preserve">            { line: "tu Espíritu me guíe por tierra llana., (Do,m,10)(Re,7,250)", sC: ""},</v>
      </c>
      <c r="M70" s="56" t="str">
        <f t="shared" si="140"/>
        <v>(</v>
      </c>
      <c r="N70" s="57" t="str">
        <f t="shared" si="2"/>
        <v>Do</v>
      </c>
      <c r="O70" s="58" t="str">
        <f t="shared" si="141"/>
        <v>,</v>
      </c>
      <c r="P70" s="59" t="str">
        <f t="shared" si="4"/>
        <v>m</v>
      </c>
      <c r="Q70" s="60" t="str">
        <f t="shared" si="142"/>
        <v>,</v>
      </c>
      <c r="R70" s="61">
        <f t="shared" si="28"/>
        <v>10</v>
      </c>
      <c r="S70" s="56" t="str">
        <f t="shared" si="143"/>
        <v>)</v>
      </c>
      <c r="T70" s="62" t="str">
        <f t="shared" si="144"/>
        <v>(</v>
      </c>
      <c r="U70" s="63" t="str">
        <f t="shared" si="8"/>
        <v>Re</v>
      </c>
      <c r="V70" s="64" t="str">
        <f t="shared" si="145"/>
        <v>,</v>
      </c>
      <c r="W70" s="65">
        <f t="shared" si="10"/>
        <v>7</v>
      </c>
      <c r="X70" s="64" t="str">
        <f t="shared" si="146"/>
        <v>,</v>
      </c>
      <c r="Y70" s="64">
        <f t="shared" si="147"/>
        <v>250</v>
      </c>
      <c r="Z70" s="56" t="str">
        <f t="shared" si="148"/>
        <v>)</v>
      </c>
      <c r="AA70" s="66" t="str">
        <f t="shared" si="149"/>
        <v/>
      </c>
      <c r="AB70" s="57" t="str">
        <f t="shared" si="15"/>
        <v/>
      </c>
      <c r="AC70" s="67" t="str">
        <f t="shared" si="150"/>
        <v/>
      </c>
      <c r="AD70" s="59" t="str">
        <f t="shared" si="151"/>
        <v/>
      </c>
      <c r="AE70" s="68" t="str">
        <f t="shared" si="152"/>
        <v/>
      </c>
      <c r="AF70" s="61" t="str">
        <f t="shared" si="153"/>
        <v/>
      </c>
      <c r="AG70" s="61" t="str">
        <f t="shared" si="154"/>
        <v/>
      </c>
      <c r="AH70" s="69" t="str">
        <f t="shared" si="155"/>
        <v/>
      </c>
      <c r="AI70" s="70" t="str">
        <f t="shared" si="22"/>
        <v/>
      </c>
      <c r="AJ70" s="64" t="str">
        <f t="shared" si="156"/>
        <v/>
      </c>
      <c r="AK70" s="64" t="str">
        <f t="shared" si="157"/>
        <v/>
      </c>
      <c r="AL70" s="64" t="str">
        <f t="shared" si="158"/>
        <v/>
      </c>
      <c r="AM70" s="64" t="str">
        <f t="shared" si="159"/>
        <v/>
      </c>
      <c r="AN70" s="64" t="str">
        <f t="shared" si="160"/>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ref="R71:R76" si="188">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C72" s="79" t="s">
        <v>995</v>
      </c>
      <c r="D72" s="80"/>
      <c r="E72" s="80"/>
      <c r="F72" s="80"/>
      <c r="G72" s="80"/>
      <c r="H72" s="80"/>
      <c r="I72" s="80"/>
      <c r="J72" s="80"/>
      <c r="K72" s="80"/>
      <c r="L72" s="81" t="s">
        <v>996</v>
      </c>
      <c r="M72" s="56" t="str">
        <f t="shared" ref="M72:M75" si="189">IF(N72="","","(")</f>
        <v/>
      </c>
      <c r="N72" s="57" t="str">
        <f t="shared" ref="N72:N75" si="190">IF(D72="","",D72)</f>
        <v/>
      </c>
      <c r="O72" s="58" t="str">
        <f t="shared" ref="O72:O75" si="191">IF(N72="","",",")</f>
        <v/>
      </c>
      <c r="P72" s="59" t="str">
        <f t="shared" ref="P72:P75" si="192">IF(E72="","",E72)</f>
        <v/>
      </c>
      <c r="Q72" s="60" t="str">
        <f t="shared" ref="Q72:Q75" si="193">IF(N72="","",",")</f>
        <v/>
      </c>
      <c r="R72" s="61" t="str">
        <f t="shared" si="188"/>
        <v/>
      </c>
      <c r="S72" s="56" t="str">
        <f t="shared" ref="S72:S75" si="194">IF(N72="","",")")</f>
        <v/>
      </c>
      <c r="T72" s="62" t="str">
        <f t="shared" ref="T72:T75" si="195">IF(U72="","","(")</f>
        <v/>
      </c>
      <c r="U72" s="63" t="str">
        <f t="shared" ref="U72:U75" si="196">IF(F72="","",F72)</f>
        <v/>
      </c>
      <c r="V72" s="64" t="str">
        <f t="shared" ref="V72:V75" si="197">IF(U72="","",",")</f>
        <v/>
      </c>
      <c r="W72" s="65" t="str">
        <f t="shared" ref="W72:W75" si="198">IF(G72="","",G72)</f>
        <v/>
      </c>
      <c r="X72" s="64" t="str">
        <f t="shared" ref="X72:X75" si="199">IF(U72="","",",")</f>
        <v/>
      </c>
      <c r="Y72" s="64" t="str">
        <f t="shared" ref="Y72:Y75" si="200">IF(U72="","",250)</f>
        <v/>
      </c>
      <c r="Z72" s="56" t="str">
        <f t="shared" ref="Z72:Z75" si="201">IF(U72="","",")")</f>
        <v/>
      </c>
      <c r="AA72" s="66" t="str">
        <f t="shared" ref="AA72:AA75" si="202">IF(AB72="","","(")</f>
        <v/>
      </c>
      <c r="AB72" s="57" t="str">
        <f t="shared" ref="AB72:AB75" si="203">IF(H72="","",H72)</f>
        <v/>
      </c>
      <c r="AC72" s="67" t="str">
        <f t="shared" ref="AC72:AC75" si="204">IF(AB72="","",",")</f>
        <v/>
      </c>
      <c r="AD72" s="59" t="str">
        <f t="shared" ref="AD72:AD75" si="205">IF(I72="","",I72)</f>
        <v/>
      </c>
      <c r="AE72" s="68" t="str">
        <f t="shared" ref="AE72:AE75" si="206">IF(AB72="","",",")</f>
        <v/>
      </c>
      <c r="AF72" s="61" t="str">
        <f t="shared" ref="AF72:AF75" si="207">IF(AB72="","",350)</f>
        <v/>
      </c>
      <c r="AG72" s="61" t="str">
        <f t="shared" ref="AG72:AG75" si="208">IF(AB72="","",")")</f>
        <v/>
      </c>
      <c r="AH72" s="69" t="str">
        <f t="shared" ref="AH72:AH75" si="209">IF(AI72="","","(")</f>
        <v/>
      </c>
      <c r="AI72" s="70" t="str">
        <f t="shared" ref="AI72:AI75" si="210">IF(J72="","",J72)</f>
        <v/>
      </c>
      <c r="AJ72" s="64" t="str">
        <f t="shared" ref="AJ72:AJ75" si="211">IF(AI72="","",",")</f>
        <v/>
      </c>
      <c r="AK72" s="64" t="str">
        <f t="shared" ref="AK72:AK75" si="212">IF(K72="","",K72)</f>
        <v/>
      </c>
      <c r="AL72" s="64" t="str">
        <f t="shared" ref="AL72:AL75" si="213">IF(AI72="","",",")</f>
        <v/>
      </c>
      <c r="AM72" s="64" t="str">
        <f t="shared" ref="AM72:AM75" si="214">IF(AI72="","",450)</f>
        <v/>
      </c>
      <c r="AN72" s="64" t="str">
        <f t="shared" ref="AN72:AN75" si="215">IF(AI72="","",")")</f>
        <v/>
      </c>
    </row>
    <row r="73" spans="1:40" ht="24.5" thickTop="1" thickBot="1" x14ac:dyDescent="0.55000000000000004">
      <c r="B73" t="s">
        <v>997</v>
      </c>
      <c r="C73" s="82" t="s">
        <v>1050</v>
      </c>
      <c r="D73" s="83" t="s">
        <v>1013</v>
      </c>
      <c r="E73" s="83" t="s">
        <v>1011</v>
      </c>
      <c r="F73" s="83" t="s">
        <v>1046</v>
      </c>
      <c r="G73" s="83" t="s">
        <v>1011</v>
      </c>
      <c r="H73" s="83"/>
      <c r="I73" s="83"/>
      <c r="J73" s="83"/>
      <c r="K73" s="83"/>
      <c r="L73" s="84" t="str">
        <f>IF(C73="","",_xlfn.CONCAT("       triggerLine: ","""",C73,", ",M73:AN73,""", sC: ","""",B73,""", lines: ["))</f>
        <v xml:space="preserve">       triggerLine: "TÚ QUE ERES FIEL,, (Sol,m,14)(Do,m,250)", sC: "ta as", lines: [</v>
      </c>
      <c r="M73" s="56" t="str">
        <f t="shared" si="189"/>
        <v>(</v>
      </c>
      <c r="N73" s="57" t="str">
        <f t="shared" si="190"/>
        <v>Sol</v>
      </c>
      <c r="O73" s="58" t="str">
        <f t="shared" si="191"/>
        <v>,</v>
      </c>
      <c r="P73" s="59" t="str">
        <f t="shared" si="192"/>
        <v>m</v>
      </c>
      <c r="Q73" s="60" t="str">
        <f t="shared" si="193"/>
        <v>,</v>
      </c>
      <c r="R73" s="61">
        <f t="shared" si="188"/>
        <v>14</v>
      </c>
      <c r="S73" s="56" t="str">
        <f t="shared" si="194"/>
        <v>)</v>
      </c>
      <c r="T73" s="62" t="str">
        <f t="shared" si="195"/>
        <v>(</v>
      </c>
      <c r="U73" s="63" t="str">
        <f t="shared" si="196"/>
        <v>Do</v>
      </c>
      <c r="V73" s="64" t="str">
        <f t="shared" si="197"/>
        <v>,</v>
      </c>
      <c r="W73" s="65" t="str">
        <f t="shared" si="198"/>
        <v>m</v>
      </c>
      <c r="X73" s="64" t="str">
        <f t="shared" si="199"/>
        <v>,</v>
      </c>
      <c r="Y73" s="64">
        <f t="shared" si="200"/>
        <v>250</v>
      </c>
      <c r="Z73" s="56" t="str">
        <f t="shared" si="201"/>
        <v>)</v>
      </c>
      <c r="AA73" s="66" t="str">
        <f t="shared" si="202"/>
        <v/>
      </c>
      <c r="AB73" s="57" t="str">
        <f t="shared" si="203"/>
        <v/>
      </c>
      <c r="AC73" s="67" t="str">
        <f t="shared" si="204"/>
        <v/>
      </c>
      <c r="AD73" s="59" t="str">
        <f t="shared" si="205"/>
        <v/>
      </c>
      <c r="AE73" s="68" t="str">
        <f t="shared" si="206"/>
        <v/>
      </c>
      <c r="AF73" s="61" t="str">
        <f t="shared" si="207"/>
        <v/>
      </c>
      <c r="AG73" s="61" t="str">
        <f t="shared" si="208"/>
        <v/>
      </c>
      <c r="AH73" s="69" t="str">
        <f t="shared" si="209"/>
        <v/>
      </c>
      <c r="AI73" s="70" t="str">
        <f t="shared" si="210"/>
        <v/>
      </c>
      <c r="AJ73" s="64" t="str">
        <f t="shared" si="211"/>
        <v/>
      </c>
      <c r="AK73" s="64" t="str">
        <f t="shared" si="212"/>
        <v/>
      </c>
      <c r="AL73" s="64" t="str">
        <f t="shared" si="213"/>
        <v/>
      </c>
      <c r="AM73" s="64" t="str">
        <f t="shared" si="214"/>
        <v/>
      </c>
      <c r="AN73" s="64" t="str">
        <f t="shared" si="215"/>
        <v/>
      </c>
    </row>
    <row r="74" spans="1:40" ht="24.5" thickTop="1" thickBot="1" x14ac:dyDescent="0.55000000000000004">
      <c r="B74" t="s">
        <v>999</v>
      </c>
      <c r="C74" s="85" t="s">
        <v>1051</v>
      </c>
      <c r="D74" s="86" t="s">
        <v>1013</v>
      </c>
      <c r="E74" s="86" t="s">
        <v>1011</v>
      </c>
      <c r="F74" s="86" t="s">
        <v>1046</v>
      </c>
      <c r="G74" s="86" t="s">
        <v>1011</v>
      </c>
      <c r="H74" s="87" t="s">
        <v>1045</v>
      </c>
      <c r="I74" s="87">
        <v>7</v>
      </c>
      <c r="J74" s="87"/>
      <c r="K74" s="87"/>
      <c r="L74" s="88" t="str">
        <f>IF(C74="","",_xlfn.CONCAT("            { line: ","""",C74,", ",M74:AN74,""", sC: ","""",B74,"""},"))</f>
        <v xml:space="preserve">            { line: "TÚ QUE ERES FIEL, RESPÓNDEME,, (Sol,m,14)(Do,m,250)(Re,7,350)", sC: "as"},</v>
      </c>
      <c r="M74" s="56" t="str">
        <f t="shared" si="189"/>
        <v>(</v>
      </c>
      <c r="N74" s="57" t="str">
        <f t="shared" si="190"/>
        <v>Sol</v>
      </c>
      <c r="O74" s="58" t="str">
        <f t="shared" si="191"/>
        <v>,</v>
      </c>
      <c r="P74" s="59" t="str">
        <f t="shared" si="192"/>
        <v>m</v>
      </c>
      <c r="Q74" s="60" t="str">
        <f t="shared" si="193"/>
        <v>,</v>
      </c>
      <c r="R74" s="61">
        <f t="shared" si="188"/>
        <v>14</v>
      </c>
      <c r="S74" s="56" t="str">
        <f t="shared" si="194"/>
        <v>)</v>
      </c>
      <c r="T74" s="62" t="str">
        <f t="shared" si="195"/>
        <v>(</v>
      </c>
      <c r="U74" s="63" t="str">
        <f t="shared" si="196"/>
        <v>Do</v>
      </c>
      <c r="V74" s="64" t="str">
        <f t="shared" si="197"/>
        <v>,</v>
      </c>
      <c r="W74" s="65" t="str">
        <f t="shared" si="198"/>
        <v>m</v>
      </c>
      <c r="X74" s="64" t="str">
        <f t="shared" si="199"/>
        <v>,</v>
      </c>
      <c r="Y74" s="64">
        <f t="shared" si="200"/>
        <v>250</v>
      </c>
      <c r="Z74" s="56" t="str">
        <f t="shared" si="201"/>
        <v>)</v>
      </c>
      <c r="AA74" s="66" t="str">
        <f t="shared" si="202"/>
        <v>(</v>
      </c>
      <c r="AB74" s="57" t="str">
        <f t="shared" si="203"/>
        <v>Re</v>
      </c>
      <c r="AC74" s="67" t="str">
        <f t="shared" si="204"/>
        <v>,</v>
      </c>
      <c r="AD74" s="59">
        <f t="shared" si="205"/>
        <v>7</v>
      </c>
      <c r="AE74" s="68" t="str">
        <f t="shared" si="206"/>
        <v>,</v>
      </c>
      <c r="AF74" s="61">
        <f t="shared" si="207"/>
        <v>350</v>
      </c>
      <c r="AG74" s="61" t="str">
        <f t="shared" si="208"/>
        <v>)</v>
      </c>
      <c r="AH74" s="69" t="str">
        <f t="shared" si="209"/>
        <v/>
      </c>
      <c r="AI74" s="70" t="str">
        <f t="shared" si="210"/>
        <v/>
      </c>
      <c r="AJ74" s="64" t="str">
        <f t="shared" si="211"/>
        <v/>
      </c>
      <c r="AK74" s="64" t="str">
        <f t="shared" si="212"/>
        <v/>
      </c>
      <c r="AL74" s="64" t="str">
        <f t="shared" si="213"/>
        <v/>
      </c>
      <c r="AM74" s="64" t="str">
        <f t="shared" si="214"/>
        <v/>
      </c>
      <c r="AN74" s="64" t="str">
        <f t="shared" si="215"/>
        <v/>
      </c>
    </row>
    <row r="75" spans="1:40" ht="24.5" thickTop="1" thickBot="1" x14ac:dyDescent="0.55000000000000004">
      <c r="B75" t="s">
        <v>999</v>
      </c>
      <c r="C75" s="93" t="s">
        <v>1052</v>
      </c>
      <c r="D75" s="83" t="s">
        <v>1046</v>
      </c>
      <c r="E75" s="83" t="s">
        <v>1011</v>
      </c>
      <c r="F75" s="83" t="s">
        <v>1045</v>
      </c>
      <c r="G75" s="83">
        <v>7</v>
      </c>
      <c r="H75" s="83"/>
      <c r="I75" s="83"/>
      <c r="J75" s="83"/>
      <c r="K75" s="83"/>
      <c r="L75" s="94" t="str">
        <f>IF(C75="","",_xlfn.CONCAT("            { line: ","""",C75,", ",M75:AN75,""", sC: ","""",B75,"""},  ]},"))</f>
        <v xml:space="preserve">            { line: "POR TU JUSTICIA RESPÓNDEME., (Do,m,10)(Re,7,250)", sC: "as"},  ]},</v>
      </c>
      <c r="M75" s="56" t="str">
        <f t="shared" si="189"/>
        <v>(</v>
      </c>
      <c r="N75" s="57" t="str">
        <f t="shared" si="190"/>
        <v>Do</v>
      </c>
      <c r="O75" s="58" t="str">
        <f t="shared" si="191"/>
        <v>,</v>
      </c>
      <c r="P75" s="59" t="str">
        <f t="shared" si="192"/>
        <v>m</v>
      </c>
      <c r="Q75" s="60" t="str">
        <f t="shared" si="193"/>
        <v>,</v>
      </c>
      <c r="R75" s="61">
        <f t="shared" si="188"/>
        <v>10</v>
      </c>
      <c r="S75" s="56" t="str">
        <f t="shared" si="194"/>
        <v>)</v>
      </c>
      <c r="T75" s="62" t="str">
        <f t="shared" si="195"/>
        <v>(</v>
      </c>
      <c r="U75" s="63" t="str">
        <f t="shared" si="196"/>
        <v>Re</v>
      </c>
      <c r="V75" s="64" t="str">
        <f t="shared" si="197"/>
        <v>,</v>
      </c>
      <c r="W75" s="65">
        <f t="shared" si="198"/>
        <v>7</v>
      </c>
      <c r="X75" s="64" t="str">
        <f t="shared" si="199"/>
        <v>,</v>
      </c>
      <c r="Y75" s="64">
        <f t="shared" si="200"/>
        <v>250</v>
      </c>
      <c r="Z75" s="56" t="str">
        <f t="shared" si="201"/>
        <v>)</v>
      </c>
      <c r="AA75" s="66" t="str">
        <f t="shared" si="202"/>
        <v/>
      </c>
      <c r="AB75" s="57" t="str">
        <f t="shared" si="203"/>
        <v/>
      </c>
      <c r="AC75" s="67" t="str">
        <f t="shared" si="204"/>
        <v/>
      </c>
      <c r="AD75" s="59" t="str">
        <f t="shared" si="205"/>
        <v/>
      </c>
      <c r="AE75" s="68" t="str">
        <f t="shared" si="206"/>
        <v/>
      </c>
      <c r="AF75" s="61" t="str">
        <f t="shared" si="207"/>
        <v/>
      </c>
      <c r="AG75" s="61" t="str">
        <f t="shared" si="208"/>
        <v/>
      </c>
      <c r="AH75" s="69" t="str">
        <f t="shared" si="209"/>
        <v/>
      </c>
      <c r="AI75" s="70" t="str">
        <f t="shared" si="210"/>
        <v/>
      </c>
      <c r="AJ75" s="64" t="str">
        <f t="shared" si="211"/>
        <v/>
      </c>
      <c r="AK75" s="64" t="str">
        <f t="shared" si="212"/>
        <v/>
      </c>
      <c r="AL75" s="64" t="str">
        <f t="shared" si="213"/>
        <v/>
      </c>
      <c r="AM75" s="64" t="str">
        <f t="shared" si="214"/>
        <v/>
      </c>
      <c r="AN75" s="64" t="str">
        <f t="shared" si="215"/>
        <v/>
      </c>
    </row>
    <row r="76" spans="1:40" ht="26.5" thickTop="1" thickBot="1" x14ac:dyDescent="0.55000000000000004">
      <c r="A76" s="73"/>
      <c r="B76" s="73"/>
      <c r="C76" s="73"/>
      <c r="D76" s="74"/>
      <c r="E76" s="74"/>
      <c r="F76" s="74"/>
      <c r="G76" s="74"/>
      <c r="H76" s="74"/>
      <c r="I76" s="74"/>
      <c r="J76" s="74"/>
      <c r="K76" s="74"/>
      <c r="L76" s="75" t="s">
        <v>993</v>
      </c>
      <c r="M76" s="56"/>
      <c r="N76" s="57"/>
      <c r="O76" s="58"/>
      <c r="P76" s="59"/>
      <c r="Q76" s="60"/>
      <c r="R76" s="61" t="str">
        <f t="shared" si="188"/>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 customHeight="1" thickTop="1" x14ac:dyDescent="0.6">
      <c r="A77" s="95"/>
      <c r="B77" s="95"/>
      <c r="C77" s="95"/>
      <c r="D77" s="95"/>
      <c r="E77" s="95"/>
      <c r="F77" s="95"/>
      <c r="G77" s="95"/>
      <c r="H77" s="95"/>
      <c r="I77" s="95"/>
      <c r="J77" s="95"/>
      <c r="K77" s="95"/>
      <c r="L77" s="99" t="str">
        <f ca="1">_xlfn.CONCAT("]}, // ULTIMA LINEA DEL CANTO: ",L1)</f>
        <v>]}, // ULTIMA LINEA DEL CANTO: TÚ QUE ERES FIEL</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7AD88-068E-4594-9068-ADEA8069D760}">
  <sheetPr codeName="Sheet70">
    <tabColor rgb="FF00B0F0"/>
  </sheetPr>
  <dimension ref="A1:AN82"/>
  <sheetViews>
    <sheetView tabSelected="1" zoomScale="85" zoomScaleNormal="85" workbookViewId="0">
      <pane xSplit="2" ySplit="1" topLeftCell="C27"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162</v>
      </c>
      <c r="E1" s="40"/>
      <c r="F1" s="40"/>
      <c r="G1" s="40"/>
      <c r="H1" s="40"/>
      <c r="I1" s="40"/>
      <c r="J1" s="40"/>
      <c r="K1" s="40"/>
      <c r="L1" s="41" t="s">
        <v>1073</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Belén, campanas de Belén,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belencampanasdebelen</v>
      </c>
      <c r="L7" s="48" t="str">
        <f>_xlfn.CONCAT("        id: ","""",C7,"""",",")</f>
        <v xml:space="preserve">        id: "belencampanasdebelen",</v>
      </c>
    </row>
    <row r="8" spans="2:32" ht="23" x14ac:dyDescent="0.35">
      <c r="C8" t="str">
        <f>PROPER(L1)</f>
        <v>Belén, Campanas De Belén,</v>
      </c>
      <c r="L8" s="48" t="str">
        <f>_xlfn.CONCAT("        tt: ","""",C8,"""",",")</f>
        <v xml:space="preserve">        tt: "Belén, Campanas De Belén,",</v>
      </c>
    </row>
    <row r="9" spans="2:32" ht="23" x14ac:dyDescent="0.35">
      <c r="C9" t="str">
        <f>PROPER(L1)</f>
        <v>Belén, Campanas De Belén,</v>
      </c>
      <c r="L9" s="48" t="str">
        <f>_xlfn.CONCAT("        title: ","""",C9,"""",",")</f>
        <v xml:space="preserve">        title: "Belén, Campanas De Belén,",</v>
      </c>
    </row>
    <row r="10" spans="2:32" ht="23" x14ac:dyDescent="0.35">
      <c r="C10" t="str">
        <f ca="1">VLOOKUP(C1,Table223[],4,FALSE)</f>
        <v>Isaías 11,1-11</v>
      </c>
      <c r="L10" s="48" t="str">
        <f ca="1">_xlfn.CONCAT("        ","subtitle: ","""",C10,"""",",")</f>
        <v xml:space="preserve">        subtitle: "Isaías 11,1-11",</v>
      </c>
    </row>
    <row r="11" spans="2:32" ht="23" x14ac:dyDescent="0.35">
      <c r="C11" t="str">
        <f ca="1">_xlfn.CONCAT("category: [",VLOOKUP(C1,Table223[],16,FALSE),"],")</f>
        <v>category: ["Precatecumenado","Adviento","Navidad","Pascua","Pentecostés","Comunión","Antiguo Testamento"],</v>
      </c>
      <c r="L11" s="48" t="str">
        <f ca="1">_xlfn.CONCAT("        ",C11)</f>
        <v xml:space="preserve">        category: ["Precatecumenado","Adviento","Navidad","Pascua","Pentecostés","Comunión","Antiguo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162</v>
      </c>
      <c r="L16" s="48" t="str">
        <f ca="1">_xlfn.CONCAT("        dbno: ","""",C16,"""",",")</f>
        <v xml:space="preserve">        dbno: "162",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C7</f>
        <v>belencampanasdebelen</v>
      </c>
      <c r="L19" s="48" t="str">
        <f>_xlfn.CONCAT("        audioSrc: ","""/audio/",C19,".mp3""",",")</f>
        <v xml:space="preserve">        audioSrc: "/audio/belencampanasdebelen.mp3",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161</v>
      </c>
      <c r="C26" t="str">
        <f ca="1">VLOOKUP(B26,Table4[],13,FALSE)</f>
        <v>"/resucito/src/index.html?canto=tuqueeresfiel"</v>
      </c>
      <c r="L26" s="48" t="str">
        <f ca="1">_xlfn.CONCAT("        ant: ",C26,",")</f>
        <v xml:space="preserve">        ant: "/resucito/src/index.html?canto=tuqueeresfiel",</v>
      </c>
    </row>
    <row r="27" spans="1:40" ht="23" x14ac:dyDescent="0.35">
      <c r="B27">
        <f ca="1">+C1+1</f>
        <v>163</v>
      </c>
      <c r="C27" t="str">
        <f ca="1">VLOOKUP(B27,Table4[],13,FALSE)</f>
        <v>"/resucito/src/index.html?canto=unagransenal"</v>
      </c>
      <c r="L27" s="48" t="str">
        <f ca="1">_xlfn.CONCAT("        sig: ",C27,",")</f>
        <v xml:space="preserve">        sig: "/resucito/src/index.html?canto=unagransenal",</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t="s">
        <v>1069</v>
      </c>
      <c r="D31" s="112" t="s">
        <v>1078</v>
      </c>
      <c r="E31" s="52"/>
      <c r="F31" s="53" t="s">
        <v>984</v>
      </c>
      <c r="G31" s="53">
        <v>7</v>
      </c>
      <c r="H31" s="52"/>
      <c r="I31" s="52"/>
      <c r="J31" s="54"/>
      <c r="K31" s="54"/>
      <c r="L31" s="55" t="str">
        <f t="shared" ref="L31:L32" si="0">IF(C31="","",_xlfn.CONCAT("            { line: ","""",C31,", ",M31:AN31,""", sC: ","""",B31,"""},"))</f>
        <v xml:space="preserve">            { line: "Campana sobre campana,, (Mi,,20)(Si,7,250)", sC: ""},</v>
      </c>
      <c r="M31" s="56" t="str">
        <f t="shared" ref="M31:M36" si="1">IF(N31="","","(")</f>
        <v>(</v>
      </c>
      <c r="N31" s="57" t="str">
        <f t="shared" ref="N31:N64" si="2">IF(D31="","",D31)</f>
        <v>Mi</v>
      </c>
      <c r="O31" s="58" t="str">
        <f t="shared" ref="O31:O36" si="3">IF(N31="","",",")</f>
        <v>,</v>
      </c>
      <c r="P31" s="59" t="str">
        <f t="shared" ref="P31:P64" si="4">IF(E31="","",E31)</f>
        <v/>
      </c>
      <c r="Q31" s="60" t="str">
        <f t="shared" ref="Q31:Q36" si="5">IF(N31="","",",")</f>
        <v>,</v>
      </c>
      <c r="R31" s="61">
        <f>IF(N31="Do",10,IF(N31="Re",22,IF(N31="Mi",20,IF(N31="Fa",20,IF(N31="Sol",14,IF(N31="La",20,IF(N31="Si",20,IF(N31="Do#",14,IF(N31="Fa#",15,IF(N31="Sol#",20,""))))))))))</f>
        <v>20</v>
      </c>
      <c r="S31" s="56" t="str">
        <f t="shared" ref="S31:S36" si="6">IF(N31="","",")")</f>
        <v>)</v>
      </c>
      <c r="T31" s="62" t="str">
        <f t="shared" ref="T31:T36" si="7">IF(U31="","","(")</f>
        <v>(</v>
      </c>
      <c r="U31" s="63" t="str">
        <f t="shared" ref="U31:U64" si="8">IF(F31="","",F31)</f>
        <v>Si</v>
      </c>
      <c r="V31" s="64" t="str">
        <f t="shared" ref="V31:V36" si="9">IF(U31="","",",")</f>
        <v>,</v>
      </c>
      <c r="W31" s="65">
        <f t="shared" ref="W31:W64" si="10">IF(G31="","",G31)</f>
        <v>7</v>
      </c>
      <c r="X31" s="64" t="str">
        <f t="shared" ref="X31:X36" si="11">IF(U31="","",",")</f>
        <v>,</v>
      </c>
      <c r="Y31" s="64">
        <f t="shared" ref="Y31:Y36" si="12">IF(U31="","",250)</f>
        <v>250</v>
      </c>
      <c r="Z31" s="56" t="str">
        <f t="shared" ref="Z31:Z36" si="13">IF(U31="","",")")</f>
        <v>)</v>
      </c>
      <c r="AA31" s="66" t="str">
        <f t="shared" ref="AA31:AA36" si="14">IF(AB31="","","(")</f>
        <v/>
      </c>
      <c r="AB31" s="57" t="str">
        <f t="shared" ref="AB31:AB64" si="15">IF(H31="","",H31)</f>
        <v/>
      </c>
      <c r="AC31" s="67" t="str">
        <f t="shared" ref="AC31:AC36" si="16">IF(AB31="","",",")</f>
        <v/>
      </c>
      <c r="AD31" s="59" t="str">
        <f t="shared" ref="AD31:AD36" si="17">IF(I31="","",I31)</f>
        <v/>
      </c>
      <c r="AE31" s="68" t="str">
        <f t="shared" ref="AE31:AE36" si="18">IF(AB31="","",",")</f>
        <v/>
      </c>
      <c r="AF31" s="61" t="str">
        <f t="shared" ref="AF31:AF36" si="19">IF(AB31="","",350)</f>
        <v/>
      </c>
      <c r="AG31" s="61" t="str">
        <f t="shared" ref="AG31:AG36" si="20">IF(AB31="","",")")</f>
        <v/>
      </c>
      <c r="AH31" s="69" t="str">
        <f t="shared" ref="AH31:AH36" si="21">IF(AI31="","","(")</f>
        <v/>
      </c>
      <c r="AI31" s="70" t="str">
        <f t="shared" ref="AI31:AI64" si="22">IF(J31="","",J31)</f>
        <v/>
      </c>
      <c r="AJ31" s="64" t="str">
        <f t="shared" ref="AJ31:AJ36" si="23">IF(AI31="","",",")</f>
        <v/>
      </c>
      <c r="AK31" s="64" t="str">
        <f t="shared" ref="AK31:AK36" si="24">IF(K31="","",K31)</f>
        <v/>
      </c>
      <c r="AL31" s="64" t="str">
        <f t="shared" ref="AL31:AL36" si="25">IF(AI31="","",",")</f>
        <v/>
      </c>
      <c r="AM31" s="64" t="str">
        <f t="shared" ref="AM31:AM36" si="26">IF(AI31="","",450)</f>
        <v/>
      </c>
      <c r="AN31" s="64" t="str">
        <f t="shared" ref="AN31:AN36" si="27">IF(AI31="","",")")</f>
        <v/>
      </c>
    </row>
    <row r="32" spans="1:40" ht="24.5" thickTop="1" thickBot="1" x14ac:dyDescent="0.55000000000000004">
      <c r="C32" s="113" t="s">
        <v>1070</v>
      </c>
      <c r="D32" s="112" t="s">
        <v>1078</v>
      </c>
      <c r="E32" s="52"/>
      <c r="F32" s="53"/>
      <c r="G32" s="53"/>
      <c r="H32" s="52"/>
      <c r="I32" s="52"/>
      <c r="J32" s="54"/>
      <c r="K32" s="54"/>
      <c r="L32" s="55" t="str">
        <f t="shared" si="0"/>
        <v xml:space="preserve">            { line: "y sobre campana una,, (Mi,,20)", sC: ""},</v>
      </c>
      <c r="M32" s="56" t="str">
        <f t="shared" si="1"/>
        <v>(</v>
      </c>
      <c r="N32" s="57" t="str">
        <f t="shared" si="2"/>
        <v>Mi</v>
      </c>
      <c r="O32" s="58" t="str">
        <f t="shared" si="3"/>
        <v>,</v>
      </c>
      <c r="P32" s="59" t="str">
        <f t="shared" si="4"/>
        <v/>
      </c>
      <c r="Q32" s="60" t="str">
        <f t="shared" si="5"/>
        <v>,</v>
      </c>
      <c r="R32" s="61">
        <f t="shared" ref="R32:R64" si="28">IF(N32="Do",10,IF(N32="Re",22,IF(N32="Mi",20,IF(N32="Fa",20,IF(N32="Sol",14,IF(N32="La",20,IF(N32="Si",20,IF(N32="Do#",14,IF(N32="Fa#",15,IF(N32="Sol#",20,""))))))))))</f>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1071</v>
      </c>
      <c r="D33" s="112" t="s">
        <v>1077</v>
      </c>
      <c r="E33" s="52">
        <v>7</v>
      </c>
      <c r="F33" s="53"/>
      <c r="G33" s="53"/>
      <c r="H33" s="52"/>
      <c r="I33" s="52"/>
      <c r="J33" s="54"/>
      <c r="K33" s="54"/>
      <c r="L33" s="55" t="str">
        <f>IF(C33="","",_xlfn.CONCAT("            { line: ","""",C33,", ",M33:AN33,""", sC: ","""",B33,"""},"))</f>
        <v xml:space="preserve">            { line: "asómate a la ventana,, (La,7,20)", sC: ""},</v>
      </c>
      <c r="M33" s="56" t="str">
        <f t="shared" si="1"/>
        <v>(</v>
      </c>
      <c r="N33" s="57" t="str">
        <f t="shared" si="2"/>
        <v>La</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1072</v>
      </c>
      <c r="D34" s="112" t="s">
        <v>1078</v>
      </c>
      <c r="E34" s="52"/>
      <c r="F34" s="53"/>
      <c r="G34" s="53"/>
      <c r="H34" s="52"/>
      <c r="I34" s="52"/>
      <c r="J34" s="54"/>
      <c r="K34" s="54"/>
      <c r="L34" s="55" t="str">
        <f>IF(C34="","",_xlfn.CONCAT("            { line: ","""",C34,", ",M34:AN34,""", sC: ","""",B34,"""},"))</f>
        <v xml:space="preserve">            { line: "verás al Niño en la cuna., (Mi,,20)", sC: ""},</v>
      </c>
      <c r="M34" s="56" t="str">
        <f t="shared" si="1"/>
        <v>(</v>
      </c>
      <c r="N34" s="57" t="str">
        <f t="shared" si="2"/>
        <v>Mi</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C36" s="117" t="s">
        <v>1073</v>
      </c>
      <c r="D36" s="112" t="s">
        <v>1078</v>
      </c>
      <c r="E36" s="52"/>
      <c r="F36" s="53" t="s">
        <v>1045</v>
      </c>
      <c r="G36" s="53"/>
      <c r="H36" s="52"/>
      <c r="I36" s="52"/>
      <c r="J36" s="54"/>
      <c r="K36" s="54"/>
      <c r="L36" s="55" t="str">
        <f t="shared" ref="L36:L43" si="29">IF(C36="","",_xlfn.CONCAT("            { line: ","""",C36,", ",M36:AN36,""", sC: ","""",B36,"""},"))</f>
        <v xml:space="preserve">            { line: "Belén, campanas de Belén,, (Mi,,20)(Re,,250)", sC: ""},</v>
      </c>
      <c r="M36" s="56" t="str">
        <f t="shared" si="1"/>
        <v>(</v>
      </c>
      <c r="N36" s="57" t="str">
        <f t="shared" si="2"/>
        <v>Mi</v>
      </c>
      <c r="O36" s="58" t="str">
        <f t="shared" si="3"/>
        <v>,</v>
      </c>
      <c r="P36" s="59" t="str">
        <f t="shared" si="4"/>
        <v/>
      </c>
      <c r="Q36" s="60" t="str">
        <f t="shared" si="5"/>
        <v>,</v>
      </c>
      <c r="R36" s="61">
        <f t="shared" si="28"/>
        <v>20</v>
      </c>
      <c r="S36" s="56" t="str">
        <f t="shared" si="6"/>
        <v>)</v>
      </c>
      <c r="T36" s="62" t="str">
        <f t="shared" si="7"/>
        <v>(</v>
      </c>
      <c r="U36" s="63" t="str">
        <f t="shared" si="8"/>
        <v>Re</v>
      </c>
      <c r="V36" s="64" t="str">
        <f t="shared" si="9"/>
        <v>,</v>
      </c>
      <c r="W36" s="65" t="str">
        <f t="shared" si="10"/>
        <v/>
      </c>
      <c r="X36" s="64" t="str">
        <f t="shared" si="11"/>
        <v>,</v>
      </c>
      <c r="Y36" s="64">
        <f t="shared" si="12"/>
        <v>250</v>
      </c>
      <c r="Z36" s="56" t="str">
        <f t="shared" si="13"/>
        <v>)</v>
      </c>
      <c r="AA36" s="66" t="str">
        <f t="shared" si="14"/>
        <v/>
      </c>
      <c r="AB36" s="57" t="str">
        <f t="shared" si="15"/>
        <v/>
      </c>
      <c r="AC36" s="67" t="str">
        <f t="shared" si="16"/>
        <v/>
      </c>
      <c r="AD36" s="59" t="str">
        <f t="shared" si="17"/>
        <v/>
      </c>
      <c r="AE36" s="68" t="str">
        <f t="shared" si="18"/>
        <v/>
      </c>
      <c r="AF36" s="61" t="str">
        <f t="shared" si="19"/>
        <v/>
      </c>
      <c r="AG36" s="61" t="str">
        <f t="shared" si="20"/>
        <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4.5" thickTop="1" thickBot="1" x14ac:dyDescent="0.55000000000000004">
      <c r="C37" s="117" t="s">
        <v>1074</v>
      </c>
      <c r="D37" s="112" t="s">
        <v>1078</v>
      </c>
      <c r="E37" s="52"/>
      <c r="F37" s="53" t="s">
        <v>1045</v>
      </c>
      <c r="G37" s="53"/>
      <c r="H37" s="52"/>
      <c r="I37" s="52"/>
      <c r="J37" s="54"/>
      <c r="K37" s="54"/>
      <c r="L37" s="55" t="str">
        <f t="shared" si="29"/>
        <v xml:space="preserve">            { line: "que los ángeles tocan, (Mi,,20)(Re,,250)", sC: ""},</v>
      </c>
      <c r="M37" s="56" t="str">
        <f>IF(N37="","","(")</f>
        <v>(</v>
      </c>
      <c r="N37" s="57" t="str">
        <f>IF(D37="","",D37)</f>
        <v>Mi</v>
      </c>
      <c r="O37" s="58" t="str">
        <f>IF(N37="","",",")</f>
        <v>,</v>
      </c>
      <c r="P37" s="59" t="str">
        <f>IF(E37="","",E37)</f>
        <v/>
      </c>
      <c r="Q37" s="60" t="str">
        <f>IF(N37="","",",")</f>
        <v>,</v>
      </c>
      <c r="R37" s="61">
        <f t="shared" si="28"/>
        <v>20</v>
      </c>
      <c r="S37" s="56" t="str">
        <f>IF(N37="","",")")</f>
        <v>)</v>
      </c>
      <c r="T37" s="62" t="str">
        <f>IF(U37="","","(")</f>
        <v>(</v>
      </c>
      <c r="U37" s="63" t="str">
        <f>IF(F37="","",F37)</f>
        <v>Re</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7" t="s">
        <v>1075</v>
      </c>
      <c r="D38" s="112" t="s">
        <v>984</v>
      </c>
      <c r="E38" s="52">
        <v>7</v>
      </c>
      <c r="F38" s="53" t="s">
        <v>1045</v>
      </c>
      <c r="G38" s="53"/>
      <c r="H38" s="52"/>
      <c r="I38" s="52"/>
      <c r="J38" s="54"/>
      <c r="K38" s="54"/>
      <c r="L38" s="55" t="str">
        <f t="shared" si="29"/>
        <v xml:space="preserve">            { line: "¿qué nuevas me traéis?, (Si,7,20)(Re,,250)", sC: ""},</v>
      </c>
      <c r="M38" s="56" t="str">
        <f>IF(N38="","","(")</f>
        <v>(</v>
      </c>
      <c r="N38" s="57" t="str">
        <f>IF(D38="","",D38)</f>
        <v>Si</v>
      </c>
      <c r="O38" s="58" t="str">
        <f>IF(N38="","",",")</f>
        <v>,</v>
      </c>
      <c r="P38" s="59">
        <f>IF(E38="","",E38)</f>
        <v>7</v>
      </c>
      <c r="Q38" s="60" t="str">
        <f>IF(N38="","",",")</f>
        <v>,</v>
      </c>
      <c r="R38" s="61">
        <f t="shared" si="28"/>
        <v>20</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113" t="s">
        <v>1086</v>
      </c>
      <c r="D40" s="112" t="s">
        <v>1078</v>
      </c>
      <c r="E40" s="52"/>
      <c r="F40" s="53"/>
      <c r="G40" s="53"/>
      <c r="H40" s="52"/>
      <c r="I40" s="52"/>
      <c r="J40" s="54"/>
      <c r="K40" s="54"/>
      <c r="L40" s="55" t="str">
        <f t="shared" si="29"/>
        <v xml:space="preserve">            { line: "Recogido su rebaño,, (Mi,,20)", sC: ""},</v>
      </c>
      <c r="M40" s="56" t="str">
        <f>IF(N40="","","(")</f>
        <v>(</v>
      </c>
      <c r="N40" s="57" t="str">
        <f>IF(D40="","",D40)</f>
        <v>Mi</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1076</v>
      </c>
      <c r="D41" s="112" t="s">
        <v>1077</v>
      </c>
      <c r="E41" s="52"/>
      <c r="F41" s="53" t="s">
        <v>1078</v>
      </c>
      <c r="G41" s="53"/>
      <c r="H41" s="52" t="s">
        <v>984</v>
      </c>
      <c r="I41" s="52">
        <v>7</v>
      </c>
      <c r="J41" s="54" t="s">
        <v>1045</v>
      </c>
      <c r="K41" s="54"/>
      <c r="L41" s="55" t="str">
        <f t="shared" si="29"/>
        <v xml:space="preserve">            { line: "¿a dónde vas pastorcito?, (La,,20)(Mi,,250)(Si,7,350)(Re,,450)", sC: ""},</v>
      </c>
      <c r="M41" s="56" t="str">
        <f t="shared" ref="M41:M43" si="30">IF(N41="","","(")</f>
        <v>(</v>
      </c>
      <c r="N41" s="57" t="str">
        <f t="shared" ref="N41:N43" si="31">IF(D41="","",D41)</f>
        <v>La</v>
      </c>
      <c r="O41" s="58" t="str">
        <f t="shared" ref="O41:O43" si="32">IF(N41="","",",")</f>
        <v>,</v>
      </c>
      <c r="P41" s="59" t="str">
        <f t="shared" ref="P41:P43" si="33">IF(E41="","",E41)</f>
        <v/>
      </c>
      <c r="Q41" s="60" t="str">
        <f t="shared" ref="Q41:Q43" si="34">IF(N41="","",",")</f>
        <v>,</v>
      </c>
      <c r="R41" s="61">
        <f t="shared" si="28"/>
        <v>20</v>
      </c>
      <c r="S41" s="56" t="str">
        <f t="shared" ref="S41:S43" si="35">IF(N41="","",")")</f>
        <v>)</v>
      </c>
      <c r="T41" s="62" t="str">
        <f t="shared" ref="T41:T43" si="36">IF(U41="","","(")</f>
        <v>(</v>
      </c>
      <c r="U41" s="63" t="str">
        <f t="shared" ref="U41:U43" si="37">IF(F41="","",F41)</f>
        <v>Mi</v>
      </c>
      <c r="V41" s="64" t="str">
        <f t="shared" ref="V41:V43" si="38">IF(U41="","",",")</f>
        <v>,</v>
      </c>
      <c r="W41" s="65" t="str">
        <f t="shared" ref="W41:W43" si="39">IF(G41="","",G41)</f>
        <v/>
      </c>
      <c r="X41" s="64" t="str">
        <f t="shared" ref="X41:X43" si="40">IF(U41="","",",")</f>
        <v>,</v>
      </c>
      <c r="Y41" s="64">
        <f t="shared" ref="Y41:Y43" si="41">IF(U41="","",250)</f>
        <v>250</v>
      </c>
      <c r="Z41" s="56" t="str">
        <f t="shared" ref="Z41:Z43" si="42">IF(U41="","",")")</f>
        <v>)</v>
      </c>
      <c r="AA41" s="66" t="str">
        <f t="shared" ref="AA41:AA43" si="43">IF(AB41="","","(")</f>
        <v>(</v>
      </c>
      <c r="AB41" s="57" t="str">
        <f t="shared" ref="AB41:AB43" si="44">IF(H41="","",H41)</f>
        <v>Si</v>
      </c>
      <c r="AC41" s="67" t="str">
        <f t="shared" ref="AC41:AC43" si="45">IF(AB41="","",",")</f>
        <v>,</v>
      </c>
      <c r="AD41" s="59">
        <f t="shared" ref="AD41:AD43" si="46">IF(I41="","",I41)</f>
        <v>7</v>
      </c>
      <c r="AE41" s="68" t="str">
        <f t="shared" ref="AE41:AE43" si="47">IF(AB41="","",",")</f>
        <v>,</v>
      </c>
      <c r="AF41" s="61">
        <f t="shared" ref="AF41:AF43" si="48">IF(AB41="","",350)</f>
        <v>350</v>
      </c>
      <c r="AG41" s="61" t="str">
        <f t="shared" ref="AG41:AG43" si="49">IF(AB41="","",")")</f>
        <v>)</v>
      </c>
      <c r="AH41" s="69" t="str">
        <f t="shared" ref="AH41:AH43" si="50">IF(AI41="","","(")</f>
        <v>(</v>
      </c>
      <c r="AI41" s="70" t="str">
        <f t="shared" ref="AI41:AI43" si="51">IF(J41="","",J41)</f>
        <v>Re</v>
      </c>
      <c r="AJ41" s="64" t="str">
        <f t="shared" ref="AJ41:AJ43" si="52">IF(AI41="","",",")</f>
        <v>,</v>
      </c>
      <c r="AK41" s="64" t="str">
        <f t="shared" ref="AK41:AK43" si="53">IF(K41="","",K41)</f>
        <v/>
      </c>
      <c r="AL41" s="64" t="str">
        <f t="shared" ref="AL41:AL43" si="54">IF(AI41="","",",")</f>
        <v>,</v>
      </c>
      <c r="AM41" s="64">
        <f t="shared" ref="AM41:AM43" si="55">IF(AI41="","",450)</f>
        <v>450</v>
      </c>
      <c r="AN41" s="64" t="str">
        <f t="shared" ref="AN41:AN43" si="56">IF(AI41="","",")")</f>
        <v>)</v>
      </c>
    </row>
    <row r="42" spans="1:40" ht="24.5" thickTop="1" thickBot="1" x14ac:dyDescent="0.55000000000000004">
      <c r="C42" s="113" t="s">
        <v>1079</v>
      </c>
      <c r="D42" s="112" t="s">
        <v>1077</v>
      </c>
      <c r="E42" s="52"/>
      <c r="F42" s="53" t="s">
        <v>1078</v>
      </c>
      <c r="G42" s="53"/>
      <c r="H42" s="52" t="s">
        <v>984</v>
      </c>
      <c r="I42" s="52">
        <v>7</v>
      </c>
      <c r="J42" s="54" t="s">
        <v>1045</v>
      </c>
      <c r="K42" s="54"/>
      <c r="L42" s="55" t="str">
        <f t="shared" si="29"/>
        <v xml:space="preserve">            { line: "Voy a llevar al portal, (La,,20)(Mi,,250)(Si,7,350)(Re,,450)", sC: ""},</v>
      </c>
      <c r="M42" s="56" t="str">
        <f t="shared" si="30"/>
        <v>(</v>
      </c>
      <c r="N42" s="57" t="str">
        <f t="shared" si="31"/>
        <v>La</v>
      </c>
      <c r="O42" s="58" t="str">
        <f t="shared" si="32"/>
        <v>,</v>
      </c>
      <c r="P42" s="59" t="str">
        <f t="shared" si="33"/>
        <v/>
      </c>
      <c r="Q42" s="60" t="str">
        <f t="shared" si="34"/>
        <v>,</v>
      </c>
      <c r="R42" s="61">
        <f t="shared" si="28"/>
        <v>20</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v>
      </c>
      <c r="AB42" s="57" t="str">
        <f t="shared" si="44"/>
        <v>Si</v>
      </c>
      <c r="AC42" s="67" t="str">
        <f t="shared" si="45"/>
        <v>,</v>
      </c>
      <c r="AD42" s="59">
        <f t="shared" si="46"/>
        <v>7</v>
      </c>
      <c r="AE42" s="68" t="str">
        <f t="shared" si="47"/>
        <v>,</v>
      </c>
      <c r="AF42" s="61">
        <f t="shared" si="48"/>
        <v>350</v>
      </c>
      <c r="AG42" s="61" t="str">
        <f t="shared" si="49"/>
        <v>)</v>
      </c>
      <c r="AH42" s="69" t="str">
        <f t="shared" si="50"/>
        <v>(</v>
      </c>
      <c r="AI42" s="70" t="str">
        <f t="shared" si="51"/>
        <v>Re</v>
      </c>
      <c r="AJ42" s="64" t="str">
        <f t="shared" si="52"/>
        <v>,</v>
      </c>
      <c r="AK42" s="64" t="str">
        <f t="shared" si="53"/>
        <v/>
      </c>
      <c r="AL42" s="64" t="str">
        <f t="shared" si="54"/>
        <v>,</v>
      </c>
      <c r="AM42" s="64">
        <f t="shared" si="55"/>
        <v>450</v>
      </c>
      <c r="AN42" s="64" t="str">
        <f t="shared" si="56"/>
        <v>)</v>
      </c>
    </row>
    <row r="43" spans="1:40" ht="24.5" thickTop="1" thickBot="1" x14ac:dyDescent="0.55000000000000004">
      <c r="C43" s="113" t="s">
        <v>1080</v>
      </c>
      <c r="D43" s="112"/>
      <c r="E43" s="52"/>
      <c r="F43" s="53"/>
      <c r="G43" s="53"/>
      <c r="H43" s="52"/>
      <c r="I43" s="52"/>
      <c r="J43" s="54"/>
      <c r="K43" s="54"/>
      <c r="L43" s="55" t="str">
        <f t="shared" si="29"/>
        <v xml:space="preserve">            { line: "requesón, manteca y vino., ", sC: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79" t="s">
        <v>995</v>
      </c>
      <c r="D45" s="80"/>
      <c r="E45" s="80"/>
      <c r="F45" s="80"/>
      <c r="G45" s="80"/>
      <c r="H45" s="80"/>
      <c r="I45" s="80"/>
      <c r="J45" s="80"/>
      <c r="K45" s="80"/>
      <c r="L45" s="81" t="s">
        <v>996</v>
      </c>
      <c r="M45" s="56" t="str">
        <f t="shared" ref="M45:M48" si="57">IF(N45="","","(")</f>
        <v/>
      </c>
      <c r="N45" s="57" t="str">
        <f t="shared" ref="N45:N48" si="58">IF(D45="","",D45)</f>
        <v/>
      </c>
      <c r="O45" s="58" t="str">
        <f t="shared" ref="O45:O48" si="59">IF(N45="","",",")</f>
        <v/>
      </c>
      <c r="P45" s="59" t="str">
        <f t="shared" ref="P45:P48" si="60">IF(E45="","",E45)</f>
        <v/>
      </c>
      <c r="Q45" s="60" t="str">
        <f t="shared" ref="Q45:Q48" si="61">IF(N45="","",",")</f>
        <v/>
      </c>
      <c r="R45" s="61" t="str">
        <f t="shared" ref="R45:R48" si="62">IF(N45="Do",10,IF(N45="Re",22,IF(N45="Mi",20,IF(N45="Fa",20,IF(N45="Sol",14,IF(N45="La",20,IF(N45="Si",20,IF(N45="Do#",14,IF(N45="Fa#",15,IF(N45="Sol#",20,""))))))))))</f>
        <v/>
      </c>
      <c r="S45" s="56" t="str">
        <f t="shared" ref="S45:S48" si="63">IF(N45="","",")")</f>
        <v/>
      </c>
      <c r="T45" s="62" t="str">
        <f t="shared" ref="T45:T48" si="64">IF(U45="","","(")</f>
        <v/>
      </c>
      <c r="U45" s="63" t="str">
        <f t="shared" ref="U45:U48" si="65">IF(F45="","",F45)</f>
        <v/>
      </c>
      <c r="V45" s="64" t="str">
        <f t="shared" ref="V45:V48" si="66">IF(U45="","",",")</f>
        <v/>
      </c>
      <c r="W45" s="65" t="str">
        <f t="shared" ref="W45:W48" si="67">IF(G45="","",G45)</f>
        <v/>
      </c>
      <c r="X45" s="64" t="str">
        <f t="shared" ref="X45:X48" si="68">IF(U45="","",",")</f>
        <v/>
      </c>
      <c r="Y45" s="64" t="str">
        <f t="shared" ref="Y45:Y48" si="69">IF(U45="","",250)</f>
        <v/>
      </c>
      <c r="Z45" s="56" t="str">
        <f t="shared" ref="Z45:Z48" si="70">IF(U45="","",")")</f>
        <v/>
      </c>
      <c r="AA45" s="66" t="str">
        <f t="shared" ref="AA45:AA48" si="71">IF(AB45="","","(")</f>
        <v/>
      </c>
      <c r="AB45" s="57" t="str">
        <f t="shared" ref="AB45:AB48" si="72">IF(H45="","",H45)</f>
        <v/>
      </c>
      <c r="AC45" s="67" t="str">
        <f t="shared" ref="AC45:AC48" si="73">IF(AB45="","",",")</f>
        <v/>
      </c>
      <c r="AD45" s="59" t="str">
        <f t="shared" ref="AD45:AD48" si="74">IF(I45="","",I45)</f>
        <v/>
      </c>
      <c r="AE45" s="68" t="str">
        <f t="shared" ref="AE45:AE48" si="75">IF(AB45="","",",")</f>
        <v/>
      </c>
      <c r="AF45" s="61" t="str">
        <f t="shared" ref="AF45:AF48" si="76">IF(AB45="","",350)</f>
        <v/>
      </c>
      <c r="AG45" s="61" t="str">
        <f t="shared" ref="AG45:AG48" si="77">IF(AB45="","",")")</f>
        <v/>
      </c>
      <c r="AH45" s="69" t="str">
        <f t="shared" ref="AH45:AH48" si="78">IF(AI45="","","(")</f>
        <v/>
      </c>
      <c r="AI45" s="70" t="str">
        <f t="shared" ref="AI45:AI48" si="79">IF(J45="","",J45)</f>
        <v/>
      </c>
      <c r="AJ45" s="64" t="str">
        <f t="shared" ref="AJ45:AJ48" si="80">IF(AI45="","",",")</f>
        <v/>
      </c>
      <c r="AK45" s="64" t="str">
        <f t="shared" ref="AK45:AK48" si="81">IF(K45="","",K45)</f>
        <v/>
      </c>
      <c r="AL45" s="64" t="str">
        <f t="shared" ref="AL45:AL48" si="82">IF(AI45="","",",")</f>
        <v/>
      </c>
      <c r="AM45" s="64" t="str">
        <f t="shared" ref="AM45:AM48" si="83">IF(AI45="","",450)</f>
        <v/>
      </c>
      <c r="AN45" s="64" t="str">
        <f t="shared" ref="AN45:AN48" si="84">IF(AI45="","",")")</f>
        <v/>
      </c>
    </row>
    <row r="46" spans="1:40" ht="24.5" thickTop="1" thickBot="1" x14ac:dyDescent="0.55000000000000004">
      <c r="B46" t="s">
        <v>997</v>
      </c>
      <c r="C46" s="82" t="s">
        <v>1073</v>
      </c>
      <c r="D46" s="83"/>
      <c r="E46" s="83"/>
      <c r="F46" s="83"/>
      <c r="G46" s="83"/>
      <c r="H46" s="83"/>
      <c r="I46" s="83"/>
      <c r="J46" s="83"/>
      <c r="K46" s="83"/>
      <c r="L46" s="84" t="str">
        <f>IF(C46="","",_xlfn.CONCAT("       triggerLine: ","""",C46,", ",M46:AN46,""", sC: ","""",B46,""", lines: ["))</f>
        <v xml:space="preserve">       triggerLine: "Belén, campanas de Belén,, ", sC: "ta as", lines: [</v>
      </c>
      <c r="M46" s="56" t="str">
        <f t="shared" si="57"/>
        <v/>
      </c>
      <c r="N46" s="57" t="str">
        <f t="shared" si="58"/>
        <v/>
      </c>
      <c r="O46" s="58" t="str">
        <f t="shared" si="59"/>
        <v/>
      </c>
      <c r="P46" s="59" t="str">
        <f t="shared" si="60"/>
        <v/>
      </c>
      <c r="Q46" s="60" t="str">
        <f t="shared" si="61"/>
        <v/>
      </c>
      <c r="R46" s="61" t="str">
        <f t="shared" si="62"/>
        <v/>
      </c>
      <c r="S46" s="56" t="str">
        <f t="shared" si="63"/>
        <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4.5" thickTop="1" thickBot="1" x14ac:dyDescent="0.55000000000000004">
      <c r="B47" t="s">
        <v>999</v>
      </c>
      <c r="C47" s="85" t="s">
        <v>1074</v>
      </c>
      <c r="D47" s="86"/>
      <c r="E47" s="86"/>
      <c r="F47" s="86"/>
      <c r="G47" s="86"/>
      <c r="H47" s="87"/>
      <c r="I47" s="87"/>
      <c r="J47" s="87"/>
      <c r="K47" s="87"/>
      <c r="L47" s="88" t="str">
        <f>IF(C47="","",_xlfn.CONCAT("            { line: ","""",C47,", ",M47:AN47,""", sC: ","""",B47,"""},"))</f>
        <v xml:space="preserve">            { line: "que los ángeles tocan, ", sC: "as"},</v>
      </c>
      <c r="M47" s="56" t="str">
        <f t="shared" si="57"/>
        <v/>
      </c>
      <c r="N47" s="57" t="str">
        <f t="shared" si="58"/>
        <v/>
      </c>
      <c r="O47" s="58" t="str">
        <f t="shared" si="59"/>
        <v/>
      </c>
      <c r="P47" s="59" t="str">
        <f t="shared" si="60"/>
        <v/>
      </c>
      <c r="Q47" s="60" t="str">
        <f t="shared" si="61"/>
        <v/>
      </c>
      <c r="R47" s="61" t="str">
        <f t="shared" si="62"/>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999</v>
      </c>
      <c r="C48" s="93" t="s">
        <v>1075</v>
      </c>
      <c r="D48" s="83"/>
      <c r="E48" s="83"/>
      <c r="F48" s="83"/>
      <c r="G48" s="83"/>
      <c r="H48" s="83"/>
      <c r="I48" s="83"/>
      <c r="J48" s="83"/>
      <c r="K48" s="83"/>
      <c r="L48" s="94" t="str">
        <f>IF(C48="","",_xlfn.CONCAT("            { line: ","""",C48,", ",M48:AN48,""", sC: ","""",B48,"""},  ]},"))</f>
        <v xml:space="preserve">            { line: "¿qué nuevas me traéis?, ", sC: "as"},  ]},</v>
      </c>
      <c r="M48" s="56" t="str">
        <f t="shared" si="57"/>
        <v/>
      </c>
      <c r="N48" s="57" t="str">
        <f t="shared" si="58"/>
        <v/>
      </c>
      <c r="O48" s="58" t="str">
        <f t="shared" si="59"/>
        <v/>
      </c>
      <c r="P48" s="59" t="str">
        <f t="shared" si="60"/>
        <v/>
      </c>
      <c r="Q48" s="60" t="str">
        <f t="shared" si="61"/>
        <v/>
      </c>
      <c r="R48" s="61" t="str">
        <f t="shared" si="62"/>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36.5" thickTop="1" thickBot="1" x14ac:dyDescent="0.55000000000000004">
      <c r="A50" s="76"/>
      <c r="B50" s="76"/>
      <c r="C50" s="76" t="s">
        <v>1047</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thickTop="1" thickBot="1" x14ac:dyDescent="0.55000000000000004">
      <c r="C51" s="113" t="s">
        <v>1069</v>
      </c>
      <c r="D51" s="112" t="s">
        <v>1078</v>
      </c>
      <c r="E51" s="52"/>
      <c r="F51" s="53" t="s">
        <v>1077</v>
      </c>
      <c r="G51" s="53">
        <v>7</v>
      </c>
      <c r="H51" s="52"/>
      <c r="I51" s="52"/>
      <c r="J51" s="54"/>
      <c r="K51" s="54"/>
      <c r="L51" s="55" t="str">
        <f t="shared" ref="L51:L64" si="85">IF(C51="","",_xlfn.CONCAT("            { line: ","""",C51,", ",M51:AN51,""", sC: ","""",B51,"""},"))</f>
        <v xml:space="preserve">            { line: "Campana sobre campana,, (Mi,,20)(La,7,250)", sC: ""},</v>
      </c>
      <c r="M51" s="56" t="str">
        <f t="shared" ref="M51:M64" si="86">IF(N51="","","(")</f>
        <v>(</v>
      </c>
      <c r="N51" s="57" t="str">
        <f t="shared" si="2"/>
        <v>Mi</v>
      </c>
      <c r="O51" s="58" t="str">
        <f t="shared" ref="O51:O64" si="87">IF(N51="","",",")</f>
        <v>,</v>
      </c>
      <c r="P51" s="59" t="str">
        <f t="shared" si="4"/>
        <v/>
      </c>
      <c r="Q51" s="60" t="str">
        <f t="shared" ref="Q51:Q64" si="88">IF(N51="","",",")</f>
        <v>,</v>
      </c>
      <c r="R51" s="61">
        <f t="shared" si="28"/>
        <v>20</v>
      </c>
      <c r="S51" s="56" t="str">
        <f t="shared" ref="S51:S64" si="89">IF(N51="","",")")</f>
        <v>)</v>
      </c>
      <c r="T51" s="62" t="str">
        <f t="shared" ref="T51:T64" si="90">IF(U51="","","(")</f>
        <v>(</v>
      </c>
      <c r="U51" s="63" t="str">
        <f t="shared" si="8"/>
        <v>La</v>
      </c>
      <c r="V51" s="64" t="str">
        <f t="shared" ref="V51:V64" si="91">IF(U51="","",",")</f>
        <v>,</v>
      </c>
      <c r="W51" s="65">
        <f t="shared" si="10"/>
        <v>7</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4.5" thickTop="1" thickBot="1" x14ac:dyDescent="0.55000000000000004">
      <c r="C52" s="113" t="s">
        <v>1081</v>
      </c>
      <c r="D52" s="112" t="s">
        <v>1078</v>
      </c>
      <c r="E52" s="52"/>
      <c r="F52" s="53"/>
      <c r="G52" s="53"/>
      <c r="H52" s="52"/>
      <c r="I52" s="52"/>
      <c r="J52" s="54"/>
      <c r="K52" s="54"/>
      <c r="L52" s="55" t="str">
        <f t="shared" si="85"/>
        <v xml:space="preserve">            { line: "y sobre campana dos,, (Mi,,20)",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
      </c>
      <c r="U52" s="63" t="str">
        <f t="shared" si="8"/>
        <v/>
      </c>
      <c r="V52" s="64" t="str">
        <f t="shared" si="91"/>
        <v/>
      </c>
      <c r="W52" s="65" t="str">
        <f t="shared" si="10"/>
        <v/>
      </c>
      <c r="X52" s="64" t="str">
        <f t="shared" si="92"/>
        <v/>
      </c>
      <c r="Y52" s="64" t="str">
        <f t="shared" si="93"/>
        <v/>
      </c>
      <c r="Z52" s="56" t="str">
        <f t="shared" si="94"/>
        <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4.5" thickTop="1" thickBot="1" x14ac:dyDescent="0.55000000000000004">
      <c r="C53" s="113" t="s">
        <v>1071</v>
      </c>
      <c r="D53" s="112" t="s">
        <v>1077</v>
      </c>
      <c r="E53" s="52">
        <v>7</v>
      </c>
      <c r="F53" s="53"/>
      <c r="G53" s="53"/>
      <c r="H53" s="52"/>
      <c r="I53" s="52"/>
      <c r="J53" s="54"/>
      <c r="K53" s="54"/>
      <c r="L53" s="55" t="str">
        <f t="shared" si="85"/>
        <v xml:space="preserve">            { line: "asómate a la ventana,, (La,7,20)", sC: ""},</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
      </c>
      <c r="U53" s="63" t="str">
        <f t="shared" si="8"/>
        <v/>
      </c>
      <c r="V53" s="64" t="str">
        <f t="shared" si="91"/>
        <v/>
      </c>
      <c r="W53" s="65" t="str">
        <f t="shared" si="10"/>
        <v/>
      </c>
      <c r="X53" s="64" t="str">
        <f t="shared" si="92"/>
        <v/>
      </c>
      <c r="Y53" s="64" t="str">
        <f t="shared" si="93"/>
        <v/>
      </c>
      <c r="Z53" s="56" t="str">
        <f t="shared" si="94"/>
        <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4.5" thickTop="1" thickBot="1" x14ac:dyDescent="0.55000000000000004">
      <c r="C54" s="113" t="s">
        <v>1082</v>
      </c>
      <c r="D54" s="112" t="s">
        <v>1078</v>
      </c>
      <c r="E54" s="52"/>
      <c r="F54" s="53"/>
      <c r="G54" s="53"/>
      <c r="H54" s="52"/>
      <c r="I54" s="52"/>
      <c r="J54" s="54"/>
      <c r="K54" s="54"/>
      <c r="L54" s="78" t="str">
        <f t="shared" si="85"/>
        <v xml:space="preserve">            { line: "verás al Hijo de Dios., (Mi,,20)", sC: ""},</v>
      </c>
      <c r="M54" s="56" t="str">
        <f t="shared" si="86"/>
        <v>(</v>
      </c>
      <c r="N54" s="57" t="str">
        <f t="shared" si="2"/>
        <v>Mi</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79" t="s">
        <v>995</v>
      </c>
      <c r="D56" s="80"/>
      <c r="E56" s="80"/>
      <c r="F56" s="80"/>
      <c r="G56" s="80"/>
      <c r="H56" s="80"/>
      <c r="I56" s="80"/>
      <c r="J56" s="80"/>
      <c r="K56" s="80"/>
      <c r="L56" s="81" t="s">
        <v>996</v>
      </c>
      <c r="M56" s="56" t="str">
        <f t="shared" ref="M56:M59" si="107">IF(N56="","","(")</f>
        <v/>
      </c>
      <c r="N56" s="57" t="str">
        <f t="shared" ref="N56:N59" si="108">IF(D56="","",D56)</f>
        <v/>
      </c>
      <c r="O56" s="58" t="str">
        <f t="shared" ref="O56:O59" si="109">IF(N56="","",",")</f>
        <v/>
      </c>
      <c r="P56" s="59" t="str">
        <f t="shared" ref="P56:P59" si="110">IF(E56="","",E56)</f>
        <v/>
      </c>
      <c r="Q56" s="60" t="str">
        <f t="shared" ref="Q56:Q59" si="111">IF(N56="","",",")</f>
        <v/>
      </c>
      <c r="R56" s="61" t="str">
        <f t="shared" ref="R56:R59" si="112">IF(N56="Do",10,IF(N56="Re",22,IF(N56="Mi",20,IF(N56="Fa",20,IF(N56="Sol",14,IF(N56="La",20,IF(N56="Si",20,IF(N56="Do#",14,IF(N56="Fa#",15,IF(N56="Sol#",20,""))))))))))</f>
        <v/>
      </c>
      <c r="S56" s="56" t="str">
        <f t="shared" ref="S56:S59" si="113">IF(N56="","",")")</f>
        <v/>
      </c>
      <c r="T56" s="62" t="str">
        <f t="shared" ref="T56:T59" si="114">IF(U56="","","(")</f>
        <v/>
      </c>
      <c r="U56" s="63" t="str">
        <f t="shared" ref="U56:U59" si="115">IF(F56="","",F56)</f>
        <v/>
      </c>
      <c r="V56" s="64" t="str">
        <f t="shared" ref="V56:V59" si="116">IF(U56="","",",")</f>
        <v/>
      </c>
      <c r="W56" s="65" t="str">
        <f t="shared" ref="W56:W59" si="117">IF(G56="","",G56)</f>
        <v/>
      </c>
      <c r="X56" s="64" t="str">
        <f t="shared" ref="X56:X59" si="118">IF(U56="","",",")</f>
        <v/>
      </c>
      <c r="Y56" s="64" t="str">
        <f t="shared" ref="Y56:Y59" si="119">IF(U56="","",250)</f>
        <v/>
      </c>
      <c r="Z56" s="56" t="str">
        <f t="shared" ref="Z56:Z59" si="120">IF(U56="","",")")</f>
        <v/>
      </c>
      <c r="AA56" s="66" t="str">
        <f t="shared" ref="AA56:AA59" si="121">IF(AB56="","","(")</f>
        <v/>
      </c>
      <c r="AB56" s="57" t="str">
        <f t="shared" ref="AB56:AB59" si="122">IF(H56="","",H56)</f>
        <v/>
      </c>
      <c r="AC56" s="67" t="str">
        <f t="shared" ref="AC56:AC59" si="123">IF(AB56="","",",")</f>
        <v/>
      </c>
      <c r="AD56" s="59" t="str">
        <f t="shared" ref="AD56:AD59" si="124">IF(I56="","",I56)</f>
        <v/>
      </c>
      <c r="AE56" s="68" t="str">
        <f t="shared" ref="AE56:AE59" si="125">IF(AB56="","",",")</f>
        <v/>
      </c>
      <c r="AF56" s="61" t="str">
        <f t="shared" ref="AF56:AF59" si="126">IF(AB56="","",350)</f>
        <v/>
      </c>
      <c r="AG56" s="61" t="str">
        <f t="shared" ref="AG56:AG59" si="127">IF(AB56="","",")")</f>
        <v/>
      </c>
      <c r="AH56" s="69" t="str">
        <f t="shared" ref="AH56:AH59" si="128">IF(AI56="","","(")</f>
        <v/>
      </c>
      <c r="AI56" s="70" t="str">
        <f t="shared" ref="AI56:AI59" si="129">IF(J56="","",J56)</f>
        <v/>
      </c>
      <c r="AJ56" s="64" t="str">
        <f t="shared" ref="AJ56:AJ59" si="130">IF(AI56="","",",")</f>
        <v/>
      </c>
      <c r="AK56" s="64" t="str">
        <f t="shared" ref="AK56:AK59" si="131">IF(K56="","",K56)</f>
        <v/>
      </c>
      <c r="AL56" s="64" t="str">
        <f t="shared" ref="AL56:AL59" si="132">IF(AI56="","",",")</f>
        <v/>
      </c>
      <c r="AM56" s="64" t="str">
        <f t="shared" ref="AM56:AM59" si="133">IF(AI56="","",450)</f>
        <v/>
      </c>
      <c r="AN56" s="64" t="str">
        <f t="shared" ref="AN56:AN59" si="134">IF(AI56="","",")")</f>
        <v/>
      </c>
    </row>
    <row r="57" spans="1:40" ht="24.5" thickTop="1" thickBot="1" x14ac:dyDescent="0.55000000000000004">
      <c r="B57" t="s">
        <v>997</v>
      </c>
      <c r="C57" s="82" t="s">
        <v>1073</v>
      </c>
      <c r="D57" s="83"/>
      <c r="E57" s="83"/>
      <c r="F57" s="83"/>
      <c r="G57" s="83"/>
      <c r="H57" s="83"/>
      <c r="I57" s="83"/>
      <c r="J57" s="83"/>
      <c r="K57" s="83"/>
      <c r="L57" s="84" t="str">
        <f>IF(C57="","",_xlfn.CONCAT("       triggerLine: ","""",C57,", ",M57:AN57,""", sC: ","""",B57,""", lines: ["))</f>
        <v xml:space="preserve">       triggerLine: "Belén, campanas de Belén,, ", sC: "ta as", lines: [</v>
      </c>
      <c r="M57" s="56" t="str">
        <f t="shared" si="107"/>
        <v/>
      </c>
      <c r="N57" s="57" t="str">
        <f t="shared" si="108"/>
        <v/>
      </c>
      <c r="O57" s="58" t="str">
        <f t="shared" si="109"/>
        <v/>
      </c>
      <c r="P57" s="59" t="str">
        <f t="shared" si="110"/>
        <v/>
      </c>
      <c r="Q57" s="60" t="str">
        <f t="shared" si="111"/>
        <v/>
      </c>
      <c r="R57" s="61" t="str">
        <f t="shared" si="112"/>
        <v/>
      </c>
      <c r="S57" s="56" t="str">
        <f t="shared" si="113"/>
        <v/>
      </c>
      <c r="T57" s="62" t="str">
        <f t="shared" si="114"/>
        <v/>
      </c>
      <c r="U57" s="63" t="str">
        <f t="shared" si="115"/>
        <v/>
      </c>
      <c r="V57" s="64" t="str">
        <f t="shared" si="116"/>
        <v/>
      </c>
      <c r="W57" s="65" t="str">
        <f t="shared" si="117"/>
        <v/>
      </c>
      <c r="X57" s="64" t="str">
        <f t="shared" si="118"/>
        <v/>
      </c>
      <c r="Y57" s="64" t="str">
        <f t="shared" si="119"/>
        <v/>
      </c>
      <c r="Z57" s="56" t="str">
        <f t="shared" si="120"/>
        <v/>
      </c>
      <c r="AA57" s="66" t="str">
        <f t="shared" si="121"/>
        <v/>
      </c>
      <c r="AB57" s="57" t="str">
        <f t="shared" si="122"/>
        <v/>
      </c>
      <c r="AC57" s="67" t="str">
        <f t="shared" si="123"/>
        <v/>
      </c>
      <c r="AD57" s="59" t="str">
        <f t="shared" si="124"/>
        <v/>
      </c>
      <c r="AE57" s="68" t="str">
        <f t="shared" si="125"/>
        <v/>
      </c>
      <c r="AF57" s="61" t="str">
        <f t="shared" si="126"/>
        <v/>
      </c>
      <c r="AG57" s="61" t="str">
        <f t="shared" si="127"/>
        <v/>
      </c>
      <c r="AH57" s="69" t="str">
        <f t="shared" si="128"/>
        <v/>
      </c>
      <c r="AI57" s="70" t="str">
        <f t="shared" si="129"/>
        <v/>
      </c>
      <c r="AJ57" s="64" t="str">
        <f t="shared" si="130"/>
        <v/>
      </c>
      <c r="AK57" s="64" t="str">
        <f t="shared" si="131"/>
        <v/>
      </c>
      <c r="AL57" s="64" t="str">
        <f t="shared" si="132"/>
        <v/>
      </c>
      <c r="AM57" s="64" t="str">
        <f t="shared" si="133"/>
        <v/>
      </c>
      <c r="AN57" s="64" t="str">
        <f t="shared" si="134"/>
        <v/>
      </c>
    </row>
    <row r="58" spans="1:40" ht="24.5" thickTop="1" thickBot="1" x14ac:dyDescent="0.55000000000000004">
      <c r="B58" t="s">
        <v>999</v>
      </c>
      <c r="C58" s="85" t="s">
        <v>1074</v>
      </c>
      <c r="D58" s="86"/>
      <c r="E58" s="86"/>
      <c r="F58" s="86"/>
      <c r="G58" s="86"/>
      <c r="H58" s="87"/>
      <c r="I58" s="87"/>
      <c r="J58" s="87"/>
      <c r="K58" s="87"/>
      <c r="L58" s="88" t="str">
        <f>IF(C58="","",_xlfn.CONCAT("            { line: ","""",C58,", ",M58:AN58,""", sC: ","""",B58,"""},"))</f>
        <v xml:space="preserve">            { line: "que los ángeles tocan, ", sC: "as"},</v>
      </c>
      <c r="M58" s="56" t="str">
        <f t="shared" si="107"/>
        <v/>
      </c>
      <c r="N58" s="57" t="str">
        <f t="shared" si="108"/>
        <v/>
      </c>
      <c r="O58" s="58" t="str">
        <f t="shared" si="109"/>
        <v/>
      </c>
      <c r="P58" s="59" t="str">
        <f t="shared" si="110"/>
        <v/>
      </c>
      <c r="Q58" s="60" t="str">
        <f t="shared" si="111"/>
        <v/>
      </c>
      <c r="R58" s="61" t="str">
        <f t="shared" si="112"/>
        <v/>
      </c>
      <c r="S58" s="56" t="str">
        <f t="shared" si="113"/>
        <v/>
      </c>
      <c r="T58" s="62" t="str">
        <f t="shared" si="114"/>
        <v/>
      </c>
      <c r="U58" s="63" t="str">
        <f t="shared" si="115"/>
        <v/>
      </c>
      <c r="V58" s="64" t="str">
        <f t="shared" si="116"/>
        <v/>
      </c>
      <c r="W58" s="65" t="str">
        <f t="shared" si="117"/>
        <v/>
      </c>
      <c r="X58" s="64" t="str">
        <f t="shared" si="118"/>
        <v/>
      </c>
      <c r="Y58" s="64" t="str">
        <f t="shared" si="119"/>
        <v/>
      </c>
      <c r="Z58" s="56" t="str">
        <f t="shared" si="120"/>
        <v/>
      </c>
      <c r="AA58" s="66" t="str">
        <f t="shared" si="121"/>
        <v/>
      </c>
      <c r="AB58" s="57" t="str">
        <f t="shared" si="122"/>
        <v/>
      </c>
      <c r="AC58" s="67" t="str">
        <f t="shared" si="123"/>
        <v/>
      </c>
      <c r="AD58" s="59" t="str">
        <f t="shared" si="124"/>
        <v/>
      </c>
      <c r="AE58" s="68" t="str">
        <f t="shared" si="125"/>
        <v/>
      </c>
      <c r="AF58" s="61" t="str">
        <f t="shared" si="126"/>
        <v/>
      </c>
      <c r="AG58" s="61" t="str">
        <f t="shared" si="127"/>
        <v/>
      </c>
      <c r="AH58" s="69" t="str">
        <f t="shared" si="128"/>
        <v/>
      </c>
      <c r="AI58" s="70" t="str">
        <f t="shared" si="129"/>
        <v/>
      </c>
      <c r="AJ58" s="64" t="str">
        <f t="shared" si="130"/>
        <v/>
      </c>
      <c r="AK58" s="64" t="str">
        <f t="shared" si="131"/>
        <v/>
      </c>
      <c r="AL58" s="64" t="str">
        <f t="shared" si="132"/>
        <v/>
      </c>
      <c r="AM58" s="64" t="str">
        <f t="shared" si="133"/>
        <v/>
      </c>
      <c r="AN58" s="64" t="str">
        <f t="shared" si="134"/>
        <v/>
      </c>
    </row>
    <row r="59" spans="1:40" ht="24.5" thickTop="1" thickBot="1" x14ac:dyDescent="0.55000000000000004">
      <c r="B59" t="s">
        <v>999</v>
      </c>
      <c r="C59" s="93" t="s">
        <v>1075</v>
      </c>
      <c r="D59" s="83"/>
      <c r="E59" s="83"/>
      <c r="F59" s="83"/>
      <c r="G59" s="83"/>
      <c r="H59" s="83"/>
      <c r="I59" s="83"/>
      <c r="J59" s="83"/>
      <c r="K59" s="83"/>
      <c r="L59" s="94" t="str">
        <f>IF(C59="","",_xlfn.CONCAT("            { line: ","""",C59,", ",M59:AN59,""", sC: ","""",B59,"""},  ]},"))</f>
        <v xml:space="preserve">            { line: "¿qué nuevas me traéis?, ", sC: "as"},  ]},</v>
      </c>
      <c r="M59" s="56" t="str">
        <f t="shared" si="107"/>
        <v/>
      </c>
      <c r="N59" s="57" t="str">
        <f t="shared" si="108"/>
        <v/>
      </c>
      <c r="O59" s="58" t="str">
        <f t="shared" si="109"/>
        <v/>
      </c>
      <c r="P59" s="59" t="str">
        <f t="shared" si="110"/>
        <v/>
      </c>
      <c r="Q59" s="60" t="str">
        <f t="shared" si="111"/>
        <v/>
      </c>
      <c r="R59" s="61" t="str">
        <f t="shared" si="112"/>
        <v/>
      </c>
      <c r="S59" s="56" t="str">
        <f t="shared" si="113"/>
        <v/>
      </c>
      <c r="T59" s="62" t="str">
        <f t="shared" si="114"/>
        <v/>
      </c>
      <c r="U59" s="63" t="str">
        <f t="shared" si="115"/>
        <v/>
      </c>
      <c r="V59" s="64" t="str">
        <f t="shared" si="116"/>
        <v/>
      </c>
      <c r="W59" s="65" t="str">
        <f t="shared" si="117"/>
        <v/>
      </c>
      <c r="X59" s="64" t="str">
        <f t="shared" si="118"/>
        <v/>
      </c>
      <c r="Y59" s="64" t="str">
        <f t="shared" si="119"/>
        <v/>
      </c>
      <c r="Z59" s="56" t="str">
        <f t="shared" si="120"/>
        <v/>
      </c>
      <c r="AA59" s="66" t="str">
        <f t="shared" si="121"/>
        <v/>
      </c>
      <c r="AB59" s="57" t="str">
        <f t="shared" si="122"/>
        <v/>
      </c>
      <c r="AC59" s="67" t="str">
        <f t="shared" si="123"/>
        <v/>
      </c>
      <c r="AD59" s="59" t="str">
        <f t="shared" si="124"/>
        <v/>
      </c>
      <c r="AE59" s="68" t="str">
        <f t="shared" si="125"/>
        <v/>
      </c>
      <c r="AF59" s="61" t="str">
        <f t="shared" si="126"/>
        <v/>
      </c>
      <c r="AG59" s="61" t="str">
        <f t="shared" si="127"/>
        <v/>
      </c>
      <c r="AH59" s="69" t="str">
        <f t="shared" si="128"/>
        <v/>
      </c>
      <c r="AI59" s="70" t="str">
        <f t="shared" si="129"/>
        <v/>
      </c>
      <c r="AJ59" s="64" t="str">
        <f t="shared" si="130"/>
        <v/>
      </c>
      <c r="AK59" s="64" t="str">
        <f t="shared" si="131"/>
        <v/>
      </c>
      <c r="AL59" s="64" t="str">
        <f t="shared" si="132"/>
        <v/>
      </c>
      <c r="AM59" s="64" t="str">
        <f t="shared" si="133"/>
        <v/>
      </c>
      <c r="AN59" s="64" t="str">
        <f t="shared" si="134"/>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IF(N60="Do",10,IF(N60="Re",22,IF(N60="Mi",20,IF(N60="Fa",20,IF(N60="Sol",14,IF(N60="La",20,IF(N60="Si",20,IF(N60="Do#",14,IF(N60="Fa#",15,IF(N60="Sol#",20,""))))))))))</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113" t="s">
        <v>1083</v>
      </c>
      <c r="D61" s="112" t="s">
        <v>1045</v>
      </c>
      <c r="E61" s="52"/>
      <c r="F61" s="53"/>
      <c r="G61" s="53"/>
      <c r="H61" s="52"/>
      <c r="I61" s="52"/>
      <c r="J61" s="54"/>
      <c r="K61" s="54"/>
      <c r="L61" s="55" t="str">
        <f t="shared" si="85"/>
        <v xml:space="preserve">            { line: "Caminando a media noche,, (Re,,22)", sC: ""},</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
      </c>
      <c r="U61" s="63" t="str">
        <f t="shared" si="8"/>
        <v/>
      </c>
      <c r="V61" s="64" t="str">
        <f t="shared" si="91"/>
        <v/>
      </c>
      <c r="W61" s="65" t="str">
        <f t="shared" si="10"/>
        <v/>
      </c>
      <c r="X61" s="64" t="str">
        <f t="shared" si="92"/>
        <v/>
      </c>
      <c r="Y61" s="64" t="str">
        <f t="shared" si="93"/>
        <v/>
      </c>
      <c r="Z61" s="56" t="str">
        <f t="shared" si="94"/>
        <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4.5" thickTop="1" thickBot="1" x14ac:dyDescent="0.55000000000000004">
      <c r="C62" s="113" t="s">
        <v>1084</v>
      </c>
      <c r="D62" s="112" t="s">
        <v>1077</v>
      </c>
      <c r="E62" s="52"/>
      <c r="F62" s="53" t="s">
        <v>1078</v>
      </c>
      <c r="G62" s="53"/>
      <c r="H62" s="52" t="s">
        <v>1077</v>
      </c>
      <c r="I62" s="52">
        <v>7</v>
      </c>
      <c r="J62" s="54" t="s">
        <v>1045</v>
      </c>
      <c r="K62" s="54"/>
      <c r="L62" s="55" t="str">
        <f t="shared" si="85"/>
        <v xml:space="preserve">            { line: "¿dónde caminas pastor?, (La,,20)(Mi,,250)(La,7,350)(Re,,450)", sC: ""},</v>
      </c>
      <c r="M62" s="56" t="str">
        <f t="shared" si="86"/>
        <v>(</v>
      </c>
      <c r="N62" s="57" t="str">
        <f t="shared" si="2"/>
        <v>La</v>
      </c>
      <c r="O62" s="58" t="str">
        <f t="shared" si="87"/>
        <v>,</v>
      </c>
      <c r="P62" s="59" t="str">
        <f t="shared" si="4"/>
        <v/>
      </c>
      <c r="Q62" s="60" t="str">
        <f t="shared" si="88"/>
        <v>,</v>
      </c>
      <c r="R62" s="61">
        <f t="shared" si="28"/>
        <v>20</v>
      </c>
      <c r="S62" s="56" t="str">
        <f t="shared" si="89"/>
        <v>)</v>
      </c>
      <c r="T62" s="62" t="str">
        <f t="shared" si="90"/>
        <v>(</v>
      </c>
      <c r="U62" s="63" t="str">
        <f t="shared" si="8"/>
        <v>Mi</v>
      </c>
      <c r="V62" s="64" t="str">
        <f t="shared" si="91"/>
        <v>,</v>
      </c>
      <c r="W62" s="65" t="str">
        <f t="shared" si="10"/>
        <v/>
      </c>
      <c r="X62" s="64" t="str">
        <f t="shared" si="92"/>
        <v>,</v>
      </c>
      <c r="Y62" s="64">
        <f t="shared" si="93"/>
        <v>250</v>
      </c>
      <c r="Z62" s="56" t="str">
        <f t="shared" si="94"/>
        <v>)</v>
      </c>
      <c r="AA62" s="66" t="str">
        <f t="shared" si="95"/>
        <v>(</v>
      </c>
      <c r="AB62" s="57" t="str">
        <f t="shared" si="15"/>
        <v>La</v>
      </c>
      <c r="AC62" s="67" t="str">
        <f t="shared" si="96"/>
        <v>,</v>
      </c>
      <c r="AD62" s="59">
        <f t="shared" si="97"/>
        <v>7</v>
      </c>
      <c r="AE62" s="68" t="str">
        <f t="shared" si="98"/>
        <v>,</v>
      </c>
      <c r="AF62" s="61">
        <f t="shared" si="99"/>
        <v>350</v>
      </c>
      <c r="AG62" s="61" t="str">
        <f t="shared" si="100"/>
        <v>)</v>
      </c>
      <c r="AH62" s="69" t="str">
        <f t="shared" si="101"/>
        <v>(</v>
      </c>
      <c r="AI62" s="70" t="str">
        <f t="shared" si="22"/>
        <v>Re</v>
      </c>
      <c r="AJ62" s="64" t="str">
        <f t="shared" si="102"/>
        <v>,</v>
      </c>
      <c r="AK62" s="64" t="str">
        <f t="shared" si="103"/>
        <v/>
      </c>
      <c r="AL62" s="64" t="str">
        <f t="shared" si="104"/>
        <v>,</v>
      </c>
      <c r="AM62" s="64">
        <f t="shared" si="105"/>
        <v>450</v>
      </c>
      <c r="AN62" s="64" t="str">
        <f t="shared" si="106"/>
        <v>)</v>
      </c>
    </row>
    <row r="63" spans="1:40" ht="24.5" thickTop="1" thickBot="1" x14ac:dyDescent="0.55000000000000004">
      <c r="C63" s="113" t="s">
        <v>1085</v>
      </c>
      <c r="D63" s="112"/>
      <c r="E63" s="52"/>
      <c r="F63" s="53"/>
      <c r="G63" s="53"/>
      <c r="H63" s="52"/>
      <c r="I63" s="52"/>
      <c r="J63" s="54"/>
      <c r="K63" s="54"/>
      <c r="L63" s="55" t="str">
        <f t="shared" si="85"/>
        <v xml:space="preserve">            { line: "Le llevo al Niño que nace,, ", sC: ""},</v>
      </c>
      <c r="M63" s="56" t="str">
        <f t="shared" si="86"/>
        <v/>
      </c>
      <c r="N63" s="57" t="str">
        <f t="shared" si="2"/>
        <v/>
      </c>
      <c r="O63" s="58" t="str">
        <f t="shared" si="87"/>
        <v/>
      </c>
      <c r="P63" s="59" t="str">
        <f t="shared" si="4"/>
        <v/>
      </c>
      <c r="Q63" s="60" t="str">
        <f t="shared" si="88"/>
        <v/>
      </c>
      <c r="R63" s="61" t="str">
        <f t="shared" si="28"/>
        <v/>
      </c>
      <c r="S63" s="56" t="str">
        <f t="shared" si="89"/>
        <v/>
      </c>
      <c r="T63" s="62" t="str">
        <f t="shared" si="90"/>
        <v/>
      </c>
      <c r="U63" s="63" t="str">
        <f t="shared" si="8"/>
        <v/>
      </c>
      <c r="V63" s="64" t="str">
        <f t="shared" si="91"/>
        <v/>
      </c>
      <c r="W63" s="65" t="str">
        <f t="shared" si="10"/>
        <v/>
      </c>
      <c r="X63" s="64" t="str">
        <f t="shared" si="92"/>
        <v/>
      </c>
      <c r="Y63" s="64" t="str">
        <f t="shared" si="93"/>
        <v/>
      </c>
      <c r="Z63" s="56" t="str">
        <f t="shared" si="94"/>
        <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4.5" thickTop="1" thickBot="1" x14ac:dyDescent="0.55000000000000004">
      <c r="C64" s="113" t="s">
        <v>1087</v>
      </c>
      <c r="D64" s="112" t="s">
        <v>1077</v>
      </c>
      <c r="E64" s="52"/>
      <c r="F64" s="53" t="s">
        <v>1078</v>
      </c>
      <c r="G64" s="53"/>
      <c r="H64" s="52" t="s">
        <v>1077</v>
      </c>
      <c r="I64" s="52">
        <v>7</v>
      </c>
      <c r="J64" s="54" t="s">
        <v>1045</v>
      </c>
      <c r="K64" s="54"/>
      <c r="L64" s="55" t="str">
        <f t="shared" si="85"/>
        <v xml:space="preserve">            { line: "como a Dios mi corazón., (La,,20)(Mi,,250)(La,7,350)(Re,,450)", sC: ""},</v>
      </c>
      <c r="M64" s="56" t="str">
        <f t="shared" si="86"/>
        <v>(</v>
      </c>
      <c r="N64" s="57" t="str">
        <f t="shared" si="2"/>
        <v>La</v>
      </c>
      <c r="O64" s="58" t="str">
        <f t="shared" si="87"/>
        <v>,</v>
      </c>
      <c r="P64" s="59" t="str">
        <f t="shared" si="4"/>
        <v/>
      </c>
      <c r="Q64" s="60" t="str">
        <f t="shared" si="88"/>
        <v>,</v>
      </c>
      <c r="R64" s="61">
        <f t="shared" si="28"/>
        <v>20</v>
      </c>
      <c r="S64" s="56" t="str">
        <f t="shared" si="89"/>
        <v>)</v>
      </c>
      <c r="T64" s="62" t="str">
        <f t="shared" si="90"/>
        <v>(</v>
      </c>
      <c r="U64" s="63" t="str">
        <f t="shared" si="8"/>
        <v>Mi</v>
      </c>
      <c r="V64" s="64" t="str">
        <f t="shared" si="91"/>
        <v>,</v>
      </c>
      <c r="W64" s="65" t="str">
        <f t="shared" si="10"/>
        <v/>
      </c>
      <c r="X64" s="64" t="str">
        <f t="shared" si="92"/>
        <v>,</v>
      </c>
      <c r="Y64" s="64">
        <f t="shared" si="93"/>
        <v>250</v>
      </c>
      <c r="Z64" s="56" t="str">
        <f t="shared" si="94"/>
        <v>)</v>
      </c>
      <c r="AA64" s="66" t="str">
        <f t="shared" si="95"/>
        <v>(</v>
      </c>
      <c r="AB64" s="57" t="str">
        <f t="shared" si="15"/>
        <v>La</v>
      </c>
      <c r="AC64" s="67" t="str">
        <f t="shared" si="96"/>
        <v>,</v>
      </c>
      <c r="AD64" s="59">
        <f t="shared" si="97"/>
        <v>7</v>
      </c>
      <c r="AE64" s="68" t="str">
        <f t="shared" si="98"/>
        <v>,</v>
      </c>
      <c r="AF64" s="61">
        <f t="shared" si="99"/>
        <v>350</v>
      </c>
      <c r="AG64" s="61" t="str">
        <f t="shared" si="100"/>
        <v>)</v>
      </c>
      <c r="AH64" s="69" t="str">
        <f t="shared" si="101"/>
        <v>(</v>
      </c>
      <c r="AI64" s="70" t="str">
        <f t="shared" si="22"/>
        <v>Re</v>
      </c>
      <c r="AJ64" s="64" t="str">
        <f t="shared" si="102"/>
        <v>,</v>
      </c>
      <c r="AK64" s="64" t="str">
        <f t="shared" si="103"/>
        <v/>
      </c>
      <c r="AL64" s="64" t="str">
        <f t="shared" si="104"/>
        <v>,</v>
      </c>
      <c r="AM64" s="64">
        <f t="shared" si="105"/>
        <v>450</v>
      </c>
      <c r="AN64" s="64" t="str">
        <f t="shared" si="106"/>
        <v>)</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79" t="s">
        <v>995</v>
      </c>
      <c r="D66" s="80"/>
      <c r="E66" s="80"/>
      <c r="F66" s="80"/>
      <c r="G66" s="80"/>
      <c r="H66" s="80"/>
      <c r="I66" s="80"/>
      <c r="J66" s="80"/>
      <c r="K66" s="80"/>
      <c r="L66" s="81" t="s">
        <v>996</v>
      </c>
      <c r="M66" s="56" t="str">
        <f t="shared" ref="M66:M69" si="135">IF(N66="","","(")</f>
        <v/>
      </c>
      <c r="N66" s="57" t="str">
        <f t="shared" ref="N66:N69" si="136">IF(D66="","",D66)</f>
        <v/>
      </c>
      <c r="O66" s="58" t="str">
        <f t="shared" ref="O66:O69" si="137">IF(N66="","",",")</f>
        <v/>
      </c>
      <c r="P66" s="59" t="str">
        <f t="shared" ref="P66:P69" si="138">IF(E66="","",E66)</f>
        <v/>
      </c>
      <c r="Q66" s="60" t="str">
        <f t="shared" ref="Q66:Q69" si="139">IF(N66="","",",")</f>
        <v/>
      </c>
      <c r="R66" s="61" t="str">
        <f t="shared" ref="R66:R69" si="140">IF(N66="Do",10,IF(N66="Re",22,IF(N66="Mi",20,IF(N66="Fa",20,IF(N66="Sol",14,IF(N66="La",20,IF(N66="Si",20,IF(N66="Do#",14,IF(N66="Fa#",15,IF(N66="Sol#",20,""))))))))))</f>
        <v/>
      </c>
      <c r="S66" s="56" t="str">
        <f t="shared" ref="S66:S69" si="141">IF(N66="","",")")</f>
        <v/>
      </c>
      <c r="T66" s="62" t="str">
        <f t="shared" ref="T66:T69" si="142">IF(U66="","","(")</f>
        <v/>
      </c>
      <c r="U66" s="63" t="str">
        <f t="shared" ref="U66:U69" si="143">IF(F66="","",F66)</f>
        <v/>
      </c>
      <c r="V66" s="64" t="str">
        <f t="shared" ref="V66:V69" si="144">IF(U66="","",",")</f>
        <v/>
      </c>
      <c r="W66" s="65" t="str">
        <f t="shared" ref="W66:W69" si="145">IF(G66="","",G66)</f>
        <v/>
      </c>
      <c r="X66" s="64" t="str">
        <f t="shared" ref="X66:X69" si="146">IF(U66="","",",")</f>
        <v/>
      </c>
      <c r="Y66" s="64" t="str">
        <f t="shared" ref="Y66:Y69" si="147">IF(U66="","",250)</f>
        <v/>
      </c>
      <c r="Z66" s="56" t="str">
        <f t="shared" ref="Z66:Z69" si="148">IF(U66="","",")")</f>
        <v/>
      </c>
      <c r="AA66" s="66" t="str">
        <f t="shared" ref="AA66:AA69" si="149">IF(AB66="","","(")</f>
        <v/>
      </c>
      <c r="AB66" s="57" t="str">
        <f t="shared" ref="AB66:AB69" si="150">IF(H66="","",H66)</f>
        <v/>
      </c>
      <c r="AC66" s="67" t="str">
        <f t="shared" ref="AC66:AC69" si="151">IF(AB66="","",",")</f>
        <v/>
      </c>
      <c r="AD66" s="59" t="str">
        <f t="shared" ref="AD66:AD69" si="152">IF(I66="","",I66)</f>
        <v/>
      </c>
      <c r="AE66" s="68" t="str">
        <f t="shared" ref="AE66:AE69" si="153">IF(AB66="","",",")</f>
        <v/>
      </c>
      <c r="AF66" s="61" t="str">
        <f t="shared" ref="AF66:AF69" si="154">IF(AB66="","",350)</f>
        <v/>
      </c>
      <c r="AG66" s="61" t="str">
        <f t="shared" ref="AG66:AG69" si="155">IF(AB66="","",")")</f>
        <v/>
      </c>
      <c r="AH66" s="69" t="str">
        <f t="shared" ref="AH66:AH69" si="156">IF(AI66="","","(")</f>
        <v/>
      </c>
      <c r="AI66" s="70" t="str">
        <f t="shared" ref="AI66:AI69" si="157">IF(J66="","",J66)</f>
        <v/>
      </c>
      <c r="AJ66" s="64" t="str">
        <f t="shared" ref="AJ66:AJ69" si="158">IF(AI66="","",",")</f>
        <v/>
      </c>
      <c r="AK66" s="64" t="str">
        <f t="shared" ref="AK66:AK69" si="159">IF(K66="","",K66)</f>
        <v/>
      </c>
      <c r="AL66" s="64" t="str">
        <f t="shared" ref="AL66:AL69" si="160">IF(AI66="","",",")</f>
        <v/>
      </c>
      <c r="AM66" s="64" t="str">
        <f t="shared" ref="AM66:AM69" si="161">IF(AI66="","",450)</f>
        <v/>
      </c>
      <c r="AN66" s="64" t="str">
        <f t="shared" ref="AN66:AN69" si="162">IF(AI66="","",")")</f>
        <v/>
      </c>
    </row>
    <row r="67" spans="1:40" ht="24.5" thickTop="1" thickBot="1" x14ac:dyDescent="0.55000000000000004">
      <c r="B67" t="s">
        <v>997</v>
      </c>
      <c r="C67" s="82" t="s">
        <v>1073</v>
      </c>
      <c r="D67" s="83"/>
      <c r="E67" s="83"/>
      <c r="F67" s="83"/>
      <c r="G67" s="83"/>
      <c r="H67" s="83"/>
      <c r="I67" s="83"/>
      <c r="J67" s="83"/>
      <c r="K67" s="83"/>
      <c r="L67" s="84" t="str">
        <f>IF(C67="","",_xlfn.CONCAT("       triggerLine: ","""",C67,", ",M67:AN67,""", sC: ","""",B67,""", lines: ["))</f>
        <v xml:space="preserve">       triggerLine: "Belén, campanas de Belén,, ", sC: "ta as", lines: [</v>
      </c>
      <c r="M67" s="56" t="str">
        <f t="shared" si="135"/>
        <v/>
      </c>
      <c r="N67" s="57" t="str">
        <f t="shared" si="136"/>
        <v/>
      </c>
      <c r="O67" s="58" t="str">
        <f t="shared" si="137"/>
        <v/>
      </c>
      <c r="P67" s="59" t="str">
        <f t="shared" si="138"/>
        <v/>
      </c>
      <c r="Q67" s="60" t="str">
        <f t="shared" si="139"/>
        <v/>
      </c>
      <c r="R67" s="61" t="str">
        <f t="shared" si="140"/>
        <v/>
      </c>
      <c r="S67" s="56" t="str">
        <f t="shared" si="141"/>
        <v/>
      </c>
      <c r="T67" s="62" t="str">
        <f t="shared" si="142"/>
        <v/>
      </c>
      <c r="U67" s="63" t="str">
        <f t="shared" si="143"/>
        <v/>
      </c>
      <c r="V67" s="64" t="str">
        <f t="shared" si="144"/>
        <v/>
      </c>
      <c r="W67" s="65" t="str">
        <f t="shared" si="145"/>
        <v/>
      </c>
      <c r="X67" s="64" t="str">
        <f t="shared" si="146"/>
        <v/>
      </c>
      <c r="Y67" s="64" t="str">
        <f t="shared" si="147"/>
        <v/>
      </c>
      <c r="Z67" s="56" t="str">
        <f t="shared" si="148"/>
        <v/>
      </c>
      <c r="AA67" s="66" t="str">
        <f t="shared" si="149"/>
        <v/>
      </c>
      <c r="AB67" s="57" t="str">
        <f t="shared" si="150"/>
        <v/>
      </c>
      <c r="AC67" s="67" t="str">
        <f t="shared" si="151"/>
        <v/>
      </c>
      <c r="AD67" s="59" t="str">
        <f t="shared" si="152"/>
        <v/>
      </c>
      <c r="AE67" s="68" t="str">
        <f t="shared" si="153"/>
        <v/>
      </c>
      <c r="AF67" s="61" t="str">
        <f t="shared" si="154"/>
        <v/>
      </c>
      <c r="AG67" s="61" t="str">
        <f t="shared" si="155"/>
        <v/>
      </c>
      <c r="AH67" s="69" t="str">
        <f t="shared" si="156"/>
        <v/>
      </c>
      <c r="AI67" s="70" t="str">
        <f t="shared" si="157"/>
        <v/>
      </c>
      <c r="AJ67" s="64" t="str">
        <f t="shared" si="158"/>
        <v/>
      </c>
      <c r="AK67" s="64" t="str">
        <f t="shared" si="159"/>
        <v/>
      </c>
      <c r="AL67" s="64" t="str">
        <f t="shared" si="160"/>
        <v/>
      </c>
      <c r="AM67" s="64" t="str">
        <f t="shared" si="161"/>
        <v/>
      </c>
      <c r="AN67" s="64" t="str">
        <f t="shared" si="162"/>
        <v/>
      </c>
    </row>
    <row r="68" spans="1:40" ht="24.5" thickTop="1" thickBot="1" x14ac:dyDescent="0.55000000000000004">
      <c r="B68" t="s">
        <v>999</v>
      </c>
      <c r="C68" s="85" t="s">
        <v>1074</v>
      </c>
      <c r="D68" s="86"/>
      <c r="E68" s="86"/>
      <c r="F68" s="86"/>
      <c r="G68" s="86"/>
      <c r="H68" s="87"/>
      <c r="I68" s="87"/>
      <c r="J68" s="87"/>
      <c r="K68" s="87"/>
      <c r="L68" s="88" t="str">
        <f>IF(C68="","",_xlfn.CONCAT("            { line: ","""",C68,", ",M68:AN68,""", sC: ","""",B68,"""},"))</f>
        <v xml:space="preserve">            { line: "que los ángeles tocan, ", sC: "as"},</v>
      </c>
      <c r="M68" s="56" t="str">
        <f t="shared" si="135"/>
        <v/>
      </c>
      <c r="N68" s="57" t="str">
        <f t="shared" si="136"/>
        <v/>
      </c>
      <c r="O68" s="58" t="str">
        <f t="shared" si="137"/>
        <v/>
      </c>
      <c r="P68" s="59" t="str">
        <f t="shared" si="138"/>
        <v/>
      </c>
      <c r="Q68" s="60" t="str">
        <f t="shared" si="139"/>
        <v/>
      </c>
      <c r="R68" s="61" t="str">
        <f t="shared" si="140"/>
        <v/>
      </c>
      <c r="S68" s="56" t="str">
        <f t="shared" si="141"/>
        <v/>
      </c>
      <c r="T68" s="62" t="str">
        <f t="shared" si="142"/>
        <v/>
      </c>
      <c r="U68" s="63" t="str">
        <f t="shared" si="143"/>
        <v/>
      </c>
      <c r="V68" s="64" t="str">
        <f t="shared" si="144"/>
        <v/>
      </c>
      <c r="W68" s="65" t="str">
        <f t="shared" si="145"/>
        <v/>
      </c>
      <c r="X68" s="64" t="str">
        <f t="shared" si="146"/>
        <v/>
      </c>
      <c r="Y68" s="64" t="str">
        <f t="shared" si="147"/>
        <v/>
      </c>
      <c r="Z68" s="56" t="str">
        <f t="shared" si="148"/>
        <v/>
      </c>
      <c r="AA68" s="66" t="str">
        <f t="shared" si="149"/>
        <v/>
      </c>
      <c r="AB68" s="57" t="str">
        <f t="shared" si="150"/>
        <v/>
      </c>
      <c r="AC68" s="67" t="str">
        <f t="shared" si="151"/>
        <v/>
      </c>
      <c r="AD68" s="59" t="str">
        <f t="shared" si="152"/>
        <v/>
      </c>
      <c r="AE68" s="68" t="str">
        <f t="shared" si="153"/>
        <v/>
      </c>
      <c r="AF68" s="61" t="str">
        <f t="shared" si="154"/>
        <v/>
      </c>
      <c r="AG68" s="61" t="str">
        <f t="shared" si="155"/>
        <v/>
      </c>
      <c r="AH68" s="69" t="str">
        <f t="shared" si="156"/>
        <v/>
      </c>
      <c r="AI68" s="70" t="str">
        <f t="shared" si="157"/>
        <v/>
      </c>
      <c r="AJ68" s="64" t="str">
        <f t="shared" si="158"/>
        <v/>
      </c>
      <c r="AK68" s="64" t="str">
        <f t="shared" si="159"/>
        <v/>
      </c>
      <c r="AL68" s="64" t="str">
        <f t="shared" si="160"/>
        <v/>
      </c>
      <c r="AM68" s="64" t="str">
        <f t="shared" si="161"/>
        <v/>
      </c>
      <c r="AN68" s="64" t="str">
        <f t="shared" si="162"/>
        <v/>
      </c>
    </row>
    <row r="69" spans="1:40" ht="24.5" thickTop="1" thickBot="1" x14ac:dyDescent="0.55000000000000004">
      <c r="B69" t="s">
        <v>999</v>
      </c>
      <c r="C69" s="93" t="s">
        <v>1075</v>
      </c>
      <c r="D69" s="83"/>
      <c r="E69" s="83"/>
      <c r="F69" s="83"/>
      <c r="G69" s="83"/>
      <c r="H69" s="83"/>
      <c r="I69" s="83"/>
      <c r="J69" s="83"/>
      <c r="K69" s="83"/>
      <c r="L69" s="94" t="str">
        <f>IF(C69="","",_xlfn.CONCAT("            { line: ","""",C69,", ",M69:AN69,""", sC: ","""",B69,"""},  ]},"))</f>
        <v xml:space="preserve">            { line: "¿qué nuevas me traéis?, ", sC: "as"},  ]},</v>
      </c>
      <c r="M69" s="56" t="str">
        <f t="shared" si="135"/>
        <v/>
      </c>
      <c r="N69" s="57" t="str">
        <f t="shared" si="136"/>
        <v/>
      </c>
      <c r="O69" s="58" t="str">
        <f t="shared" si="137"/>
        <v/>
      </c>
      <c r="P69" s="59" t="str">
        <f t="shared" si="138"/>
        <v/>
      </c>
      <c r="Q69" s="60" t="str">
        <f t="shared" si="139"/>
        <v/>
      </c>
      <c r="R69" s="61" t="str">
        <f t="shared" si="140"/>
        <v/>
      </c>
      <c r="S69" s="56" t="str">
        <f t="shared" si="141"/>
        <v/>
      </c>
      <c r="T69" s="62" t="str">
        <f t="shared" si="142"/>
        <v/>
      </c>
      <c r="U69" s="63" t="str">
        <f t="shared" si="143"/>
        <v/>
      </c>
      <c r="V69" s="64" t="str">
        <f t="shared" si="144"/>
        <v/>
      </c>
      <c r="W69" s="65" t="str">
        <f t="shared" si="145"/>
        <v/>
      </c>
      <c r="X69" s="64" t="str">
        <f t="shared" si="146"/>
        <v/>
      </c>
      <c r="Y69" s="64" t="str">
        <f t="shared" si="147"/>
        <v/>
      </c>
      <c r="Z69" s="56" t="str">
        <f t="shared" si="148"/>
        <v/>
      </c>
      <c r="AA69" s="66" t="str">
        <f t="shared" si="149"/>
        <v/>
      </c>
      <c r="AB69" s="57" t="str">
        <f t="shared" si="150"/>
        <v/>
      </c>
      <c r="AC69" s="67" t="str">
        <f t="shared" si="151"/>
        <v/>
      </c>
      <c r="AD69" s="59" t="str">
        <f t="shared" si="152"/>
        <v/>
      </c>
      <c r="AE69" s="68" t="str">
        <f t="shared" si="153"/>
        <v/>
      </c>
      <c r="AF69" s="61" t="str">
        <f t="shared" si="154"/>
        <v/>
      </c>
      <c r="AG69" s="61" t="str">
        <f t="shared" si="155"/>
        <v/>
      </c>
      <c r="AH69" s="69" t="str">
        <f t="shared" si="156"/>
        <v/>
      </c>
      <c r="AI69" s="70" t="str">
        <f t="shared" si="157"/>
        <v/>
      </c>
      <c r="AJ69" s="64" t="str">
        <f t="shared" si="158"/>
        <v/>
      </c>
      <c r="AK69" s="64" t="str">
        <f t="shared" si="159"/>
        <v/>
      </c>
      <c r="AL69" s="64" t="str">
        <f t="shared" si="160"/>
        <v/>
      </c>
      <c r="AM69" s="64" t="str">
        <f t="shared" si="161"/>
        <v/>
      </c>
      <c r="AN69" s="64" t="str">
        <f t="shared" si="162"/>
        <v/>
      </c>
    </row>
    <row r="70" spans="1:40" ht="24" customHeight="1" x14ac:dyDescent="0.6">
      <c r="A70" s="95"/>
      <c r="B70" s="95"/>
      <c r="C70" s="95"/>
      <c r="D70" s="95"/>
      <c r="E70" s="95"/>
      <c r="F70" s="95"/>
      <c r="G70" s="95"/>
      <c r="H70" s="95"/>
      <c r="I70" s="95"/>
      <c r="J70" s="95"/>
      <c r="K70" s="95"/>
      <c r="L70" s="99" t="str">
        <f>_xlfn.CONCAT("]}, // ULTIMA LINEA DEL CANTO: ",L1)</f>
        <v>]}, // ULTIMA LINEA DEL CANTO: Belén, campanas de Belén,</v>
      </c>
      <c r="M70" s="95"/>
    </row>
    <row r="71" spans="1:40" ht="20.5" x14ac:dyDescent="0.35">
      <c r="L71" s="100" t="s">
        <v>1008</v>
      </c>
      <c r="M71" s="101"/>
    </row>
    <row r="72" spans="1:40" x14ac:dyDescent="0.35">
      <c r="M72" s="101"/>
    </row>
    <row r="73" spans="1:40" ht="26.5" hidden="1" thickTop="1" thickBot="1" x14ac:dyDescent="0.55000000000000004">
      <c r="A73" s="73"/>
      <c r="B73" s="73"/>
      <c r="C73" s="73"/>
      <c r="D73" s="74"/>
      <c r="E73" s="74"/>
      <c r="F73" s="74"/>
      <c r="G73" s="74"/>
      <c r="H73" s="74"/>
      <c r="I73" s="74"/>
      <c r="J73" s="74"/>
      <c r="K73" s="74"/>
      <c r="L73" s="75" t="s">
        <v>993</v>
      </c>
      <c r="M73" s="56"/>
      <c r="N73" s="57"/>
      <c r="O73" s="58"/>
      <c r="P73" s="59"/>
      <c r="Q73" s="60"/>
      <c r="R73" s="61" t="str">
        <f t="shared" ref="R73:R82" si="163">IF(N73="Do",10,IF(N73="Re",22,IF(N73="Mi",20,IF(N73="Fa",20,IF(N73="Sol",14,IF(N73="La",20,IF(N73="Si",20,IF(N73="Do#",14,IF(N73="Fa#",15,IF(N73="Sol#",20,""))))))))))</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hidden="1" thickTop="1" thickBot="1" x14ac:dyDescent="0.55000000000000004">
      <c r="C74" s="79" t="s">
        <v>995</v>
      </c>
      <c r="D74" s="80"/>
      <c r="E74" s="80"/>
      <c r="F74" s="80"/>
      <c r="G74" s="80"/>
      <c r="H74" s="80"/>
      <c r="I74" s="80"/>
      <c r="J74" s="80"/>
      <c r="K74" s="80"/>
      <c r="L74" s="81" t="s">
        <v>996</v>
      </c>
      <c r="M74" s="56" t="str">
        <f t="shared" ref="M74:M81" si="164">IF(N74="","","(")</f>
        <v/>
      </c>
      <c r="N74" s="57" t="str">
        <f t="shared" ref="N74:N81" si="165">IF(D74="","",D74)</f>
        <v/>
      </c>
      <c r="O74" s="58" t="str">
        <f t="shared" ref="O74:O81" si="166">IF(N74="","",",")</f>
        <v/>
      </c>
      <c r="P74" s="59" t="str">
        <f t="shared" ref="P74:P81" si="167">IF(E74="","",E74)</f>
        <v/>
      </c>
      <c r="Q74" s="60" t="str">
        <f t="shared" ref="Q74:Q81" si="168">IF(N74="","",",")</f>
        <v/>
      </c>
      <c r="R74" s="61" t="str">
        <f t="shared" si="163"/>
        <v/>
      </c>
      <c r="S74" s="56" t="str">
        <f t="shared" ref="S74:S81" si="169">IF(N74="","",")")</f>
        <v/>
      </c>
      <c r="T74" s="62" t="str">
        <f t="shared" ref="T74:T81" si="170">IF(U74="","","(")</f>
        <v/>
      </c>
      <c r="U74" s="63" t="str">
        <f t="shared" ref="U74:U81" si="171">IF(F74="","",F74)</f>
        <v/>
      </c>
      <c r="V74" s="64" t="str">
        <f t="shared" ref="V74:V81" si="172">IF(U74="","",",")</f>
        <v/>
      </c>
      <c r="W74" s="65" t="str">
        <f t="shared" ref="W74:W81" si="173">IF(G74="","",G74)</f>
        <v/>
      </c>
      <c r="X74" s="64" t="str">
        <f t="shared" ref="X74:X81" si="174">IF(U74="","",",")</f>
        <v/>
      </c>
      <c r="Y74" s="64" t="str">
        <f t="shared" ref="Y74:Y81" si="175">IF(U74="","",250)</f>
        <v/>
      </c>
      <c r="Z74" s="56" t="str">
        <f t="shared" ref="Z74:Z81" si="176">IF(U74="","",")")</f>
        <v/>
      </c>
      <c r="AA74" s="66" t="str">
        <f t="shared" ref="AA74:AA81" si="177">IF(AB74="","","(")</f>
        <v/>
      </c>
      <c r="AB74" s="57" t="str">
        <f t="shared" ref="AB74:AB81" si="178">IF(H74="","",H74)</f>
        <v/>
      </c>
      <c r="AC74" s="67" t="str">
        <f t="shared" ref="AC74:AC81" si="179">IF(AB74="","",",")</f>
        <v/>
      </c>
      <c r="AD74" s="59" t="str">
        <f t="shared" ref="AD74:AD81" si="180">IF(I74="","",I74)</f>
        <v/>
      </c>
      <c r="AE74" s="68" t="str">
        <f t="shared" ref="AE74:AE81" si="181">IF(AB74="","",",")</f>
        <v/>
      </c>
      <c r="AF74" s="61" t="str">
        <f t="shared" ref="AF74:AF81" si="182">IF(AB74="","",350)</f>
        <v/>
      </c>
      <c r="AG74" s="61" t="str">
        <f t="shared" ref="AG74:AG81" si="183">IF(AB74="","",")")</f>
        <v/>
      </c>
      <c r="AH74" s="69" t="str">
        <f t="shared" ref="AH74:AH81" si="184">IF(AI74="","","(")</f>
        <v/>
      </c>
      <c r="AI74" s="70" t="str">
        <f t="shared" ref="AI74:AI81" si="185">IF(J74="","",J74)</f>
        <v/>
      </c>
      <c r="AJ74" s="64" t="str">
        <f t="shared" ref="AJ74:AJ81" si="186">IF(AI74="","",",")</f>
        <v/>
      </c>
      <c r="AK74" s="64" t="str">
        <f t="shared" ref="AK74:AK81" si="187">IF(K74="","",K74)</f>
        <v/>
      </c>
      <c r="AL74" s="64" t="str">
        <f t="shared" ref="AL74:AL81" si="188">IF(AI74="","",",")</f>
        <v/>
      </c>
      <c r="AM74" s="64" t="str">
        <f t="shared" ref="AM74:AM81" si="189">IF(AI74="","",450)</f>
        <v/>
      </c>
      <c r="AN74" s="64" t="str">
        <f t="shared" ref="AN74:AN81" si="190">IF(AI74="","",")")</f>
        <v/>
      </c>
    </row>
    <row r="75" spans="1:40" ht="24.5" hidden="1" thickTop="1" thickBot="1" x14ac:dyDescent="0.55000000000000004">
      <c r="B75" t="s">
        <v>997</v>
      </c>
      <c r="C75" s="82" t="s">
        <v>998</v>
      </c>
      <c r="D75" s="83"/>
      <c r="E75" s="83"/>
      <c r="F75" s="83"/>
      <c r="G75" s="83"/>
      <c r="H75" s="83"/>
      <c r="I75" s="83"/>
      <c r="J75" s="83"/>
      <c r="K75" s="83"/>
      <c r="L75" s="84" t="str">
        <f>IF(C75="","",_xlfn.CONCAT("       triggerLine: ","""",C75,", ",M75:AN75,""", sC: ","""",B75,""", lines: ["))</f>
        <v xml:space="preserve">       triggerLine: "ASAMBLEA UNO, ", sC: "ta as", lines: [</v>
      </c>
      <c r="M75" s="56" t="str">
        <f t="shared" si="164"/>
        <v/>
      </c>
      <c r="N75" s="57" t="str">
        <f t="shared" si="165"/>
        <v/>
      </c>
      <c r="O75" s="58" t="str">
        <f t="shared" si="166"/>
        <v/>
      </c>
      <c r="P75" s="59" t="str">
        <f t="shared" si="167"/>
        <v/>
      </c>
      <c r="Q75" s="60" t="str">
        <f t="shared" si="168"/>
        <v/>
      </c>
      <c r="R75" s="61" t="str">
        <f t="shared" si="163"/>
        <v/>
      </c>
      <c r="S75" s="56" t="str">
        <f t="shared" si="169"/>
        <v/>
      </c>
      <c r="T75" s="62" t="str">
        <f t="shared" si="170"/>
        <v/>
      </c>
      <c r="U75" s="63" t="str">
        <f t="shared" si="171"/>
        <v/>
      </c>
      <c r="V75" s="64" t="str">
        <f t="shared" si="172"/>
        <v/>
      </c>
      <c r="W75" s="65" t="str">
        <f t="shared" si="173"/>
        <v/>
      </c>
      <c r="X75" s="64" t="str">
        <f t="shared" si="174"/>
        <v/>
      </c>
      <c r="Y75" s="64" t="str">
        <f t="shared" si="175"/>
        <v/>
      </c>
      <c r="Z75" s="56" t="str">
        <f t="shared" si="176"/>
        <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4.5" hidden="1" thickTop="1" thickBot="1" x14ac:dyDescent="0.55000000000000004">
      <c r="B76" t="s">
        <v>999</v>
      </c>
      <c r="C76" s="85" t="s">
        <v>1000</v>
      </c>
      <c r="D76" s="86"/>
      <c r="E76" s="86"/>
      <c r="F76" s="86"/>
      <c r="G76" s="86"/>
      <c r="H76" s="87"/>
      <c r="I76" s="87"/>
      <c r="J76" s="87"/>
      <c r="K76" s="87"/>
      <c r="L76" s="88" t="str">
        <f>IF(C76="","",_xlfn.CONCAT("            { line: ","""",C76,", ",M76:AN76,""", sC: ","""",B76,"""},"))</f>
        <v xml:space="preserve">            { line: "ASAMBLEA DOS, ", sC: "as"},</v>
      </c>
      <c r="M76" s="56" t="str">
        <f t="shared" si="164"/>
        <v/>
      </c>
      <c r="N76" s="57" t="str">
        <f t="shared" si="165"/>
        <v/>
      </c>
      <c r="O76" s="58" t="str">
        <f t="shared" si="166"/>
        <v/>
      </c>
      <c r="P76" s="59" t="str">
        <f t="shared" si="167"/>
        <v/>
      </c>
      <c r="Q76" s="60" t="str">
        <f t="shared" si="168"/>
        <v/>
      </c>
      <c r="R76" s="61" t="str">
        <f t="shared" si="163"/>
        <v/>
      </c>
      <c r="S76" s="56" t="str">
        <f t="shared" si="169"/>
        <v/>
      </c>
      <c r="T76" s="62" t="str">
        <f t="shared" si="170"/>
        <v/>
      </c>
      <c r="U76" s="63" t="str">
        <f t="shared" si="171"/>
        <v/>
      </c>
      <c r="V76" s="64" t="str">
        <f t="shared" si="172"/>
        <v/>
      </c>
      <c r="W76" s="65" t="str">
        <f t="shared" si="173"/>
        <v/>
      </c>
      <c r="X76" s="64" t="str">
        <f t="shared" si="174"/>
        <v/>
      </c>
      <c r="Y76" s="64" t="str">
        <f t="shared" si="175"/>
        <v/>
      </c>
      <c r="Z76" s="56" t="str">
        <f t="shared" si="176"/>
        <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4.5" hidden="1" thickTop="1" thickBot="1" x14ac:dyDescent="0.55000000000000004">
      <c r="B77" t="s">
        <v>999</v>
      </c>
      <c r="C77" s="85" t="s">
        <v>1001</v>
      </c>
      <c r="D77" s="89"/>
      <c r="E77" s="89"/>
      <c r="F77" s="89"/>
      <c r="G77" s="89"/>
      <c r="H77" s="90"/>
      <c r="I77" s="90"/>
      <c r="J77" s="90"/>
      <c r="K77" s="90"/>
      <c r="L77" s="88" t="str">
        <f>IF(C77="","",_xlfn.CONCAT("            { line: ","""",C77,", ",M77:AN77,""", sC: ","""",B77,"""},"))</f>
        <v xml:space="preserve">            { line: "ASAMBLEA TRES, ", sC: "as"},</v>
      </c>
      <c r="M77" s="56" t="str">
        <f t="shared" si="164"/>
        <v/>
      </c>
      <c r="N77" s="57" t="str">
        <f t="shared" si="165"/>
        <v/>
      </c>
      <c r="O77" s="58" t="str">
        <f t="shared" si="166"/>
        <v/>
      </c>
      <c r="P77" s="59" t="str">
        <f t="shared" si="167"/>
        <v/>
      </c>
      <c r="Q77" s="60" t="str">
        <f t="shared" si="168"/>
        <v/>
      </c>
      <c r="R77" s="61" t="str">
        <f t="shared" si="163"/>
        <v/>
      </c>
      <c r="S77" s="56" t="str">
        <f t="shared" si="169"/>
        <v/>
      </c>
      <c r="T77" s="62" t="str">
        <f t="shared" si="170"/>
        <v/>
      </c>
      <c r="U77" s="63" t="str">
        <f t="shared" si="171"/>
        <v/>
      </c>
      <c r="V77" s="64" t="str">
        <f t="shared" si="172"/>
        <v/>
      </c>
      <c r="W77" s="65" t="str">
        <f t="shared" si="173"/>
        <v/>
      </c>
      <c r="X77" s="64" t="str">
        <f t="shared" si="174"/>
        <v/>
      </c>
      <c r="Y77" s="64" t="str">
        <f t="shared" si="175"/>
        <v/>
      </c>
      <c r="Z77" s="56" t="str">
        <f t="shared" si="176"/>
        <v/>
      </c>
      <c r="AA77" s="66" t="str">
        <f t="shared" si="177"/>
        <v/>
      </c>
      <c r="AB77" s="57" t="str">
        <f t="shared" si="178"/>
        <v/>
      </c>
      <c r="AC77" s="67" t="str">
        <f t="shared" si="179"/>
        <v/>
      </c>
      <c r="AD77" s="59" t="str">
        <f t="shared" si="180"/>
        <v/>
      </c>
      <c r="AE77" s="68" t="str">
        <f t="shared" si="181"/>
        <v/>
      </c>
      <c r="AF77" s="61" t="str">
        <f t="shared" si="182"/>
        <v/>
      </c>
      <c r="AG77" s="61" t="str">
        <f t="shared" si="183"/>
        <v/>
      </c>
      <c r="AH77" s="69" t="str">
        <f t="shared" si="184"/>
        <v/>
      </c>
      <c r="AI77" s="70" t="str">
        <f t="shared" si="185"/>
        <v/>
      </c>
      <c r="AJ77" s="64" t="str">
        <f t="shared" si="186"/>
        <v/>
      </c>
      <c r="AK77" s="64" t="str">
        <f t="shared" si="187"/>
        <v/>
      </c>
      <c r="AL77" s="64" t="str">
        <f t="shared" si="188"/>
        <v/>
      </c>
      <c r="AM77" s="64" t="str">
        <f t="shared" si="189"/>
        <v/>
      </c>
      <c r="AN77" s="64" t="str">
        <f t="shared" si="190"/>
        <v/>
      </c>
    </row>
    <row r="78" spans="1:40" ht="24.5" hidden="1" thickTop="1" thickBot="1" x14ac:dyDescent="0.55000000000000004">
      <c r="B78" t="s">
        <v>999</v>
      </c>
      <c r="C78" s="85" t="s">
        <v>1002</v>
      </c>
      <c r="D78" s="86"/>
      <c r="E78" s="86"/>
      <c r="F78" s="86"/>
      <c r="G78" s="86"/>
      <c r="H78" s="87"/>
      <c r="I78" s="87"/>
      <c r="J78" s="87"/>
      <c r="K78" s="87"/>
      <c r="L78" s="88" t="str">
        <f>IF(C78="","",_xlfn.CONCAT("            { line: ","""",C78,", ",M78:AN78,""", sC: ","""",B78,"""},"))</f>
        <v xml:space="preserve">            { line: "ASAMBLEA CUATRO, ", sC: "as"},</v>
      </c>
      <c r="M78" s="56" t="str">
        <f t="shared" si="164"/>
        <v/>
      </c>
      <c r="N78" s="57" t="str">
        <f t="shared" si="165"/>
        <v/>
      </c>
      <c r="O78" s="58" t="str">
        <f t="shared" si="166"/>
        <v/>
      </c>
      <c r="P78" s="59" t="str">
        <f t="shared" si="167"/>
        <v/>
      </c>
      <c r="Q78" s="60" t="str">
        <f t="shared" si="168"/>
        <v/>
      </c>
      <c r="R78" s="61" t="str">
        <f t="shared" si="163"/>
        <v/>
      </c>
      <c r="S78" s="56" t="str">
        <f t="shared" si="169"/>
        <v/>
      </c>
      <c r="T78" s="62" t="str">
        <f t="shared" si="170"/>
        <v/>
      </c>
      <c r="U78" s="63" t="str">
        <f t="shared" si="171"/>
        <v/>
      </c>
      <c r="V78" s="64" t="str">
        <f t="shared" si="172"/>
        <v/>
      </c>
      <c r="W78" s="65" t="str">
        <f t="shared" si="173"/>
        <v/>
      </c>
      <c r="X78" s="64" t="str">
        <f t="shared" si="174"/>
        <v/>
      </c>
      <c r="Y78" s="64" t="str">
        <f t="shared" si="175"/>
        <v/>
      </c>
      <c r="Z78" s="56" t="str">
        <f t="shared" si="176"/>
        <v/>
      </c>
      <c r="AA78" s="66" t="str">
        <f t="shared" si="177"/>
        <v/>
      </c>
      <c r="AB78" s="57" t="str">
        <f t="shared" si="178"/>
        <v/>
      </c>
      <c r="AC78" s="67" t="str">
        <f t="shared" si="179"/>
        <v/>
      </c>
      <c r="AD78" s="59" t="str">
        <f t="shared" si="180"/>
        <v/>
      </c>
      <c r="AE78" s="68" t="str">
        <f t="shared" si="181"/>
        <v/>
      </c>
      <c r="AF78" s="61" t="str">
        <f t="shared" si="182"/>
        <v/>
      </c>
      <c r="AG78" s="61" t="str">
        <f t="shared" si="183"/>
        <v/>
      </c>
      <c r="AH78" s="69" t="str">
        <f t="shared" si="184"/>
        <v/>
      </c>
      <c r="AI78" s="70" t="str">
        <f t="shared" si="185"/>
        <v/>
      </c>
      <c r="AJ78" s="64" t="str">
        <f t="shared" si="186"/>
        <v/>
      </c>
      <c r="AK78" s="64" t="str">
        <f t="shared" si="187"/>
        <v/>
      </c>
      <c r="AL78" s="64" t="str">
        <f t="shared" si="188"/>
        <v/>
      </c>
      <c r="AM78" s="64" t="str">
        <f t="shared" si="189"/>
        <v/>
      </c>
      <c r="AN78" s="64" t="str">
        <f t="shared" si="190"/>
        <v/>
      </c>
    </row>
    <row r="79" spans="1:40" ht="24.5" hidden="1" thickTop="1" thickBot="1" x14ac:dyDescent="0.55000000000000004">
      <c r="B79" t="s">
        <v>999</v>
      </c>
      <c r="C79" s="85" t="s">
        <v>1003</v>
      </c>
      <c r="D79" s="89"/>
      <c r="E79" s="89"/>
      <c r="F79" s="89"/>
      <c r="G79" s="89"/>
      <c r="H79" s="90"/>
      <c r="I79" s="90"/>
      <c r="J79" s="90"/>
      <c r="K79" s="90"/>
      <c r="L79" s="88" t="str">
        <f>IF(C79="","",_xlfn.CONCAT("            { line: ","""",C79,", ",M79:AN79,""", sC: ","""",B79,"""},"))</f>
        <v xml:space="preserve">            { line: "ASAMBLEA CISCO, ", sC: "as"},</v>
      </c>
      <c r="M79" s="56" t="str">
        <f t="shared" si="164"/>
        <v/>
      </c>
      <c r="N79" s="57" t="str">
        <f t="shared" si="165"/>
        <v/>
      </c>
      <c r="O79" s="58" t="str">
        <f t="shared" si="166"/>
        <v/>
      </c>
      <c r="P79" s="59" t="str">
        <f t="shared" si="167"/>
        <v/>
      </c>
      <c r="Q79" s="60" t="str">
        <f t="shared" si="168"/>
        <v/>
      </c>
      <c r="R79" s="61" t="str">
        <f t="shared" si="163"/>
        <v/>
      </c>
      <c r="S79" s="56" t="str">
        <f t="shared" si="169"/>
        <v/>
      </c>
      <c r="T79" s="62" t="str">
        <f t="shared" si="170"/>
        <v/>
      </c>
      <c r="U79" s="63" t="str">
        <f t="shared" si="171"/>
        <v/>
      </c>
      <c r="V79" s="64" t="str">
        <f t="shared" si="172"/>
        <v/>
      </c>
      <c r="W79" s="65" t="str">
        <f t="shared" si="173"/>
        <v/>
      </c>
      <c r="X79" s="64" t="str">
        <f t="shared" si="174"/>
        <v/>
      </c>
      <c r="Y79" s="64" t="str">
        <f t="shared" si="175"/>
        <v/>
      </c>
      <c r="Z79" s="56" t="str">
        <f t="shared" si="176"/>
        <v/>
      </c>
      <c r="AA79" s="66" t="str">
        <f t="shared" si="177"/>
        <v/>
      </c>
      <c r="AB79" s="57" t="str">
        <f t="shared" si="178"/>
        <v/>
      </c>
      <c r="AC79" s="67" t="str">
        <f t="shared" si="179"/>
        <v/>
      </c>
      <c r="AD79" s="59" t="str">
        <f t="shared" si="180"/>
        <v/>
      </c>
      <c r="AE79" s="68" t="str">
        <f t="shared" si="181"/>
        <v/>
      </c>
      <c r="AF79" s="61" t="str">
        <f t="shared" si="182"/>
        <v/>
      </c>
      <c r="AG79" s="61" t="str">
        <f t="shared" si="183"/>
        <v/>
      </c>
      <c r="AH79" s="69" t="str">
        <f t="shared" si="184"/>
        <v/>
      </c>
      <c r="AI79" s="70" t="str">
        <f t="shared" si="185"/>
        <v/>
      </c>
      <c r="AJ79" s="64" t="str">
        <f t="shared" si="186"/>
        <v/>
      </c>
      <c r="AK79" s="64" t="str">
        <f t="shared" si="187"/>
        <v/>
      </c>
      <c r="AL79" s="64" t="str">
        <f t="shared" si="188"/>
        <v/>
      </c>
      <c r="AM79" s="64" t="str">
        <f t="shared" si="189"/>
        <v/>
      </c>
      <c r="AN79" s="64" t="str">
        <f t="shared" si="190"/>
        <v/>
      </c>
    </row>
    <row r="80" spans="1:40" ht="24.5" hidden="1" thickTop="1" thickBot="1" x14ac:dyDescent="0.55000000000000004">
      <c r="B80" t="s">
        <v>999</v>
      </c>
      <c r="C80" s="85" t="s">
        <v>1004</v>
      </c>
      <c r="D80" s="91"/>
      <c r="E80" s="91"/>
      <c r="F80" s="91"/>
      <c r="G80" s="91"/>
      <c r="H80" s="92"/>
      <c r="I80" s="92"/>
      <c r="J80" s="92"/>
      <c r="K80" s="92"/>
      <c r="L80" s="88" t="str">
        <f>IF(C80="","",_xlfn.CONCAT("            { line: ","""",C80,", ",M80:AN80,""", sC: ","""",B80,"""},"))</f>
        <v xml:space="preserve">            { line: "ASAMBLEA SEIS, ", sC: "as"},</v>
      </c>
      <c r="M80" s="56" t="str">
        <f t="shared" si="164"/>
        <v/>
      </c>
      <c r="N80" s="57" t="str">
        <f t="shared" si="165"/>
        <v/>
      </c>
      <c r="O80" s="58" t="str">
        <f t="shared" si="166"/>
        <v/>
      </c>
      <c r="P80" s="59" t="str">
        <f t="shared" si="167"/>
        <v/>
      </c>
      <c r="Q80" s="60" t="str">
        <f t="shared" si="168"/>
        <v/>
      </c>
      <c r="R80" s="61" t="str">
        <f t="shared" si="163"/>
        <v/>
      </c>
      <c r="S80" s="56" t="str">
        <f t="shared" si="169"/>
        <v/>
      </c>
      <c r="T80" s="62" t="str">
        <f t="shared" si="170"/>
        <v/>
      </c>
      <c r="U80" s="63" t="str">
        <f t="shared" si="171"/>
        <v/>
      </c>
      <c r="V80" s="64" t="str">
        <f t="shared" si="172"/>
        <v/>
      </c>
      <c r="W80" s="65" t="str">
        <f t="shared" si="173"/>
        <v/>
      </c>
      <c r="X80" s="64" t="str">
        <f t="shared" si="174"/>
        <v/>
      </c>
      <c r="Y80" s="64" t="str">
        <f t="shared" si="175"/>
        <v/>
      </c>
      <c r="Z80" s="56" t="str">
        <f t="shared" si="176"/>
        <v/>
      </c>
      <c r="AA80" s="66" t="str">
        <f t="shared" si="177"/>
        <v/>
      </c>
      <c r="AB80" s="57" t="str">
        <f t="shared" si="178"/>
        <v/>
      </c>
      <c r="AC80" s="67" t="str">
        <f t="shared" si="179"/>
        <v/>
      </c>
      <c r="AD80" s="59" t="str">
        <f t="shared" si="180"/>
        <v/>
      </c>
      <c r="AE80" s="68" t="str">
        <f t="shared" si="181"/>
        <v/>
      </c>
      <c r="AF80" s="61" t="str">
        <f t="shared" si="182"/>
        <v/>
      </c>
      <c r="AG80" s="61" t="str">
        <f t="shared" si="183"/>
        <v/>
      </c>
      <c r="AH80" s="69" t="str">
        <f t="shared" si="184"/>
        <v/>
      </c>
      <c r="AI80" s="70" t="str">
        <f t="shared" si="185"/>
        <v/>
      </c>
      <c r="AJ80" s="64" t="str">
        <f t="shared" si="186"/>
        <v/>
      </c>
      <c r="AK80" s="64" t="str">
        <f t="shared" si="187"/>
        <v/>
      </c>
      <c r="AL80" s="64" t="str">
        <f t="shared" si="188"/>
        <v/>
      </c>
      <c r="AM80" s="64" t="str">
        <f t="shared" si="189"/>
        <v/>
      </c>
      <c r="AN80" s="64" t="str">
        <f t="shared" si="190"/>
        <v/>
      </c>
    </row>
    <row r="81" spans="1:40" ht="24.5" hidden="1" thickTop="1" thickBot="1" x14ac:dyDescent="0.55000000000000004">
      <c r="B81" t="s">
        <v>999</v>
      </c>
      <c r="C81" s="93" t="s">
        <v>1005</v>
      </c>
      <c r="D81" s="83"/>
      <c r="E81" s="83"/>
      <c r="F81" s="83"/>
      <c r="G81" s="83"/>
      <c r="H81" s="83"/>
      <c r="I81" s="83"/>
      <c r="J81" s="83"/>
      <c r="K81" s="83"/>
      <c r="L81" s="94" t="str">
        <f>IF(C81="","",_xlfn.CONCAT("            { line: ","""",C81,", ",M81:AN81,""", sC: ","""",B81,"""},  ]},"))</f>
        <v xml:space="preserve">            { line: "ASAMBLEA CIERRE, ", sC: "as"},  ]},</v>
      </c>
      <c r="M81" s="56" t="str">
        <f t="shared" si="164"/>
        <v/>
      </c>
      <c r="N81" s="57" t="str">
        <f t="shared" si="165"/>
        <v/>
      </c>
      <c r="O81" s="58" t="str">
        <f t="shared" si="166"/>
        <v/>
      </c>
      <c r="P81" s="59" t="str">
        <f t="shared" si="167"/>
        <v/>
      </c>
      <c r="Q81" s="60" t="str">
        <f t="shared" si="168"/>
        <v/>
      </c>
      <c r="R81" s="61" t="str">
        <f t="shared" si="163"/>
        <v/>
      </c>
      <c r="S81" s="56" t="str">
        <f t="shared" si="169"/>
        <v/>
      </c>
      <c r="T81" s="62" t="str">
        <f t="shared" si="170"/>
        <v/>
      </c>
      <c r="U81" s="63" t="str">
        <f t="shared" si="171"/>
        <v/>
      </c>
      <c r="V81" s="64" t="str">
        <f t="shared" si="172"/>
        <v/>
      </c>
      <c r="W81" s="65" t="str">
        <f t="shared" si="173"/>
        <v/>
      </c>
      <c r="X81" s="64" t="str">
        <f t="shared" si="174"/>
        <v/>
      </c>
      <c r="Y81" s="64" t="str">
        <f t="shared" si="175"/>
        <v/>
      </c>
      <c r="Z81" s="56" t="str">
        <f t="shared" si="176"/>
        <v/>
      </c>
      <c r="AA81" s="66" t="str">
        <f t="shared" si="177"/>
        <v/>
      </c>
      <c r="AB81" s="57" t="str">
        <f t="shared" si="178"/>
        <v/>
      </c>
      <c r="AC81" s="67" t="str">
        <f t="shared" si="179"/>
        <v/>
      </c>
      <c r="AD81" s="59" t="str">
        <f t="shared" si="180"/>
        <v/>
      </c>
      <c r="AE81" s="68" t="str">
        <f t="shared" si="181"/>
        <v/>
      </c>
      <c r="AF81" s="61" t="str">
        <f t="shared" si="182"/>
        <v/>
      </c>
      <c r="AG81" s="61" t="str">
        <f t="shared" si="183"/>
        <v/>
      </c>
      <c r="AH81" s="69" t="str">
        <f t="shared" si="184"/>
        <v/>
      </c>
      <c r="AI81" s="70" t="str">
        <f t="shared" si="185"/>
        <v/>
      </c>
      <c r="AJ81" s="64" t="str">
        <f t="shared" si="186"/>
        <v/>
      </c>
      <c r="AK81" s="64" t="str">
        <f t="shared" si="187"/>
        <v/>
      </c>
      <c r="AL81" s="64" t="str">
        <f t="shared" si="188"/>
        <v/>
      </c>
      <c r="AM81" s="64" t="str">
        <f t="shared" si="189"/>
        <v/>
      </c>
      <c r="AN81" s="64" t="str">
        <f t="shared" si="190"/>
        <v/>
      </c>
    </row>
    <row r="82" spans="1:40" ht="26.5" hidden="1"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163"/>
        <v/>
      </c>
      <c r="S82" s="56"/>
      <c r="T82" s="62"/>
      <c r="U82" s="63"/>
      <c r="V82" s="64"/>
      <c r="W82" s="65"/>
      <c r="X82" s="64"/>
      <c r="Y82" s="64"/>
      <c r="Z82" s="56"/>
      <c r="AA82" s="66"/>
      <c r="AB82" s="57"/>
      <c r="AC82" s="67"/>
      <c r="AD82" s="59"/>
      <c r="AE82" s="68"/>
      <c r="AF82" s="61"/>
      <c r="AG82" s="61"/>
      <c r="AH82" s="69"/>
      <c r="AI82" s="70"/>
      <c r="AJ82" s="64"/>
      <c r="AK82" s="64"/>
      <c r="AL82" s="64"/>
      <c r="AM82" s="64"/>
      <c r="AN82"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163</v>
      </c>
      <c r="E1" s="40"/>
      <c r="F1" s="40"/>
      <c r="G1" s="40"/>
      <c r="H1" s="40"/>
      <c r="I1" s="40"/>
      <c r="J1" s="40"/>
      <c r="K1" s="40"/>
      <c r="L1" s="41" t="str">
        <f ca="1">UPPER(VLOOKUP(C1,Table223[],3,FALSE))</f>
        <v>UNA GRAN SEÑAL</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UNA GRAN SEÑAL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48" t="str">
        <f ca="1">_xlfn.CONCAT("        id: ","""",C7,"""",",")</f>
        <v xml:space="preserve">        id: "unagransenal",</v>
      </c>
    </row>
    <row r="8" spans="2:32" ht="23" x14ac:dyDescent="0.35">
      <c r="C8" t="str">
        <f ca="1">PROPER(L1)</f>
        <v>Una Gran Señal</v>
      </c>
      <c r="L8" s="48" t="str">
        <f ca="1">_xlfn.CONCAT("        tt: ","""",C8,"""",",")</f>
        <v xml:space="preserve">        tt: "Una Gran Señal",</v>
      </c>
    </row>
    <row r="9" spans="2:32" ht="23" x14ac:dyDescent="0.35">
      <c r="C9" t="str">
        <f ca="1">PROPER(L1)</f>
        <v>Una Gran Señal</v>
      </c>
      <c r="L9" s="48" t="str">
        <f ca="1">_xlfn.CONCAT("        title: ","""",C9,"""",",")</f>
        <v xml:space="preserve">        title: "Una Gran Señal",</v>
      </c>
    </row>
    <row r="10" spans="2:32" ht="23" x14ac:dyDescent="0.35">
      <c r="C10" t="str">
        <f ca="1">VLOOKUP(C1,Table223[],4,FALSE)</f>
        <v>Apocalipsis 12</v>
      </c>
      <c r="L10" s="48" t="str">
        <f ca="1">_xlfn.CONCAT("        ","subtitle: ","""",C10,"""",",")</f>
        <v xml:space="preserve">        subtitle: "Apocalipsis 12",</v>
      </c>
    </row>
    <row r="11" spans="2:32" ht="23" x14ac:dyDescent="0.35">
      <c r="C11" t="str">
        <f ca="1">_xlfn.CONCAT("category: [",VLOOKUP(C1,Table223[],16,FALSE),"],")</f>
        <v>category: ["Precatecumenado","Vírgen María","Adviento","Navidad","Pascua","Pentecostés","Final","Nuevo Testamento"],</v>
      </c>
      <c r="L11" s="48" t="str">
        <f ca="1">_xlfn.CONCAT("        ",C11)</f>
        <v xml:space="preserve">        category: ["Precatecumenado","Vírgen María","Adviento","Navidad","Pascua","Pentecostés","Final","Nuevo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163</v>
      </c>
      <c r="L16" s="48" t="str">
        <f ca="1">_xlfn.CONCAT("        dbno: ","""",C16,"""",",")</f>
        <v xml:space="preserve">        dbno: "163",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unagransenal</v>
      </c>
      <c r="L19" s="48" t="str">
        <f ca="1">_xlfn.CONCAT("        audioSrc: ","""/audio/",C19,".mp3""",",")</f>
        <v xml:space="preserve">        audioSrc: "/audio/unagransenal.mp3",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162</v>
      </c>
      <c r="C26" t="str">
        <f ca="1">VLOOKUP(B26,Table4[],13,FALSE)</f>
        <v>"/resucito/src/index.html?canto=unretonobrotadeltroncodejese"</v>
      </c>
      <c r="L26" s="48" t="str">
        <f ca="1">_xlfn.CONCAT("        ant: ",C26,",")</f>
        <v xml:space="preserve">        ant: "/resucito/src/index.html?canto=unretonobrotadeltroncodejese",</v>
      </c>
    </row>
    <row r="27" spans="1:40" ht="23" x14ac:dyDescent="0.35">
      <c r="B27">
        <f ca="1">+C1+1</f>
        <v>164</v>
      </c>
      <c r="C27" t="str">
        <f ca="1">VLOOKUP(B27,Table4[],13,FALSE)</f>
        <v>"/resucito/src/index.html?canto=uriuriura"</v>
      </c>
      <c r="L27" s="48" t="str">
        <f ca="1">_xlfn.CONCAT("        sig: ",C27,",")</f>
        <v xml:space="preserve">        sig: "/resucito/src/index.html?canto=uriuriura",</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1047</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UNA GRAN SEÑAL</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164</v>
      </c>
      <c r="E1" s="40"/>
      <c r="F1" s="40"/>
      <c r="G1" s="40"/>
      <c r="H1" s="40"/>
      <c r="I1" s="40"/>
      <c r="J1" s="40"/>
      <c r="K1" s="40"/>
      <c r="L1" s="41" t="str">
        <f ca="1">UPPER(VLOOKUP(C1,Table223[],3,FALSE))</f>
        <v>URÍ, URÍ, URÁ</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URÍ, URÍ, URÁ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48" t="str">
        <f ca="1">_xlfn.CONCAT("        id: ","""",C7,"""",",")</f>
        <v xml:space="preserve">        id: "uriuriura",</v>
      </c>
    </row>
    <row r="8" spans="2:32" ht="23" x14ac:dyDescent="0.35">
      <c r="C8" t="str">
        <f ca="1">PROPER(L1)</f>
        <v>Urí, Urí, Urá</v>
      </c>
      <c r="L8" s="48" t="str">
        <f ca="1">_xlfn.CONCAT("        tt: ","""",C8,"""",",")</f>
        <v xml:space="preserve">        tt: "Urí, Urí, Urá",</v>
      </c>
    </row>
    <row r="9" spans="2:32" ht="23" x14ac:dyDescent="0.35">
      <c r="C9" t="str">
        <f ca="1">PROPER(L1)</f>
        <v>Urí, Urí, Urá</v>
      </c>
      <c r="L9" s="48" t="str">
        <f ca="1">_xlfn.CONCAT("        title: ","""",C9,"""",",")</f>
        <v xml:space="preserve">        title: "Urí, Urí, Urá",</v>
      </c>
    </row>
    <row r="10" spans="2:32" ht="23" x14ac:dyDescent="0.35">
      <c r="C10" t="str">
        <f ca="1">VLOOKUP(C1,Table223[],4,FALSE)</f>
        <v>Villancico (Kiko Argüello)</v>
      </c>
      <c r="L10" s="48" t="str">
        <f ca="1">_xlfn.CONCAT("        ","subtitle: ","""",C10,"""",",")</f>
        <v xml:space="preserve">        subtitle: "Villancico (Kiko Argüello)",</v>
      </c>
    </row>
    <row r="11" spans="2:32" ht="23" x14ac:dyDescent="0.35">
      <c r="C11" t="str">
        <f ca="1">_xlfn.CONCAT("category: [",VLOOKUP(C1,Table223[],16,FALSE),"],")</f>
        <v>category: ["Precatecumenado","Adviento","Navidad","Niños"],</v>
      </c>
      <c r="L11" s="48" t="str">
        <f ca="1">_xlfn.CONCAT("        ",C11)</f>
        <v xml:space="preserve">        category: ["Precatecumenado","Adviento","Navidad","Niños"],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164</v>
      </c>
      <c r="L16" s="48" t="str">
        <f ca="1">_xlfn.CONCAT("        dbno: ","""",C16,"""",",")</f>
        <v xml:space="preserve">        dbno: "164",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uriuriura</v>
      </c>
      <c r="L19" s="48" t="str">
        <f ca="1">_xlfn.CONCAT("        audioSrc: ","""/audio/",C19,".mp3""",",")</f>
        <v xml:space="preserve">        audioSrc: "/audio/uriuriura.mp3",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163</v>
      </c>
      <c r="C26" t="str">
        <f ca="1">VLOOKUP(B26,Table4[],13,FALSE)</f>
        <v>"/resucito/src/index.html?canto=unagransenal"</v>
      </c>
      <c r="L26" s="48" t="str">
        <f ca="1">_xlfn.CONCAT("        ant: ",C26,",")</f>
        <v xml:space="preserve">        ant: "/resucito/src/index.html?canto=unagransenal",</v>
      </c>
    </row>
    <row r="27" spans="1:40" ht="23" x14ac:dyDescent="0.35">
      <c r="B27">
        <f ca="1">+C1+1</f>
        <v>165</v>
      </c>
      <c r="C27" t="str">
        <f ca="1">VLOOKUP(B27,Table4[],13,FALSE)</f>
        <v>"/resucito/src/index.html?canto=vamosyapastores"</v>
      </c>
      <c r="L27" s="48" t="str">
        <f ca="1">_xlfn.CONCAT("        sig: ",C27,",")</f>
        <v xml:space="preserve">        sig: "/resucito/src/index.html?canto=vamosyapastores",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URÍ, URÍ, URÁ</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code</vt:lpstr>
      <vt:lpstr>Indice</vt:lpstr>
      <vt:lpstr>Index</vt:lpstr>
      <vt:lpstr>Index Web</vt:lpstr>
      <vt:lpstr>cantosJS</vt:lpstr>
      <vt:lpstr>Find</vt:lpstr>
      <vt:lpstr>html</vt:lpstr>
      <vt:lpstr>TÚ QUE ERES FIEL</vt:lpstr>
      <vt:lpstr>Campana sobre campanas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2025-12-27T22:00:00Z</dcterms:modified>
</cp:coreProperties>
</file>