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A49AF26B-DC28-4F3E-8EA1-6460087FAB37}" xr6:coauthVersionLast="47" xr6:coauthVersionMax="47" xr10:uidLastSave="{00000000-0000-0000-0000-000000000000}"/>
  <bookViews>
    <workbookView xWindow="-110" yWindow="-110" windowWidth="25820" windowHeight="15500" tabRatio="693" firstSheet="4" activeTab="8"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NO ESTÁ AQUÍ, RESUCITÓ" sheetId="86" r:id="rId8"/>
    <sheet name="NO HAY EN ÉL PARECER" sheetId="87" r:id="rId9"/>
    <sheet name="MARIA, MADRE MÍA" sheetId="7" r:id="rId10"/>
    <sheet name="boceto" sheetId="36" state="hidden" r:id="rId11"/>
  </sheets>
  <functionGroups builtInGroupCount="19"/>
  <externalReferences>
    <externalReference r:id="rId12"/>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73" i="87" l="1"/>
  <c r="AK72" i="87"/>
  <c r="AI72" i="87"/>
  <c r="AH72" i="87"/>
  <c r="AD72" i="87"/>
  <c r="AB72" i="87"/>
  <c r="AA72" i="87"/>
  <c r="W72" i="87"/>
  <c r="U72" i="87"/>
  <c r="T72" i="87"/>
  <c r="P72" i="87"/>
  <c r="N72" i="87"/>
  <c r="M72" i="87" s="1"/>
  <c r="AK71" i="87"/>
  <c r="AI71" i="87"/>
  <c r="AH71" i="87"/>
  <c r="AD71" i="87"/>
  <c r="AB71" i="87"/>
  <c r="AA71" i="87"/>
  <c r="W71" i="87"/>
  <c r="U71" i="87"/>
  <c r="T71" i="87"/>
  <c r="P71" i="87"/>
  <c r="N71" i="87"/>
  <c r="M71" i="87"/>
  <c r="AK70" i="87"/>
  <c r="AI70" i="87"/>
  <c r="AH70" i="87"/>
  <c r="AD70" i="87"/>
  <c r="AB70" i="87"/>
  <c r="AA70" i="87"/>
  <c r="W70" i="87"/>
  <c r="U70" i="87"/>
  <c r="T70" i="87"/>
  <c r="P70" i="87"/>
  <c r="N70" i="87"/>
  <c r="AK69" i="87"/>
  <c r="AI69" i="87"/>
  <c r="AH69" i="87"/>
  <c r="AD69" i="87"/>
  <c r="AB69" i="87"/>
  <c r="AA69" i="87"/>
  <c r="W69" i="87"/>
  <c r="U69" i="87"/>
  <c r="P69" i="87"/>
  <c r="N69" i="87"/>
  <c r="AK68" i="87"/>
  <c r="AI68" i="87"/>
  <c r="AD68" i="87"/>
  <c r="AB68" i="87"/>
  <c r="W68" i="87"/>
  <c r="U68" i="87"/>
  <c r="P68" i="87"/>
  <c r="N68" i="87"/>
  <c r="R67" i="87"/>
  <c r="R44" i="87"/>
  <c r="R39" i="87"/>
  <c r="R58" i="87"/>
  <c r="AK57" i="87"/>
  <c r="AI57" i="87"/>
  <c r="AH57" i="87" s="1"/>
  <c r="AD57" i="87"/>
  <c r="AB57" i="87"/>
  <c r="AA57" i="87"/>
  <c r="W57" i="87"/>
  <c r="U57" i="87"/>
  <c r="T57" i="87" s="1"/>
  <c r="P57" i="87"/>
  <c r="N57" i="87"/>
  <c r="M57" i="87" s="1"/>
  <c r="AK56" i="87"/>
  <c r="AI56" i="87"/>
  <c r="AH56" i="87" s="1"/>
  <c r="AD56" i="87"/>
  <c r="AB56" i="87"/>
  <c r="W56" i="87"/>
  <c r="U56" i="87"/>
  <c r="T56" i="87"/>
  <c r="P56" i="87"/>
  <c r="N56" i="87"/>
  <c r="AK55" i="87"/>
  <c r="AI55" i="87"/>
  <c r="AH55" i="87" s="1"/>
  <c r="AD55" i="87"/>
  <c r="AB55" i="87"/>
  <c r="W55" i="87"/>
  <c r="U55" i="87"/>
  <c r="P55" i="87"/>
  <c r="N55" i="87"/>
  <c r="AK54" i="87"/>
  <c r="AI54" i="87"/>
  <c r="AH54" i="87" s="1"/>
  <c r="AD54" i="87"/>
  <c r="AB54" i="87"/>
  <c r="AA54" i="87"/>
  <c r="W54" i="87"/>
  <c r="U54" i="87"/>
  <c r="T54" i="87" s="1"/>
  <c r="P54" i="87"/>
  <c r="N54" i="87"/>
  <c r="M54" i="87"/>
  <c r="AK53" i="87"/>
  <c r="AI53" i="87"/>
  <c r="AH53" i="87"/>
  <c r="AD53" i="87"/>
  <c r="AB53" i="87"/>
  <c r="AA53" i="87" s="1"/>
  <c r="W53" i="87"/>
  <c r="U53" i="87"/>
  <c r="T53" i="87" s="1"/>
  <c r="P53" i="87"/>
  <c r="N53" i="87"/>
  <c r="M53" i="87" s="1"/>
  <c r="R52" i="87"/>
  <c r="AK76" i="87"/>
  <c r="AI76" i="87"/>
  <c r="AH76" i="87" s="1"/>
  <c r="AD76" i="87"/>
  <c r="AB76" i="87"/>
  <c r="W76" i="87"/>
  <c r="U76" i="87"/>
  <c r="P76" i="87"/>
  <c r="N76" i="87"/>
  <c r="M76" i="87" s="1"/>
  <c r="AK75" i="87"/>
  <c r="AI75" i="87"/>
  <c r="AD75" i="87"/>
  <c r="AB75" i="87"/>
  <c r="W75" i="87"/>
  <c r="U75" i="87"/>
  <c r="P75" i="87"/>
  <c r="N75" i="87"/>
  <c r="AK74" i="87"/>
  <c r="AI74" i="87"/>
  <c r="AD74" i="87"/>
  <c r="AB74" i="87"/>
  <c r="W74" i="87"/>
  <c r="U74" i="87"/>
  <c r="T74" i="87" s="1"/>
  <c r="P74" i="87"/>
  <c r="N74" i="87"/>
  <c r="O74" i="87" s="1"/>
  <c r="AK66" i="87"/>
  <c r="AI66" i="87"/>
  <c r="AD66" i="87"/>
  <c r="AB66" i="87"/>
  <c r="W66" i="87"/>
  <c r="U66" i="87"/>
  <c r="P66" i="87"/>
  <c r="N66" i="87"/>
  <c r="AK65" i="87"/>
  <c r="AI65" i="87"/>
  <c r="AD65" i="87"/>
  <c r="AB65" i="87"/>
  <c r="W65" i="87"/>
  <c r="U65" i="87"/>
  <c r="P65" i="87"/>
  <c r="N65" i="87"/>
  <c r="AK64" i="87"/>
  <c r="AI64" i="87"/>
  <c r="AD64" i="87"/>
  <c r="AB64" i="87"/>
  <c r="AA64" i="87" s="1"/>
  <c r="W64" i="87"/>
  <c r="U64" i="87"/>
  <c r="P64" i="87"/>
  <c r="N64" i="87"/>
  <c r="AK63" i="87"/>
  <c r="AI63" i="87"/>
  <c r="AD63" i="87"/>
  <c r="AB63" i="87"/>
  <c r="W63" i="87"/>
  <c r="U63" i="87"/>
  <c r="P63" i="87"/>
  <c r="N63" i="87"/>
  <c r="AK62" i="87"/>
  <c r="AI62" i="87"/>
  <c r="AD62" i="87"/>
  <c r="AB62" i="87"/>
  <c r="AA62" i="87" s="1"/>
  <c r="W62" i="87"/>
  <c r="U62" i="87"/>
  <c r="P62" i="87"/>
  <c r="N62" i="87"/>
  <c r="AK61" i="87"/>
  <c r="AI61" i="87"/>
  <c r="AD61" i="87"/>
  <c r="AB61" i="87"/>
  <c r="W61" i="87"/>
  <c r="U61" i="87"/>
  <c r="P61" i="87"/>
  <c r="N61" i="87"/>
  <c r="AK60" i="87"/>
  <c r="AI60" i="87"/>
  <c r="AD60" i="87"/>
  <c r="AB60" i="87"/>
  <c r="W60" i="87"/>
  <c r="U60" i="87"/>
  <c r="P60" i="87"/>
  <c r="N60" i="87"/>
  <c r="AK59" i="87"/>
  <c r="AI59" i="87"/>
  <c r="AD59" i="87"/>
  <c r="AB59" i="87"/>
  <c r="AA59" i="87" s="1"/>
  <c r="W59" i="87"/>
  <c r="U59" i="87"/>
  <c r="P59" i="87"/>
  <c r="N59" i="87"/>
  <c r="M59" i="87" s="1"/>
  <c r="R51" i="87"/>
  <c r="AK50" i="87"/>
  <c r="AI50" i="87"/>
  <c r="AH50" i="87" s="1"/>
  <c r="AD50" i="87"/>
  <c r="AB50" i="87"/>
  <c r="AA50" i="87" s="1"/>
  <c r="W50" i="87"/>
  <c r="U50" i="87"/>
  <c r="T50" i="87" s="1"/>
  <c r="P50" i="87"/>
  <c r="N50" i="87"/>
  <c r="M50" i="87" s="1"/>
  <c r="AK49" i="87"/>
  <c r="AI49" i="87"/>
  <c r="AH49" i="87" s="1"/>
  <c r="AD49" i="87"/>
  <c r="AB49" i="87"/>
  <c r="AA49" i="87" s="1"/>
  <c r="W49" i="87"/>
  <c r="U49" i="87"/>
  <c r="T49" i="87" s="1"/>
  <c r="P49" i="87"/>
  <c r="N49" i="87"/>
  <c r="M49" i="87" s="1"/>
  <c r="AK48" i="87"/>
  <c r="AI48" i="87"/>
  <c r="AH48" i="87" s="1"/>
  <c r="AD48" i="87"/>
  <c r="AB48" i="87"/>
  <c r="AA48" i="87" s="1"/>
  <c r="W48" i="87"/>
  <c r="U48" i="87"/>
  <c r="T48" i="87" s="1"/>
  <c r="P48" i="87"/>
  <c r="N48" i="87"/>
  <c r="M48" i="87" s="1"/>
  <c r="AK47" i="87"/>
  <c r="AI47" i="87"/>
  <c r="AH47" i="87" s="1"/>
  <c r="AD47" i="87"/>
  <c r="AB47" i="87"/>
  <c r="AA47" i="87"/>
  <c r="W47" i="87"/>
  <c r="U47" i="87"/>
  <c r="T47" i="87" s="1"/>
  <c r="P47" i="87"/>
  <c r="N47" i="87"/>
  <c r="M47" i="87" s="1"/>
  <c r="AK46" i="87"/>
  <c r="AI46" i="87"/>
  <c r="AH46" i="87" s="1"/>
  <c r="AD46" i="87"/>
  <c r="AB46" i="87"/>
  <c r="AA46" i="87" s="1"/>
  <c r="W46" i="87"/>
  <c r="U46" i="87"/>
  <c r="T46" i="87" s="1"/>
  <c r="P46" i="87"/>
  <c r="N46" i="87"/>
  <c r="M46" i="87" s="1"/>
  <c r="AK45" i="87"/>
  <c r="AI45" i="87"/>
  <c r="AD45" i="87"/>
  <c r="AB45" i="87"/>
  <c r="W45" i="87"/>
  <c r="U45" i="87"/>
  <c r="P45" i="87"/>
  <c r="N45" i="87"/>
  <c r="AK43" i="87"/>
  <c r="AI43" i="87"/>
  <c r="AD43" i="87"/>
  <c r="AB43" i="87"/>
  <c r="W43" i="87"/>
  <c r="U43" i="87"/>
  <c r="P43" i="87"/>
  <c r="N43" i="87"/>
  <c r="AK42" i="87"/>
  <c r="AI42" i="87"/>
  <c r="AD42" i="87"/>
  <c r="AB42" i="87"/>
  <c r="W42" i="87"/>
  <c r="U42" i="87"/>
  <c r="P42" i="87"/>
  <c r="N42" i="87"/>
  <c r="AK41" i="87"/>
  <c r="AI41" i="87"/>
  <c r="AD41" i="87"/>
  <c r="AB41" i="87"/>
  <c r="AA41" i="87"/>
  <c r="W41" i="87"/>
  <c r="U41" i="87"/>
  <c r="T41" i="87" s="1"/>
  <c r="P41" i="87"/>
  <c r="N41" i="87"/>
  <c r="AK40" i="87"/>
  <c r="AI40" i="87"/>
  <c r="AD40" i="87"/>
  <c r="AB40" i="87"/>
  <c r="W40" i="87"/>
  <c r="U40" i="87"/>
  <c r="P40" i="87"/>
  <c r="N40" i="87"/>
  <c r="AK38" i="87"/>
  <c r="AI38" i="87"/>
  <c r="AD38" i="87"/>
  <c r="AB38" i="87"/>
  <c r="W38" i="87"/>
  <c r="U38" i="87"/>
  <c r="P38" i="87"/>
  <c r="N38" i="87"/>
  <c r="AK37" i="87"/>
  <c r="AI37" i="87"/>
  <c r="AD37" i="87"/>
  <c r="AB37" i="87"/>
  <c r="W37" i="87"/>
  <c r="U37" i="87"/>
  <c r="P37" i="87"/>
  <c r="N37" i="87"/>
  <c r="AK36" i="87"/>
  <c r="AI36" i="87"/>
  <c r="AD36" i="87"/>
  <c r="AB36" i="87"/>
  <c r="AA36" i="87" s="1"/>
  <c r="W36" i="87"/>
  <c r="U36" i="87"/>
  <c r="P36" i="87"/>
  <c r="N36" i="87"/>
  <c r="AK35" i="87"/>
  <c r="AI35" i="87"/>
  <c r="AD35" i="87"/>
  <c r="AB35" i="87"/>
  <c r="W35" i="87"/>
  <c r="U35" i="87"/>
  <c r="P35" i="87"/>
  <c r="N35" i="87"/>
  <c r="AK33" i="87"/>
  <c r="AI33" i="87"/>
  <c r="AD33" i="87"/>
  <c r="AB33" i="87"/>
  <c r="W33" i="87"/>
  <c r="U33" i="87"/>
  <c r="P33" i="87"/>
  <c r="N33" i="87"/>
  <c r="AK32" i="87"/>
  <c r="AI32" i="87"/>
  <c r="AD32" i="87"/>
  <c r="AB32" i="87"/>
  <c r="W32" i="87"/>
  <c r="U32" i="87"/>
  <c r="P32" i="87"/>
  <c r="N32" i="87"/>
  <c r="AK31" i="87"/>
  <c r="AI31" i="87"/>
  <c r="AD31" i="87"/>
  <c r="AB31" i="87"/>
  <c r="W31" i="87"/>
  <c r="U31" i="87"/>
  <c r="P31" i="87"/>
  <c r="N31" i="87"/>
  <c r="AK30" i="87"/>
  <c r="AI30" i="87"/>
  <c r="AD30" i="87"/>
  <c r="AB30" i="87"/>
  <c r="W30" i="87"/>
  <c r="U30" i="87"/>
  <c r="P30" i="87"/>
  <c r="N30" i="87"/>
  <c r="R34" i="87"/>
  <c r="L18" i="87"/>
  <c r="L17" i="87"/>
  <c r="L15" i="87"/>
  <c r="L14" i="87"/>
  <c r="L13" i="87"/>
  <c r="R66" i="86"/>
  <c r="AK65" i="86"/>
  <c r="AI65" i="86"/>
  <c r="AH65" i="86"/>
  <c r="AD65" i="86"/>
  <c r="AB65" i="86"/>
  <c r="AA65" i="86"/>
  <c r="W65" i="86"/>
  <c r="U65" i="86"/>
  <c r="T65" i="86"/>
  <c r="P65" i="86"/>
  <c r="N65" i="86"/>
  <c r="M65" i="86"/>
  <c r="AK64" i="86"/>
  <c r="AI64" i="86"/>
  <c r="AH64" i="86"/>
  <c r="AD64" i="86"/>
  <c r="AB64" i="86"/>
  <c r="W64" i="86"/>
  <c r="U64" i="86"/>
  <c r="T64" i="86" s="1"/>
  <c r="P64" i="86"/>
  <c r="N64" i="86"/>
  <c r="AK63" i="86"/>
  <c r="AI63" i="86"/>
  <c r="AH63" i="86" s="1"/>
  <c r="AD63" i="86"/>
  <c r="AB63" i="86"/>
  <c r="AA63" i="86" s="1"/>
  <c r="W63" i="86"/>
  <c r="U63" i="86"/>
  <c r="T63" i="86" s="1"/>
  <c r="P63" i="86"/>
  <c r="N63" i="86"/>
  <c r="AK62" i="86"/>
  <c r="AI62" i="86"/>
  <c r="AD62" i="86"/>
  <c r="AB62" i="86"/>
  <c r="AA62" i="86"/>
  <c r="W62" i="86"/>
  <c r="U62" i="86"/>
  <c r="T62" i="86"/>
  <c r="P62" i="86"/>
  <c r="N62" i="86"/>
  <c r="M62" i="86" s="1"/>
  <c r="R61" i="86"/>
  <c r="R56" i="86"/>
  <c r="R46" i="86"/>
  <c r="R41" i="86"/>
  <c r="AK70" i="86"/>
  <c r="AI70" i="86"/>
  <c r="AD70" i="86"/>
  <c r="AB70" i="86"/>
  <c r="W70" i="86"/>
  <c r="U70" i="86"/>
  <c r="P70" i="86"/>
  <c r="N70" i="86"/>
  <c r="M70" i="86" s="1"/>
  <c r="AK69" i="86"/>
  <c r="AI69" i="86"/>
  <c r="AD69" i="86"/>
  <c r="AB69" i="86"/>
  <c r="W69" i="86"/>
  <c r="U69" i="86"/>
  <c r="P69" i="86"/>
  <c r="N69" i="86"/>
  <c r="AK68" i="86"/>
  <c r="AI68" i="86"/>
  <c r="AD68" i="86"/>
  <c r="AB68" i="86"/>
  <c r="W68" i="86"/>
  <c r="U68" i="86"/>
  <c r="P68" i="86"/>
  <c r="N68" i="86"/>
  <c r="M68" i="86" s="1"/>
  <c r="AK67" i="86"/>
  <c r="AI67" i="86"/>
  <c r="AD67" i="86"/>
  <c r="AB67" i="86"/>
  <c r="W67" i="86"/>
  <c r="U67" i="86"/>
  <c r="P67" i="86"/>
  <c r="N67" i="86"/>
  <c r="AK60" i="86"/>
  <c r="AI60" i="86"/>
  <c r="AD60" i="86"/>
  <c r="AB60" i="86"/>
  <c r="W60" i="86"/>
  <c r="U60" i="86"/>
  <c r="P60" i="86"/>
  <c r="N60" i="86"/>
  <c r="AK59" i="86"/>
  <c r="AI59" i="86"/>
  <c r="AD59" i="86"/>
  <c r="AB59" i="86"/>
  <c r="W59" i="86"/>
  <c r="U59" i="86"/>
  <c r="P59" i="86"/>
  <c r="N59" i="86"/>
  <c r="AK58" i="86"/>
  <c r="AI58" i="86"/>
  <c r="AH58" i="86" s="1"/>
  <c r="AD58" i="86"/>
  <c r="AB58" i="86"/>
  <c r="W58" i="86"/>
  <c r="U58" i="86"/>
  <c r="P58" i="86"/>
  <c r="N58" i="86"/>
  <c r="M58" i="86" s="1"/>
  <c r="AK57" i="86"/>
  <c r="AI57" i="86"/>
  <c r="AD57" i="86"/>
  <c r="AB57" i="86"/>
  <c r="W57" i="86"/>
  <c r="U57" i="86"/>
  <c r="P57" i="86"/>
  <c r="N57" i="86"/>
  <c r="AK55" i="86"/>
  <c r="AI55" i="86"/>
  <c r="AM55" i="86" s="1"/>
  <c r="AD55" i="86"/>
  <c r="AB55" i="86"/>
  <c r="W55" i="86"/>
  <c r="U55" i="86"/>
  <c r="P55" i="86"/>
  <c r="N55" i="86"/>
  <c r="AK54" i="86"/>
  <c r="AI54" i="86"/>
  <c r="AD54" i="86"/>
  <c r="AB54" i="86"/>
  <c r="W54" i="86"/>
  <c r="U54" i="86"/>
  <c r="P54" i="86"/>
  <c r="N54" i="86"/>
  <c r="AK53" i="86"/>
  <c r="AI53" i="86"/>
  <c r="AD53" i="86"/>
  <c r="AB53" i="86"/>
  <c r="W53" i="86"/>
  <c r="U53" i="86"/>
  <c r="P53" i="86"/>
  <c r="N53" i="86"/>
  <c r="AK51" i="86"/>
  <c r="AI51" i="86"/>
  <c r="AD51" i="86"/>
  <c r="AB51" i="86"/>
  <c r="W51" i="86"/>
  <c r="U51" i="86"/>
  <c r="P51" i="86"/>
  <c r="N51" i="86"/>
  <c r="R52" i="86"/>
  <c r="AK50" i="86"/>
  <c r="AI50" i="86"/>
  <c r="AD50" i="86"/>
  <c r="AB50" i="86"/>
  <c r="W50" i="86"/>
  <c r="U50" i="86"/>
  <c r="T50" i="86" s="1"/>
  <c r="P50" i="86"/>
  <c r="N50" i="86"/>
  <c r="AK49" i="86"/>
  <c r="AI49" i="86"/>
  <c r="AD49" i="86"/>
  <c r="AB49" i="86"/>
  <c r="W49" i="86"/>
  <c r="U49" i="86"/>
  <c r="P49" i="86"/>
  <c r="N49" i="86"/>
  <c r="AK48" i="86"/>
  <c r="AI48" i="86"/>
  <c r="AD48" i="86"/>
  <c r="AB48" i="86"/>
  <c r="AA48" i="86" s="1"/>
  <c r="W48" i="86"/>
  <c r="U48" i="86"/>
  <c r="P48" i="86"/>
  <c r="N48" i="86"/>
  <c r="AK47" i="86"/>
  <c r="AI47" i="86"/>
  <c r="AH47" i="86" s="1"/>
  <c r="AD47" i="86"/>
  <c r="AB47" i="86"/>
  <c r="W47" i="86"/>
  <c r="U47" i="86"/>
  <c r="P47" i="86"/>
  <c r="N47" i="86"/>
  <c r="AK45" i="86"/>
  <c r="AI45" i="86"/>
  <c r="AD45" i="86"/>
  <c r="AB45" i="86"/>
  <c r="W45" i="86"/>
  <c r="U45" i="86"/>
  <c r="P45" i="86"/>
  <c r="N45" i="86"/>
  <c r="AK44" i="86"/>
  <c r="AI44" i="86"/>
  <c r="AH44" i="86" s="1"/>
  <c r="AD44" i="86"/>
  <c r="AB44" i="86"/>
  <c r="W44" i="86"/>
  <c r="U44" i="86"/>
  <c r="P44" i="86"/>
  <c r="N44" i="86"/>
  <c r="AK43" i="86"/>
  <c r="AI43" i="86"/>
  <c r="AD43" i="86"/>
  <c r="AB43" i="86"/>
  <c r="AA43" i="86" s="1"/>
  <c r="W43" i="86"/>
  <c r="U43" i="86"/>
  <c r="P43" i="86"/>
  <c r="N43" i="86"/>
  <c r="AK42" i="86"/>
  <c r="AI42" i="86"/>
  <c r="AD42" i="86"/>
  <c r="AB42" i="86"/>
  <c r="W42" i="86"/>
  <c r="U42" i="86"/>
  <c r="P42" i="86"/>
  <c r="N42" i="86"/>
  <c r="AK40" i="86"/>
  <c r="AI40" i="86"/>
  <c r="AD40" i="86"/>
  <c r="AB40" i="86"/>
  <c r="W40" i="86"/>
  <c r="U40" i="86"/>
  <c r="P40" i="86"/>
  <c r="N40" i="86"/>
  <c r="AK39" i="86"/>
  <c r="AI39" i="86"/>
  <c r="AD39" i="86"/>
  <c r="AB39" i="86"/>
  <c r="W39" i="86"/>
  <c r="U39" i="86"/>
  <c r="P39" i="86"/>
  <c r="N39" i="86"/>
  <c r="AK38" i="86"/>
  <c r="AI38" i="86"/>
  <c r="AD38" i="86"/>
  <c r="AB38" i="86"/>
  <c r="W38" i="86"/>
  <c r="U38" i="86"/>
  <c r="P38" i="86"/>
  <c r="N38" i="86"/>
  <c r="AK36" i="86"/>
  <c r="AI36" i="86"/>
  <c r="AD36" i="86"/>
  <c r="AB36" i="86"/>
  <c r="W36" i="86"/>
  <c r="U36" i="86"/>
  <c r="P36" i="86"/>
  <c r="N36" i="86"/>
  <c r="AK35" i="86"/>
  <c r="AI35" i="86"/>
  <c r="AD35" i="86"/>
  <c r="AB35" i="86"/>
  <c r="W35" i="86"/>
  <c r="U35" i="86"/>
  <c r="P35" i="86"/>
  <c r="N35" i="86"/>
  <c r="AK34" i="86"/>
  <c r="AI34" i="86"/>
  <c r="AD34" i="86"/>
  <c r="AB34" i="86"/>
  <c r="W34" i="86"/>
  <c r="U34" i="86"/>
  <c r="P34" i="86"/>
  <c r="N34" i="86"/>
  <c r="AK33" i="86"/>
  <c r="AI33" i="86"/>
  <c r="AD33" i="86"/>
  <c r="AB33" i="86"/>
  <c r="W33" i="86"/>
  <c r="U33" i="86"/>
  <c r="T33" i="86" s="1"/>
  <c r="P33" i="86"/>
  <c r="N33" i="86"/>
  <c r="AK32" i="86"/>
  <c r="AI32" i="86"/>
  <c r="AD32" i="86"/>
  <c r="AB32" i="86"/>
  <c r="W32" i="86"/>
  <c r="U32" i="86"/>
  <c r="P32" i="86"/>
  <c r="N32" i="86"/>
  <c r="M32" i="86" s="1"/>
  <c r="AK31" i="86"/>
  <c r="AI31" i="86"/>
  <c r="AD31" i="86"/>
  <c r="AB31" i="86"/>
  <c r="W31" i="86"/>
  <c r="U31" i="86"/>
  <c r="P31" i="86"/>
  <c r="N31" i="86"/>
  <c r="AK30" i="86"/>
  <c r="AI30" i="86"/>
  <c r="AD30" i="86"/>
  <c r="AB30" i="86"/>
  <c r="AG30" i="86" s="1"/>
  <c r="W30" i="86"/>
  <c r="U30" i="86"/>
  <c r="P30" i="86"/>
  <c r="N30" i="86"/>
  <c r="M30" i="86" s="1"/>
  <c r="R37" i="86"/>
  <c r="L18" i="86"/>
  <c r="L17" i="86"/>
  <c r="L15" i="86"/>
  <c r="L14" i="86"/>
  <c r="L13" i="86"/>
  <c r="C1" i="86" a="1"/>
  <c r="C1" i="86" s="1"/>
  <c r="C1" i="87" s="1" a="1"/>
  <c r="C1" i="87" s="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74" i="7"/>
  <c r="AI74" i="7"/>
  <c r="AN74" i="7" s="1"/>
  <c r="AD74" i="7"/>
  <c r="AB74" i="7"/>
  <c r="AF74" i="7" s="1"/>
  <c r="W74" i="7"/>
  <c r="U74" i="7"/>
  <c r="X74" i="7" s="1"/>
  <c r="P74" i="7"/>
  <c r="N74" i="7"/>
  <c r="O74" i="7" s="1"/>
  <c r="L74" i="7"/>
  <c r="AK73" i="7"/>
  <c r="AI73" i="7"/>
  <c r="AJ73" i="7" s="1"/>
  <c r="AH73" i="7"/>
  <c r="AD73" i="7"/>
  <c r="AB73" i="7"/>
  <c r="AC73" i="7" s="1"/>
  <c r="W73" i="7"/>
  <c r="U73" i="7"/>
  <c r="X73" i="7" s="1"/>
  <c r="P73" i="7"/>
  <c r="N73" i="7"/>
  <c r="M73" i="7" s="1"/>
  <c r="L73" i="7"/>
  <c r="AK72" i="7"/>
  <c r="AI72" i="7"/>
  <c r="AH72" i="7" s="1"/>
  <c r="AD72" i="7"/>
  <c r="AB72" i="7"/>
  <c r="AG72" i="7" s="1"/>
  <c r="AA72" i="7"/>
  <c r="W72" i="7"/>
  <c r="U72" i="7"/>
  <c r="Z72" i="7" s="1"/>
  <c r="T72" i="7"/>
  <c r="P72" i="7"/>
  <c r="N72" i="7"/>
  <c r="R72" i="7" s="1"/>
  <c r="L72" i="7"/>
  <c r="AK71" i="7"/>
  <c r="AI71" i="7"/>
  <c r="AM71" i="7" s="1"/>
  <c r="AD71" i="7"/>
  <c r="AB71" i="7"/>
  <c r="AE71" i="7" s="1"/>
  <c r="W71" i="7"/>
  <c r="U71" i="7"/>
  <c r="V71" i="7" s="1"/>
  <c r="P71" i="7"/>
  <c r="N71" i="7"/>
  <c r="O71" i="7" s="1"/>
  <c r="L71" i="7"/>
  <c r="AK70" i="7"/>
  <c r="AI70" i="7"/>
  <c r="AJ70" i="7" s="1"/>
  <c r="AD70" i="7"/>
  <c r="AB70" i="7"/>
  <c r="AA70" i="7" s="1"/>
  <c r="W70" i="7"/>
  <c r="U70" i="7"/>
  <c r="T70" i="7" s="1"/>
  <c r="P70" i="7"/>
  <c r="N70" i="7"/>
  <c r="S70" i="7" s="1"/>
  <c r="L70" i="7"/>
  <c r="AK69" i="7"/>
  <c r="AI69" i="7"/>
  <c r="AN69" i="7" s="1"/>
  <c r="AD69" i="7"/>
  <c r="AB69" i="7"/>
  <c r="AG69" i="7" s="1"/>
  <c r="W69" i="7"/>
  <c r="U69" i="7"/>
  <c r="Y69" i="7" s="1"/>
  <c r="P69" i="7"/>
  <c r="N69" i="7"/>
  <c r="Q69" i="7" s="1"/>
  <c r="L69" i="7"/>
  <c r="AM68" i="7"/>
  <c r="AK68" i="7"/>
  <c r="AI68" i="7"/>
  <c r="AL68" i="7" s="1"/>
  <c r="AF68" i="7"/>
  <c r="AD68" i="7"/>
  <c r="AB68" i="7"/>
  <c r="AA68" i="7" s="1"/>
  <c r="X68" i="7"/>
  <c r="W68" i="7"/>
  <c r="U68" i="7"/>
  <c r="V68" i="7" s="1"/>
  <c r="P68" i="7"/>
  <c r="N68" i="7"/>
  <c r="R68" i="7" s="1"/>
  <c r="L68" i="7"/>
  <c r="AK41" i="7"/>
  <c r="AI41" i="7"/>
  <c r="AN41" i="7" s="1"/>
  <c r="AD41" i="7"/>
  <c r="AB41" i="7"/>
  <c r="AF41" i="7" s="1"/>
  <c r="W41" i="7"/>
  <c r="U41" i="7"/>
  <c r="X41" i="7" s="1"/>
  <c r="S41" i="7"/>
  <c r="R41" i="7"/>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R39" i="7" s="1"/>
  <c r="L39" i="7"/>
  <c r="AK38" i="7"/>
  <c r="AI38" i="7"/>
  <c r="AM38" i="7" s="1"/>
  <c r="AH38" i="7"/>
  <c r="AD38" i="7"/>
  <c r="AB38" i="7"/>
  <c r="AE38" i="7" s="1"/>
  <c r="W38" i="7"/>
  <c r="U38" i="7"/>
  <c r="T38" i="7" s="1"/>
  <c r="P38" i="7"/>
  <c r="N38" i="7"/>
  <c r="O38" i="7" s="1"/>
  <c r="L38" i="7"/>
  <c r="AK37" i="7"/>
  <c r="AI37" i="7"/>
  <c r="AJ37" i="7" s="1"/>
  <c r="AD37" i="7"/>
  <c r="AB37" i="7"/>
  <c r="AG37" i="7" s="1"/>
  <c r="W37" i="7"/>
  <c r="U37" i="7"/>
  <c r="T37" i="7" s="1"/>
  <c r="P37" i="7"/>
  <c r="N37" i="7"/>
  <c r="S37" i="7" s="1"/>
  <c r="L37" i="7"/>
  <c r="Z71" i="87" l="1"/>
  <c r="Y71" i="87"/>
  <c r="X71" i="87"/>
  <c r="V71" i="87"/>
  <c r="AN72" i="87"/>
  <c r="AM72" i="87"/>
  <c r="AL72" i="87"/>
  <c r="AJ72" i="87"/>
  <c r="AG72" i="87"/>
  <c r="AF72" i="87"/>
  <c r="AE72" i="87"/>
  <c r="AC72" i="87"/>
  <c r="Z72" i="87"/>
  <c r="Y72" i="87"/>
  <c r="X72" i="87"/>
  <c r="V72" i="87"/>
  <c r="S72" i="87"/>
  <c r="R72" i="87"/>
  <c r="Q72" i="87"/>
  <c r="O72" i="87"/>
  <c r="L72" i="87" s="1"/>
  <c r="AM71" i="87"/>
  <c r="AL71" i="87"/>
  <c r="AJ71" i="87"/>
  <c r="AN71" i="87"/>
  <c r="AE71" i="87"/>
  <c r="AC71" i="87"/>
  <c r="AG71" i="87"/>
  <c r="AF71" i="87"/>
  <c r="O71" i="87"/>
  <c r="Q71" i="87"/>
  <c r="S71" i="87"/>
  <c r="R71" i="87"/>
  <c r="AN70" i="87"/>
  <c r="AM70" i="87"/>
  <c r="AJ70" i="87"/>
  <c r="AL70" i="87"/>
  <c r="AC70" i="87"/>
  <c r="AE70" i="87"/>
  <c r="AF70" i="87"/>
  <c r="AG70" i="87"/>
  <c r="X70" i="87"/>
  <c r="V70" i="87"/>
  <c r="Y70" i="87"/>
  <c r="Z70" i="87"/>
  <c r="Q70" i="87"/>
  <c r="O70" i="87"/>
  <c r="R70" i="87"/>
  <c r="S70" i="87"/>
  <c r="M70" i="87"/>
  <c r="L70" i="87" s="1"/>
  <c r="AN69" i="87"/>
  <c r="AL69" i="87"/>
  <c r="AJ69" i="87"/>
  <c r="AM69" i="87"/>
  <c r="AF69" i="87"/>
  <c r="AG69" i="87"/>
  <c r="AE69" i="87"/>
  <c r="AC69" i="87"/>
  <c r="T69" i="87"/>
  <c r="Y69" i="87"/>
  <c r="Z69" i="87"/>
  <c r="X69" i="87"/>
  <c r="V69" i="87"/>
  <c r="Q69" i="87"/>
  <c r="R69" i="87"/>
  <c r="M69" i="87"/>
  <c r="O69" i="87"/>
  <c r="S69" i="87"/>
  <c r="AH68" i="87"/>
  <c r="AJ68" i="87"/>
  <c r="AL68" i="87"/>
  <c r="AM68" i="87"/>
  <c r="AN68" i="87"/>
  <c r="AC68" i="87"/>
  <c r="AE68" i="87"/>
  <c r="AG68" i="87"/>
  <c r="AF68" i="87"/>
  <c r="AA68" i="87"/>
  <c r="T68" i="87"/>
  <c r="Y68" i="87"/>
  <c r="Z68" i="87"/>
  <c r="X68" i="87"/>
  <c r="V68" i="87"/>
  <c r="R68" i="87"/>
  <c r="S68" i="87"/>
  <c r="M68" i="87"/>
  <c r="Q68" i="87"/>
  <c r="O68" i="87"/>
  <c r="V36" i="87"/>
  <c r="T36" i="87"/>
  <c r="AM42" i="87"/>
  <c r="AH42" i="87"/>
  <c r="AN57" i="87"/>
  <c r="AM57" i="87"/>
  <c r="AL57" i="87"/>
  <c r="AJ57" i="87"/>
  <c r="AC57" i="87"/>
  <c r="AG57" i="87"/>
  <c r="AF57" i="87"/>
  <c r="AE57" i="87"/>
  <c r="V57" i="87"/>
  <c r="Z57" i="87"/>
  <c r="Y57" i="87"/>
  <c r="X57" i="87"/>
  <c r="S57" i="87"/>
  <c r="R57" i="87"/>
  <c r="Q57" i="87"/>
  <c r="O57" i="87"/>
  <c r="AL56" i="87"/>
  <c r="AM56" i="87"/>
  <c r="AN56" i="87"/>
  <c r="AJ56" i="87"/>
  <c r="AF56" i="87"/>
  <c r="AE56" i="87"/>
  <c r="AC56" i="87"/>
  <c r="AA56" i="87"/>
  <c r="AG56" i="87"/>
  <c r="V56" i="87"/>
  <c r="X56" i="87"/>
  <c r="Z56" i="87"/>
  <c r="Y56" i="87"/>
  <c r="O56" i="87"/>
  <c r="S56" i="87"/>
  <c r="R56" i="87"/>
  <c r="Q56" i="87"/>
  <c r="M56" i="87"/>
  <c r="AJ55" i="87"/>
  <c r="AN55" i="87"/>
  <c r="AM55" i="87"/>
  <c r="AL55" i="87"/>
  <c r="AG55" i="87"/>
  <c r="AE55" i="87"/>
  <c r="AC55" i="87"/>
  <c r="AF55" i="87"/>
  <c r="AA55" i="87"/>
  <c r="Z55" i="87"/>
  <c r="X55" i="87"/>
  <c r="V55" i="87"/>
  <c r="Y55" i="87"/>
  <c r="T55" i="87"/>
  <c r="O55" i="87"/>
  <c r="S55" i="87"/>
  <c r="R55" i="87"/>
  <c r="Q55" i="87"/>
  <c r="M55" i="87"/>
  <c r="AM54" i="87"/>
  <c r="AN54" i="87"/>
  <c r="AJ54" i="87"/>
  <c r="AL54" i="87"/>
  <c r="AC54" i="87"/>
  <c r="AG54" i="87"/>
  <c r="AF54" i="87"/>
  <c r="AE54" i="87"/>
  <c r="V54" i="87"/>
  <c r="X54" i="87"/>
  <c r="Y54" i="87"/>
  <c r="Z54" i="87"/>
  <c r="O54" i="87"/>
  <c r="S54" i="87"/>
  <c r="R54" i="87"/>
  <c r="Q54" i="87"/>
  <c r="AJ53" i="87"/>
  <c r="AL53" i="87"/>
  <c r="AM53" i="87"/>
  <c r="AN53" i="87"/>
  <c r="AC53" i="87"/>
  <c r="AE53" i="87"/>
  <c r="AF53" i="87"/>
  <c r="AG53" i="87"/>
  <c r="Z53" i="87"/>
  <c r="Y53" i="87"/>
  <c r="X53" i="87"/>
  <c r="V53" i="87"/>
  <c r="O53" i="87"/>
  <c r="S53" i="87"/>
  <c r="R53" i="87"/>
  <c r="Q53" i="87"/>
  <c r="AN76" i="87"/>
  <c r="AJ76" i="87"/>
  <c r="AL76" i="87"/>
  <c r="AM76" i="87"/>
  <c r="AA76" i="87"/>
  <c r="AC76" i="87"/>
  <c r="AG76" i="87"/>
  <c r="AE76" i="87"/>
  <c r="AF76" i="87"/>
  <c r="Y76" i="87"/>
  <c r="Z76" i="87"/>
  <c r="X76" i="87"/>
  <c r="V76" i="87"/>
  <c r="T76" i="87"/>
  <c r="Q76" i="87"/>
  <c r="S76" i="87"/>
  <c r="O76" i="87"/>
  <c r="R76" i="87"/>
  <c r="AM75" i="87"/>
  <c r="AJ75" i="87"/>
  <c r="AH75" i="87"/>
  <c r="AL75" i="87"/>
  <c r="AN75" i="87"/>
  <c r="AA75" i="87"/>
  <c r="AC75" i="87"/>
  <c r="AF75" i="87"/>
  <c r="AE75" i="87"/>
  <c r="AG75" i="87"/>
  <c r="Y75" i="87"/>
  <c r="X75" i="87"/>
  <c r="T75" i="87"/>
  <c r="Z75" i="87"/>
  <c r="V75" i="87"/>
  <c r="S75" i="87"/>
  <c r="Q75" i="87"/>
  <c r="O75" i="87"/>
  <c r="R75" i="87"/>
  <c r="M75" i="87"/>
  <c r="AN74" i="87"/>
  <c r="AL74" i="87"/>
  <c r="AJ74" i="87"/>
  <c r="AH74" i="87"/>
  <c r="AM74" i="87"/>
  <c r="AF74" i="87"/>
  <c r="AC74" i="87"/>
  <c r="AE74" i="87"/>
  <c r="AA74" i="87"/>
  <c r="AG74" i="87"/>
  <c r="Y74" i="87"/>
  <c r="V74" i="87"/>
  <c r="X74" i="87"/>
  <c r="Z74" i="87"/>
  <c r="Q74" i="87"/>
  <c r="S74" i="87"/>
  <c r="R74" i="87"/>
  <c r="M74" i="87"/>
  <c r="AN66" i="87"/>
  <c r="AM66" i="87"/>
  <c r="AJ66" i="87"/>
  <c r="AH66" i="87"/>
  <c r="AL66" i="87"/>
  <c r="AG66" i="87"/>
  <c r="AE66" i="87"/>
  <c r="AC66" i="87"/>
  <c r="AA66" i="87"/>
  <c r="AF66" i="87"/>
  <c r="Z66" i="87"/>
  <c r="V66" i="87"/>
  <c r="T66" i="87"/>
  <c r="X66" i="87"/>
  <c r="Y66" i="87"/>
  <c r="S66" i="87"/>
  <c r="M66" i="87"/>
  <c r="Q66" i="87"/>
  <c r="R66" i="87"/>
  <c r="O66" i="87"/>
  <c r="AM65" i="87"/>
  <c r="AJ65" i="87"/>
  <c r="AL65" i="87"/>
  <c r="AN65" i="87"/>
  <c r="AH65" i="87"/>
  <c r="AE65" i="87"/>
  <c r="AC65" i="87"/>
  <c r="AG65" i="87"/>
  <c r="AF65" i="87"/>
  <c r="AA65" i="87"/>
  <c r="X65" i="87"/>
  <c r="T65" i="87"/>
  <c r="V65" i="87"/>
  <c r="Z65" i="87"/>
  <c r="Y65" i="87"/>
  <c r="S65" i="87"/>
  <c r="R65" i="87"/>
  <c r="M65" i="87"/>
  <c r="O65" i="87"/>
  <c r="Q65" i="87"/>
  <c r="AM64" i="87"/>
  <c r="AL64" i="87"/>
  <c r="AJ64" i="87"/>
  <c r="AH64" i="87"/>
  <c r="AN64" i="87"/>
  <c r="AC64" i="87"/>
  <c r="AE64" i="87"/>
  <c r="AF64" i="87"/>
  <c r="AG64" i="87"/>
  <c r="T64" i="87"/>
  <c r="Y64" i="87"/>
  <c r="V64" i="87"/>
  <c r="X64" i="87"/>
  <c r="Z64" i="87"/>
  <c r="O64" i="87"/>
  <c r="R64" i="87"/>
  <c r="Q64" i="87"/>
  <c r="S64" i="87"/>
  <c r="M64" i="87"/>
  <c r="AN63" i="87"/>
  <c r="AM63" i="87"/>
  <c r="AJ63" i="87"/>
  <c r="AL63" i="87"/>
  <c r="AH63" i="87"/>
  <c r="AE63" i="87"/>
  <c r="AA63" i="87"/>
  <c r="AF63" i="87"/>
  <c r="AG63" i="87"/>
  <c r="AC63" i="87"/>
  <c r="T63" i="87"/>
  <c r="V63" i="87"/>
  <c r="Y63" i="87"/>
  <c r="X63" i="87"/>
  <c r="Z63" i="87"/>
  <c r="M63" i="87"/>
  <c r="O63" i="87"/>
  <c r="R63" i="87"/>
  <c r="S63" i="87"/>
  <c r="Q63" i="87"/>
  <c r="AL62" i="87"/>
  <c r="AJ62" i="87"/>
  <c r="AM62" i="87"/>
  <c r="AH62" i="87"/>
  <c r="AN62" i="87"/>
  <c r="AF62" i="87"/>
  <c r="AG62" i="87"/>
  <c r="AE62" i="87"/>
  <c r="AC62" i="87"/>
  <c r="V62" i="87"/>
  <c r="Y62" i="87"/>
  <c r="Z62" i="87"/>
  <c r="T62" i="87"/>
  <c r="X62" i="87"/>
  <c r="Q62" i="87"/>
  <c r="M62" i="87"/>
  <c r="S62" i="87"/>
  <c r="O62" i="87"/>
  <c r="R62" i="87"/>
  <c r="AN61" i="87"/>
  <c r="AL61" i="87"/>
  <c r="AJ61" i="87"/>
  <c r="AH61" i="87"/>
  <c r="AM61" i="87"/>
  <c r="AF61" i="87"/>
  <c r="AC61" i="87"/>
  <c r="AA61" i="87"/>
  <c r="AE61" i="87"/>
  <c r="AG61" i="87"/>
  <c r="Y61" i="87"/>
  <c r="X61" i="87"/>
  <c r="T61" i="87"/>
  <c r="V61" i="87"/>
  <c r="Z61" i="87"/>
  <c r="R61" i="87"/>
  <c r="S61" i="87"/>
  <c r="M61" i="87"/>
  <c r="O61" i="87"/>
  <c r="Q61" i="87"/>
  <c r="AJ60" i="87"/>
  <c r="AL60" i="87"/>
  <c r="AM60" i="87"/>
  <c r="AH60" i="87"/>
  <c r="AN60" i="87"/>
  <c r="AG60" i="87"/>
  <c r="AC60" i="87"/>
  <c r="AA60" i="87"/>
  <c r="AE60" i="87"/>
  <c r="AF60" i="87"/>
  <c r="T60" i="87"/>
  <c r="Z60" i="87"/>
  <c r="X60" i="87"/>
  <c r="Y60" i="87"/>
  <c r="V60" i="87"/>
  <c r="O60" i="87"/>
  <c r="Q60" i="87"/>
  <c r="M60" i="87"/>
  <c r="S60" i="87"/>
  <c r="R60" i="87"/>
  <c r="AH59" i="87"/>
  <c r="AM59" i="87"/>
  <c r="AN59" i="87"/>
  <c r="AL59" i="87"/>
  <c r="AJ59" i="87"/>
  <c r="AE59" i="87"/>
  <c r="AG59" i="87"/>
  <c r="AC59" i="87"/>
  <c r="AF59" i="87"/>
  <c r="X59" i="87"/>
  <c r="T59" i="87"/>
  <c r="Z59" i="87"/>
  <c r="V59" i="87"/>
  <c r="Y59" i="87"/>
  <c r="Q59" i="87"/>
  <c r="R59" i="87"/>
  <c r="S59" i="87"/>
  <c r="O59" i="87"/>
  <c r="AN50" i="87"/>
  <c r="AL50" i="87"/>
  <c r="AJ50" i="87"/>
  <c r="AM50" i="87"/>
  <c r="AG50" i="87"/>
  <c r="AF50" i="87"/>
  <c r="AE50" i="87"/>
  <c r="AC50" i="87"/>
  <c r="Z50" i="87"/>
  <c r="Y50" i="87"/>
  <c r="X50" i="87"/>
  <c r="V50" i="87"/>
  <c r="S50" i="87"/>
  <c r="R50" i="87"/>
  <c r="O50" i="87"/>
  <c r="Q50" i="87"/>
  <c r="AM49" i="87"/>
  <c r="AL49" i="87"/>
  <c r="AJ49" i="87"/>
  <c r="AN49" i="87"/>
  <c r="AG49" i="87"/>
  <c r="AF49" i="87"/>
  <c r="AC49" i="87"/>
  <c r="AE49" i="87"/>
  <c r="Z49" i="87"/>
  <c r="Y49" i="87"/>
  <c r="X49" i="87"/>
  <c r="V49" i="87"/>
  <c r="S49" i="87"/>
  <c r="R49" i="87"/>
  <c r="Q49" i="87"/>
  <c r="O49" i="87"/>
  <c r="AN48" i="87"/>
  <c r="AM48" i="87"/>
  <c r="AL48" i="87"/>
  <c r="AJ48" i="87"/>
  <c r="AF48" i="87"/>
  <c r="AC48" i="87"/>
  <c r="AE48" i="87"/>
  <c r="AG48" i="87"/>
  <c r="Z48" i="87"/>
  <c r="Y48" i="87"/>
  <c r="X48" i="87"/>
  <c r="V48" i="87"/>
  <c r="S48" i="87"/>
  <c r="O48" i="87"/>
  <c r="Q48" i="87"/>
  <c r="R48" i="87"/>
  <c r="AJ47" i="87"/>
  <c r="AN47" i="87"/>
  <c r="AM47" i="87"/>
  <c r="AL47" i="87"/>
  <c r="AG47" i="87"/>
  <c r="AC47" i="87"/>
  <c r="AE47" i="87"/>
  <c r="AF47" i="87"/>
  <c r="Z47" i="87"/>
  <c r="Y47" i="87"/>
  <c r="X47" i="87"/>
  <c r="V47" i="87"/>
  <c r="S47" i="87"/>
  <c r="R47" i="87"/>
  <c r="Q47" i="87"/>
  <c r="O47" i="87"/>
  <c r="AN46" i="87"/>
  <c r="AM46" i="87"/>
  <c r="AL46" i="87"/>
  <c r="AJ46" i="87"/>
  <c r="AG46" i="87"/>
  <c r="AF46" i="87"/>
  <c r="AE46" i="87"/>
  <c r="AC46" i="87"/>
  <c r="V46" i="87"/>
  <c r="Y46" i="87"/>
  <c r="X46" i="87"/>
  <c r="Z46" i="87"/>
  <c r="R46" i="87"/>
  <c r="S46" i="87"/>
  <c r="O46" i="87"/>
  <c r="Q46" i="87"/>
  <c r="AN45" i="87"/>
  <c r="AM45" i="87"/>
  <c r="AL45" i="87"/>
  <c r="AJ45" i="87"/>
  <c r="AH45" i="87"/>
  <c r="AG45" i="87"/>
  <c r="AF45" i="87"/>
  <c r="AA45" i="87"/>
  <c r="AE45" i="87"/>
  <c r="AC45" i="87"/>
  <c r="X45" i="87"/>
  <c r="Z45" i="87"/>
  <c r="V45" i="87"/>
  <c r="T45" i="87"/>
  <c r="Y45" i="87"/>
  <c r="O45" i="87"/>
  <c r="S45" i="87"/>
  <c r="M45" i="87"/>
  <c r="R45" i="87"/>
  <c r="Q45" i="87"/>
  <c r="AJ43" i="87"/>
  <c r="AL43" i="87"/>
  <c r="AN43" i="87"/>
  <c r="AH43" i="87"/>
  <c r="AM43" i="87"/>
  <c r="AG43" i="87"/>
  <c r="AA43" i="87"/>
  <c r="AC43" i="87"/>
  <c r="AE43" i="87"/>
  <c r="AF43" i="87"/>
  <c r="V43" i="87"/>
  <c r="Z43" i="87"/>
  <c r="T43" i="87"/>
  <c r="X43" i="87"/>
  <c r="Y43" i="87"/>
  <c r="O43" i="87"/>
  <c r="R43" i="87"/>
  <c r="Q43" i="87"/>
  <c r="S43" i="87"/>
  <c r="M43" i="87"/>
  <c r="L43" i="87" s="1"/>
  <c r="AJ42" i="87"/>
  <c r="AN42" i="87"/>
  <c r="AL42" i="87"/>
  <c r="AG42" i="87"/>
  <c r="AA42" i="87"/>
  <c r="AE42" i="87"/>
  <c r="AC42" i="87"/>
  <c r="AF42" i="87"/>
  <c r="X42" i="87"/>
  <c r="T42" i="87"/>
  <c r="Z42" i="87"/>
  <c r="V42" i="87"/>
  <c r="Y42" i="87"/>
  <c r="M42" i="87"/>
  <c r="R42" i="87"/>
  <c r="Q42" i="87"/>
  <c r="S42" i="87"/>
  <c r="O42" i="87"/>
  <c r="AH41" i="87"/>
  <c r="AM41" i="87"/>
  <c r="AL41" i="87"/>
  <c r="AJ41" i="87"/>
  <c r="AN41" i="87"/>
  <c r="AF41" i="87"/>
  <c r="AE41" i="87"/>
  <c r="AG41" i="87"/>
  <c r="AC41" i="87"/>
  <c r="Y41" i="87"/>
  <c r="Z41" i="87"/>
  <c r="X41" i="87"/>
  <c r="V41" i="87"/>
  <c r="Q41" i="87"/>
  <c r="R41" i="87"/>
  <c r="S41" i="87"/>
  <c r="O41" i="87"/>
  <c r="M41" i="87"/>
  <c r="AL40" i="87"/>
  <c r="AM40" i="87"/>
  <c r="AH40" i="87"/>
  <c r="AN40" i="87"/>
  <c r="AJ40" i="87"/>
  <c r="AA40" i="87"/>
  <c r="AE40" i="87"/>
  <c r="AG40" i="87"/>
  <c r="AC40" i="87"/>
  <c r="AF40" i="87"/>
  <c r="X40" i="87"/>
  <c r="T40" i="87"/>
  <c r="V40" i="87"/>
  <c r="Y40" i="87"/>
  <c r="Z40" i="87"/>
  <c r="Q40" i="87"/>
  <c r="R40" i="87"/>
  <c r="M40" i="87"/>
  <c r="O40" i="87"/>
  <c r="S40" i="87"/>
  <c r="AJ38" i="87"/>
  <c r="AM38" i="87"/>
  <c r="AH38" i="87"/>
  <c r="AN38" i="87"/>
  <c r="AL38" i="87"/>
  <c r="AE38" i="87"/>
  <c r="AA38" i="87"/>
  <c r="AF38" i="87"/>
  <c r="AG38" i="87"/>
  <c r="AC38" i="87"/>
  <c r="T38" i="87"/>
  <c r="X38" i="87"/>
  <c r="Z38" i="87"/>
  <c r="V38" i="87"/>
  <c r="Y38" i="87"/>
  <c r="Q38" i="87"/>
  <c r="M38" i="87"/>
  <c r="O38" i="87"/>
  <c r="R38" i="87"/>
  <c r="S38" i="87"/>
  <c r="AN37" i="87"/>
  <c r="AM37" i="87"/>
  <c r="AJ37" i="87"/>
  <c r="AH37" i="87"/>
  <c r="AL37" i="87"/>
  <c r="AA37" i="87"/>
  <c r="AE37" i="87"/>
  <c r="AC37" i="87"/>
  <c r="AG37" i="87"/>
  <c r="AF37" i="87"/>
  <c r="Y37" i="87"/>
  <c r="Z37" i="87"/>
  <c r="X37" i="87"/>
  <c r="V37" i="87"/>
  <c r="T37" i="87"/>
  <c r="Q37" i="87"/>
  <c r="S37" i="87"/>
  <c r="O37" i="87"/>
  <c r="M37" i="87"/>
  <c r="R37" i="87"/>
  <c r="AN36" i="87"/>
  <c r="AM36" i="87"/>
  <c r="AJ36" i="87"/>
  <c r="AH36" i="87"/>
  <c r="AL36" i="87"/>
  <c r="AC36" i="87"/>
  <c r="AE36" i="87"/>
  <c r="AF36" i="87"/>
  <c r="AG36" i="87"/>
  <c r="Y36" i="87"/>
  <c r="Z36" i="87"/>
  <c r="X36" i="87"/>
  <c r="O36" i="87"/>
  <c r="M36" i="87"/>
  <c r="S36" i="87"/>
  <c r="R36" i="87"/>
  <c r="Q36" i="87"/>
  <c r="AH35" i="87"/>
  <c r="AL35" i="87"/>
  <c r="AN35" i="87"/>
  <c r="AJ35" i="87"/>
  <c r="AM35" i="87"/>
  <c r="AE35" i="87"/>
  <c r="AA35" i="87"/>
  <c r="AG35" i="87"/>
  <c r="AF35" i="87"/>
  <c r="AC35" i="87"/>
  <c r="Y35" i="87"/>
  <c r="T35" i="87"/>
  <c r="Z35" i="87"/>
  <c r="V35" i="87"/>
  <c r="X35" i="87"/>
  <c r="O35" i="87"/>
  <c r="M35" i="87"/>
  <c r="R35" i="87"/>
  <c r="Q35" i="87"/>
  <c r="S35" i="87"/>
  <c r="AJ33" i="87"/>
  <c r="AH33" i="87"/>
  <c r="AM33" i="87"/>
  <c r="AN33" i="87"/>
  <c r="AL33" i="87"/>
  <c r="AF33" i="87"/>
  <c r="AA33" i="87"/>
  <c r="AC33" i="87"/>
  <c r="AE33" i="87"/>
  <c r="AG33" i="87"/>
  <c r="Y33" i="87"/>
  <c r="X33" i="87"/>
  <c r="Z33" i="87"/>
  <c r="T33" i="87"/>
  <c r="V33" i="87"/>
  <c r="R33" i="87"/>
  <c r="Q33" i="87"/>
  <c r="M33" i="87"/>
  <c r="O33" i="87"/>
  <c r="S33" i="87"/>
  <c r="AL32" i="87"/>
  <c r="AM32" i="87"/>
  <c r="AN32" i="87"/>
  <c r="AJ32" i="87"/>
  <c r="AH32" i="87"/>
  <c r="AE32" i="87"/>
  <c r="AG32" i="87"/>
  <c r="AF32" i="87"/>
  <c r="AA32" i="87"/>
  <c r="AC32" i="87"/>
  <c r="X32" i="87"/>
  <c r="T32" i="87"/>
  <c r="V32" i="87"/>
  <c r="Z32" i="87"/>
  <c r="Y32" i="87"/>
  <c r="Q32" i="87"/>
  <c r="M32" i="87"/>
  <c r="R32" i="87"/>
  <c r="S32" i="87"/>
  <c r="O32" i="87"/>
  <c r="AL31" i="87"/>
  <c r="AN31" i="87"/>
  <c r="AM31" i="87"/>
  <c r="AH31" i="87"/>
  <c r="AJ31" i="87"/>
  <c r="AC31" i="87"/>
  <c r="AF31" i="87"/>
  <c r="AA31" i="87"/>
  <c r="AG31" i="87"/>
  <c r="AE31" i="87"/>
  <c r="V31" i="87"/>
  <c r="Y31" i="87"/>
  <c r="Z31" i="87"/>
  <c r="X31" i="87"/>
  <c r="T31" i="87"/>
  <c r="Q31" i="87"/>
  <c r="R31" i="87"/>
  <c r="O31" i="87"/>
  <c r="M31" i="87"/>
  <c r="S31" i="87"/>
  <c r="AM30" i="87"/>
  <c r="AH30" i="87"/>
  <c r="AJ30" i="87"/>
  <c r="AL30" i="87"/>
  <c r="AN30" i="87"/>
  <c r="AG30" i="87"/>
  <c r="AC30" i="87"/>
  <c r="AA30" i="87"/>
  <c r="AF30" i="87"/>
  <c r="AE30" i="87"/>
  <c r="X30" i="87"/>
  <c r="Y30" i="87"/>
  <c r="T30" i="87"/>
  <c r="V30" i="87"/>
  <c r="Z30" i="87"/>
  <c r="Q30" i="87"/>
  <c r="S30" i="87"/>
  <c r="O30" i="87"/>
  <c r="M30" i="87"/>
  <c r="R30" i="87"/>
  <c r="L1" i="87"/>
  <c r="B26" i="87"/>
  <c r="C26" i="87" s="1"/>
  <c r="L26" i="87" s="1"/>
  <c r="C16" i="87"/>
  <c r="L16" i="87" s="1"/>
  <c r="C10" i="87"/>
  <c r="L10" i="87" s="1"/>
  <c r="C12" i="87"/>
  <c r="L12" i="87" s="1"/>
  <c r="C11" i="87"/>
  <c r="L11" i="87" s="1"/>
  <c r="B27" i="87"/>
  <c r="C27" i="87" s="1"/>
  <c r="L27" i="87" s="1"/>
  <c r="AG70" i="86"/>
  <c r="AA70" i="86"/>
  <c r="AN65" i="86"/>
  <c r="AM65" i="86"/>
  <c r="AL65" i="86"/>
  <c r="AJ65" i="86"/>
  <c r="AG65" i="86"/>
  <c r="AF65" i="86"/>
  <c r="AE65" i="86"/>
  <c r="AC65" i="86"/>
  <c r="Z65" i="86"/>
  <c r="Y65" i="86"/>
  <c r="X65" i="86"/>
  <c r="V65" i="86"/>
  <c r="S65" i="86"/>
  <c r="R65" i="86"/>
  <c r="Q65" i="86"/>
  <c r="O65" i="86"/>
  <c r="L65" i="86" s="1"/>
  <c r="AN64" i="86"/>
  <c r="AJ64" i="86"/>
  <c r="AL64" i="86"/>
  <c r="AM64" i="86"/>
  <c r="AF64" i="86"/>
  <c r="AC64" i="86"/>
  <c r="AE64" i="86"/>
  <c r="AG64" i="86"/>
  <c r="AA64" i="86"/>
  <c r="X64" i="86"/>
  <c r="V64" i="86"/>
  <c r="Y64" i="86"/>
  <c r="Z64" i="86"/>
  <c r="S64" i="86"/>
  <c r="R64" i="86"/>
  <c r="M64" i="86"/>
  <c r="O64" i="86"/>
  <c r="Q64" i="86"/>
  <c r="AN63" i="86"/>
  <c r="AL63" i="86"/>
  <c r="AM63" i="86"/>
  <c r="AJ63" i="86"/>
  <c r="AC63" i="86"/>
  <c r="AE63" i="86"/>
  <c r="AF63" i="86"/>
  <c r="AG63" i="86"/>
  <c r="V63" i="86"/>
  <c r="Z63" i="86"/>
  <c r="Y63" i="86"/>
  <c r="X63" i="86"/>
  <c r="R63" i="86"/>
  <c r="O63" i="86"/>
  <c r="S63" i="86"/>
  <c r="M63" i="86"/>
  <c r="Q63" i="86"/>
  <c r="AL62" i="86"/>
  <c r="AN62" i="86"/>
  <c r="AJ62" i="86"/>
  <c r="AM62" i="86"/>
  <c r="AH62" i="86"/>
  <c r="AG62" i="86"/>
  <c r="AF62" i="86"/>
  <c r="AE62" i="86"/>
  <c r="AC62" i="86"/>
  <c r="Z62" i="86"/>
  <c r="Y62" i="86"/>
  <c r="X62" i="86"/>
  <c r="V62" i="86"/>
  <c r="S62" i="86"/>
  <c r="O62" i="86"/>
  <c r="R62" i="86"/>
  <c r="Q62" i="86"/>
  <c r="O35" i="86"/>
  <c r="M35" i="86"/>
  <c r="AJ70" i="86"/>
  <c r="AM70" i="86"/>
  <c r="AN70" i="86"/>
  <c r="AH70" i="86"/>
  <c r="AL70" i="86"/>
  <c r="AC70" i="86"/>
  <c r="AE70" i="86"/>
  <c r="AF70" i="86"/>
  <c r="V70" i="86"/>
  <c r="X70" i="86"/>
  <c r="Y70" i="86"/>
  <c r="Z70" i="86"/>
  <c r="T70" i="86"/>
  <c r="O70" i="86"/>
  <c r="Q70" i="86"/>
  <c r="R70" i="86"/>
  <c r="S70" i="86"/>
  <c r="AN69" i="86"/>
  <c r="AL69" i="86"/>
  <c r="AH69" i="86"/>
  <c r="AJ69" i="86"/>
  <c r="AM69" i="86"/>
  <c r="AC69" i="86"/>
  <c r="AF69" i="86"/>
  <c r="AG69" i="86"/>
  <c r="AA69" i="86"/>
  <c r="AE69" i="86"/>
  <c r="Z69" i="86"/>
  <c r="V69" i="86"/>
  <c r="T69" i="86"/>
  <c r="Y69" i="86"/>
  <c r="X69" i="86"/>
  <c r="S69" i="86"/>
  <c r="R69" i="86"/>
  <c r="M69" i="86"/>
  <c r="O69" i="86"/>
  <c r="Q69" i="86"/>
  <c r="AH68" i="86"/>
  <c r="AJ68" i="86"/>
  <c r="AL68" i="86"/>
  <c r="AN68" i="86"/>
  <c r="AM68" i="86"/>
  <c r="AE68" i="86"/>
  <c r="AG68" i="86"/>
  <c r="AA68" i="86"/>
  <c r="AF68" i="86"/>
  <c r="AC68" i="86"/>
  <c r="X68" i="86"/>
  <c r="V68" i="86"/>
  <c r="Y68" i="86"/>
  <c r="Z68" i="86"/>
  <c r="T68" i="86"/>
  <c r="S68" i="86"/>
  <c r="Q68" i="86"/>
  <c r="O68" i="86"/>
  <c r="R68" i="86"/>
  <c r="AN67" i="86"/>
  <c r="AL67" i="86"/>
  <c r="AH67" i="86"/>
  <c r="AM67" i="86"/>
  <c r="AJ67" i="86"/>
  <c r="AF67" i="86"/>
  <c r="AA67" i="86"/>
  <c r="AC67" i="86"/>
  <c r="AG67" i="86"/>
  <c r="AE67" i="86"/>
  <c r="Z67" i="86"/>
  <c r="T67" i="86"/>
  <c r="Y67" i="86"/>
  <c r="X67" i="86"/>
  <c r="V67" i="86"/>
  <c r="Q67" i="86"/>
  <c r="O67" i="86"/>
  <c r="M67" i="86"/>
  <c r="R67" i="86"/>
  <c r="S67" i="86"/>
  <c r="AM60" i="86"/>
  <c r="AL60" i="86"/>
  <c r="AJ60" i="86"/>
  <c r="AH60" i="86"/>
  <c r="AN60" i="86"/>
  <c r="AC60" i="86"/>
  <c r="AE60" i="86"/>
  <c r="AF60" i="86"/>
  <c r="AG60" i="86"/>
  <c r="AA60" i="86"/>
  <c r="Z60" i="86"/>
  <c r="Y60" i="86"/>
  <c r="V60" i="86"/>
  <c r="X60" i="86"/>
  <c r="T60" i="86"/>
  <c r="S60" i="86"/>
  <c r="Q60" i="86"/>
  <c r="R60" i="86"/>
  <c r="M60" i="86"/>
  <c r="O60" i="86"/>
  <c r="AN59" i="86"/>
  <c r="AL59" i="86"/>
  <c r="AM59" i="86"/>
  <c r="AH59" i="86"/>
  <c r="AJ59" i="86"/>
  <c r="AC59" i="86"/>
  <c r="AE59" i="86"/>
  <c r="AA59" i="86"/>
  <c r="AF59" i="86"/>
  <c r="AG59" i="86"/>
  <c r="Y59" i="86"/>
  <c r="X59" i="86"/>
  <c r="V59" i="86"/>
  <c r="Z59" i="86"/>
  <c r="T59" i="86"/>
  <c r="O59" i="86"/>
  <c r="M59" i="86"/>
  <c r="Q59" i="86"/>
  <c r="S59" i="86"/>
  <c r="R59" i="86"/>
  <c r="AM58" i="86"/>
  <c r="AL58" i="86"/>
  <c r="AJ58" i="86"/>
  <c r="AN58" i="86"/>
  <c r="AF58" i="86"/>
  <c r="AE58" i="86"/>
  <c r="AA58" i="86"/>
  <c r="AC58" i="86"/>
  <c r="AG58" i="86"/>
  <c r="T58" i="86"/>
  <c r="Z58" i="86"/>
  <c r="X58" i="86"/>
  <c r="Y58" i="86"/>
  <c r="V58" i="86"/>
  <c r="S58" i="86"/>
  <c r="R58" i="86"/>
  <c r="O58" i="86"/>
  <c r="Q58" i="86"/>
  <c r="AN57" i="86"/>
  <c r="AM57" i="86"/>
  <c r="AJ57" i="86"/>
  <c r="AL57" i="86"/>
  <c r="AH57" i="86"/>
  <c r="AF57" i="86"/>
  <c r="AG57" i="86"/>
  <c r="AC57" i="86"/>
  <c r="AE57" i="86"/>
  <c r="AA57" i="86"/>
  <c r="Y57" i="86"/>
  <c r="Z57" i="86"/>
  <c r="X57" i="86"/>
  <c r="V57" i="86"/>
  <c r="T57" i="86"/>
  <c r="M57" i="86"/>
  <c r="O57" i="86"/>
  <c r="Q57" i="86"/>
  <c r="S57" i="86"/>
  <c r="R57" i="86"/>
  <c r="AN55" i="86"/>
  <c r="AH55" i="86"/>
  <c r="AL55" i="86"/>
  <c r="AJ55" i="86"/>
  <c r="AA55" i="86"/>
  <c r="AG55" i="86"/>
  <c r="AE55" i="86"/>
  <c r="AC55" i="86"/>
  <c r="AF55" i="86"/>
  <c r="V55" i="86"/>
  <c r="X55" i="86"/>
  <c r="T55" i="86"/>
  <c r="Y55" i="86"/>
  <c r="Z55" i="86"/>
  <c r="R55" i="86"/>
  <c r="M55" i="86"/>
  <c r="O55" i="86"/>
  <c r="Q55" i="86"/>
  <c r="S55" i="86"/>
  <c r="AL54" i="86"/>
  <c r="AN54" i="86"/>
  <c r="AM54" i="86"/>
  <c r="AJ54" i="86"/>
  <c r="AH54" i="86"/>
  <c r="AA54" i="86"/>
  <c r="AC54" i="86"/>
  <c r="AF54" i="86"/>
  <c r="AE54" i="86"/>
  <c r="AG54" i="86"/>
  <c r="T54" i="86"/>
  <c r="Z54" i="86"/>
  <c r="Y54" i="86"/>
  <c r="V54" i="86"/>
  <c r="X54" i="86"/>
  <c r="R54" i="86"/>
  <c r="Q54" i="86"/>
  <c r="O54" i="86"/>
  <c r="M54" i="86"/>
  <c r="S54" i="86"/>
  <c r="AN53" i="86"/>
  <c r="AH53" i="86"/>
  <c r="AJ53" i="86"/>
  <c r="AM53" i="86"/>
  <c r="AL53" i="86"/>
  <c r="AF53" i="86"/>
  <c r="AG53" i="86"/>
  <c r="AA53" i="86"/>
  <c r="AE53" i="86"/>
  <c r="AC53" i="86"/>
  <c r="Y53" i="86"/>
  <c r="V53" i="86"/>
  <c r="Z53" i="86"/>
  <c r="T53" i="86"/>
  <c r="X53" i="86"/>
  <c r="R53" i="86"/>
  <c r="Q53" i="86"/>
  <c r="O53" i="86"/>
  <c r="M53" i="86"/>
  <c r="S53" i="86"/>
  <c r="AH51" i="86"/>
  <c r="AJ51" i="86"/>
  <c r="AN51" i="86"/>
  <c r="AM51" i="86"/>
  <c r="AL51" i="86"/>
  <c r="AF51" i="86"/>
  <c r="AE51" i="86"/>
  <c r="AG51" i="86"/>
  <c r="AC51" i="86"/>
  <c r="AA51" i="86"/>
  <c r="V51" i="86"/>
  <c r="T51" i="86"/>
  <c r="X51" i="86"/>
  <c r="Y51" i="86"/>
  <c r="Z51" i="86"/>
  <c r="R51" i="86"/>
  <c r="S51" i="86"/>
  <c r="Q51" i="86"/>
  <c r="O51" i="86"/>
  <c r="M51" i="86"/>
  <c r="AJ50" i="86"/>
  <c r="AN50" i="86"/>
  <c r="AM50" i="86"/>
  <c r="AH50" i="86"/>
  <c r="AL50" i="86"/>
  <c r="AC50" i="86"/>
  <c r="AE50" i="86"/>
  <c r="AF50" i="86"/>
  <c r="AA50" i="86"/>
  <c r="AG50" i="86"/>
  <c r="Z50" i="86"/>
  <c r="V50" i="86"/>
  <c r="Y50" i="86"/>
  <c r="X50" i="86"/>
  <c r="Q50" i="86"/>
  <c r="R50" i="86"/>
  <c r="O50" i="86"/>
  <c r="S50" i="86"/>
  <c r="M50" i="86"/>
  <c r="AM49" i="86"/>
  <c r="AJ49" i="86"/>
  <c r="AH49" i="86"/>
  <c r="AL49" i="86"/>
  <c r="AN49" i="86"/>
  <c r="AF49" i="86"/>
  <c r="AC49" i="86"/>
  <c r="AA49" i="86"/>
  <c r="AE49" i="86"/>
  <c r="AG49" i="86"/>
  <c r="Z49" i="86"/>
  <c r="X49" i="86"/>
  <c r="V49" i="86"/>
  <c r="T49" i="86"/>
  <c r="Y49" i="86"/>
  <c r="Q49" i="86"/>
  <c r="S49" i="86"/>
  <c r="R49" i="86"/>
  <c r="O49" i="86"/>
  <c r="M49" i="86"/>
  <c r="L49" i="86" s="1"/>
  <c r="AN48" i="86"/>
  <c r="AJ48" i="86"/>
  <c r="AM48" i="86"/>
  <c r="AL48" i="86"/>
  <c r="AH48" i="86"/>
  <c r="AG48" i="86"/>
  <c r="AF48" i="86"/>
  <c r="AE48" i="86"/>
  <c r="AC48" i="86"/>
  <c r="T48" i="86"/>
  <c r="Z48" i="86"/>
  <c r="Y48" i="86"/>
  <c r="X48" i="86"/>
  <c r="V48" i="86"/>
  <c r="O48" i="86"/>
  <c r="Q48" i="86"/>
  <c r="S48" i="86"/>
  <c r="R48" i="86"/>
  <c r="M48" i="86"/>
  <c r="AL47" i="86"/>
  <c r="AJ47" i="86"/>
  <c r="AN47" i="86"/>
  <c r="AM47" i="86"/>
  <c r="AE47" i="86"/>
  <c r="AG47" i="86"/>
  <c r="AF47" i="86"/>
  <c r="AC47" i="86"/>
  <c r="AA47" i="86"/>
  <c r="Y47" i="86"/>
  <c r="X47" i="86"/>
  <c r="T47" i="86"/>
  <c r="Z47" i="86"/>
  <c r="V47" i="86"/>
  <c r="S47" i="86"/>
  <c r="R47" i="86"/>
  <c r="Q47" i="86"/>
  <c r="O47" i="86"/>
  <c r="M47" i="86"/>
  <c r="AJ45" i="86"/>
  <c r="AM45" i="86"/>
  <c r="AL45" i="86"/>
  <c r="AN45" i="86"/>
  <c r="AH45" i="86"/>
  <c r="AC45" i="86"/>
  <c r="AA45" i="86"/>
  <c r="AG45" i="86"/>
  <c r="AF45" i="86"/>
  <c r="AE45" i="86"/>
  <c r="X45" i="86"/>
  <c r="Y45" i="86"/>
  <c r="T45" i="86"/>
  <c r="V45" i="86"/>
  <c r="Z45" i="86"/>
  <c r="S45" i="86"/>
  <c r="Q45" i="86"/>
  <c r="O45" i="86"/>
  <c r="M45" i="86"/>
  <c r="R45" i="86"/>
  <c r="AJ44" i="86"/>
  <c r="AN44" i="86"/>
  <c r="AL44" i="86"/>
  <c r="AM44" i="86"/>
  <c r="AA44" i="86"/>
  <c r="AF44" i="86"/>
  <c r="AC44" i="86"/>
  <c r="AE44" i="86"/>
  <c r="AG44" i="86"/>
  <c r="Z44" i="86"/>
  <c r="X44" i="86"/>
  <c r="V44" i="86"/>
  <c r="T44" i="86"/>
  <c r="Y44" i="86"/>
  <c r="M44" i="86"/>
  <c r="S44" i="86"/>
  <c r="Q44" i="86"/>
  <c r="R44" i="86"/>
  <c r="O44" i="86"/>
  <c r="AL43" i="86"/>
  <c r="AN43" i="86"/>
  <c r="AM43" i="86"/>
  <c r="AH43" i="86"/>
  <c r="AJ43" i="86"/>
  <c r="AC43" i="86"/>
  <c r="AG43" i="86"/>
  <c r="AE43" i="86"/>
  <c r="AF43" i="86"/>
  <c r="Z43" i="86"/>
  <c r="Y43" i="86"/>
  <c r="X43" i="86"/>
  <c r="V43" i="86"/>
  <c r="T43" i="86"/>
  <c r="R43" i="86"/>
  <c r="M43" i="86"/>
  <c r="S43" i="86"/>
  <c r="Q43" i="86"/>
  <c r="O43" i="86"/>
  <c r="AM42" i="86"/>
  <c r="AN42" i="86"/>
  <c r="AH42" i="86"/>
  <c r="AJ42" i="86"/>
  <c r="AL42" i="86"/>
  <c r="AG42" i="86"/>
  <c r="AA42" i="86"/>
  <c r="AE42" i="86"/>
  <c r="AC42" i="86"/>
  <c r="AF42" i="86"/>
  <c r="T42" i="86"/>
  <c r="Y42" i="86"/>
  <c r="Z42" i="86"/>
  <c r="X42" i="86"/>
  <c r="V42" i="86"/>
  <c r="Q42" i="86"/>
  <c r="M42" i="86"/>
  <c r="S42" i="86"/>
  <c r="R42" i="86"/>
  <c r="O42" i="86"/>
  <c r="AL40" i="86"/>
  <c r="AN40" i="86"/>
  <c r="AM40" i="86"/>
  <c r="AJ40" i="86"/>
  <c r="AH40" i="86"/>
  <c r="AE40" i="86"/>
  <c r="AC40" i="86"/>
  <c r="AG40" i="86"/>
  <c r="AF40" i="86"/>
  <c r="AA40" i="86"/>
  <c r="Y40" i="86"/>
  <c r="T40" i="86"/>
  <c r="X40" i="86"/>
  <c r="Z40" i="86"/>
  <c r="V40" i="86"/>
  <c r="M40" i="86"/>
  <c r="O40" i="86"/>
  <c r="Q40" i="86"/>
  <c r="R40" i="86"/>
  <c r="S40" i="86"/>
  <c r="AN39" i="86"/>
  <c r="AJ39" i="86"/>
  <c r="AL39" i="86"/>
  <c r="AM39" i="86"/>
  <c r="AH39" i="86"/>
  <c r="AG39" i="86"/>
  <c r="AA39" i="86"/>
  <c r="AE39" i="86"/>
  <c r="AC39" i="86"/>
  <c r="AF39" i="86"/>
  <c r="Z39" i="86"/>
  <c r="T39" i="86"/>
  <c r="X39" i="86"/>
  <c r="Y39" i="86"/>
  <c r="V39" i="86"/>
  <c r="S39" i="86"/>
  <c r="Q39" i="86"/>
  <c r="R39" i="86"/>
  <c r="O39" i="86"/>
  <c r="M39" i="86"/>
  <c r="AJ38" i="86"/>
  <c r="AN38" i="86"/>
  <c r="AH38" i="86"/>
  <c r="AM38" i="86"/>
  <c r="AL38" i="86"/>
  <c r="AG38" i="86"/>
  <c r="AF38" i="86"/>
  <c r="AA38" i="86"/>
  <c r="AE38" i="86"/>
  <c r="AC38" i="86"/>
  <c r="T38" i="86"/>
  <c r="V38" i="86"/>
  <c r="X38" i="86"/>
  <c r="Z38" i="86"/>
  <c r="Y38" i="86"/>
  <c r="O38" i="86"/>
  <c r="M38" i="86"/>
  <c r="R38" i="86"/>
  <c r="S38" i="86"/>
  <c r="Q38" i="86"/>
  <c r="AH36" i="86"/>
  <c r="AJ36" i="86"/>
  <c r="AN36" i="86"/>
  <c r="AL36" i="86"/>
  <c r="AM36" i="86"/>
  <c r="AF36" i="86"/>
  <c r="AG36" i="86"/>
  <c r="AE36" i="86"/>
  <c r="AC36" i="86"/>
  <c r="AA36" i="86"/>
  <c r="V36" i="86"/>
  <c r="Z36" i="86"/>
  <c r="X36" i="86"/>
  <c r="Y36" i="86"/>
  <c r="T36" i="86"/>
  <c r="S36" i="86"/>
  <c r="R36" i="86"/>
  <c r="Q36" i="86"/>
  <c r="M36" i="86"/>
  <c r="O36" i="86"/>
  <c r="AJ35" i="86"/>
  <c r="AH35" i="86"/>
  <c r="AL35" i="86"/>
  <c r="AN35" i="86"/>
  <c r="AM35" i="86"/>
  <c r="AC35" i="86"/>
  <c r="AA35" i="86"/>
  <c r="AG35" i="86"/>
  <c r="AF35" i="86"/>
  <c r="AE35" i="86"/>
  <c r="X35" i="86"/>
  <c r="Z35" i="86"/>
  <c r="V35" i="86"/>
  <c r="T35" i="86"/>
  <c r="Y35" i="86"/>
  <c r="Q35" i="86"/>
  <c r="S35" i="86"/>
  <c r="R35" i="86"/>
  <c r="AL34" i="86"/>
  <c r="AH34" i="86"/>
  <c r="AJ34" i="86"/>
  <c r="AN34" i="86"/>
  <c r="AM34" i="86"/>
  <c r="AG34" i="86"/>
  <c r="AC34" i="86"/>
  <c r="AE34" i="86"/>
  <c r="AF34" i="86"/>
  <c r="AA34" i="86"/>
  <c r="V34" i="86"/>
  <c r="Z34" i="86"/>
  <c r="X34" i="86"/>
  <c r="T34" i="86"/>
  <c r="Y34" i="86"/>
  <c r="M34" i="86"/>
  <c r="O34" i="86"/>
  <c r="R34" i="86"/>
  <c r="S34" i="86"/>
  <c r="Q34" i="86"/>
  <c r="AN33" i="86"/>
  <c r="AM33" i="86"/>
  <c r="AJ33" i="86"/>
  <c r="AL33" i="86"/>
  <c r="AH33" i="86"/>
  <c r="AE33" i="86"/>
  <c r="AA33" i="86"/>
  <c r="AC33" i="86"/>
  <c r="AF33" i="86"/>
  <c r="AG33" i="86"/>
  <c r="X33" i="86"/>
  <c r="Y33" i="86"/>
  <c r="Z33" i="86"/>
  <c r="V33" i="86"/>
  <c r="R33" i="86"/>
  <c r="S33" i="86"/>
  <c r="M33" i="86"/>
  <c r="O33" i="86"/>
  <c r="Q33" i="86"/>
  <c r="AN32" i="86"/>
  <c r="AH32" i="86"/>
  <c r="AJ32" i="86"/>
  <c r="AL32" i="86"/>
  <c r="AM32" i="86"/>
  <c r="AC32" i="86"/>
  <c r="AE32" i="86"/>
  <c r="AG32" i="86"/>
  <c r="AA32" i="86"/>
  <c r="AF32" i="86"/>
  <c r="V32" i="86"/>
  <c r="T32" i="86"/>
  <c r="X32" i="86"/>
  <c r="Y32" i="86"/>
  <c r="Z32" i="86"/>
  <c r="S32" i="86"/>
  <c r="O32" i="86"/>
  <c r="Q32" i="86"/>
  <c r="R32" i="86"/>
  <c r="AN31" i="86"/>
  <c r="AM31" i="86"/>
  <c r="AJ31" i="86"/>
  <c r="AH31" i="86"/>
  <c r="AL31" i="86"/>
  <c r="AE31" i="86"/>
  <c r="AC31" i="86"/>
  <c r="AA31" i="86"/>
  <c r="AF31" i="86"/>
  <c r="AG31" i="86"/>
  <c r="T31" i="86"/>
  <c r="X31" i="86"/>
  <c r="Y31" i="86"/>
  <c r="Z31" i="86"/>
  <c r="V31" i="86"/>
  <c r="M31" i="86"/>
  <c r="O31" i="86"/>
  <c r="Q31" i="86"/>
  <c r="R31" i="86"/>
  <c r="S31" i="86"/>
  <c r="AN30" i="86"/>
  <c r="AL30" i="86"/>
  <c r="AH30" i="86"/>
  <c r="AM30" i="86"/>
  <c r="AJ30" i="86"/>
  <c r="AF30" i="86"/>
  <c r="AE30" i="86"/>
  <c r="AC30" i="86"/>
  <c r="AA30" i="86"/>
  <c r="X30" i="86"/>
  <c r="V30" i="86"/>
  <c r="Y30" i="86"/>
  <c r="T30" i="86"/>
  <c r="Z30" i="86"/>
  <c r="Q30" i="86"/>
  <c r="O30" i="86"/>
  <c r="R30" i="86"/>
  <c r="S30" i="86"/>
  <c r="L1" i="86"/>
  <c r="C12" i="86"/>
  <c r="L12" i="86" s="1"/>
  <c r="C16" i="86"/>
  <c r="L16" i="86" s="1"/>
  <c r="C11" i="86"/>
  <c r="L11" i="86" s="1"/>
  <c r="C10" i="86"/>
  <c r="L10" i="86" s="1"/>
  <c r="B26" i="86"/>
  <c r="C26" i="86" s="1"/>
  <c r="L26" i="86" s="1"/>
  <c r="B27" i="86"/>
  <c r="C27" i="86" s="1"/>
  <c r="L27" i="86" s="1"/>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106" i="7"/>
  <c r="R97"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64" i="87" l="1"/>
  <c r="L59" i="87"/>
  <c r="L71" i="87"/>
  <c r="L69" i="87"/>
  <c r="L47" i="87"/>
  <c r="L45" i="87"/>
  <c r="L41" i="87"/>
  <c r="L40" i="87"/>
  <c r="L37" i="87"/>
  <c r="L56" i="87"/>
  <c r="L75" i="87"/>
  <c r="L36" i="87"/>
  <c r="L63" i="87"/>
  <c r="L49" i="87"/>
  <c r="L76" i="87"/>
  <c r="L31" i="87"/>
  <c r="L30" i="87"/>
  <c r="L62" i="87"/>
  <c r="L38" i="87"/>
  <c r="L74" i="87"/>
  <c r="L66" i="87"/>
  <c r="L61" i="87"/>
  <c r="L65" i="87"/>
  <c r="L60" i="87"/>
  <c r="L50" i="87"/>
  <c r="L48" i="87"/>
  <c r="L46" i="87"/>
  <c r="L42" i="87"/>
  <c r="L35" i="87"/>
  <c r="L33" i="87"/>
  <c r="L32" i="87"/>
  <c r="L77" i="87"/>
  <c r="C9" i="87"/>
  <c r="L9" i="87" s="1"/>
  <c r="C7" i="87" a="1"/>
  <c r="C7" i="87" s="1"/>
  <c r="L4" i="87"/>
  <c r="C8" i="87"/>
  <c r="L8" i="87" s="1"/>
  <c r="L57" i="87"/>
  <c r="L55" i="87"/>
  <c r="L54" i="87"/>
  <c r="L48" i="86"/>
  <c r="L39" i="86"/>
  <c r="L64" i="86"/>
  <c r="L63" i="86"/>
  <c r="L50" i="86"/>
  <c r="L51" i="86"/>
  <c r="L43" i="86"/>
  <c r="L47" i="86"/>
  <c r="L30" i="86"/>
  <c r="L44" i="86"/>
  <c r="L70" i="86"/>
  <c r="L69" i="86"/>
  <c r="L68" i="86"/>
  <c r="L67" i="86"/>
  <c r="L45" i="86"/>
  <c r="L60" i="86"/>
  <c r="L59" i="86"/>
  <c r="L58" i="86"/>
  <c r="L57" i="86"/>
  <c r="L55" i="86"/>
  <c r="L54" i="86"/>
  <c r="L53" i="86"/>
  <c r="L40" i="86"/>
  <c r="L38" i="86"/>
  <c r="L42" i="86"/>
  <c r="L36" i="86"/>
  <c r="L35" i="86"/>
  <c r="L34" i="86"/>
  <c r="L33" i="86"/>
  <c r="L32" i="86"/>
  <c r="L31" i="86"/>
  <c r="C7" i="86" a="1"/>
  <c r="C7" i="86" s="1"/>
  <c r="C8" i="86"/>
  <c r="L8" i="86" s="1"/>
  <c r="L4" i="86"/>
  <c r="C9" i="86"/>
  <c r="L9" i="86" s="1"/>
  <c r="L71" i="86"/>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7" i="87" l="1"/>
  <c r="C19" i="87"/>
  <c r="L19" i="87" s="1"/>
  <c r="C19" i="86"/>
  <c r="L19" i="86" s="1"/>
  <c r="L7" i="86"/>
  <c r="L96" i="36"/>
  <c r="L86" i="36"/>
  <c r="L91" i="36"/>
  <c r="L99" i="36"/>
  <c r="L90" i="36"/>
  <c r="L100" i="36"/>
  <c r="P226" i="3" l="1"/>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5" i="7"/>
  <c r="AI105" i="7"/>
  <c r="AN105" i="7" s="1"/>
  <c r="AD105" i="7"/>
  <c r="AB105" i="7"/>
  <c r="AG105" i="7" s="1"/>
  <c r="W105" i="7"/>
  <c r="U105" i="7"/>
  <c r="Y105" i="7" s="1"/>
  <c r="P105" i="7"/>
  <c r="N105" i="7"/>
  <c r="AK104" i="7"/>
  <c r="AI104" i="7"/>
  <c r="AL104" i="7" s="1"/>
  <c r="AD104" i="7"/>
  <c r="AB104" i="7"/>
  <c r="AF104" i="7" s="1"/>
  <c r="W104" i="7"/>
  <c r="U104" i="7"/>
  <c r="V104" i="7" s="1"/>
  <c r="P104" i="7"/>
  <c r="N104" i="7"/>
  <c r="M104" i="7" s="1"/>
  <c r="AK103" i="7"/>
  <c r="AI103" i="7"/>
  <c r="AJ103" i="7" s="1"/>
  <c r="AH103" i="7"/>
  <c r="AD103" i="7"/>
  <c r="AB103" i="7"/>
  <c r="W103" i="7"/>
  <c r="U103" i="7"/>
  <c r="V103" i="7" s="1"/>
  <c r="P103" i="7"/>
  <c r="N103" i="7"/>
  <c r="AK102" i="7"/>
  <c r="AI102" i="7"/>
  <c r="AN102" i="7" s="1"/>
  <c r="AD102" i="7"/>
  <c r="AB102" i="7"/>
  <c r="AF102" i="7" s="1"/>
  <c r="W102" i="7"/>
  <c r="U102" i="7"/>
  <c r="X102" i="7" s="1"/>
  <c r="P102" i="7"/>
  <c r="N102" i="7"/>
  <c r="R102" i="7" s="1"/>
  <c r="AK101" i="7"/>
  <c r="AI101" i="7"/>
  <c r="AM101" i="7" s="1"/>
  <c r="AD101" i="7"/>
  <c r="AB101" i="7"/>
  <c r="AC101" i="7" s="1"/>
  <c r="W101" i="7"/>
  <c r="U101" i="7"/>
  <c r="T101" i="7" s="1"/>
  <c r="P101" i="7"/>
  <c r="N101" i="7"/>
  <c r="R101" i="7" s="1"/>
  <c r="AK100" i="7"/>
  <c r="AI100" i="7"/>
  <c r="AD100" i="7"/>
  <c r="AB100" i="7"/>
  <c r="AC100" i="7" s="1"/>
  <c r="W100" i="7"/>
  <c r="U100" i="7"/>
  <c r="Z100" i="7" s="1"/>
  <c r="P100" i="7"/>
  <c r="N100" i="7"/>
  <c r="R100" i="7" s="1"/>
  <c r="AK99" i="7"/>
  <c r="AI99" i="7"/>
  <c r="AM99" i="7" s="1"/>
  <c r="AD99" i="7"/>
  <c r="AB99" i="7"/>
  <c r="AE99" i="7" s="1"/>
  <c r="W99" i="7"/>
  <c r="U99" i="7"/>
  <c r="Y99" i="7" s="1"/>
  <c r="P99" i="7"/>
  <c r="N99" i="7"/>
  <c r="AK98" i="7"/>
  <c r="AI98" i="7"/>
  <c r="AJ98" i="7" s="1"/>
  <c r="AD98" i="7"/>
  <c r="AB98" i="7"/>
  <c r="AG98" i="7" s="1"/>
  <c r="W98" i="7"/>
  <c r="U98" i="7"/>
  <c r="P98" i="7"/>
  <c r="N98" i="7"/>
  <c r="R98" i="7" s="1"/>
  <c r="AK93" i="7"/>
  <c r="AI93" i="7"/>
  <c r="AN93" i="7" s="1"/>
  <c r="AD93" i="7"/>
  <c r="AB93" i="7"/>
  <c r="AF93" i="7" s="1"/>
  <c r="W93" i="7"/>
  <c r="U93" i="7"/>
  <c r="X93" i="7" s="1"/>
  <c r="P93" i="7"/>
  <c r="N93" i="7"/>
  <c r="R93" i="7" s="1"/>
  <c r="L93" i="7"/>
  <c r="AK92" i="7"/>
  <c r="AI92" i="7"/>
  <c r="AM92" i="7" s="1"/>
  <c r="AD92" i="7"/>
  <c r="AB92" i="7"/>
  <c r="AF92" i="7" s="1"/>
  <c r="W92" i="7"/>
  <c r="U92" i="7"/>
  <c r="T92" i="7" s="1"/>
  <c r="P92" i="7"/>
  <c r="N92" i="7"/>
  <c r="R92" i="7" s="1"/>
  <c r="L92" i="7"/>
  <c r="AK91" i="7"/>
  <c r="AI91" i="7"/>
  <c r="AD91" i="7"/>
  <c r="AB91" i="7"/>
  <c r="AF91" i="7" s="1"/>
  <c r="W91" i="7"/>
  <c r="U91" i="7"/>
  <c r="P91" i="7"/>
  <c r="N91" i="7"/>
  <c r="L91" i="7"/>
  <c r="AK90" i="7"/>
  <c r="AI90" i="7"/>
  <c r="AH90" i="7" s="1"/>
  <c r="AD90" i="7"/>
  <c r="AB90" i="7"/>
  <c r="AE90" i="7" s="1"/>
  <c r="W90" i="7"/>
  <c r="U90" i="7"/>
  <c r="Y90" i="7" s="1"/>
  <c r="P90" i="7"/>
  <c r="N90" i="7"/>
  <c r="R90" i="7" s="1"/>
  <c r="L90" i="7"/>
  <c r="AK89" i="7"/>
  <c r="AI89" i="7"/>
  <c r="AD89" i="7"/>
  <c r="AB89" i="7"/>
  <c r="AC89" i="7" s="1"/>
  <c r="W89" i="7"/>
  <c r="U89" i="7"/>
  <c r="P89" i="7"/>
  <c r="N89" i="7"/>
  <c r="R89" i="7" s="1"/>
  <c r="L89" i="7"/>
  <c r="AK88" i="7"/>
  <c r="AI88" i="7"/>
  <c r="AM88" i="7" s="1"/>
  <c r="AD88" i="7"/>
  <c r="AB88" i="7"/>
  <c r="AF88" i="7" s="1"/>
  <c r="W88" i="7"/>
  <c r="U88" i="7"/>
  <c r="Y88" i="7" s="1"/>
  <c r="P88" i="7"/>
  <c r="N88" i="7"/>
  <c r="L88" i="7"/>
  <c r="AK87" i="7"/>
  <c r="AI87" i="7"/>
  <c r="AH87" i="7" s="1"/>
  <c r="AD87" i="7"/>
  <c r="AB87" i="7"/>
  <c r="AF87" i="7" s="1"/>
  <c r="W87" i="7"/>
  <c r="U87" i="7"/>
  <c r="Z87" i="7" s="1"/>
  <c r="P87" i="7"/>
  <c r="N87" i="7"/>
  <c r="L87" i="7"/>
  <c r="AK86" i="7"/>
  <c r="AI86" i="7"/>
  <c r="AH86" i="7" s="1"/>
  <c r="AD86" i="7"/>
  <c r="AB86" i="7"/>
  <c r="AF86" i="7" s="1"/>
  <c r="W86" i="7"/>
  <c r="U86" i="7"/>
  <c r="Y86" i="7" s="1"/>
  <c r="P86" i="7"/>
  <c r="N86" i="7"/>
  <c r="L86" i="7"/>
  <c r="AK85" i="7"/>
  <c r="AI85" i="7"/>
  <c r="AD85" i="7"/>
  <c r="AB85" i="7"/>
  <c r="AF85" i="7" s="1"/>
  <c r="W85" i="7"/>
  <c r="U85" i="7"/>
  <c r="T85" i="7" s="1"/>
  <c r="P85" i="7"/>
  <c r="N85" i="7"/>
  <c r="R85" i="7" s="1"/>
  <c r="L85" i="7"/>
  <c r="AK84" i="7"/>
  <c r="AI84" i="7"/>
  <c r="AM84" i="7" s="1"/>
  <c r="AD84" i="7"/>
  <c r="AB84" i="7"/>
  <c r="AF84" i="7" s="1"/>
  <c r="W84" i="7"/>
  <c r="U84" i="7"/>
  <c r="T84" i="7" s="1"/>
  <c r="P84" i="7"/>
  <c r="N84" i="7"/>
  <c r="R84" i="7" s="1"/>
  <c r="L84" i="7"/>
  <c r="AK83" i="7"/>
  <c r="AI83" i="7"/>
  <c r="AM83" i="7" s="1"/>
  <c r="AD83" i="7"/>
  <c r="AB83" i="7"/>
  <c r="AA83" i="7" s="1"/>
  <c r="W83" i="7"/>
  <c r="U83" i="7"/>
  <c r="Y83" i="7" s="1"/>
  <c r="P83" i="7"/>
  <c r="N83" i="7"/>
  <c r="R83" i="7" s="1"/>
  <c r="L83" i="7"/>
  <c r="AK82" i="7"/>
  <c r="AI82" i="7"/>
  <c r="AM82" i="7" s="1"/>
  <c r="AD82" i="7"/>
  <c r="AB82" i="7"/>
  <c r="AA82" i="7" s="1"/>
  <c r="W82" i="7"/>
  <c r="U82" i="7"/>
  <c r="Y82" i="7" s="1"/>
  <c r="P82" i="7"/>
  <c r="N82" i="7"/>
  <c r="L82" i="7"/>
  <c r="AK81" i="7"/>
  <c r="AI81" i="7"/>
  <c r="AN81" i="7" s="1"/>
  <c r="AD81" i="7"/>
  <c r="AB81" i="7"/>
  <c r="AA81" i="7" s="1"/>
  <c r="W81" i="7"/>
  <c r="U81" i="7"/>
  <c r="Y81" i="7" s="1"/>
  <c r="P81" i="7"/>
  <c r="N81" i="7"/>
  <c r="M81" i="7" s="1"/>
  <c r="L81" i="7"/>
  <c r="AK80" i="7"/>
  <c r="AI80" i="7"/>
  <c r="AN80" i="7" s="1"/>
  <c r="AD80" i="7"/>
  <c r="AB80" i="7"/>
  <c r="AF80" i="7" s="1"/>
  <c r="W80" i="7"/>
  <c r="U80" i="7"/>
  <c r="Y80" i="7" s="1"/>
  <c r="P80" i="7"/>
  <c r="N80" i="7"/>
  <c r="L80" i="7"/>
  <c r="AK79" i="7"/>
  <c r="AI79" i="7"/>
  <c r="AH79" i="7" s="1"/>
  <c r="AD79" i="7"/>
  <c r="AB79" i="7"/>
  <c r="AF79" i="7" s="1"/>
  <c r="W79" i="7"/>
  <c r="U79" i="7"/>
  <c r="X79" i="7" s="1"/>
  <c r="P79" i="7"/>
  <c r="N79" i="7"/>
  <c r="L79"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R65" i="7" s="1"/>
  <c r="L65" i="7"/>
  <c r="AK64" i="7"/>
  <c r="AI64" i="7"/>
  <c r="AD64" i="7"/>
  <c r="AB64" i="7"/>
  <c r="AF64" i="7" s="1"/>
  <c r="W64" i="7"/>
  <c r="U64" i="7"/>
  <c r="Y64" i="7" s="1"/>
  <c r="P64" i="7"/>
  <c r="N64" i="7"/>
  <c r="L64" i="7"/>
  <c r="AK63" i="7"/>
  <c r="AI63" i="7"/>
  <c r="AH63" i="7" s="1"/>
  <c r="AD63" i="7"/>
  <c r="AB63" i="7"/>
  <c r="W63" i="7"/>
  <c r="U63" i="7"/>
  <c r="T63" i="7" s="1"/>
  <c r="P63" i="7"/>
  <c r="N63" i="7"/>
  <c r="R63" i="7" s="1"/>
  <c r="L63" i="7"/>
  <c r="AK62" i="7"/>
  <c r="AI62" i="7"/>
  <c r="AM62" i="7" s="1"/>
  <c r="AD62" i="7"/>
  <c r="AB62" i="7"/>
  <c r="AF62" i="7" s="1"/>
  <c r="W62" i="7"/>
  <c r="U62" i="7"/>
  <c r="Y62" i="7" s="1"/>
  <c r="P62" i="7"/>
  <c r="N62" i="7"/>
  <c r="R62" i="7" s="1"/>
  <c r="L62" i="7"/>
  <c r="AK61" i="7"/>
  <c r="AI61" i="7"/>
  <c r="AM61" i="7" s="1"/>
  <c r="AD61" i="7"/>
  <c r="AB61" i="7"/>
  <c r="AA61" i="7" s="1"/>
  <c r="W61" i="7"/>
  <c r="U61" i="7"/>
  <c r="Z61" i="7" s="1"/>
  <c r="P61" i="7"/>
  <c r="N61" i="7"/>
  <c r="L61" i="7"/>
  <c r="AK60" i="7"/>
  <c r="AI60" i="7"/>
  <c r="AN60" i="7" s="1"/>
  <c r="AD60" i="7"/>
  <c r="AB60" i="7"/>
  <c r="AA60" i="7" s="1"/>
  <c r="W60" i="7"/>
  <c r="U60" i="7"/>
  <c r="Y60" i="7" s="1"/>
  <c r="P60" i="7"/>
  <c r="N60" i="7"/>
  <c r="R60" i="7" s="1"/>
  <c r="L60" i="7"/>
  <c r="AK59" i="7"/>
  <c r="AI59" i="7"/>
  <c r="AM59" i="7" s="1"/>
  <c r="AD59" i="7"/>
  <c r="AB59" i="7"/>
  <c r="AF59" i="7" s="1"/>
  <c r="W59" i="7"/>
  <c r="U59" i="7"/>
  <c r="Y59" i="7" s="1"/>
  <c r="P59" i="7"/>
  <c r="N59" i="7"/>
  <c r="R59" i="7" s="1"/>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R56" i="7" s="1"/>
  <c r="L56" i="7"/>
  <c r="AK55" i="7"/>
  <c r="AI55" i="7"/>
  <c r="AM55" i="7" s="1"/>
  <c r="AD55" i="7"/>
  <c r="AB55" i="7"/>
  <c r="AF55" i="7" s="1"/>
  <c r="W55" i="7"/>
  <c r="U55" i="7"/>
  <c r="Z55" i="7" s="1"/>
  <c r="P55" i="7"/>
  <c r="N55" i="7"/>
  <c r="R55" i="7" s="1"/>
  <c r="L55" i="7"/>
  <c r="AK54" i="7"/>
  <c r="AI54" i="7"/>
  <c r="AM54" i="7" s="1"/>
  <c r="AD54" i="7"/>
  <c r="AB54" i="7"/>
  <c r="AF54" i="7" s="1"/>
  <c r="W54" i="7"/>
  <c r="U54" i="7"/>
  <c r="Y54" i="7" s="1"/>
  <c r="P54" i="7"/>
  <c r="N54" i="7"/>
  <c r="R54" i="7" s="1"/>
  <c r="L54" i="7"/>
  <c r="AK53" i="7"/>
  <c r="AI53" i="7"/>
  <c r="AM53" i="7" s="1"/>
  <c r="AD53" i="7"/>
  <c r="AB53" i="7"/>
  <c r="AF53" i="7" s="1"/>
  <c r="W53" i="7"/>
  <c r="U53" i="7"/>
  <c r="Y53" i="7" s="1"/>
  <c r="P53" i="7"/>
  <c r="N53" i="7"/>
  <c r="L53" i="7"/>
  <c r="AK52" i="7"/>
  <c r="AI52" i="7"/>
  <c r="AN52" i="7" s="1"/>
  <c r="AD52" i="7"/>
  <c r="AB52" i="7"/>
  <c r="AA52" i="7" s="1"/>
  <c r="W52" i="7"/>
  <c r="U52" i="7"/>
  <c r="Y52" i="7" s="1"/>
  <c r="P52" i="7"/>
  <c r="N52" i="7"/>
  <c r="R52" i="7" s="1"/>
  <c r="L52" i="7"/>
  <c r="AK51" i="7"/>
  <c r="AI51" i="7"/>
  <c r="AM51" i="7" s="1"/>
  <c r="AD51" i="7"/>
  <c r="AB51" i="7"/>
  <c r="AF51" i="7" s="1"/>
  <c r="W51" i="7"/>
  <c r="U51" i="7"/>
  <c r="V51" i="7" s="1"/>
  <c r="P51" i="7"/>
  <c r="N51" i="7"/>
  <c r="R51" i="7" s="1"/>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R48" i="7" s="1"/>
  <c r="L48" i="7"/>
  <c r="AK47" i="7"/>
  <c r="AI47" i="7"/>
  <c r="AM47" i="7" s="1"/>
  <c r="AD47" i="7"/>
  <c r="AB47" i="7"/>
  <c r="AG47" i="7" s="1"/>
  <c r="W47" i="7"/>
  <c r="U47" i="7"/>
  <c r="T47" i="7" s="1"/>
  <c r="P47" i="7"/>
  <c r="N47" i="7"/>
  <c r="R47" i="7" s="1"/>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R36" i="7" s="1"/>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AA91" i="7" l="1"/>
  <c r="T61" i="7"/>
  <c r="AH80" i="7"/>
  <c r="T82" i="7"/>
  <c r="T102" i="7"/>
  <c r="AH35" i="7"/>
  <c r="AH46" i="7"/>
  <c r="AA104" i="7"/>
  <c r="T53" i="7"/>
  <c r="AA58" i="7"/>
  <c r="T103" i="7"/>
  <c r="M87" i="7"/>
  <c r="R87" i="7"/>
  <c r="O31" i="7"/>
  <c r="R31" i="7"/>
  <c r="Q42" i="7"/>
  <c r="R42" i="7"/>
  <c r="S81" i="7"/>
  <c r="R81" i="7"/>
  <c r="M88" i="7"/>
  <c r="R88" i="7"/>
  <c r="O99" i="7"/>
  <c r="R99" i="7"/>
  <c r="M100" i="7"/>
  <c r="T105" i="7"/>
  <c r="M76" i="7"/>
  <c r="R76" i="7"/>
  <c r="M33" i="7"/>
  <c r="R33" i="7"/>
  <c r="M50" i="7"/>
  <c r="R50" i="7"/>
  <c r="O57" i="7"/>
  <c r="R57" i="7"/>
  <c r="S77" i="7"/>
  <c r="R77" i="7"/>
  <c r="M89" i="7"/>
  <c r="S103" i="7"/>
  <c r="R103" i="7"/>
  <c r="O43" i="7"/>
  <c r="R43" i="7"/>
  <c r="S82" i="7"/>
  <c r="R82" i="7"/>
  <c r="O44" i="7"/>
  <c r="R44" i="7"/>
  <c r="S58" i="7"/>
  <c r="R58" i="7"/>
  <c r="M64" i="7"/>
  <c r="R64" i="7"/>
  <c r="M78" i="7"/>
  <c r="R78" i="7"/>
  <c r="M32" i="7"/>
  <c r="R32" i="7"/>
  <c r="T33" i="7"/>
  <c r="O34" i="7"/>
  <c r="R34" i="7"/>
  <c r="S45" i="7"/>
  <c r="R45" i="7"/>
  <c r="Q79" i="7"/>
  <c r="R79" i="7"/>
  <c r="S61" i="7"/>
  <c r="R61" i="7"/>
  <c r="M35" i="7"/>
  <c r="R35" i="7"/>
  <c r="AA43" i="7"/>
  <c r="M46" i="7"/>
  <c r="R46" i="7"/>
  <c r="S53" i="7"/>
  <c r="R53" i="7"/>
  <c r="M80" i="7"/>
  <c r="R80" i="7"/>
  <c r="M91" i="7"/>
  <c r="R91" i="7"/>
  <c r="O104" i="7"/>
  <c r="R104" i="7"/>
  <c r="S49" i="7"/>
  <c r="R49" i="7"/>
  <c r="T65" i="7"/>
  <c r="M67" i="7"/>
  <c r="O86" i="7"/>
  <c r="R86" i="7"/>
  <c r="AH88" i="7"/>
  <c r="Q105" i="7"/>
  <c r="R105" i="7"/>
  <c r="AF82" i="7"/>
  <c r="T55" i="7"/>
  <c r="AN99" i="7"/>
  <c r="AL99" i="7"/>
  <c r="V63" i="7"/>
  <c r="AG50" i="7"/>
  <c r="AG64" i="7"/>
  <c r="AG51" i="7"/>
  <c r="Q102" i="7"/>
  <c r="AM78" i="7"/>
  <c r="V99" i="7"/>
  <c r="O52" i="7"/>
  <c r="X99" i="7"/>
  <c r="V86" i="7"/>
  <c r="AM31" i="7"/>
  <c r="V77" i="7"/>
  <c r="O36" i="7"/>
  <c r="AL47" i="7"/>
  <c r="AC51" i="7"/>
  <c r="AA79" i="7"/>
  <c r="AL31" i="7"/>
  <c r="X86" i="7"/>
  <c r="AE50" i="7"/>
  <c r="AL86" i="7"/>
  <c r="AM86" i="7"/>
  <c r="S104" i="7"/>
  <c r="AE81" i="7"/>
  <c r="O102" i="7"/>
  <c r="Y75" i="7"/>
  <c r="AF81" i="7"/>
  <c r="S102" i="7"/>
  <c r="Z99" i="7"/>
  <c r="AE67" i="7"/>
  <c r="AL77" i="7"/>
  <c r="AM42" i="7"/>
  <c r="AC48" i="7"/>
  <c r="AM77" i="7"/>
  <c r="Q83" i="7"/>
  <c r="X35" i="7"/>
  <c r="AN42" i="7"/>
  <c r="Q60" i="7"/>
  <c r="Y35" i="7"/>
  <c r="AE48" i="7"/>
  <c r="S60" i="7"/>
  <c r="V75" i="7"/>
  <c r="AE32" i="7"/>
  <c r="M43" i="7"/>
  <c r="AF48" i="7"/>
  <c r="Q104" i="7"/>
  <c r="AG42" i="7"/>
  <c r="AC60" i="7"/>
  <c r="AE54" i="7"/>
  <c r="AN35" i="7"/>
  <c r="AC81" i="7"/>
  <c r="AJ86" i="7"/>
  <c r="AE104" i="7"/>
  <c r="AJ59" i="7"/>
  <c r="AJ77" i="7"/>
  <c r="AL103" i="7"/>
  <c r="Q32" i="7"/>
  <c r="O83" i="7"/>
  <c r="V92" i="7"/>
  <c r="AJ35" i="7"/>
  <c r="AL83" i="7"/>
  <c r="X92" i="7"/>
  <c r="AC78" i="7"/>
  <c r="AJ63" i="7"/>
  <c r="AG43" i="7"/>
  <c r="X49" i="7"/>
  <c r="O76" i="7"/>
  <c r="AH92" i="7"/>
  <c r="AG104" i="7"/>
  <c r="AL34" i="7"/>
  <c r="AM50" i="7"/>
  <c r="O48" i="7"/>
  <c r="AE42" i="7"/>
  <c r="S48" i="7"/>
  <c r="AN103" i="7"/>
  <c r="AM103" i="7"/>
  <c r="Y76" i="7"/>
  <c r="AM102" i="7"/>
  <c r="AC52" i="7"/>
  <c r="Y61" i="7"/>
  <c r="Z84" i="7"/>
  <c r="S100" i="7"/>
  <c r="Y79" i="7"/>
  <c r="X31" i="7"/>
  <c r="V34" i="7"/>
  <c r="X44" i="7"/>
  <c r="AF52" i="7"/>
  <c r="AF61" i="7"/>
  <c r="AG84" i="7"/>
  <c r="AF90" i="7"/>
  <c r="AA100" i="7"/>
  <c r="AF42" i="7"/>
  <c r="V101" i="7"/>
  <c r="V45" i="7"/>
  <c r="AC80" i="7"/>
  <c r="X101" i="7"/>
  <c r="AJ56" i="7"/>
  <c r="O64" i="7"/>
  <c r="V84" i="7"/>
  <c r="X84" i="7"/>
  <c r="V44" i="7"/>
  <c r="AE52" i="7"/>
  <c r="AA50" i="7"/>
  <c r="AL55" i="7"/>
  <c r="AC64" i="7"/>
  <c r="X103" i="7"/>
  <c r="S64" i="7"/>
  <c r="Q64" i="7"/>
  <c r="Y84" i="7"/>
  <c r="Y34" i="7"/>
  <c r="AN55" i="7"/>
  <c r="Y103" i="7"/>
  <c r="AC50" i="7"/>
  <c r="AE64" i="7"/>
  <c r="AM93" i="7"/>
  <c r="Z103" i="7"/>
  <c r="X61" i="7"/>
  <c r="M48" i="7"/>
  <c r="AA67" i="7"/>
  <c r="AM87" i="7"/>
  <c r="M98" i="7"/>
  <c r="V59" i="7"/>
  <c r="AF32" i="7"/>
  <c r="O35" i="7"/>
  <c r="Z35" i="7"/>
  <c r="V42" i="7"/>
  <c r="AM44" i="7"/>
  <c r="X45" i="7"/>
  <c r="X47" i="7"/>
  <c r="X48" i="7"/>
  <c r="AM48" i="7"/>
  <c r="Z49" i="7"/>
  <c r="X51" i="7"/>
  <c r="Q52" i="7"/>
  <c r="AG54" i="7"/>
  <c r="AL59" i="7"/>
  <c r="X63" i="7"/>
  <c r="AL63" i="7"/>
  <c r="Q76" i="7"/>
  <c r="X77" i="7"/>
  <c r="O80" i="7"/>
  <c r="AE80" i="7"/>
  <c r="AC83" i="7"/>
  <c r="AE89" i="7"/>
  <c r="S90" i="7"/>
  <c r="Y93" i="7"/>
  <c r="AF105" i="7"/>
  <c r="X32" i="7"/>
  <c r="AG32" i="7"/>
  <c r="V33" i="7"/>
  <c r="AH42" i="7"/>
  <c r="AL46" i="7"/>
  <c r="AL51" i="7"/>
  <c r="S52" i="7"/>
  <c r="AG52" i="7"/>
  <c r="Q54" i="7"/>
  <c r="O56" i="7"/>
  <c r="M58" i="7"/>
  <c r="Z59" i="7"/>
  <c r="AN59" i="7"/>
  <c r="Q62" i="7"/>
  <c r="Y63" i="7"/>
  <c r="AM63" i="7"/>
  <c r="AJ75" i="7"/>
  <c r="AM76" i="7"/>
  <c r="Z77" i="7"/>
  <c r="AG81" i="7"/>
  <c r="O85" i="7"/>
  <c r="Z86" i="7"/>
  <c r="Y87" i="7"/>
  <c r="AJ88" i="7"/>
  <c r="Q89" i="7"/>
  <c r="AF89" i="7"/>
  <c r="T90" i="7"/>
  <c r="AA93" i="7"/>
  <c r="AA99" i="7"/>
  <c r="Y102" i="7"/>
  <c r="AH105" i="7"/>
  <c r="AN51" i="7"/>
  <c r="S54" i="7"/>
  <c r="Z63" i="7"/>
  <c r="AN63" i="7"/>
  <c r="AE83" i="7"/>
  <c r="S89" i="7"/>
  <c r="AG89" i="7"/>
  <c r="AE91" i="7"/>
  <c r="AE100" i="7"/>
  <c r="V32" i="7"/>
  <c r="AJ51" i="7"/>
  <c r="X42" i="7"/>
  <c r="AJ31" i="7"/>
  <c r="Z32" i="7"/>
  <c r="Z33" i="7"/>
  <c r="AJ34" i="7"/>
  <c r="T35" i="7"/>
  <c r="AM36" i="7"/>
  <c r="Y42" i="7"/>
  <c r="Q43" i="7"/>
  <c r="AE45" i="7"/>
  <c r="Q56" i="7"/>
  <c r="Q67" i="7"/>
  <c r="AG67" i="7"/>
  <c r="AL75" i="7"/>
  <c r="O78" i="7"/>
  <c r="AJ79" i="7"/>
  <c r="AF83" i="7"/>
  <c r="Q85" i="7"/>
  <c r="O87" i="7"/>
  <c r="AL88" i="7"/>
  <c r="AG91" i="7"/>
  <c r="T99" i="7"/>
  <c r="Q100" i="7"/>
  <c r="AF100" i="7"/>
  <c r="Y32" i="7"/>
  <c r="Q35" i="7"/>
  <c r="S32" i="7"/>
  <c r="AA32" i="7"/>
  <c r="AA33" i="7"/>
  <c r="S36" i="7"/>
  <c r="AL42" i="7"/>
  <c r="S43" i="7"/>
  <c r="AF45" i="7"/>
  <c r="AJ47" i="7"/>
  <c r="Q48" i="7"/>
  <c r="M52" i="7"/>
  <c r="S56" i="7"/>
  <c r="AH59" i="7"/>
  <c r="AE60" i="7"/>
  <c r="V61" i="7"/>
  <c r="AH65" i="7"/>
  <c r="S67" i="7"/>
  <c r="X75" i="7"/>
  <c r="AA76" i="7"/>
  <c r="AE78" i="7"/>
  <c r="V79" i="7"/>
  <c r="Z88" i="7"/>
  <c r="AN88" i="7"/>
  <c r="Q91" i="7"/>
  <c r="AA98" i="7"/>
  <c r="AG100" i="7"/>
  <c r="O62" i="7"/>
  <c r="AH57" i="7"/>
  <c r="Q78" i="7"/>
  <c r="AM79" i="7"/>
  <c r="Q87" i="7"/>
  <c r="AA89" i="7"/>
  <c r="AH104" i="7"/>
  <c r="AC44" i="7"/>
  <c r="AC46" i="7"/>
  <c r="AC88" i="7"/>
  <c r="V53" i="7"/>
  <c r="O58" i="7"/>
  <c r="AJ92" i="7"/>
  <c r="Y100" i="7"/>
  <c r="AE102"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79" i="7"/>
  <c r="Z80" i="7"/>
  <c r="AJ80" i="7"/>
  <c r="O81" i="7"/>
  <c r="V82" i="7"/>
  <c r="AG83" i="7"/>
  <c r="Q84" i="7"/>
  <c r="AL84" i="7"/>
  <c r="S85" i="7"/>
  <c r="AE85" i="7"/>
  <c r="AN86" i="7"/>
  <c r="S87" i="7"/>
  <c r="AE87" i="7"/>
  <c r="Y92" i="7"/>
  <c r="Q93" i="7"/>
  <c r="O98" i="7"/>
  <c r="AC98" i="7"/>
  <c r="Y101" i="7"/>
  <c r="AL101" i="7"/>
  <c r="AG102" i="7"/>
  <c r="AJ105" i="7"/>
  <c r="AC34" i="7"/>
  <c r="AC87" i="7"/>
  <c r="AJ101"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79" i="7"/>
  <c r="AM81" i="7"/>
  <c r="AN82" i="7"/>
  <c r="AN84" i="7"/>
  <c r="AG85" i="7"/>
  <c r="T86" i="7"/>
  <c r="AG87" i="7"/>
  <c r="X90" i="7"/>
  <c r="AL90" i="7"/>
  <c r="Z92" i="7"/>
  <c r="AL92" i="7"/>
  <c r="S93" i="7"/>
  <c r="AE93" i="7"/>
  <c r="Z101" i="7"/>
  <c r="AN101" i="7"/>
  <c r="AM104" i="7"/>
  <c r="X105" i="7"/>
  <c r="AJ53" i="7"/>
  <c r="V57" i="7"/>
  <c r="AC62" i="7"/>
  <c r="AC85" i="7"/>
  <c r="AG34" i="7"/>
  <c r="AG44" i="7"/>
  <c r="AF49" i="7"/>
  <c r="AA64" i="7"/>
  <c r="X65" i="7"/>
  <c r="AL65" i="7"/>
  <c r="AG76" i="7"/>
  <c r="T77" i="7"/>
  <c r="AE79" i="7"/>
  <c r="AL80" i="7"/>
  <c r="Q81" i="7"/>
  <c r="X82" i="7"/>
  <c r="O89" i="7"/>
  <c r="Z90" i="7"/>
  <c r="AC91" i="7"/>
  <c r="AN92" i="7"/>
  <c r="T93" i="7"/>
  <c r="AG93" i="7"/>
  <c r="Q98" i="7"/>
  <c r="AE98" i="7"/>
  <c r="AF99" i="7"/>
  <c r="M102" i="7"/>
  <c r="AC104" i="7"/>
  <c r="M105" i="7"/>
  <c r="Z105" i="7"/>
  <c r="AL105" i="7"/>
  <c r="AJ61" i="7"/>
  <c r="O93" i="7"/>
  <c r="AJ57" i="7"/>
  <c r="AM58" i="7"/>
  <c r="X55" i="7"/>
  <c r="AM57" i="7"/>
  <c r="AE58" i="7"/>
  <c r="O32" i="7"/>
  <c r="AJ36" i="7"/>
  <c r="T45" i="7"/>
  <c r="V47" i="7"/>
  <c r="AH47" i="7"/>
  <c r="V49" i="7"/>
  <c r="O54" i="7"/>
  <c r="AC54" i="7"/>
  <c r="Y55" i="7"/>
  <c r="AJ55" i="7"/>
  <c r="AF58" i="7"/>
  <c r="O60" i="7"/>
  <c r="M62" i="7"/>
  <c r="Z65" i="7"/>
  <c r="AM65" i="7"/>
  <c r="AM80" i="7"/>
  <c r="Z82" i="7"/>
  <c r="M83" i="7"/>
  <c r="M85" i="7"/>
  <c r="AA90" i="7"/>
  <c r="S98" i="7"/>
  <c r="AF98" i="7"/>
  <c r="AH99" i="7"/>
  <c r="AM105" i="7"/>
  <c r="AJ84" i="7"/>
  <c r="AC76" i="7"/>
  <c r="V90" i="7"/>
  <c r="AF31" i="7"/>
  <c r="Z53" i="7"/>
  <c r="AL33" i="7"/>
  <c r="AA46" i="7"/>
  <c r="T57" i="7"/>
  <c r="AH61" i="7"/>
  <c r="AA62" i="7"/>
  <c r="AH84" i="7"/>
  <c r="AA85" i="7"/>
  <c r="AA87" i="7"/>
  <c r="M93" i="7"/>
  <c r="AH101" i="7"/>
  <c r="AA102"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98" i="7"/>
  <c r="Z98" i="7"/>
  <c r="Y98" i="7"/>
  <c r="X98" i="7"/>
  <c r="V98"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89" i="7"/>
  <c r="Z89" i="7"/>
  <c r="Y89" i="7"/>
  <c r="V89" i="7"/>
  <c r="X89" i="7"/>
  <c r="Z91" i="7"/>
  <c r="X91" i="7"/>
  <c r="T91" i="7"/>
  <c r="Y91" i="7"/>
  <c r="V91"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79" i="7"/>
  <c r="T80" i="7"/>
  <c r="AH82" i="7"/>
  <c r="AH83" i="7"/>
  <c r="AN83" i="7"/>
  <c r="AJ83" i="7"/>
  <c r="AC84" i="7"/>
  <c r="AA84" i="7"/>
  <c r="AE84" i="7"/>
  <c r="S86" i="7"/>
  <c r="Q86" i="7"/>
  <c r="M86" i="7"/>
  <c r="AL87" i="7"/>
  <c r="AJ87" i="7"/>
  <c r="AN87" i="7"/>
  <c r="T88" i="7"/>
  <c r="AN90" i="7"/>
  <c r="Y78" i="7"/>
  <c r="AJ89" i="7"/>
  <c r="AH89" i="7"/>
  <c r="AL89" i="7"/>
  <c r="AH91" i="7"/>
  <c r="AN91" i="7"/>
  <c r="AM91" i="7"/>
  <c r="AL91" i="7"/>
  <c r="AJ91" i="7"/>
  <c r="T76" i="7"/>
  <c r="AJ76" i="7"/>
  <c r="O77" i="7"/>
  <c r="Z78" i="7"/>
  <c r="AH78" i="7"/>
  <c r="M79" i="7"/>
  <c r="V80" i="7"/>
  <c r="T81" i="7"/>
  <c r="Z81" i="7"/>
  <c r="V81" i="7"/>
  <c r="O82" i="7"/>
  <c r="M82" i="7"/>
  <c r="Q82" i="7"/>
  <c r="AJ82" i="7"/>
  <c r="X85" i="7"/>
  <c r="V85" i="7"/>
  <c r="Z85" i="7"/>
  <c r="AA86" i="7"/>
  <c r="AG86" i="7"/>
  <c r="AC86" i="7"/>
  <c r="V88" i="7"/>
  <c r="AH100" i="7"/>
  <c r="AN100" i="7"/>
  <c r="AM100" i="7"/>
  <c r="AL100" i="7"/>
  <c r="AJ100" i="7"/>
  <c r="AA103" i="7"/>
  <c r="AG103" i="7"/>
  <c r="AF103" i="7"/>
  <c r="AE103" i="7"/>
  <c r="AC103" i="7"/>
  <c r="AN85" i="7"/>
  <c r="AL85" i="7"/>
  <c r="AH85" i="7"/>
  <c r="AM89" i="7"/>
  <c r="O91" i="7"/>
  <c r="V76" i="7"/>
  <c r="AL76" i="7"/>
  <c r="Q77" i="7"/>
  <c r="T78" i="7"/>
  <c r="AJ78" i="7"/>
  <c r="O79" i="7"/>
  <c r="AG79" i="7"/>
  <c r="Q80" i="7"/>
  <c r="S80" i="7"/>
  <c r="X80" i="7"/>
  <c r="X81" i="7"/>
  <c r="AL82" i="7"/>
  <c r="S83" i="7"/>
  <c r="Y85" i="7"/>
  <c r="AJ85" i="7"/>
  <c r="AE86" i="7"/>
  <c r="X88" i="7"/>
  <c r="AN89" i="7"/>
  <c r="M92" i="7"/>
  <c r="S92" i="7"/>
  <c r="Q92" i="7"/>
  <c r="O92" i="7"/>
  <c r="M101" i="7"/>
  <c r="S101" i="7"/>
  <c r="Q101" i="7"/>
  <c r="O101" i="7"/>
  <c r="AJ81" i="7"/>
  <c r="AH81" i="7"/>
  <c r="AL81" i="7"/>
  <c r="AE82" i="7"/>
  <c r="AC82" i="7"/>
  <c r="AG82" i="7"/>
  <c r="Z83" i="7"/>
  <c r="X83" i="7"/>
  <c r="T83" i="7"/>
  <c r="M84" i="7"/>
  <c r="S84" i="7"/>
  <c r="O84" i="7"/>
  <c r="V87" i="7"/>
  <c r="T87" i="7"/>
  <c r="X87" i="7"/>
  <c r="Q88" i="7"/>
  <c r="O88" i="7"/>
  <c r="S88" i="7"/>
  <c r="AM90" i="7"/>
  <c r="AJ90" i="7"/>
  <c r="AC92" i="7"/>
  <c r="AA92" i="7"/>
  <c r="AG92" i="7"/>
  <c r="AE92" i="7"/>
  <c r="Z79" i="7"/>
  <c r="AL79" i="7"/>
  <c r="AN79" i="7"/>
  <c r="AG80" i="7"/>
  <c r="AA80" i="7"/>
  <c r="V83" i="7"/>
  <c r="AM85" i="7"/>
  <c r="AG88" i="7"/>
  <c r="AE88" i="7"/>
  <c r="AA88" i="7"/>
  <c r="O90" i="7"/>
  <c r="M90" i="7"/>
  <c r="Q90" i="7"/>
  <c r="S91" i="7"/>
  <c r="AG90" i="7"/>
  <c r="Z93" i="7"/>
  <c r="AH93" i="7"/>
  <c r="AL98" i="7"/>
  <c r="Q99" i="7"/>
  <c r="AG99" i="7"/>
  <c r="T100" i="7"/>
  <c r="AE101" i="7"/>
  <c r="Z102" i="7"/>
  <c r="AH102" i="7"/>
  <c r="M103" i="7"/>
  <c r="X104" i="7"/>
  <c r="AN104" i="7"/>
  <c r="S105" i="7"/>
  <c r="AA105" i="7"/>
  <c r="AM98" i="7"/>
  <c r="AF101" i="7"/>
  <c r="Y104" i="7"/>
  <c r="AJ93" i="7"/>
  <c r="AN98" i="7"/>
  <c r="S99" i="7"/>
  <c r="V100" i="7"/>
  <c r="AG101" i="7"/>
  <c r="AJ102" i="7"/>
  <c r="O103" i="7"/>
  <c r="Z104" i="7"/>
  <c r="AC105" i="7"/>
  <c r="AC93" i="7"/>
  <c r="AJ99" i="7"/>
  <c r="O100" i="7"/>
  <c r="AC102" i="7"/>
  <c r="V105" i="7"/>
  <c r="AC90" i="7"/>
  <c r="V93" i="7"/>
  <c r="AL93" i="7"/>
  <c r="AH98" i="7"/>
  <c r="M99" i="7"/>
  <c r="AC99" i="7"/>
  <c r="X100" i="7"/>
  <c r="AA101" i="7"/>
  <c r="V102" i="7"/>
  <c r="AL102" i="7"/>
  <c r="Q103" i="7"/>
  <c r="T104" i="7"/>
  <c r="AJ104" i="7"/>
  <c r="O105" i="7"/>
  <c r="AE105" i="7"/>
  <c r="L102" i="7" l="1"/>
  <c r="L100" i="7"/>
  <c r="L103" i="7"/>
  <c r="L99" i="7"/>
  <c r="L104" i="7"/>
  <c r="L98" i="8"/>
  <c r="L94" i="8"/>
  <c r="L102" i="8"/>
  <c r="C9" i="8"/>
  <c r="L9" i="8" s="1"/>
  <c r="C8" i="8"/>
  <c r="L8" i="8" s="1"/>
  <c r="L4" i="8"/>
  <c r="C7" i="8" a="1"/>
  <c r="C7" i="8" s="1"/>
  <c r="L101" i="7"/>
  <c r="L105"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 l="1" a="1"/>
  <c r="C1" i="7" s="1"/>
  <c r="C1" i="36" l="1" a="1"/>
  <c r="C1" i="36" s="1"/>
  <c r="B27" i="36" s="1"/>
  <c r="C27" i="36" s="1"/>
  <c r="L27" i="36" s="1"/>
  <c r="B26" i="7"/>
  <c r="C26" i="7" s="1"/>
  <c r="L26" i="7" s="1"/>
  <c r="B27" i="7"/>
  <c r="C27" i="7" s="1"/>
  <c r="L27" i="7" s="1"/>
  <c r="L1" i="7"/>
  <c r="L94" i="7" s="1"/>
  <c r="C10" i="7"/>
  <c r="L10" i="7" s="1"/>
  <c r="C16" i="7"/>
  <c r="L16" i="7" s="1"/>
  <c r="C12" i="7"/>
  <c r="L12" i="7" s="1"/>
  <c r="C11" i="7"/>
  <c r="L11" i="7" s="1"/>
  <c r="C9" i="7" l="1"/>
  <c r="L9" i="7" s="1"/>
  <c r="L4" i="7"/>
  <c r="L1" i="36"/>
  <c r="C8" i="36" s="1"/>
  <c r="L8" i="36" s="1"/>
  <c r="C8" i="7"/>
  <c r="L8" i="7" s="1"/>
  <c r="C7" i="7" a="1"/>
  <c r="C7" i="7" s="1"/>
  <c r="B26" i="36"/>
  <c r="C26" i="36" s="1"/>
  <c r="L26" i="36" s="1"/>
  <c r="C10" i="36"/>
  <c r="L10" i="36" s="1"/>
  <c r="C16" i="36"/>
  <c r="L16" i="36" s="1"/>
  <c r="C12" i="36"/>
  <c r="L12" i="36" s="1"/>
  <c r="C11" i="36"/>
  <c r="L11" i="36" s="1"/>
  <c r="L4" i="36" l="1"/>
  <c r="C9" i="36"/>
  <c r="L9" i="36" s="1"/>
  <c r="C19" i="7"/>
  <c r="L19" i="7" s="1"/>
  <c r="L7" i="7"/>
  <c r="L102" i="36"/>
  <c r="C7" i="36" a="1"/>
  <c r="C7" i="36"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62FBA05-9498-4D69-9CC2-022BB5861A30}">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37B6B19-6F0A-4CFA-8BAA-F21203B6696F}">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<sst xmlns="http://schemas.openxmlformats.org/spreadsheetml/2006/main" count="4841" uniqueCount="1088">
  <si>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</si>
  <si>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</si>
  <si>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</si>
  <si>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</si>
  <si>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</si>
  <si>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</si>
  <si>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</si>
  <si>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</si>
  <si>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</si>
  <si>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</si>
  <si>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</si>
  <si>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</si>
  <si>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</si>
  <si>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</si>
  <si>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</si>
  <si>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</si>
  <si>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</si>
  <si>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</si>
  <si>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</si>
  <si>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</si>
  <si>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</si>
  <si>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</si>
  <si>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</si>
  <si>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</si>
  <si>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</si>
  <si>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</si>
  <si>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</si>
  <si>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</si>
  <si>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</si>
  <si>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</si>
  <si>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</si>
  <si>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</si>
  <si>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</si>
  <si>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</si>
  <si>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</si>
  <si>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</si>
  <si>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</si>
  <si>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</si>
  <si>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</si>
  <si>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</si>
  <si>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</si>
  <si>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</si>
  <si>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</si>
  <si>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</si>
  <si>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</si>
  <si>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</si>
  <si>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</si>
  <si>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</si>
  <si>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</si>
  <si>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</si>
  <si>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</si>
  <si>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</si>
  <si>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</si>
  <si>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</si>
  <si>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</si>
  <si>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</si>
  <si>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</si>
  <si>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</si>
  <si>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</si>
  <si>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</si>
  <si>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</si>
  <si>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</si>
  <si>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</si>
  <si>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</si>
  <si>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</si>
  <si>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</si>
  <si>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</si>
  <si>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</si>
  <si>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</si>
  <si>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</si>
  <si>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</si>
  <si>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</si>
  <si>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</si>
  <si>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</si>
  <si>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</si>
  <si>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</si>
  <si>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</si>
  <si>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</si>
  <si>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</si>
  <si>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</si>
  <si>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</si>
  <si>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</si>
  <si>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</si>
  <si>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</si>
  <si>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</si>
  <si>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</si>
  <si>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</si>
  <si>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</si>
  <si>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</si>
  <si>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</si>
  <si>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</si>
  <si>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</si>
  <si>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</si>
  <si>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</si>
  <si>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</si>
  <si>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</si>
  <si>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</si>
  <si>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</si>
  <si>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</si>
  <si>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</si>
  <si>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</si>
  <si>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</si>
  <si>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</si>
  <si>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</si>
  <si>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</si>
  <si>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</si>
  <si>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</si>
  <si>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</si>
  <si>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</si>
  <si>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</si>
  <si>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</si>
  <si>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</si>
  <si>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</si>
  <si>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</si>
  <si>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</si>
  <si>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</si>
  <si>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</si>
  <si>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</si>
  <si>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</si>
  <si>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</si>
  <si>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</si>
  <si>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</si>
  <si>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</si>
  <si>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</si>
  <si>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</si>
  <si>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</si>
  <si>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</si>
  <si>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</si>
  <si>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</si>
  <si>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</si>
  <si>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</si>
  <si>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</si>
  <si>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</si>
  <si>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</si>
  <si>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</si>
  <si>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</si>
  <si>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</si>
  <si>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</si>
  <si>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</si>
  <si>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</si>
  <si>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</si>
  <si>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</si>
  <si>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</si>
  <si>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</si>
  <si>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</si>
  <si>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</si>
  <si>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</si>
  <si>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</si>
  <si>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</si>
  <si>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</si>
  <si>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</si>
  <si>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</si>
  <si>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</si>
  <si>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</si>
  <si>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</si>
  <si>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</si>
  <si>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</si>
  <si>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</si>
  <si>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</si>
  <si>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</si>
  <si>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</si>
  <si>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</si>
  <si>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</si>
  <si>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</si>
  <si>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</si>
  <si>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</si>
  <si>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</si>
  <si>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</si>
  <si>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</si>
  <si>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</si>
  <si>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</si>
  <si>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</si>
  <si>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</si>
  <si>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</si>
  <si>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</si>
  <si>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</si>
  <si>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</si>
  <si>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</si>
  <si>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</si>
  <si>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</si>
  <si>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</si>
  <si>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</si>
  <si>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</si>
  <si>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</si>
  <si>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</si>
  <si>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</si>
  <si>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</si>
  <si>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</si>
  <si>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</si>
  <si>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</si>
  <si>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</si>
  <si>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</si>
  <si>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</si>
  <si>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</si>
  <si>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</si>
  <si>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</si>
  <si>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</si>
  <si>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</si>
  <si>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</si>
  <si>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</si>
  <si>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</si>
  <si>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</si>
  <si>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</si>
  <si>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</si>
  <si>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</si>
  <si>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</si>
  <si>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</si>
  <si>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</si>
  <si>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</si>
  <si>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</si>
  <si>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</si>
  <si>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</si>
  <si>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</si>
  <si>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</si>
  <si>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</si>
  <si>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</si>
  <si>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</si>
  <si>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</si>
  <si>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</si>
  <si>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</si>
  <si>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</si>
  <si>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</si>
  <si>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</si>
  <si>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</si>
  <si>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</si>
  <si>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</si>
  <si>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</si>
  <si>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</si>
  <si>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</si>
  <si>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</si>
  <si>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</si>
  <si>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</si>
  <si>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</si>
  <si>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</si>
  <si>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</si>
  <si>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</si>
  <si>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</si>
  <si>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</si>
  <si>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</si>
  <si>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</si>
  <si>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</si>
  <si>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</si>
  <si>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</si>
  <si>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</si>
  <si>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</si>
  <si>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</si>
  <si>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</si>
  <si>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</si>
  <si>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</si>
  <si>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</si>
  <si>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</si>
  <si>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</si>
  <si>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</si>
  <si>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</si>
  <si>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</si>
  <si>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</si>
  <si>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</si>
  <si>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</si>
  <si>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</si>
  <si>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</si>
  <si>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</si>
  <si>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</si>
  <si>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</si>
  <si>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</si>
  <si>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</si>
  <si>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</si>
  <si>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</si>
  <si>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</si>
  <si>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</si>
  <si>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</si>
  <si>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</si>
  <si>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</si>
  <si>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</si>
  <si>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</si>
  <si>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</si>
  <si>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</si>
  <si>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</si>
  <si>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</si>
  <si>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</si>
  <si>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</si>
  <si>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</si>
  <si>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</si>
  <si>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</si>
  <si>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</si>
  <si>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</si>
  <si>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</si>
  <si>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</si>
  <si>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</si>
  <si>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</si>
  <si>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</si>
  <si>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</si>
  <si>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</si>
  <si>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</si>
  <si>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</si>
  <si>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</si>
  <si>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</si>
  <si>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</si>
  <si>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</si>
  <si>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</si>
  <si>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</si>
  <si>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</si>
  <si>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</si>
  <si>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</si>
  <si>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</si>
  <si>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</si>
  <si>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</si>
  <si>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</si>
  <si>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</si>
  <si>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</si>
  <si>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</si>
  <si>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</si>
  <si>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</si>
  <si>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</si>
  <si>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</si>
  <si>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</si>
  <si>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</si>
  <si>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</si>
  <si>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</si>
  <si>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</si>
  <si>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</si>
  <si>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</si>
  <si>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</si>
  <si>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</si>
  <si>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</si>
  <si>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</si>
  <si>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</si>
  <si>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</si>
  <si>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</si>
  <si>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</si>
  <si>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</si>
  <si>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</si>
  <si>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</si>
  <si>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</si>
  <si>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</si>
  <si>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</si>
  <si>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</si>
  <si>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</si>
  <si>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</si>
  <si>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</si>
  <si>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</si>
  <si>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</si>
  <si>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</si>
  <si>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</si>
  <si>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</si>
  <si>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</si>
  <si>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</si>
  <si>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</si>
  <si>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</si>
  <si>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</si>
  <si>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</si>
  <si>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</si>
  <si>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</si>
  <si>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</si>
  <si>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</si>
  <si>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</si>
  <si>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</si>
  <si>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</si>
  <si>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</si>
  <si>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</si>
  <si>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</si>
  <si>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</si>
  <si>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</si>
  <si>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</si>
  <si>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</si>
  <si>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</si>
  <si>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</si>
  <si>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</si>
  <si>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</si>
  <si>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</si>
  <si>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</si>
  <si>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</si>
  <si>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</si>
  <si>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</si>
  <si>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</si>
  <si>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</si>
  <si>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</si>
  <si>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</si>
  <si>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</si>
  <si>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</si>
  <si>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</si>
  <si>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</si>
  <si>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</si>
  <si>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</si>
  <si>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</si>
  <si>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</si>
  <si>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</si>
  <si>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</si>
  <si>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</si>
  <si>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</si>
  <si>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</si>
  <si>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</si>
  <si>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</si>
  <si>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</si>
  <si>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</si>
  <si>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</si>
  <si>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</si>
  <si>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</si>
  <si>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</si>
  <si>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</si>
  <si>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</si>
  <si>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</si>
  <si>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</si>
  <si>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</si>
  <si>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</si>
  <si>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</si>
  <si>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</si>
  <si>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</si>
  <si>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</si>
  <si>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</si>
  <si>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</si>
  <si>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</si>
  <si>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</si>
  <si>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</si>
  <si>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</si>
  <si>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</si>
  <si>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</si>
  <si>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</si>
  <si>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</si>
  <si>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</si>
  <si>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</si>
  <si>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</si>
  <si>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</si>
  <si>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</si>
  <si>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</si>
  <si>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</si>
  <si>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</si>
  <si>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</si>
  <si>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</si>
  <si>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</si>
  <si>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</si>
  <si>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</si>
  <si>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</si>
  <si>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</si>
  <si>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</si>
  <si>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</si>
  <si>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</si>
  <si>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</si>
  <si>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</si>
  <si>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</si>
  <si>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</si>
  <si>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</si>
  <si>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</si>
  <si>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</si>
  <si>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</si>
  <si>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</si>
  <si>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</si>
  <si>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</si>
  <si>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</si>
  <si>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</si>
  <si>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</si>
  <si>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</si>
  <si>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</si>
  <si>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</si>
  <si>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</si>
  <si>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</si>
  <si>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</si>
  <si>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</si>
  <si>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</si>
  <si>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</si>
  <si>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</si>
  <si>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</si>
  <si>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</si>
  <si>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</si>
  <si>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</si>
  <si>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</si>
  <si>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</si>
  <si>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</si>
  <si>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</si>
  <si>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</si>
  <si>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</si>
  <si>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</si>
  <si>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</si>
  <si>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</si>
  <si>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</si>
  <si>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</si>
  <si>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</si>
  <si>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</si>
  <si>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</si>
  <si>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</si>
  <si>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</si>
  <si>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</si>
  <si>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</si>
  <si>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</si>
  <si>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</si>
  <si>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</si>
  <si>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</si>
  <si>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</si>
  <si>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</si>
  <si>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</si>
  <si>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</si>
  <si>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</si>
  <si>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</si>
  <si>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</si>
  <si>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</si>
  <si>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</si>
  <si>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</si>
  <si>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</si>
  <si>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</si>
  <si>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</si>
  <si>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</si>
  <si>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</si>
  <si>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</si>
  <si>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</si>
  <si>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</si>
  <si>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</si>
  <si>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</si>
  <si>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</si>
  <si>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</si>
  <si>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</si>
  <si>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</si>
  <si>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</si>
  <si>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</si>
  <si>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</si>
  <si>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</si>
  <si>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</si>
  <si>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</si>
  <si>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</si>
  <si>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</si>
  <si>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</si>
  <si>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</si>
  <si>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</si>
  <si>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</si>
  <si>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</si>
  <si>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</si>
  <si>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</si>
  <si>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</si>
  <si>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</si>
  <si>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</si>
  <si>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</si>
  <si>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</si>
  <si>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</si>
  <si>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</si>
  <si>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</si>
  <si>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</si>
  <si>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</si>
  <si>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</si>
  <si>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</si>
  <si>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</si>
  <si>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</si>
  <si>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</si>
  <si>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</si>
  <si>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</si>
  <si>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</si>
  <si>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</si>
  <si>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</si>
  <si>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</si>
  <si>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</si>
  <si>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</si>
  <si>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</si>
  <si>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</si>
  <si>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</si>
  <si>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</si>
  <si>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</si>
  <si>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</si>
  <si>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</si>
  <si>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</si>
  <si>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</si>
  <si>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</si>
  <si>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</si>
  <si>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</si>
  <si>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</si>
  <si>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</si>
  <si>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</si>
  <si>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</si>
  <si>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</si>
  <si>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</si>
  <si>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</si>
  <si>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</si>
  <si>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</si>
  <si>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</si>
  <si>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</si>
  <si>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</si>
  <si>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</si>
  <si>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</si>
  <si>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</si>
  <si>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</si>
  <si>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</si>
  <si>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</si>
  <si>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</si>
  <si>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</si>
  <si>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</si>
  <si>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</si>
  <si>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</si>
  <si>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</si>
  <si>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</si>
  <si>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</si>
  <si>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</si>
  <si>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</si>
  <si>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</si>
  <si>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</si>
  <si>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</si>
  <si>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</si>
  <si>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</si>
  <si>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</si>
  <si>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</si>
  <si>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</si>
  <si>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</si>
  <si>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</si>
  <si>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</si>
  <si>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</si>
  <si>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</si>
  <si>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</si>
  <si>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</si>
  <si>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</si>
  <si>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</si>
  <si>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</si>
  <si>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</si>
  <si>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</si>
  <si>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</si>
  <si>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</si>
  <si>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</si>
  <si>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</si>
  <si>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</si>
  <si>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</si>
  <si>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</si>
  <si>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</si>
  <si>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</si>
  <si>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</si>
  <si>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</si>
  <si>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</si>
  <si>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</si>
  <si>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</si>
  <si>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</si>
  <si>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</si>
  <si>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</si>
  <si>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</si>
  <si>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</si>
  <si>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</si>
  <si>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</si>
  <si>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</si>
  <si>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</si>
  <si>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</si>
  <si>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</si>
  <si>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</si>
  <si>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</si>
  <si>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</si>
  <si>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</si>
  <si>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</si>
  <si>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</si>
  <si>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</si>
  <si>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</si>
  <si>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</si>
  <si>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</si>
  <si>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</si>
  <si>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</si>
  <si>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</si>
  <si>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</si>
  <si>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</si>
  <si>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</si>
  <si>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</si>
  <si>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</si>
  <si>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</si>
  <si>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</si>
  <si>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</si>
  <si>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</si>
  <si>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</si>
  <si>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</si>
  <si>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</si>
  <si>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</si>
  <si>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</si>
  <si>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</si>
  <si>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</si>
  <si>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</si>
  <si>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</si>
  <si>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</si>
  <si>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</si>
  <si>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</si>
  <si>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</si>
  <si>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</si>
  <si>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</si>
  <si>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</si>
  <si>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</si>
  <si>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</si>
  <si>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</si>
  <si>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</si>
  <si>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</si>
  <si>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</si>
  <si>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</si>
  <si>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</si>
  <si>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</si>
  <si>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</si>
  <si>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</si>
  <si>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</si>
  <si>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</si>
  <si>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</si>
  <si>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</si>
  <si>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</si>
  <si>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</si>
  <si>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</si>
  <si>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</si>
  <si>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</si>
  <si>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</si>
  <si>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</si>
  <si>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</si>
  <si>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</si>
  <si>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</si>
  <si>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</si>
  <si>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</si>
  <si>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</si>
  <si>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</si>
  <si>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</si>
  <si>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</si>
  <si>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</si>
  <si>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</si>
  <si>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</si>
  <si>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</si>
  <si>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</si>
  <si>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</si>
  <si>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</si>
  <si>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</si>
  <si>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</si>
  <si>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</si>
  <si>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</si>
  <si>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</si>
  <si>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</si>
  <si>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</si>
  <si>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</si>
  <si>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</si>
  <si>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</si>
  <si>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</si>
  <si>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</si>
  <si>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</si>
  <si>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</si>
  <si>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</si>
  <si>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</si>
  <si>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</si>
  <si>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</si>
  <si>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</si>
  <si>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</si>
  <si>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</si>
  <si>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</si>
  <si>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</si>
  <si>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</si>
  <si>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</si>
  <si>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</si>
  <si>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</si>
  <si>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</si>
  <si>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</si>
  <si>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</si>
  <si>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</si>
  <si>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</si>
  <si>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</si>
  <si>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</si>
  <si>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</si>
  <si>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</si>
  <si>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</si>
  <si>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</si>
  <si>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</si>
  <si>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</si>
  <si>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</si>
  <si>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</si>
  <si>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</si>
  <si>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</si>
  <si>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</si>
  <si>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</si>
  <si>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</si>
  <si>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</si>
  <si>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</si>
  <si>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</si>
  <si>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</si>
  <si>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</si>
  <si>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</si>
  <si>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</si>
  <si>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</si>
  <si>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</si>
  <si>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</si>
  <si>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</si>
  <si>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</si>
  <si>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</si>
  <si>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</si>
  <si>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</si>
  <si>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</si>
  <si>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</si>
  <si>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</si>
  <si>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</si>
  <si>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</si>
  <si>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</si>
  <si>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</si>
  <si>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</si>
  <si>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</si>
  <si>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</si>
  <si>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</si>
  <si>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</si>
  <si>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</si>
  <si>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</si>
  <si>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</si>
  <si>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</si>
  <si>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</si>
  <si>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</si>
  <si>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</si>
  <si>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</si>
  <si>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</si>
  <si>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</si>
  <si>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</si>
  <si>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</si>
  <si>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</si>
  <si>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</si>
  <si>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</si>
  <si>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</si>
  <si>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</si>
  <si>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</si>
  <si>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</si>
  <si>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</si>
  <si>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</si>
  <si>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</si>
  <si>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</si>
  <si>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</si>
  <si>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</si>
  <si>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</si>
  <si>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</si>
  <si>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</si>
  <si>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</si>
  <si>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</si>
  <si>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</si>
  <si>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</si>
  <si>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</si>
  <si>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</si>
  <si>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</si>
  <si>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</si>
  <si>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</si>
  <si>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</si>
  <si>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</si>
  <si>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</si>
  <si>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</si>
  <si>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</si>
  <si>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</si>
  <si>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</si>
  <si>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</si>
  <si>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</si>
  <si>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</si>
  <si>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</si>
  <si>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</si>
  <si>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</si>
  <si>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</si>
  <si>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</si>
  <si>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</si>
  <si>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</si>
  <si>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</si>
  <si>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</si>
  <si>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</si>
  <si>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</si>
  <si>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</si>
  <si>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</si>
  <si>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</si>
  <si>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</si>
  <si>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</si>
  <si>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</si>
  <si>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</si>
  <si>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</si>
  <si>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</si>
  <si>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</si>
  <si>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</si>
  <si>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</si>
  <si>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</si>
  <si>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</si>
  <si>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</si>
  <si>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</si>
  <si>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</si>
  <si>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</si>
  <si>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</si>
  <si>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</si>
  <si>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</si>
  <si>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</si>
  <si>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</si>
  <si>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</si>
  <si>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</si>
  <si>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</si>
  <si>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</si>
  <si>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</si>
  <si>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</si>
  <si>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</si>
  <si>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</si>
  <si>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</si>
  <si>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</si>
  <si>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</si>
  <si>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</si>
  <si>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</si>
  <si>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</si>
  <si>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</si>
  <si>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</si>
  <si>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</si>
  <si>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</si>
  <si>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</si>
  <si>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</si>
  <si>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</si>
  <si>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</si>
  <si>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</si>
  <si>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</si>
  <si>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</si>
  <si>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</si>
  <si>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</si>
  <si>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</si>
  <si>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</si>
  <si>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</si>
  <si>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</si>
  <si>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</si>
  <si>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</si>
  <si>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</si>
  <si>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</si>
  <si>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</si>
  <si>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</si>
  <si>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</si>
  <si>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</si>
  <si>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</si>
  <si>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</si>
  <si>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</si>
  <si>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</si>
  <si>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</si>
  <si>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</si>
  <si>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</si>
  <si>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</si>
  <si>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</si>
  <si>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</si>
  <si>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</si>
  <si>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</si>
  <si>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</si>
  <si>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</si>
  <si>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</si>
  <si>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</si>
  <si>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</si>
  <si>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</si>
  <si>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</si>
  <si>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</si>
  <si>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</si>
  <si>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</si>
  <si>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</si>
  <si>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</si>
  <si>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</si>
  <si>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</si>
  <si>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</si>
  <si>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</si>
  <si>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</si>
  <si>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</si>
  <si>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</si>
  <si>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</si>
  <si>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</si>
  <si>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</si>
  <si>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</si>
  <si>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</si>
  <si>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</si>
  <si>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</si>
  <si>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</si>
  <si>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</si>
  <si>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</si>
  <si>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</si>
  <si>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</si>
  <si>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</si>
  <si>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</si>
  <si>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</si>
  <si>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</si>
  <si>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</si>
  <si>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</si>
  <si>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</si>
  <si>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</si>
  <si>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</si>
  <si>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</si>
  <si>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</si>
  <si>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</si>
  <si>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</si>
  <si>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</si>
  <si>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</si>
  <si>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</si>
  <si>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</si>
  <si>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</si>
  <si>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</si>
  <si>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</si>
  <si>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</si>
  <si>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</si>
  <si>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</si>
  <si>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</si>
  <si>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</si>
  <si>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</si>
  <si>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</si>
  <si>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</si>
  <si>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</si>
  <si>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</si>
  <si>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</si>
  <si>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</si>
  <si>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</si>
  <si>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</si>
  <si>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</si>
  <si>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</si>
  <si>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</si>
  <si>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</si>
  <si>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</si>
  <si>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</si>
  <si>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</si>
  <si>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</si>
  <si>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</si>
  <si>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</si>
  <si>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</si>
  <si>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</si>
  <si>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</si>
  <si>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</si>
  <si>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</si>
  <si>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</si>
  <si>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</si>
  <si>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</si>
  <si>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</si>
  <si>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</si>
  <si>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</si>
  <si>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</si>
  <si>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</si>
  <si>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</si>
  <si>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</si>
  <si>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</si>
  <si>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</si>
  <si>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</si>
  <si>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</si>
  <si>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</si>
  <si>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</si>
  <si>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</si>
  <si>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</si>
  <si>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</si>
  <si>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</si>
  <si>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</si>
  <si>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</si>
  <si>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</si>
  <si>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</si>
  <si>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</si>
  <si>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</si>
  <si>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</si>
  <si>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</si>
  <si>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</si>
  <si>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</si>
  <si>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</si>
  <si>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</si>
  <si>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</si>
  <si>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</si>
  <si>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</si>
  <si>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</si>
  <si>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t>
  </si>
  <si>
    <t>MARÍA DE JASNA GÓRA</t>
  </si>
  <si>
    <t>Fa</t>
  </si>
  <si>
    <t>MAGNIFICAT</t>
  </si>
  <si>
    <t>MARÍA, CASA DE BENDICIÓN</t>
  </si>
  <si>
    <t>MARÍA, MADRE DE LA IGLESIA</t>
  </si>
  <si>
    <t>MARÍA, MADRE DEL CAMINO ARDIENT</t>
  </si>
  <si>
    <t>MARÍA, PEQUEÑA MARÍA</t>
  </si>
  <si>
    <t>ME ENSEÑARÁS EL CAMINO DE LA VI</t>
  </si>
  <si>
    <t>Pasado el sábado,</t>
  </si>
  <si>
    <t>al alba del primer día de la semana,</t>
  </si>
  <si>
    <t>María Magdalena y la otra María</t>
  </si>
  <si>
    <t>fueron al sepulcro.</t>
  </si>
  <si>
    <t>Cuando de pronto se produjo un terremoto,</t>
  </si>
  <si>
    <t>el Ángel del Señor bajó del cielo,</t>
  </si>
  <si>
    <t>e hizo rodar la piedra.</t>
  </si>
  <si>
    <t>Y el Ángel dijo a las mujeres:</t>
  </si>
  <si>
    <t>«No temáis, sé que buscáis a Jesús,</t>
  </si>
  <si>
    <t>el Crucificado.</t>
  </si>
  <si>
    <t>No está aquí, ha resucitado.</t>
  </si>
  <si>
    <t>No está aquí, resucitó,</t>
  </si>
  <si>
    <t>Id de prisa a decir a sus discípulos:</t>
  </si>
  <si>
    <t>ha resucitado de entre los muertos.</t>
  </si>
  <si>
    <t>ha resucitado de entre los muertos</t>
  </si>
  <si>
    <t>y os precede en Galilea.</t>
  </si>
  <si>
    <t>NO ESTÁ AQUÍ, RESUCITÓ.</t>
  </si>
  <si>
    <t>Y os precede en Galilea,</t>
  </si>
  <si>
    <t>Y OS PRECEDE EN GALILEA;</t>
  </si>
  <si>
    <t>allí le veréis,</t>
  </si>
  <si>
    <t>ALLÍ LE VERÉIS.</t>
  </si>
  <si>
    <t>NO ESTÁ AQUÍ, RESUCITÓ...</t>
  </si>
  <si>
    <t>ALLÍ LE VERÉIS».</t>
  </si>
  <si>
    <t>NO ESTÁ AQUÍ, HA RESUCITADO.</t>
  </si>
  <si>
    <t xml:space="preserve">tc </t>
  </si>
  <si>
    <t>No hay en Él parecer,</t>
  </si>
  <si>
    <t>no hay hermosura</t>
  </si>
  <si>
    <t>que atraiga las miradas,</t>
  </si>
  <si>
    <t>Sol7</t>
  </si>
  <si>
    <t>no hay en él belleza que agrade.</t>
  </si>
  <si>
    <t>Despreciado,</t>
  </si>
  <si>
    <t>desecho de los hombres,</t>
  </si>
  <si>
    <t>varón de dolores,</t>
  </si>
  <si>
    <t>conocedor de todos los quebrantos.</t>
  </si>
  <si>
    <t>ANTE QUIEN SE VUELVE EL ROSTRO,</t>
  </si>
  <si>
    <t>ANTE QUIEN SE VUELVE EL ROSTRO.</t>
  </si>
  <si>
    <t>Menospreciado,</t>
  </si>
  <si>
    <t>estimado en nada.</t>
  </si>
  <si>
    <t>Pero fue Él, el que cargó con los pecados.</t>
  </si>
  <si>
    <t>Pero fue Él, el que cargó con los dolores.</t>
  </si>
  <si>
    <t>TODOS NOSOTROS</t>
  </si>
  <si>
    <t>ANDÁBAMOS ERRANTES.</t>
  </si>
  <si>
    <t>MALTRATADO,</t>
  </si>
  <si>
    <t>MAS ÉL SE SOMETIÓ,</t>
  </si>
  <si>
    <t>NO ABRIÓ LA BOCA,</t>
  </si>
  <si>
    <t>COMO CORDERO LLEVADO AL MATADERO.</t>
  </si>
  <si>
    <t>¡MALTRATADO!</t>
  </si>
  <si>
    <t>ANTE QUIEN SE VUELVE EL ROSTRO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</si>
</sst>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FDF7108-6437-4D68-924A-135D1E0D52F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B2B0D69-02D7-43E1-AC1D-C97A784F015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659F456F-2BB5-4C79-BDC2-90437DC5300C}"/>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E89DF72-0547-4CC5-A9E6-457F51BAD34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2580B87-2096-48CF-A0BC-A698F48A803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55649" name="Button 1" hidden="1">
              <a:extLst>
                <a:ext uri="{63B3BB69-23CF-44E3-9099-C40C66FF867C}">
                  <a14:compatExt spid="_x0000_s155649"/>
                </a:ext>
                <a:ext uri="{FF2B5EF4-FFF2-40B4-BE49-F238E27FC236}">
                  <a16:creationId xmlns:a16="http://schemas.microsoft.com/office/drawing/2014/main" id="{10DF5170-902D-4298-B3BB-861DA33DB6D5}"/>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2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300-000001E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4.5" x14ac:dyDescent="0.35"/>
  <cols>
    <col min="1" max="1" width="102.54296875" customWidth="1"/>
  </cols>
  <sheetData>
    <row r="1" spans="1:1" ht="42" customHeight="1" x14ac:dyDescent="0.35">
      <c r="A1" s="102" t="s">
        <v>1019</v>
      </c>
    </row>
    <row r="3" spans="1:1" ht="58" x14ac:dyDescent="0.35">
      <c r="A3" s="102" t="s">
        <v>1020</v>
      </c>
    </row>
    <row r="5" spans="1:1" x14ac:dyDescent="0.35">
      <c r="A5" t="s">
        <v>1021</v>
      </c>
    </row>
    <row r="6" spans="1:1" ht="72.5" x14ac:dyDescent="0.3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14" t="str" cm="1">
        <f t="array" aca="1" ref="B1" ca="1">MID(CELL("filename", B1), FIND("]", CELL("filename", B1)) + 1, 255)</f>
        <v>Indice</v>
      </c>
      <c r="C1" s="114"/>
      <c r="D1" s="114"/>
      <c r="E1" s="114"/>
      <c r="F1" s="36"/>
      <c r="G1" s="115"/>
      <c r="H1" s="115"/>
    </row>
    <row r="2" spans="1:8" ht="26.15" customHeight="1" x14ac:dyDescent="0.7">
      <c r="A2" s="37" t="s">
        <v>1018</v>
      </c>
      <c r="B2" s="37"/>
      <c r="C2" s="37"/>
      <c r="D2" s="37"/>
      <c r="E2" s="37"/>
      <c r="F2" s="38"/>
      <c r="G2" s="38"/>
      <c r="H2" s="38"/>
    </row>
    <row r="3" spans="1:8" ht="26.15" customHeight="1" x14ac:dyDescent="0.7">
      <c r="A3" s="37" t="s">
        <v>975</v>
      </c>
      <c r="B3" s="37"/>
      <c r="C3" s="37"/>
      <c r="D3" s="37"/>
      <c r="E3" s="37"/>
      <c r="F3" s="38"/>
      <c r="G3" s="38"/>
      <c r="H3" s="38"/>
    </row>
    <row r="4" spans="1:8" ht="26.15" customHeight="1" x14ac:dyDescent="0.7">
      <c r="A4" s="37" t="s">
        <v>976</v>
      </c>
      <c r="B4" s="37"/>
      <c r="C4" s="37"/>
      <c r="D4" s="37"/>
      <c r="E4" s="37"/>
      <c r="F4" s="38"/>
      <c r="G4" s="38"/>
      <c r="H4" s="38"/>
    </row>
    <row r="5" spans="1:8" ht="26.15" customHeight="1" x14ac:dyDescent="0.7">
      <c r="A5" s="37" t="s">
        <v>977</v>
      </c>
      <c r="B5" s="37"/>
      <c r="C5" s="37"/>
      <c r="D5" s="37"/>
      <c r="E5" s="37"/>
      <c r="F5" s="38"/>
      <c r="G5" s="38"/>
      <c r="H5" s="38"/>
    </row>
    <row r="6" spans="1:8" ht="26.15" customHeight="1" x14ac:dyDescent="0.7">
      <c r="A6" s="37" t="s">
        <v>978</v>
      </c>
      <c r="B6" s="37"/>
      <c r="C6" s="37"/>
      <c r="D6" s="37"/>
      <c r="E6" s="37"/>
      <c r="F6" s="38"/>
      <c r="G6" s="38"/>
      <c r="H6" s="38"/>
    </row>
    <row r="7" spans="1:8" ht="26.15" customHeight="1" x14ac:dyDescent="0.7">
      <c r="A7" s="37" t="s">
        <v>1016</v>
      </c>
      <c r="B7" s="37"/>
      <c r="C7" s="37"/>
      <c r="D7" s="37"/>
      <c r="E7" s="37"/>
      <c r="F7" s="38"/>
      <c r="G7" s="38"/>
      <c r="H7" s="38"/>
    </row>
    <row r="8" spans="1:8" ht="26.15" customHeight="1" x14ac:dyDescent="0.7">
      <c r="A8" s="37" t="s">
        <v>1034</v>
      </c>
      <c r="B8" s="37"/>
      <c r="C8" s="37"/>
      <c r="D8" s="37"/>
      <c r="E8" s="37"/>
      <c r="F8" s="38"/>
      <c r="G8" s="38"/>
      <c r="H8" s="38"/>
    </row>
    <row r="9" spans="1:8" ht="26.15" customHeight="1" x14ac:dyDescent="0.7">
      <c r="A9" s="37" t="s">
        <v>1035</v>
      </c>
      <c r="B9" s="37"/>
      <c r="C9" s="37"/>
      <c r="D9" s="37"/>
      <c r="E9" s="37"/>
      <c r="F9" s="38"/>
      <c r="G9" s="38"/>
      <c r="H9" s="38"/>
    </row>
    <row r="10" spans="1:8" ht="26.15" customHeight="1" x14ac:dyDescent="0.7">
      <c r="A10" s="37" t="s">
        <v>1032</v>
      </c>
      <c r="B10" s="37"/>
      <c r="C10" s="37"/>
      <c r="D10" s="37"/>
      <c r="E10" s="38"/>
      <c r="F10" s="38"/>
      <c r="G10" s="38"/>
      <c r="H10" s="38"/>
    </row>
    <row r="11" spans="1:8" ht="26.15" customHeight="1" x14ac:dyDescent="0.7">
      <c r="A11" s="37" t="s">
        <v>1036</v>
      </c>
      <c r="B11" s="37"/>
      <c r="C11" s="37"/>
      <c r="D11" s="37"/>
      <c r="E11" s="38"/>
      <c r="F11" s="38"/>
      <c r="G11" s="38"/>
      <c r="H11" s="38"/>
    </row>
    <row r="12" spans="1:8" ht="26.15" customHeight="1" x14ac:dyDescent="0.7">
      <c r="A12" s="37" t="s">
        <v>1037</v>
      </c>
      <c r="B12" s="37"/>
      <c r="C12" s="37"/>
      <c r="D12" s="37"/>
      <c r="E12" s="38"/>
      <c r="F12" s="38"/>
      <c r="G12" s="38"/>
      <c r="H12" s="38"/>
    </row>
    <row r="13" spans="1:8" ht="26.15" customHeight="1" x14ac:dyDescent="0.7">
      <c r="A13" s="37" t="s">
        <v>1038</v>
      </c>
      <c r="B13" s="37"/>
      <c r="C13" s="37"/>
      <c r="D13" s="37"/>
      <c r="E13" s="38"/>
      <c r="F13" s="38"/>
      <c r="G13" s="38"/>
      <c r="H13" s="38"/>
    </row>
    <row r="14" spans="1:8" ht="26.15" customHeight="1" x14ac:dyDescent="0.7">
      <c r="A14" s="37" t="s">
        <v>1039</v>
      </c>
      <c r="B14" s="37"/>
      <c r="C14" s="37"/>
      <c r="D14" s="37"/>
      <c r="E14" s="38"/>
      <c r="F14" s="38"/>
      <c r="G14" s="38"/>
      <c r="H14" s="38"/>
    </row>
    <row r="15" spans="1:8" ht="26.15" customHeight="1" x14ac:dyDescent="0.7">
      <c r="A15" s="37" t="s">
        <v>1017</v>
      </c>
      <c r="B15" s="37"/>
      <c r="C15" s="37"/>
      <c r="D15" s="37"/>
      <c r="E15" s="38"/>
      <c r="F15" s="38"/>
      <c r="G15" s="38"/>
      <c r="H15" s="38"/>
    </row>
    <row r="16" spans="1:8" ht="26.15" customHeight="1" x14ac:dyDescent="0.7">
      <c r="A16" s="37" t="s">
        <v>1026</v>
      </c>
      <c r="B16" s="37"/>
      <c r="C16" s="37"/>
      <c r="D16" s="37"/>
      <c r="E16" s="38"/>
      <c r="F16" s="38"/>
      <c r="G16" s="38"/>
      <c r="H16" s="38"/>
    </row>
    <row r="17" spans="1:8" ht="26.15" customHeight="1" x14ac:dyDescent="0.7">
      <c r="A17" s="37"/>
      <c r="B17" s="37"/>
      <c r="C17" s="37"/>
      <c r="D17" s="37"/>
      <c r="E17" s="38"/>
      <c r="F17" s="38"/>
      <c r="G17" s="38"/>
      <c r="H17" s="38"/>
    </row>
    <row r="18" spans="1:8" ht="26.15" customHeight="1" x14ac:dyDescent="0.7">
      <c r="A18" s="37"/>
      <c r="B18" s="37"/>
      <c r="C18" s="37"/>
      <c r="D18" s="37"/>
      <c r="E18" s="38"/>
      <c r="F18" s="38"/>
      <c r="G18" s="38"/>
      <c r="H18" s="38"/>
    </row>
    <row r="19" spans="1:8" ht="26.15" customHeight="1" x14ac:dyDescent="0.7">
      <c r="A19" s="37"/>
      <c r="B19" s="37"/>
      <c r="C19" s="37"/>
      <c r="D19" s="37"/>
      <c r="E19" s="38"/>
      <c r="F19" s="38"/>
      <c r="G19" s="38"/>
      <c r="H19" s="38"/>
    </row>
    <row r="20" spans="1:8" ht="25" x14ac:dyDescent="0.7">
      <c r="A20" s="37"/>
      <c r="B20" s="37"/>
      <c r="C20" s="37"/>
      <c r="D20" s="37"/>
      <c r="E20" s="37"/>
      <c r="F20" s="37"/>
      <c r="G20" s="37"/>
      <c r="H20" s="37"/>
    </row>
    <row r="21" spans="1:8" ht="25" x14ac:dyDescent="0.7">
      <c r="A21" s="37"/>
      <c r="B21" s="37"/>
      <c r="C21" s="37"/>
      <c r="D21" s="37"/>
      <c r="E21" s="37"/>
      <c r="F21" s="37"/>
      <c r="G21" s="37"/>
      <c r="H21" s="37"/>
    </row>
    <row r="22" spans="1:8" ht="25" x14ac:dyDescent="0.7">
      <c r="A22" s="37"/>
      <c r="B22" s="37"/>
      <c r="C22" s="37"/>
      <c r="D22" s="37"/>
      <c r="E22" s="37"/>
      <c r="F22" s="37"/>
      <c r="G22" s="37"/>
      <c r="H22" s="37"/>
    </row>
    <row r="23" spans="1:8" ht="25" x14ac:dyDescent="0.7">
      <c r="A23" s="37"/>
      <c r="B23" s="37"/>
      <c r="C23" s="37"/>
      <c r="D23" s="37"/>
      <c r="E23" s="37"/>
      <c r="F23" s="37"/>
      <c r="G23" s="37"/>
      <c r="H23" s="37"/>
    </row>
    <row r="24" spans="1:8" ht="25" x14ac:dyDescent="0.7">
      <c r="A24" s="37"/>
      <c r="B24" s="37"/>
      <c r="C24" s="37"/>
      <c r="D24" s="37"/>
      <c r="E24" s="37"/>
      <c r="F24" s="37"/>
      <c r="G24" s="37"/>
      <c r="H24" s="37"/>
    </row>
    <row r="25" spans="1:8" ht="25" x14ac:dyDescent="0.7">
      <c r="A25" s="37"/>
      <c r="B25" s="37"/>
      <c r="C25" s="37"/>
      <c r="D25" s="37"/>
      <c r="E25" s="37"/>
      <c r="F25" s="37"/>
      <c r="G25" s="37"/>
      <c r="H25" s="37"/>
    </row>
    <row r="26" spans="1:8" ht="25" x14ac:dyDescent="0.7">
      <c r="A26" s="37"/>
      <c r="B26" s="37"/>
      <c r="C26" s="37"/>
      <c r="D26" s="37"/>
      <c r="E26" s="37"/>
      <c r="F26" s="37"/>
      <c r="G26" s="37"/>
      <c r="H26" s="37"/>
    </row>
    <row r="27" spans="1:8" ht="25" x14ac:dyDescent="0.7">
      <c r="A27" s="37"/>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11CB6E5B-A03E-4FE5-BAD5-5BCCA2D11C43}"/>
    <hyperlink ref="A3" location="'Index'!A3" display="'Index'!A3" xr:uid="{0E53DCEE-FB35-40BD-98AB-64BC9313FAEE}"/>
    <hyperlink ref="A4" location="'Index Web'!A3" display="'Index Web'!A3" xr:uid="{5523B6CA-75CD-4D52-8F26-B2029603216F}"/>
    <hyperlink ref="A5" location="'cantosJS'!A3" display="'cantosJS'!A3" xr:uid="{01D45772-62E6-47F7-97B6-D5B3DDC2E0DF}"/>
    <hyperlink ref="A6" location="'Find'!A3" display="'Find'!A3" xr:uid="{05185B53-36A5-470A-AD46-F24894DE9FDA}"/>
    <hyperlink ref="A7" location="'html'!A3" display="'html'!A3" xr:uid="{6D10F721-FD07-4BF5-89F8-6C096121482E}"/>
    <hyperlink ref="A8" location="'MAGNIFICAT'!A3" display="'MAGNIFICAT'!A3" xr:uid="{B3F2B172-BCB1-47A2-AA6A-EE388DE27AD3}"/>
    <hyperlink ref="A9" location="'MARÍA, CASA DE BENDICIÓN'!A3" display="'MARÍA, CASA DE BENDICIÓN'!A3" xr:uid="{83273B26-0A59-404D-A023-83F10527FD21}"/>
    <hyperlink ref="A10" location="'MARÍA DE JASNA GÓRA'!A3" display="'MARÍA DE JASNA GÓRA'!A3" xr:uid="{F6AE267E-0DC4-4036-9C09-5EB2FEB7217B}"/>
    <hyperlink ref="A11" location="'MARÍA, MADRE DE LA IGLESIA'!A3" display="'MARÍA, MADRE DE LA IGLESIA'!A3" xr:uid="{F6CA33B3-3FBA-4B0A-AA78-2B2D51676D51}"/>
    <hyperlink ref="A12" location="'MARÍA, MADRE DEL CAMINO ARDIENT'!A3" display="'MARÍA, MADRE DEL CAMINO ARDIENT'!A3" xr:uid="{D8F4A0E1-D133-45CA-BEA8-5006C75B6026}"/>
    <hyperlink ref="A13" location="'MARÍA, PEQUEÑA MARÍA'!A3" display="'MARÍA, PEQUEÑA MARÍA'!A3" xr:uid="{916C2C65-DAC6-485E-9397-9D51CD5A3055}"/>
    <hyperlink ref="A14" location="'ME ENSEÑARÁS EL CAMINO DE LA VI'!A3" display="'ME ENSEÑARÁS EL CAMINO DE LA VI'!A3" xr:uid="{E9BA5A30-FD58-4433-8064-164E640173EF}"/>
    <hyperlink ref="A15" location="'MARIA, MADRE MÍA'!A3" display="'MARIA, MADRE MÍA'!A3" xr:uid="{ABEEC26E-41E1-4E59-8DB3-21C7304DFC54}"/>
    <hyperlink ref="A16" location="'boceto'!A3" display="'boceto'!A3" xr:uid="{80855EFE-FC7D-4B57-B260-5402E1D598F2}"/>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1023</v>
      </c>
      <c r="C58" s="6" t="s">
        <v>18</v>
      </c>
    </row>
    <row r="59" spans="1:7" x14ac:dyDescent="0.35">
      <c r="A59" s="1">
        <v>59</v>
      </c>
      <c r="B59" t="s">
        <v>81</v>
      </c>
      <c r="C59" s="7" t="s">
        <v>29</v>
      </c>
      <c r="D59" s="8" t="s">
        <v>30</v>
      </c>
      <c r="E59" s="6" t="s">
        <v>18</v>
      </c>
    </row>
    <row r="60" spans="1:7" x14ac:dyDescent="0.35">
      <c r="A60" s="1">
        <v>60</v>
      </c>
      <c r="B60" t="s">
        <v>82</v>
      </c>
      <c r="C60" t="s">
        <v>23</v>
      </c>
      <c r="D60" s="6" t="s">
        <v>18</v>
      </c>
    </row>
    <row r="61" spans="1:7" x14ac:dyDescent="0.35">
      <c r="A61" s="1">
        <v>61</v>
      </c>
      <c r="B61" t="s">
        <v>83</v>
      </c>
      <c r="C61" s="2" t="s">
        <v>12</v>
      </c>
      <c r="D61" s="3" t="s">
        <v>13</v>
      </c>
      <c r="E61" t="s">
        <v>48</v>
      </c>
      <c r="F61" s="6" t="s">
        <v>18</v>
      </c>
    </row>
    <row r="62" spans="1:7" x14ac:dyDescent="0.35">
      <c r="A62" s="1">
        <v>62</v>
      </c>
      <c r="B62" t="s">
        <v>84</v>
      </c>
      <c r="C62" t="s">
        <v>64</v>
      </c>
      <c r="D62" s="6" t="s">
        <v>18</v>
      </c>
    </row>
    <row r="63" spans="1:7" x14ac:dyDescent="0.35">
      <c r="A63" s="1">
        <v>63</v>
      </c>
      <c r="B63" t="s">
        <v>85</v>
      </c>
      <c r="C63" s="6" t="s">
        <v>18</v>
      </c>
      <c r="D63" s="7" t="s">
        <v>29</v>
      </c>
      <c r="E63" s="8" t="s">
        <v>30</v>
      </c>
      <c r="F63" s="5" t="s">
        <v>17</v>
      </c>
    </row>
    <row r="64" spans="1:7" x14ac:dyDescent="0.35">
      <c r="A64" s="1">
        <v>64</v>
      </c>
      <c r="B64" t="s">
        <v>86</v>
      </c>
      <c r="C64" t="s">
        <v>48</v>
      </c>
      <c r="D64" s="4" t="s">
        <v>15</v>
      </c>
    </row>
    <row r="65" spans="1:8" x14ac:dyDescent="0.35">
      <c r="A65" s="1">
        <v>65</v>
      </c>
      <c r="B65" t="s">
        <v>87</v>
      </c>
      <c r="C65" t="s">
        <v>48</v>
      </c>
      <c r="D65" s="4" t="s">
        <v>15</v>
      </c>
    </row>
    <row r="66" spans="1:8" x14ac:dyDescent="0.35">
      <c r="A66" s="1">
        <v>66</v>
      </c>
      <c r="B66" t="s">
        <v>88</v>
      </c>
      <c r="C66" s="2" t="s">
        <v>12</v>
      </c>
      <c r="D66" s="3" t="s">
        <v>13</v>
      </c>
      <c r="E66" t="s">
        <v>64</v>
      </c>
      <c r="F66" s="4" t="s">
        <v>15</v>
      </c>
    </row>
    <row r="67" spans="1:8" x14ac:dyDescent="0.35">
      <c r="A67" s="1">
        <v>67</v>
      </c>
      <c r="B67" t="s">
        <v>89</v>
      </c>
      <c r="C67" t="s">
        <v>48</v>
      </c>
      <c r="D67" t="s">
        <v>46</v>
      </c>
      <c r="E67" s="6" t="s">
        <v>18</v>
      </c>
    </row>
    <row r="68" spans="1:8" x14ac:dyDescent="0.35">
      <c r="A68" s="1">
        <v>68</v>
      </c>
      <c r="B68" t="s">
        <v>90</v>
      </c>
      <c r="C68" s="2" t="s">
        <v>12</v>
      </c>
      <c r="D68" s="3" t="s">
        <v>13</v>
      </c>
      <c r="E68" t="s">
        <v>23</v>
      </c>
      <c r="F68" t="s">
        <v>48</v>
      </c>
    </row>
    <row r="69" spans="1:8" x14ac:dyDescent="0.35">
      <c r="A69" s="1">
        <v>69</v>
      </c>
      <c r="B69" t="s">
        <v>1025</v>
      </c>
      <c r="C69" s="6" t="s">
        <v>18</v>
      </c>
    </row>
    <row r="70" spans="1:8" x14ac:dyDescent="0.35">
      <c r="A70" s="1">
        <v>70</v>
      </c>
      <c r="B70" t="s">
        <v>91</v>
      </c>
      <c r="C70" s="7" t="s">
        <v>29</v>
      </c>
      <c r="D70" s="8" t="s">
        <v>30</v>
      </c>
      <c r="E70" t="s">
        <v>23</v>
      </c>
      <c r="F70" t="s">
        <v>48</v>
      </c>
      <c r="G70" s="6" t="s">
        <v>18</v>
      </c>
    </row>
    <row r="71" spans="1:8" x14ac:dyDescent="0.35">
      <c r="A71" s="1">
        <v>71</v>
      </c>
      <c r="B71" t="s">
        <v>92</v>
      </c>
      <c r="C71" s="6" t="s">
        <v>18</v>
      </c>
    </row>
    <row r="72" spans="1:8" x14ac:dyDescent="0.35">
      <c r="A72" s="1">
        <v>72</v>
      </c>
      <c r="B72" t="s">
        <v>93</v>
      </c>
      <c r="C72" s="2" t="s">
        <v>12</v>
      </c>
      <c r="D72" s="3" t="s">
        <v>13</v>
      </c>
      <c r="E72" s="4" t="s">
        <v>15</v>
      </c>
    </row>
    <row r="73" spans="1:8" x14ac:dyDescent="0.35">
      <c r="A73" s="1">
        <v>73</v>
      </c>
      <c r="B73" t="s">
        <v>94</v>
      </c>
      <c r="C73" t="s">
        <v>34</v>
      </c>
    </row>
    <row r="74" spans="1:8" x14ac:dyDescent="0.35">
      <c r="A74" s="1">
        <v>74</v>
      </c>
      <c r="B74" t="s">
        <v>95</v>
      </c>
      <c r="C74" s="7" t="s">
        <v>29</v>
      </c>
      <c r="D74" s="8" t="s">
        <v>30</v>
      </c>
      <c r="E74" s="5" t="s">
        <v>17</v>
      </c>
      <c r="F74" t="s">
        <v>64</v>
      </c>
    </row>
    <row r="75" spans="1:8" x14ac:dyDescent="0.35">
      <c r="A75" s="1">
        <v>75</v>
      </c>
      <c r="B75" t="s">
        <v>96</v>
      </c>
      <c r="C75" s="2" t="s">
        <v>12</v>
      </c>
      <c r="D75" s="3" t="s">
        <v>13</v>
      </c>
      <c r="E75" t="s">
        <v>48</v>
      </c>
      <c r="F75" t="s">
        <v>23</v>
      </c>
      <c r="G75" s="6" t="s">
        <v>18</v>
      </c>
    </row>
    <row r="76" spans="1:8" x14ac:dyDescent="0.35">
      <c r="A76" s="1">
        <v>76</v>
      </c>
      <c r="B76" t="s">
        <v>97</v>
      </c>
      <c r="C76" s="6" t="s">
        <v>18</v>
      </c>
    </row>
    <row r="77" spans="1:8" x14ac:dyDescent="0.35">
      <c r="A77" s="1">
        <v>77</v>
      </c>
      <c r="B77" t="s">
        <v>98</v>
      </c>
      <c r="C77" s="2" t="s">
        <v>12</v>
      </c>
      <c r="D77" s="3" t="s">
        <v>13</v>
      </c>
      <c r="E77" t="s">
        <v>34</v>
      </c>
      <c r="F77" t="s">
        <v>48</v>
      </c>
      <c r="G77" t="s">
        <v>46</v>
      </c>
      <c r="H77" s="6" t="s">
        <v>18</v>
      </c>
    </row>
    <row r="78" spans="1:8" x14ac:dyDescent="0.35">
      <c r="A78" s="1">
        <v>78</v>
      </c>
      <c r="B78" t="s">
        <v>99</v>
      </c>
      <c r="C78" s="2" t="s">
        <v>12</v>
      </c>
      <c r="D78" s="3" t="s">
        <v>13</v>
      </c>
      <c r="E78" t="s">
        <v>48</v>
      </c>
      <c r="F78" t="s">
        <v>46</v>
      </c>
      <c r="G78" s="6" t="s">
        <v>18</v>
      </c>
    </row>
    <row r="79" spans="1:8" x14ac:dyDescent="0.35">
      <c r="A79" s="1">
        <v>79</v>
      </c>
      <c r="B79" t="s">
        <v>100</v>
      </c>
      <c r="C79" t="s">
        <v>23</v>
      </c>
    </row>
    <row r="80" spans="1:8" x14ac:dyDescent="0.35">
      <c r="A80" s="1">
        <v>80</v>
      </c>
      <c r="B80" t="s">
        <v>101</v>
      </c>
      <c r="C80" s="5" t="s">
        <v>17</v>
      </c>
      <c r="D80" s="6" t="s">
        <v>18</v>
      </c>
    </row>
    <row r="81" spans="1:7" x14ac:dyDescent="0.35">
      <c r="A81" s="1">
        <v>81</v>
      </c>
      <c r="B81" t="s">
        <v>102</v>
      </c>
      <c r="C81" s="5" t="s">
        <v>17</v>
      </c>
      <c r="D81" t="s">
        <v>64</v>
      </c>
      <c r="E81" s="6" t="s">
        <v>18</v>
      </c>
    </row>
    <row r="82" spans="1:7" x14ac:dyDescent="0.35">
      <c r="A82" s="1">
        <v>82</v>
      </c>
      <c r="B82" t="s">
        <v>103</v>
      </c>
      <c r="C82" s="7" t="s">
        <v>29</v>
      </c>
      <c r="D82" s="8" t="s">
        <v>30</v>
      </c>
      <c r="E82" t="s">
        <v>23</v>
      </c>
      <c r="F82" s="4" t="s">
        <v>15</v>
      </c>
    </row>
    <row r="83" spans="1:7" x14ac:dyDescent="0.35">
      <c r="A83" s="1">
        <v>83</v>
      </c>
      <c r="B83" t="s">
        <v>104</v>
      </c>
      <c r="C83" s="5" t="s">
        <v>17</v>
      </c>
      <c r="D83" s="6" t="s">
        <v>18</v>
      </c>
    </row>
    <row r="84" spans="1:7" x14ac:dyDescent="0.35">
      <c r="A84" s="1">
        <v>84</v>
      </c>
      <c r="B84" t="s">
        <v>105</v>
      </c>
      <c r="C84" s="5" t="s">
        <v>17</v>
      </c>
      <c r="D84" t="s">
        <v>64</v>
      </c>
      <c r="E84" s="4" t="s">
        <v>15</v>
      </c>
    </row>
    <row r="85" spans="1:7" x14ac:dyDescent="0.35">
      <c r="A85" s="1">
        <v>85</v>
      </c>
      <c r="B85" t="s">
        <v>106</v>
      </c>
      <c r="C85" s="2" t="s">
        <v>12</v>
      </c>
      <c r="D85" s="3" t="s">
        <v>13</v>
      </c>
    </row>
    <row r="86" spans="1:7" x14ac:dyDescent="0.35">
      <c r="A86" s="1">
        <v>86</v>
      </c>
      <c r="B86" t="s">
        <v>107</v>
      </c>
      <c r="C86" s="2" t="s">
        <v>12</v>
      </c>
      <c r="D86" s="3" t="s">
        <v>13</v>
      </c>
      <c r="E86" t="s">
        <v>48</v>
      </c>
      <c r="F86" s="4" t="s">
        <v>15</v>
      </c>
    </row>
    <row r="87" spans="1:7" x14ac:dyDescent="0.35">
      <c r="A87" s="1">
        <v>87</v>
      </c>
      <c r="B87" t="s">
        <v>108</v>
      </c>
      <c r="C87" s="2" t="s">
        <v>12</v>
      </c>
      <c r="D87" s="3" t="s">
        <v>13</v>
      </c>
      <c r="E87" t="s">
        <v>64</v>
      </c>
      <c r="F87" s="4" t="s">
        <v>15</v>
      </c>
    </row>
    <row r="88" spans="1:7" x14ac:dyDescent="0.35">
      <c r="A88" s="1">
        <v>88</v>
      </c>
      <c r="B88" t="s">
        <v>109</v>
      </c>
      <c r="C88" s="7" t="s">
        <v>29</v>
      </c>
      <c r="D88" s="8" t="s">
        <v>30</v>
      </c>
    </row>
    <row r="89" spans="1:7" x14ac:dyDescent="0.35">
      <c r="A89" s="1">
        <v>89</v>
      </c>
      <c r="B89" t="s">
        <v>110</v>
      </c>
      <c r="C89" s="2" t="s">
        <v>12</v>
      </c>
      <c r="D89" s="3" t="s">
        <v>13</v>
      </c>
    </row>
    <row r="90" spans="1:7" x14ac:dyDescent="0.35">
      <c r="A90" s="1">
        <v>90</v>
      </c>
      <c r="B90" t="s">
        <v>111</v>
      </c>
      <c r="C90" s="2" t="s">
        <v>12</v>
      </c>
      <c r="D90" s="3" t="s">
        <v>13</v>
      </c>
    </row>
    <row r="91" spans="1:7" x14ac:dyDescent="0.35">
      <c r="A91" s="1">
        <v>91</v>
      </c>
      <c r="B91" t="s">
        <v>112</v>
      </c>
      <c r="C91" s="2" t="s">
        <v>12</v>
      </c>
      <c r="D91" s="3" t="s">
        <v>13</v>
      </c>
      <c r="E91" t="s">
        <v>48</v>
      </c>
      <c r="F91" t="s">
        <v>46</v>
      </c>
      <c r="G91" s="6" t="s">
        <v>18</v>
      </c>
    </row>
    <row r="92" spans="1:7" x14ac:dyDescent="0.35">
      <c r="A92" s="1">
        <v>92</v>
      </c>
      <c r="B92" t="s">
        <v>113</v>
      </c>
      <c r="C92" s="2" t="s">
        <v>12</v>
      </c>
      <c r="D92" s="3" t="s">
        <v>13</v>
      </c>
      <c r="E92" t="s">
        <v>46</v>
      </c>
      <c r="F92" s="4" t="s">
        <v>15</v>
      </c>
    </row>
    <row r="93" spans="1:7" x14ac:dyDescent="0.35">
      <c r="A93" s="1">
        <v>93</v>
      </c>
      <c r="B93" t="s">
        <v>114</v>
      </c>
      <c r="C93" s="5" t="s">
        <v>17</v>
      </c>
      <c r="D93" t="s">
        <v>64</v>
      </c>
    </row>
    <row r="94" spans="1:7" x14ac:dyDescent="0.35">
      <c r="A94" s="1">
        <v>94</v>
      </c>
      <c r="B94" t="s">
        <v>115</v>
      </c>
      <c r="C94" s="2" t="s">
        <v>12</v>
      </c>
      <c r="D94" s="3" t="s">
        <v>13</v>
      </c>
      <c r="E94" t="s">
        <v>34</v>
      </c>
      <c r="F94" s="6" t="s">
        <v>18</v>
      </c>
    </row>
    <row r="95" spans="1:7" x14ac:dyDescent="0.35">
      <c r="A95" s="1">
        <v>95</v>
      </c>
      <c r="B95" t="s">
        <v>116</v>
      </c>
      <c r="C95" s="4" t="s">
        <v>15</v>
      </c>
    </row>
    <row r="96" spans="1:7" x14ac:dyDescent="0.35">
      <c r="A96" s="1">
        <v>96</v>
      </c>
      <c r="B96" t="s">
        <v>117</v>
      </c>
      <c r="C96" s="9" t="s">
        <v>42</v>
      </c>
      <c r="D96" s="7" t="s">
        <v>29</v>
      </c>
      <c r="E96" s="8" t="s">
        <v>30</v>
      </c>
      <c r="F96" s="4" t="s">
        <v>15</v>
      </c>
    </row>
    <row r="97" spans="1:8" x14ac:dyDescent="0.35">
      <c r="A97" s="1">
        <v>97</v>
      </c>
      <c r="B97" t="s">
        <v>118</v>
      </c>
      <c r="C97" s="9" t="s">
        <v>42</v>
      </c>
      <c r="D97" s="5" t="s">
        <v>17</v>
      </c>
      <c r="E97" s="6" t="s">
        <v>18</v>
      </c>
    </row>
    <row r="98" spans="1:8" x14ac:dyDescent="0.35">
      <c r="A98" s="1">
        <v>98</v>
      </c>
      <c r="B98" t="s">
        <v>119</v>
      </c>
      <c r="C98" s="5" t="s">
        <v>17</v>
      </c>
    </row>
    <row r="99" spans="1:8" x14ac:dyDescent="0.35">
      <c r="A99" s="1">
        <v>99</v>
      </c>
      <c r="B99" t="s">
        <v>120</v>
      </c>
      <c r="C99" s="9" t="s">
        <v>42</v>
      </c>
      <c r="D99" s="5" t="s">
        <v>17</v>
      </c>
    </row>
    <row r="100" spans="1:8" x14ac:dyDescent="0.35">
      <c r="A100" s="1">
        <v>100</v>
      </c>
      <c r="B100" t="s">
        <v>121</v>
      </c>
      <c r="C100" t="s">
        <v>46</v>
      </c>
      <c r="D100" s="4" t="s">
        <v>15</v>
      </c>
    </row>
    <row r="101" spans="1:8" x14ac:dyDescent="0.35">
      <c r="A101" s="1">
        <v>101</v>
      </c>
      <c r="B101" t="s">
        <v>122</v>
      </c>
      <c r="C101" s="2" t="s">
        <v>12</v>
      </c>
      <c r="D101" s="3" t="s">
        <v>13</v>
      </c>
      <c r="E101" t="s">
        <v>48</v>
      </c>
      <c r="F101" s="6" t="s">
        <v>18</v>
      </c>
    </row>
    <row r="102" spans="1:8" x14ac:dyDescent="0.35">
      <c r="A102" s="1">
        <v>102</v>
      </c>
      <c r="B102" t="s">
        <v>123</v>
      </c>
      <c r="C102" s="5" t="s">
        <v>17</v>
      </c>
      <c r="D102" s="7" t="s">
        <v>29</v>
      </c>
      <c r="E102" s="8" t="s">
        <v>30</v>
      </c>
      <c r="F102" s="4" t="s">
        <v>15</v>
      </c>
    </row>
    <row r="103" spans="1:8" x14ac:dyDescent="0.35">
      <c r="A103" s="1">
        <v>103</v>
      </c>
      <c r="B103" t="s">
        <v>124</v>
      </c>
      <c r="C103" s="2" t="s">
        <v>12</v>
      </c>
      <c r="D103" s="3" t="s">
        <v>13</v>
      </c>
    </row>
    <row r="104" spans="1:8" x14ac:dyDescent="0.35">
      <c r="A104" s="1">
        <v>105</v>
      </c>
      <c r="B104" t="s">
        <v>125</v>
      </c>
      <c r="C104" s="5" t="s">
        <v>17</v>
      </c>
      <c r="D104" t="s">
        <v>23</v>
      </c>
      <c r="E104" s="6" t="s">
        <v>18</v>
      </c>
    </row>
    <row r="105" spans="1:8" x14ac:dyDescent="0.35">
      <c r="A105" s="1">
        <v>106</v>
      </c>
      <c r="B105" t="s">
        <v>126</v>
      </c>
      <c r="C105" s="5" t="s">
        <v>17</v>
      </c>
      <c r="D105" s="7" t="s">
        <v>29</v>
      </c>
      <c r="E105" s="8" t="s">
        <v>30</v>
      </c>
      <c r="F105" t="s">
        <v>23</v>
      </c>
      <c r="G105" s="6" t="s">
        <v>18</v>
      </c>
    </row>
    <row r="106" spans="1:8" x14ac:dyDescent="0.35">
      <c r="A106" s="1">
        <v>107</v>
      </c>
      <c r="B106" t="s">
        <v>127</v>
      </c>
      <c r="C106" s="7" t="s">
        <v>29</v>
      </c>
      <c r="D106" s="8" t="s">
        <v>30</v>
      </c>
      <c r="E106" s="2" t="s">
        <v>12</v>
      </c>
      <c r="F106" s="3" t="s">
        <v>13</v>
      </c>
      <c r="G106" t="s">
        <v>46</v>
      </c>
      <c r="H106" s="4" t="s">
        <v>15</v>
      </c>
    </row>
    <row r="107" spans="1:8" x14ac:dyDescent="0.35">
      <c r="A107" s="1">
        <v>108</v>
      </c>
      <c r="B107" t="s">
        <v>128</v>
      </c>
      <c r="C107" s="9" t="s">
        <v>42</v>
      </c>
      <c r="D107" s="4" t="s">
        <v>15</v>
      </c>
    </row>
    <row r="108" spans="1:8" x14ac:dyDescent="0.35">
      <c r="A108" s="1">
        <v>109</v>
      </c>
      <c r="B108" t="s">
        <v>129</v>
      </c>
      <c r="C108" s="9" t="s">
        <v>42</v>
      </c>
      <c r="D108" s="2" t="s">
        <v>12</v>
      </c>
      <c r="E108" t="s">
        <v>48</v>
      </c>
      <c r="F108" s="3" t="s">
        <v>13</v>
      </c>
    </row>
    <row r="109" spans="1:8" x14ac:dyDescent="0.35">
      <c r="A109" s="1">
        <v>110</v>
      </c>
      <c r="B109" t="s">
        <v>130</v>
      </c>
      <c r="C109" s="9" t="s">
        <v>42</v>
      </c>
      <c r="D109" s="4" t="s">
        <v>15</v>
      </c>
    </row>
    <row r="110" spans="1:8" x14ac:dyDescent="0.35">
      <c r="A110" s="1">
        <v>111</v>
      </c>
      <c r="B110" t="s">
        <v>131</v>
      </c>
      <c r="C110" s="9" t="s">
        <v>42</v>
      </c>
      <c r="D110" s="5" t="s">
        <v>17</v>
      </c>
      <c r="E110" t="s">
        <v>64</v>
      </c>
      <c r="F110" s="4" t="s">
        <v>15</v>
      </c>
    </row>
    <row r="111" spans="1:8" x14ac:dyDescent="0.35">
      <c r="A111" s="1">
        <v>112</v>
      </c>
      <c r="B111" t="s">
        <v>132</v>
      </c>
      <c r="C111" s="9" t="s">
        <v>42</v>
      </c>
      <c r="D111" s="7" t="s">
        <v>29</v>
      </c>
      <c r="E111" s="8" t="s">
        <v>30</v>
      </c>
    </row>
    <row r="112" spans="1:8" x14ac:dyDescent="0.35">
      <c r="A112" s="1">
        <v>113</v>
      </c>
      <c r="B112" t="s">
        <v>133</v>
      </c>
      <c r="C112" s="9" t="s">
        <v>42</v>
      </c>
      <c r="D112" s="5" t="s">
        <v>17</v>
      </c>
    </row>
    <row r="113" spans="1:6" x14ac:dyDescent="0.35">
      <c r="A113" s="1">
        <v>114</v>
      </c>
      <c r="B113" t="s">
        <v>134</v>
      </c>
      <c r="C113" s="2" t="s">
        <v>12</v>
      </c>
      <c r="D113" s="3" t="s">
        <v>13</v>
      </c>
      <c r="E113" t="s">
        <v>23</v>
      </c>
      <c r="F113" s="6" t="s">
        <v>18</v>
      </c>
    </row>
    <row r="114" spans="1:6" x14ac:dyDescent="0.35">
      <c r="A114" s="1">
        <v>115</v>
      </c>
      <c r="B114" t="s">
        <v>135</v>
      </c>
      <c r="C114" s="6" t="s">
        <v>18</v>
      </c>
    </row>
    <row r="115" spans="1:6" x14ac:dyDescent="0.35">
      <c r="A115" s="1">
        <v>116</v>
      </c>
      <c r="B115" t="s">
        <v>136</v>
      </c>
      <c r="C115" t="s">
        <v>34</v>
      </c>
      <c r="D115" s="6" t="s">
        <v>18</v>
      </c>
    </row>
    <row r="116" spans="1:6" x14ac:dyDescent="0.35">
      <c r="A116" s="1">
        <v>117</v>
      </c>
      <c r="B116" t="s">
        <v>137</v>
      </c>
      <c r="C116" s="5" t="s">
        <v>17</v>
      </c>
      <c r="D116" s="6" t="s">
        <v>18</v>
      </c>
    </row>
    <row r="117" spans="1:6" x14ac:dyDescent="0.35">
      <c r="A117" s="1">
        <v>118</v>
      </c>
      <c r="B117" t="s">
        <v>138</v>
      </c>
      <c r="C117" s="5" t="s">
        <v>17</v>
      </c>
      <c r="D117" s="6" t="s">
        <v>18</v>
      </c>
    </row>
    <row r="118" spans="1:6" x14ac:dyDescent="0.35">
      <c r="A118" s="1">
        <v>119</v>
      </c>
      <c r="B118" t="s">
        <v>139</v>
      </c>
      <c r="C118" s="6" t="s">
        <v>18</v>
      </c>
    </row>
    <row r="119" spans="1:6" x14ac:dyDescent="0.35">
      <c r="A119" s="1">
        <v>120</v>
      </c>
      <c r="B119" t="s">
        <v>140</v>
      </c>
      <c r="C119" s="2" t="s">
        <v>12</v>
      </c>
      <c r="D119" s="3" t="s">
        <v>13</v>
      </c>
      <c r="E119" s="4" t="s">
        <v>15</v>
      </c>
    </row>
    <row r="120" spans="1:6" x14ac:dyDescent="0.35">
      <c r="A120" s="1">
        <v>121</v>
      </c>
      <c r="B120" t="s">
        <v>141</v>
      </c>
      <c r="C120" t="s">
        <v>64</v>
      </c>
      <c r="D120" s="6" t="s">
        <v>18</v>
      </c>
    </row>
    <row r="121" spans="1:6" x14ac:dyDescent="0.35">
      <c r="A121" s="1">
        <v>122</v>
      </c>
      <c r="B121" t="s">
        <v>142</v>
      </c>
      <c r="C121" s="2" t="s">
        <v>12</v>
      </c>
      <c r="D121" s="3" t="s">
        <v>13</v>
      </c>
      <c r="E121" s="4" t="s">
        <v>15</v>
      </c>
    </row>
    <row r="122" spans="1:6" x14ac:dyDescent="0.35">
      <c r="A122" s="1">
        <v>123</v>
      </c>
      <c r="B122" t="s">
        <v>143</v>
      </c>
      <c r="C122" s="7" t="s">
        <v>29</v>
      </c>
      <c r="D122" s="8" t="s">
        <v>30</v>
      </c>
      <c r="E122" s="6" t="s">
        <v>18</v>
      </c>
    </row>
    <row r="123" spans="1:6" x14ac:dyDescent="0.35">
      <c r="A123" s="1">
        <v>124</v>
      </c>
      <c r="B123" t="s">
        <v>144</v>
      </c>
      <c r="C123" s="6" t="s">
        <v>18</v>
      </c>
    </row>
    <row r="124" spans="1:6" x14ac:dyDescent="0.35">
      <c r="A124" s="1">
        <v>125</v>
      </c>
      <c r="B124" t="s">
        <v>145</v>
      </c>
      <c r="C124" s="6" t="s">
        <v>18</v>
      </c>
    </row>
    <row r="125" spans="1:6" x14ac:dyDescent="0.35">
      <c r="A125" s="1">
        <v>126</v>
      </c>
      <c r="B125" t="s">
        <v>146</v>
      </c>
      <c r="C125" s="5" t="s">
        <v>17</v>
      </c>
      <c r="D125" t="s">
        <v>64</v>
      </c>
    </row>
    <row r="126" spans="1:6" x14ac:dyDescent="0.35">
      <c r="A126" s="1">
        <v>127</v>
      </c>
      <c r="B126" t="s">
        <v>147</v>
      </c>
      <c r="C126" s="2" t="s">
        <v>12</v>
      </c>
      <c r="D126" s="3" t="s">
        <v>13</v>
      </c>
      <c r="E126" t="s">
        <v>48</v>
      </c>
      <c r="F126" s="4" t="s">
        <v>15</v>
      </c>
    </row>
    <row r="127" spans="1:6" x14ac:dyDescent="0.35">
      <c r="A127" s="1">
        <v>128</v>
      </c>
      <c r="B127" t="s">
        <v>148</v>
      </c>
      <c r="C127" t="s">
        <v>23</v>
      </c>
      <c r="D127" s="6" t="s">
        <v>18</v>
      </c>
    </row>
    <row r="128" spans="1:6" x14ac:dyDescent="0.35">
      <c r="A128" s="1">
        <v>129</v>
      </c>
      <c r="B128" t="s">
        <v>149</v>
      </c>
      <c r="C128" s="2" t="s">
        <v>12</v>
      </c>
      <c r="D128" s="3" t="s">
        <v>13</v>
      </c>
      <c r="E128" t="s">
        <v>23</v>
      </c>
      <c r="F128" s="6" t="s">
        <v>18</v>
      </c>
    </row>
    <row r="129" spans="1:7" x14ac:dyDescent="0.35">
      <c r="A129" s="1">
        <v>130</v>
      </c>
      <c r="B129" t="s">
        <v>150</v>
      </c>
      <c r="C129" s="9" t="s">
        <v>42</v>
      </c>
      <c r="D129" s="2" t="s">
        <v>12</v>
      </c>
      <c r="E129" s="3" t="s">
        <v>13</v>
      </c>
    </row>
    <row r="130" spans="1:7" x14ac:dyDescent="0.35">
      <c r="A130" s="1">
        <v>131</v>
      </c>
      <c r="B130" t="s">
        <v>13</v>
      </c>
      <c r="C130" s="2" t="s">
        <v>12</v>
      </c>
      <c r="D130" s="3" t="s">
        <v>13</v>
      </c>
      <c r="E130" t="s">
        <v>48</v>
      </c>
    </row>
    <row r="131" spans="1:7" x14ac:dyDescent="0.35">
      <c r="A131" s="1">
        <v>132</v>
      </c>
      <c r="B131" t="s">
        <v>151</v>
      </c>
      <c r="C131" t="s">
        <v>34</v>
      </c>
      <c r="D131" s="6" t="s">
        <v>18</v>
      </c>
    </row>
    <row r="132" spans="1:7" x14ac:dyDescent="0.35">
      <c r="A132" s="1">
        <v>133</v>
      </c>
      <c r="B132" t="s">
        <v>152</v>
      </c>
      <c r="C132" s="2" t="s">
        <v>12</v>
      </c>
      <c r="D132" s="3" t="s">
        <v>13</v>
      </c>
      <c r="E132" t="s">
        <v>31</v>
      </c>
    </row>
    <row r="133" spans="1:7" x14ac:dyDescent="0.35">
      <c r="A133" s="1">
        <v>134</v>
      </c>
      <c r="B133" t="s">
        <v>153</v>
      </c>
      <c r="C133" s="5" t="s">
        <v>17</v>
      </c>
      <c r="D133" s="6" t="s">
        <v>18</v>
      </c>
    </row>
    <row r="134" spans="1:7" x14ac:dyDescent="0.35">
      <c r="A134" s="1">
        <v>135</v>
      </c>
      <c r="B134" t="s">
        <v>154</v>
      </c>
      <c r="C134" s="5" t="s">
        <v>17</v>
      </c>
      <c r="D134" s="4" t="s">
        <v>15</v>
      </c>
    </row>
    <row r="135" spans="1:7" x14ac:dyDescent="0.35">
      <c r="A135" s="1">
        <v>136</v>
      </c>
      <c r="B135" t="s">
        <v>155</v>
      </c>
      <c r="C135" s="5" t="s">
        <v>17</v>
      </c>
      <c r="D135" t="s">
        <v>23</v>
      </c>
      <c r="E135" s="6" t="s">
        <v>18</v>
      </c>
    </row>
    <row r="136" spans="1:7" x14ac:dyDescent="0.35">
      <c r="A136" s="1">
        <v>137</v>
      </c>
      <c r="B136" t="s">
        <v>156</v>
      </c>
      <c r="C136" s="6" t="s">
        <v>18</v>
      </c>
      <c r="D136" t="s">
        <v>34</v>
      </c>
    </row>
    <row r="137" spans="1:7" x14ac:dyDescent="0.35">
      <c r="A137" s="1">
        <v>138</v>
      </c>
      <c r="B137" t="s">
        <v>157</v>
      </c>
      <c r="C137" s="2" t="s">
        <v>12</v>
      </c>
      <c r="D137" s="3" t="s">
        <v>13</v>
      </c>
      <c r="E137" t="s">
        <v>48</v>
      </c>
      <c r="F137" t="s">
        <v>46</v>
      </c>
      <c r="G137" s="6" t="s">
        <v>18</v>
      </c>
    </row>
    <row r="138" spans="1:7" x14ac:dyDescent="0.35">
      <c r="A138" s="1">
        <v>139</v>
      </c>
      <c r="B138" t="s">
        <v>158</v>
      </c>
      <c r="C138" s="5" t="s">
        <v>17</v>
      </c>
      <c r="D138" t="s">
        <v>48</v>
      </c>
      <c r="E138" s="4" t="s">
        <v>15</v>
      </c>
    </row>
    <row r="139" spans="1:7" x14ac:dyDescent="0.35">
      <c r="A139" s="1">
        <v>140</v>
      </c>
      <c r="B139" t="s">
        <v>159</v>
      </c>
      <c r="C139" s="2" t="s">
        <v>12</v>
      </c>
      <c r="D139" s="3" t="s">
        <v>13</v>
      </c>
      <c r="E139" t="s">
        <v>46</v>
      </c>
    </row>
    <row r="140" spans="1:7" x14ac:dyDescent="0.35">
      <c r="A140" s="1">
        <v>141</v>
      </c>
      <c r="B140" t="s">
        <v>160</v>
      </c>
      <c r="C140" s="5" t="s">
        <v>17</v>
      </c>
      <c r="D140" s="6" t="s">
        <v>18</v>
      </c>
    </row>
    <row r="141" spans="1:7" x14ac:dyDescent="0.35">
      <c r="A141" s="1">
        <v>142</v>
      </c>
      <c r="B141" t="s">
        <v>161</v>
      </c>
      <c r="C141" s="2" t="s">
        <v>12</v>
      </c>
      <c r="D141" s="3" t="s">
        <v>13</v>
      </c>
      <c r="E141" t="s">
        <v>48</v>
      </c>
    </row>
    <row r="142" spans="1:7" x14ac:dyDescent="0.35">
      <c r="A142" s="1">
        <v>143</v>
      </c>
      <c r="B142" t="s">
        <v>162</v>
      </c>
      <c r="C142" s="2" t="s">
        <v>12</v>
      </c>
      <c r="D142" s="3" t="s">
        <v>13</v>
      </c>
      <c r="E142" s="4" t="s">
        <v>15</v>
      </c>
    </row>
    <row r="143" spans="1:7" x14ac:dyDescent="0.35">
      <c r="A143" s="1">
        <v>144</v>
      </c>
      <c r="B143" t="s">
        <v>163</v>
      </c>
      <c r="C143" s="9" t="s">
        <v>42</v>
      </c>
    </row>
    <row r="144" spans="1:7" x14ac:dyDescent="0.35">
      <c r="A144" s="1">
        <v>145</v>
      </c>
      <c r="B144" t="s">
        <v>164</v>
      </c>
      <c r="C144" t="s">
        <v>31</v>
      </c>
      <c r="D144" t="s">
        <v>34</v>
      </c>
    </row>
    <row r="145" spans="1:6" x14ac:dyDescent="0.35">
      <c r="A145" s="1">
        <v>146</v>
      </c>
      <c r="B145" t="s">
        <v>165</v>
      </c>
      <c r="C145" s="5" t="s">
        <v>17</v>
      </c>
    </row>
    <row r="146" spans="1:6" x14ac:dyDescent="0.35">
      <c r="A146" s="1">
        <v>147</v>
      </c>
      <c r="B146" t="s">
        <v>166</v>
      </c>
      <c r="C146" s="5" t="s">
        <v>17</v>
      </c>
      <c r="D146" s="6" t="s">
        <v>18</v>
      </c>
    </row>
    <row r="147" spans="1:6" x14ac:dyDescent="0.35">
      <c r="A147" s="1">
        <v>148</v>
      </c>
      <c r="B147" t="s">
        <v>167</v>
      </c>
      <c r="C147" s="4" t="s">
        <v>15</v>
      </c>
    </row>
    <row r="148" spans="1:6" x14ac:dyDescent="0.35">
      <c r="A148" s="1">
        <v>149</v>
      </c>
      <c r="B148" t="s">
        <v>168</v>
      </c>
      <c r="C148" s="9" t="s">
        <v>42</v>
      </c>
    </row>
    <row r="149" spans="1:6" x14ac:dyDescent="0.35">
      <c r="A149" s="1">
        <v>150</v>
      </c>
      <c r="B149" t="s">
        <v>169</v>
      </c>
      <c r="C149" t="s">
        <v>23</v>
      </c>
      <c r="D149" s="6" t="s">
        <v>18</v>
      </c>
    </row>
    <row r="150" spans="1:6" x14ac:dyDescent="0.35">
      <c r="A150" s="1">
        <v>151</v>
      </c>
      <c r="B150" t="s">
        <v>170</v>
      </c>
      <c r="C150" s="4" t="s">
        <v>15</v>
      </c>
    </row>
    <row r="151" spans="1:6" x14ac:dyDescent="0.35">
      <c r="A151" s="1">
        <v>152</v>
      </c>
      <c r="B151" t="s">
        <v>171</v>
      </c>
      <c r="C151" s="6" t="s">
        <v>18</v>
      </c>
    </row>
    <row r="152" spans="1:6" x14ac:dyDescent="0.35">
      <c r="A152" s="1">
        <v>153</v>
      </c>
      <c r="B152" t="s">
        <v>172</v>
      </c>
      <c r="C152" s="5" t="s">
        <v>17</v>
      </c>
      <c r="D152" s="6" t="s">
        <v>18</v>
      </c>
    </row>
    <row r="153" spans="1:6" x14ac:dyDescent="0.35">
      <c r="A153" s="1">
        <v>154</v>
      </c>
      <c r="B153" t="s">
        <v>173</v>
      </c>
      <c r="C153" s="9" t="s">
        <v>42</v>
      </c>
      <c r="D153" t="s">
        <v>46</v>
      </c>
      <c r="E153" s="6" t="s">
        <v>18</v>
      </c>
    </row>
    <row r="154" spans="1:6" x14ac:dyDescent="0.35">
      <c r="A154" s="1">
        <v>155</v>
      </c>
      <c r="B154" t="s">
        <v>174</v>
      </c>
      <c r="C154" s="9" t="s">
        <v>42</v>
      </c>
      <c r="D154" s="5" t="s">
        <v>17</v>
      </c>
      <c r="E154" t="s">
        <v>64</v>
      </c>
    </row>
    <row r="155" spans="1:6" x14ac:dyDescent="0.35">
      <c r="A155" s="1">
        <v>156</v>
      </c>
      <c r="B155" t="s">
        <v>175</v>
      </c>
      <c r="C155" s="9" t="s">
        <v>42</v>
      </c>
      <c r="D155" s="5" t="s">
        <v>17</v>
      </c>
      <c r="E155" t="s">
        <v>64</v>
      </c>
    </row>
    <row r="156" spans="1:6" x14ac:dyDescent="0.35">
      <c r="A156" s="1">
        <v>157</v>
      </c>
      <c r="B156" t="s">
        <v>176</v>
      </c>
      <c r="C156" s="2" t="s">
        <v>12</v>
      </c>
      <c r="D156" s="3" t="s">
        <v>13</v>
      </c>
      <c r="E156" s="6" t="s">
        <v>18</v>
      </c>
      <c r="F156" t="s">
        <v>34</v>
      </c>
    </row>
    <row r="157" spans="1:6" x14ac:dyDescent="0.35">
      <c r="A157" s="1">
        <v>158</v>
      </c>
      <c r="B157" t="s">
        <v>177</v>
      </c>
      <c r="C157" s="5" t="s">
        <v>17</v>
      </c>
      <c r="D157" s="6" t="s">
        <v>18</v>
      </c>
    </row>
    <row r="158" spans="1:6" x14ac:dyDescent="0.35">
      <c r="A158" s="1">
        <v>159</v>
      </c>
      <c r="B158" t="s">
        <v>178</v>
      </c>
      <c r="C158" s="5" t="s">
        <v>17</v>
      </c>
      <c r="D158" s="6" t="s">
        <v>18</v>
      </c>
    </row>
    <row r="159" spans="1:6" x14ac:dyDescent="0.35">
      <c r="A159" s="1">
        <v>160</v>
      </c>
      <c r="B159" t="s">
        <v>179</v>
      </c>
      <c r="C159" s="9" t="s">
        <v>42</v>
      </c>
      <c r="D159" s="2" t="s">
        <v>12</v>
      </c>
      <c r="E159" s="3" t="s">
        <v>13</v>
      </c>
      <c r="F159" t="s">
        <v>64</v>
      </c>
    </row>
    <row r="160" spans="1:6" x14ac:dyDescent="0.35">
      <c r="A160" s="1">
        <v>161</v>
      </c>
      <c r="B160" t="s">
        <v>180</v>
      </c>
      <c r="C160" s="5" t="s">
        <v>17</v>
      </c>
      <c r="D160" t="s">
        <v>23</v>
      </c>
      <c r="E160" s="6" t="s">
        <v>18</v>
      </c>
    </row>
    <row r="161" spans="1:9" x14ac:dyDescent="0.35">
      <c r="A161" s="1">
        <v>162</v>
      </c>
      <c r="B161" t="s">
        <v>181</v>
      </c>
      <c r="C161" s="7" t="s">
        <v>29</v>
      </c>
      <c r="D161" s="8" t="s">
        <v>30</v>
      </c>
      <c r="E161" s="2" t="s">
        <v>12</v>
      </c>
      <c r="F161" s="3" t="s">
        <v>13</v>
      </c>
      <c r="G161" t="s">
        <v>48</v>
      </c>
      <c r="H161" s="6" t="s">
        <v>18</v>
      </c>
    </row>
    <row r="162" spans="1:9" x14ac:dyDescent="0.35">
      <c r="A162" s="1">
        <v>163</v>
      </c>
      <c r="B162" t="s">
        <v>182</v>
      </c>
      <c r="C162" s="9" t="s">
        <v>42</v>
      </c>
      <c r="D162" s="7" t="s">
        <v>29</v>
      </c>
      <c r="E162" s="8" t="s">
        <v>30</v>
      </c>
      <c r="F162" s="2" t="s">
        <v>12</v>
      </c>
      <c r="G162" s="3" t="s">
        <v>13</v>
      </c>
      <c r="H162" t="s">
        <v>46</v>
      </c>
      <c r="I162" s="4" t="s">
        <v>15</v>
      </c>
    </row>
    <row r="163" spans="1:9" x14ac:dyDescent="0.35">
      <c r="A163" s="1">
        <v>164</v>
      </c>
      <c r="B163" t="s">
        <v>183</v>
      </c>
      <c r="C163" s="7" t="s">
        <v>29</v>
      </c>
      <c r="D163" s="8" t="s">
        <v>30</v>
      </c>
      <c r="E163" t="s">
        <v>31</v>
      </c>
    </row>
    <row r="164" spans="1:9" x14ac:dyDescent="0.35">
      <c r="A164" s="1">
        <v>165</v>
      </c>
      <c r="B164" t="s">
        <v>184</v>
      </c>
      <c r="C164" s="7" t="s">
        <v>29</v>
      </c>
      <c r="D164" s="8" t="s">
        <v>30</v>
      </c>
      <c r="E164" t="s">
        <v>31</v>
      </c>
    </row>
    <row r="165" spans="1:9" x14ac:dyDescent="0.35">
      <c r="A165" s="1">
        <v>166</v>
      </c>
      <c r="B165" t="s">
        <v>185</v>
      </c>
      <c r="C165" s="2" t="s">
        <v>12</v>
      </c>
      <c r="D165" s="3" t="s">
        <v>13</v>
      </c>
      <c r="E165" t="s">
        <v>23</v>
      </c>
      <c r="F165" t="s">
        <v>48</v>
      </c>
      <c r="G165" s="6" t="s">
        <v>18</v>
      </c>
    </row>
    <row r="166" spans="1:9" x14ac:dyDescent="0.35">
      <c r="A166" s="1">
        <v>167</v>
      </c>
      <c r="B166" t="s">
        <v>186</v>
      </c>
      <c r="C166" s="2" t="s">
        <v>12</v>
      </c>
      <c r="D166" s="3" t="s">
        <v>13</v>
      </c>
    </row>
    <row r="167" spans="1:9" x14ac:dyDescent="0.35">
      <c r="A167" s="1">
        <v>168</v>
      </c>
      <c r="B167" t="s">
        <v>187</v>
      </c>
      <c r="C167" s="7" t="s">
        <v>29</v>
      </c>
      <c r="D167" s="8" t="s">
        <v>30</v>
      </c>
      <c r="E167" s="4" t="s">
        <v>15</v>
      </c>
    </row>
    <row r="168" spans="1:9" x14ac:dyDescent="0.35">
      <c r="A168" s="1">
        <v>169</v>
      </c>
      <c r="B168" t="s">
        <v>188</v>
      </c>
      <c r="C168" s="2" t="s">
        <v>12</v>
      </c>
      <c r="D168" s="3" t="s">
        <v>13</v>
      </c>
    </row>
    <row r="169" spans="1:9" x14ac:dyDescent="0.35">
      <c r="A169" s="1">
        <v>170</v>
      </c>
      <c r="B169" t="s">
        <v>189</v>
      </c>
      <c r="C169" s="7" t="s">
        <v>29</v>
      </c>
      <c r="D169" s="8" t="s">
        <v>30</v>
      </c>
      <c r="E169" s="4" t="s">
        <v>15</v>
      </c>
      <c r="F169" s="6" t="s">
        <v>18</v>
      </c>
    </row>
    <row r="170" spans="1:9" x14ac:dyDescent="0.35">
      <c r="A170" s="1">
        <v>171</v>
      </c>
      <c r="B170" t="s">
        <v>190</v>
      </c>
      <c r="C170" s="9" t="s">
        <v>42</v>
      </c>
      <c r="D170" s="7" t="s">
        <v>29</v>
      </c>
      <c r="E170" s="8" t="s">
        <v>30</v>
      </c>
    </row>
    <row r="171" spans="1:9" x14ac:dyDescent="0.35">
      <c r="A171" s="1">
        <v>172</v>
      </c>
      <c r="B171" t="s">
        <v>191</v>
      </c>
      <c r="C171" s="7" t="s">
        <v>29</v>
      </c>
      <c r="D171" s="8" t="s">
        <v>30</v>
      </c>
      <c r="E171" s="4" t="s">
        <v>15</v>
      </c>
    </row>
    <row r="172" spans="1:9" x14ac:dyDescent="0.35">
      <c r="A172" s="1">
        <v>173</v>
      </c>
      <c r="B172" t="s">
        <v>192</v>
      </c>
      <c r="C172" s="4" t="s">
        <v>15</v>
      </c>
    </row>
    <row r="173" spans="1:9" x14ac:dyDescent="0.35">
      <c r="A173" s="1">
        <v>174</v>
      </c>
      <c r="B173" t="s">
        <v>193</v>
      </c>
      <c r="C173" s="7" t="s">
        <v>29</v>
      </c>
      <c r="D173" s="8" t="s">
        <v>30</v>
      </c>
      <c r="E173" t="s">
        <v>31</v>
      </c>
    </row>
    <row r="174" spans="1:9" x14ac:dyDescent="0.35">
      <c r="A174" s="1">
        <v>175</v>
      </c>
      <c r="B174" t="s">
        <v>194</v>
      </c>
      <c r="C174" s="5" t="s">
        <v>17</v>
      </c>
      <c r="D174" s="6" t="s">
        <v>18</v>
      </c>
    </row>
    <row r="175" spans="1:9" x14ac:dyDescent="0.35">
      <c r="A175" s="1">
        <v>176</v>
      </c>
      <c r="B175" t="s">
        <v>195</v>
      </c>
      <c r="C175" t="s">
        <v>23</v>
      </c>
      <c r="D175" s="6" t="s">
        <v>18</v>
      </c>
    </row>
    <row r="176" spans="1:9" x14ac:dyDescent="0.35">
      <c r="A176" s="1">
        <v>177</v>
      </c>
      <c r="B176" t="s">
        <v>196</v>
      </c>
      <c r="C176" t="s">
        <v>23</v>
      </c>
      <c r="D176" t="s">
        <v>46</v>
      </c>
      <c r="E176" s="6" t="s">
        <v>18</v>
      </c>
    </row>
    <row r="177" spans="1:5" x14ac:dyDescent="0.35">
      <c r="A177" s="1">
        <v>178</v>
      </c>
      <c r="B177" t="s">
        <v>197</v>
      </c>
      <c r="C177" s="5" t="s">
        <v>17</v>
      </c>
      <c r="D177" t="s">
        <v>23</v>
      </c>
      <c r="E177" s="4" t="s">
        <v>15</v>
      </c>
    </row>
    <row r="178" spans="1:5" x14ac:dyDescent="0.35">
      <c r="A178" s="10">
        <v>179</v>
      </c>
      <c r="B178" s="11" t="s">
        <v>198</v>
      </c>
      <c r="C178" s="5"/>
      <c r="E178" s="4"/>
    </row>
    <row r="179" spans="1:5" x14ac:dyDescent="0.35">
      <c r="A179" s="12">
        <v>180</v>
      </c>
      <c r="B179" s="13" t="s">
        <v>199</v>
      </c>
      <c r="C179" s="5"/>
      <c r="E179" s="4"/>
    </row>
    <row r="180" spans="1:5" x14ac:dyDescent="0.35">
      <c r="A180" s="10">
        <v>181</v>
      </c>
      <c r="B180" s="11" t="s">
        <v>200</v>
      </c>
      <c r="C180" s="2" t="s">
        <v>12</v>
      </c>
      <c r="E180" s="4"/>
    </row>
    <row r="181" spans="1:5" x14ac:dyDescent="0.35">
      <c r="A181" s="12">
        <v>182</v>
      </c>
      <c r="B181" s="13" t="s">
        <v>201</v>
      </c>
      <c r="C181" s="5"/>
      <c r="E181" s="4"/>
    </row>
    <row r="182" spans="1:5" x14ac:dyDescent="0.35">
      <c r="A182" s="10">
        <v>183</v>
      </c>
      <c r="B182" s="11" t="s">
        <v>202</v>
      </c>
      <c r="C182" s="5"/>
      <c r="E182" s="4"/>
    </row>
    <row r="183" spans="1:5" x14ac:dyDescent="0.35">
      <c r="A183" s="12">
        <v>185</v>
      </c>
      <c r="B183" s="13" t="s">
        <v>203</v>
      </c>
      <c r="C183" s="5"/>
      <c r="E183" s="4"/>
    </row>
    <row r="184" spans="1:5" x14ac:dyDescent="0.35">
      <c r="A184" s="10">
        <v>186</v>
      </c>
      <c r="B184" s="11" t="s">
        <v>204</v>
      </c>
      <c r="C184" s="5"/>
      <c r="E184" s="4"/>
    </row>
    <row r="185" spans="1:5" x14ac:dyDescent="0.35">
      <c r="A185" s="12">
        <v>187</v>
      </c>
      <c r="B185" s="13" t="s">
        <v>205</v>
      </c>
      <c r="C185" s="5"/>
      <c r="E185" s="4"/>
    </row>
    <row r="186" spans="1:5" x14ac:dyDescent="0.35">
      <c r="A186" s="10">
        <v>188</v>
      </c>
      <c r="B186" s="11" t="s">
        <v>206</v>
      </c>
      <c r="C186" s="5" t="s">
        <v>30</v>
      </c>
      <c r="D186" t="s">
        <v>207</v>
      </c>
      <c r="E186" s="4" t="s">
        <v>12</v>
      </c>
    </row>
    <row r="187" spans="1:5" x14ac:dyDescent="0.35">
      <c r="A187" s="12">
        <v>189</v>
      </c>
      <c r="B187" s="13" t="s">
        <v>208</v>
      </c>
      <c r="C187" s="5"/>
      <c r="E187" s="4"/>
    </row>
    <row r="188" spans="1:5" x14ac:dyDescent="0.35">
      <c r="A188" s="10">
        <v>191</v>
      </c>
      <c r="B188" s="11" t="s">
        <v>209</v>
      </c>
      <c r="C188" s="5" t="s">
        <v>210</v>
      </c>
      <c r="E188" s="4"/>
    </row>
    <row r="189" spans="1:5" x14ac:dyDescent="0.35">
      <c r="A189" s="12">
        <v>192</v>
      </c>
      <c r="B189" s="13" t="s">
        <v>209</v>
      </c>
      <c r="C189" s="5" t="s">
        <v>210</v>
      </c>
      <c r="E189" s="4"/>
    </row>
    <row r="190" spans="1:5" x14ac:dyDescent="0.35">
      <c r="A190" s="10">
        <v>193</v>
      </c>
      <c r="B190" s="11" t="s">
        <v>211</v>
      </c>
      <c r="C190" s="5"/>
      <c r="E190" s="4"/>
    </row>
    <row r="191" spans="1:5" x14ac:dyDescent="0.35">
      <c r="A191" s="12">
        <v>194</v>
      </c>
      <c r="B191" s="13" t="s">
        <v>212</v>
      </c>
      <c r="C191" s="5"/>
      <c r="E191" s="4"/>
    </row>
    <row r="192" spans="1:5" x14ac:dyDescent="0.35">
      <c r="A192" s="10">
        <v>197</v>
      </c>
      <c r="B192" s="11" t="s">
        <v>213</v>
      </c>
      <c r="C192" s="5"/>
      <c r="E192" s="4"/>
    </row>
    <row r="193" spans="1:5" x14ac:dyDescent="0.35">
      <c r="A193" s="12">
        <v>200</v>
      </c>
      <c r="B193" s="13" t="s">
        <v>214</v>
      </c>
      <c r="C193" s="5"/>
      <c r="E193" s="4"/>
    </row>
    <row r="194" spans="1:5" x14ac:dyDescent="0.35">
      <c r="A194" s="10">
        <v>204</v>
      </c>
      <c r="B194" s="11" t="s">
        <v>215</v>
      </c>
      <c r="C194" s="5" t="s">
        <v>29</v>
      </c>
      <c r="D194" t="s">
        <v>30</v>
      </c>
      <c r="E194" s="4"/>
    </row>
    <row r="195" spans="1:5" x14ac:dyDescent="0.35">
      <c r="A195" s="12">
        <v>205</v>
      </c>
      <c r="B195" s="13" t="s">
        <v>216</v>
      </c>
      <c r="C195" s="5" t="s">
        <v>12</v>
      </c>
      <c r="E195" s="4"/>
    </row>
    <row r="196" spans="1:5" x14ac:dyDescent="0.35">
      <c r="A196" s="10">
        <v>206</v>
      </c>
      <c r="B196" s="11" t="s">
        <v>217</v>
      </c>
      <c r="C196" s="5" t="s">
        <v>12</v>
      </c>
      <c r="E196" s="4"/>
    </row>
    <row r="197" spans="1:5" x14ac:dyDescent="0.35">
      <c r="A197" s="12">
        <v>208</v>
      </c>
      <c r="B197" s="13" t="s">
        <v>218</v>
      </c>
      <c r="C197" s="5"/>
      <c r="E197" s="4"/>
    </row>
    <row r="198" spans="1:5" x14ac:dyDescent="0.35">
      <c r="A198" s="10">
        <v>209</v>
      </c>
      <c r="B198" s="11" t="s">
        <v>219</v>
      </c>
      <c r="C198" s="5"/>
      <c r="E198" s="4"/>
    </row>
    <row r="199" spans="1:5" x14ac:dyDescent="0.35">
      <c r="A199" s="12">
        <v>210</v>
      </c>
      <c r="B199" s="13" t="s">
        <v>220</v>
      </c>
      <c r="C199" s="5"/>
      <c r="E199" s="4"/>
    </row>
    <row r="200" spans="1:5" x14ac:dyDescent="0.35">
      <c r="A200" s="10">
        <v>211</v>
      </c>
      <c r="B200" s="11" t="s">
        <v>221</v>
      </c>
      <c r="C200" s="5"/>
      <c r="E200" s="4"/>
    </row>
    <row r="201" spans="1:5" x14ac:dyDescent="0.35">
      <c r="A201" s="12">
        <v>212</v>
      </c>
      <c r="B201" s="13" t="s">
        <v>222</v>
      </c>
      <c r="C201" s="5"/>
      <c r="E201" s="4"/>
    </row>
    <row r="202" spans="1:5" x14ac:dyDescent="0.35">
      <c r="A202" s="10">
        <v>214</v>
      </c>
      <c r="B202" s="11" t="s">
        <v>223</v>
      </c>
      <c r="C202" s="5"/>
      <c r="E202" s="4"/>
    </row>
    <row r="203" spans="1:5" x14ac:dyDescent="0.35">
      <c r="A203" s="12">
        <v>215</v>
      </c>
      <c r="B203" s="13" t="s">
        <v>224</v>
      </c>
      <c r="C203" s="5"/>
      <c r="E203" s="4"/>
    </row>
    <row r="204" spans="1:5" x14ac:dyDescent="0.35">
      <c r="A204" s="10">
        <v>216</v>
      </c>
      <c r="B204" s="11" t="s">
        <v>225</v>
      </c>
      <c r="C204" s="5"/>
      <c r="E204" s="4"/>
    </row>
    <row r="205" spans="1:5" x14ac:dyDescent="0.35">
      <c r="A205" s="12">
        <v>217</v>
      </c>
      <c r="B205" s="13" t="s">
        <v>226</v>
      </c>
      <c r="C205" s="5"/>
      <c r="E205" s="4"/>
    </row>
    <row r="206" spans="1:5" x14ac:dyDescent="0.35">
      <c r="A206" s="10">
        <v>218</v>
      </c>
      <c r="B206" s="11" t="s">
        <v>227</v>
      </c>
      <c r="C206" s="5"/>
      <c r="E206" s="4"/>
    </row>
    <row r="207" spans="1:5" x14ac:dyDescent="0.35">
      <c r="A207" s="12">
        <v>219</v>
      </c>
      <c r="B207" s="13" t="s">
        <v>228</v>
      </c>
      <c r="C207" s="5"/>
      <c r="E207" s="4"/>
    </row>
    <row r="208" spans="1:5" x14ac:dyDescent="0.35">
      <c r="A208" s="10">
        <v>220</v>
      </c>
      <c r="B208" s="11" t="s">
        <v>229</v>
      </c>
      <c r="C208" s="5"/>
      <c r="E208" s="4"/>
    </row>
    <row r="209" spans="1:6" x14ac:dyDescent="0.35">
      <c r="A209" s="14">
        <v>221</v>
      </c>
      <c r="B209" s="15" t="s">
        <v>230</v>
      </c>
      <c r="C209" s="5"/>
      <c r="E209" s="4"/>
    </row>
    <row r="210" spans="1:6" x14ac:dyDescent="0.35">
      <c r="A210" s="16">
        <v>222</v>
      </c>
      <c r="B210" s="17" t="s">
        <v>231</v>
      </c>
      <c r="C210" t="s">
        <v>48</v>
      </c>
      <c r="D210" s="6" t="s">
        <v>18</v>
      </c>
    </row>
    <row r="211" spans="1:6" x14ac:dyDescent="0.35">
      <c r="A211" s="14">
        <v>223</v>
      </c>
      <c r="B211" s="15" t="s">
        <v>232</v>
      </c>
      <c r="C211" s="9" t="s">
        <v>42</v>
      </c>
      <c r="D211" s="6" t="s">
        <v>18</v>
      </c>
    </row>
    <row r="212" spans="1:6" x14ac:dyDescent="0.35">
      <c r="A212" s="16">
        <v>224</v>
      </c>
      <c r="B212" s="17" t="s">
        <v>233</v>
      </c>
      <c r="C212" t="s">
        <v>48</v>
      </c>
      <c r="D212" s="4" t="s">
        <v>15</v>
      </c>
    </row>
    <row r="213" spans="1:6" x14ac:dyDescent="0.35">
      <c r="A213" s="14">
        <v>225</v>
      </c>
      <c r="B213" s="15" t="s">
        <v>234</v>
      </c>
      <c r="C213" s="4" t="s">
        <v>15</v>
      </c>
    </row>
    <row r="214" spans="1:6" x14ac:dyDescent="0.35">
      <c r="A214" s="16">
        <v>226</v>
      </c>
      <c r="B214" s="17" t="s">
        <v>235</v>
      </c>
      <c r="C214" s="5" t="s">
        <v>17</v>
      </c>
    </row>
    <row r="215" spans="1:6" x14ac:dyDescent="0.35">
      <c r="A215" s="14">
        <v>227</v>
      </c>
      <c r="B215" s="15" t="s">
        <v>236</v>
      </c>
      <c r="C215" s="5"/>
    </row>
    <row r="216" spans="1:6" x14ac:dyDescent="0.35">
      <c r="A216" s="16">
        <v>228</v>
      </c>
      <c r="B216" s="17" t="s">
        <v>237</v>
      </c>
      <c r="C216" s="6" t="s">
        <v>18</v>
      </c>
    </row>
    <row r="217" spans="1:6" x14ac:dyDescent="0.35">
      <c r="A217" s="14">
        <v>229</v>
      </c>
      <c r="B217" s="15" t="s">
        <v>238</v>
      </c>
      <c r="C217" s="4" t="s">
        <v>15</v>
      </c>
    </row>
    <row r="218" spans="1:6" x14ac:dyDescent="0.35">
      <c r="A218" s="16">
        <v>230</v>
      </c>
      <c r="B218" s="17" t="s">
        <v>239</v>
      </c>
      <c r="C218" s="4" t="s">
        <v>15</v>
      </c>
    </row>
    <row r="219" spans="1:6" x14ac:dyDescent="0.35">
      <c r="A219" s="14">
        <v>231</v>
      </c>
      <c r="B219" s="15" t="s">
        <v>240</v>
      </c>
      <c r="C219" s="5" t="s">
        <v>17</v>
      </c>
      <c r="D219" s="6" t="s">
        <v>18</v>
      </c>
    </row>
    <row r="220" spans="1:6" x14ac:dyDescent="0.35">
      <c r="A220" s="16">
        <v>232</v>
      </c>
      <c r="B220" s="17" t="s">
        <v>241</v>
      </c>
      <c r="C220" s="6" t="s">
        <v>18</v>
      </c>
    </row>
    <row r="221" spans="1:6" x14ac:dyDescent="0.35">
      <c r="A221" s="14">
        <v>233</v>
      </c>
      <c r="B221" s="15" t="s">
        <v>242</v>
      </c>
      <c r="C221" s="6" t="s">
        <v>18</v>
      </c>
    </row>
    <row r="222" spans="1:6" x14ac:dyDescent="0.35">
      <c r="A222" s="16">
        <v>234</v>
      </c>
      <c r="B222" s="17" t="s">
        <v>243</v>
      </c>
      <c r="C222" s="6" t="s">
        <v>18</v>
      </c>
    </row>
    <row r="223" spans="1:6" x14ac:dyDescent="0.35">
      <c r="A223" s="14">
        <v>235</v>
      </c>
      <c r="B223" s="15" t="s">
        <v>244</v>
      </c>
      <c r="C223" s="5" t="s">
        <v>17</v>
      </c>
    </row>
    <row r="224" spans="1:6" x14ac:dyDescent="0.35">
      <c r="A224" s="16">
        <v>236</v>
      </c>
      <c r="B224" s="17" t="s">
        <v>245</v>
      </c>
      <c r="C224" s="7" t="s">
        <v>29</v>
      </c>
      <c r="D224" s="8" t="s">
        <v>30</v>
      </c>
      <c r="E224" s="5" t="s">
        <v>17</v>
      </c>
      <c r="F224" s="6" t="s">
        <v>18</v>
      </c>
    </row>
    <row r="225" spans="1:5" x14ac:dyDescent="0.35">
      <c r="A225" s="18">
        <v>237</v>
      </c>
      <c r="B225" s="19" t="s">
        <v>246</v>
      </c>
      <c r="C225" s="2" t="s">
        <v>12</v>
      </c>
      <c r="D225" s="3" t="s">
        <v>13</v>
      </c>
    </row>
    <row r="226" spans="1:5" x14ac:dyDescent="0.35">
      <c r="A226" s="20">
        <v>238</v>
      </c>
      <c r="B226" s="21" t="s">
        <v>247</v>
      </c>
      <c r="C226" s="2"/>
      <c r="D226" s="3"/>
    </row>
    <row r="227" spans="1:5" x14ac:dyDescent="0.35">
      <c r="A227" s="18">
        <v>239</v>
      </c>
      <c r="B227" s="19" t="s">
        <v>248</v>
      </c>
      <c r="C227" s="2"/>
      <c r="D227" s="3"/>
    </row>
    <row r="228" spans="1:5" x14ac:dyDescent="0.35">
      <c r="A228" s="20">
        <v>240</v>
      </c>
      <c r="B228" s="21" t="s">
        <v>249</v>
      </c>
      <c r="C228" s="6" t="s">
        <v>18</v>
      </c>
    </row>
    <row r="229" spans="1:5" x14ac:dyDescent="0.35">
      <c r="A229" s="18">
        <v>241</v>
      </c>
      <c r="B229" s="19" t="s">
        <v>250</v>
      </c>
      <c r="C229" s="2" t="s">
        <v>12</v>
      </c>
      <c r="D229" s="3" t="s">
        <v>13</v>
      </c>
      <c r="E229" s="6" t="s">
        <v>18</v>
      </c>
    </row>
    <row r="230" spans="1:5" x14ac:dyDescent="0.35">
      <c r="A230" s="20">
        <v>242</v>
      </c>
      <c r="B230" s="21" t="s">
        <v>251</v>
      </c>
      <c r="C230" s="2"/>
      <c r="D230" s="3"/>
      <c r="E230" s="6"/>
    </row>
    <row r="231" spans="1:5" x14ac:dyDescent="0.35">
      <c r="A231" s="18">
        <v>243</v>
      </c>
      <c r="B231" s="19" t="s">
        <v>252</v>
      </c>
      <c r="C231" s="6" t="s">
        <v>18</v>
      </c>
    </row>
    <row r="232" spans="1:5" x14ac:dyDescent="0.3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3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3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3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3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3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3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3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3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3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3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3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3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3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3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3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3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3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3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3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3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3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3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3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3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3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3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3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3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3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3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3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3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3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3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3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3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3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3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3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3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3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3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3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3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3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3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3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3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3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3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3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3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3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3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3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3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3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3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3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3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3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3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3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3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3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3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3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3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3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3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3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3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3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3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3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3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3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3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3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3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3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3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3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3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3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3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3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3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3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3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3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3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3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3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3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3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3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3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3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3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3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3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3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3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3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3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3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3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3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3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3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3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3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3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3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3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3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3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3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3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3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3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3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3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3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3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3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3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3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3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3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3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3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3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3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3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3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3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3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3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3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3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3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3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3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3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3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3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3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3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3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3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3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3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3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3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3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3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3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3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3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3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3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3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3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3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3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3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3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3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3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3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3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3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3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3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3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3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3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3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3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3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3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3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3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3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3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3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3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3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3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3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3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3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3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3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3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3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3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3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3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3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3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3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3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3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3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3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3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3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3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3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3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3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3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3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3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3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3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3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3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3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3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3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3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3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3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3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3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3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3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3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254</v>
      </c>
      <c r="F1" s="33"/>
    </row>
    <row r="2" spans="2:86" ht="17" x14ac:dyDescent="0.3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3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3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3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3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3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254</v>
      </c>
      <c r="D1" s="116" t="s">
        <v>969</v>
      </c>
      <c r="E1" s="116"/>
      <c r="F1" s="116"/>
      <c r="G1" s="116"/>
      <c r="H1" s="116"/>
    </row>
    <row r="2" spans="2:77" x14ac:dyDescent="0.35">
      <c r="B2" t="s">
        <v>0</v>
      </c>
      <c r="C2" t="s">
        <v>256</v>
      </c>
      <c r="D2" t="s">
        <v>481</v>
      </c>
      <c r="E2" t="s">
        <v>970</v>
      </c>
      <c r="F2" t="s">
        <v>972</v>
      </c>
      <c r="G2" t="s">
        <v>973</v>
      </c>
      <c r="H2" t="s">
        <v>950</v>
      </c>
      <c r="I2" t="s">
        <v>974</v>
      </c>
      <c r="BY2" t="s">
        <v>942</v>
      </c>
    </row>
    <row r="3" spans="2:77" x14ac:dyDescent="0.3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3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3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119</v>
      </c>
      <c r="E1" s="40"/>
      <c r="F1" s="40"/>
      <c r="G1" s="40"/>
      <c r="H1" s="40"/>
      <c r="I1" s="40"/>
      <c r="J1" s="40"/>
      <c r="K1" s="40"/>
      <c r="L1" s="41" t="str">
        <f>VLOOKUP(C1,'[1]Codigo Canto'!A3:AQ236,38,FALSE)</f>
        <v>MUCHO ME HAN PERSEGUIDO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MUCHO ME HAN PERSEGUIDO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muchomehanperseguido</v>
      </c>
      <c r="L7" s="48" t="str">
        <f>_xlfn.CONCAT("        id: ","""",C7,"""",",")</f>
        <v xml:space="preserve">        id: "muchomehanperseguido",</v>
      </c>
    </row>
    <row r="8" spans="2:32" ht="23" x14ac:dyDescent="0.35">
      <c r="C8" t="str">
        <f>PROPER(L1)</f>
        <v>Mucho Me Han Perseguido</v>
      </c>
      <c r="L8" s="48" t="str">
        <f>_xlfn.CONCAT("        tt: ","""",C8,"""",",")</f>
        <v xml:space="preserve">        tt: "Mucho Me Han Perseguido",</v>
      </c>
    </row>
    <row r="9" spans="2:32" ht="23" x14ac:dyDescent="0.35">
      <c r="C9" t="str">
        <f>PROPER(L1)</f>
        <v>Mucho Me Han Perseguido</v>
      </c>
      <c r="L9" s="48" t="str">
        <f>_xlfn.CONCAT("        title: ","""",C9,"""",",")</f>
        <v xml:space="preserve">        title: "Mucho Me Han Perseguido",</v>
      </c>
    </row>
    <row r="10" spans="2:32" ht="23" x14ac:dyDescent="0.35">
      <c r="C10" t="str">
        <f>VLOOKUP(C1,'[1]Codigo Canto'!A3:AQ236,12,FALSE)</f>
        <v>Sal 129 (128)</v>
      </c>
      <c r="L10" s="48" t="str">
        <f>_xlfn.CONCAT("        ","subtitle: ","""",C10,"""",",")</f>
        <v xml:space="preserve">        subtitle: "Sal 129 (128)",</v>
      </c>
    </row>
    <row r="11" spans="2:32" ht="23" x14ac:dyDescent="0.35">
      <c r="C11" t="str">
        <f>_xlfn.CONCAT("category: [",VLOOKUP(C1,Table223[],16,FALSE),"],")</f>
        <v>category: ["Precatecumenado","Antiguo Testamento"],</v>
      </c>
      <c r="L11" s="48" t="str">
        <f>_xlfn.CONCAT("        ",C11)</f>
        <v xml:space="preserve">        category: ["Precatecumenado","Antiguo Testamento"],</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VLOOKUP(C1,'[1]Codigo Canto'!A3:AP240,1,FALSE)</f>
        <v>119</v>
      </c>
      <c r="L16" s="48" t="str">
        <f>_xlfn.CONCAT("        dbno: ","""",C16,"""",",")</f>
        <v xml:space="preserve">        dbno: "119",</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muchomehanperseguido</v>
      </c>
      <c r="L19" s="48" t="str">
        <f>_xlfn.CONCAT("        audioSrc: ","""/audio/",C19,".mp3""",",")</f>
        <v xml:space="preserve">        audioSrc: "/audio/muchomehanperseguido.mp3",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118</v>
      </c>
      <c r="C26" t="str">
        <f>VLOOKUP(B26,[1]Buscador!A3:AP240,31,FALSE)</f>
        <v>/resucito/src/index.html?canto=misericordiamiamisericordia</v>
      </c>
      <c r="L26" s="48" t="str">
        <f>_xlfn.CONCAT("        ant: ","""",C26,"""",",")</f>
        <v xml:space="preserve">        ant: "/resucito/src/index.html?canto=misericordiamiamisericordia",</v>
      </c>
    </row>
    <row r="27" spans="2:40" ht="23" x14ac:dyDescent="0.35">
      <c r="B27">
        <f>+C1+1</f>
        <v>120</v>
      </c>
      <c r="C27" t="str">
        <f>VLOOKUP(B27,[1]Buscador!A3:AP240,31,FALSE)</f>
        <v>/resucito/src/index.html?canto=noestaaquiresucito</v>
      </c>
      <c r="L27" s="48" t="str">
        <f>_xlfn.CONCAT("        sig: ","""",C27,"""",",")</f>
        <v xml:space="preserve">        sig: "/resucito/src/index.html?canto=noestaaquiresucito",</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 ULTIMA LINEA DEL CANTO: MUCHO ME HAN PERSEGUIDO</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7AC01-47E4-4B29-BA76-1E6490729777}">
  <sheetPr codeName="Sheet69">
    <tabColor rgb="FF00B0F0"/>
  </sheetPr>
  <dimension ref="A1:AN73"/>
  <sheetViews>
    <sheetView zoomScale="115" zoomScaleNormal="115" workbookViewId="0">
      <pane xSplit="2" ySplit="1" topLeftCell="C59" activePane="bottomRight" state="frozen"/>
      <selection pane="topRight" activeCell="C1" sqref="C1"/>
      <selection pane="bottomLeft" activeCell="A2" sqref="A2"/>
      <selection pane="bottomRight" activeCell="B72" sqref="B7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120</v>
      </c>
      <c r="E1" s="40"/>
      <c r="F1" s="40"/>
      <c r="G1" s="40"/>
      <c r="H1" s="40"/>
      <c r="I1" s="40"/>
      <c r="J1" s="40"/>
      <c r="K1" s="40"/>
      <c r="L1" s="41" t="str">
        <f ca="1">UPPER(VLOOKUP(C1,Table223[],3,FALSE))</f>
        <v>NO ESTÁ AQUÍ, RESUCITÓ</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NO ESTÁ AQUÍ, RESUCITÓ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noestaaquiresucito</v>
      </c>
      <c r="L7" s="48" t="str">
        <f ca="1">_xlfn.CONCAT("        id: ","""",C7,"""",",")</f>
        <v xml:space="preserve">        id: "noestaaquiresucito",</v>
      </c>
    </row>
    <row r="8" spans="2:32" ht="23" x14ac:dyDescent="0.35">
      <c r="C8" t="str">
        <f ca="1">PROPER(L1)</f>
        <v>No Está Aquí, Resucitó</v>
      </c>
      <c r="L8" s="48" t="str">
        <f ca="1">_xlfn.CONCAT("        tt: ","""",C8,"""",",")</f>
        <v xml:space="preserve">        tt: "No Está Aquí, Resucitó",</v>
      </c>
    </row>
    <row r="9" spans="2:32" ht="23" x14ac:dyDescent="0.35">
      <c r="C9" t="str">
        <f ca="1">PROPER(L1)</f>
        <v>No Está Aquí, Resucitó</v>
      </c>
      <c r="L9" s="48" t="str">
        <f ca="1">_xlfn.CONCAT("        title: ","""",C9,"""",",")</f>
        <v xml:space="preserve">        title: "No Está Aquí, Resucitó",</v>
      </c>
    </row>
    <row r="10" spans="2:32" ht="23" x14ac:dyDescent="0.35">
      <c r="C10" t="str">
        <f ca="1">VLOOKUP(C1,Table223[],4,FALSE)</f>
        <v>Mateo 28,1-8</v>
      </c>
      <c r="L10" s="48" t="str">
        <f ca="1">_xlfn.CONCAT("        ","subtitle: ","""",C10,"""",",")</f>
        <v xml:space="preserve">        subtitle: "Mateo 28,1-8",</v>
      </c>
    </row>
    <row r="11" spans="2:32" ht="23" x14ac:dyDescent="0.35">
      <c r="C11" t="str">
        <f ca="1">_xlfn.CONCAT("category: [",VLOOKUP(C1,Table223[],16,FALSE),"],")</f>
        <v>category: ["Precatecumenado","Pascua","Pentecostés","Nuevo Testamento"],</v>
      </c>
      <c r="L11" s="48" t="str">
        <f ca="1">_xlfn.CONCAT("        ",C11)</f>
        <v xml:space="preserve">        category: ["Precatecumenado","Pascua","Pentecostés","Nuevo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120</v>
      </c>
      <c r="L16" s="48" t="str">
        <f ca="1">_xlfn.CONCAT("        dbno: ","""",C16,"""",",")</f>
        <v xml:space="preserve">        dbno: "120",</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noestaaquiresucito</v>
      </c>
      <c r="L19" s="48" t="str">
        <f ca="1">_xlfn.CONCAT("        audioSrc: ","""https://audio.resucito.do/",C19,".mp3""",",")</f>
        <v xml:space="preserve">        audioSrc: "https://audio.resucito.do/noestaaquiresucito.mp3",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119</v>
      </c>
      <c r="C26" t="str">
        <f ca="1">VLOOKUP(B26,Table4[],13,FALSE)</f>
        <v>"/src/index.html?canto=muchomehanperseguido"</v>
      </c>
      <c r="L26" s="48" t="str">
        <f ca="1">_xlfn.CONCAT("        ant: ",C26,",")</f>
        <v xml:space="preserve">        ant: "/src/index.html?canto=muchomehanperseguido",</v>
      </c>
    </row>
    <row r="27" spans="1:40" ht="23" x14ac:dyDescent="0.35">
      <c r="B27">
        <f ca="1">+C1+1</f>
        <v>121</v>
      </c>
      <c r="C27" t="str">
        <f ca="1">VLOOKUP(B27,Table4[],13,FALSE)</f>
        <v>"/src/index.html?canto=nohayenelparecer"</v>
      </c>
      <c r="L27" s="48" t="str">
        <f ca="1">_xlfn.CONCAT("        sig: ",C27,",")</f>
        <v xml:space="preserve">        sig: "/src/index.html?canto=nohayenelparecer",</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1040</v>
      </c>
      <c r="D30" s="112" t="s">
        <v>1030</v>
      </c>
      <c r="E30" s="52"/>
      <c r="F30" s="53" t="s">
        <v>1011</v>
      </c>
      <c r="G30" s="53"/>
      <c r="H30" s="52"/>
      <c r="I30" s="52"/>
      <c r="J30" s="54"/>
      <c r="K30" s="54"/>
      <c r="L30" s="55" t="str">
        <f t="shared" ref="L30:L31" si="0">IF(C30="","",_xlfn.CONCAT("            { line: ","""",C30,", ",M30:AN30,""", sC: ","""",B30,"""},"))</f>
        <v xml:space="preserve">            { line: "Pasado el sábado,, (Do,,10)(Mi,,250)", sC: "tc"},</v>
      </c>
      <c r="M30" s="56" t="str">
        <f t="shared" ref="M30:M34" si="1">IF(N30="","","(")</f>
        <v>(</v>
      </c>
      <c r="N30" s="57" t="str">
        <f t="shared" ref="N30:N70" si="2">IF(D30="","",D30)</f>
        <v>Do</v>
      </c>
      <c r="O30" s="58" t="str">
        <f t="shared" ref="O30:O34" si="3">IF(N30="","",",")</f>
        <v>,</v>
      </c>
      <c r="P30" s="59" t="str">
        <f t="shared" ref="P30:P70" si="4">IF(E30="","",E30)</f>
        <v/>
      </c>
      <c r="Q30" s="60" t="str">
        <f t="shared" ref="Q30:Q34" si="5">IF(N30="","",",")</f>
        <v>,</v>
      </c>
      <c r="R30" s="61">
        <f>IF(N30="Do",10,IF(N30="Re",22,IF(N30="Mi",20,IF(N30="Fa",20,IF(N30="Sol",14,IF(N30="La",20,IF(N30="Si",20,IF(N30="Do#",14,IF(N30="Fa#",15,IF(N30="Sol#",20,""))))))))))</f>
        <v>10</v>
      </c>
      <c r="S30" s="56" t="str">
        <f t="shared" ref="S30:S34" si="6">IF(N30="","",")")</f>
        <v>)</v>
      </c>
      <c r="T30" s="62" t="str">
        <f t="shared" ref="T30:T34" si="7">IF(U30="","","(")</f>
        <v>(</v>
      </c>
      <c r="U30" s="63" t="str">
        <f t="shared" ref="U30:U70" si="8">IF(F30="","",F30)</f>
        <v>Mi</v>
      </c>
      <c r="V30" s="64" t="str">
        <f t="shared" ref="V30:V34" si="9">IF(U30="","",",")</f>
        <v>,</v>
      </c>
      <c r="W30" s="65" t="str">
        <f t="shared" ref="W30:W70" si="10">IF(G30="","",G30)</f>
        <v/>
      </c>
      <c r="X30" s="64" t="str">
        <f t="shared" ref="X30:X34" si="11">IF(U30="","",",")</f>
        <v>,</v>
      </c>
      <c r="Y30" s="64">
        <f t="shared" ref="Y30:Y34" si="12">IF(U30="","",250)</f>
        <v>250</v>
      </c>
      <c r="Z30" s="56" t="str">
        <f t="shared" ref="Z30:Z34" si="13">IF(U30="","",")")</f>
        <v>)</v>
      </c>
      <c r="AA30" s="66" t="str">
        <f t="shared" ref="AA30:AA34" si="14">IF(AB30="","","(")</f>
        <v/>
      </c>
      <c r="AB30" s="57" t="str">
        <f t="shared" ref="AB30:AB70"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70"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4.5" thickTop="1" thickBot="1" x14ac:dyDescent="0.55000000000000004">
      <c r="C31" s="113" t="s">
        <v>1041</v>
      </c>
      <c r="D31" s="112" t="s">
        <v>1033</v>
      </c>
      <c r="E31" s="52"/>
      <c r="F31" s="53"/>
      <c r="G31" s="53"/>
      <c r="H31" s="52"/>
      <c r="I31" s="52"/>
      <c r="J31" s="54"/>
      <c r="K31" s="54"/>
      <c r="L31" s="55" t="str">
        <f t="shared" si="0"/>
        <v xml:space="preserve">            { line: "al alba del primer día de la semana,, (Fa,,20)", sC: ""},</v>
      </c>
      <c r="M31" s="56" t="str">
        <f t="shared" si="1"/>
        <v>(</v>
      </c>
      <c r="N31" s="57" t="str">
        <f t="shared" si="2"/>
        <v>Fa</v>
      </c>
      <c r="O31" s="58" t="str">
        <f t="shared" si="3"/>
        <v>,</v>
      </c>
      <c r="P31" s="59" t="str">
        <f t="shared" si="4"/>
        <v/>
      </c>
      <c r="Q31" s="60" t="str">
        <f t="shared" si="5"/>
        <v>,</v>
      </c>
      <c r="R31" s="61">
        <f t="shared" ref="R31:R70"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1042</v>
      </c>
      <c r="D32" s="112" t="s">
        <v>1029</v>
      </c>
      <c r="E32" s="52" t="s">
        <v>1012</v>
      </c>
      <c r="F32" s="53"/>
      <c r="G32" s="53"/>
      <c r="H32" s="52"/>
      <c r="I32" s="52"/>
      <c r="J32" s="54"/>
      <c r="K32" s="54"/>
      <c r="L32" s="55" t="str">
        <f>IF(C32="","",_xlfn.CONCAT("            { line: ","""",C32,", ",M32:AN32,""", sC: ","""",B32,"""},"))</f>
        <v xml:space="preserve">            { line: "María Magdalena y la otra María, (Re,m,22)", sC: ""},</v>
      </c>
      <c r="M32" s="56" t="str">
        <f t="shared" si="1"/>
        <v>(</v>
      </c>
      <c r="N32" s="57" t="str">
        <f t="shared" si="2"/>
        <v>Re</v>
      </c>
      <c r="O32" s="58" t="str">
        <f t="shared" si="3"/>
        <v>,</v>
      </c>
      <c r="P32" s="59" t="str">
        <f t="shared" si="4"/>
        <v>m</v>
      </c>
      <c r="Q32" s="60" t="str">
        <f t="shared" si="5"/>
        <v>,</v>
      </c>
      <c r="R32" s="61">
        <f t="shared" si="28"/>
        <v>22</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1043</v>
      </c>
      <c r="D33" s="112" t="s">
        <v>1011</v>
      </c>
      <c r="E33" s="52"/>
      <c r="F33" s="53"/>
      <c r="G33" s="53"/>
      <c r="H33" s="52"/>
      <c r="I33" s="52"/>
      <c r="J33" s="54"/>
      <c r="K33" s="54"/>
      <c r="L33" s="55" t="str">
        <f>IF(C33="","",_xlfn.CONCAT("            { line: ","""",C33,", ",M33:AN33,""", sC: ","""",B33,"""},"))</f>
        <v xml:space="preserve">            { line: "fueron al sepulcro., (Mi,,20)", sC: ""},</v>
      </c>
      <c r="M33" s="56" t="str">
        <f t="shared" si="1"/>
        <v>(</v>
      </c>
      <c r="N33" s="57" t="str">
        <f t="shared" si="2"/>
        <v>Mi</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1044</v>
      </c>
      <c r="D34" s="112" t="s">
        <v>1029</v>
      </c>
      <c r="E34" s="52" t="s">
        <v>1012</v>
      </c>
      <c r="F34" s="53" t="s">
        <v>1011</v>
      </c>
      <c r="G34" s="53"/>
      <c r="H34" s="52"/>
      <c r="I34" s="52"/>
      <c r="J34" s="54"/>
      <c r="K34" s="54"/>
      <c r="L34" s="55" t="str">
        <f t="shared" ref="L34:L50" si="29">IF(C34="","",_xlfn.CONCAT("            { line: ","""",C34,", ",M34:AN34,""", sC: ","""",B34,"""},"))</f>
        <v xml:space="preserve">            { line: "Cuando de pronto se produjo un terremoto,, (Re,m,22)(Mi,,250)", sC: ""},</v>
      </c>
      <c r="M34" s="56" t="str">
        <f t="shared" si="1"/>
        <v>(</v>
      </c>
      <c r="N34" s="57" t="str">
        <f t="shared" si="2"/>
        <v>Re</v>
      </c>
      <c r="O34" s="58" t="str">
        <f t="shared" si="3"/>
        <v>,</v>
      </c>
      <c r="P34" s="59" t="str">
        <f t="shared" si="4"/>
        <v>m</v>
      </c>
      <c r="Q34" s="60" t="str">
        <f t="shared" si="5"/>
        <v>,</v>
      </c>
      <c r="R34" s="61">
        <f t="shared" si="28"/>
        <v>22</v>
      </c>
      <c r="S34" s="56" t="str">
        <f t="shared" si="6"/>
        <v>)</v>
      </c>
      <c r="T34" s="62" t="str">
        <f t="shared" si="7"/>
        <v>(</v>
      </c>
      <c r="U34" s="63" t="str">
        <f t="shared" si="8"/>
        <v>Mi</v>
      </c>
      <c r="V34" s="64" t="str">
        <f t="shared" si="9"/>
        <v>,</v>
      </c>
      <c r="W34" s="65" t="str">
        <f t="shared" si="10"/>
        <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1045</v>
      </c>
      <c r="D35" s="112" t="s">
        <v>1033</v>
      </c>
      <c r="E35" s="52"/>
      <c r="F35" s="53" t="s">
        <v>1015</v>
      </c>
      <c r="G35" s="53"/>
      <c r="H35" s="52" t="s">
        <v>1015</v>
      </c>
      <c r="I35" s="52"/>
      <c r="J35" s="54" t="s">
        <v>1011</v>
      </c>
      <c r="K35" s="54"/>
      <c r="L35" s="55" t="str">
        <f t="shared" si="29"/>
        <v xml:space="preserve">            { line: "el Ángel del Señor bajó del cielo,, (Fa,,20)(Sol,,250)(Sol,,350)(Mi,,450)", sC: ""},</v>
      </c>
      <c r="M35" s="56" t="str">
        <f>IF(N35="","","(")</f>
        <v>(</v>
      </c>
      <c r="N35" s="57" t="str">
        <f>IF(D35="","",D35)</f>
        <v>Fa</v>
      </c>
      <c r="O35" s="58" t="str">
        <f>IF(N35="","",",")</f>
        <v>,</v>
      </c>
      <c r="P35" s="59" t="str">
        <f>IF(E35="","",E35)</f>
        <v/>
      </c>
      <c r="Q35" s="60" t="str">
        <f>IF(N35="","",",")</f>
        <v>,</v>
      </c>
      <c r="R35" s="61">
        <f t="shared" si="28"/>
        <v>20</v>
      </c>
      <c r="S35" s="56" t="str">
        <f>IF(N35="","",")")</f>
        <v>)</v>
      </c>
      <c r="T35" s="62" t="str">
        <f>IF(U35="","","(")</f>
        <v>(</v>
      </c>
      <c r="U35" s="63" t="str">
        <f>IF(F35="","",F35)</f>
        <v>Sol</v>
      </c>
      <c r="V35" s="64" t="str">
        <f>IF(U35="","",",")</f>
        <v>,</v>
      </c>
      <c r="W35" s="65" t="str">
        <f>IF(G35="","",G35)</f>
        <v/>
      </c>
      <c r="X35" s="64" t="str">
        <f>IF(U35="","",",")</f>
        <v>,</v>
      </c>
      <c r="Y35" s="64">
        <f>IF(U35="","",250)</f>
        <v>250</v>
      </c>
      <c r="Z35" s="56" t="str">
        <f>IF(U35="","",")")</f>
        <v>)</v>
      </c>
      <c r="AA35" s="66" t="str">
        <f>IF(AB35="","","(")</f>
        <v>(</v>
      </c>
      <c r="AB35" s="57" t="str">
        <f>IF(H35="","",H35)</f>
        <v>Sol</v>
      </c>
      <c r="AC35" s="67" t="str">
        <f>IF(AB35="","",",")</f>
        <v>,</v>
      </c>
      <c r="AD35" s="59" t="str">
        <f>IF(I35="","",I35)</f>
        <v/>
      </c>
      <c r="AE35" s="68" t="str">
        <f>IF(AB35="","",",")</f>
        <v>,</v>
      </c>
      <c r="AF35" s="61">
        <f>IF(AB35="","",350)</f>
        <v>350</v>
      </c>
      <c r="AG35" s="61" t="str">
        <f>IF(AB35="","",")")</f>
        <v>)</v>
      </c>
      <c r="AH35" s="69" t="str">
        <f>IF(AI35="","","(")</f>
        <v>(</v>
      </c>
      <c r="AI35" s="70" t="str">
        <f>IF(J35="","",J35)</f>
        <v>Mi</v>
      </c>
      <c r="AJ35" s="64" t="str">
        <f>IF(AI35="","",",")</f>
        <v>,</v>
      </c>
      <c r="AK35" s="64" t="str">
        <f>IF(K35="","",K35)</f>
        <v/>
      </c>
      <c r="AL35" s="64" t="str">
        <f>IF(AI35="","",",")</f>
        <v>,</v>
      </c>
      <c r="AM35" s="64">
        <f>IF(AI35="","",450)</f>
        <v>450</v>
      </c>
      <c r="AN35" s="64" t="str">
        <f>IF(AI35="","",")")</f>
        <v>)</v>
      </c>
    </row>
    <row r="36" spans="1:40" ht="24.5" thickTop="1" thickBot="1" x14ac:dyDescent="0.55000000000000004">
      <c r="C36" s="113" t="s">
        <v>1046</v>
      </c>
      <c r="D36" s="112"/>
      <c r="E36" s="52"/>
      <c r="F36" s="53"/>
      <c r="G36" s="53"/>
      <c r="H36" s="52"/>
      <c r="I36" s="52"/>
      <c r="J36" s="54"/>
      <c r="K36" s="54"/>
      <c r="L36" s="55" t="str">
        <f t="shared" si="29"/>
        <v xml:space="preserve">            { line: "e hizo rodar la piedra., ", sC: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C38" s="113" t="s">
        <v>1047</v>
      </c>
      <c r="D38" s="112" t="s">
        <v>1029</v>
      </c>
      <c r="E38" s="52" t="s">
        <v>1012</v>
      </c>
      <c r="F38" s="53" t="s">
        <v>1011</v>
      </c>
      <c r="G38" s="53"/>
      <c r="H38" s="52"/>
      <c r="I38" s="52"/>
      <c r="J38" s="54"/>
      <c r="K38" s="54"/>
      <c r="L38" s="55" t="str">
        <f t="shared" si="29"/>
        <v xml:space="preserve">            { line: "Y el Ángel dijo a las mujeres:, (Re,m,22)(Mi,,250)", sC: ""},</v>
      </c>
      <c r="M38" s="56" t="str">
        <f>IF(N38="","","(")</f>
        <v>(</v>
      </c>
      <c r="N38" s="57" t="str">
        <f>IF(D38="","",D38)</f>
        <v>Re</v>
      </c>
      <c r="O38" s="58" t="str">
        <f>IF(N38="","",",")</f>
        <v>,</v>
      </c>
      <c r="P38" s="59" t="str">
        <f>IF(E38="","",E38)</f>
        <v>m</v>
      </c>
      <c r="Q38" s="60" t="str">
        <f>IF(N38="","",",")</f>
        <v>,</v>
      </c>
      <c r="R38" s="61">
        <f t="shared" si="28"/>
        <v>22</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1048</v>
      </c>
      <c r="D39" s="112" t="s">
        <v>1029</v>
      </c>
      <c r="E39" s="52">
        <v>7</v>
      </c>
      <c r="F39" s="53" t="s">
        <v>1030</v>
      </c>
      <c r="G39" s="53">
        <v>7</v>
      </c>
      <c r="H39" s="52"/>
      <c r="I39" s="52"/>
      <c r="J39" s="54"/>
      <c r="K39" s="54"/>
      <c r="L39" s="55" t="str">
        <f t="shared" si="29"/>
        <v xml:space="preserve">            { line: "«No temáis, sé que buscáis a Jesús,, (Re,7,22)(Do,7,250)", sC: ""},</v>
      </c>
      <c r="M39" s="56" t="str">
        <f t="shared" ref="M39:M42" si="30">IF(N39="","","(")</f>
        <v>(</v>
      </c>
      <c r="N39" s="57" t="str">
        <f t="shared" ref="N39:N42" si="31">IF(D39="","",D39)</f>
        <v>Re</v>
      </c>
      <c r="O39" s="58" t="str">
        <f t="shared" ref="O39:O42" si="32">IF(N39="","",",")</f>
        <v>,</v>
      </c>
      <c r="P39" s="59">
        <f t="shared" ref="P39:P42" si="33">IF(E39="","",E39)</f>
        <v>7</v>
      </c>
      <c r="Q39" s="60" t="str">
        <f t="shared" ref="Q39:Q42" si="34">IF(N39="","",",")</f>
        <v>,</v>
      </c>
      <c r="R39" s="61">
        <f t="shared" si="28"/>
        <v>22</v>
      </c>
      <c r="S39" s="56" t="str">
        <f t="shared" ref="S39:S42" si="35">IF(N39="","",")")</f>
        <v>)</v>
      </c>
      <c r="T39" s="62" t="str">
        <f t="shared" ref="T39:T42" si="36">IF(U39="","","(")</f>
        <v>(</v>
      </c>
      <c r="U39" s="63" t="str">
        <f t="shared" ref="U39:U42" si="37">IF(F39="","",F39)</f>
        <v>Do</v>
      </c>
      <c r="V39" s="64" t="str">
        <f t="shared" ref="V39:V42" si="38">IF(U39="","",",")</f>
        <v>,</v>
      </c>
      <c r="W39" s="65">
        <f t="shared" ref="W39:W42" si="39">IF(G39="","",G39)</f>
        <v>7</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4.5" thickTop="1" thickBot="1" x14ac:dyDescent="0.55000000000000004">
      <c r="C40" s="113" t="s">
        <v>1049</v>
      </c>
      <c r="D40" s="112" t="s">
        <v>1029</v>
      </c>
      <c r="E40" s="52">
        <v>7</v>
      </c>
      <c r="F40" s="53"/>
      <c r="G40" s="53"/>
      <c r="H40" s="52"/>
      <c r="I40" s="52"/>
      <c r="J40" s="54"/>
      <c r="K40" s="54"/>
      <c r="L40" s="55" t="str">
        <f t="shared" si="29"/>
        <v xml:space="preserve">            { line: "el Crucificado., (Re,7,22)", sC: ""},</v>
      </c>
      <c r="M40" s="56" t="str">
        <f t="shared" si="30"/>
        <v>(</v>
      </c>
      <c r="N40" s="57" t="str">
        <f t="shared" si="31"/>
        <v>Re</v>
      </c>
      <c r="O40" s="58" t="str">
        <f t="shared" si="32"/>
        <v>,</v>
      </c>
      <c r="P40" s="59">
        <f t="shared" si="33"/>
        <v>7</v>
      </c>
      <c r="Q40" s="60" t="str">
        <f t="shared" si="34"/>
        <v>,</v>
      </c>
      <c r="R40" s="61">
        <f t="shared" si="28"/>
        <v>22</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1014</v>
      </c>
      <c r="C42" s="113" t="s">
        <v>1050</v>
      </c>
      <c r="D42" s="112" t="s">
        <v>1015</v>
      </c>
      <c r="E42" s="52" t="s">
        <v>1012</v>
      </c>
      <c r="F42" s="53" t="s">
        <v>1029</v>
      </c>
      <c r="G42" s="53">
        <v>7</v>
      </c>
      <c r="H42" s="52" t="s">
        <v>1015</v>
      </c>
      <c r="I42" s="52" t="s">
        <v>1012</v>
      </c>
      <c r="J42" s="54"/>
      <c r="K42" s="54"/>
      <c r="L42" s="55" t="str">
        <f t="shared" si="29"/>
        <v xml:space="preserve">            { line: "No está aquí, ha resucitado., (Sol,m,14)(Re,7,250)(Sol,m,350)", sC: "tc"},</v>
      </c>
      <c r="M42" s="56" t="str">
        <f t="shared" si="30"/>
        <v>(</v>
      </c>
      <c r="N42" s="57" t="str">
        <f t="shared" si="31"/>
        <v>Sol</v>
      </c>
      <c r="O42" s="58" t="str">
        <f t="shared" si="32"/>
        <v>,</v>
      </c>
      <c r="P42" s="59" t="str">
        <f t="shared" si="33"/>
        <v>m</v>
      </c>
      <c r="Q42" s="60" t="str">
        <f t="shared" si="34"/>
        <v>,</v>
      </c>
      <c r="R42" s="61">
        <f t="shared" si="28"/>
        <v>14</v>
      </c>
      <c r="S42" s="56" t="str">
        <f t="shared" si="35"/>
        <v>)</v>
      </c>
      <c r="T42" s="62" t="str">
        <f t="shared" si="36"/>
        <v>(</v>
      </c>
      <c r="U42" s="63" t="str">
        <f t="shared" si="37"/>
        <v>Re</v>
      </c>
      <c r="V42" s="64" t="str">
        <f t="shared" si="38"/>
        <v>,</v>
      </c>
      <c r="W42" s="65">
        <f t="shared" si="39"/>
        <v>7</v>
      </c>
      <c r="X42" s="64" t="str">
        <f t="shared" si="40"/>
        <v>,</v>
      </c>
      <c r="Y42" s="64">
        <f t="shared" si="41"/>
        <v>250</v>
      </c>
      <c r="Z42" s="56" t="str">
        <f t="shared" si="42"/>
        <v>)</v>
      </c>
      <c r="AA42" s="66" t="str">
        <f t="shared" si="43"/>
        <v>(</v>
      </c>
      <c r="AB42" s="57" t="str">
        <f t="shared" si="44"/>
        <v>Sol</v>
      </c>
      <c r="AC42" s="67" t="str">
        <f t="shared" si="45"/>
        <v>,</v>
      </c>
      <c r="AD42" s="59" t="str">
        <f t="shared" si="46"/>
        <v>m</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B43" t="s">
        <v>997</v>
      </c>
      <c r="C43" s="113" t="s">
        <v>1063</v>
      </c>
      <c r="D43" s="112" t="s">
        <v>1029</v>
      </c>
      <c r="E43" s="52">
        <v>7</v>
      </c>
      <c r="F43" s="53" t="s">
        <v>1015</v>
      </c>
      <c r="G43" s="53" t="s">
        <v>1012</v>
      </c>
      <c r="H43" s="52"/>
      <c r="I43" s="52"/>
      <c r="J43" s="54"/>
      <c r="K43" s="54"/>
      <c r="L43" s="55" t="str">
        <f t="shared" si="29"/>
        <v xml:space="preserve">            { line: "NO ESTÁ AQUÍ, HA RESUCITADO., (Re,7,22)(Sol,m,250)", sC: "ta as"},</v>
      </c>
      <c r="M43" s="56" t="str">
        <f>IF(N43="","","(")</f>
        <v>(</v>
      </c>
      <c r="N43" s="57" t="str">
        <f>IF(D43="","",D43)</f>
        <v>Re</v>
      </c>
      <c r="O43" s="58" t="str">
        <f>IF(N43="","",",")</f>
        <v>,</v>
      </c>
      <c r="P43" s="59">
        <f>IF(E43="","",E43)</f>
        <v>7</v>
      </c>
      <c r="Q43" s="60" t="str">
        <f>IF(N43="","",",")</f>
        <v>,</v>
      </c>
      <c r="R43" s="61">
        <f t="shared" si="28"/>
        <v>22</v>
      </c>
      <c r="S43" s="56" t="str">
        <f>IF(N43="","",")")</f>
        <v>)</v>
      </c>
      <c r="T43" s="62" t="str">
        <f>IF(U43="","","(")</f>
        <v>(</v>
      </c>
      <c r="U43" s="63" t="str">
        <f>IF(F43="","",F43)</f>
        <v>Sol</v>
      </c>
      <c r="V43" s="64" t="str">
        <f>IF(U43="","",",")</f>
        <v>,</v>
      </c>
      <c r="W43" s="65" t="str">
        <f>IF(G43="","",G43)</f>
        <v>m</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B44" t="s">
        <v>1014</v>
      </c>
      <c r="C44" s="113" t="s">
        <v>1051</v>
      </c>
      <c r="D44" s="112" t="s">
        <v>1030</v>
      </c>
      <c r="E44" s="52" t="s">
        <v>1012</v>
      </c>
      <c r="F44" s="53" t="s">
        <v>1029</v>
      </c>
      <c r="G44" s="53">
        <v>7</v>
      </c>
      <c r="H44" s="52"/>
      <c r="I44" s="52"/>
      <c r="J44" s="54"/>
      <c r="K44" s="54"/>
      <c r="L44" s="55" t="str">
        <f t="shared" si="29"/>
        <v xml:space="preserve">            { line: "No está aquí, resucitó,, (Do,m,10)(Re,7,250)", sC: "tc"},</v>
      </c>
      <c r="M44" s="56" t="str">
        <f>IF(N44="","","(")</f>
        <v>(</v>
      </c>
      <c r="N44" s="57" t="str">
        <f>IF(D44="","",D44)</f>
        <v>Do</v>
      </c>
      <c r="O44" s="58" t="str">
        <f>IF(N44="","",",")</f>
        <v>,</v>
      </c>
      <c r="P44" s="59" t="str">
        <f>IF(E44="","",E44)</f>
        <v>m</v>
      </c>
      <c r="Q44" s="60" t="str">
        <f>IF(N44="","",",")</f>
        <v>,</v>
      </c>
      <c r="R44" s="61">
        <f t="shared" si="28"/>
        <v>10</v>
      </c>
      <c r="S44" s="56" t="str">
        <f>IF(N44="","",")")</f>
        <v>)</v>
      </c>
      <c r="T44" s="62" t="str">
        <f>IF(U44="","","(")</f>
        <v>(</v>
      </c>
      <c r="U44" s="63" t="str">
        <f>IF(F44="","",F44)</f>
        <v>Re</v>
      </c>
      <c r="V44" s="64" t="str">
        <f>IF(U44="","",",")</f>
        <v>,</v>
      </c>
      <c r="W44" s="65">
        <f>IF(G44="","",G44)</f>
        <v>7</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4.5" thickTop="1" thickBot="1" x14ac:dyDescent="0.55000000000000004">
      <c r="B45" t="s">
        <v>997</v>
      </c>
      <c r="C45" s="113" t="s">
        <v>1056</v>
      </c>
      <c r="D45" s="112" t="s">
        <v>1030</v>
      </c>
      <c r="E45" s="52" t="s">
        <v>1012</v>
      </c>
      <c r="F45" s="53" t="s">
        <v>1029</v>
      </c>
      <c r="G45" s="53">
        <v>7</v>
      </c>
      <c r="H45" s="52"/>
      <c r="I45" s="52"/>
      <c r="J45" s="54"/>
      <c r="K45" s="54"/>
      <c r="L45" s="55" t="str">
        <f t="shared" si="29"/>
        <v xml:space="preserve">            { line: "NO ESTÁ AQUÍ, RESUCITÓ., (Do,m,10)(Re,7,250)", sC: "ta as"},</v>
      </c>
      <c r="M45" s="56" t="str">
        <f>IF(N45="","","(")</f>
        <v>(</v>
      </c>
      <c r="N45" s="57" t="str">
        <f>IF(D45="","",D45)</f>
        <v>Do</v>
      </c>
      <c r="O45" s="58" t="str">
        <f>IF(N45="","",",")</f>
        <v>,</v>
      </c>
      <c r="P45" s="59" t="str">
        <f>IF(E45="","",E45)</f>
        <v>m</v>
      </c>
      <c r="Q45" s="60" t="str">
        <f>IF(N45="","",",")</f>
        <v>,</v>
      </c>
      <c r="R45" s="61">
        <f t="shared" si="28"/>
        <v>10</v>
      </c>
      <c r="S45" s="56" t="str">
        <f>IF(N45="","",")")</f>
        <v>)</v>
      </c>
      <c r="T45" s="62" t="str">
        <f>IF(U45="","","(")</f>
        <v>(</v>
      </c>
      <c r="U45" s="63" t="str">
        <f>IF(F45="","",F45)</f>
        <v>Re</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thickTop="1" thickBot="1" x14ac:dyDescent="0.55000000000000004">
      <c r="B47" t="s">
        <v>1014</v>
      </c>
      <c r="C47" s="113" t="s">
        <v>1052</v>
      </c>
      <c r="D47" s="112" t="s">
        <v>1015</v>
      </c>
      <c r="E47" s="52" t="s">
        <v>1012</v>
      </c>
      <c r="F47" s="53" t="s">
        <v>1029</v>
      </c>
      <c r="G47" s="53">
        <v>7</v>
      </c>
      <c r="H47" s="52"/>
      <c r="I47" s="52"/>
      <c r="J47" s="54"/>
      <c r="K47" s="54"/>
      <c r="L47" s="55" t="str">
        <f t="shared" si="29"/>
        <v xml:space="preserve">            { line: "Id de prisa a decir a sus discípulos:, (Sol,m,14)(Re,7,250)", sC: "tc"},</v>
      </c>
      <c r="M47" s="56" t="str">
        <f>IF(N47="","","(")</f>
        <v>(</v>
      </c>
      <c r="N47" s="57" t="str">
        <f>IF(D47="","",D47)</f>
        <v>Sol</v>
      </c>
      <c r="O47" s="58" t="str">
        <f>IF(N47="","",",")</f>
        <v>,</v>
      </c>
      <c r="P47" s="59" t="str">
        <f>IF(E47="","",E47)</f>
        <v>m</v>
      </c>
      <c r="Q47" s="60" t="str">
        <f>IF(N47="","",",")</f>
        <v>,</v>
      </c>
      <c r="R47" s="61">
        <f t="shared" si="28"/>
        <v>14</v>
      </c>
      <c r="S47" s="56" t="str">
        <f>IF(N47="","",")")</f>
        <v>)</v>
      </c>
      <c r="T47" s="62" t="str">
        <f>IF(U47="","","(")</f>
        <v>(</v>
      </c>
      <c r="U47" s="63" t="str">
        <f>IF(F47="","",F47)</f>
        <v>Re</v>
      </c>
      <c r="V47" s="64" t="str">
        <f>IF(U47="","",",")</f>
        <v>,</v>
      </c>
      <c r="W47" s="65">
        <f>IF(G47="","",G47)</f>
        <v>7</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1053</v>
      </c>
      <c r="D48" s="112" t="s">
        <v>1015</v>
      </c>
      <c r="E48" s="52" t="s">
        <v>1012</v>
      </c>
      <c r="F48" s="53"/>
      <c r="G48" s="53"/>
      <c r="H48" s="52"/>
      <c r="I48" s="52"/>
      <c r="J48" s="54"/>
      <c r="K48" s="54"/>
      <c r="L48" s="55" t="str">
        <f t="shared" si="29"/>
        <v xml:space="preserve">            { line: "ha resucitado de entre los muertos., (Sol,m,14)", sC: ""},</v>
      </c>
      <c r="M48" s="56" t="str">
        <f t="shared" ref="M48:M50" si="57">IF(N48="","","(")</f>
        <v>(</v>
      </c>
      <c r="N48" s="57" t="str">
        <f t="shared" ref="N48:N50" si="58">IF(D48="","",D48)</f>
        <v>Sol</v>
      </c>
      <c r="O48" s="58" t="str">
        <f t="shared" ref="O48:O50" si="59">IF(N48="","",",")</f>
        <v>,</v>
      </c>
      <c r="P48" s="59" t="str">
        <f t="shared" ref="P48:P50" si="60">IF(E48="","",E48)</f>
        <v>m</v>
      </c>
      <c r="Q48" s="60" t="str">
        <f t="shared" ref="Q48:Q50" si="61">IF(N48="","",",")</f>
        <v>,</v>
      </c>
      <c r="R48" s="61">
        <f t="shared" si="28"/>
        <v>14</v>
      </c>
      <c r="S48" s="56" t="str">
        <f t="shared" ref="S48:S50" si="62">IF(N48="","",")")</f>
        <v>)</v>
      </c>
      <c r="T48" s="62" t="str">
        <f t="shared" ref="T48:T50" si="63">IF(U48="","","(")</f>
        <v/>
      </c>
      <c r="U48" s="63" t="str">
        <f t="shared" ref="U48:U50" si="64">IF(F48="","",F48)</f>
        <v/>
      </c>
      <c r="V48" s="64" t="str">
        <f t="shared" ref="V48:V50" si="65">IF(U48="","",",")</f>
        <v/>
      </c>
      <c r="W48" s="65" t="str">
        <f t="shared" ref="W48:W50" si="66">IF(G48="","",G48)</f>
        <v/>
      </c>
      <c r="X48" s="64" t="str">
        <f t="shared" ref="X48:X50" si="67">IF(U48="","",",")</f>
        <v/>
      </c>
      <c r="Y48" s="64" t="str">
        <f t="shared" ref="Y48:Y50" si="68">IF(U48="","",250)</f>
        <v/>
      </c>
      <c r="Z48" s="56" t="str">
        <f t="shared" ref="Z48:Z50" si="69">IF(U48="","",")")</f>
        <v/>
      </c>
      <c r="AA48" s="66" t="str">
        <f t="shared" ref="AA48:AA50" si="70">IF(AB48="","","(")</f>
        <v/>
      </c>
      <c r="AB48" s="57" t="str">
        <f t="shared" ref="AB48:AB50" si="71">IF(H48="","",H48)</f>
        <v/>
      </c>
      <c r="AC48" s="67" t="str">
        <f t="shared" ref="AC48:AC50" si="72">IF(AB48="","",",")</f>
        <v/>
      </c>
      <c r="AD48" s="59" t="str">
        <f t="shared" ref="AD48:AD50" si="73">IF(I48="","",I48)</f>
        <v/>
      </c>
      <c r="AE48" s="68" t="str">
        <f t="shared" ref="AE48:AE50" si="74">IF(AB48="","",",")</f>
        <v/>
      </c>
      <c r="AF48" s="61" t="str">
        <f t="shared" ref="AF48:AF50" si="75">IF(AB48="","",350)</f>
        <v/>
      </c>
      <c r="AG48" s="61" t="str">
        <f t="shared" ref="AG48:AG50" si="76">IF(AB48="","",")")</f>
        <v/>
      </c>
      <c r="AH48" s="69" t="str">
        <f t="shared" ref="AH48:AH50" si="77">IF(AI48="","","(")</f>
        <v/>
      </c>
      <c r="AI48" s="70" t="str">
        <f t="shared" ref="AI48:AI50" si="78">IF(J48="","",J48)</f>
        <v/>
      </c>
      <c r="AJ48" s="64" t="str">
        <f t="shared" ref="AJ48:AJ50" si="79">IF(AI48="","",",")</f>
        <v/>
      </c>
      <c r="AK48" s="64" t="str">
        <f t="shared" ref="AK48:AK50" si="80">IF(K48="","",K48)</f>
        <v/>
      </c>
      <c r="AL48" s="64" t="str">
        <f t="shared" ref="AL48:AL50" si="81">IF(AI48="","",",")</f>
        <v/>
      </c>
      <c r="AM48" s="64" t="str">
        <f t="shared" ref="AM48:AM50" si="82">IF(AI48="","",450)</f>
        <v/>
      </c>
      <c r="AN48" s="64" t="str">
        <f t="shared" ref="AN48:AN50" si="83">IF(AI48="","",")")</f>
        <v/>
      </c>
    </row>
    <row r="49" spans="1:40" ht="24.5" thickTop="1" thickBot="1" x14ac:dyDescent="0.55000000000000004">
      <c r="C49" s="113" t="s">
        <v>1052</v>
      </c>
      <c r="D49" s="112" t="s">
        <v>1029</v>
      </c>
      <c r="E49" s="52">
        <v>7</v>
      </c>
      <c r="F49" s="53"/>
      <c r="G49" s="53"/>
      <c r="H49" s="52"/>
      <c r="I49" s="52"/>
      <c r="J49" s="54"/>
      <c r="K49" s="54"/>
      <c r="L49" s="55" t="str">
        <f t="shared" si="29"/>
        <v xml:space="preserve">            { line: "Id de prisa a decir a sus discípulos:, (Re,7,22)", sC: ""},</v>
      </c>
      <c r="M49" s="56" t="str">
        <f t="shared" si="57"/>
        <v>(</v>
      </c>
      <c r="N49" s="57" t="str">
        <f t="shared" si="58"/>
        <v>Re</v>
      </c>
      <c r="O49" s="58" t="str">
        <f t="shared" si="59"/>
        <v>,</v>
      </c>
      <c r="P49" s="59">
        <f t="shared" si="60"/>
        <v>7</v>
      </c>
      <c r="Q49" s="60" t="str">
        <f t="shared" si="61"/>
        <v>,</v>
      </c>
      <c r="R49" s="61">
        <f t="shared" si="28"/>
        <v>22</v>
      </c>
      <c r="S49" s="56" t="str">
        <f t="shared" si="62"/>
        <v>)</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4.5" thickTop="1" thickBot="1" x14ac:dyDescent="0.55000000000000004">
      <c r="C50" s="113" t="s">
        <v>1054</v>
      </c>
      <c r="D50" s="112" t="s">
        <v>1015</v>
      </c>
      <c r="E50" s="52" t="s">
        <v>1012</v>
      </c>
      <c r="F50" s="53"/>
      <c r="G50" s="53"/>
      <c r="H50" s="52"/>
      <c r="I50" s="52"/>
      <c r="J50" s="54"/>
      <c r="K50" s="54"/>
      <c r="L50" s="55" t="str">
        <f t="shared" si="29"/>
        <v xml:space="preserve">            { line: "ha resucitado de entre los muertos, (Sol,m,14)", sC: ""},</v>
      </c>
      <c r="M50" s="56" t="str">
        <f t="shared" si="57"/>
        <v>(</v>
      </c>
      <c r="N50" s="57" t="str">
        <f t="shared" si="58"/>
        <v>Sol</v>
      </c>
      <c r="O50" s="58" t="str">
        <f t="shared" si="59"/>
        <v>,</v>
      </c>
      <c r="P50" s="59" t="str">
        <f t="shared" si="60"/>
        <v>m</v>
      </c>
      <c r="Q50" s="60" t="str">
        <f t="shared" si="61"/>
        <v>,</v>
      </c>
      <c r="R50" s="61">
        <f t="shared" si="28"/>
        <v>14</v>
      </c>
      <c r="S50" s="56" t="str">
        <f t="shared" si="62"/>
        <v>)</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4.5" thickTop="1" thickBot="1" x14ac:dyDescent="0.55000000000000004">
      <c r="C51" s="113" t="s">
        <v>1055</v>
      </c>
      <c r="D51" s="112" t="s">
        <v>1030</v>
      </c>
      <c r="E51" s="52" t="s">
        <v>1012</v>
      </c>
      <c r="F51" s="53" t="s">
        <v>1029</v>
      </c>
      <c r="G51" s="53">
        <v>7</v>
      </c>
      <c r="H51" s="52"/>
      <c r="I51" s="52"/>
      <c r="J51" s="54"/>
      <c r="K51" s="54"/>
      <c r="L51" s="55" t="str">
        <f>IF(C51="","",_xlfn.CONCAT("            { line: ","""",C51,", ",M51:AN51,""", sC: ","""",B51,"""},"))</f>
        <v xml:space="preserve">            { line: "y os precede en Galilea., (Do,m,10)(Re,7,250)", sC: ""},</v>
      </c>
      <c r="M51" s="56" t="str">
        <f>IF(N51="","","(")</f>
        <v>(</v>
      </c>
      <c r="N51" s="57" t="str">
        <f>IF(D51="","",D51)</f>
        <v>Do</v>
      </c>
      <c r="O51" s="58" t="str">
        <f>IF(N51="","",",")</f>
        <v>,</v>
      </c>
      <c r="P51" s="59" t="str">
        <f>IF(E51="","",E51)</f>
        <v>m</v>
      </c>
      <c r="Q51" s="60" t="str">
        <f>IF(N51="","",",")</f>
        <v>,</v>
      </c>
      <c r="R51" s="61">
        <f>IF(N51="Do",10,IF(N51="Re",22,IF(N51="Mi",20,IF(N51="Fa",20,IF(N51="Sol",14,IF(N51="La",20,IF(N51="Si",20,IF(N51="Do#",14,IF(N51="Fa#",15,IF(N51="Sol#",20,""))))))))))</f>
        <v>10</v>
      </c>
      <c r="S51" s="56" t="str">
        <f>IF(N51="","",")")</f>
        <v>)</v>
      </c>
      <c r="T51" s="62" t="str">
        <f>IF(U51="","","(")</f>
        <v>(</v>
      </c>
      <c r="U51" s="63" t="str">
        <f>IF(F51="","",F51)</f>
        <v>Re</v>
      </c>
      <c r="V51" s="64" t="str">
        <f>IF(U51="","",",")</f>
        <v>,</v>
      </c>
      <c r="W51" s="65">
        <f>IF(G51="","",G51)</f>
        <v>7</v>
      </c>
      <c r="X51" s="64" t="str">
        <f>IF(U51="","",",")</f>
        <v>,</v>
      </c>
      <c r="Y51" s="64">
        <f>IF(U51="","",250)</f>
        <v>250</v>
      </c>
      <c r="Z51" s="56" t="str">
        <f>IF(U51="","",")")</f>
        <v>)</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36.5" thickTop="1" thickBot="1" x14ac:dyDescent="0.55000000000000004">
      <c r="A52" s="76"/>
      <c r="B52" s="76"/>
      <c r="C52" s="76" t="s">
        <v>1031</v>
      </c>
      <c r="D52" s="77"/>
      <c r="E52" s="77"/>
      <c r="F52" s="77"/>
      <c r="G52" s="77"/>
      <c r="H52" s="77"/>
      <c r="I52" s="77"/>
      <c r="J52" s="77"/>
      <c r="K52" s="77"/>
      <c r="L52" s="50" t="s">
        <v>994</v>
      </c>
      <c r="M52" s="104"/>
      <c r="N52" s="57"/>
      <c r="O52" s="105"/>
      <c r="P52" s="59"/>
      <c r="Q52" s="106"/>
      <c r="R52" s="61" t="str">
        <f t="shared" si="28"/>
        <v/>
      </c>
      <c r="S52" s="104"/>
      <c r="T52" s="107"/>
      <c r="U52" s="108"/>
      <c r="V52" s="109"/>
      <c r="W52" s="110"/>
      <c r="X52" s="109"/>
      <c r="Y52" s="109"/>
      <c r="Z52" s="104"/>
      <c r="AA52" s="66"/>
      <c r="AB52" s="57"/>
      <c r="AC52" s="67"/>
      <c r="AD52" s="59"/>
      <c r="AE52" s="68"/>
      <c r="AF52" s="61"/>
      <c r="AG52" s="61"/>
      <c r="AH52" s="66"/>
      <c r="AI52" s="111"/>
      <c r="AJ52" s="109"/>
      <c r="AK52" s="109"/>
      <c r="AL52" s="109"/>
      <c r="AM52" s="109"/>
      <c r="AN52" s="109"/>
    </row>
    <row r="53" spans="1:40" ht="24.5" thickTop="1" thickBot="1" x14ac:dyDescent="0.55000000000000004">
      <c r="B53" t="s">
        <v>997</v>
      </c>
      <c r="C53" s="113" t="s">
        <v>1056</v>
      </c>
      <c r="D53" s="112" t="s">
        <v>1015</v>
      </c>
      <c r="E53" s="52" t="s">
        <v>1012</v>
      </c>
      <c r="F53" s="53" t="s">
        <v>1029</v>
      </c>
      <c r="G53" s="53">
        <v>7</v>
      </c>
      <c r="H53" s="52" t="s">
        <v>1015</v>
      </c>
      <c r="I53" s="52" t="s">
        <v>1012</v>
      </c>
      <c r="J53" s="54"/>
      <c r="K53" s="54"/>
      <c r="L53" s="55" t="str">
        <f t="shared" ref="L53:L70" si="84">IF(C53="","",_xlfn.CONCAT("            { line: ","""",C53,", ",M53:AN53,""", sC: ","""",B53,"""},"))</f>
        <v xml:space="preserve">            { line: "NO ESTÁ AQUÍ, RESUCITÓ., (Sol,m,14)(Re,7,250)(Sol,m,350)", sC: "ta as"},</v>
      </c>
      <c r="M53" s="56" t="str">
        <f t="shared" ref="M53:M70" si="85">IF(N53="","","(")</f>
        <v>(</v>
      </c>
      <c r="N53" s="57" t="str">
        <f t="shared" si="2"/>
        <v>Sol</v>
      </c>
      <c r="O53" s="58" t="str">
        <f t="shared" ref="O53:O70" si="86">IF(N53="","",",")</f>
        <v>,</v>
      </c>
      <c r="P53" s="59" t="str">
        <f t="shared" si="4"/>
        <v>m</v>
      </c>
      <c r="Q53" s="60" t="str">
        <f t="shared" ref="Q53:Q70" si="87">IF(N53="","",",")</f>
        <v>,</v>
      </c>
      <c r="R53" s="61">
        <f t="shared" si="28"/>
        <v>14</v>
      </c>
      <c r="S53" s="56" t="str">
        <f t="shared" ref="S53:S70" si="88">IF(N53="","",")")</f>
        <v>)</v>
      </c>
      <c r="T53" s="62" t="str">
        <f t="shared" ref="T53:T70" si="89">IF(U53="","","(")</f>
        <v>(</v>
      </c>
      <c r="U53" s="63" t="str">
        <f t="shared" si="8"/>
        <v>Re</v>
      </c>
      <c r="V53" s="64" t="str">
        <f t="shared" ref="V53:V70" si="90">IF(U53="","",",")</f>
        <v>,</v>
      </c>
      <c r="W53" s="65">
        <f t="shared" si="10"/>
        <v>7</v>
      </c>
      <c r="X53" s="64" t="str">
        <f t="shared" ref="X53:X70" si="91">IF(U53="","",",")</f>
        <v>,</v>
      </c>
      <c r="Y53" s="64">
        <f t="shared" ref="Y53:Y70" si="92">IF(U53="","",250)</f>
        <v>250</v>
      </c>
      <c r="Z53" s="56" t="str">
        <f t="shared" ref="Z53:Z70" si="93">IF(U53="","",")")</f>
        <v>)</v>
      </c>
      <c r="AA53" s="66" t="str">
        <f t="shared" ref="AA53:AA70" si="94">IF(AB53="","","(")</f>
        <v>(</v>
      </c>
      <c r="AB53" s="57" t="str">
        <f t="shared" si="15"/>
        <v>Sol</v>
      </c>
      <c r="AC53" s="67" t="str">
        <f t="shared" ref="AC53:AC70" si="95">IF(AB53="","",",")</f>
        <v>,</v>
      </c>
      <c r="AD53" s="59" t="str">
        <f t="shared" ref="AD53:AD70" si="96">IF(I53="","",I53)</f>
        <v>m</v>
      </c>
      <c r="AE53" s="68" t="str">
        <f t="shared" ref="AE53:AE70" si="97">IF(AB53="","",",")</f>
        <v>,</v>
      </c>
      <c r="AF53" s="61">
        <f t="shared" ref="AF53:AF70" si="98">IF(AB53="","",350)</f>
        <v>350</v>
      </c>
      <c r="AG53" s="61" t="str">
        <f t="shared" ref="AG53:AG70" si="99">IF(AB53="","",")")</f>
        <v>)</v>
      </c>
      <c r="AH53" s="69" t="str">
        <f t="shared" ref="AH53:AH70" si="100">IF(AI53="","","(")</f>
        <v/>
      </c>
      <c r="AI53" s="70" t="str">
        <f t="shared" si="22"/>
        <v/>
      </c>
      <c r="AJ53" s="64" t="str">
        <f t="shared" ref="AJ53:AJ70" si="101">IF(AI53="","",",")</f>
        <v/>
      </c>
      <c r="AK53" s="64" t="str">
        <f t="shared" ref="AK53:AK70" si="102">IF(K53="","",K53)</f>
        <v/>
      </c>
      <c r="AL53" s="64" t="str">
        <f t="shared" ref="AL53:AL70" si="103">IF(AI53="","",",")</f>
        <v/>
      </c>
      <c r="AM53" s="64" t="str">
        <f t="shared" ref="AM53:AM70" si="104">IF(AI53="","",450)</f>
        <v/>
      </c>
      <c r="AN53" s="64" t="str">
        <f t="shared" ref="AN53:AN70" si="105">IF(AI53="","",")")</f>
        <v/>
      </c>
    </row>
    <row r="54" spans="1:40" ht="24.5" thickTop="1" thickBot="1" x14ac:dyDescent="0.55000000000000004">
      <c r="B54" t="s">
        <v>999</v>
      </c>
      <c r="C54" s="113" t="s">
        <v>1056</v>
      </c>
      <c r="D54" s="112" t="s">
        <v>1029</v>
      </c>
      <c r="E54" s="52">
        <v>7</v>
      </c>
      <c r="F54" s="53" t="s">
        <v>1015</v>
      </c>
      <c r="G54" s="53" t="s">
        <v>1012</v>
      </c>
      <c r="H54" s="52"/>
      <c r="I54" s="52"/>
      <c r="J54" s="54"/>
      <c r="K54" s="54"/>
      <c r="L54" s="55" t="str">
        <f t="shared" si="84"/>
        <v xml:space="preserve">            { line: "NO ESTÁ AQUÍ, RESUCITÓ., (Re,7,22)(Sol,m,250)", sC: "as"},</v>
      </c>
      <c r="M54" s="56" t="str">
        <f t="shared" si="85"/>
        <v>(</v>
      </c>
      <c r="N54" s="57" t="str">
        <f t="shared" si="2"/>
        <v>Re</v>
      </c>
      <c r="O54" s="58" t="str">
        <f t="shared" si="86"/>
        <v>,</v>
      </c>
      <c r="P54" s="59">
        <f t="shared" si="4"/>
        <v>7</v>
      </c>
      <c r="Q54" s="60" t="str">
        <f t="shared" si="87"/>
        <v>,</v>
      </c>
      <c r="R54" s="61">
        <f t="shared" si="28"/>
        <v>22</v>
      </c>
      <c r="S54" s="56" t="str">
        <f t="shared" si="88"/>
        <v>)</v>
      </c>
      <c r="T54" s="62" t="str">
        <f t="shared" si="89"/>
        <v>(</v>
      </c>
      <c r="U54" s="63" t="str">
        <f t="shared" si="8"/>
        <v>Sol</v>
      </c>
      <c r="V54" s="64" t="str">
        <f t="shared" si="90"/>
        <v>,</v>
      </c>
      <c r="W54" s="65" t="str">
        <f t="shared" si="10"/>
        <v>m</v>
      </c>
      <c r="X54" s="64" t="str">
        <f t="shared" si="91"/>
        <v>,</v>
      </c>
      <c r="Y54" s="64">
        <f t="shared" si="92"/>
        <v>250</v>
      </c>
      <c r="Z54" s="56" t="str">
        <f t="shared" si="93"/>
        <v>)</v>
      </c>
      <c r="AA54" s="66" t="str">
        <f t="shared" si="94"/>
        <v/>
      </c>
      <c r="AB54" s="57" t="str">
        <f t="shared" si="15"/>
        <v/>
      </c>
      <c r="AC54" s="67" t="str">
        <f t="shared" si="95"/>
        <v/>
      </c>
      <c r="AD54" s="59" t="str">
        <f t="shared" si="96"/>
        <v/>
      </c>
      <c r="AE54" s="68" t="str">
        <f t="shared" si="97"/>
        <v/>
      </c>
      <c r="AF54" s="61" t="str">
        <f t="shared" si="98"/>
        <v/>
      </c>
      <c r="AG54" s="61" t="str">
        <f t="shared" si="99"/>
        <v/>
      </c>
      <c r="AH54" s="69" t="str">
        <f t="shared" si="100"/>
        <v/>
      </c>
      <c r="AI54" s="70" t="str">
        <f t="shared" si="22"/>
        <v/>
      </c>
      <c r="AJ54" s="64" t="str">
        <f t="shared" si="101"/>
        <v/>
      </c>
      <c r="AK54" s="64" t="str">
        <f t="shared" si="102"/>
        <v/>
      </c>
      <c r="AL54" s="64" t="str">
        <f t="shared" si="103"/>
        <v/>
      </c>
      <c r="AM54" s="64" t="str">
        <f t="shared" si="104"/>
        <v/>
      </c>
      <c r="AN54" s="64" t="str">
        <f t="shared" si="105"/>
        <v/>
      </c>
    </row>
    <row r="55" spans="1:40" ht="24.5" thickTop="1" thickBot="1" x14ac:dyDescent="0.55000000000000004">
      <c r="B55" t="s">
        <v>999</v>
      </c>
      <c r="C55" s="113" t="s">
        <v>1056</v>
      </c>
      <c r="D55" s="112" t="s">
        <v>1030</v>
      </c>
      <c r="E55" s="52" t="s">
        <v>1012</v>
      </c>
      <c r="F55" s="53" t="s">
        <v>1029</v>
      </c>
      <c r="G55" s="53">
        <v>7</v>
      </c>
      <c r="H55" s="52"/>
      <c r="I55" s="52"/>
      <c r="J55" s="54"/>
      <c r="K55" s="54"/>
      <c r="L55" s="55" t="str">
        <f t="shared" si="84"/>
        <v xml:space="preserve">            { line: "NO ESTÁ AQUÍ, RESUCITÓ., (Do,m,10)(Re,7,250)", sC: "as"},</v>
      </c>
      <c r="M55" s="56" t="str">
        <f t="shared" si="85"/>
        <v>(</v>
      </c>
      <c r="N55" s="57" t="str">
        <f t="shared" si="2"/>
        <v>Do</v>
      </c>
      <c r="O55" s="58" t="str">
        <f t="shared" si="86"/>
        <v>,</v>
      </c>
      <c r="P55" s="59" t="str">
        <f t="shared" si="4"/>
        <v>m</v>
      </c>
      <c r="Q55" s="60" t="str">
        <f t="shared" si="87"/>
        <v>,</v>
      </c>
      <c r="R55" s="61">
        <f t="shared" si="28"/>
        <v>10</v>
      </c>
      <c r="S55" s="56" t="str">
        <f t="shared" si="88"/>
        <v>)</v>
      </c>
      <c r="T55" s="62" t="str">
        <f t="shared" si="89"/>
        <v>(</v>
      </c>
      <c r="U55" s="63" t="str">
        <f t="shared" si="8"/>
        <v>Re</v>
      </c>
      <c r="V55" s="64" t="str">
        <f t="shared" si="90"/>
        <v>,</v>
      </c>
      <c r="W55" s="65">
        <f t="shared" si="10"/>
        <v>7</v>
      </c>
      <c r="X55" s="64" t="str">
        <f t="shared" si="91"/>
        <v>,</v>
      </c>
      <c r="Y55" s="64">
        <f t="shared" si="92"/>
        <v>250</v>
      </c>
      <c r="Z55" s="56" t="str">
        <f t="shared" si="93"/>
        <v>)</v>
      </c>
      <c r="AA55" s="66" t="str">
        <f t="shared" si="94"/>
        <v/>
      </c>
      <c r="AB55" s="57" t="str">
        <f t="shared" si="15"/>
        <v/>
      </c>
      <c r="AC55" s="67" t="str">
        <f t="shared" si="95"/>
        <v/>
      </c>
      <c r="AD55" s="59" t="str">
        <f t="shared" si="96"/>
        <v/>
      </c>
      <c r="AE55" s="68" t="str">
        <f t="shared" si="97"/>
        <v/>
      </c>
      <c r="AF55" s="61" t="str">
        <f t="shared" si="98"/>
        <v/>
      </c>
      <c r="AG55" s="61" t="str">
        <f t="shared" si="99"/>
        <v/>
      </c>
      <c r="AH55" s="69" t="str">
        <f t="shared" si="100"/>
        <v/>
      </c>
      <c r="AI55" s="70" t="str">
        <f t="shared" si="22"/>
        <v/>
      </c>
      <c r="AJ55" s="64" t="str">
        <f t="shared" si="101"/>
        <v/>
      </c>
      <c r="AK55" s="64" t="str">
        <f t="shared" si="102"/>
        <v/>
      </c>
      <c r="AL55" s="64" t="str">
        <f t="shared" si="103"/>
        <v/>
      </c>
      <c r="AM55" s="64" t="str">
        <f t="shared" si="104"/>
        <v/>
      </c>
      <c r="AN55" s="64" t="str">
        <f t="shared" si="105"/>
        <v/>
      </c>
    </row>
    <row r="56" spans="1:40" ht="26.5" thickTop="1" thickBot="1" x14ac:dyDescent="0.55000000000000004">
      <c r="A56" s="73"/>
      <c r="B56" s="73"/>
      <c r="C56" s="73"/>
      <c r="D56" s="74"/>
      <c r="E56" s="74"/>
      <c r="F56" s="74"/>
      <c r="G56" s="74"/>
      <c r="H56" s="74"/>
      <c r="I56" s="74"/>
      <c r="J56" s="74"/>
      <c r="K56" s="74"/>
      <c r="L56" s="75" t="s">
        <v>993</v>
      </c>
      <c r="M56" s="56"/>
      <c r="N56" s="57"/>
      <c r="O56" s="58"/>
      <c r="P56" s="59"/>
      <c r="Q56" s="60"/>
      <c r="R56" s="61" t="str">
        <f>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4.5" thickTop="1" thickBot="1" x14ac:dyDescent="0.55000000000000004">
      <c r="B57" t="s">
        <v>1014</v>
      </c>
      <c r="C57" s="113" t="s">
        <v>1057</v>
      </c>
      <c r="D57" s="112" t="s">
        <v>1030</v>
      </c>
      <c r="E57" s="52" t="s">
        <v>1012</v>
      </c>
      <c r="F57" s="53" t="s">
        <v>1029</v>
      </c>
      <c r="G57" s="53">
        <v>7</v>
      </c>
      <c r="H57" s="52"/>
      <c r="I57" s="52"/>
      <c r="J57" s="54"/>
      <c r="K57" s="54"/>
      <c r="L57" s="78" t="str">
        <f t="shared" si="84"/>
        <v xml:space="preserve">            { line: "Y os precede en Galilea,, (Do,m,10)(Re,7,250)", sC: "tc"},</v>
      </c>
      <c r="M57" s="56" t="str">
        <f t="shared" si="85"/>
        <v>(</v>
      </c>
      <c r="N57" s="57" t="str">
        <f t="shared" si="2"/>
        <v>Do</v>
      </c>
      <c r="O57" s="58" t="str">
        <f t="shared" si="86"/>
        <v>,</v>
      </c>
      <c r="P57" s="59" t="str">
        <f t="shared" si="4"/>
        <v>m</v>
      </c>
      <c r="Q57" s="60" t="str">
        <f t="shared" si="87"/>
        <v>,</v>
      </c>
      <c r="R57" s="61">
        <f t="shared" si="28"/>
        <v>10</v>
      </c>
      <c r="S57" s="56" t="str">
        <f t="shared" si="88"/>
        <v>)</v>
      </c>
      <c r="T57" s="62" t="str">
        <f t="shared" si="89"/>
        <v>(</v>
      </c>
      <c r="U57" s="63" t="str">
        <f t="shared" si="8"/>
        <v>Re</v>
      </c>
      <c r="V57" s="64" t="str">
        <f t="shared" si="90"/>
        <v>,</v>
      </c>
      <c r="W57" s="65">
        <f t="shared" si="10"/>
        <v>7</v>
      </c>
      <c r="X57" s="64" t="str">
        <f t="shared" si="91"/>
        <v>,</v>
      </c>
      <c r="Y57" s="64">
        <f t="shared" si="92"/>
        <v>250</v>
      </c>
      <c r="Z57" s="56" t="str">
        <f t="shared" si="93"/>
        <v>)</v>
      </c>
      <c r="AA57" s="66" t="str">
        <f t="shared" si="94"/>
        <v/>
      </c>
      <c r="AB57" s="57" t="str">
        <f t="shared" si="15"/>
        <v/>
      </c>
      <c r="AC57" s="67" t="str">
        <f t="shared" si="95"/>
        <v/>
      </c>
      <c r="AD57" s="59" t="str">
        <f t="shared" si="96"/>
        <v/>
      </c>
      <c r="AE57" s="68" t="str">
        <f t="shared" si="97"/>
        <v/>
      </c>
      <c r="AF57" s="61" t="str">
        <f t="shared" si="98"/>
        <v/>
      </c>
      <c r="AG57" s="61" t="str">
        <f t="shared" si="99"/>
        <v/>
      </c>
      <c r="AH57" s="69" t="str">
        <f t="shared" si="100"/>
        <v/>
      </c>
      <c r="AI57" s="70" t="str">
        <f t="shared" si="22"/>
        <v/>
      </c>
      <c r="AJ57" s="64" t="str">
        <f t="shared" si="101"/>
        <v/>
      </c>
      <c r="AK57" s="64" t="str">
        <f t="shared" si="102"/>
        <v/>
      </c>
      <c r="AL57" s="64" t="str">
        <f t="shared" si="103"/>
        <v/>
      </c>
      <c r="AM57" s="64" t="str">
        <f t="shared" si="104"/>
        <v/>
      </c>
      <c r="AN57" s="64" t="str">
        <f t="shared" si="105"/>
        <v/>
      </c>
    </row>
    <row r="58" spans="1:40" ht="24.5" thickTop="1" thickBot="1" x14ac:dyDescent="0.55000000000000004">
      <c r="B58" t="s">
        <v>997</v>
      </c>
      <c r="C58" s="113" t="s">
        <v>1058</v>
      </c>
      <c r="D58" s="112" t="s">
        <v>1030</v>
      </c>
      <c r="E58" s="52" t="s">
        <v>1012</v>
      </c>
      <c r="F58" s="53" t="s">
        <v>1029</v>
      </c>
      <c r="G58" s="53">
        <v>7</v>
      </c>
      <c r="H58" s="52"/>
      <c r="I58" s="52"/>
      <c r="J58" s="54"/>
      <c r="K58" s="54"/>
      <c r="L58" s="78" t="str">
        <f t="shared" si="84"/>
        <v xml:space="preserve">            { line: "Y OS PRECEDE EN GALILEA;, (Do,m,10)(Re,7,250)", sC: "ta as"},</v>
      </c>
      <c r="M58" s="56" t="str">
        <f t="shared" si="85"/>
        <v>(</v>
      </c>
      <c r="N58" s="57" t="str">
        <f t="shared" si="2"/>
        <v>Do</v>
      </c>
      <c r="O58" s="58" t="str">
        <f t="shared" si="86"/>
        <v>,</v>
      </c>
      <c r="P58" s="59" t="str">
        <f t="shared" si="4"/>
        <v>m</v>
      </c>
      <c r="Q58" s="60" t="str">
        <f t="shared" si="87"/>
        <v>,</v>
      </c>
      <c r="R58" s="61">
        <f t="shared" si="28"/>
        <v>10</v>
      </c>
      <c r="S58" s="56" t="str">
        <f t="shared" si="88"/>
        <v>)</v>
      </c>
      <c r="T58" s="62" t="str">
        <f t="shared" si="89"/>
        <v>(</v>
      </c>
      <c r="U58" s="63" t="str">
        <f t="shared" si="8"/>
        <v>Re</v>
      </c>
      <c r="V58" s="64" t="str">
        <f t="shared" si="90"/>
        <v>,</v>
      </c>
      <c r="W58" s="65">
        <f t="shared" si="10"/>
        <v>7</v>
      </c>
      <c r="X58" s="64" t="str">
        <f t="shared" si="91"/>
        <v>,</v>
      </c>
      <c r="Y58" s="64">
        <f t="shared" si="92"/>
        <v>250</v>
      </c>
      <c r="Z58" s="56" t="str">
        <f t="shared" si="93"/>
        <v>)</v>
      </c>
      <c r="AA58" s="66" t="str">
        <f t="shared" si="94"/>
        <v/>
      </c>
      <c r="AB58" s="57" t="str">
        <f t="shared" si="15"/>
        <v/>
      </c>
      <c r="AC58" s="67" t="str">
        <f t="shared" si="95"/>
        <v/>
      </c>
      <c r="AD58" s="59" t="str">
        <f t="shared" si="96"/>
        <v/>
      </c>
      <c r="AE58" s="68" t="str">
        <f t="shared" si="97"/>
        <v/>
      </c>
      <c r="AF58" s="61" t="str">
        <f t="shared" si="98"/>
        <v/>
      </c>
      <c r="AG58" s="61" t="str">
        <f t="shared" si="99"/>
        <v/>
      </c>
      <c r="AH58" s="69" t="str">
        <f t="shared" si="100"/>
        <v/>
      </c>
      <c r="AI58" s="70" t="str">
        <f t="shared" si="22"/>
        <v/>
      </c>
      <c r="AJ58" s="64" t="str">
        <f t="shared" si="101"/>
        <v/>
      </c>
      <c r="AK58" s="64" t="str">
        <f t="shared" si="102"/>
        <v/>
      </c>
      <c r="AL58" s="64" t="str">
        <f t="shared" si="103"/>
        <v/>
      </c>
      <c r="AM58" s="64" t="str">
        <f t="shared" si="104"/>
        <v/>
      </c>
      <c r="AN58" s="64" t="str">
        <f t="shared" si="105"/>
        <v/>
      </c>
    </row>
    <row r="59" spans="1:40" ht="24.5" thickTop="1" thickBot="1" x14ac:dyDescent="0.55000000000000004">
      <c r="B59" t="s">
        <v>1064</v>
      </c>
      <c r="C59" s="113" t="s">
        <v>1059</v>
      </c>
      <c r="D59" s="112" t="s">
        <v>1030</v>
      </c>
      <c r="E59" s="52" t="s">
        <v>1012</v>
      </c>
      <c r="F59" s="53" t="s">
        <v>1029</v>
      </c>
      <c r="G59" s="53">
        <v>7</v>
      </c>
      <c r="H59" s="52"/>
      <c r="I59" s="52"/>
      <c r="J59" s="54"/>
      <c r="K59" s="54"/>
      <c r="L59" s="78" t="str">
        <f t="shared" si="84"/>
        <v xml:space="preserve">            { line: "allí le veréis,, (Do,m,10)(Re,7,250)", sC: "tc "},</v>
      </c>
      <c r="M59" s="56" t="str">
        <f t="shared" si="85"/>
        <v>(</v>
      </c>
      <c r="N59" s="57" t="str">
        <f t="shared" si="2"/>
        <v>Do</v>
      </c>
      <c r="O59" s="58" t="str">
        <f t="shared" si="86"/>
        <v>,</v>
      </c>
      <c r="P59" s="59" t="str">
        <f t="shared" si="4"/>
        <v>m</v>
      </c>
      <c r="Q59" s="60" t="str">
        <f t="shared" si="87"/>
        <v>,</v>
      </c>
      <c r="R59" s="61">
        <f t="shared" si="28"/>
        <v>10</v>
      </c>
      <c r="S59" s="56" t="str">
        <f t="shared" si="88"/>
        <v>)</v>
      </c>
      <c r="T59" s="62" t="str">
        <f t="shared" si="89"/>
        <v>(</v>
      </c>
      <c r="U59" s="63" t="str">
        <f t="shared" si="8"/>
        <v>Re</v>
      </c>
      <c r="V59" s="64" t="str">
        <f t="shared" si="90"/>
        <v>,</v>
      </c>
      <c r="W59" s="65">
        <f t="shared" si="10"/>
        <v>7</v>
      </c>
      <c r="X59" s="64" t="str">
        <f t="shared" si="91"/>
        <v>,</v>
      </c>
      <c r="Y59" s="64">
        <f t="shared" si="92"/>
        <v>250</v>
      </c>
      <c r="Z59" s="56" t="str">
        <f t="shared" si="93"/>
        <v>)</v>
      </c>
      <c r="AA59" s="66" t="str">
        <f t="shared" si="94"/>
        <v/>
      </c>
      <c r="AB59" s="57" t="str">
        <f t="shared" si="15"/>
        <v/>
      </c>
      <c r="AC59" s="67" t="str">
        <f t="shared" si="95"/>
        <v/>
      </c>
      <c r="AD59" s="59" t="str">
        <f t="shared" si="96"/>
        <v/>
      </c>
      <c r="AE59" s="68" t="str">
        <f t="shared" si="97"/>
        <v/>
      </c>
      <c r="AF59" s="61" t="str">
        <f t="shared" si="98"/>
        <v/>
      </c>
      <c r="AG59" s="61" t="str">
        <f t="shared" si="99"/>
        <v/>
      </c>
      <c r="AH59" s="69" t="str">
        <f t="shared" si="100"/>
        <v/>
      </c>
      <c r="AI59" s="70" t="str">
        <f t="shared" si="22"/>
        <v/>
      </c>
      <c r="AJ59" s="64" t="str">
        <f t="shared" si="101"/>
        <v/>
      </c>
      <c r="AK59" s="64" t="str">
        <f t="shared" si="102"/>
        <v/>
      </c>
      <c r="AL59" s="64" t="str">
        <f t="shared" si="103"/>
        <v/>
      </c>
      <c r="AM59" s="64" t="str">
        <f t="shared" si="104"/>
        <v/>
      </c>
      <c r="AN59" s="64" t="str">
        <f t="shared" si="105"/>
        <v/>
      </c>
    </row>
    <row r="60" spans="1:40" ht="24.5" thickTop="1" thickBot="1" x14ac:dyDescent="0.55000000000000004">
      <c r="B60" t="s">
        <v>997</v>
      </c>
      <c r="C60" s="113" t="s">
        <v>1060</v>
      </c>
      <c r="D60" s="112" t="s">
        <v>1030</v>
      </c>
      <c r="E60" s="52" t="s">
        <v>1012</v>
      </c>
      <c r="F60" s="53" t="s">
        <v>1029</v>
      </c>
      <c r="G60" s="53">
        <v>7</v>
      </c>
      <c r="H60" s="52"/>
      <c r="I60" s="52"/>
      <c r="J60" s="54"/>
      <c r="K60" s="54"/>
      <c r="L60" s="55" t="str">
        <f t="shared" si="84"/>
        <v xml:space="preserve">            { line: "ALLÍ LE VERÉIS., (Do,m,10)(Re,7,250)", sC: "ta as"},</v>
      </c>
      <c r="M60" s="56" t="str">
        <f t="shared" si="85"/>
        <v>(</v>
      </c>
      <c r="N60" s="57" t="str">
        <f t="shared" si="2"/>
        <v>Do</v>
      </c>
      <c r="O60" s="58" t="str">
        <f t="shared" si="86"/>
        <v>,</v>
      </c>
      <c r="P60" s="59" t="str">
        <f t="shared" si="4"/>
        <v>m</v>
      </c>
      <c r="Q60" s="60" t="str">
        <f t="shared" si="87"/>
        <v>,</v>
      </c>
      <c r="R60" s="61">
        <f t="shared" si="28"/>
        <v>10</v>
      </c>
      <c r="S60" s="56" t="str">
        <f t="shared" si="88"/>
        <v>)</v>
      </c>
      <c r="T60" s="62" t="str">
        <f t="shared" si="89"/>
        <v>(</v>
      </c>
      <c r="U60" s="63" t="str">
        <f t="shared" si="8"/>
        <v>Re</v>
      </c>
      <c r="V60" s="64" t="str">
        <f t="shared" si="90"/>
        <v>,</v>
      </c>
      <c r="W60" s="65">
        <f t="shared" si="10"/>
        <v>7</v>
      </c>
      <c r="X60" s="64" t="str">
        <f t="shared" si="91"/>
        <v>,</v>
      </c>
      <c r="Y60" s="64">
        <f t="shared" si="92"/>
        <v>250</v>
      </c>
      <c r="Z60" s="56" t="str">
        <f t="shared" si="93"/>
        <v>)</v>
      </c>
      <c r="AA60" s="66" t="str">
        <f t="shared" si="94"/>
        <v/>
      </c>
      <c r="AB60" s="57" t="str">
        <f t="shared" si="15"/>
        <v/>
      </c>
      <c r="AC60" s="67" t="str">
        <f t="shared" si="95"/>
        <v/>
      </c>
      <c r="AD60" s="59" t="str">
        <f t="shared" si="96"/>
        <v/>
      </c>
      <c r="AE60" s="68" t="str">
        <f t="shared" si="97"/>
        <v/>
      </c>
      <c r="AF60" s="61" t="str">
        <f t="shared" si="98"/>
        <v/>
      </c>
      <c r="AG60" s="61" t="str">
        <f t="shared" si="99"/>
        <v/>
      </c>
      <c r="AH60" s="69" t="str">
        <f t="shared" si="100"/>
        <v/>
      </c>
      <c r="AI60" s="70" t="str">
        <f t="shared" si="22"/>
        <v/>
      </c>
      <c r="AJ60" s="64" t="str">
        <f t="shared" si="101"/>
        <v/>
      </c>
      <c r="AK60" s="64" t="str">
        <f t="shared" si="102"/>
        <v/>
      </c>
      <c r="AL60" s="64" t="str">
        <f t="shared" si="103"/>
        <v/>
      </c>
      <c r="AM60" s="64" t="str">
        <f t="shared" si="104"/>
        <v/>
      </c>
      <c r="AN60" s="64" t="str">
        <f t="shared" si="105"/>
        <v/>
      </c>
    </row>
    <row r="61" spans="1:40" ht="26.5" thickTop="1" thickBot="1" x14ac:dyDescent="0.55000000000000004">
      <c r="A61" s="73"/>
      <c r="B61" s="73"/>
      <c r="C61" s="73"/>
      <c r="D61" s="74"/>
      <c r="E61" s="74"/>
      <c r="F61" s="74"/>
      <c r="G61" s="74"/>
      <c r="H61" s="74"/>
      <c r="I61" s="74"/>
      <c r="J61" s="74"/>
      <c r="K61" s="74"/>
      <c r="L61" s="75" t="s">
        <v>993</v>
      </c>
      <c r="M61" s="56"/>
      <c r="N61" s="57"/>
      <c r="O61" s="58"/>
      <c r="P61" s="59"/>
      <c r="Q61" s="60"/>
      <c r="R61" s="61" t="str">
        <f t="shared" ref="R61:R66" si="106">IF(N61="Do",10,IF(N61="Re",22,IF(N61="Mi",20,IF(N61="Fa",20,IF(N61="Sol",14,IF(N61="La",20,IF(N61="Si",20,IF(N61="Do#",14,IF(N61="Fa#",15,IF(N61="Sol#",20,""))))))))))</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4.5" thickTop="1" thickBot="1" x14ac:dyDescent="0.55000000000000004">
      <c r="C62" s="79" t="s">
        <v>995</v>
      </c>
      <c r="D62" s="80"/>
      <c r="E62" s="80"/>
      <c r="F62" s="80"/>
      <c r="G62" s="80"/>
      <c r="H62" s="80"/>
      <c r="I62" s="80"/>
      <c r="J62" s="80"/>
      <c r="K62" s="80"/>
      <c r="L62" s="81" t="s">
        <v>996</v>
      </c>
      <c r="M62" s="56" t="str">
        <f t="shared" ref="M62:M65" si="107">IF(N62="","","(")</f>
        <v/>
      </c>
      <c r="N62" s="57" t="str">
        <f t="shared" ref="N62:N65" si="108">IF(D62="","",D62)</f>
        <v/>
      </c>
      <c r="O62" s="58" t="str">
        <f t="shared" ref="O62:O65" si="109">IF(N62="","",",")</f>
        <v/>
      </c>
      <c r="P62" s="59" t="str">
        <f t="shared" ref="P62:P65" si="110">IF(E62="","",E62)</f>
        <v/>
      </c>
      <c r="Q62" s="60" t="str">
        <f t="shared" ref="Q62:Q65" si="111">IF(N62="","",",")</f>
        <v/>
      </c>
      <c r="R62" s="61" t="str">
        <f t="shared" si="106"/>
        <v/>
      </c>
      <c r="S62" s="56" t="str">
        <f t="shared" ref="S62:S65" si="112">IF(N62="","",")")</f>
        <v/>
      </c>
      <c r="T62" s="62" t="str">
        <f t="shared" ref="T62:T65" si="113">IF(U62="","","(")</f>
        <v/>
      </c>
      <c r="U62" s="63" t="str">
        <f t="shared" ref="U62:U65" si="114">IF(F62="","",F62)</f>
        <v/>
      </c>
      <c r="V62" s="64" t="str">
        <f t="shared" ref="V62:V65" si="115">IF(U62="","",",")</f>
        <v/>
      </c>
      <c r="W62" s="65" t="str">
        <f t="shared" ref="W62:W65" si="116">IF(G62="","",G62)</f>
        <v/>
      </c>
      <c r="X62" s="64" t="str">
        <f t="shared" ref="X62:X65" si="117">IF(U62="","",",")</f>
        <v/>
      </c>
      <c r="Y62" s="64" t="str">
        <f t="shared" ref="Y62:Y65" si="118">IF(U62="","",250)</f>
        <v/>
      </c>
      <c r="Z62" s="56" t="str">
        <f t="shared" ref="Z62:Z65" si="119">IF(U62="","",")")</f>
        <v/>
      </c>
      <c r="AA62" s="66" t="str">
        <f t="shared" ref="AA62:AA65" si="120">IF(AB62="","","(")</f>
        <v/>
      </c>
      <c r="AB62" s="57" t="str">
        <f t="shared" ref="AB62:AB65" si="121">IF(H62="","",H62)</f>
        <v/>
      </c>
      <c r="AC62" s="67" t="str">
        <f t="shared" ref="AC62:AC65" si="122">IF(AB62="","",",")</f>
        <v/>
      </c>
      <c r="AD62" s="59" t="str">
        <f t="shared" ref="AD62:AD65" si="123">IF(I62="","",I62)</f>
        <v/>
      </c>
      <c r="AE62" s="68" t="str">
        <f t="shared" ref="AE62:AE65" si="124">IF(AB62="","",",")</f>
        <v/>
      </c>
      <c r="AF62" s="61" t="str">
        <f t="shared" ref="AF62:AF65" si="125">IF(AB62="","",350)</f>
        <v/>
      </c>
      <c r="AG62" s="61" t="str">
        <f t="shared" ref="AG62:AG65" si="126">IF(AB62="","",")")</f>
        <v/>
      </c>
      <c r="AH62" s="69" t="str">
        <f t="shared" ref="AH62:AH65" si="127">IF(AI62="","","(")</f>
        <v/>
      </c>
      <c r="AI62" s="70" t="str">
        <f t="shared" ref="AI62:AI65" si="128">IF(J62="","",J62)</f>
        <v/>
      </c>
      <c r="AJ62" s="64" t="str">
        <f t="shared" ref="AJ62:AJ65" si="129">IF(AI62="","",",")</f>
        <v/>
      </c>
      <c r="AK62" s="64" t="str">
        <f t="shared" ref="AK62:AK65" si="130">IF(K62="","",K62)</f>
        <v/>
      </c>
      <c r="AL62" s="64" t="str">
        <f t="shared" ref="AL62:AL65" si="131">IF(AI62="","",",")</f>
        <v/>
      </c>
      <c r="AM62" s="64" t="str">
        <f t="shared" ref="AM62:AM65" si="132">IF(AI62="","",450)</f>
        <v/>
      </c>
      <c r="AN62" s="64" t="str">
        <f t="shared" ref="AN62:AN65" si="133">IF(AI62="","",")")</f>
        <v/>
      </c>
    </row>
    <row r="63" spans="1:40" ht="24.5" thickTop="1" thickBot="1" x14ac:dyDescent="0.55000000000000004">
      <c r="B63" t="s">
        <v>997</v>
      </c>
      <c r="C63" s="82" t="s">
        <v>1061</v>
      </c>
      <c r="D63" s="83" t="s">
        <v>1015</v>
      </c>
      <c r="E63" s="83" t="s">
        <v>1012</v>
      </c>
      <c r="F63" s="83" t="s">
        <v>1029</v>
      </c>
      <c r="G63" s="83">
        <v>7</v>
      </c>
      <c r="H63" s="83" t="s">
        <v>1015</v>
      </c>
      <c r="I63" s="83" t="s">
        <v>1012</v>
      </c>
      <c r="J63" s="83"/>
      <c r="K63" s="83"/>
      <c r="L63" s="84" t="str">
        <f>IF(C63="","",_xlfn.CONCAT("       triggerLine: ","""",C63,", ",M63:AN63,""", sC: ","""",B63,""", lines: ["))</f>
        <v xml:space="preserve">       triggerLine: "NO ESTÁ AQUÍ, RESUCITÓ..., (Sol,m,14)(Re,7,250)(Sol,m,350)", sC: "ta as", lines: [</v>
      </c>
      <c r="M63" s="56" t="str">
        <f t="shared" si="107"/>
        <v>(</v>
      </c>
      <c r="N63" s="57" t="str">
        <f t="shared" si="108"/>
        <v>Sol</v>
      </c>
      <c r="O63" s="58" t="str">
        <f t="shared" si="109"/>
        <v>,</v>
      </c>
      <c r="P63" s="59" t="str">
        <f t="shared" si="110"/>
        <v>m</v>
      </c>
      <c r="Q63" s="60" t="str">
        <f t="shared" si="111"/>
        <v>,</v>
      </c>
      <c r="R63" s="61">
        <f t="shared" si="106"/>
        <v>14</v>
      </c>
      <c r="S63" s="56" t="str">
        <f t="shared" si="112"/>
        <v>)</v>
      </c>
      <c r="T63" s="62" t="str">
        <f t="shared" si="113"/>
        <v>(</v>
      </c>
      <c r="U63" s="63" t="str">
        <f t="shared" si="114"/>
        <v>Re</v>
      </c>
      <c r="V63" s="64" t="str">
        <f t="shared" si="115"/>
        <v>,</v>
      </c>
      <c r="W63" s="65">
        <f t="shared" si="116"/>
        <v>7</v>
      </c>
      <c r="X63" s="64" t="str">
        <f t="shared" si="117"/>
        <v>,</v>
      </c>
      <c r="Y63" s="64">
        <f t="shared" si="118"/>
        <v>250</v>
      </c>
      <c r="Z63" s="56" t="str">
        <f t="shared" si="119"/>
        <v>)</v>
      </c>
      <c r="AA63" s="66" t="str">
        <f t="shared" si="120"/>
        <v>(</v>
      </c>
      <c r="AB63" s="57" t="str">
        <f t="shared" si="121"/>
        <v>Sol</v>
      </c>
      <c r="AC63" s="67" t="str">
        <f t="shared" si="122"/>
        <v>,</v>
      </c>
      <c r="AD63" s="59" t="str">
        <f t="shared" si="123"/>
        <v>m</v>
      </c>
      <c r="AE63" s="68" t="str">
        <f t="shared" si="124"/>
        <v>,</v>
      </c>
      <c r="AF63" s="61">
        <f t="shared" si="125"/>
        <v>350</v>
      </c>
      <c r="AG63" s="61" t="str">
        <f t="shared" si="126"/>
        <v>)</v>
      </c>
      <c r="AH63" s="69" t="str">
        <f t="shared" si="127"/>
        <v/>
      </c>
      <c r="AI63" s="70" t="str">
        <f t="shared" si="128"/>
        <v/>
      </c>
      <c r="AJ63" s="64" t="str">
        <f t="shared" si="129"/>
        <v/>
      </c>
      <c r="AK63" s="64" t="str">
        <f t="shared" si="130"/>
        <v/>
      </c>
      <c r="AL63" s="64" t="str">
        <f t="shared" si="131"/>
        <v/>
      </c>
      <c r="AM63" s="64" t="str">
        <f t="shared" si="132"/>
        <v/>
      </c>
      <c r="AN63" s="64" t="str">
        <f t="shared" si="133"/>
        <v/>
      </c>
    </row>
    <row r="64" spans="1:40" ht="24.5" thickTop="1" thickBot="1" x14ac:dyDescent="0.55000000000000004">
      <c r="B64" t="s">
        <v>999</v>
      </c>
      <c r="C64" s="85" t="s">
        <v>1056</v>
      </c>
      <c r="D64" s="86" t="s">
        <v>1029</v>
      </c>
      <c r="E64" s="86">
        <v>7</v>
      </c>
      <c r="F64" s="86" t="s">
        <v>1015</v>
      </c>
      <c r="G64" s="86" t="s">
        <v>1012</v>
      </c>
      <c r="H64" s="87"/>
      <c r="I64" s="87"/>
      <c r="J64" s="87"/>
      <c r="K64" s="87"/>
      <c r="L64" s="88" t="str">
        <f>IF(C64="","",_xlfn.CONCAT("            { line: ","""",C64,", ",M64:AN64,""", sC: ","""",B64,"""},"))</f>
        <v xml:space="preserve">            { line: "NO ESTÁ AQUÍ, RESUCITÓ., (Re,7,22)(Sol,m,250)", sC: "as"},</v>
      </c>
      <c r="M64" s="56" t="str">
        <f t="shared" si="107"/>
        <v>(</v>
      </c>
      <c r="N64" s="57" t="str">
        <f t="shared" si="108"/>
        <v>Re</v>
      </c>
      <c r="O64" s="58" t="str">
        <f t="shared" si="109"/>
        <v>,</v>
      </c>
      <c r="P64" s="59">
        <f t="shared" si="110"/>
        <v>7</v>
      </c>
      <c r="Q64" s="60" t="str">
        <f t="shared" si="111"/>
        <v>,</v>
      </c>
      <c r="R64" s="61">
        <f t="shared" si="106"/>
        <v>22</v>
      </c>
      <c r="S64" s="56" t="str">
        <f t="shared" si="112"/>
        <v>)</v>
      </c>
      <c r="T64" s="62" t="str">
        <f t="shared" si="113"/>
        <v>(</v>
      </c>
      <c r="U64" s="63" t="str">
        <f t="shared" si="114"/>
        <v>Sol</v>
      </c>
      <c r="V64" s="64" t="str">
        <f t="shared" si="115"/>
        <v>,</v>
      </c>
      <c r="W64" s="65" t="str">
        <f t="shared" si="116"/>
        <v>m</v>
      </c>
      <c r="X64" s="64" t="str">
        <f t="shared" si="117"/>
        <v>,</v>
      </c>
      <c r="Y64" s="64">
        <f t="shared" si="118"/>
        <v>250</v>
      </c>
      <c r="Z64" s="56" t="str">
        <f t="shared" si="119"/>
        <v>)</v>
      </c>
      <c r="AA64" s="66" t="str">
        <f t="shared" si="120"/>
        <v/>
      </c>
      <c r="AB64" s="57" t="str">
        <f t="shared" si="121"/>
        <v/>
      </c>
      <c r="AC64" s="67" t="str">
        <f t="shared" si="122"/>
        <v/>
      </c>
      <c r="AD64" s="59" t="str">
        <f t="shared" si="123"/>
        <v/>
      </c>
      <c r="AE64" s="68" t="str">
        <f t="shared" si="124"/>
        <v/>
      </c>
      <c r="AF64" s="61" t="str">
        <f t="shared" si="125"/>
        <v/>
      </c>
      <c r="AG64" s="61" t="str">
        <f t="shared" si="126"/>
        <v/>
      </c>
      <c r="AH64" s="69" t="str">
        <f t="shared" si="127"/>
        <v/>
      </c>
      <c r="AI64" s="70" t="str">
        <f t="shared" si="128"/>
        <v/>
      </c>
      <c r="AJ64" s="64" t="str">
        <f t="shared" si="129"/>
        <v/>
      </c>
      <c r="AK64" s="64" t="str">
        <f t="shared" si="130"/>
        <v/>
      </c>
      <c r="AL64" s="64" t="str">
        <f t="shared" si="131"/>
        <v/>
      </c>
      <c r="AM64" s="64" t="str">
        <f t="shared" si="132"/>
        <v/>
      </c>
      <c r="AN64" s="64" t="str">
        <f t="shared" si="133"/>
        <v/>
      </c>
    </row>
    <row r="65" spans="1:40" ht="24.5" thickTop="1" thickBot="1" x14ac:dyDescent="0.55000000000000004">
      <c r="B65" t="s">
        <v>999</v>
      </c>
      <c r="C65" s="93" t="s">
        <v>1056</v>
      </c>
      <c r="D65" s="83" t="s">
        <v>1030</v>
      </c>
      <c r="E65" s="83" t="s">
        <v>1012</v>
      </c>
      <c r="F65" s="83" t="s">
        <v>1029</v>
      </c>
      <c r="G65" s="83">
        <v>7</v>
      </c>
      <c r="H65" s="83"/>
      <c r="I65" s="83"/>
      <c r="J65" s="83"/>
      <c r="K65" s="83"/>
      <c r="L65" s="94" t="str">
        <f>IF(C65="","",_xlfn.CONCAT("            { line: ","""",C65,", ",M65:AN65,""", sC: ","""",B65,"""},  ]},"))</f>
        <v xml:space="preserve">            { line: "NO ESTÁ AQUÍ, RESUCITÓ., (Do,m,10)(Re,7,250)", sC: "as"},  ]},</v>
      </c>
      <c r="M65" s="56" t="str">
        <f t="shared" si="107"/>
        <v>(</v>
      </c>
      <c r="N65" s="57" t="str">
        <f t="shared" si="108"/>
        <v>Do</v>
      </c>
      <c r="O65" s="58" t="str">
        <f t="shared" si="109"/>
        <v>,</v>
      </c>
      <c r="P65" s="59" t="str">
        <f t="shared" si="110"/>
        <v>m</v>
      </c>
      <c r="Q65" s="60" t="str">
        <f t="shared" si="111"/>
        <v>,</v>
      </c>
      <c r="R65" s="61">
        <f t="shared" si="106"/>
        <v>10</v>
      </c>
      <c r="S65" s="56" t="str">
        <f t="shared" si="112"/>
        <v>)</v>
      </c>
      <c r="T65" s="62" t="str">
        <f t="shared" si="113"/>
        <v>(</v>
      </c>
      <c r="U65" s="63" t="str">
        <f t="shared" si="114"/>
        <v>Re</v>
      </c>
      <c r="V65" s="64" t="str">
        <f t="shared" si="115"/>
        <v>,</v>
      </c>
      <c r="W65" s="65">
        <f t="shared" si="116"/>
        <v>7</v>
      </c>
      <c r="X65" s="64" t="str">
        <f t="shared" si="117"/>
        <v>,</v>
      </c>
      <c r="Y65" s="64">
        <f t="shared" si="118"/>
        <v>250</v>
      </c>
      <c r="Z65" s="56" t="str">
        <f t="shared" si="119"/>
        <v>)</v>
      </c>
      <c r="AA65" s="66" t="str">
        <f t="shared" si="120"/>
        <v/>
      </c>
      <c r="AB65" s="57" t="str">
        <f t="shared" si="121"/>
        <v/>
      </c>
      <c r="AC65" s="67" t="str">
        <f t="shared" si="122"/>
        <v/>
      </c>
      <c r="AD65" s="59" t="str">
        <f t="shared" si="123"/>
        <v/>
      </c>
      <c r="AE65" s="68" t="str">
        <f t="shared" si="124"/>
        <v/>
      </c>
      <c r="AF65" s="61" t="str">
        <f t="shared" si="125"/>
        <v/>
      </c>
      <c r="AG65" s="61" t="str">
        <f t="shared" si="126"/>
        <v/>
      </c>
      <c r="AH65" s="69" t="str">
        <f t="shared" si="127"/>
        <v/>
      </c>
      <c r="AI65" s="70" t="str">
        <f t="shared" si="128"/>
        <v/>
      </c>
      <c r="AJ65" s="64" t="str">
        <f t="shared" si="129"/>
        <v/>
      </c>
      <c r="AK65" s="64" t="str">
        <f t="shared" si="130"/>
        <v/>
      </c>
      <c r="AL65" s="64" t="str">
        <f t="shared" si="131"/>
        <v/>
      </c>
      <c r="AM65" s="64" t="str">
        <f t="shared" si="132"/>
        <v/>
      </c>
      <c r="AN65" s="64" t="str">
        <f t="shared" si="133"/>
        <v/>
      </c>
    </row>
    <row r="66" spans="1:40" ht="26.5" thickTop="1" thickBot="1" x14ac:dyDescent="0.55000000000000004">
      <c r="A66" s="73"/>
      <c r="B66" s="73"/>
      <c r="C66" s="73"/>
      <c r="D66" s="74"/>
      <c r="E66" s="74"/>
      <c r="F66" s="74"/>
      <c r="G66" s="74"/>
      <c r="H66" s="74"/>
      <c r="I66" s="74"/>
      <c r="J66" s="74"/>
      <c r="K66" s="74"/>
      <c r="L66" s="75" t="s">
        <v>993</v>
      </c>
      <c r="M66" s="56"/>
      <c r="N66" s="57"/>
      <c r="O66" s="58"/>
      <c r="P66" s="59"/>
      <c r="Q66" s="60"/>
      <c r="R66" s="61" t="str">
        <f t="shared" si="106"/>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4.5" thickTop="1" thickBot="1" x14ac:dyDescent="0.55000000000000004">
      <c r="B67" t="s">
        <v>1014</v>
      </c>
      <c r="C67" s="113" t="s">
        <v>1057</v>
      </c>
      <c r="D67" s="112" t="s">
        <v>1030</v>
      </c>
      <c r="E67" s="52" t="s">
        <v>1012</v>
      </c>
      <c r="F67" s="53" t="s">
        <v>1029</v>
      </c>
      <c r="G67" s="53">
        <v>7</v>
      </c>
      <c r="H67" s="52"/>
      <c r="I67" s="52"/>
      <c r="J67" s="54"/>
      <c r="K67" s="54"/>
      <c r="L67" s="55" t="str">
        <f t="shared" si="84"/>
        <v xml:space="preserve">            { line: "Y os precede en Galilea,, (Do,m,10)(Re,7,250)", sC: "tc"},</v>
      </c>
      <c r="M67" s="56" t="str">
        <f t="shared" si="85"/>
        <v>(</v>
      </c>
      <c r="N67" s="57" t="str">
        <f t="shared" si="2"/>
        <v>Do</v>
      </c>
      <c r="O67" s="58" t="str">
        <f t="shared" si="86"/>
        <v>,</v>
      </c>
      <c r="P67" s="59" t="str">
        <f t="shared" si="4"/>
        <v>m</v>
      </c>
      <c r="Q67" s="60" t="str">
        <f t="shared" si="87"/>
        <v>,</v>
      </c>
      <c r="R67" s="61">
        <f t="shared" si="28"/>
        <v>10</v>
      </c>
      <c r="S67" s="56" t="str">
        <f t="shared" si="88"/>
        <v>)</v>
      </c>
      <c r="T67" s="62" t="str">
        <f t="shared" si="89"/>
        <v>(</v>
      </c>
      <c r="U67" s="63" t="str">
        <f t="shared" si="8"/>
        <v>Re</v>
      </c>
      <c r="V67" s="64" t="str">
        <f t="shared" si="90"/>
        <v>,</v>
      </c>
      <c r="W67" s="65">
        <f t="shared" si="10"/>
        <v>7</v>
      </c>
      <c r="X67" s="64" t="str">
        <f t="shared" si="91"/>
        <v>,</v>
      </c>
      <c r="Y67" s="64">
        <f t="shared" si="92"/>
        <v>250</v>
      </c>
      <c r="Z67" s="56" t="str">
        <f t="shared" si="93"/>
        <v>)</v>
      </c>
      <c r="AA67" s="66" t="str">
        <f t="shared" si="94"/>
        <v/>
      </c>
      <c r="AB67" s="57" t="str">
        <f t="shared" si="15"/>
        <v/>
      </c>
      <c r="AC67" s="67" t="str">
        <f t="shared" si="95"/>
        <v/>
      </c>
      <c r="AD67" s="59" t="str">
        <f t="shared" si="96"/>
        <v/>
      </c>
      <c r="AE67" s="68" t="str">
        <f t="shared" si="97"/>
        <v/>
      </c>
      <c r="AF67" s="61" t="str">
        <f t="shared" si="98"/>
        <v/>
      </c>
      <c r="AG67" s="61" t="str">
        <f t="shared" si="99"/>
        <v/>
      </c>
      <c r="AH67" s="69" t="str">
        <f t="shared" si="100"/>
        <v/>
      </c>
      <c r="AI67" s="70" t="str">
        <f t="shared" si="22"/>
        <v/>
      </c>
      <c r="AJ67" s="64" t="str">
        <f t="shared" si="101"/>
        <v/>
      </c>
      <c r="AK67" s="64" t="str">
        <f t="shared" si="102"/>
        <v/>
      </c>
      <c r="AL67" s="64" t="str">
        <f t="shared" si="103"/>
        <v/>
      </c>
      <c r="AM67" s="64" t="str">
        <f t="shared" si="104"/>
        <v/>
      </c>
      <c r="AN67" s="64" t="str">
        <f t="shared" si="105"/>
        <v/>
      </c>
    </row>
    <row r="68" spans="1:40" ht="24.5" thickTop="1" thickBot="1" x14ac:dyDescent="0.55000000000000004">
      <c r="B68" t="s">
        <v>997</v>
      </c>
      <c r="C68" s="113" t="s">
        <v>1058</v>
      </c>
      <c r="D68" s="112" t="s">
        <v>1030</v>
      </c>
      <c r="E68" s="52" t="s">
        <v>1012</v>
      </c>
      <c r="F68" s="53" t="s">
        <v>1029</v>
      </c>
      <c r="G68" s="53">
        <v>7</v>
      </c>
      <c r="H68" s="52"/>
      <c r="I68" s="52"/>
      <c r="J68" s="54"/>
      <c r="K68" s="54"/>
      <c r="L68" s="78" t="str">
        <f t="shared" si="84"/>
        <v xml:space="preserve">            { line: "Y OS PRECEDE EN GALILEA;, (Do,m,10)(Re,7,250)", sC: "ta as"},</v>
      </c>
      <c r="M68" s="56" t="str">
        <f t="shared" si="85"/>
        <v>(</v>
      </c>
      <c r="N68" s="57" t="str">
        <f t="shared" si="2"/>
        <v>Do</v>
      </c>
      <c r="O68" s="58" t="str">
        <f t="shared" si="86"/>
        <v>,</v>
      </c>
      <c r="P68" s="59" t="str">
        <f t="shared" si="4"/>
        <v>m</v>
      </c>
      <c r="Q68" s="60" t="str">
        <f t="shared" si="87"/>
        <v>,</v>
      </c>
      <c r="R68" s="61">
        <f t="shared" si="28"/>
        <v>10</v>
      </c>
      <c r="S68" s="56" t="str">
        <f t="shared" si="88"/>
        <v>)</v>
      </c>
      <c r="T68" s="62" t="str">
        <f t="shared" si="89"/>
        <v>(</v>
      </c>
      <c r="U68" s="63" t="str">
        <f t="shared" si="8"/>
        <v>Re</v>
      </c>
      <c r="V68" s="64" t="str">
        <f t="shared" si="90"/>
        <v>,</v>
      </c>
      <c r="W68" s="65">
        <f t="shared" si="10"/>
        <v>7</v>
      </c>
      <c r="X68" s="64" t="str">
        <f t="shared" si="91"/>
        <v>,</v>
      </c>
      <c r="Y68" s="64">
        <f t="shared" si="92"/>
        <v>250</v>
      </c>
      <c r="Z68" s="56" t="str">
        <f t="shared" si="93"/>
        <v>)</v>
      </c>
      <c r="AA68" s="66" t="str">
        <f t="shared" si="94"/>
        <v/>
      </c>
      <c r="AB68" s="57" t="str">
        <f t="shared" si="15"/>
        <v/>
      </c>
      <c r="AC68" s="67" t="str">
        <f t="shared" si="95"/>
        <v/>
      </c>
      <c r="AD68" s="59" t="str">
        <f t="shared" si="96"/>
        <v/>
      </c>
      <c r="AE68" s="68" t="str">
        <f t="shared" si="97"/>
        <v/>
      </c>
      <c r="AF68" s="61" t="str">
        <f t="shared" si="98"/>
        <v/>
      </c>
      <c r="AG68" s="61" t="str">
        <f t="shared" si="99"/>
        <v/>
      </c>
      <c r="AH68" s="69" t="str">
        <f t="shared" si="100"/>
        <v/>
      </c>
      <c r="AI68" s="70" t="str">
        <f t="shared" si="22"/>
        <v/>
      </c>
      <c r="AJ68" s="64" t="str">
        <f t="shared" si="101"/>
        <v/>
      </c>
      <c r="AK68" s="64" t="str">
        <f t="shared" si="102"/>
        <v/>
      </c>
      <c r="AL68" s="64" t="str">
        <f t="shared" si="103"/>
        <v/>
      </c>
      <c r="AM68" s="64" t="str">
        <f t="shared" si="104"/>
        <v/>
      </c>
      <c r="AN68" s="64" t="str">
        <f t="shared" si="105"/>
        <v/>
      </c>
    </row>
    <row r="69" spans="1:40" ht="24.5" thickTop="1" thickBot="1" x14ac:dyDescent="0.55000000000000004">
      <c r="B69" t="s">
        <v>1014</v>
      </c>
      <c r="C69" s="113" t="s">
        <v>1059</v>
      </c>
      <c r="D69" s="112" t="s">
        <v>1030</v>
      </c>
      <c r="E69" s="52" t="s">
        <v>1012</v>
      </c>
      <c r="F69" s="53" t="s">
        <v>1029</v>
      </c>
      <c r="G69" s="53">
        <v>7</v>
      </c>
      <c r="H69" s="52"/>
      <c r="I69" s="52"/>
      <c r="J69" s="54"/>
      <c r="K69" s="54"/>
      <c r="L69" s="78" t="str">
        <f t="shared" si="84"/>
        <v xml:space="preserve">            { line: "allí le veréis,, (Do,m,10)(Re,7,250)", sC: "tc"},</v>
      </c>
      <c r="M69" s="56" t="str">
        <f t="shared" si="85"/>
        <v>(</v>
      </c>
      <c r="N69" s="57" t="str">
        <f t="shared" si="2"/>
        <v>Do</v>
      </c>
      <c r="O69" s="58" t="str">
        <f t="shared" si="86"/>
        <v>,</v>
      </c>
      <c r="P69" s="59" t="str">
        <f t="shared" si="4"/>
        <v>m</v>
      </c>
      <c r="Q69" s="60" t="str">
        <f t="shared" si="87"/>
        <v>,</v>
      </c>
      <c r="R69" s="61">
        <f t="shared" si="28"/>
        <v>10</v>
      </c>
      <c r="S69" s="56" t="str">
        <f t="shared" si="88"/>
        <v>)</v>
      </c>
      <c r="T69" s="62" t="str">
        <f t="shared" si="89"/>
        <v>(</v>
      </c>
      <c r="U69" s="63" t="str">
        <f t="shared" si="8"/>
        <v>Re</v>
      </c>
      <c r="V69" s="64" t="str">
        <f t="shared" si="90"/>
        <v>,</v>
      </c>
      <c r="W69" s="65">
        <f t="shared" si="10"/>
        <v>7</v>
      </c>
      <c r="X69" s="64" t="str">
        <f t="shared" si="91"/>
        <v>,</v>
      </c>
      <c r="Y69" s="64">
        <f t="shared" si="92"/>
        <v>250</v>
      </c>
      <c r="Z69" s="56" t="str">
        <f t="shared" si="93"/>
        <v>)</v>
      </c>
      <c r="AA69" s="66" t="str">
        <f t="shared" si="94"/>
        <v/>
      </c>
      <c r="AB69" s="57" t="str">
        <f t="shared" si="15"/>
        <v/>
      </c>
      <c r="AC69" s="67" t="str">
        <f t="shared" si="95"/>
        <v/>
      </c>
      <c r="AD69" s="59" t="str">
        <f t="shared" si="96"/>
        <v/>
      </c>
      <c r="AE69" s="68" t="str">
        <f t="shared" si="97"/>
        <v/>
      </c>
      <c r="AF69" s="61" t="str">
        <f t="shared" si="98"/>
        <v/>
      </c>
      <c r="AG69" s="61" t="str">
        <f t="shared" si="99"/>
        <v/>
      </c>
      <c r="AH69" s="69" t="str">
        <f t="shared" si="100"/>
        <v/>
      </c>
      <c r="AI69" s="70" t="str">
        <f t="shared" si="22"/>
        <v/>
      </c>
      <c r="AJ69" s="64" t="str">
        <f t="shared" si="101"/>
        <v/>
      </c>
      <c r="AK69" s="64" t="str">
        <f t="shared" si="102"/>
        <v/>
      </c>
      <c r="AL69" s="64" t="str">
        <f t="shared" si="103"/>
        <v/>
      </c>
      <c r="AM69" s="64" t="str">
        <f t="shared" si="104"/>
        <v/>
      </c>
      <c r="AN69" s="64" t="str">
        <f t="shared" si="105"/>
        <v/>
      </c>
    </row>
    <row r="70" spans="1:40" ht="24.5" thickTop="1" thickBot="1" x14ac:dyDescent="0.55000000000000004">
      <c r="B70" t="s">
        <v>997</v>
      </c>
      <c r="C70" s="113" t="s">
        <v>1062</v>
      </c>
      <c r="D70" s="112" t="s">
        <v>1030</v>
      </c>
      <c r="E70" s="52" t="s">
        <v>1012</v>
      </c>
      <c r="F70" s="53" t="s">
        <v>1029</v>
      </c>
      <c r="G70" s="53">
        <v>7</v>
      </c>
      <c r="H70" s="52"/>
      <c r="I70" s="52"/>
      <c r="J70" s="54"/>
      <c r="K70" s="54"/>
      <c r="L70" s="78" t="str">
        <f t="shared" si="84"/>
        <v xml:space="preserve">            { line: "ALLÍ LE VERÉIS»., (Do,m,10)(Re,7,250)", sC: "ta as"},</v>
      </c>
      <c r="M70" s="56" t="str">
        <f t="shared" si="85"/>
        <v>(</v>
      </c>
      <c r="N70" s="57" t="str">
        <f t="shared" si="2"/>
        <v>Do</v>
      </c>
      <c r="O70" s="58" t="str">
        <f t="shared" si="86"/>
        <v>,</v>
      </c>
      <c r="P70" s="59" t="str">
        <f t="shared" si="4"/>
        <v>m</v>
      </c>
      <c r="Q70" s="60" t="str">
        <f t="shared" si="87"/>
        <v>,</v>
      </c>
      <c r="R70" s="61">
        <f t="shared" si="28"/>
        <v>10</v>
      </c>
      <c r="S70" s="56" t="str">
        <f t="shared" si="88"/>
        <v>)</v>
      </c>
      <c r="T70" s="62" t="str">
        <f t="shared" si="89"/>
        <v>(</v>
      </c>
      <c r="U70" s="63" t="str">
        <f t="shared" si="8"/>
        <v>Re</v>
      </c>
      <c r="V70" s="64" t="str">
        <f t="shared" si="90"/>
        <v>,</v>
      </c>
      <c r="W70" s="65">
        <f t="shared" si="10"/>
        <v>7</v>
      </c>
      <c r="X70" s="64" t="str">
        <f t="shared" si="91"/>
        <v>,</v>
      </c>
      <c r="Y70" s="64">
        <f t="shared" si="92"/>
        <v>250</v>
      </c>
      <c r="Z70" s="56" t="str">
        <f t="shared" si="93"/>
        <v>)</v>
      </c>
      <c r="AA70" s="66" t="str">
        <f t="shared" si="94"/>
        <v/>
      </c>
      <c r="AB70" s="57" t="str">
        <f t="shared" si="15"/>
        <v/>
      </c>
      <c r="AC70" s="67" t="str">
        <f t="shared" si="95"/>
        <v/>
      </c>
      <c r="AD70" s="59" t="str">
        <f t="shared" si="96"/>
        <v/>
      </c>
      <c r="AE70" s="68" t="str">
        <f t="shared" si="97"/>
        <v/>
      </c>
      <c r="AF70" s="61" t="str">
        <f t="shared" si="98"/>
        <v/>
      </c>
      <c r="AG70" s="61" t="str">
        <f t="shared" si="99"/>
        <v/>
      </c>
      <c r="AH70" s="69" t="str">
        <f t="shared" si="100"/>
        <v/>
      </c>
      <c r="AI70" s="70" t="str">
        <f t="shared" si="22"/>
        <v/>
      </c>
      <c r="AJ70" s="64" t="str">
        <f t="shared" si="101"/>
        <v/>
      </c>
      <c r="AK70" s="64" t="str">
        <f t="shared" si="102"/>
        <v/>
      </c>
      <c r="AL70" s="64" t="str">
        <f t="shared" si="103"/>
        <v/>
      </c>
      <c r="AM70" s="64" t="str">
        <f t="shared" si="104"/>
        <v/>
      </c>
      <c r="AN70" s="64" t="str">
        <f t="shared" si="105"/>
        <v/>
      </c>
    </row>
    <row r="71" spans="1:40" ht="24" customHeight="1" thickTop="1" x14ac:dyDescent="0.6">
      <c r="A71" s="95"/>
      <c r="B71" s="95"/>
      <c r="C71" s="95"/>
      <c r="D71" s="95"/>
      <c r="E71" s="95"/>
      <c r="F71" s="95"/>
      <c r="G71" s="95"/>
      <c r="H71" s="95"/>
      <c r="I71" s="95"/>
      <c r="J71" s="95"/>
      <c r="K71" s="95"/>
      <c r="L71" s="99" t="str">
        <f ca="1">_xlfn.CONCAT("]}, // ULTIMA LINEA DEL CANTO: ",L1)</f>
        <v>]}, // ULTIMA LINEA DEL CANTO: NO ESTÁ AQUÍ, RESUCITÓ</v>
      </c>
      <c r="M71" s="95"/>
    </row>
    <row r="72" spans="1:40" ht="20.5" x14ac:dyDescent="0.35">
      <c r="L72" s="100" t="s">
        <v>1008</v>
      </c>
      <c r="M72" s="101"/>
    </row>
    <row r="73" spans="1:40" x14ac:dyDescent="0.35">
      <c r="M7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D1FB1-F8F0-4664-8DA7-E8CE3613B859}">
  <sheetPr codeName="Sheet70">
    <tabColor rgb="FF00B0F0"/>
  </sheetPr>
  <dimension ref="A1:AN79"/>
  <sheetViews>
    <sheetView tabSelected="1" zoomScale="85" zoomScaleNormal="85" workbookViewId="0">
      <pane xSplit="2" ySplit="1" topLeftCell="C34" activePane="bottomRight" state="frozen"/>
      <selection pane="topRight" activeCell="C1" sqref="C1"/>
      <selection pane="bottomLeft" activeCell="A2" sqref="A2"/>
      <selection pane="bottomRight" activeCell="F44" sqref="F44"/>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121</v>
      </c>
      <c r="E1" s="40"/>
      <c r="F1" s="40"/>
      <c r="G1" s="40"/>
      <c r="H1" s="40"/>
      <c r="I1" s="40"/>
      <c r="J1" s="40"/>
      <c r="K1" s="40"/>
      <c r="L1" s="41" t="str">
        <f ca="1">UPPER(VLOOKUP(C1,Table223[],3,FALSE))</f>
        <v>NO HAY EN ÉL PARECER</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NO HAY EN ÉL PARECER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nohayenelparecer</v>
      </c>
      <c r="L7" s="48" t="str">
        <f ca="1">_xlfn.CONCAT("        id: ","""",C7,"""",",")</f>
        <v xml:space="preserve">        id: "nohayenelparecer",</v>
      </c>
    </row>
    <row r="8" spans="2:32" ht="23" x14ac:dyDescent="0.35">
      <c r="C8" t="str">
        <f ca="1">PROPER(L1)</f>
        <v>No Hay En Él Parecer</v>
      </c>
      <c r="L8" s="48" t="str">
        <f ca="1">_xlfn.CONCAT("        tt: ","""",C8,"""",",")</f>
        <v xml:space="preserve">        tt: "No Hay En Él Parecer",</v>
      </c>
    </row>
    <row r="9" spans="2:32" ht="23" x14ac:dyDescent="0.35">
      <c r="C9" t="str">
        <f ca="1">PROPER(L1)</f>
        <v>No Hay En Él Parecer</v>
      </c>
      <c r="L9" s="48" t="str">
        <f ca="1">_xlfn.CONCAT("        title: ","""",C9,"""",",")</f>
        <v xml:space="preserve">        title: "No Hay En Él Parecer",</v>
      </c>
    </row>
    <row r="10" spans="2:32" ht="23" x14ac:dyDescent="0.35">
      <c r="C10" t="str">
        <f ca="1">VLOOKUP(C1,Table223[],4,FALSE)</f>
        <v>Isaías 53,2ss - Cuarto canto del Siervo de Yahveh</v>
      </c>
      <c r="L10" s="48" t="str">
        <f ca="1">_xlfn.CONCAT("        ","subtitle: ","""",C10,"""",",")</f>
        <v xml:space="preserve">        subtitle: "Isaías 53,2ss - Cuarto canto del Siervo de Yahveh",</v>
      </c>
    </row>
    <row r="11" spans="2:32" ht="23" x14ac:dyDescent="0.35">
      <c r="C11" t="str">
        <f ca="1">_xlfn.CONCAT("category: [",VLOOKUP(C1,Table223[],16,FALSE),"],")</f>
        <v>category: ["Precatecumenado","Fracción Del Pan","Antiguo Testamento"],</v>
      </c>
      <c r="L11" s="48" t="str">
        <f ca="1">_xlfn.CONCAT("        ",C11)</f>
        <v xml:space="preserve">        category: ["Precatecumenado","Fracción Del Pan","Antiguo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121</v>
      </c>
      <c r="L16" s="48" t="str">
        <f ca="1">_xlfn.CONCAT("        dbno: ","""",C16,"""",",")</f>
        <v xml:space="preserve">        dbno: "121",</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nohayenelparecer</v>
      </c>
      <c r="L19" s="48" t="str">
        <f ca="1">_xlfn.CONCAT("        audioSrc: ","""https://audio.resucito.do/",C19,".mp3""",",")</f>
        <v xml:space="preserve">        audioSrc: "https://audio.resucito.do/nohayenelparecer.mp3",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120</v>
      </c>
      <c r="C26" t="str">
        <f ca="1">VLOOKUP(B26,Table4[],13,FALSE)</f>
        <v>"/src/index.html?canto=noestaaquiresucito"</v>
      </c>
      <c r="L26" s="48" t="str">
        <f ca="1">_xlfn.CONCAT("        ant: ",C26,",")</f>
        <v xml:space="preserve">        ant: "/src/index.html?canto=noestaaquiresucito",</v>
      </c>
    </row>
    <row r="27" spans="1:40" ht="23" x14ac:dyDescent="0.35">
      <c r="B27">
        <f ca="1">+C1+1</f>
        <v>122</v>
      </c>
      <c r="C27" t="str">
        <f ca="1">VLOOKUP(B27,Table4[],13,FALSE)</f>
        <v>"/src/index.html?canto=nolimetangere"</v>
      </c>
      <c r="L27" s="48" t="str">
        <f ca="1">_xlfn.CONCAT("        sig: ",C27,",")</f>
        <v xml:space="preserve">        sig: "/src/index.html?canto=nolimetangere",</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4.5" thickTop="1" thickBot="1" x14ac:dyDescent="0.55000000000000004">
      <c r="B30" t="s">
        <v>1014</v>
      </c>
      <c r="C30" s="113" t="s">
        <v>1065</v>
      </c>
      <c r="D30" s="112" t="s">
        <v>1030</v>
      </c>
      <c r="E30" s="52"/>
      <c r="F30" s="53"/>
      <c r="G30" s="53"/>
      <c r="H30" s="52"/>
      <c r="I30" s="52"/>
      <c r="J30" s="54"/>
      <c r="K30" s="54"/>
      <c r="L30" s="55" t="str">
        <f t="shared" ref="L30:L31" si="0">IF(C30="","",_xlfn.CONCAT("            { line: ","""",C30,", ",M30:AN30,""", sC: ","""",B30,"""},"))</f>
        <v xml:space="preserve">            { line: "No hay en Él parecer,, (Do,,10)", sC: "tc"},</v>
      </c>
      <c r="M30" s="56" t="str">
        <f t="shared" ref="M30:M35" si="1">IF(N30="","","(")</f>
        <v>(</v>
      </c>
      <c r="N30" s="57" t="str">
        <f t="shared" ref="N30:N76" si="2">IF(D30="","",D30)</f>
        <v>Do</v>
      </c>
      <c r="O30" s="58" t="str">
        <f t="shared" ref="O30:O35" si="3">IF(N30="","",",")</f>
        <v>,</v>
      </c>
      <c r="P30" s="59" t="str">
        <f t="shared" ref="P30:P76" si="4">IF(E30="","",E30)</f>
        <v/>
      </c>
      <c r="Q30" s="60" t="str">
        <f t="shared" ref="Q30:Q35" si="5">IF(N30="","",",")</f>
        <v>,</v>
      </c>
      <c r="R30" s="61">
        <f>IF(N30="Do",10,IF(N30="Re",22,IF(N30="Mi",20,IF(N30="Fa",20,IF(N30="Sol",14,IF(N30="La",20,IF(N30="Si",20,IF(N30="Do#",14,IF(N30="Fa#",15,IF(N30="Sol#",20,""))))))))))</f>
        <v>10</v>
      </c>
      <c r="S30" s="56" t="str">
        <f t="shared" ref="S30:S35" si="6">IF(N30="","",")")</f>
        <v>)</v>
      </c>
      <c r="T30" s="62" t="str">
        <f t="shared" ref="T30:T35" si="7">IF(U30="","","(")</f>
        <v/>
      </c>
      <c r="U30" s="63" t="str">
        <f t="shared" ref="U30:U76" si="8">IF(F30="","",F30)</f>
        <v/>
      </c>
      <c r="V30" s="64" t="str">
        <f t="shared" ref="V30:V35" si="9">IF(U30="","",",")</f>
        <v/>
      </c>
      <c r="W30" s="65" t="str">
        <f t="shared" ref="W30:W76" si="10">IF(G30="","",G30)</f>
        <v/>
      </c>
      <c r="X30" s="64" t="str">
        <f t="shared" ref="X30:X35" si="11">IF(U30="","",",")</f>
        <v/>
      </c>
      <c r="Y30" s="64" t="str">
        <f t="shared" ref="Y30:Y35" si="12">IF(U30="","",250)</f>
        <v/>
      </c>
      <c r="Z30" s="56" t="str">
        <f t="shared" ref="Z30:Z35" si="13">IF(U30="","",")")</f>
        <v/>
      </c>
      <c r="AA30" s="66" t="str">
        <f t="shared" ref="AA30:AA35" si="14">IF(AB30="","","(")</f>
        <v/>
      </c>
      <c r="AB30" s="57" t="str">
        <f t="shared" ref="AB30:AB76"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76"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C31" s="113" t="s">
        <v>1066</v>
      </c>
      <c r="D31" s="112" t="s">
        <v>1013</v>
      </c>
      <c r="E31" s="52" t="s">
        <v>1012</v>
      </c>
      <c r="F31" s="53"/>
      <c r="G31" s="53"/>
      <c r="H31" s="52"/>
      <c r="I31" s="52"/>
      <c r="J31" s="54"/>
      <c r="K31" s="54"/>
      <c r="L31" s="55" t="str">
        <f t="shared" si="0"/>
        <v xml:space="preserve">            { line: "no hay hermosura, (La,m,20)", sC: ""},</v>
      </c>
      <c r="M31" s="56" t="str">
        <f t="shared" si="1"/>
        <v>(</v>
      </c>
      <c r="N31" s="57" t="str">
        <f t="shared" si="2"/>
        <v>La</v>
      </c>
      <c r="O31" s="58" t="str">
        <f t="shared" si="3"/>
        <v>,</v>
      </c>
      <c r="P31" s="59" t="str">
        <f t="shared" si="4"/>
        <v>m</v>
      </c>
      <c r="Q31" s="60" t="str">
        <f t="shared" si="5"/>
        <v>,</v>
      </c>
      <c r="R31" s="61">
        <f t="shared" ref="R31:R76"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1067</v>
      </c>
      <c r="D32" s="112" t="s">
        <v>1068</v>
      </c>
      <c r="E32" s="52"/>
      <c r="F32" s="53"/>
      <c r="G32" s="53"/>
      <c r="H32" s="52"/>
      <c r="I32" s="52"/>
      <c r="J32" s="54"/>
      <c r="K32" s="54"/>
      <c r="L32" s="55" t="str">
        <f>IF(C32="","",_xlfn.CONCAT("            { line: ","""",C32,", ",M32:AN32,""", sC: ","""",B32,"""},"))</f>
        <v xml:space="preserve">            { line: "que atraiga las miradas,, (Sol7,,)", sC: ""},</v>
      </c>
      <c r="M32" s="56" t="str">
        <f t="shared" si="1"/>
        <v>(</v>
      </c>
      <c r="N32" s="57" t="str">
        <f t="shared" si="2"/>
        <v>Sol7</v>
      </c>
      <c r="O32" s="58" t="str">
        <f t="shared" si="3"/>
        <v>,</v>
      </c>
      <c r="P32" s="59" t="str">
        <f t="shared" si="4"/>
        <v/>
      </c>
      <c r="Q32" s="60" t="str">
        <f t="shared" si="5"/>
        <v>,</v>
      </c>
      <c r="R32" s="61" t="str">
        <f t="shared" si="28"/>
        <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1069</v>
      </c>
      <c r="D33" s="112" t="s">
        <v>1030</v>
      </c>
      <c r="E33" s="52"/>
      <c r="F33" s="53"/>
      <c r="G33" s="53"/>
      <c r="H33" s="52"/>
      <c r="I33" s="52"/>
      <c r="J33" s="54"/>
      <c r="K33" s="54"/>
      <c r="L33" s="55" t="str">
        <f>IF(C33="","",_xlfn.CONCAT("            { line: ","""",C33,", ",M33:AN33,""", sC: ","""",B33,"""},"))</f>
        <v xml:space="preserve">            { line: "no hay en él belleza que agrade., (Do,,10)", sC: ""},</v>
      </c>
      <c r="M33" s="56" t="str">
        <f t="shared" si="1"/>
        <v>(</v>
      </c>
      <c r="N33" s="57" t="str">
        <f t="shared" si="2"/>
        <v>Do</v>
      </c>
      <c r="O33" s="58" t="str">
        <f t="shared" si="3"/>
        <v>,</v>
      </c>
      <c r="P33" s="59" t="str">
        <f t="shared" si="4"/>
        <v/>
      </c>
      <c r="Q33" s="60" t="str">
        <f t="shared" si="5"/>
        <v>,</v>
      </c>
      <c r="R33" s="61">
        <f t="shared" si="28"/>
        <v>10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C35" s="113" t="s">
        <v>1070</v>
      </c>
      <c r="D35" s="112" t="s">
        <v>1030</v>
      </c>
      <c r="E35" s="52"/>
      <c r="F35" s="53"/>
      <c r="G35" s="53"/>
      <c r="H35" s="52"/>
      <c r="I35" s="52"/>
      <c r="J35" s="54"/>
      <c r="K35" s="54"/>
      <c r="L35" s="55" t="str">
        <f t="shared" ref="L35:L50" si="29">IF(C35="","",_xlfn.CONCAT("            { line: ","""",C35,", ",M35:AN35,""", sC: ","""",B35,"""},"))</f>
        <v xml:space="preserve">            { line: "Despreciado,, (Do,,10)", sC: ""},</v>
      </c>
      <c r="M35" s="56" t="str">
        <f t="shared" si="1"/>
        <v>(</v>
      </c>
      <c r="N35" s="57" t="str">
        <f t="shared" si="2"/>
        <v>Do</v>
      </c>
      <c r="O35" s="58" t="str">
        <f t="shared" si="3"/>
        <v>,</v>
      </c>
      <c r="P35" s="59" t="str">
        <f t="shared" si="4"/>
        <v/>
      </c>
      <c r="Q35" s="60" t="str">
        <f t="shared" si="5"/>
        <v>,</v>
      </c>
      <c r="R35" s="61">
        <f t="shared" si="28"/>
        <v>10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1071</v>
      </c>
      <c r="D36" s="112" t="s">
        <v>1013</v>
      </c>
      <c r="E36" s="52" t="s">
        <v>1012</v>
      </c>
      <c r="F36" s="53"/>
      <c r="G36" s="53"/>
      <c r="H36" s="52"/>
      <c r="I36" s="52"/>
      <c r="J36" s="54"/>
      <c r="K36" s="54"/>
      <c r="L36" s="55" t="str">
        <f t="shared" si="29"/>
        <v xml:space="preserve">            { line: "desecho de los hombres,,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1072</v>
      </c>
      <c r="D37" s="112" t="s">
        <v>1030</v>
      </c>
      <c r="E37" s="52"/>
      <c r="F37" s="53"/>
      <c r="G37" s="53"/>
      <c r="H37" s="52"/>
      <c r="I37" s="52"/>
      <c r="J37" s="54"/>
      <c r="K37" s="54"/>
      <c r="L37" s="55" t="str">
        <f t="shared" si="29"/>
        <v xml:space="preserve">            { line: "varón de dolores,, (Do,,10)", sC: ""},</v>
      </c>
      <c r="M37" s="56" t="str">
        <f>IF(N37="","","(")</f>
        <v>(</v>
      </c>
      <c r="N37" s="57" t="str">
        <f>IF(D37="","",D37)</f>
        <v>Do</v>
      </c>
      <c r="O37" s="58" t="str">
        <f>IF(N37="","",",")</f>
        <v>,</v>
      </c>
      <c r="P37" s="59" t="str">
        <f>IF(E37="","",E37)</f>
        <v/>
      </c>
      <c r="Q37" s="60" t="str">
        <f>IF(N37="","",",")</f>
        <v>,</v>
      </c>
      <c r="R37" s="61">
        <f t="shared" si="28"/>
        <v>10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1073</v>
      </c>
      <c r="D38" s="112" t="s">
        <v>1013</v>
      </c>
      <c r="E38" s="52" t="s">
        <v>1012</v>
      </c>
      <c r="F38" s="53"/>
      <c r="G38" s="53"/>
      <c r="H38" s="52"/>
      <c r="I38" s="52"/>
      <c r="J38" s="54"/>
      <c r="K38" s="54"/>
      <c r="L38" s="55" t="str">
        <f t="shared" si="29"/>
        <v xml:space="preserve">            { line: "conocedor de todos los quebrantos., (La,m,20)", sC: ""},</v>
      </c>
      <c r="M38" s="56" t="str">
        <f>IF(N38="","","(")</f>
        <v>(</v>
      </c>
      <c r="N38" s="57" t="str">
        <f>IF(D38="","",D38)</f>
        <v>La</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B40" t="s">
        <v>997</v>
      </c>
      <c r="C40" s="113" t="s">
        <v>1074</v>
      </c>
      <c r="D40" s="112" t="s">
        <v>1030</v>
      </c>
      <c r="E40" s="52"/>
      <c r="F40" s="53"/>
      <c r="G40" s="53"/>
      <c r="H40" s="52"/>
      <c r="I40" s="52"/>
      <c r="J40" s="54"/>
      <c r="K40" s="54"/>
      <c r="L40" s="55" t="str">
        <f t="shared" si="29"/>
        <v xml:space="preserve">            { line: "ANTE QUIEN SE VUELVE EL ROSTRO,, (Do,,10)", sC: "ta as"},</v>
      </c>
      <c r="M40" s="56" t="str">
        <f t="shared" ref="M40:M42" si="30">IF(N40="","","(")</f>
        <v>(</v>
      </c>
      <c r="N40" s="57" t="str">
        <f t="shared" ref="N40:N42" si="31">IF(D40="","",D40)</f>
        <v>Do</v>
      </c>
      <c r="O40" s="58" t="str">
        <f t="shared" ref="O40:O42" si="32">IF(N40="","",",")</f>
        <v>,</v>
      </c>
      <c r="P40" s="59" t="str">
        <f t="shared" ref="P40:P42" si="33">IF(E40="","",E40)</f>
        <v/>
      </c>
      <c r="Q40" s="60" t="str">
        <f t="shared" ref="Q40:Q42" si="34">IF(N40="","",",")</f>
        <v>,</v>
      </c>
      <c r="R40" s="61">
        <f t="shared" si="28"/>
        <v>10</v>
      </c>
      <c r="S40" s="56" t="str">
        <f t="shared" ref="S40:S42" si="35">IF(N40="","",")")</f>
        <v>)</v>
      </c>
      <c r="T40" s="62" t="str">
        <f t="shared" ref="T40:T42" si="36">IF(U40="","","(")</f>
        <v/>
      </c>
      <c r="U40" s="63" t="str">
        <f t="shared" ref="U40:U42" si="37">IF(F40="","",F40)</f>
        <v/>
      </c>
      <c r="V40" s="64" t="str">
        <f t="shared" ref="V40:V42" si="38">IF(U40="","",",")</f>
        <v/>
      </c>
      <c r="W40" s="65" t="str">
        <f t="shared" ref="W40:W42" si="39">IF(G40="","",G40)</f>
        <v/>
      </c>
      <c r="X40" s="64" t="str">
        <f t="shared" ref="X40:X42" si="40">IF(U40="","",",")</f>
        <v/>
      </c>
      <c r="Y40" s="64" t="str">
        <f t="shared" ref="Y40:Y42" si="41">IF(U40="","",250)</f>
        <v/>
      </c>
      <c r="Z40" s="56" t="str">
        <f t="shared" ref="Z40:Z42" si="42">IF(U40="","",")")</f>
        <v/>
      </c>
      <c r="AA40" s="66" t="str">
        <f t="shared" ref="AA40:AA42" si="43">IF(AB40="","","(")</f>
        <v/>
      </c>
      <c r="AB40" s="57" t="str">
        <f t="shared" ref="AB40:AB42" si="44">IF(H40="","",H40)</f>
        <v/>
      </c>
      <c r="AC40" s="67" t="str">
        <f t="shared" ref="AC40:AC42" si="45">IF(AB40="","",",")</f>
        <v/>
      </c>
      <c r="AD40" s="59" t="str">
        <f t="shared" ref="AD40:AD42" si="46">IF(I40="","",I40)</f>
        <v/>
      </c>
      <c r="AE40" s="68" t="str">
        <f t="shared" ref="AE40:AE42" si="47">IF(AB40="","",",")</f>
        <v/>
      </c>
      <c r="AF40" s="61" t="str">
        <f t="shared" ref="AF40:AF42" si="48">IF(AB40="","",350)</f>
        <v/>
      </c>
      <c r="AG40" s="61" t="str">
        <f t="shared" ref="AG40:AG42" si="49">IF(AB40="","",")")</f>
        <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4.5" thickTop="1" thickBot="1" x14ac:dyDescent="0.55000000000000004">
      <c r="B41" t="s">
        <v>999</v>
      </c>
      <c r="C41" s="113" t="s">
        <v>1074</v>
      </c>
      <c r="D41" s="112" t="s">
        <v>1013</v>
      </c>
      <c r="E41" s="52" t="s">
        <v>1012</v>
      </c>
      <c r="F41" s="53"/>
      <c r="G41" s="53"/>
      <c r="H41" s="52"/>
      <c r="I41" s="52"/>
      <c r="J41" s="54"/>
      <c r="K41" s="54"/>
      <c r="L41" s="55" t="str">
        <f t="shared" si="29"/>
        <v xml:space="preserve">            { line: "ANTE QUIEN SE VUELVE EL ROSTRO,, (La,m,20)", sC: "as"},</v>
      </c>
      <c r="M41" s="56" t="str">
        <f t="shared" si="30"/>
        <v>(</v>
      </c>
      <c r="N41" s="57" t="str">
        <f t="shared" si="31"/>
        <v>La</v>
      </c>
      <c r="O41" s="58" t="str">
        <f t="shared" si="32"/>
        <v>,</v>
      </c>
      <c r="P41" s="59" t="str">
        <f t="shared" si="33"/>
        <v>m</v>
      </c>
      <c r="Q41" s="60" t="str">
        <f t="shared" si="34"/>
        <v>,</v>
      </c>
      <c r="R41" s="61">
        <f t="shared" si="28"/>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B42" t="s">
        <v>999</v>
      </c>
      <c r="C42" s="113" t="s">
        <v>1074</v>
      </c>
      <c r="D42" s="112" t="s">
        <v>1068</v>
      </c>
      <c r="E42" s="52"/>
      <c r="F42" s="53"/>
      <c r="G42" s="53"/>
      <c r="H42" s="52"/>
      <c r="I42" s="52"/>
      <c r="J42" s="54"/>
      <c r="K42" s="54"/>
      <c r="L42" s="55" t="str">
        <f t="shared" si="29"/>
        <v xml:space="preserve">            { line: "ANTE QUIEN SE VUELVE EL ROSTRO,, (Sol7,,)", sC: "as"},</v>
      </c>
      <c r="M42" s="56" t="str">
        <f t="shared" si="30"/>
        <v>(</v>
      </c>
      <c r="N42" s="57" t="str">
        <f t="shared" si="31"/>
        <v>Sol7</v>
      </c>
      <c r="O42" s="58" t="str">
        <f t="shared" si="32"/>
        <v>,</v>
      </c>
      <c r="P42" s="59" t="str">
        <f t="shared" si="33"/>
        <v/>
      </c>
      <c r="Q42" s="60" t="str">
        <f t="shared" si="34"/>
        <v>,</v>
      </c>
      <c r="R42" s="61" t="str">
        <f t="shared" si="28"/>
        <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B43" t="s">
        <v>999</v>
      </c>
      <c r="C43" s="113" t="s">
        <v>1075</v>
      </c>
      <c r="D43" s="112" t="s">
        <v>1030</v>
      </c>
      <c r="E43" s="52"/>
      <c r="F43" s="53"/>
      <c r="G43" s="53"/>
      <c r="H43" s="52"/>
      <c r="I43" s="52"/>
      <c r="J43" s="54"/>
      <c r="K43" s="54"/>
      <c r="L43" s="55" t="str">
        <f t="shared" si="29"/>
        <v xml:space="preserve">            { line: "ANTE QUIEN SE VUELVE EL ROSTRO., (Do,,10)", sC: "as"},</v>
      </c>
      <c r="M43" s="56" t="str">
        <f>IF(N43="","","(")</f>
        <v>(</v>
      </c>
      <c r="N43" s="57" t="str">
        <f>IF(D43="","",D43)</f>
        <v>Do</v>
      </c>
      <c r="O43" s="58" t="str">
        <f>IF(N43="","",",")</f>
        <v>,</v>
      </c>
      <c r="P43" s="59" t="str">
        <f>IF(E43="","",E43)</f>
        <v/>
      </c>
      <c r="Q43" s="60" t="str">
        <f>IF(N43="","",",")</f>
        <v>,</v>
      </c>
      <c r="R43" s="61">
        <f t="shared" si="28"/>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1014</v>
      </c>
      <c r="C45" s="113" t="s">
        <v>1076</v>
      </c>
      <c r="D45" s="112" t="s">
        <v>1030</v>
      </c>
      <c r="E45" s="52"/>
      <c r="F45" s="53"/>
      <c r="G45" s="53"/>
      <c r="H45" s="52"/>
      <c r="I45" s="52"/>
      <c r="J45" s="54"/>
      <c r="K45" s="54"/>
      <c r="L45" s="55" t="str">
        <f t="shared" si="29"/>
        <v xml:space="preserve">            { line: "Menospreciado,, (Do,,10)", sC: "tc"},</v>
      </c>
      <c r="M45" s="56" t="str">
        <f>IF(N45="","","(")</f>
        <v>(</v>
      </c>
      <c r="N45" s="57" t="str">
        <f>IF(D45="","",D45)</f>
        <v>Do</v>
      </c>
      <c r="O45" s="58" t="str">
        <f>IF(N45="","",",")</f>
        <v>,</v>
      </c>
      <c r="P45" s="59" t="str">
        <f>IF(E45="","",E45)</f>
        <v/>
      </c>
      <c r="Q45" s="60" t="str">
        <f>IF(N45="","",",")</f>
        <v>,</v>
      </c>
      <c r="R45" s="61">
        <f t="shared" si="28"/>
        <v>10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4.5" thickTop="1" thickBot="1" x14ac:dyDescent="0.55000000000000004">
      <c r="C46" s="113" t="s">
        <v>1077</v>
      </c>
      <c r="D46" s="112" t="s">
        <v>1013</v>
      </c>
      <c r="E46" s="52" t="s">
        <v>1012</v>
      </c>
      <c r="F46" s="53"/>
      <c r="G46" s="53"/>
      <c r="H46" s="52"/>
      <c r="I46" s="52"/>
      <c r="J46" s="54"/>
      <c r="K46" s="54"/>
      <c r="L46" s="55" t="str">
        <f t="shared" si="29"/>
        <v xml:space="preserve">            { line: "estimado en nada., (La,m,20)", sC: ""},</v>
      </c>
      <c r="M46" s="56" t="str">
        <f>IF(N46="","","(")</f>
        <v>(</v>
      </c>
      <c r="N46" s="57" t="str">
        <f>IF(D46="","",D46)</f>
        <v>La</v>
      </c>
      <c r="O46" s="58" t="str">
        <f>IF(N46="","",",")</f>
        <v>,</v>
      </c>
      <c r="P46" s="59" t="str">
        <f>IF(E46="","",E46)</f>
        <v>m</v>
      </c>
      <c r="Q46" s="60" t="str">
        <f>IF(N46="","",",")</f>
        <v>,</v>
      </c>
      <c r="R46" s="61">
        <f t="shared" si="28"/>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1070</v>
      </c>
      <c r="D47" s="112" t="s">
        <v>1030</v>
      </c>
      <c r="E47" s="52"/>
      <c r="F47" s="53"/>
      <c r="G47" s="53"/>
      <c r="H47" s="52"/>
      <c r="I47" s="52"/>
      <c r="J47" s="54"/>
      <c r="K47" s="54"/>
      <c r="L47" s="55" t="str">
        <f t="shared" si="29"/>
        <v xml:space="preserve">            { line: "Despreciado,, (Do,,10)", sC: ""},</v>
      </c>
      <c r="M47" s="56" t="str">
        <f>IF(N47="","","(")</f>
        <v>(</v>
      </c>
      <c r="N47" s="57" t="str">
        <f>IF(D47="","",D47)</f>
        <v>Do</v>
      </c>
      <c r="O47" s="58" t="str">
        <f>IF(N47="","",",")</f>
        <v>,</v>
      </c>
      <c r="P47" s="59" t="str">
        <f>IF(E47="","",E47)</f>
        <v/>
      </c>
      <c r="Q47" s="60" t="str">
        <f>IF(N47="","",",")</f>
        <v>,</v>
      </c>
      <c r="R47" s="61">
        <f t="shared" si="28"/>
        <v>10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1071</v>
      </c>
      <c r="D48" s="112" t="s">
        <v>1013</v>
      </c>
      <c r="E48" s="52" t="s">
        <v>1012</v>
      </c>
      <c r="F48" s="53"/>
      <c r="G48" s="53"/>
      <c r="H48" s="52"/>
      <c r="I48" s="52"/>
      <c r="J48" s="54"/>
      <c r="K48" s="54"/>
      <c r="L48" s="55" t="str">
        <f t="shared" si="29"/>
        <v xml:space="preserve">            { line: "desecho de los hombres,, (La,m,20)", sC: ""},</v>
      </c>
      <c r="M48" s="56" t="str">
        <f t="shared" ref="M48:M50" si="57">IF(N48="","","(")</f>
        <v>(</v>
      </c>
      <c r="N48" s="57" t="str">
        <f t="shared" ref="N48:N50" si="58">IF(D48="","",D48)</f>
        <v>La</v>
      </c>
      <c r="O48" s="58" t="str">
        <f t="shared" ref="O48:O50" si="59">IF(N48="","",",")</f>
        <v>,</v>
      </c>
      <c r="P48" s="59" t="str">
        <f t="shared" ref="P48:P50" si="60">IF(E48="","",E48)</f>
        <v>m</v>
      </c>
      <c r="Q48" s="60" t="str">
        <f t="shared" ref="Q48:Q50" si="61">IF(N48="","",",")</f>
        <v>,</v>
      </c>
      <c r="R48" s="61">
        <f t="shared" si="28"/>
        <v>20</v>
      </c>
      <c r="S48" s="56" t="str">
        <f t="shared" ref="S48:S50" si="62">IF(N48="","",")")</f>
        <v>)</v>
      </c>
      <c r="T48" s="62" t="str">
        <f t="shared" ref="T48:T50" si="63">IF(U48="","","(")</f>
        <v/>
      </c>
      <c r="U48" s="63" t="str">
        <f t="shared" ref="U48:U50" si="64">IF(F48="","",F48)</f>
        <v/>
      </c>
      <c r="V48" s="64" t="str">
        <f t="shared" ref="V48:V50" si="65">IF(U48="","",",")</f>
        <v/>
      </c>
      <c r="W48" s="65" t="str">
        <f t="shared" ref="W48:W50" si="66">IF(G48="","",G48)</f>
        <v/>
      </c>
      <c r="X48" s="64" t="str">
        <f t="shared" ref="X48:X50" si="67">IF(U48="","",",")</f>
        <v/>
      </c>
      <c r="Y48" s="64" t="str">
        <f t="shared" ref="Y48:Y50" si="68">IF(U48="","",250)</f>
        <v/>
      </c>
      <c r="Z48" s="56" t="str">
        <f t="shared" ref="Z48:Z50" si="69">IF(U48="","",")")</f>
        <v/>
      </c>
      <c r="AA48" s="66" t="str">
        <f t="shared" ref="AA48:AA50" si="70">IF(AB48="","","(")</f>
        <v/>
      </c>
      <c r="AB48" s="57" t="str">
        <f t="shared" ref="AB48:AB50" si="71">IF(H48="","",H48)</f>
        <v/>
      </c>
      <c r="AC48" s="67" t="str">
        <f t="shared" ref="AC48:AC50" si="72">IF(AB48="","",",")</f>
        <v/>
      </c>
      <c r="AD48" s="59" t="str">
        <f t="shared" ref="AD48:AD50" si="73">IF(I48="","",I48)</f>
        <v/>
      </c>
      <c r="AE48" s="68" t="str">
        <f t="shared" ref="AE48:AE50" si="74">IF(AB48="","",",")</f>
        <v/>
      </c>
      <c r="AF48" s="61" t="str">
        <f t="shared" ref="AF48:AF50" si="75">IF(AB48="","",350)</f>
        <v/>
      </c>
      <c r="AG48" s="61" t="str">
        <f t="shared" ref="AG48:AG50" si="76">IF(AB48="","",")")</f>
        <v/>
      </c>
      <c r="AH48" s="69" t="str">
        <f t="shared" ref="AH48:AH50" si="77">IF(AI48="","","(")</f>
        <v/>
      </c>
      <c r="AI48" s="70" t="str">
        <f t="shared" ref="AI48:AI50" si="78">IF(J48="","",J48)</f>
        <v/>
      </c>
      <c r="AJ48" s="64" t="str">
        <f t="shared" ref="AJ48:AJ50" si="79">IF(AI48="","",",")</f>
        <v/>
      </c>
      <c r="AK48" s="64" t="str">
        <f t="shared" ref="AK48:AK50" si="80">IF(K48="","",K48)</f>
        <v/>
      </c>
      <c r="AL48" s="64" t="str">
        <f t="shared" ref="AL48:AL50" si="81">IF(AI48="","",",")</f>
        <v/>
      </c>
      <c r="AM48" s="64" t="str">
        <f t="shared" ref="AM48:AM50" si="82">IF(AI48="","",450)</f>
        <v/>
      </c>
      <c r="AN48" s="64" t="str">
        <f t="shared" ref="AN48:AN50" si="83">IF(AI48="","",")")</f>
        <v/>
      </c>
    </row>
    <row r="49" spans="1:40" ht="24.5" thickTop="1" thickBot="1" x14ac:dyDescent="0.55000000000000004">
      <c r="C49" s="113" t="s">
        <v>1072</v>
      </c>
      <c r="D49" s="112" t="s">
        <v>1030</v>
      </c>
      <c r="E49" s="52"/>
      <c r="F49" s="53"/>
      <c r="G49" s="53"/>
      <c r="H49" s="52"/>
      <c r="I49" s="52"/>
      <c r="J49" s="54"/>
      <c r="K49" s="54"/>
      <c r="L49" s="55" t="str">
        <f t="shared" si="29"/>
        <v xml:space="preserve">            { line: "varón de dolores,, (Do,,10)", sC: ""},</v>
      </c>
      <c r="M49" s="56" t="str">
        <f t="shared" si="57"/>
        <v>(</v>
      </c>
      <c r="N49" s="57" t="str">
        <f t="shared" si="58"/>
        <v>Do</v>
      </c>
      <c r="O49" s="58" t="str">
        <f t="shared" si="59"/>
        <v>,</v>
      </c>
      <c r="P49" s="59" t="str">
        <f t="shared" si="60"/>
        <v/>
      </c>
      <c r="Q49" s="60" t="str">
        <f t="shared" si="61"/>
        <v>,</v>
      </c>
      <c r="R49" s="61">
        <f t="shared" si="28"/>
        <v>10</v>
      </c>
      <c r="S49" s="56" t="str">
        <f t="shared" si="62"/>
        <v>)</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4.5" thickTop="1" thickBot="1" x14ac:dyDescent="0.55000000000000004">
      <c r="C50" s="113" t="s">
        <v>1073</v>
      </c>
      <c r="D50" s="112" t="s">
        <v>1013</v>
      </c>
      <c r="E50" s="52" t="s">
        <v>1012</v>
      </c>
      <c r="F50" s="53"/>
      <c r="G50" s="53"/>
      <c r="H50" s="52"/>
      <c r="I50" s="52"/>
      <c r="J50" s="54"/>
      <c r="K50" s="54"/>
      <c r="L50" s="55" t="str">
        <f t="shared" si="29"/>
        <v xml:space="preserve">            { line: "conocedor de todos los quebrantos., (La,m,20)", sC: ""},</v>
      </c>
      <c r="M50" s="56" t="str">
        <f t="shared" si="57"/>
        <v>(</v>
      </c>
      <c r="N50" s="57" t="str">
        <f t="shared" si="58"/>
        <v>La</v>
      </c>
      <c r="O50" s="58" t="str">
        <f t="shared" si="59"/>
        <v>,</v>
      </c>
      <c r="P50" s="59" t="str">
        <f t="shared" si="60"/>
        <v>m</v>
      </c>
      <c r="Q50" s="60" t="str">
        <f t="shared" si="61"/>
        <v>,</v>
      </c>
      <c r="R50" s="61">
        <f t="shared" si="28"/>
        <v>20</v>
      </c>
      <c r="S50" s="56" t="str">
        <f t="shared" si="62"/>
        <v>)</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36.5" thickTop="1" thickBot="1" x14ac:dyDescent="0.55000000000000004">
      <c r="A51" s="76"/>
      <c r="B51" s="76"/>
      <c r="C51" s="76" t="s">
        <v>1031</v>
      </c>
      <c r="D51" s="77"/>
      <c r="E51" s="77"/>
      <c r="F51" s="77"/>
      <c r="G51" s="77"/>
      <c r="H51" s="77"/>
      <c r="I51" s="77"/>
      <c r="J51" s="77"/>
      <c r="K51" s="77"/>
      <c r="L51" s="50" t="s">
        <v>994</v>
      </c>
      <c r="M51" s="104"/>
      <c r="N51" s="57"/>
      <c r="O51" s="105"/>
      <c r="P51" s="59"/>
      <c r="Q51" s="106"/>
      <c r="R51" s="61" t="str">
        <f t="shared" si="28"/>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6.5" thickTop="1" thickBot="1" x14ac:dyDescent="0.55000000000000004">
      <c r="A52" s="73"/>
      <c r="B52" s="73"/>
      <c r="C52" s="73"/>
      <c r="D52" s="74"/>
      <c r="E52" s="74"/>
      <c r="F52" s="74"/>
      <c r="G52" s="74"/>
      <c r="H52" s="74"/>
      <c r="I52" s="74"/>
      <c r="J52" s="74"/>
      <c r="K52" s="74"/>
      <c r="L52" s="75" t="s">
        <v>993</v>
      </c>
      <c r="M52" s="56"/>
      <c r="N52" s="57"/>
      <c r="O52" s="58"/>
      <c r="P52" s="59"/>
      <c r="Q52" s="60"/>
      <c r="R52" s="61" t="str">
        <f t="shared" ref="R52:R58" si="84">IF(N52="Do",10,IF(N52="Re",22,IF(N52="Mi",20,IF(N52="Fa",20,IF(N52="Sol",14,IF(N52="La",20,IF(N52="Si",20,IF(N52="Do#",14,IF(N52="Fa#",15,IF(N52="Sol#",20,""))))))))))</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4.5" thickTop="1" thickBot="1" x14ac:dyDescent="0.55000000000000004">
      <c r="C53" s="79" t="s">
        <v>995</v>
      </c>
      <c r="D53" s="80"/>
      <c r="E53" s="80"/>
      <c r="F53" s="80"/>
      <c r="G53" s="80"/>
      <c r="H53" s="80"/>
      <c r="I53" s="80"/>
      <c r="J53" s="80"/>
      <c r="K53" s="80"/>
      <c r="L53" s="81" t="s">
        <v>996</v>
      </c>
      <c r="M53" s="56" t="str">
        <f t="shared" ref="M53:M57" si="85">IF(N53="","","(")</f>
        <v/>
      </c>
      <c r="N53" s="57" t="str">
        <f t="shared" ref="N53:N57" si="86">IF(D53="","",D53)</f>
        <v/>
      </c>
      <c r="O53" s="58" t="str">
        <f t="shared" ref="O53:O57" si="87">IF(N53="","",",")</f>
        <v/>
      </c>
      <c r="P53" s="59" t="str">
        <f t="shared" ref="P53:P57" si="88">IF(E53="","",E53)</f>
        <v/>
      </c>
      <c r="Q53" s="60" t="str">
        <f t="shared" ref="Q53:Q57" si="89">IF(N53="","",",")</f>
        <v/>
      </c>
      <c r="R53" s="61" t="str">
        <f t="shared" si="84"/>
        <v/>
      </c>
      <c r="S53" s="56" t="str">
        <f t="shared" ref="S53:S57" si="90">IF(N53="","",")")</f>
        <v/>
      </c>
      <c r="T53" s="62" t="str">
        <f t="shared" ref="T53:T57" si="91">IF(U53="","","(")</f>
        <v/>
      </c>
      <c r="U53" s="63" t="str">
        <f t="shared" ref="U53:U57" si="92">IF(F53="","",F53)</f>
        <v/>
      </c>
      <c r="V53" s="64" t="str">
        <f t="shared" ref="V53:V57" si="93">IF(U53="","",",")</f>
        <v/>
      </c>
      <c r="W53" s="65" t="str">
        <f t="shared" ref="W53:W57" si="94">IF(G53="","",G53)</f>
        <v/>
      </c>
      <c r="X53" s="64" t="str">
        <f t="shared" ref="X53:X57" si="95">IF(U53="","",",")</f>
        <v/>
      </c>
      <c r="Y53" s="64" t="str">
        <f t="shared" ref="Y53:Y57" si="96">IF(U53="","",250)</f>
        <v/>
      </c>
      <c r="Z53" s="56" t="str">
        <f t="shared" ref="Z53:Z57" si="97">IF(U53="","",")")</f>
        <v/>
      </c>
      <c r="AA53" s="66" t="str">
        <f t="shared" ref="AA53:AA57" si="98">IF(AB53="","","(")</f>
        <v/>
      </c>
      <c r="AB53" s="57" t="str">
        <f t="shared" ref="AB53:AB57" si="99">IF(H53="","",H53)</f>
        <v/>
      </c>
      <c r="AC53" s="67" t="str">
        <f t="shared" ref="AC53:AC57" si="100">IF(AB53="","",",")</f>
        <v/>
      </c>
      <c r="AD53" s="59" t="str">
        <f t="shared" ref="AD53:AD57" si="101">IF(I53="","",I53)</f>
        <v/>
      </c>
      <c r="AE53" s="68" t="str">
        <f t="shared" ref="AE53:AE57" si="102">IF(AB53="","",",")</f>
        <v/>
      </c>
      <c r="AF53" s="61" t="str">
        <f t="shared" ref="AF53:AF57" si="103">IF(AB53="","",350)</f>
        <v/>
      </c>
      <c r="AG53" s="61" t="str">
        <f t="shared" ref="AG53:AG57" si="104">IF(AB53="","",")")</f>
        <v/>
      </c>
      <c r="AH53" s="69" t="str">
        <f t="shared" ref="AH53:AH57" si="105">IF(AI53="","","(")</f>
        <v/>
      </c>
      <c r="AI53" s="70" t="str">
        <f t="shared" ref="AI53:AI57" si="106">IF(J53="","",J53)</f>
        <v/>
      </c>
      <c r="AJ53" s="64" t="str">
        <f t="shared" ref="AJ53:AJ57" si="107">IF(AI53="","",",")</f>
        <v/>
      </c>
      <c r="AK53" s="64" t="str">
        <f t="shared" ref="AK53:AK57" si="108">IF(K53="","",K53)</f>
        <v/>
      </c>
      <c r="AL53" s="64" t="str">
        <f t="shared" ref="AL53:AL57" si="109">IF(AI53="","",",")</f>
        <v/>
      </c>
      <c r="AM53" s="64" t="str">
        <f t="shared" ref="AM53:AM57" si="110">IF(AI53="","",450)</f>
        <v/>
      </c>
      <c r="AN53" s="64" t="str">
        <f t="shared" ref="AN53:AN57" si="111">IF(AI53="","",")")</f>
        <v/>
      </c>
    </row>
    <row r="54" spans="1:40" ht="24.5" thickTop="1" thickBot="1" x14ac:dyDescent="0.55000000000000004">
      <c r="B54" t="s">
        <v>997</v>
      </c>
      <c r="C54" s="82" t="s">
        <v>1087</v>
      </c>
      <c r="D54" s="83" t="s">
        <v>1030</v>
      </c>
      <c r="E54" s="83"/>
      <c r="F54" s="83"/>
      <c r="G54" s="83"/>
      <c r="H54" s="83"/>
      <c r="I54" s="83"/>
      <c r="J54" s="83"/>
      <c r="K54" s="83"/>
      <c r="L54" s="84" t="str">
        <f>IF(C54="","",_xlfn.CONCAT("       triggerLine: ","""",C54,", ",M54:AN54,""", sC: ","""",B54,""", lines: ["))</f>
        <v xml:space="preserve">       triggerLine: "ANTE QUIEN SE VUELVE EL ROSTRO, (Do,,10)", sC: "ta as", lines: [</v>
      </c>
      <c r="M54" s="56" t="str">
        <f t="shared" si="85"/>
        <v>(</v>
      </c>
      <c r="N54" s="57" t="str">
        <f t="shared" si="86"/>
        <v>Do</v>
      </c>
      <c r="O54" s="58" t="str">
        <f t="shared" si="87"/>
        <v>,</v>
      </c>
      <c r="P54" s="59" t="str">
        <f t="shared" si="88"/>
        <v/>
      </c>
      <c r="Q54" s="60" t="str">
        <f t="shared" si="89"/>
        <v>,</v>
      </c>
      <c r="R54" s="61">
        <f t="shared" si="84"/>
        <v>10</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4.5" thickTop="1" thickBot="1" x14ac:dyDescent="0.55000000000000004">
      <c r="B55" t="s">
        <v>999</v>
      </c>
      <c r="C55" s="85" t="s">
        <v>1074</v>
      </c>
      <c r="D55" s="86" t="s">
        <v>1013</v>
      </c>
      <c r="E55" s="86" t="s">
        <v>1012</v>
      </c>
      <c r="F55" s="86"/>
      <c r="G55" s="86"/>
      <c r="H55" s="87"/>
      <c r="I55" s="87"/>
      <c r="J55" s="87"/>
      <c r="K55" s="87"/>
      <c r="L55" s="88" t="str">
        <f>IF(C55="","",_xlfn.CONCAT("            { line: ","""",C55,", ",M55:AN55,""", sC: ","""",B55,"""},"))</f>
        <v xml:space="preserve">            { line: "ANTE QUIEN SE VUELVE EL ROSTRO,, (La,m,20)", sC: "as"},</v>
      </c>
      <c r="M55" s="56" t="str">
        <f t="shared" si="85"/>
        <v>(</v>
      </c>
      <c r="N55" s="57" t="str">
        <f t="shared" si="86"/>
        <v>La</v>
      </c>
      <c r="O55" s="58" t="str">
        <f t="shared" si="87"/>
        <v>,</v>
      </c>
      <c r="P55" s="59" t="str">
        <f t="shared" si="88"/>
        <v>m</v>
      </c>
      <c r="Q55" s="60" t="str">
        <f t="shared" si="89"/>
        <v>,</v>
      </c>
      <c r="R55" s="61">
        <f t="shared" si="84"/>
        <v>20</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4.5" thickTop="1" thickBot="1" x14ac:dyDescent="0.55000000000000004">
      <c r="B56" t="s">
        <v>999</v>
      </c>
      <c r="C56" s="85" t="s">
        <v>1074</v>
      </c>
      <c r="D56" s="89" t="s">
        <v>1068</v>
      </c>
      <c r="E56" s="89"/>
      <c r="F56" s="89"/>
      <c r="G56" s="89"/>
      <c r="H56" s="90"/>
      <c r="I56" s="90"/>
      <c r="J56" s="90"/>
      <c r="K56" s="90"/>
      <c r="L56" s="88" t="str">
        <f>IF(C56="","",_xlfn.CONCAT("            { line: ","""",C56,", ",M56:AN56,""", sC: ","""",B56,"""},"))</f>
        <v xml:space="preserve">            { line: "ANTE QUIEN SE VUELVE EL ROSTRO,, (Sol7,,)", sC: "as"},</v>
      </c>
      <c r="M56" s="56" t="str">
        <f t="shared" si="85"/>
        <v>(</v>
      </c>
      <c r="N56" s="57" t="str">
        <f t="shared" si="86"/>
        <v>Sol7</v>
      </c>
      <c r="O56" s="58" t="str">
        <f t="shared" si="87"/>
        <v>,</v>
      </c>
      <c r="P56" s="59" t="str">
        <f t="shared" si="88"/>
        <v/>
      </c>
      <c r="Q56" s="60" t="str">
        <f t="shared" si="89"/>
        <v>,</v>
      </c>
      <c r="R56" s="61" t="str">
        <f t="shared" si="84"/>
        <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4.5" thickTop="1" thickBot="1" x14ac:dyDescent="0.55000000000000004">
      <c r="B57" t="s">
        <v>999</v>
      </c>
      <c r="C57" s="93" t="s">
        <v>1075</v>
      </c>
      <c r="D57" s="83" t="s">
        <v>1030</v>
      </c>
      <c r="E57" s="83"/>
      <c r="F57" s="83"/>
      <c r="G57" s="83"/>
      <c r="H57" s="83"/>
      <c r="I57" s="83"/>
      <c r="J57" s="83"/>
      <c r="K57" s="83"/>
      <c r="L57" s="94" t="str">
        <f>IF(C57="","",_xlfn.CONCAT("            { line: ","""",C57,", ",M57:AN57,""", sC: ","""",B57,"""},  ]},"))</f>
        <v xml:space="preserve">            { line: "ANTE QUIEN SE VUELVE EL ROSTRO., (Do,,10)", sC: "as"},  ]},</v>
      </c>
      <c r="M57" s="56" t="str">
        <f t="shared" si="85"/>
        <v>(</v>
      </c>
      <c r="N57" s="57" t="str">
        <f t="shared" si="86"/>
        <v>Do</v>
      </c>
      <c r="O57" s="58" t="str">
        <f t="shared" si="87"/>
        <v>,</v>
      </c>
      <c r="P57" s="59" t="str">
        <f t="shared" si="88"/>
        <v/>
      </c>
      <c r="Q57" s="60" t="str">
        <f t="shared" si="89"/>
        <v>,</v>
      </c>
      <c r="R57" s="61">
        <f t="shared" si="84"/>
        <v>10</v>
      </c>
      <c r="S57" s="56" t="str">
        <f t="shared" si="90"/>
        <v>)</v>
      </c>
      <c r="T57" s="62" t="str">
        <f t="shared" si="91"/>
        <v/>
      </c>
      <c r="U57" s="63" t="str">
        <f t="shared" si="92"/>
        <v/>
      </c>
      <c r="V57" s="64" t="str">
        <f t="shared" si="93"/>
        <v/>
      </c>
      <c r="W57" s="65" t="str">
        <f t="shared" si="94"/>
        <v/>
      </c>
      <c r="X57" s="64" t="str">
        <f t="shared" si="95"/>
        <v/>
      </c>
      <c r="Y57" s="64" t="str">
        <f t="shared" si="96"/>
        <v/>
      </c>
      <c r="Z57" s="56" t="str">
        <f t="shared" si="97"/>
        <v/>
      </c>
      <c r="AA57" s="66" t="str">
        <f t="shared" si="98"/>
        <v/>
      </c>
      <c r="AB57" s="57" t="str">
        <f t="shared" si="99"/>
        <v/>
      </c>
      <c r="AC57" s="67" t="str">
        <f t="shared" si="100"/>
        <v/>
      </c>
      <c r="AD57" s="59" t="str">
        <f t="shared" si="101"/>
        <v/>
      </c>
      <c r="AE57" s="68" t="str">
        <f t="shared" si="102"/>
        <v/>
      </c>
      <c r="AF57" s="61" t="str">
        <f t="shared" si="103"/>
        <v/>
      </c>
      <c r="AG57" s="61" t="str">
        <f t="shared" si="104"/>
        <v/>
      </c>
      <c r="AH57" s="69" t="str">
        <f t="shared" si="105"/>
        <v/>
      </c>
      <c r="AI57" s="70" t="str">
        <f t="shared" si="106"/>
        <v/>
      </c>
      <c r="AJ57" s="64" t="str">
        <f t="shared" si="107"/>
        <v/>
      </c>
      <c r="AK57" s="64" t="str">
        <f t="shared" si="108"/>
        <v/>
      </c>
      <c r="AL57" s="64" t="str">
        <f t="shared" si="109"/>
        <v/>
      </c>
      <c r="AM57" s="64" t="str">
        <f t="shared" si="110"/>
        <v/>
      </c>
      <c r="AN57" s="64" t="str">
        <f t="shared" si="111"/>
        <v/>
      </c>
    </row>
    <row r="58" spans="1:40" ht="26.5" thickTop="1" thickBot="1" x14ac:dyDescent="0.55000000000000004">
      <c r="A58" s="73"/>
      <c r="B58" s="73"/>
      <c r="C58" s="73"/>
      <c r="D58" s="74"/>
      <c r="E58" s="74"/>
      <c r="F58" s="74"/>
      <c r="G58" s="74"/>
      <c r="H58" s="74"/>
      <c r="I58" s="74"/>
      <c r="J58" s="74"/>
      <c r="K58" s="74"/>
      <c r="L58" s="75" t="s">
        <v>993</v>
      </c>
      <c r="M58" s="56"/>
      <c r="N58" s="57"/>
      <c r="O58" s="58"/>
      <c r="P58" s="59"/>
      <c r="Q58" s="60"/>
      <c r="R58" s="61" t="str">
        <f t="shared" si="84"/>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thickTop="1" thickBot="1" x14ac:dyDescent="0.55000000000000004">
      <c r="B59" t="s">
        <v>1014</v>
      </c>
      <c r="C59" s="113" t="s">
        <v>1078</v>
      </c>
      <c r="D59" s="112" t="s">
        <v>1030</v>
      </c>
      <c r="E59" s="52"/>
      <c r="F59" s="53" t="s">
        <v>1013</v>
      </c>
      <c r="G59" s="53" t="s">
        <v>1012</v>
      </c>
      <c r="H59" s="52"/>
      <c r="I59" s="52"/>
      <c r="J59" s="54"/>
      <c r="K59" s="54"/>
      <c r="L59" s="78" t="str">
        <f t="shared" ref="L59:L76" si="112">IF(C59="","",_xlfn.CONCAT("            { line: ","""",C59,", ",M59:AN59,""", sC: ","""",B59,"""},"))</f>
        <v xml:space="preserve">            { line: "Pero fue Él, el que cargó con los pecados., (Do,,10)(La,m,250)", sC: "tc"},</v>
      </c>
      <c r="M59" s="56" t="str">
        <f t="shared" ref="M59:M76" si="113">IF(N59="","","(")</f>
        <v>(</v>
      </c>
      <c r="N59" s="57" t="str">
        <f t="shared" si="2"/>
        <v>Do</v>
      </c>
      <c r="O59" s="58" t="str">
        <f t="shared" ref="O59:O76" si="114">IF(N59="","",",")</f>
        <v>,</v>
      </c>
      <c r="P59" s="59" t="str">
        <f t="shared" si="4"/>
        <v/>
      </c>
      <c r="Q59" s="60" t="str">
        <f t="shared" ref="Q59:Q76" si="115">IF(N59="","",",")</f>
        <v>,</v>
      </c>
      <c r="R59" s="61">
        <f t="shared" si="28"/>
        <v>10</v>
      </c>
      <c r="S59" s="56" t="str">
        <f t="shared" ref="S59:S76" si="116">IF(N59="","",")")</f>
        <v>)</v>
      </c>
      <c r="T59" s="62" t="str">
        <f t="shared" ref="T59:T76" si="117">IF(U59="","","(")</f>
        <v>(</v>
      </c>
      <c r="U59" s="63" t="str">
        <f t="shared" si="8"/>
        <v>La</v>
      </c>
      <c r="V59" s="64" t="str">
        <f t="shared" ref="V59:V76" si="118">IF(U59="","",",")</f>
        <v>,</v>
      </c>
      <c r="W59" s="65" t="str">
        <f t="shared" si="10"/>
        <v>m</v>
      </c>
      <c r="X59" s="64" t="str">
        <f t="shared" ref="X59:X76" si="119">IF(U59="","",",")</f>
        <v>,</v>
      </c>
      <c r="Y59" s="64">
        <f t="shared" ref="Y59:Y76" si="120">IF(U59="","",250)</f>
        <v>250</v>
      </c>
      <c r="Z59" s="56" t="str">
        <f t="shared" ref="Z59:Z76" si="121">IF(U59="","",")")</f>
        <v>)</v>
      </c>
      <c r="AA59" s="66" t="str">
        <f t="shared" ref="AA59:AA76" si="122">IF(AB59="","","(")</f>
        <v/>
      </c>
      <c r="AB59" s="57" t="str">
        <f t="shared" si="15"/>
        <v/>
      </c>
      <c r="AC59" s="67" t="str">
        <f t="shared" ref="AC59:AC76" si="123">IF(AB59="","",",")</f>
        <v/>
      </c>
      <c r="AD59" s="59" t="str">
        <f t="shared" ref="AD59:AD76" si="124">IF(I59="","",I59)</f>
        <v/>
      </c>
      <c r="AE59" s="68" t="str">
        <f t="shared" ref="AE59:AE76" si="125">IF(AB59="","",",")</f>
        <v/>
      </c>
      <c r="AF59" s="61" t="str">
        <f t="shared" ref="AF59:AF76" si="126">IF(AB59="","",350)</f>
        <v/>
      </c>
      <c r="AG59" s="61" t="str">
        <f t="shared" ref="AG59:AG76" si="127">IF(AB59="","",")")</f>
        <v/>
      </c>
      <c r="AH59" s="69" t="str">
        <f t="shared" ref="AH59:AH76" si="128">IF(AI59="","","(")</f>
        <v/>
      </c>
      <c r="AI59" s="70" t="str">
        <f t="shared" si="22"/>
        <v/>
      </c>
      <c r="AJ59" s="64" t="str">
        <f t="shared" ref="AJ59:AJ76" si="129">IF(AI59="","",",")</f>
        <v/>
      </c>
      <c r="AK59" s="64" t="str">
        <f t="shared" ref="AK59:AK76" si="130">IF(K59="","",K59)</f>
        <v/>
      </c>
      <c r="AL59" s="64" t="str">
        <f t="shared" ref="AL59:AL76" si="131">IF(AI59="","",",")</f>
        <v/>
      </c>
      <c r="AM59" s="64" t="str">
        <f t="shared" ref="AM59:AM76" si="132">IF(AI59="","",450)</f>
        <v/>
      </c>
      <c r="AN59" s="64" t="str">
        <f t="shared" ref="AN59:AN76" si="133">IF(AI59="","",")")</f>
        <v/>
      </c>
    </row>
    <row r="60" spans="1:40" ht="24.5" thickTop="1" thickBot="1" x14ac:dyDescent="0.55000000000000004">
      <c r="C60" s="113" t="s">
        <v>1079</v>
      </c>
      <c r="D60" s="112" t="s">
        <v>1030</v>
      </c>
      <c r="E60" s="52"/>
      <c r="F60" s="53" t="s">
        <v>1013</v>
      </c>
      <c r="G60" s="53" t="s">
        <v>1012</v>
      </c>
      <c r="H60" s="52"/>
      <c r="I60" s="52"/>
      <c r="J60" s="54"/>
      <c r="K60" s="54"/>
      <c r="L60" s="78" t="str">
        <f t="shared" si="112"/>
        <v xml:space="preserve">            { line: "Pero fue Él, el que cargó con los dolores., (Do,,10)(La,m,250)", sC: ""},</v>
      </c>
      <c r="M60" s="56" t="str">
        <f t="shared" si="113"/>
        <v>(</v>
      </c>
      <c r="N60" s="57" t="str">
        <f t="shared" si="2"/>
        <v>Do</v>
      </c>
      <c r="O60" s="58" t="str">
        <f t="shared" si="114"/>
        <v>,</v>
      </c>
      <c r="P60" s="59" t="str">
        <f t="shared" si="4"/>
        <v/>
      </c>
      <c r="Q60" s="60" t="str">
        <f t="shared" si="115"/>
        <v>,</v>
      </c>
      <c r="R60" s="61">
        <f t="shared" si="28"/>
        <v>10</v>
      </c>
      <c r="S60" s="56" t="str">
        <f t="shared" si="116"/>
        <v>)</v>
      </c>
      <c r="T60" s="62" t="str">
        <f t="shared" si="117"/>
        <v>(</v>
      </c>
      <c r="U60" s="63" t="str">
        <f t="shared" si="8"/>
        <v>La</v>
      </c>
      <c r="V60" s="64" t="str">
        <f t="shared" si="118"/>
        <v>,</v>
      </c>
      <c r="W60" s="65" t="str">
        <f t="shared" si="10"/>
        <v>m</v>
      </c>
      <c r="X60" s="64" t="str">
        <f t="shared" si="119"/>
        <v>,</v>
      </c>
      <c r="Y60" s="64">
        <f t="shared" si="120"/>
        <v>250</v>
      </c>
      <c r="Z60" s="56" t="str">
        <f t="shared" si="121"/>
        <v>)</v>
      </c>
      <c r="AA60" s="66" t="str">
        <f t="shared" si="122"/>
        <v/>
      </c>
      <c r="AB60" s="57" t="str">
        <f t="shared" si="15"/>
        <v/>
      </c>
      <c r="AC60" s="67" t="str">
        <f t="shared" si="123"/>
        <v/>
      </c>
      <c r="AD60" s="59" t="str">
        <f t="shared" si="124"/>
        <v/>
      </c>
      <c r="AE60" s="68" t="str">
        <f t="shared" si="125"/>
        <v/>
      </c>
      <c r="AF60" s="61" t="str">
        <f t="shared" si="126"/>
        <v/>
      </c>
      <c r="AG60" s="61" t="str">
        <f t="shared" si="127"/>
        <v/>
      </c>
      <c r="AH60" s="69" t="str">
        <f t="shared" si="128"/>
        <v/>
      </c>
      <c r="AI60" s="70" t="str">
        <f t="shared" si="22"/>
        <v/>
      </c>
      <c r="AJ60" s="64" t="str">
        <f t="shared" si="129"/>
        <v/>
      </c>
      <c r="AK60" s="64" t="str">
        <f t="shared" si="130"/>
        <v/>
      </c>
      <c r="AL60" s="64" t="str">
        <f t="shared" si="131"/>
        <v/>
      </c>
      <c r="AM60" s="64" t="str">
        <f t="shared" si="132"/>
        <v/>
      </c>
      <c r="AN60" s="64" t="str">
        <f t="shared" si="133"/>
        <v/>
      </c>
    </row>
    <row r="61" spans="1:40" ht="24.5" thickTop="1" thickBot="1" x14ac:dyDescent="0.55000000000000004">
      <c r="B61" t="s">
        <v>997</v>
      </c>
      <c r="C61" s="113" t="s">
        <v>1080</v>
      </c>
      <c r="D61" s="112" t="s">
        <v>1033</v>
      </c>
      <c r="E61" s="52"/>
      <c r="F61" s="53"/>
      <c r="G61" s="53"/>
      <c r="H61" s="52"/>
      <c r="I61" s="52"/>
      <c r="J61" s="54"/>
      <c r="K61" s="54"/>
      <c r="L61" s="78" t="str">
        <f t="shared" si="112"/>
        <v xml:space="preserve">            { line: "TODOS NOSOTROS, (Fa,,20)", sC: "ta as"},</v>
      </c>
      <c r="M61" s="56" t="str">
        <f t="shared" si="113"/>
        <v>(</v>
      </c>
      <c r="N61" s="57" t="str">
        <f t="shared" si="2"/>
        <v>Fa</v>
      </c>
      <c r="O61" s="58" t="str">
        <f t="shared" si="114"/>
        <v>,</v>
      </c>
      <c r="P61" s="59" t="str">
        <f t="shared" si="4"/>
        <v/>
      </c>
      <c r="Q61" s="60" t="str">
        <f t="shared" si="115"/>
        <v>,</v>
      </c>
      <c r="R61" s="61">
        <f t="shared" si="28"/>
        <v>20</v>
      </c>
      <c r="S61" s="56" t="str">
        <f t="shared" si="116"/>
        <v>)</v>
      </c>
      <c r="T61" s="62" t="str">
        <f t="shared" si="117"/>
        <v/>
      </c>
      <c r="U61" s="63" t="str">
        <f t="shared" si="8"/>
        <v/>
      </c>
      <c r="V61" s="64" t="str">
        <f t="shared" si="118"/>
        <v/>
      </c>
      <c r="W61" s="65" t="str">
        <f t="shared" si="10"/>
        <v/>
      </c>
      <c r="X61" s="64" t="str">
        <f t="shared" si="119"/>
        <v/>
      </c>
      <c r="Y61" s="64" t="str">
        <f t="shared" si="120"/>
        <v/>
      </c>
      <c r="Z61" s="56" t="str">
        <f t="shared" si="121"/>
        <v/>
      </c>
      <c r="AA61" s="66" t="str">
        <f t="shared" si="122"/>
        <v/>
      </c>
      <c r="AB61" s="57" t="str">
        <f t="shared" si="15"/>
        <v/>
      </c>
      <c r="AC61" s="67" t="str">
        <f t="shared" si="123"/>
        <v/>
      </c>
      <c r="AD61" s="59" t="str">
        <f t="shared" si="124"/>
        <v/>
      </c>
      <c r="AE61" s="68" t="str">
        <f t="shared" si="125"/>
        <v/>
      </c>
      <c r="AF61" s="61" t="str">
        <f t="shared" si="126"/>
        <v/>
      </c>
      <c r="AG61" s="61" t="str">
        <f t="shared" si="127"/>
        <v/>
      </c>
      <c r="AH61" s="69" t="str">
        <f t="shared" si="128"/>
        <v/>
      </c>
      <c r="AI61" s="70" t="str">
        <f t="shared" si="22"/>
        <v/>
      </c>
      <c r="AJ61" s="64" t="str">
        <f t="shared" si="129"/>
        <v/>
      </c>
      <c r="AK61" s="64" t="str">
        <f t="shared" si="130"/>
        <v/>
      </c>
      <c r="AL61" s="64" t="str">
        <f t="shared" si="131"/>
        <v/>
      </c>
      <c r="AM61" s="64" t="str">
        <f t="shared" si="132"/>
        <v/>
      </c>
      <c r="AN61" s="64" t="str">
        <f t="shared" si="133"/>
        <v/>
      </c>
    </row>
    <row r="62" spans="1:40" ht="24.5" thickTop="1" thickBot="1" x14ac:dyDescent="0.55000000000000004">
      <c r="B62" t="s">
        <v>999</v>
      </c>
      <c r="C62" s="113" t="s">
        <v>1081</v>
      </c>
      <c r="D62" s="112" t="s">
        <v>1015</v>
      </c>
      <c r="E62" s="52"/>
      <c r="F62" s="53"/>
      <c r="G62" s="53"/>
      <c r="H62" s="52"/>
      <c r="I62" s="52"/>
      <c r="J62" s="54"/>
      <c r="K62" s="54"/>
      <c r="L62" s="55" t="str">
        <f t="shared" si="112"/>
        <v xml:space="preserve">            { line: "ANDÁBAMOS ERRANTES., (Sol,,14)", sC: "as"},</v>
      </c>
      <c r="M62" s="56" t="str">
        <f t="shared" si="113"/>
        <v>(</v>
      </c>
      <c r="N62" s="57" t="str">
        <f t="shared" si="2"/>
        <v>Sol</v>
      </c>
      <c r="O62" s="58" t="str">
        <f t="shared" si="114"/>
        <v>,</v>
      </c>
      <c r="P62" s="59" t="str">
        <f t="shared" si="4"/>
        <v/>
      </c>
      <c r="Q62" s="60" t="str">
        <f t="shared" si="115"/>
        <v>,</v>
      </c>
      <c r="R62" s="61">
        <f t="shared" si="28"/>
        <v>14</v>
      </c>
      <c r="S62" s="56" t="str">
        <f t="shared" si="116"/>
        <v>)</v>
      </c>
      <c r="T62" s="62" t="str">
        <f t="shared" si="117"/>
        <v/>
      </c>
      <c r="U62" s="63" t="str">
        <f t="shared" si="8"/>
        <v/>
      </c>
      <c r="V62" s="64" t="str">
        <f t="shared" si="118"/>
        <v/>
      </c>
      <c r="W62" s="65" t="str">
        <f t="shared" si="10"/>
        <v/>
      </c>
      <c r="X62" s="64" t="str">
        <f t="shared" si="119"/>
        <v/>
      </c>
      <c r="Y62" s="64" t="str">
        <f t="shared" si="120"/>
        <v/>
      </c>
      <c r="Z62" s="56" t="str">
        <f t="shared" si="121"/>
        <v/>
      </c>
      <c r="AA62" s="66" t="str">
        <f t="shared" si="122"/>
        <v/>
      </c>
      <c r="AB62" s="57" t="str">
        <f t="shared" si="15"/>
        <v/>
      </c>
      <c r="AC62" s="67" t="str">
        <f t="shared" si="123"/>
        <v/>
      </c>
      <c r="AD62" s="59" t="str">
        <f t="shared" si="124"/>
        <v/>
      </c>
      <c r="AE62" s="68" t="str">
        <f t="shared" si="125"/>
        <v/>
      </c>
      <c r="AF62" s="61" t="str">
        <f t="shared" si="126"/>
        <v/>
      </c>
      <c r="AG62" s="61" t="str">
        <f t="shared" si="127"/>
        <v/>
      </c>
      <c r="AH62" s="69" t="str">
        <f t="shared" si="128"/>
        <v/>
      </c>
      <c r="AI62" s="70" t="str">
        <f t="shared" si="22"/>
        <v/>
      </c>
      <c r="AJ62" s="64" t="str">
        <f t="shared" si="129"/>
        <v/>
      </c>
      <c r="AK62" s="64" t="str">
        <f t="shared" si="130"/>
        <v/>
      </c>
      <c r="AL62" s="64" t="str">
        <f t="shared" si="131"/>
        <v/>
      </c>
      <c r="AM62" s="64" t="str">
        <f t="shared" si="132"/>
        <v/>
      </c>
      <c r="AN62" s="64" t="str">
        <f t="shared" si="133"/>
        <v/>
      </c>
    </row>
    <row r="63" spans="1:40" ht="24.5" thickTop="1" thickBot="1" x14ac:dyDescent="0.55000000000000004">
      <c r="B63" t="s">
        <v>999</v>
      </c>
      <c r="C63" s="113" t="s">
        <v>1082</v>
      </c>
      <c r="D63" s="112" t="s">
        <v>1030</v>
      </c>
      <c r="E63" s="52"/>
      <c r="F63" s="53"/>
      <c r="G63" s="53"/>
      <c r="H63" s="52"/>
      <c r="I63" s="52"/>
      <c r="J63" s="54"/>
      <c r="K63" s="54"/>
      <c r="L63" s="55" t="str">
        <f t="shared" si="112"/>
        <v xml:space="preserve">            { line: "MALTRATADO,, (Do,,10)", sC: "as"},</v>
      </c>
      <c r="M63" s="56" t="str">
        <f t="shared" si="113"/>
        <v>(</v>
      </c>
      <c r="N63" s="57" t="str">
        <f t="shared" si="2"/>
        <v>Do</v>
      </c>
      <c r="O63" s="58" t="str">
        <f t="shared" si="114"/>
        <v>,</v>
      </c>
      <c r="P63" s="59" t="str">
        <f t="shared" si="4"/>
        <v/>
      </c>
      <c r="Q63" s="60" t="str">
        <f t="shared" si="115"/>
        <v>,</v>
      </c>
      <c r="R63" s="61">
        <f t="shared" si="28"/>
        <v>10</v>
      </c>
      <c r="S63" s="56" t="str">
        <f t="shared" si="116"/>
        <v>)</v>
      </c>
      <c r="T63" s="62" t="str">
        <f t="shared" si="117"/>
        <v/>
      </c>
      <c r="U63" s="63" t="str">
        <f t="shared" si="8"/>
        <v/>
      </c>
      <c r="V63" s="64" t="str">
        <f t="shared" si="118"/>
        <v/>
      </c>
      <c r="W63" s="65" t="str">
        <f t="shared" si="10"/>
        <v/>
      </c>
      <c r="X63" s="64" t="str">
        <f t="shared" si="119"/>
        <v/>
      </c>
      <c r="Y63" s="64" t="str">
        <f t="shared" si="120"/>
        <v/>
      </c>
      <c r="Z63" s="56" t="str">
        <f t="shared" si="121"/>
        <v/>
      </c>
      <c r="AA63" s="66" t="str">
        <f t="shared" si="122"/>
        <v/>
      </c>
      <c r="AB63" s="57" t="str">
        <f t="shared" si="15"/>
        <v/>
      </c>
      <c r="AC63" s="67" t="str">
        <f t="shared" si="123"/>
        <v/>
      </c>
      <c r="AD63" s="59" t="str">
        <f t="shared" si="124"/>
        <v/>
      </c>
      <c r="AE63" s="68" t="str">
        <f t="shared" si="125"/>
        <v/>
      </c>
      <c r="AF63" s="61" t="str">
        <f t="shared" si="126"/>
        <v/>
      </c>
      <c r="AG63" s="61" t="str">
        <f t="shared" si="127"/>
        <v/>
      </c>
      <c r="AH63" s="69" t="str">
        <f t="shared" si="128"/>
        <v/>
      </c>
      <c r="AI63" s="70" t="str">
        <f t="shared" si="22"/>
        <v/>
      </c>
      <c r="AJ63" s="64" t="str">
        <f t="shared" si="129"/>
        <v/>
      </c>
      <c r="AK63" s="64" t="str">
        <f t="shared" si="130"/>
        <v/>
      </c>
      <c r="AL63" s="64" t="str">
        <f t="shared" si="131"/>
        <v/>
      </c>
      <c r="AM63" s="64" t="str">
        <f t="shared" si="132"/>
        <v/>
      </c>
      <c r="AN63" s="64" t="str">
        <f t="shared" si="133"/>
        <v/>
      </c>
    </row>
    <row r="64" spans="1:40" ht="24.5" thickTop="1" thickBot="1" x14ac:dyDescent="0.55000000000000004">
      <c r="B64" t="s">
        <v>999</v>
      </c>
      <c r="C64" s="113" t="s">
        <v>1083</v>
      </c>
      <c r="D64" s="112" t="s">
        <v>1013</v>
      </c>
      <c r="E64" s="52" t="s">
        <v>1012</v>
      </c>
      <c r="F64" s="53"/>
      <c r="G64" s="53"/>
      <c r="H64" s="52"/>
      <c r="I64" s="52"/>
      <c r="J64" s="54"/>
      <c r="K64" s="54"/>
      <c r="L64" s="55" t="str">
        <f t="shared" si="112"/>
        <v xml:space="preserve">            { line: "MAS ÉL SE SOMETIÓ,, (La,m,20)", sC: "as"},</v>
      </c>
      <c r="M64" s="56" t="str">
        <f t="shared" si="113"/>
        <v>(</v>
      </c>
      <c r="N64" s="57" t="str">
        <f t="shared" si="2"/>
        <v>La</v>
      </c>
      <c r="O64" s="58" t="str">
        <f t="shared" si="114"/>
        <v>,</v>
      </c>
      <c r="P64" s="59" t="str">
        <f t="shared" si="4"/>
        <v>m</v>
      </c>
      <c r="Q64" s="60" t="str">
        <f t="shared" si="115"/>
        <v>,</v>
      </c>
      <c r="R64" s="61">
        <f t="shared" si="28"/>
        <v>20</v>
      </c>
      <c r="S64" s="56" t="str">
        <f t="shared" si="116"/>
        <v>)</v>
      </c>
      <c r="T64" s="62" t="str">
        <f t="shared" si="117"/>
        <v/>
      </c>
      <c r="U64" s="63" t="str">
        <f t="shared" si="8"/>
        <v/>
      </c>
      <c r="V64" s="64" t="str">
        <f t="shared" si="118"/>
        <v/>
      </c>
      <c r="W64" s="65" t="str">
        <f t="shared" si="10"/>
        <v/>
      </c>
      <c r="X64" s="64" t="str">
        <f t="shared" si="119"/>
        <v/>
      </c>
      <c r="Y64" s="64" t="str">
        <f t="shared" si="120"/>
        <v/>
      </c>
      <c r="Z64" s="56" t="str">
        <f t="shared" si="121"/>
        <v/>
      </c>
      <c r="AA64" s="66" t="str">
        <f t="shared" si="122"/>
        <v/>
      </c>
      <c r="AB64" s="57" t="str">
        <f t="shared" si="15"/>
        <v/>
      </c>
      <c r="AC64" s="67" t="str">
        <f t="shared" si="123"/>
        <v/>
      </c>
      <c r="AD64" s="59" t="str">
        <f t="shared" si="124"/>
        <v/>
      </c>
      <c r="AE64" s="68" t="str">
        <f t="shared" si="125"/>
        <v/>
      </c>
      <c r="AF64" s="61" t="str">
        <f t="shared" si="126"/>
        <v/>
      </c>
      <c r="AG64" s="61" t="str">
        <f t="shared" si="127"/>
        <v/>
      </c>
      <c r="AH64" s="69" t="str">
        <f t="shared" si="128"/>
        <v/>
      </c>
      <c r="AI64" s="70" t="str">
        <f t="shared" si="22"/>
        <v/>
      </c>
      <c r="AJ64" s="64" t="str">
        <f t="shared" si="129"/>
        <v/>
      </c>
      <c r="AK64" s="64" t="str">
        <f t="shared" si="130"/>
        <v/>
      </c>
      <c r="AL64" s="64" t="str">
        <f t="shared" si="131"/>
        <v/>
      </c>
      <c r="AM64" s="64" t="str">
        <f t="shared" si="132"/>
        <v/>
      </c>
      <c r="AN64" s="64" t="str">
        <f t="shared" si="133"/>
        <v/>
      </c>
    </row>
    <row r="65" spans="1:40" ht="24.5" thickTop="1" thickBot="1" x14ac:dyDescent="0.55000000000000004">
      <c r="B65" t="s">
        <v>999</v>
      </c>
      <c r="C65" s="113" t="s">
        <v>1084</v>
      </c>
      <c r="D65" s="112" t="s">
        <v>1030</v>
      </c>
      <c r="E65" s="52"/>
      <c r="F65" s="53"/>
      <c r="G65" s="53"/>
      <c r="H65" s="52"/>
      <c r="I65" s="52"/>
      <c r="J65" s="54"/>
      <c r="K65" s="54"/>
      <c r="L65" s="55" t="str">
        <f t="shared" si="112"/>
        <v xml:space="preserve">            { line: "NO ABRIÓ LA BOCA,, (Do,,10)", sC: "as"},</v>
      </c>
      <c r="M65" s="56" t="str">
        <f t="shared" si="113"/>
        <v>(</v>
      </c>
      <c r="N65" s="57" t="str">
        <f t="shared" si="2"/>
        <v>Do</v>
      </c>
      <c r="O65" s="58" t="str">
        <f t="shared" si="114"/>
        <v>,</v>
      </c>
      <c r="P65" s="59" t="str">
        <f t="shared" si="4"/>
        <v/>
      </c>
      <c r="Q65" s="60" t="str">
        <f t="shared" si="115"/>
        <v>,</v>
      </c>
      <c r="R65" s="61">
        <f t="shared" si="28"/>
        <v>10</v>
      </c>
      <c r="S65" s="56" t="str">
        <f t="shared" si="116"/>
        <v>)</v>
      </c>
      <c r="T65" s="62" t="str">
        <f t="shared" si="117"/>
        <v/>
      </c>
      <c r="U65" s="63" t="str">
        <f t="shared" si="8"/>
        <v/>
      </c>
      <c r="V65" s="64" t="str">
        <f t="shared" si="118"/>
        <v/>
      </c>
      <c r="W65" s="65" t="str">
        <f t="shared" si="10"/>
        <v/>
      </c>
      <c r="X65" s="64" t="str">
        <f t="shared" si="119"/>
        <v/>
      </c>
      <c r="Y65" s="64" t="str">
        <f t="shared" si="120"/>
        <v/>
      </c>
      <c r="Z65" s="56" t="str">
        <f t="shared" si="121"/>
        <v/>
      </c>
      <c r="AA65" s="66" t="str">
        <f t="shared" si="122"/>
        <v/>
      </c>
      <c r="AB65" s="57" t="str">
        <f t="shared" si="15"/>
        <v/>
      </c>
      <c r="AC65" s="67" t="str">
        <f t="shared" si="123"/>
        <v/>
      </c>
      <c r="AD65" s="59" t="str">
        <f t="shared" si="124"/>
        <v/>
      </c>
      <c r="AE65" s="68" t="str">
        <f t="shared" si="125"/>
        <v/>
      </c>
      <c r="AF65" s="61" t="str">
        <f t="shared" si="126"/>
        <v/>
      </c>
      <c r="AG65" s="61" t="str">
        <f t="shared" si="127"/>
        <v/>
      </c>
      <c r="AH65" s="69" t="str">
        <f t="shared" si="128"/>
        <v/>
      </c>
      <c r="AI65" s="70" t="str">
        <f t="shared" si="22"/>
        <v/>
      </c>
      <c r="AJ65" s="64" t="str">
        <f t="shared" si="129"/>
        <v/>
      </c>
      <c r="AK65" s="64" t="str">
        <f t="shared" si="130"/>
        <v/>
      </c>
      <c r="AL65" s="64" t="str">
        <f t="shared" si="131"/>
        <v/>
      </c>
      <c r="AM65" s="64" t="str">
        <f t="shared" si="132"/>
        <v/>
      </c>
      <c r="AN65" s="64" t="str">
        <f t="shared" si="133"/>
        <v/>
      </c>
    </row>
    <row r="66" spans="1:40" ht="24.5" thickTop="1" thickBot="1" x14ac:dyDescent="0.55000000000000004">
      <c r="B66" t="s">
        <v>999</v>
      </c>
      <c r="C66" s="113" t="s">
        <v>1085</v>
      </c>
      <c r="D66" s="112" t="s">
        <v>1013</v>
      </c>
      <c r="E66" s="52" t="s">
        <v>1012</v>
      </c>
      <c r="F66" s="53"/>
      <c r="G66" s="53"/>
      <c r="H66" s="52"/>
      <c r="I66" s="52"/>
      <c r="J66" s="54"/>
      <c r="K66" s="54"/>
      <c r="L66" s="55" t="str">
        <f t="shared" si="112"/>
        <v xml:space="preserve">            { line: "COMO CORDERO LLEVADO AL MATADERO., (La,m,20)", sC: "as"},</v>
      </c>
      <c r="M66" s="56" t="str">
        <f t="shared" si="113"/>
        <v>(</v>
      </c>
      <c r="N66" s="57" t="str">
        <f t="shared" si="2"/>
        <v>La</v>
      </c>
      <c r="O66" s="58" t="str">
        <f t="shared" si="114"/>
        <v>,</v>
      </c>
      <c r="P66" s="59" t="str">
        <f t="shared" si="4"/>
        <v>m</v>
      </c>
      <c r="Q66" s="60" t="str">
        <f t="shared" si="115"/>
        <v>,</v>
      </c>
      <c r="R66" s="61">
        <f t="shared" si="28"/>
        <v>20</v>
      </c>
      <c r="S66" s="56" t="str">
        <f t="shared" si="116"/>
        <v>)</v>
      </c>
      <c r="T66" s="62" t="str">
        <f t="shared" si="117"/>
        <v/>
      </c>
      <c r="U66" s="63" t="str">
        <f t="shared" si="8"/>
        <v/>
      </c>
      <c r="V66" s="64" t="str">
        <f t="shared" si="118"/>
        <v/>
      </c>
      <c r="W66" s="65" t="str">
        <f t="shared" si="10"/>
        <v/>
      </c>
      <c r="X66" s="64" t="str">
        <f t="shared" si="119"/>
        <v/>
      </c>
      <c r="Y66" s="64" t="str">
        <f t="shared" si="120"/>
        <v/>
      </c>
      <c r="Z66" s="56" t="str">
        <f t="shared" si="121"/>
        <v/>
      </c>
      <c r="AA66" s="66" t="str">
        <f t="shared" si="122"/>
        <v/>
      </c>
      <c r="AB66" s="57" t="str">
        <f t="shared" si="15"/>
        <v/>
      </c>
      <c r="AC66" s="67" t="str">
        <f t="shared" si="123"/>
        <v/>
      </c>
      <c r="AD66" s="59" t="str">
        <f t="shared" si="124"/>
        <v/>
      </c>
      <c r="AE66" s="68" t="str">
        <f t="shared" si="125"/>
        <v/>
      </c>
      <c r="AF66" s="61" t="str">
        <f t="shared" si="126"/>
        <v/>
      </c>
      <c r="AG66" s="61" t="str">
        <f t="shared" si="127"/>
        <v/>
      </c>
      <c r="AH66" s="69" t="str">
        <f t="shared" si="128"/>
        <v/>
      </c>
      <c r="AI66" s="70" t="str">
        <f t="shared" si="22"/>
        <v/>
      </c>
      <c r="AJ66" s="64" t="str">
        <f t="shared" si="129"/>
        <v/>
      </c>
      <c r="AK66" s="64" t="str">
        <f t="shared" si="130"/>
        <v/>
      </c>
      <c r="AL66" s="64" t="str">
        <f t="shared" si="131"/>
        <v/>
      </c>
      <c r="AM66" s="64" t="str">
        <f t="shared" si="132"/>
        <v/>
      </c>
      <c r="AN66" s="64" t="str">
        <f t="shared" si="133"/>
        <v/>
      </c>
    </row>
    <row r="67" spans="1:40" ht="26.5" thickTop="1" thickBot="1" x14ac:dyDescent="0.55000000000000004">
      <c r="A67" s="73"/>
      <c r="B67" s="73"/>
      <c r="C67" s="73"/>
      <c r="D67" s="74"/>
      <c r="E67" s="74"/>
      <c r="F67" s="74"/>
      <c r="G67" s="74"/>
      <c r="H67" s="74"/>
      <c r="I67" s="74"/>
      <c r="J67" s="74"/>
      <c r="K67" s="74"/>
      <c r="L67" s="75" t="s">
        <v>993</v>
      </c>
      <c r="M67" s="56"/>
      <c r="N67" s="57"/>
      <c r="O67" s="58"/>
      <c r="P67" s="59"/>
      <c r="Q67" s="60"/>
      <c r="R67" s="61" t="str">
        <f t="shared" si="28"/>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thickTop="1" thickBot="1" x14ac:dyDescent="0.55000000000000004">
      <c r="C68" s="79" t="s">
        <v>995</v>
      </c>
      <c r="D68" s="80"/>
      <c r="E68" s="80"/>
      <c r="F68" s="80"/>
      <c r="G68" s="80"/>
      <c r="H68" s="80"/>
      <c r="I68" s="80"/>
      <c r="J68" s="80"/>
      <c r="K68" s="80"/>
      <c r="L68" s="81" t="s">
        <v>996</v>
      </c>
      <c r="M68" s="56" t="str">
        <f t="shared" ref="M68:M72" si="134">IF(N68="","","(")</f>
        <v/>
      </c>
      <c r="N68" s="57" t="str">
        <f t="shared" ref="N68:N72" si="135">IF(D68="","",D68)</f>
        <v/>
      </c>
      <c r="O68" s="58" t="str">
        <f t="shared" ref="O68:O72" si="136">IF(N68="","",",")</f>
        <v/>
      </c>
      <c r="P68" s="59" t="str">
        <f t="shared" ref="P68:P72" si="137">IF(E68="","",E68)</f>
        <v/>
      </c>
      <c r="Q68" s="60" t="str">
        <f t="shared" ref="Q68:Q72" si="138">IF(N68="","",",")</f>
        <v/>
      </c>
      <c r="R68" s="61" t="str">
        <f t="shared" si="28"/>
        <v/>
      </c>
      <c r="S68" s="56" t="str">
        <f t="shared" ref="S68:S72" si="139">IF(N68="","",")")</f>
        <v/>
      </c>
      <c r="T68" s="62" t="str">
        <f t="shared" ref="T68:T72" si="140">IF(U68="","","(")</f>
        <v/>
      </c>
      <c r="U68" s="63" t="str">
        <f t="shared" ref="U68:U72" si="141">IF(F68="","",F68)</f>
        <v/>
      </c>
      <c r="V68" s="64" t="str">
        <f t="shared" ref="V68:V72" si="142">IF(U68="","",",")</f>
        <v/>
      </c>
      <c r="W68" s="65" t="str">
        <f t="shared" ref="W68:W72" si="143">IF(G68="","",G68)</f>
        <v/>
      </c>
      <c r="X68" s="64" t="str">
        <f t="shared" ref="X68:X72" si="144">IF(U68="","",",")</f>
        <v/>
      </c>
      <c r="Y68" s="64" t="str">
        <f t="shared" ref="Y68:Y72" si="145">IF(U68="","",250)</f>
        <v/>
      </c>
      <c r="Z68" s="56" t="str">
        <f t="shared" ref="Z68:Z72" si="146">IF(U68="","",")")</f>
        <v/>
      </c>
      <c r="AA68" s="66" t="str">
        <f t="shared" ref="AA68:AA72" si="147">IF(AB68="","","(")</f>
        <v/>
      </c>
      <c r="AB68" s="57" t="str">
        <f t="shared" ref="AB68:AB72" si="148">IF(H68="","",H68)</f>
        <v/>
      </c>
      <c r="AC68" s="67" t="str">
        <f t="shared" ref="AC68:AC72" si="149">IF(AB68="","",",")</f>
        <v/>
      </c>
      <c r="AD68" s="59" t="str">
        <f t="shared" ref="AD68:AD72" si="150">IF(I68="","",I68)</f>
        <v/>
      </c>
      <c r="AE68" s="68" t="str">
        <f t="shared" ref="AE68:AE72" si="151">IF(AB68="","",",")</f>
        <v/>
      </c>
      <c r="AF68" s="61" t="str">
        <f t="shared" ref="AF68:AF72" si="152">IF(AB68="","",350)</f>
        <v/>
      </c>
      <c r="AG68" s="61" t="str">
        <f t="shared" ref="AG68:AG72" si="153">IF(AB68="","",")")</f>
        <v/>
      </c>
      <c r="AH68" s="69" t="str">
        <f t="shared" ref="AH68:AH72" si="154">IF(AI68="","","(")</f>
        <v/>
      </c>
      <c r="AI68" s="70" t="str">
        <f t="shared" ref="AI68:AI72" si="155">IF(J68="","",J68)</f>
        <v/>
      </c>
      <c r="AJ68" s="64" t="str">
        <f t="shared" ref="AJ68:AJ72" si="156">IF(AI68="","",",")</f>
        <v/>
      </c>
      <c r="AK68" s="64" t="str">
        <f t="shared" ref="AK68:AK72" si="157">IF(K68="","",K68)</f>
        <v/>
      </c>
      <c r="AL68" s="64" t="str">
        <f t="shared" ref="AL68:AL72" si="158">IF(AI68="","",",")</f>
        <v/>
      </c>
      <c r="AM68" s="64" t="str">
        <f t="shared" ref="AM68:AM72" si="159">IF(AI68="","",450)</f>
        <v/>
      </c>
      <c r="AN68" s="64" t="str">
        <f t="shared" ref="AN68:AN72" si="160">IF(AI68="","",")")</f>
        <v/>
      </c>
    </row>
    <row r="69" spans="1:40" ht="24.5" thickTop="1" thickBot="1" x14ac:dyDescent="0.55000000000000004">
      <c r="B69" t="s">
        <v>997</v>
      </c>
      <c r="C69" s="82" t="s">
        <v>1074</v>
      </c>
      <c r="D69" s="83" t="s">
        <v>1030</v>
      </c>
      <c r="E69" s="83"/>
      <c r="F69" s="83"/>
      <c r="G69" s="83"/>
      <c r="H69" s="83"/>
      <c r="I69" s="83"/>
      <c r="J69" s="83"/>
      <c r="K69" s="83"/>
      <c r="L69" s="84" t="str">
        <f>IF(C69="","",_xlfn.CONCAT("       triggerLine: ","""",C69,", ",M69:AN69,""", sC: ","""",B69,""", lines: ["))</f>
        <v xml:space="preserve">       triggerLine: "ANTE QUIEN SE VUELVE EL ROSTRO,, (Do,,10)", sC: "ta as", lines: [</v>
      </c>
      <c r="M69" s="56" t="str">
        <f t="shared" si="134"/>
        <v>(</v>
      </c>
      <c r="N69" s="57" t="str">
        <f t="shared" si="135"/>
        <v>Do</v>
      </c>
      <c r="O69" s="58" t="str">
        <f t="shared" si="136"/>
        <v>,</v>
      </c>
      <c r="P69" s="59" t="str">
        <f t="shared" si="137"/>
        <v/>
      </c>
      <c r="Q69" s="60" t="str">
        <f t="shared" si="138"/>
        <v>,</v>
      </c>
      <c r="R69" s="61">
        <f t="shared" si="28"/>
        <v>10</v>
      </c>
      <c r="S69" s="56" t="str">
        <f t="shared" si="139"/>
        <v>)</v>
      </c>
      <c r="T69" s="62" t="str">
        <f t="shared" si="140"/>
        <v/>
      </c>
      <c r="U69" s="63" t="str">
        <f t="shared" si="141"/>
        <v/>
      </c>
      <c r="V69" s="64" t="str">
        <f t="shared" si="142"/>
        <v/>
      </c>
      <c r="W69" s="65" t="str">
        <f t="shared" si="143"/>
        <v/>
      </c>
      <c r="X69" s="64" t="str">
        <f t="shared" si="144"/>
        <v/>
      </c>
      <c r="Y69" s="64" t="str">
        <f t="shared" si="145"/>
        <v/>
      </c>
      <c r="Z69" s="56" t="str">
        <f t="shared" si="146"/>
        <v/>
      </c>
      <c r="AA69" s="66" t="str">
        <f t="shared" si="147"/>
        <v/>
      </c>
      <c r="AB69" s="57" t="str">
        <f t="shared" si="148"/>
        <v/>
      </c>
      <c r="AC69" s="67" t="str">
        <f t="shared" si="149"/>
        <v/>
      </c>
      <c r="AD69" s="59" t="str">
        <f t="shared" si="150"/>
        <v/>
      </c>
      <c r="AE69" s="68" t="str">
        <f t="shared" si="151"/>
        <v/>
      </c>
      <c r="AF69" s="61" t="str">
        <f t="shared" si="152"/>
        <v/>
      </c>
      <c r="AG69" s="61" t="str">
        <f t="shared" si="153"/>
        <v/>
      </c>
      <c r="AH69" s="69" t="str">
        <f t="shared" si="154"/>
        <v/>
      </c>
      <c r="AI69" s="70" t="str">
        <f t="shared" si="155"/>
        <v/>
      </c>
      <c r="AJ69" s="64" t="str">
        <f t="shared" si="156"/>
        <v/>
      </c>
      <c r="AK69" s="64" t="str">
        <f t="shared" si="157"/>
        <v/>
      </c>
      <c r="AL69" s="64" t="str">
        <f t="shared" si="158"/>
        <v/>
      </c>
      <c r="AM69" s="64" t="str">
        <f t="shared" si="159"/>
        <v/>
      </c>
      <c r="AN69" s="64" t="str">
        <f t="shared" si="160"/>
        <v/>
      </c>
    </row>
    <row r="70" spans="1:40" ht="24.5" thickTop="1" thickBot="1" x14ac:dyDescent="0.55000000000000004">
      <c r="B70" t="s">
        <v>999</v>
      </c>
      <c r="C70" s="85" t="s">
        <v>1074</v>
      </c>
      <c r="D70" s="86" t="s">
        <v>1013</v>
      </c>
      <c r="E70" s="86" t="s">
        <v>1012</v>
      </c>
      <c r="F70" s="86"/>
      <c r="G70" s="86"/>
      <c r="H70" s="87"/>
      <c r="I70" s="87"/>
      <c r="J70" s="87"/>
      <c r="K70" s="87"/>
      <c r="L70" s="88" t="str">
        <f>IF(C70="","",_xlfn.CONCAT("            { line: ","""",C70,", ",M70:AN70,""", sC: ","""",B70,"""},"))</f>
        <v xml:space="preserve">            { line: "ANTE QUIEN SE VUELVE EL ROSTRO,, (La,m,20)", sC: "as"},</v>
      </c>
      <c r="M70" s="56" t="str">
        <f t="shared" si="134"/>
        <v>(</v>
      </c>
      <c r="N70" s="57" t="str">
        <f t="shared" si="135"/>
        <v>La</v>
      </c>
      <c r="O70" s="58" t="str">
        <f t="shared" si="136"/>
        <v>,</v>
      </c>
      <c r="P70" s="59" t="str">
        <f t="shared" si="137"/>
        <v>m</v>
      </c>
      <c r="Q70" s="60" t="str">
        <f t="shared" si="138"/>
        <v>,</v>
      </c>
      <c r="R70" s="61">
        <f t="shared" si="28"/>
        <v>20</v>
      </c>
      <c r="S70" s="56" t="str">
        <f t="shared" si="139"/>
        <v>)</v>
      </c>
      <c r="T70" s="62" t="str">
        <f t="shared" si="140"/>
        <v/>
      </c>
      <c r="U70" s="63" t="str">
        <f t="shared" si="141"/>
        <v/>
      </c>
      <c r="V70" s="64" t="str">
        <f t="shared" si="142"/>
        <v/>
      </c>
      <c r="W70" s="65" t="str">
        <f t="shared" si="143"/>
        <v/>
      </c>
      <c r="X70" s="64" t="str">
        <f t="shared" si="144"/>
        <v/>
      </c>
      <c r="Y70" s="64" t="str">
        <f t="shared" si="145"/>
        <v/>
      </c>
      <c r="Z70" s="56" t="str">
        <f t="shared" si="146"/>
        <v/>
      </c>
      <c r="AA70" s="66" t="str">
        <f t="shared" si="147"/>
        <v/>
      </c>
      <c r="AB70" s="57" t="str">
        <f t="shared" si="148"/>
        <v/>
      </c>
      <c r="AC70" s="67" t="str">
        <f t="shared" si="149"/>
        <v/>
      </c>
      <c r="AD70" s="59" t="str">
        <f t="shared" si="150"/>
        <v/>
      </c>
      <c r="AE70" s="68" t="str">
        <f t="shared" si="151"/>
        <v/>
      </c>
      <c r="AF70" s="61" t="str">
        <f t="shared" si="152"/>
        <v/>
      </c>
      <c r="AG70" s="61" t="str">
        <f t="shared" si="153"/>
        <v/>
      </c>
      <c r="AH70" s="69" t="str">
        <f t="shared" si="154"/>
        <v/>
      </c>
      <c r="AI70" s="70" t="str">
        <f t="shared" si="155"/>
        <v/>
      </c>
      <c r="AJ70" s="64" t="str">
        <f t="shared" si="156"/>
        <v/>
      </c>
      <c r="AK70" s="64" t="str">
        <f t="shared" si="157"/>
        <v/>
      </c>
      <c r="AL70" s="64" t="str">
        <f t="shared" si="158"/>
        <v/>
      </c>
      <c r="AM70" s="64" t="str">
        <f t="shared" si="159"/>
        <v/>
      </c>
      <c r="AN70" s="64" t="str">
        <f t="shared" si="160"/>
        <v/>
      </c>
    </row>
    <row r="71" spans="1:40" ht="24.5" thickTop="1" thickBot="1" x14ac:dyDescent="0.55000000000000004">
      <c r="B71" t="s">
        <v>999</v>
      </c>
      <c r="C71" s="85" t="s">
        <v>1074</v>
      </c>
      <c r="D71" s="89" t="s">
        <v>1068</v>
      </c>
      <c r="E71" s="89"/>
      <c r="F71" s="89"/>
      <c r="G71" s="89"/>
      <c r="H71" s="90"/>
      <c r="I71" s="90"/>
      <c r="J71" s="90"/>
      <c r="K71" s="90"/>
      <c r="L71" s="88" t="str">
        <f>IF(C71="","",_xlfn.CONCAT("            { line: ","""",C71,", ",M71:AN71,""", sC: ","""",B71,"""},"))</f>
        <v xml:space="preserve">            { line: "ANTE QUIEN SE VUELVE EL ROSTRO,, (Sol7,,)", sC: "as"},</v>
      </c>
      <c r="M71" s="56" t="str">
        <f t="shared" si="134"/>
        <v>(</v>
      </c>
      <c r="N71" s="57" t="str">
        <f t="shared" si="135"/>
        <v>Sol7</v>
      </c>
      <c r="O71" s="58" t="str">
        <f t="shared" si="136"/>
        <v>,</v>
      </c>
      <c r="P71" s="59" t="str">
        <f t="shared" si="137"/>
        <v/>
      </c>
      <c r="Q71" s="60" t="str">
        <f t="shared" si="138"/>
        <v>,</v>
      </c>
      <c r="R71" s="61" t="str">
        <f t="shared" si="28"/>
        <v/>
      </c>
      <c r="S71" s="56" t="str">
        <f t="shared" si="139"/>
        <v>)</v>
      </c>
      <c r="T71" s="62" t="str">
        <f t="shared" si="140"/>
        <v/>
      </c>
      <c r="U71" s="63" t="str">
        <f t="shared" si="141"/>
        <v/>
      </c>
      <c r="V71" s="64" t="str">
        <f t="shared" si="142"/>
        <v/>
      </c>
      <c r="W71" s="65" t="str">
        <f t="shared" si="143"/>
        <v/>
      </c>
      <c r="X71" s="64" t="str">
        <f t="shared" si="144"/>
        <v/>
      </c>
      <c r="Y71" s="64" t="str">
        <f t="shared" si="145"/>
        <v/>
      </c>
      <c r="Z71" s="56" t="str">
        <f t="shared" si="146"/>
        <v/>
      </c>
      <c r="AA71" s="66" t="str">
        <f t="shared" si="147"/>
        <v/>
      </c>
      <c r="AB71" s="57" t="str">
        <f t="shared" si="148"/>
        <v/>
      </c>
      <c r="AC71" s="67" t="str">
        <f t="shared" si="149"/>
        <v/>
      </c>
      <c r="AD71" s="59" t="str">
        <f t="shared" si="150"/>
        <v/>
      </c>
      <c r="AE71" s="68" t="str">
        <f t="shared" si="151"/>
        <v/>
      </c>
      <c r="AF71" s="61" t="str">
        <f t="shared" si="152"/>
        <v/>
      </c>
      <c r="AG71" s="61" t="str">
        <f t="shared" si="153"/>
        <v/>
      </c>
      <c r="AH71" s="69" t="str">
        <f t="shared" si="154"/>
        <v/>
      </c>
      <c r="AI71" s="70" t="str">
        <f t="shared" si="155"/>
        <v/>
      </c>
      <c r="AJ71" s="64" t="str">
        <f t="shared" si="156"/>
        <v/>
      </c>
      <c r="AK71" s="64" t="str">
        <f t="shared" si="157"/>
        <v/>
      </c>
      <c r="AL71" s="64" t="str">
        <f t="shared" si="158"/>
        <v/>
      </c>
      <c r="AM71" s="64" t="str">
        <f t="shared" si="159"/>
        <v/>
      </c>
      <c r="AN71" s="64" t="str">
        <f t="shared" si="160"/>
        <v/>
      </c>
    </row>
    <row r="72" spans="1:40" ht="24.5" thickTop="1" thickBot="1" x14ac:dyDescent="0.55000000000000004">
      <c r="B72" t="s">
        <v>999</v>
      </c>
      <c r="C72" s="93" t="s">
        <v>1075</v>
      </c>
      <c r="D72" s="83" t="s">
        <v>1030</v>
      </c>
      <c r="E72" s="83"/>
      <c r="F72" s="83"/>
      <c r="G72" s="83"/>
      <c r="H72" s="83"/>
      <c r="I72" s="83"/>
      <c r="J72" s="83"/>
      <c r="K72" s="83"/>
      <c r="L72" s="94" t="str">
        <f>IF(C72="","",_xlfn.CONCAT("            { line: ","""",C72,", ",M72:AN72,""", sC: ","""",B72,"""},  ]},"))</f>
        <v xml:space="preserve">            { line: "ANTE QUIEN SE VUELVE EL ROSTRO., (Do,,10)", sC: "as"},  ]},</v>
      </c>
      <c r="M72" s="56" t="str">
        <f t="shared" si="134"/>
        <v>(</v>
      </c>
      <c r="N72" s="57" t="str">
        <f t="shared" si="135"/>
        <v>Do</v>
      </c>
      <c r="O72" s="58" t="str">
        <f t="shared" si="136"/>
        <v>,</v>
      </c>
      <c r="P72" s="59" t="str">
        <f t="shared" si="137"/>
        <v/>
      </c>
      <c r="Q72" s="60" t="str">
        <f t="shared" si="138"/>
        <v>,</v>
      </c>
      <c r="R72" s="61">
        <f t="shared" si="28"/>
        <v>10</v>
      </c>
      <c r="S72" s="56" t="str">
        <f t="shared" si="139"/>
        <v>)</v>
      </c>
      <c r="T72" s="62" t="str">
        <f t="shared" si="140"/>
        <v/>
      </c>
      <c r="U72" s="63" t="str">
        <f t="shared" si="141"/>
        <v/>
      </c>
      <c r="V72" s="64" t="str">
        <f t="shared" si="142"/>
        <v/>
      </c>
      <c r="W72" s="65" t="str">
        <f t="shared" si="143"/>
        <v/>
      </c>
      <c r="X72" s="64" t="str">
        <f t="shared" si="144"/>
        <v/>
      </c>
      <c r="Y72" s="64" t="str">
        <f t="shared" si="145"/>
        <v/>
      </c>
      <c r="Z72" s="56" t="str">
        <f t="shared" si="146"/>
        <v/>
      </c>
      <c r="AA72" s="66" t="str">
        <f t="shared" si="147"/>
        <v/>
      </c>
      <c r="AB72" s="57" t="str">
        <f t="shared" si="148"/>
        <v/>
      </c>
      <c r="AC72" s="67" t="str">
        <f t="shared" si="149"/>
        <v/>
      </c>
      <c r="AD72" s="59" t="str">
        <f t="shared" si="150"/>
        <v/>
      </c>
      <c r="AE72" s="68" t="str">
        <f t="shared" si="151"/>
        <v/>
      </c>
      <c r="AF72" s="61" t="str">
        <f t="shared" si="152"/>
        <v/>
      </c>
      <c r="AG72" s="61" t="str">
        <f t="shared" si="153"/>
        <v/>
      </c>
      <c r="AH72" s="69" t="str">
        <f t="shared" si="154"/>
        <v/>
      </c>
      <c r="AI72" s="70" t="str">
        <f t="shared" si="155"/>
        <v/>
      </c>
      <c r="AJ72" s="64" t="str">
        <f t="shared" si="156"/>
        <v/>
      </c>
      <c r="AK72" s="64" t="str">
        <f t="shared" si="157"/>
        <v/>
      </c>
      <c r="AL72" s="64" t="str">
        <f t="shared" si="158"/>
        <v/>
      </c>
      <c r="AM72" s="64" t="str">
        <f t="shared" si="159"/>
        <v/>
      </c>
      <c r="AN72" s="64" t="str">
        <f t="shared" si="160"/>
        <v/>
      </c>
    </row>
    <row r="73" spans="1:40" ht="26.5" thickTop="1" thickBot="1" x14ac:dyDescent="0.55000000000000004">
      <c r="A73" s="73"/>
      <c r="B73" s="73"/>
      <c r="C73" s="73"/>
      <c r="D73" s="74"/>
      <c r="E73" s="74"/>
      <c r="F73" s="74"/>
      <c r="G73" s="74"/>
      <c r="H73" s="74"/>
      <c r="I73" s="74"/>
      <c r="J73" s="74"/>
      <c r="K73" s="74"/>
      <c r="L73" s="75" t="s">
        <v>993</v>
      </c>
      <c r="M73" s="56"/>
      <c r="N73" s="57"/>
      <c r="O73" s="58"/>
      <c r="P73" s="59"/>
      <c r="Q73" s="60"/>
      <c r="R73" s="61" t="str">
        <f t="shared" si="28"/>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4.5" thickTop="1" thickBot="1" x14ac:dyDescent="0.55000000000000004">
      <c r="B74" t="s">
        <v>997</v>
      </c>
      <c r="C74" s="113" t="s">
        <v>1086</v>
      </c>
      <c r="D74" s="112" t="s">
        <v>1030</v>
      </c>
      <c r="E74" s="52"/>
      <c r="F74" s="53"/>
      <c r="G74" s="53"/>
      <c r="H74" s="52"/>
      <c r="I74" s="52"/>
      <c r="J74" s="54"/>
      <c r="K74" s="54"/>
      <c r="L74" s="55" t="str">
        <f t="shared" si="112"/>
        <v xml:space="preserve">            { line: "¡MALTRATADO!, (Do,,10)", sC: "ta as"},</v>
      </c>
      <c r="M74" s="56" t="str">
        <f t="shared" si="113"/>
        <v>(</v>
      </c>
      <c r="N74" s="57" t="str">
        <f t="shared" si="2"/>
        <v>Do</v>
      </c>
      <c r="O74" s="58" t="str">
        <f t="shared" si="114"/>
        <v>,</v>
      </c>
      <c r="P74" s="59" t="str">
        <f t="shared" si="4"/>
        <v/>
      </c>
      <c r="Q74" s="60" t="str">
        <f t="shared" si="115"/>
        <v>,</v>
      </c>
      <c r="R74" s="61">
        <f t="shared" si="28"/>
        <v>10</v>
      </c>
      <c r="S74" s="56" t="str">
        <f t="shared" si="116"/>
        <v>)</v>
      </c>
      <c r="T74" s="62" t="str">
        <f t="shared" si="117"/>
        <v/>
      </c>
      <c r="U74" s="63" t="str">
        <f t="shared" si="8"/>
        <v/>
      </c>
      <c r="V74" s="64" t="str">
        <f t="shared" si="118"/>
        <v/>
      </c>
      <c r="W74" s="65" t="str">
        <f t="shared" si="10"/>
        <v/>
      </c>
      <c r="X74" s="64" t="str">
        <f t="shared" si="119"/>
        <v/>
      </c>
      <c r="Y74" s="64" t="str">
        <f t="shared" si="120"/>
        <v/>
      </c>
      <c r="Z74" s="56" t="str">
        <f t="shared" si="121"/>
        <v/>
      </c>
      <c r="AA74" s="66" t="str">
        <f t="shared" si="122"/>
        <v/>
      </c>
      <c r="AB74" s="57" t="str">
        <f t="shared" si="15"/>
        <v/>
      </c>
      <c r="AC74" s="67" t="str">
        <f t="shared" si="123"/>
        <v/>
      </c>
      <c r="AD74" s="59" t="str">
        <f t="shared" si="124"/>
        <v/>
      </c>
      <c r="AE74" s="68" t="str">
        <f t="shared" si="125"/>
        <v/>
      </c>
      <c r="AF74" s="61" t="str">
        <f t="shared" si="126"/>
        <v/>
      </c>
      <c r="AG74" s="61" t="str">
        <f t="shared" si="127"/>
        <v/>
      </c>
      <c r="AH74" s="69" t="str">
        <f t="shared" si="128"/>
        <v/>
      </c>
      <c r="AI74" s="70" t="str">
        <f t="shared" si="22"/>
        <v/>
      </c>
      <c r="AJ74" s="64" t="str">
        <f t="shared" si="129"/>
        <v/>
      </c>
      <c r="AK74" s="64" t="str">
        <f t="shared" si="130"/>
        <v/>
      </c>
      <c r="AL74" s="64" t="str">
        <f t="shared" si="131"/>
        <v/>
      </c>
      <c r="AM74" s="64" t="str">
        <f t="shared" si="132"/>
        <v/>
      </c>
      <c r="AN74" s="64" t="str">
        <f t="shared" si="133"/>
        <v/>
      </c>
    </row>
    <row r="75" spans="1:40" ht="24.5" thickTop="1" thickBot="1" x14ac:dyDescent="0.55000000000000004">
      <c r="B75" t="s">
        <v>999</v>
      </c>
      <c r="C75" s="113" t="s">
        <v>1086</v>
      </c>
      <c r="D75" s="112"/>
      <c r="E75" s="52"/>
      <c r="F75" s="53"/>
      <c r="G75" s="53"/>
      <c r="H75" s="52"/>
      <c r="I75" s="52"/>
      <c r="J75" s="54"/>
      <c r="K75" s="54"/>
      <c r="L75" s="55" t="str">
        <f t="shared" si="112"/>
        <v xml:space="preserve">            { line: "¡MALTRATADO!, ", sC: "as"},</v>
      </c>
      <c r="M75" s="56" t="str">
        <f t="shared" si="113"/>
        <v/>
      </c>
      <c r="N75" s="57" t="str">
        <f t="shared" si="2"/>
        <v/>
      </c>
      <c r="O75" s="58" t="str">
        <f t="shared" si="114"/>
        <v/>
      </c>
      <c r="P75" s="59" t="str">
        <f t="shared" si="4"/>
        <v/>
      </c>
      <c r="Q75" s="60" t="str">
        <f t="shared" si="115"/>
        <v/>
      </c>
      <c r="R75" s="61" t="str">
        <f t="shared" si="28"/>
        <v/>
      </c>
      <c r="S75" s="56" t="str">
        <f t="shared" si="116"/>
        <v/>
      </c>
      <c r="T75" s="62" t="str">
        <f t="shared" si="117"/>
        <v/>
      </c>
      <c r="U75" s="63" t="str">
        <f t="shared" si="8"/>
        <v/>
      </c>
      <c r="V75" s="64" t="str">
        <f t="shared" si="118"/>
        <v/>
      </c>
      <c r="W75" s="65" t="str">
        <f t="shared" si="10"/>
        <v/>
      </c>
      <c r="X75" s="64" t="str">
        <f t="shared" si="119"/>
        <v/>
      </c>
      <c r="Y75" s="64" t="str">
        <f t="shared" si="120"/>
        <v/>
      </c>
      <c r="Z75" s="56" t="str">
        <f t="shared" si="121"/>
        <v/>
      </c>
      <c r="AA75" s="66" t="str">
        <f t="shared" si="122"/>
        <v/>
      </c>
      <c r="AB75" s="57" t="str">
        <f t="shared" si="15"/>
        <v/>
      </c>
      <c r="AC75" s="67" t="str">
        <f t="shared" si="123"/>
        <v/>
      </c>
      <c r="AD75" s="59" t="str">
        <f t="shared" si="124"/>
        <v/>
      </c>
      <c r="AE75" s="68" t="str">
        <f t="shared" si="125"/>
        <v/>
      </c>
      <c r="AF75" s="61" t="str">
        <f t="shared" si="126"/>
        <v/>
      </c>
      <c r="AG75" s="61" t="str">
        <f t="shared" si="127"/>
        <v/>
      </c>
      <c r="AH75" s="69" t="str">
        <f t="shared" si="128"/>
        <v/>
      </c>
      <c r="AI75" s="70" t="str">
        <f t="shared" si="22"/>
        <v/>
      </c>
      <c r="AJ75" s="64" t="str">
        <f t="shared" si="129"/>
        <v/>
      </c>
      <c r="AK75" s="64" t="str">
        <f t="shared" si="130"/>
        <v/>
      </c>
      <c r="AL75" s="64" t="str">
        <f t="shared" si="131"/>
        <v/>
      </c>
      <c r="AM75" s="64" t="str">
        <f t="shared" si="132"/>
        <v/>
      </c>
      <c r="AN75" s="64" t="str">
        <f t="shared" si="133"/>
        <v/>
      </c>
    </row>
    <row r="76" spans="1:40" ht="24.5" thickTop="1" thickBot="1" x14ac:dyDescent="0.55000000000000004">
      <c r="B76" t="s">
        <v>999</v>
      </c>
      <c r="C76" s="113" t="s">
        <v>1086</v>
      </c>
      <c r="D76" s="112"/>
      <c r="E76" s="52"/>
      <c r="F76" s="53"/>
      <c r="G76" s="53"/>
      <c r="H76" s="52"/>
      <c r="I76" s="52"/>
      <c r="J76" s="54"/>
      <c r="K76" s="54"/>
      <c r="L76" s="55" t="str">
        <f t="shared" si="112"/>
        <v xml:space="preserve">            { line: "¡MALTRATADO!, ", sC: "as"},</v>
      </c>
      <c r="M76" s="56" t="str">
        <f t="shared" si="113"/>
        <v/>
      </c>
      <c r="N76" s="57" t="str">
        <f t="shared" si="2"/>
        <v/>
      </c>
      <c r="O76" s="58" t="str">
        <f t="shared" si="114"/>
        <v/>
      </c>
      <c r="P76" s="59" t="str">
        <f t="shared" si="4"/>
        <v/>
      </c>
      <c r="Q76" s="60" t="str">
        <f t="shared" si="115"/>
        <v/>
      </c>
      <c r="R76" s="61" t="str">
        <f t="shared" si="28"/>
        <v/>
      </c>
      <c r="S76" s="56" t="str">
        <f t="shared" si="116"/>
        <v/>
      </c>
      <c r="T76" s="62" t="str">
        <f t="shared" si="117"/>
        <v/>
      </c>
      <c r="U76" s="63" t="str">
        <f t="shared" si="8"/>
        <v/>
      </c>
      <c r="V76" s="64" t="str">
        <f t="shared" si="118"/>
        <v/>
      </c>
      <c r="W76" s="65" t="str">
        <f t="shared" si="10"/>
        <v/>
      </c>
      <c r="X76" s="64" t="str">
        <f t="shared" si="119"/>
        <v/>
      </c>
      <c r="Y76" s="64" t="str">
        <f t="shared" si="120"/>
        <v/>
      </c>
      <c r="Z76" s="56" t="str">
        <f t="shared" si="121"/>
        <v/>
      </c>
      <c r="AA76" s="66" t="str">
        <f t="shared" si="122"/>
        <v/>
      </c>
      <c r="AB76" s="57" t="str">
        <f t="shared" si="15"/>
        <v/>
      </c>
      <c r="AC76" s="67" t="str">
        <f t="shared" si="123"/>
        <v/>
      </c>
      <c r="AD76" s="59" t="str">
        <f t="shared" si="124"/>
        <v/>
      </c>
      <c r="AE76" s="68" t="str">
        <f t="shared" si="125"/>
        <v/>
      </c>
      <c r="AF76" s="61" t="str">
        <f t="shared" si="126"/>
        <v/>
      </c>
      <c r="AG76" s="61" t="str">
        <f t="shared" si="127"/>
        <v/>
      </c>
      <c r="AH76" s="69" t="str">
        <f t="shared" si="128"/>
        <v/>
      </c>
      <c r="AI76" s="70" t="str">
        <f t="shared" si="22"/>
        <v/>
      </c>
      <c r="AJ76" s="64" t="str">
        <f t="shared" si="129"/>
        <v/>
      </c>
      <c r="AK76" s="64" t="str">
        <f t="shared" si="130"/>
        <v/>
      </c>
      <c r="AL76" s="64" t="str">
        <f t="shared" si="131"/>
        <v/>
      </c>
      <c r="AM76" s="64" t="str">
        <f t="shared" si="132"/>
        <v/>
      </c>
      <c r="AN76" s="64" t="str">
        <f t="shared" si="133"/>
        <v/>
      </c>
    </row>
    <row r="77" spans="1:40" ht="24" customHeight="1" thickTop="1" x14ac:dyDescent="0.6">
      <c r="A77" s="95"/>
      <c r="B77" s="95"/>
      <c r="C77" s="95"/>
      <c r="D77" s="95"/>
      <c r="E77" s="95"/>
      <c r="F77" s="95"/>
      <c r="G77" s="95"/>
      <c r="H77" s="95"/>
      <c r="I77" s="95"/>
      <c r="J77" s="95"/>
      <c r="K77" s="95"/>
      <c r="L77" s="99" t="str">
        <f ca="1">_xlfn.CONCAT("]}, // ULTIMA LINEA DEL CANTO: ",L1)</f>
        <v>]}, // ULTIMA LINEA DEL CANTO: NO HAY EN ÉL PARECER</v>
      </c>
      <c r="M77" s="95"/>
    </row>
    <row r="78" spans="1:40" ht="20.5" x14ac:dyDescent="0.35">
      <c r="L78" s="100" t="s">
        <v>1008</v>
      </c>
      <c r="M78" s="101"/>
    </row>
    <row r="79" spans="1:40" x14ac:dyDescent="0.35">
      <c r="M7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5649"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zoomScale="85" zoomScaleNormal="85" workbookViewId="0">
      <pane xSplit="2" ySplit="1" topLeftCell="C26" activePane="bottomRight" state="frozen"/>
      <selection pane="topRight" activeCell="C1" sqref="C1"/>
      <selection pane="bottomLeft" activeCell="A2" sqref="A2"/>
      <selection pane="bottomRight" activeCell="C31" sqref="C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122</v>
      </c>
      <c r="E1" s="40"/>
      <c r="F1" s="40"/>
      <c r="G1" s="40"/>
      <c r="H1" s="40"/>
      <c r="I1" s="40"/>
      <c r="J1" s="40"/>
      <c r="K1" s="40"/>
      <c r="L1" s="41" t="str">
        <f ca="1">UPPER(VLOOKUP(C1,Table223[],3,FALSE))</f>
        <v>NOLI ME TANGERE</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NOLI ME TANGERE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nolimetangere</v>
      </c>
      <c r="L7" s="48" t="str">
        <f ca="1">_xlfn.CONCAT("        id: ","""",C7,"""",",")</f>
        <v xml:space="preserve">        id: "nolimetangere",</v>
      </c>
    </row>
    <row r="8" spans="2:32" ht="23" x14ac:dyDescent="0.35">
      <c r="C8" t="str">
        <f ca="1">PROPER(L1)</f>
        <v>Noli Me Tangere</v>
      </c>
      <c r="L8" s="48" t="str">
        <f ca="1">_xlfn.CONCAT("        tt: ","""",C8,"""",",")</f>
        <v xml:space="preserve">        tt: "Noli Me Tangere",</v>
      </c>
    </row>
    <row r="9" spans="2:32" ht="23" x14ac:dyDescent="0.35">
      <c r="C9" t="str">
        <f ca="1">PROPER(L1)</f>
        <v>Noli Me Tangere</v>
      </c>
      <c r="L9" s="48" t="str">
        <f ca="1">_xlfn.CONCAT("        title: ","""",C9,"""",",")</f>
        <v xml:space="preserve">        title: "Noli Me Tangere",</v>
      </c>
    </row>
    <row r="10" spans="2:32" ht="23" x14ac:dyDescent="0.35">
      <c r="C10" t="str">
        <f ca="1">VLOOKUP(C1,Table223[],4,FALSE)</f>
        <v>Juan 20,15-17</v>
      </c>
      <c r="L10" s="48" t="str">
        <f ca="1">_xlfn.CONCAT("        ","subtitle: ","""",C10,"""",",")</f>
        <v xml:space="preserve">        subtitle: "Juan 20,15-17",</v>
      </c>
    </row>
    <row r="11" spans="2:32" ht="23" x14ac:dyDescent="0.35">
      <c r="C11" t="str">
        <f ca="1">_xlfn.CONCAT("category: [",VLOOKUP(C1,Table223[],16,FALSE),"],")</f>
        <v>category: ["Precatecumenado","Pascua","Pentecostés","Nuevo Testamento"],</v>
      </c>
      <c r="L11" s="48" t="str">
        <f ca="1">_xlfn.CONCAT("        ",C11)</f>
        <v xml:space="preserve">        category: ["Precatecumenado","Pascua","Pentecostés","Nuevo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122</v>
      </c>
      <c r="L16" s="48" t="str">
        <f ca="1">_xlfn.CONCAT("        dbno: ","""",C16,"""",",")</f>
        <v xml:space="preserve">        dbno: "122",</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nolimetangere</v>
      </c>
      <c r="L19" s="48" t="str">
        <f ca="1">_xlfn.CONCAT("        audioSrc: ","""https://audio.resucito.do/",C19,".mp3""",",")</f>
        <v xml:space="preserve">        audioSrc: "https://audio.resucito.do/nolimetangere.mp3",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121</v>
      </c>
      <c r="C26" t="str">
        <f ca="1">VLOOKUP(B26,Table4[],13,FALSE)</f>
        <v>"/src/index.html?canto=nohayenelparecer"</v>
      </c>
      <c r="L26" s="48" t="str">
        <f ca="1">_xlfn.CONCAT("        ant: ",C26,",")</f>
        <v xml:space="preserve">        ant: "/src/index.html?canto=nohayenelparecer",</v>
      </c>
    </row>
    <row r="27" spans="1:40" ht="23" x14ac:dyDescent="0.35">
      <c r="B27">
        <f ca="1">+C1+1</f>
        <v>123</v>
      </c>
      <c r="C27" t="str">
        <f ca="1">VLOOKUP(B27,Table4[],13,FALSE)</f>
        <v>"/src/index.html?canto=ohcieloslloveddeloalto"</v>
      </c>
      <c r="L27" s="48" t="str">
        <f ca="1">_xlfn.CONCAT("        sig: ",C27,",")</f>
        <v xml:space="preserve">        sig: "/src/index.html?canto=ohcieloslloveddeloalto",</v>
      </c>
    </row>
    <row r="28" spans="1:40" ht="23" x14ac:dyDescent="0.35">
      <c r="L28" s="46" t="s">
        <v>991</v>
      </c>
    </row>
    <row r="29" spans="1:40" ht="36" thickBot="1" x14ac:dyDescent="0.4">
      <c r="A29" s="49"/>
      <c r="B29" s="49"/>
      <c r="C29" s="49" t="s">
        <v>1031</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4.5" thickTop="1" thickBot="1" x14ac:dyDescent="0.550000000000000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4.5" thickTop="1" thickBot="1" x14ac:dyDescent="0.550000000000000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4.5" thickTop="1" thickBot="1" x14ac:dyDescent="0.550000000000000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4.5" thickTop="1" thickBot="1" x14ac:dyDescent="0.550000000000000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4.5" thickTop="1" thickBot="1" x14ac:dyDescent="0.550000000000000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4.5" thickTop="1" thickBot="1" x14ac:dyDescent="0.550000000000000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4.5" thickTop="1" thickBot="1" x14ac:dyDescent="0.550000000000000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4.5" thickTop="1" thickBot="1" x14ac:dyDescent="0.550000000000000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4.5" thickTop="1" thickBot="1" x14ac:dyDescent="0.550000000000000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4.5" thickTop="1" thickBot="1" x14ac:dyDescent="0.550000000000000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4.5" thickTop="1" thickBot="1" x14ac:dyDescent="0.550000000000000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4.5" thickTop="1" thickBot="1" x14ac:dyDescent="0.550000000000000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4.5" thickTop="1" thickBot="1" x14ac:dyDescent="0.550000000000000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4.5" thickTop="1" thickBot="1" x14ac:dyDescent="0.550000000000000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4.5" thickTop="1" thickBot="1" x14ac:dyDescent="0.550000000000000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4.5" thickTop="1" thickBot="1" x14ac:dyDescent="0.550000000000000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4.5" thickTop="1" thickBot="1" x14ac:dyDescent="0.550000000000000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4.5" thickTop="1" thickBot="1" x14ac:dyDescent="0.550000000000000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4.5" thickTop="1" thickBot="1" x14ac:dyDescent="0.550000000000000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4.5" thickTop="1" thickBot="1" x14ac:dyDescent="0.550000000000000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4.5" thickTop="1" thickBot="1" x14ac:dyDescent="0.550000000000000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4.5" thickTop="1" thickBot="1" x14ac:dyDescent="0.550000000000000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4.5" thickTop="1" thickBot="1" x14ac:dyDescent="0.550000000000000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4.5" thickTop="1" thickBot="1" x14ac:dyDescent="0.550000000000000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4.5" thickTop="1" thickBot="1" x14ac:dyDescent="0.550000000000000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4.5" thickTop="1" thickBot="1" x14ac:dyDescent="0.550000000000000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4.5" thickTop="1" thickBot="1" x14ac:dyDescent="0.550000000000000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4.5" thickTop="1" thickBot="1" x14ac:dyDescent="0.550000000000000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4.5" thickTop="1" thickBot="1" x14ac:dyDescent="0.550000000000000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4.5" thickTop="1" thickBot="1" x14ac:dyDescent="0.550000000000000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4.5" thickTop="1" thickBot="1" x14ac:dyDescent="0.550000000000000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5" thickTop="1" thickBot="1" x14ac:dyDescent="0.55000000000000004">
      <c r="A66" s="76"/>
      <c r="B66" s="76"/>
      <c r="C66" s="76" t="s">
        <v>1031</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4.5" thickTop="1" thickBot="1" x14ac:dyDescent="0.550000000000000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4.5" thickTop="1" thickBot="1" x14ac:dyDescent="0.550000000000000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4.5" thickTop="1" thickBot="1" x14ac:dyDescent="0.550000000000000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4.5" thickTop="1" thickBot="1" x14ac:dyDescent="0.550000000000000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4.5" thickTop="1" thickBot="1" x14ac:dyDescent="0.550000000000000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4.5" thickTop="1" thickBot="1" x14ac:dyDescent="0.550000000000000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4.5" thickTop="1" thickBot="1" x14ac:dyDescent="0.550000000000000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4.5" thickTop="1" thickBot="1" x14ac:dyDescent="0.550000000000000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4.5" thickTop="1" thickBot="1" x14ac:dyDescent="0.550000000000000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4.5" thickTop="1" thickBot="1" x14ac:dyDescent="0.550000000000000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4.5" thickTop="1" thickBot="1" x14ac:dyDescent="0.550000000000000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4.5" thickTop="1" thickBot="1" x14ac:dyDescent="0.550000000000000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4.5" thickTop="1" thickBot="1" x14ac:dyDescent="0.550000000000000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4.5" thickTop="1" thickBot="1" x14ac:dyDescent="0.550000000000000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4.5" thickTop="1" thickBot="1" x14ac:dyDescent="0.550000000000000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4.5" thickTop="1" thickBot="1" x14ac:dyDescent="0.550000000000000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4.5" thickTop="1" thickBot="1" x14ac:dyDescent="0.550000000000000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4.5" thickTop="1" thickBot="1" x14ac:dyDescent="0.550000000000000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4.5" thickTop="1" thickBot="1" x14ac:dyDescent="0.550000000000000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4.5" thickTop="1" thickBot="1" x14ac:dyDescent="0.550000000000000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4.5" thickTop="1" thickBot="1" x14ac:dyDescent="0.550000000000000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4.5" thickTop="1" thickBot="1" x14ac:dyDescent="0.550000000000000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4.5" thickTop="1" thickBot="1" x14ac:dyDescent="0.550000000000000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4.5" thickTop="1" thickBot="1" x14ac:dyDescent="0.550000000000000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4.5" thickTop="1" thickBot="1" x14ac:dyDescent="0.550000000000000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4.5" thickTop="1" thickBot="1" x14ac:dyDescent="0.550000000000000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4.5" thickTop="1" thickBot="1" x14ac:dyDescent="0.550000000000000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6">
      <c r="A94" s="95"/>
      <c r="B94" s="95"/>
      <c r="C94" s="95"/>
      <c r="D94" s="95"/>
      <c r="E94" s="95"/>
      <c r="F94" s="95"/>
      <c r="G94" s="95"/>
      <c r="H94" s="95"/>
      <c r="I94" s="95"/>
      <c r="J94" s="95"/>
      <c r="K94" s="95"/>
      <c r="L94" s="99" t="str">
        <f ca="1">_xlfn.CONCAT("]}, // ULTIMA LINEA DEL CANTO: ",L1)</f>
        <v>]}, // ULTIMA LINEA DEL CANTO: NOLI ME TANGERE</v>
      </c>
      <c r="M94" s="95"/>
    </row>
    <row r="95" spans="1:40" ht="20.5" x14ac:dyDescent="0.35">
      <c r="L95" s="100" t="s">
        <v>1008</v>
      </c>
      <c r="M95" s="101"/>
    </row>
    <row r="96" spans="1:40" ht="15" thickBot="1" x14ac:dyDescent="0.4">
      <c r="M96" s="101"/>
    </row>
    <row r="97" spans="1:40" ht="26.5" thickTop="1" thickBot="1" x14ac:dyDescent="0.55000000000000004">
      <c r="A97" s="73"/>
      <c r="B97" s="73"/>
      <c r="C97" s="73"/>
      <c r="D97" s="74"/>
      <c r="E97" s="74"/>
      <c r="F97" s="74"/>
      <c r="G97" s="74"/>
      <c r="H97" s="74"/>
      <c r="I97" s="74"/>
      <c r="J97" s="74"/>
      <c r="K97" s="74"/>
      <c r="L97" s="75" t="s">
        <v>993</v>
      </c>
      <c r="M97" s="56"/>
      <c r="N97" s="57"/>
      <c r="O97" s="58"/>
      <c r="P97" s="59"/>
      <c r="Q97" s="60"/>
      <c r="R97" s="61" t="str">
        <f t="shared" ref="R97:R106" si="164">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4.5" thickTop="1" thickBot="1" x14ac:dyDescent="0.55000000000000004">
      <c r="C98" s="79" t="s">
        <v>995</v>
      </c>
      <c r="D98" s="80"/>
      <c r="E98" s="80"/>
      <c r="F98" s="80"/>
      <c r="G98" s="80"/>
      <c r="H98" s="80"/>
      <c r="I98" s="80"/>
      <c r="J98" s="80"/>
      <c r="K98" s="80"/>
      <c r="L98" s="81" t="s">
        <v>996</v>
      </c>
      <c r="M98" s="56" t="str">
        <f t="shared" ref="M98:M105" si="165">IF(N98="","","(")</f>
        <v/>
      </c>
      <c r="N98" s="57" t="str">
        <f t="shared" ref="N98:N105" si="166">IF(D98="","",D98)</f>
        <v/>
      </c>
      <c r="O98" s="58" t="str">
        <f t="shared" ref="O98:O105" si="167">IF(N98="","",",")</f>
        <v/>
      </c>
      <c r="P98" s="59" t="str">
        <f t="shared" ref="P98:P105" si="168">IF(E98="","",E98)</f>
        <v/>
      </c>
      <c r="Q98" s="60" t="str">
        <f t="shared" ref="Q98:Q105" si="169">IF(N98="","",",")</f>
        <v/>
      </c>
      <c r="R98" s="61" t="str">
        <f t="shared" si="164"/>
        <v/>
      </c>
      <c r="S98" s="56" t="str">
        <f t="shared" ref="S98:S105" si="170">IF(N98="","",")")</f>
        <v/>
      </c>
      <c r="T98" s="62" t="str">
        <f t="shared" ref="T98:T105" si="171">IF(U98="","","(")</f>
        <v/>
      </c>
      <c r="U98" s="63" t="str">
        <f t="shared" ref="U98:U105" si="172">IF(F98="","",F98)</f>
        <v/>
      </c>
      <c r="V98" s="64" t="str">
        <f t="shared" ref="V98:V105" si="173">IF(U98="","",",")</f>
        <v/>
      </c>
      <c r="W98" s="65" t="str">
        <f t="shared" ref="W98:W105" si="174">IF(G98="","",G98)</f>
        <v/>
      </c>
      <c r="X98" s="64" t="str">
        <f t="shared" ref="X98:X105" si="175">IF(U98="","",",")</f>
        <v/>
      </c>
      <c r="Y98" s="64" t="str">
        <f t="shared" ref="Y98:Y105" si="176">IF(U98="","",250)</f>
        <v/>
      </c>
      <c r="Z98" s="56" t="str">
        <f t="shared" ref="Z98:Z105" si="177">IF(U98="","",")")</f>
        <v/>
      </c>
      <c r="AA98" s="66" t="str">
        <f t="shared" ref="AA98:AA105" si="178">IF(AB98="","","(")</f>
        <v/>
      </c>
      <c r="AB98" s="57" t="str">
        <f t="shared" ref="AB98:AB105" si="179">IF(H98="","",H98)</f>
        <v/>
      </c>
      <c r="AC98" s="67" t="str">
        <f t="shared" ref="AC98:AC105" si="180">IF(AB98="","",",")</f>
        <v/>
      </c>
      <c r="AD98" s="59" t="str">
        <f t="shared" ref="AD98:AD105" si="181">IF(I98="","",I98)</f>
        <v/>
      </c>
      <c r="AE98" s="68" t="str">
        <f t="shared" ref="AE98:AE105" si="182">IF(AB98="","",",")</f>
        <v/>
      </c>
      <c r="AF98" s="61" t="str">
        <f t="shared" ref="AF98:AF105" si="183">IF(AB98="","",350)</f>
        <v/>
      </c>
      <c r="AG98" s="61" t="str">
        <f t="shared" ref="AG98:AG105" si="184">IF(AB98="","",")")</f>
        <v/>
      </c>
      <c r="AH98" s="69" t="str">
        <f t="shared" ref="AH98:AH105" si="185">IF(AI98="","","(")</f>
        <v/>
      </c>
      <c r="AI98" s="70" t="str">
        <f t="shared" ref="AI98:AI105" si="186">IF(J98="","",J98)</f>
        <v/>
      </c>
      <c r="AJ98" s="64" t="str">
        <f t="shared" ref="AJ98:AJ105" si="187">IF(AI98="","",",")</f>
        <v/>
      </c>
      <c r="AK98" s="64" t="str">
        <f t="shared" ref="AK98:AK105" si="188">IF(K98="","",K98)</f>
        <v/>
      </c>
      <c r="AL98" s="64" t="str">
        <f t="shared" ref="AL98:AL105" si="189">IF(AI98="","",",")</f>
        <v/>
      </c>
      <c r="AM98" s="64" t="str">
        <f t="shared" ref="AM98:AM105" si="190">IF(AI98="","",450)</f>
        <v/>
      </c>
      <c r="AN98" s="64" t="str">
        <f t="shared" ref="AN98:AN105" si="191">IF(AI98="","",")")</f>
        <v/>
      </c>
    </row>
    <row r="99" spans="1:40" ht="24.5" thickTop="1" thickBot="1" x14ac:dyDescent="0.550000000000000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5"/>
        <v/>
      </c>
      <c r="N99" s="57" t="str">
        <f t="shared" si="166"/>
        <v/>
      </c>
      <c r="O99" s="58" t="str">
        <f t="shared" si="167"/>
        <v/>
      </c>
      <c r="P99" s="59" t="str">
        <f t="shared" si="168"/>
        <v/>
      </c>
      <c r="Q99" s="60" t="str">
        <f t="shared" si="169"/>
        <v/>
      </c>
      <c r="R99" s="61" t="str">
        <f t="shared" si="164"/>
        <v/>
      </c>
      <c r="S99" s="56" t="str">
        <f t="shared" si="170"/>
        <v/>
      </c>
      <c r="T99" s="62" t="str">
        <f t="shared" si="171"/>
        <v/>
      </c>
      <c r="U99" s="63" t="str">
        <f t="shared" si="172"/>
        <v/>
      </c>
      <c r="V99" s="64" t="str">
        <f t="shared" si="173"/>
        <v/>
      </c>
      <c r="W99" s="65" t="str">
        <f t="shared" si="174"/>
        <v/>
      </c>
      <c r="X99" s="64" t="str">
        <f t="shared" si="175"/>
        <v/>
      </c>
      <c r="Y99" s="64" t="str">
        <f t="shared" si="176"/>
        <v/>
      </c>
      <c r="Z99" s="56" t="str">
        <f t="shared" si="177"/>
        <v/>
      </c>
      <c r="AA99" s="66" t="str">
        <f t="shared" si="178"/>
        <v/>
      </c>
      <c r="AB99" s="57" t="str">
        <f t="shared" si="179"/>
        <v/>
      </c>
      <c r="AC99" s="67" t="str">
        <f t="shared" si="180"/>
        <v/>
      </c>
      <c r="AD99" s="59" t="str">
        <f t="shared" si="181"/>
        <v/>
      </c>
      <c r="AE99" s="68" t="str">
        <f t="shared" si="182"/>
        <v/>
      </c>
      <c r="AF99" s="61" t="str">
        <f t="shared" si="183"/>
        <v/>
      </c>
      <c r="AG99" s="61" t="str">
        <f t="shared" si="184"/>
        <v/>
      </c>
      <c r="AH99" s="69" t="str">
        <f t="shared" si="185"/>
        <v/>
      </c>
      <c r="AI99" s="70" t="str">
        <f t="shared" si="186"/>
        <v/>
      </c>
      <c r="AJ99" s="64" t="str">
        <f t="shared" si="187"/>
        <v/>
      </c>
      <c r="AK99" s="64" t="str">
        <f t="shared" si="188"/>
        <v/>
      </c>
      <c r="AL99" s="64" t="str">
        <f t="shared" si="189"/>
        <v/>
      </c>
      <c r="AM99" s="64" t="str">
        <f t="shared" si="190"/>
        <v/>
      </c>
      <c r="AN99" s="64" t="str">
        <f t="shared" si="191"/>
        <v/>
      </c>
    </row>
    <row r="100" spans="1:40" ht="24.5" thickTop="1" thickBot="1" x14ac:dyDescent="0.550000000000000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5"/>
        <v/>
      </c>
      <c r="N100" s="57" t="str">
        <f t="shared" si="166"/>
        <v/>
      </c>
      <c r="O100" s="58" t="str">
        <f t="shared" si="167"/>
        <v/>
      </c>
      <c r="P100" s="59" t="str">
        <f t="shared" si="168"/>
        <v/>
      </c>
      <c r="Q100" s="60" t="str">
        <f t="shared" si="169"/>
        <v/>
      </c>
      <c r="R100" s="61" t="str">
        <f t="shared" si="164"/>
        <v/>
      </c>
      <c r="S100" s="56" t="str">
        <f t="shared" si="170"/>
        <v/>
      </c>
      <c r="T100" s="62" t="str">
        <f t="shared" si="171"/>
        <v/>
      </c>
      <c r="U100" s="63" t="str">
        <f t="shared" si="172"/>
        <v/>
      </c>
      <c r="V100" s="64" t="str">
        <f t="shared" si="173"/>
        <v/>
      </c>
      <c r="W100" s="65" t="str">
        <f t="shared" si="174"/>
        <v/>
      </c>
      <c r="X100" s="64" t="str">
        <f t="shared" si="175"/>
        <v/>
      </c>
      <c r="Y100" s="64" t="str">
        <f t="shared" si="176"/>
        <v/>
      </c>
      <c r="Z100" s="56" t="str">
        <f t="shared" si="177"/>
        <v/>
      </c>
      <c r="AA100" s="66" t="str">
        <f t="shared" si="178"/>
        <v/>
      </c>
      <c r="AB100" s="57" t="str">
        <f t="shared" si="179"/>
        <v/>
      </c>
      <c r="AC100" s="67" t="str">
        <f t="shared" si="180"/>
        <v/>
      </c>
      <c r="AD100" s="59" t="str">
        <f t="shared" si="181"/>
        <v/>
      </c>
      <c r="AE100" s="68" t="str">
        <f t="shared" si="182"/>
        <v/>
      </c>
      <c r="AF100" s="61" t="str">
        <f t="shared" si="183"/>
        <v/>
      </c>
      <c r="AG100" s="61" t="str">
        <f t="shared" si="184"/>
        <v/>
      </c>
      <c r="AH100" s="69" t="str">
        <f t="shared" si="185"/>
        <v/>
      </c>
      <c r="AI100" s="70" t="str">
        <f t="shared" si="186"/>
        <v/>
      </c>
      <c r="AJ100" s="64" t="str">
        <f t="shared" si="187"/>
        <v/>
      </c>
      <c r="AK100" s="64" t="str">
        <f t="shared" si="188"/>
        <v/>
      </c>
      <c r="AL100" s="64" t="str">
        <f t="shared" si="189"/>
        <v/>
      </c>
      <c r="AM100" s="64" t="str">
        <f t="shared" si="190"/>
        <v/>
      </c>
      <c r="AN100" s="64" t="str">
        <f t="shared" si="191"/>
        <v/>
      </c>
    </row>
    <row r="101" spans="1:40" ht="24.5" thickTop="1" thickBot="1" x14ac:dyDescent="0.550000000000000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5"/>
        <v/>
      </c>
      <c r="N101" s="57" t="str">
        <f t="shared" si="166"/>
        <v/>
      </c>
      <c r="O101" s="58" t="str">
        <f t="shared" si="167"/>
        <v/>
      </c>
      <c r="P101" s="59" t="str">
        <f t="shared" si="168"/>
        <v/>
      </c>
      <c r="Q101" s="60" t="str">
        <f t="shared" si="169"/>
        <v/>
      </c>
      <c r="R101" s="61" t="str">
        <f t="shared" si="164"/>
        <v/>
      </c>
      <c r="S101" s="56" t="str">
        <f t="shared" si="170"/>
        <v/>
      </c>
      <c r="T101" s="62" t="str">
        <f t="shared" si="171"/>
        <v/>
      </c>
      <c r="U101" s="63" t="str">
        <f t="shared" si="172"/>
        <v/>
      </c>
      <c r="V101" s="64" t="str">
        <f t="shared" si="173"/>
        <v/>
      </c>
      <c r="W101" s="65" t="str">
        <f t="shared" si="174"/>
        <v/>
      </c>
      <c r="X101" s="64" t="str">
        <f t="shared" si="175"/>
        <v/>
      </c>
      <c r="Y101" s="64" t="str">
        <f t="shared" si="176"/>
        <v/>
      </c>
      <c r="Z101" s="56" t="str">
        <f t="shared" si="177"/>
        <v/>
      </c>
      <c r="AA101" s="66" t="str">
        <f t="shared" si="178"/>
        <v/>
      </c>
      <c r="AB101" s="57" t="str">
        <f t="shared" si="179"/>
        <v/>
      </c>
      <c r="AC101" s="67" t="str">
        <f t="shared" si="180"/>
        <v/>
      </c>
      <c r="AD101" s="59" t="str">
        <f t="shared" si="181"/>
        <v/>
      </c>
      <c r="AE101" s="68" t="str">
        <f t="shared" si="182"/>
        <v/>
      </c>
      <c r="AF101" s="61" t="str">
        <f t="shared" si="183"/>
        <v/>
      </c>
      <c r="AG101" s="61" t="str">
        <f t="shared" si="184"/>
        <v/>
      </c>
      <c r="AH101" s="69" t="str">
        <f t="shared" si="185"/>
        <v/>
      </c>
      <c r="AI101" s="70" t="str">
        <f t="shared" si="186"/>
        <v/>
      </c>
      <c r="AJ101" s="64" t="str">
        <f t="shared" si="187"/>
        <v/>
      </c>
      <c r="AK101" s="64" t="str">
        <f t="shared" si="188"/>
        <v/>
      </c>
      <c r="AL101" s="64" t="str">
        <f t="shared" si="189"/>
        <v/>
      </c>
      <c r="AM101" s="64" t="str">
        <f t="shared" si="190"/>
        <v/>
      </c>
      <c r="AN101" s="64" t="str">
        <f t="shared" si="191"/>
        <v/>
      </c>
    </row>
    <row r="102" spans="1:40" ht="24.5" thickTop="1" thickBot="1" x14ac:dyDescent="0.550000000000000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5"/>
        <v/>
      </c>
      <c r="N102" s="57" t="str">
        <f t="shared" si="166"/>
        <v/>
      </c>
      <c r="O102" s="58" t="str">
        <f t="shared" si="167"/>
        <v/>
      </c>
      <c r="P102" s="59" t="str">
        <f t="shared" si="168"/>
        <v/>
      </c>
      <c r="Q102" s="60" t="str">
        <f t="shared" si="169"/>
        <v/>
      </c>
      <c r="R102" s="61" t="str">
        <f t="shared" si="164"/>
        <v/>
      </c>
      <c r="S102" s="56" t="str">
        <f t="shared" si="170"/>
        <v/>
      </c>
      <c r="T102" s="62" t="str">
        <f t="shared" si="171"/>
        <v/>
      </c>
      <c r="U102" s="63" t="str">
        <f t="shared" si="172"/>
        <v/>
      </c>
      <c r="V102" s="64" t="str">
        <f t="shared" si="173"/>
        <v/>
      </c>
      <c r="W102" s="65" t="str">
        <f t="shared" si="174"/>
        <v/>
      </c>
      <c r="X102" s="64" t="str">
        <f t="shared" si="175"/>
        <v/>
      </c>
      <c r="Y102" s="64" t="str">
        <f t="shared" si="176"/>
        <v/>
      </c>
      <c r="Z102" s="56" t="str">
        <f t="shared" si="177"/>
        <v/>
      </c>
      <c r="AA102" s="66" t="str">
        <f t="shared" si="178"/>
        <v/>
      </c>
      <c r="AB102" s="57" t="str">
        <f t="shared" si="179"/>
        <v/>
      </c>
      <c r="AC102" s="67" t="str">
        <f t="shared" si="180"/>
        <v/>
      </c>
      <c r="AD102" s="59" t="str">
        <f t="shared" si="181"/>
        <v/>
      </c>
      <c r="AE102" s="68" t="str">
        <f t="shared" si="182"/>
        <v/>
      </c>
      <c r="AF102" s="61" t="str">
        <f t="shared" si="183"/>
        <v/>
      </c>
      <c r="AG102" s="61" t="str">
        <f t="shared" si="184"/>
        <v/>
      </c>
      <c r="AH102" s="69" t="str">
        <f t="shared" si="185"/>
        <v/>
      </c>
      <c r="AI102" s="70" t="str">
        <f t="shared" si="186"/>
        <v/>
      </c>
      <c r="AJ102" s="64" t="str">
        <f t="shared" si="187"/>
        <v/>
      </c>
      <c r="AK102" s="64" t="str">
        <f t="shared" si="188"/>
        <v/>
      </c>
      <c r="AL102" s="64" t="str">
        <f t="shared" si="189"/>
        <v/>
      </c>
      <c r="AM102" s="64" t="str">
        <f t="shared" si="190"/>
        <v/>
      </c>
      <c r="AN102" s="64" t="str">
        <f t="shared" si="191"/>
        <v/>
      </c>
    </row>
    <row r="103" spans="1:40" ht="24.5" thickTop="1" thickBot="1" x14ac:dyDescent="0.550000000000000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5"/>
        <v/>
      </c>
      <c r="N103" s="57" t="str">
        <f t="shared" si="166"/>
        <v/>
      </c>
      <c r="O103" s="58" t="str">
        <f t="shared" si="167"/>
        <v/>
      </c>
      <c r="P103" s="59" t="str">
        <f t="shared" si="168"/>
        <v/>
      </c>
      <c r="Q103" s="60" t="str">
        <f t="shared" si="169"/>
        <v/>
      </c>
      <c r="R103" s="61" t="str">
        <f t="shared" si="164"/>
        <v/>
      </c>
      <c r="S103" s="56" t="str">
        <f t="shared" si="170"/>
        <v/>
      </c>
      <c r="T103" s="62" t="str">
        <f t="shared" si="171"/>
        <v/>
      </c>
      <c r="U103" s="63" t="str">
        <f t="shared" si="172"/>
        <v/>
      </c>
      <c r="V103" s="64" t="str">
        <f t="shared" si="173"/>
        <v/>
      </c>
      <c r="W103" s="65" t="str">
        <f t="shared" si="174"/>
        <v/>
      </c>
      <c r="X103" s="64" t="str">
        <f t="shared" si="175"/>
        <v/>
      </c>
      <c r="Y103" s="64" t="str">
        <f t="shared" si="176"/>
        <v/>
      </c>
      <c r="Z103" s="56" t="str">
        <f t="shared" si="177"/>
        <v/>
      </c>
      <c r="AA103" s="66" t="str">
        <f t="shared" si="178"/>
        <v/>
      </c>
      <c r="AB103" s="57" t="str">
        <f t="shared" si="179"/>
        <v/>
      </c>
      <c r="AC103" s="67" t="str">
        <f t="shared" si="180"/>
        <v/>
      </c>
      <c r="AD103" s="59" t="str">
        <f t="shared" si="181"/>
        <v/>
      </c>
      <c r="AE103" s="68" t="str">
        <f t="shared" si="182"/>
        <v/>
      </c>
      <c r="AF103" s="61" t="str">
        <f t="shared" si="183"/>
        <v/>
      </c>
      <c r="AG103" s="61" t="str">
        <f t="shared" si="184"/>
        <v/>
      </c>
      <c r="AH103" s="69" t="str">
        <f t="shared" si="185"/>
        <v/>
      </c>
      <c r="AI103" s="70" t="str">
        <f t="shared" si="186"/>
        <v/>
      </c>
      <c r="AJ103" s="64" t="str">
        <f t="shared" si="187"/>
        <v/>
      </c>
      <c r="AK103" s="64" t="str">
        <f t="shared" si="188"/>
        <v/>
      </c>
      <c r="AL103" s="64" t="str">
        <f t="shared" si="189"/>
        <v/>
      </c>
      <c r="AM103" s="64" t="str">
        <f t="shared" si="190"/>
        <v/>
      </c>
      <c r="AN103" s="64" t="str">
        <f t="shared" si="191"/>
        <v/>
      </c>
    </row>
    <row r="104" spans="1:40" ht="24.5" thickTop="1" thickBot="1" x14ac:dyDescent="0.550000000000000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5"/>
        <v/>
      </c>
      <c r="N104" s="57" t="str">
        <f t="shared" si="166"/>
        <v/>
      </c>
      <c r="O104" s="58" t="str">
        <f t="shared" si="167"/>
        <v/>
      </c>
      <c r="P104" s="59" t="str">
        <f t="shared" si="168"/>
        <v/>
      </c>
      <c r="Q104" s="60" t="str">
        <f t="shared" si="169"/>
        <v/>
      </c>
      <c r="R104" s="61" t="str">
        <f t="shared" si="164"/>
        <v/>
      </c>
      <c r="S104" s="56" t="str">
        <f t="shared" si="170"/>
        <v/>
      </c>
      <c r="T104" s="62" t="str">
        <f t="shared" si="171"/>
        <v/>
      </c>
      <c r="U104" s="63" t="str">
        <f t="shared" si="172"/>
        <v/>
      </c>
      <c r="V104" s="64" t="str">
        <f t="shared" si="173"/>
        <v/>
      </c>
      <c r="W104" s="65" t="str">
        <f t="shared" si="174"/>
        <v/>
      </c>
      <c r="X104" s="64" t="str">
        <f t="shared" si="175"/>
        <v/>
      </c>
      <c r="Y104" s="64" t="str">
        <f t="shared" si="176"/>
        <v/>
      </c>
      <c r="Z104" s="56" t="str">
        <f t="shared" si="177"/>
        <v/>
      </c>
      <c r="AA104" s="66" t="str">
        <f t="shared" si="178"/>
        <v/>
      </c>
      <c r="AB104" s="57" t="str">
        <f t="shared" si="179"/>
        <v/>
      </c>
      <c r="AC104" s="67" t="str">
        <f t="shared" si="180"/>
        <v/>
      </c>
      <c r="AD104" s="59" t="str">
        <f t="shared" si="181"/>
        <v/>
      </c>
      <c r="AE104" s="68" t="str">
        <f t="shared" si="182"/>
        <v/>
      </c>
      <c r="AF104" s="61" t="str">
        <f t="shared" si="183"/>
        <v/>
      </c>
      <c r="AG104" s="61" t="str">
        <f t="shared" si="184"/>
        <v/>
      </c>
      <c r="AH104" s="69" t="str">
        <f t="shared" si="185"/>
        <v/>
      </c>
      <c r="AI104" s="70" t="str">
        <f t="shared" si="186"/>
        <v/>
      </c>
      <c r="AJ104" s="64" t="str">
        <f t="shared" si="187"/>
        <v/>
      </c>
      <c r="AK104" s="64" t="str">
        <f t="shared" si="188"/>
        <v/>
      </c>
      <c r="AL104" s="64" t="str">
        <f t="shared" si="189"/>
        <v/>
      </c>
      <c r="AM104" s="64" t="str">
        <f t="shared" si="190"/>
        <v/>
      </c>
      <c r="AN104" s="64" t="str">
        <f t="shared" si="191"/>
        <v/>
      </c>
    </row>
    <row r="105" spans="1:40" ht="24.5" thickTop="1" thickBot="1" x14ac:dyDescent="0.550000000000000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5"/>
        <v/>
      </c>
      <c r="N105" s="57" t="str">
        <f t="shared" si="166"/>
        <v/>
      </c>
      <c r="O105" s="58" t="str">
        <f t="shared" si="167"/>
        <v/>
      </c>
      <c r="P105" s="59" t="str">
        <f t="shared" si="168"/>
        <v/>
      </c>
      <c r="Q105" s="60" t="str">
        <f t="shared" si="169"/>
        <v/>
      </c>
      <c r="R105" s="61" t="str">
        <f t="shared" si="164"/>
        <v/>
      </c>
      <c r="S105" s="56" t="str">
        <f t="shared" si="170"/>
        <v/>
      </c>
      <c r="T105" s="62" t="str">
        <f t="shared" si="171"/>
        <v/>
      </c>
      <c r="U105" s="63" t="str">
        <f t="shared" si="172"/>
        <v/>
      </c>
      <c r="V105" s="64" t="str">
        <f t="shared" si="173"/>
        <v/>
      </c>
      <c r="W105" s="65" t="str">
        <f t="shared" si="174"/>
        <v/>
      </c>
      <c r="X105" s="64" t="str">
        <f t="shared" si="175"/>
        <v/>
      </c>
      <c r="Y105" s="64" t="str">
        <f t="shared" si="176"/>
        <v/>
      </c>
      <c r="Z105" s="56" t="str">
        <f t="shared" si="177"/>
        <v/>
      </c>
      <c r="AA105" s="66" t="str">
        <f t="shared" si="178"/>
        <v/>
      </c>
      <c r="AB105" s="57" t="str">
        <f t="shared" si="179"/>
        <v/>
      </c>
      <c r="AC105" s="67" t="str">
        <f t="shared" si="180"/>
        <v/>
      </c>
      <c r="AD105" s="59" t="str">
        <f t="shared" si="181"/>
        <v/>
      </c>
      <c r="AE105" s="68" t="str">
        <f t="shared" si="182"/>
        <v/>
      </c>
      <c r="AF105" s="61" t="str">
        <f t="shared" si="183"/>
        <v/>
      </c>
      <c r="AG105" s="61" t="str">
        <f t="shared" si="184"/>
        <v/>
      </c>
      <c r="AH105" s="69" t="str">
        <f t="shared" si="185"/>
        <v/>
      </c>
      <c r="AI105" s="70" t="str">
        <f t="shared" si="186"/>
        <v/>
      </c>
      <c r="AJ105" s="64" t="str">
        <f t="shared" si="187"/>
        <v/>
      </c>
      <c r="AK105" s="64" t="str">
        <f t="shared" si="188"/>
        <v/>
      </c>
      <c r="AL105" s="64" t="str">
        <f t="shared" si="189"/>
        <v/>
      </c>
      <c r="AM105" s="64" t="str">
        <f t="shared" si="190"/>
        <v/>
      </c>
      <c r="AN105" s="64" t="str">
        <f t="shared" si="191"/>
        <v/>
      </c>
    </row>
    <row r="106" spans="1:40" ht="26.5" thickTop="1" thickBot="1" x14ac:dyDescent="0.55000000000000004">
      <c r="A106" s="73"/>
      <c r="B106" s="73"/>
      <c r="C106" s="73"/>
      <c r="D106" s="74"/>
      <c r="E106" s="74"/>
      <c r="F106" s="74"/>
      <c r="G106" s="74"/>
      <c r="H106" s="74"/>
      <c r="I106" s="74"/>
      <c r="J106" s="74"/>
      <c r="K106" s="74"/>
      <c r="L106" s="75" t="s">
        <v>993</v>
      </c>
      <c r="M106" s="56"/>
      <c r="N106" s="57"/>
      <c r="O106" s="58"/>
      <c r="P106" s="59"/>
      <c r="Q106" s="60"/>
      <c r="R106" s="61" t="str">
        <f t="shared" si="164"/>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123</v>
      </c>
      <c r="E1" s="40"/>
      <c r="F1" s="40"/>
      <c r="G1" s="40"/>
      <c r="H1" s="40"/>
      <c r="I1" s="40"/>
      <c r="J1" s="40"/>
      <c r="K1" s="40"/>
      <c r="L1" s="41" t="str">
        <f ca="1">UPPER(VLOOKUP(C1,Table223[],3,FALSE))</f>
        <v>OH CIELOS, LLOVED DE LO ALTO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OH CIELOS, LLOVED DE LO ALTO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ohcieloslloveddeloalto</v>
      </c>
      <c r="L7" s="48" t="str">
        <f ca="1">_xlfn.CONCAT("        id: ","""",C7,"""",",")</f>
        <v xml:space="preserve">        id: "ohcieloslloveddeloalto",</v>
      </c>
    </row>
    <row r="8" spans="2:32" ht="23" x14ac:dyDescent="0.35">
      <c r="C8" t="str">
        <f ca="1">PROPER(L1)</f>
        <v>Oh Cielos, Lloved De Lo Alto</v>
      </c>
      <c r="L8" s="48" t="str">
        <f ca="1">_xlfn.CONCAT("        tt: ","""",C8,"""",",")</f>
        <v xml:space="preserve">        tt: "Oh Cielos, Lloved De Lo Alto",</v>
      </c>
    </row>
    <row r="9" spans="2:32" ht="23" x14ac:dyDescent="0.35">
      <c r="C9" t="str">
        <f ca="1">PROPER(L1)</f>
        <v>Oh Cielos, Lloved De Lo Alto</v>
      </c>
      <c r="L9" s="48" t="str">
        <f ca="1">_xlfn.CONCAT("        title: ","""",C9,"""",",")</f>
        <v xml:space="preserve">        title: "Oh Cielos, Lloved De Lo Alto",</v>
      </c>
    </row>
    <row r="10" spans="2:32" ht="23" x14ac:dyDescent="0.35">
      <c r="C10" t="str">
        <f ca="1">VLOOKUP(C1,Table223[],4,FALSE)</f>
        <v>Isaías 45,8</v>
      </c>
      <c r="L10" s="48" t="str">
        <f ca="1">_xlfn.CONCAT("        ","subtitle: ","""",C10,"""",",")</f>
        <v xml:space="preserve">        subtitle: "Isaías 45,8",</v>
      </c>
    </row>
    <row r="11" spans="2:32" ht="23" x14ac:dyDescent="0.35">
      <c r="C11" t="str">
        <f ca="1">_xlfn.CONCAT("category: [",VLOOKUP(C1,Table223[],16,FALSE),"],")</f>
        <v>category: ["Precatecumenado","Adviento","Navidad","Antiguo Testamento"],</v>
      </c>
      <c r="L11" s="48" t="str">
        <f ca="1">_xlfn.CONCAT("        ",C11)</f>
        <v xml:space="preserve">        category: ["Precatecumenado","Adviento","Navidad","Antiguo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123</v>
      </c>
      <c r="L16" s="48" t="str">
        <f ca="1">_xlfn.CONCAT("        dbno: ","""",C16,"""",",")</f>
        <v xml:space="preserve">        dbno: "123",</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ohcieloslloveddeloalto</v>
      </c>
      <c r="L19" s="48" t="str">
        <f ca="1">_xlfn.CONCAT("        audioSrc: ","""/audio/",C19,".mp3""",",")</f>
        <v xml:space="preserve">        audioSrc: "/audio/ohcieloslloveddeloalto.mp3",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122</v>
      </c>
      <c r="C26" t="str">
        <f ca="1">VLOOKUP(B26,Table4[],13,FALSE)</f>
        <v>"/src/index.html?canto=nolimetangere"</v>
      </c>
      <c r="L26" s="48" t="str">
        <f ca="1">_xlfn.CONCAT("        ant: ",C26,",")</f>
        <v xml:space="preserve">        ant: "/src/index.html?canto=nolimetangere",</v>
      </c>
    </row>
    <row r="27" spans="1:40" ht="23" x14ac:dyDescent="0.35">
      <c r="B27">
        <f ca="1">+C1+1</f>
        <v>124</v>
      </c>
      <c r="C27" t="str">
        <f ca="1">VLOOKUP(B27,Table4[],13,FALSE)</f>
        <v>"/src/index.html?canto=ohdiosportunombre"</v>
      </c>
      <c r="L27" s="48" t="str">
        <f ca="1">_xlfn.CONCAT("        sig: ",C27,",")</f>
        <v xml:space="preserve">        sig: "/src/index.html?canto=ohdiosportunombre",</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5" customHeight="1" thickTop="1" thickBot="1" x14ac:dyDescent="0.4">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6">
      <c r="A102" s="95"/>
      <c r="B102" s="95"/>
      <c r="C102" s="95"/>
      <c r="D102" s="95"/>
      <c r="E102" s="95"/>
      <c r="F102" s="95"/>
      <c r="G102" s="95"/>
      <c r="H102" s="95"/>
      <c r="I102" s="95"/>
      <c r="J102" s="95"/>
      <c r="K102" s="95"/>
      <c r="L102" s="99" t="str">
        <f ca="1">_xlfn.CONCAT("]}, // ULTIMA LINEA DEL CANTO: ",L1)</f>
        <v>]}, // ULTIMA LINEA DEL CANTO: OH CIELOS, LLOVED DE LO ALTO</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code</vt:lpstr>
      <vt:lpstr>Indice</vt:lpstr>
      <vt:lpstr>Index</vt:lpstr>
      <vt:lpstr>Index Web</vt:lpstr>
      <vt:lpstr>cantosJS</vt:lpstr>
      <vt:lpstr>Find</vt:lpstr>
      <vt:lpstr>html</vt:lpstr>
      <vt:lpstr>NO ESTÁ AQUÍ, RESUCITÓ</vt:lpstr>
      <vt:lpstr>NO HAY EN ÉL PARECER</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2025-09-18T02:26:18Z</dcterms:modified>
</cp:coreProperties>
</file>