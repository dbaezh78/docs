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C0E6356-AB8E-4972-B84B-58BFF6E0D5BB}" xr6:coauthVersionLast="47" xr6:coauthVersionMax="47" xr10:uidLastSave="{00000000-0000-0000-0000-000000000000}"/>
  <bookViews>
    <workbookView xWindow="-105" yWindow="0" windowWidth="29250" windowHeight="20985" tabRatio="693" firstSheet="4"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POR EL AMOR DE MIS AMIGOS" sheetId="80"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9" i="80" l="1"/>
  <c r="AK78" i="80"/>
  <c r="AI78" i="80"/>
  <c r="AN78" i="80" s="1"/>
  <c r="AD78" i="80"/>
  <c r="AB78" i="80"/>
  <c r="AG78" i="80" s="1"/>
  <c r="AA78" i="80"/>
  <c r="W78" i="80"/>
  <c r="U78" i="80"/>
  <c r="Y78" i="80" s="1"/>
  <c r="P78" i="80"/>
  <c r="N78" i="80"/>
  <c r="Q78" i="80" s="1"/>
  <c r="AK77" i="80"/>
  <c r="AI77" i="80"/>
  <c r="AL77" i="80" s="1"/>
  <c r="AH77" i="80"/>
  <c r="AE77" i="80"/>
  <c r="AD77" i="80"/>
  <c r="AB77" i="80"/>
  <c r="AC77" i="80" s="1"/>
  <c r="W77" i="80"/>
  <c r="U77" i="80"/>
  <c r="V77" i="80" s="1"/>
  <c r="P77" i="80"/>
  <c r="N77" i="80"/>
  <c r="S77" i="80" s="1"/>
  <c r="M77" i="80"/>
  <c r="AK76" i="80"/>
  <c r="AI76" i="80"/>
  <c r="AM76" i="80" s="1"/>
  <c r="AE76" i="80"/>
  <c r="AD76" i="80"/>
  <c r="AB76" i="80"/>
  <c r="AA76" i="80" s="1"/>
  <c r="W76" i="80"/>
  <c r="U76" i="80"/>
  <c r="Z76" i="80" s="1"/>
  <c r="P76" i="80"/>
  <c r="N76" i="80"/>
  <c r="S76" i="80" s="1"/>
  <c r="AK75" i="80"/>
  <c r="AI75" i="80"/>
  <c r="AN75" i="80" s="1"/>
  <c r="AD75" i="80"/>
  <c r="AB75" i="80"/>
  <c r="AF75" i="80" s="1"/>
  <c r="Y75" i="80"/>
  <c r="W75" i="80"/>
  <c r="U75" i="80"/>
  <c r="X75" i="80" s="1"/>
  <c r="P75" i="80"/>
  <c r="N75" i="80"/>
  <c r="O75" i="80" s="1"/>
  <c r="AN74" i="80"/>
  <c r="AK74" i="80"/>
  <c r="AI74" i="80"/>
  <c r="AJ74" i="80" s="1"/>
  <c r="AD74" i="80"/>
  <c r="AB74" i="80"/>
  <c r="AE74" i="80" s="1"/>
  <c r="W74" i="80"/>
  <c r="U74" i="80"/>
  <c r="T74" i="80" s="1"/>
  <c r="P74" i="80"/>
  <c r="N74" i="80"/>
  <c r="M74" i="80" s="1"/>
  <c r="AK73" i="80"/>
  <c r="AI73" i="80"/>
  <c r="AH73" i="80" s="1"/>
  <c r="AG73" i="80"/>
  <c r="AF73" i="80"/>
  <c r="AD73" i="80"/>
  <c r="AB73" i="80"/>
  <c r="AE73" i="80" s="1"/>
  <c r="AA73" i="80"/>
  <c r="W73" i="80"/>
  <c r="U73" i="80"/>
  <c r="Z73" i="80" s="1"/>
  <c r="P73" i="80"/>
  <c r="N73" i="80"/>
  <c r="R73" i="80" s="1"/>
  <c r="AK55" i="80"/>
  <c r="AI55" i="80"/>
  <c r="AN55" i="80" s="1"/>
  <c r="AD55" i="80"/>
  <c r="AB55" i="80"/>
  <c r="AF55" i="80" s="1"/>
  <c r="W55" i="80"/>
  <c r="U55" i="80"/>
  <c r="X55" i="80" s="1"/>
  <c r="P55" i="80"/>
  <c r="N55" i="80"/>
  <c r="O55" i="80" s="1"/>
  <c r="AK54" i="80"/>
  <c r="AI54" i="80"/>
  <c r="AJ54" i="80" s="1"/>
  <c r="AD54" i="80"/>
  <c r="AB54" i="80"/>
  <c r="AC54" i="80" s="1"/>
  <c r="W54" i="80"/>
  <c r="U54" i="80"/>
  <c r="Z54" i="80" s="1"/>
  <c r="P54" i="80"/>
  <c r="N54" i="80"/>
  <c r="M54" i="80" s="1"/>
  <c r="AK53" i="80"/>
  <c r="AI53" i="80"/>
  <c r="AH53" i="80" s="1"/>
  <c r="AD53" i="80"/>
  <c r="AB53" i="80"/>
  <c r="AF53" i="80" s="1"/>
  <c r="W53" i="80"/>
  <c r="U53" i="80"/>
  <c r="Z53" i="80" s="1"/>
  <c r="P53" i="80"/>
  <c r="N53" i="80"/>
  <c r="R53" i="80" s="1"/>
  <c r="AK52" i="80"/>
  <c r="AI52" i="80"/>
  <c r="AM52" i="80" s="1"/>
  <c r="AD52" i="80"/>
  <c r="AB52" i="80"/>
  <c r="AE52" i="80" s="1"/>
  <c r="W52" i="80"/>
  <c r="U52" i="80"/>
  <c r="Y52" i="80" s="1"/>
  <c r="P52" i="80"/>
  <c r="N52" i="80"/>
  <c r="O52" i="80" s="1"/>
  <c r="AK51" i="80"/>
  <c r="AI51" i="80"/>
  <c r="AJ51" i="80" s="1"/>
  <c r="AD51" i="80"/>
  <c r="AB51" i="80"/>
  <c r="AC51" i="80" s="1"/>
  <c r="W51" i="80"/>
  <c r="U51" i="80"/>
  <c r="T51" i="80" s="1"/>
  <c r="P51" i="80"/>
  <c r="N51" i="80"/>
  <c r="R51" i="80" s="1"/>
  <c r="AK50" i="80"/>
  <c r="AI50" i="80"/>
  <c r="AM50" i="80" s="1"/>
  <c r="AD50" i="80"/>
  <c r="AB50" i="80"/>
  <c r="AG50" i="80" s="1"/>
  <c r="W50" i="80"/>
  <c r="U50" i="80"/>
  <c r="Y50" i="80" s="1"/>
  <c r="P50" i="80"/>
  <c r="N50" i="80"/>
  <c r="Q50" i="80" s="1"/>
  <c r="R72" i="80"/>
  <c r="AK71" i="80"/>
  <c r="AI71" i="80"/>
  <c r="AN71" i="80" s="1"/>
  <c r="AD71" i="80"/>
  <c r="AB71" i="80"/>
  <c r="AG71" i="80" s="1"/>
  <c r="W71" i="80"/>
  <c r="U71" i="80"/>
  <c r="Y71" i="80" s="1"/>
  <c r="P71" i="80"/>
  <c r="N71" i="80"/>
  <c r="Q71" i="80" s="1"/>
  <c r="AK70" i="80"/>
  <c r="AI70" i="80"/>
  <c r="AL70" i="80" s="1"/>
  <c r="AD70" i="80"/>
  <c r="AB70" i="80"/>
  <c r="AC70" i="80" s="1"/>
  <c r="W70" i="80"/>
  <c r="U70" i="80"/>
  <c r="X70" i="80" s="1"/>
  <c r="P70" i="80"/>
  <c r="N70" i="80"/>
  <c r="M70" i="80" s="1"/>
  <c r="AK69" i="80"/>
  <c r="AI69" i="80"/>
  <c r="AH69" i="80" s="1"/>
  <c r="AD69" i="80"/>
  <c r="AB69" i="80"/>
  <c r="AA69" i="80" s="1"/>
  <c r="W69" i="80"/>
  <c r="U69" i="80"/>
  <c r="Z69" i="80" s="1"/>
  <c r="P69" i="80"/>
  <c r="N69" i="80"/>
  <c r="S69" i="80" s="1"/>
  <c r="AK68" i="80"/>
  <c r="AI68" i="80"/>
  <c r="AN68" i="80" s="1"/>
  <c r="AD68" i="80"/>
  <c r="AB68" i="80"/>
  <c r="AF68" i="80" s="1"/>
  <c r="W68" i="80"/>
  <c r="U68" i="80"/>
  <c r="X68" i="80" s="1"/>
  <c r="P68" i="80"/>
  <c r="N68" i="80"/>
  <c r="O68" i="80" s="1"/>
  <c r="R67" i="80"/>
  <c r="AK66" i="80"/>
  <c r="AI66" i="80"/>
  <c r="AL66" i="80" s="1"/>
  <c r="AD66" i="80"/>
  <c r="AB66" i="80"/>
  <c r="AC66" i="80" s="1"/>
  <c r="W66" i="80"/>
  <c r="U66" i="80"/>
  <c r="Z66" i="80" s="1"/>
  <c r="P66" i="80"/>
  <c r="N66" i="80"/>
  <c r="M66" i="80" s="1"/>
  <c r="AK65" i="80"/>
  <c r="AI65" i="80"/>
  <c r="AH65" i="80" s="1"/>
  <c r="AD65" i="80"/>
  <c r="AB65" i="80"/>
  <c r="AA65" i="80" s="1"/>
  <c r="W65" i="80"/>
  <c r="U65" i="80"/>
  <c r="Z65" i="80" s="1"/>
  <c r="P65" i="80"/>
  <c r="N65" i="80"/>
  <c r="S65" i="80" s="1"/>
  <c r="AK64" i="80"/>
  <c r="AI64" i="80"/>
  <c r="AN64" i="80" s="1"/>
  <c r="AD64" i="80"/>
  <c r="AB64" i="80"/>
  <c r="AF64" i="80" s="1"/>
  <c r="W64" i="80"/>
  <c r="U64" i="80"/>
  <c r="X64" i="80" s="1"/>
  <c r="P64" i="80"/>
  <c r="N64" i="80"/>
  <c r="O64" i="80" s="1"/>
  <c r="AK63" i="80"/>
  <c r="AI63" i="80"/>
  <c r="AJ63" i="80" s="1"/>
  <c r="AD63" i="80"/>
  <c r="AB63" i="80"/>
  <c r="AA63" i="80" s="1"/>
  <c r="W63" i="80"/>
  <c r="U63" i="80"/>
  <c r="T63" i="80" s="1"/>
  <c r="P63" i="80"/>
  <c r="N63" i="80"/>
  <c r="M63" i="80" s="1"/>
  <c r="AK62" i="80"/>
  <c r="AI62" i="80"/>
  <c r="AH62" i="80" s="1"/>
  <c r="AD62" i="80"/>
  <c r="AB62" i="80"/>
  <c r="AG62" i="80" s="1"/>
  <c r="W62" i="80"/>
  <c r="U62" i="80"/>
  <c r="Z62" i="80" s="1"/>
  <c r="P62" i="80"/>
  <c r="N62" i="80"/>
  <c r="R62" i="80" s="1"/>
  <c r="R61" i="80"/>
  <c r="AK92" i="80"/>
  <c r="AI92" i="80"/>
  <c r="AN92" i="80" s="1"/>
  <c r="AD92" i="80"/>
  <c r="AB92" i="80"/>
  <c r="AE92" i="80" s="1"/>
  <c r="W92" i="80"/>
  <c r="U92" i="80"/>
  <c r="X92" i="80" s="1"/>
  <c r="P92" i="80"/>
  <c r="N92" i="80"/>
  <c r="O92" i="80" s="1"/>
  <c r="R90" i="80"/>
  <c r="R95" i="80"/>
  <c r="AK94" i="80"/>
  <c r="AI94" i="80"/>
  <c r="AN94" i="80" s="1"/>
  <c r="AD94" i="80"/>
  <c r="AB94" i="80"/>
  <c r="AG94" i="80" s="1"/>
  <c r="W94" i="80"/>
  <c r="U94" i="80"/>
  <c r="Y94" i="80" s="1"/>
  <c r="P94" i="80"/>
  <c r="N94" i="80"/>
  <c r="Q94" i="80" s="1"/>
  <c r="AK93" i="80"/>
  <c r="AI93" i="80"/>
  <c r="AL93" i="80" s="1"/>
  <c r="AD93" i="80"/>
  <c r="AB93" i="80"/>
  <c r="AE93" i="80" s="1"/>
  <c r="W93" i="80"/>
  <c r="U93" i="80"/>
  <c r="V93" i="80" s="1"/>
  <c r="P93" i="80"/>
  <c r="N93" i="80"/>
  <c r="R93" i="80" s="1"/>
  <c r="AK91" i="80"/>
  <c r="AI91" i="80"/>
  <c r="AM91" i="80" s="1"/>
  <c r="AD91" i="80"/>
  <c r="AB91" i="80"/>
  <c r="AE91" i="80" s="1"/>
  <c r="W91" i="80"/>
  <c r="U91" i="80"/>
  <c r="Z91" i="80" s="1"/>
  <c r="P91" i="80"/>
  <c r="N91" i="80"/>
  <c r="S91" i="80" s="1"/>
  <c r="AK89" i="80"/>
  <c r="AI89" i="80"/>
  <c r="AN89" i="80" s="1"/>
  <c r="AD89" i="80"/>
  <c r="AB89" i="80"/>
  <c r="AC89" i="80" s="1"/>
  <c r="W89" i="80"/>
  <c r="U89" i="80"/>
  <c r="X89" i="80" s="1"/>
  <c r="P89" i="80"/>
  <c r="N89" i="80"/>
  <c r="Q89" i="80" s="1"/>
  <c r="AK88" i="80"/>
  <c r="AI88" i="80"/>
  <c r="AL88" i="80" s="1"/>
  <c r="AD88" i="80"/>
  <c r="AB88" i="80"/>
  <c r="AC88" i="80" s="1"/>
  <c r="W88" i="80"/>
  <c r="U88" i="80"/>
  <c r="X88" i="80" s="1"/>
  <c r="P88" i="80"/>
  <c r="N88" i="80"/>
  <c r="M88" i="80" s="1"/>
  <c r="AK87" i="80"/>
  <c r="AI87" i="80"/>
  <c r="AH87" i="80" s="1"/>
  <c r="AD87" i="80"/>
  <c r="AB87" i="80"/>
  <c r="AG87" i="80" s="1"/>
  <c r="W87" i="80"/>
  <c r="U87" i="80"/>
  <c r="Z87" i="80" s="1"/>
  <c r="P87" i="80"/>
  <c r="N87" i="80"/>
  <c r="R87" i="80" s="1"/>
  <c r="AK86" i="80"/>
  <c r="AI86" i="80"/>
  <c r="AM86" i="80" s="1"/>
  <c r="AD86" i="80"/>
  <c r="AB86" i="80"/>
  <c r="AE86" i="80" s="1"/>
  <c r="W86" i="80"/>
  <c r="U86" i="80"/>
  <c r="X86" i="80" s="1"/>
  <c r="P86" i="80"/>
  <c r="N86" i="80"/>
  <c r="O86" i="80" s="1"/>
  <c r="AK85" i="80"/>
  <c r="AI85" i="80"/>
  <c r="AJ85" i="80" s="1"/>
  <c r="AD85" i="80"/>
  <c r="AB85" i="80"/>
  <c r="AF85" i="80" s="1"/>
  <c r="W85" i="80"/>
  <c r="U85" i="80"/>
  <c r="T85" i="80" s="1"/>
  <c r="P85" i="80"/>
  <c r="N85" i="80"/>
  <c r="S85" i="80" s="1"/>
  <c r="R84" i="80"/>
  <c r="R56" i="80"/>
  <c r="R44" i="80"/>
  <c r="R39" i="80"/>
  <c r="AK99" i="80"/>
  <c r="AI99" i="80"/>
  <c r="AM99" i="80" s="1"/>
  <c r="AD99" i="80"/>
  <c r="AB99" i="80"/>
  <c r="AA99" i="80" s="1"/>
  <c r="W99" i="80"/>
  <c r="U99" i="80"/>
  <c r="Y99" i="80" s="1"/>
  <c r="P99" i="80"/>
  <c r="N99" i="80"/>
  <c r="S99" i="80" s="1"/>
  <c r="AK98" i="80"/>
  <c r="AI98" i="80"/>
  <c r="AN98" i="80" s="1"/>
  <c r="AD98" i="80"/>
  <c r="AB98" i="80"/>
  <c r="AA98" i="80" s="1"/>
  <c r="W98" i="80"/>
  <c r="U98" i="80"/>
  <c r="T98" i="80" s="1"/>
  <c r="P98" i="80"/>
  <c r="N98" i="80"/>
  <c r="O98" i="80" s="1"/>
  <c r="AK97" i="80"/>
  <c r="AI97" i="80"/>
  <c r="AH97" i="80" s="1"/>
  <c r="AD97" i="80"/>
  <c r="AB97" i="80"/>
  <c r="AG97" i="80" s="1"/>
  <c r="W97" i="80"/>
  <c r="U97" i="80"/>
  <c r="T97" i="80" s="1"/>
  <c r="P97" i="80"/>
  <c r="N97" i="80"/>
  <c r="M97" i="80" s="1"/>
  <c r="AK96" i="80"/>
  <c r="AI96" i="80"/>
  <c r="AM96" i="80" s="1"/>
  <c r="AD96" i="80"/>
  <c r="AB96" i="80"/>
  <c r="AF96" i="80" s="1"/>
  <c r="W96" i="80"/>
  <c r="U96" i="80"/>
  <c r="P96" i="80"/>
  <c r="N96" i="80"/>
  <c r="Q96" i="80" s="1"/>
  <c r="AK83" i="80"/>
  <c r="AI83" i="80"/>
  <c r="AN83" i="80" s="1"/>
  <c r="AD83" i="80"/>
  <c r="AB83" i="80"/>
  <c r="AA83" i="80" s="1"/>
  <c r="W83" i="80"/>
  <c r="U83" i="80"/>
  <c r="T83" i="80" s="1"/>
  <c r="P83" i="80"/>
  <c r="N83" i="80"/>
  <c r="R83" i="80" s="1"/>
  <c r="AK82" i="80"/>
  <c r="AI82" i="80"/>
  <c r="AM82" i="80" s="1"/>
  <c r="AD82" i="80"/>
  <c r="AB82" i="80"/>
  <c r="AC82" i="80" s="1"/>
  <c r="W82" i="80"/>
  <c r="U82" i="80"/>
  <c r="P82" i="80"/>
  <c r="N82" i="80"/>
  <c r="M82" i="80" s="1"/>
  <c r="AK81" i="80"/>
  <c r="AI81" i="80"/>
  <c r="AH81" i="80" s="1"/>
  <c r="AD81" i="80"/>
  <c r="AB81" i="80"/>
  <c r="AG81" i="80" s="1"/>
  <c r="W81" i="80"/>
  <c r="U81" i="80"/>
  <c r="P81" i="80"/>
  <c r="N81" i="80"/>
  <c r="M81" i="80" s="1"/>
  <c r="AK80" i="80"/>
  <c r="AI80" i="80"/>
  <c r="AH80" i="80" s="1"/>
  <c r="AD80" i="80"/>
  <c r="AB80" i="80"/>
  <c r="AA80" i="80" s="1"/>
  <c r="W80" i="80"/>
  <c r="U80" i="80"/>
  <c r="Y80" i="80" s="1"/>
  <c r="P80" i="80"/>
  <c r="N80" i="80"/>
  <c r="AK60" i="80"/>
  <c r="AI60" i="80"/>
  <c r="AH60" i="80" s="1"/>
  <c r="AD60" i="80"/>
  <c r="AB60" i="80"/>
  <c r="AF60" i="80" s="1"/>
  <c r="W60" i="80"/>
  <c r="U60" i="80"/>
  <c r="X60" i="80" s="1"/>
  <c r="P60" i="80"/>
  <c r="N60" i="80"/>
  <c r="M60" i="80" s="1"/>
  <c r="AK59" i="80"/>
  <c r="AI59" i="80"/>
  <c r="AH59" i="80" s="1"/>
  <c r="AD59" i="80"/>
  <c r="AB59" i="80"/>
  <c r="AA59" i="80" s="1"/>
  <c r="W59" i="80"/>
  <c r="U59" i="80"/>
  <c r="X59" i="80" s="1"/>
  <c r="P59" i="80"/>
  <c r="N59" i="80"/>
  <c r="M59" i="80" s="1"/>
  <c r="AK58" i="80"/>
  <c r="AI58" i="80"/>
  <c r="AH58" i="80" s="1"/>
  <c r="AD58" i="80"/>
  <c r="AB58" i="80"/>
  <c r="AA58" i="80" s="1"/>
  <c r="W58" i="80"/>
  <c r="U58" i="80"/>
  <c r="V58" i="80" s="1"/>
  <c r="P58" i="80"/>
  <c r="N58" i="80"/>
  <c r="M58" i="80" s="1"/>
  <c r="AK57" i="80"/>
  <c r="AI57" i="80"/>
  <c r="AM57" i="80" s="1"/>
  <c r="AD57" i="80"/>
  <c r="AB57" i="80"/>
  <c r="AE57" i="80" s="1"/>
  <c r="W57" i="80"/>
  <c r="U57" i="80"/>
  <c r="T57" i="80" s="1"/>
  <c r="P57" i="80"/>
  <c r="N57" i="80"/>
  <c r="Q57" i="80" s="1"/>
  <c r="R49" i="80"/>
  <c r="AK48" i="80"/>
  <c r="AI48" i="80"/>
  <c r="AM48" i="80" s="1"/>
  <c r="AD48" i="80"/>
  <c r="AB48" i="80"/>
  <c r="AC48" i="80" s="1"/>
  <c r="W48" i="80"/>
  <c r="U48" i="80"/>
  <c r="Z48" i="80" s="1"/>
  <c r="P48" i="80"/>
  <c r="N48" i="80"/>
  <c r="M48" i="80" s="1"/>
  <c r="AK47" i="80"/>
  <c r="AI47" i="80"/>
  <c r="AH47" i="80" s="1"/>
  <c r="AD47" i="80"/>
  <c r="AB47" i="80"/>
  <c r="AF47" i="80" s="1"/>
  <c r="W47" i="80"/>
  <c r="U47" i="80"/>
  <c r="Z47" i="80" s="1"/>
  <c r="P47" i="80"/>
  <c r="N47" i="80"/>
  <c r="R47" i="80" s="1"/>
  <c r="AK46" i="80"/>
  <c r="AI46" i="80"/>
  <c r="AJ46" i="80" s="1"/>
  <c r="AD46" i="80"/>
  <c r="AB46" i="80"/>
  <c r="AA46" i="80" s="1"/>
  <c r="W46" i="80"/>
  <c r="U46" i="80"/>
  <c r="T46" i="80" s="1"/>
  <c r="P46" i="80"/>
  <c r="N46" i="80"/>
  <c r="S46" i="80" s="1"/>
  <c r="AK45" i="80"/>
  <c r="AI45" i="80"/>
  <c r="AN45" i="80" s="1"/>
  <c r="AD45" i="80"/>
  <c r="AB45" i="80"/>
  <c r="AF45" i="80" s="1"/>
  <c r="W45" i="80"/>
  <c r="U45" i="80"/>
  <c r="Y45" i="80" s="1"/>
  <c r="P45" i="80"/>
  <c r="N45" i="80"/>
  <c r="O45" i="80" s="1"/>
  <c r="AK43" i="80"/>
  <c r="AI43" i="80"/>
  <c r="AJ43" i="80" s="1"/>
  <c r="AD43" i="80"/>
  <c r="AB43" i="80"/>
  <c r="AC43" i="80" s="1"/>
  <c r="W43" i="80"/>
  <c r="U43" i="80"/>
  <c r="X43" i="80" s="1"/>
  <c r="P43" i="80"/>
  <c r="N43" i="80"/>
  <c r="M43" i="80" s="1"/>
  <c r="AK42" i="80"/>
  <c r="AI42" i="80"/>
  <c r="AH42" i="80" s="1"/>
  <c r="AD42" i="80"/>
  <c r="AB42" i="80"/>
  <c r="AA42" i="80" s="1"/>
  <c r="W42" i="80"/>
  <c r="U42" i="80"/>
  <c r="Z42" i="80" s="1"/>
  <c r="P42" i="80"/>
  <c r="N42" i="80"/>
  <c r="R42" i="80" s="1"/>
  <c r="AK41" i="80"/>
  <c r="AI41" i="80"/>
  <c r="AM41" i="80" s="1"/>
  <c r="AD41" i="80"/>
  <c r="AB41" i="80"/>
  <c r="AF41" i="80" s="1"/>
  <c r="W41" i="80"/>
  <c r="U41" i="80"/>
  <c r="V41" i="80" s="1"/>
  <c r="P41" i="80"/>
  <c r="N41" i="80"/>
  <c r="O41" i="80" s="1"/>
  <c r="AK40" i="80"/>
  <c r="AI40" i="80"/>
  <c r="AJ40" i="80" s="1"/>
  <c r="AD40" i="80"/>
  <c r="AB40" i="80"/>
  <c r="AA40" i="80" s="1"/>
  <c r="W40" i="80"/>
  <c r="U40" i="80"/>
  <c r="T40" i="80" s="1"/>
  <c r="P40" i="80"/>
  <c r="N40" i="80"/>
  <c r="M40" i="80" s="1"/>
  <c r="AK38" i="80"/>
  <c r="AI38" i="80"/>
  <c r="AH38" i="80" s="1"/>
  <c r="AD38" i="80"/>
  <c r="AB38" i="80"/>
  <c r="AG38" i="80" s="1"/>
  <c r="W38" i="80"/>
  <c r="U38" i="80"/>
  <c r="Y38" i="80" s="1"/>
  <c r="P38" i="80"/>
  <c r="N38" i="80"/>
  <c r="R38" i="80" s="1"/>
  <c r="AK37" i="80"/>
  <c r="AI37" i="80"/>
  <c r="AM37" i="80" s="1"/>
  <c r="AD37" i="80"/>
  <c r="AB37" i="80"/>
  <c r="AF37" i="80" s="1"/>
  <c r="W37" i="80"/>
  <c r="U37" i="80"/>
  <c r="V37" i="80" s="1"/>
  <c r="P37" i="80"/>
  <c r="N37" i="80"/>
  <c r="S37" i="80" s="1"/>
  <c r="AK36" i="80"/>
  <c r="AI36" i="80"/>
  <c r="AN36" i="80" s="1"/>
  <c r="AD36" i="80"/>
  <c r="AB36" i="80"/>
  <c r="AA36" i="80" s="1"/>
  <c r="W36" i="80"/>
  <c r="U36" i="80"/>
  <c r="T36" i="80" s="1"/>
  <c r="P36" i="80"/>
  <c r="N36" i="80"/>
  <c r="S36" i="80" s="1"/>
  <c r="AK35" i="80"/>
  <c r="AI35" i="80"/>
  <c r="AN35" i="80" s="1"/>
  <c r="AD35" i="80"/>
  <c r="AB35" i="80"/>
  <c r="AF35" i="80" s="1"/>
  <c r="W35" i="80"/>
  <c r="U35" i="80"/>
  <c r="Y35" i="80" s="1"/>
  <c r="P35" i="80"/>
  <c r="N35" i="80"/>
  <c r="R35" i="80" s="1"/>
  <c r="AK33" i="80"/>
  <c r="AI33" i="80"/>
  <c r="AJ33" i="80" s="1"/>
  <c r="AD33" i="80"/>
  <c r="AB33" i="80"/>
  <c r="AC33" i="80" s="1"/>
  <c r="W33" i="80"/>
  <c r="U33" i="80"/>
  <c r="Z33" i="80" s="1"/>
  <c r="P33" i="80"/>
  <c r="N33" i="80"/>
  <c r="M33" i="80" s="1"/>
  <c r="AK32" i="80"/>
  <c r="AI32" i="80"/>
  <c r="AH32" i="80" s="1"/>
  <c r="AD32" i="80"/>
  <c r="AB32" i="80"/>
  <c r="AA32" i="80" s="1"/>
  <c r="W32" i="80"/>
  <c r="U32" i="80"/>
  <c r="Z32" i="80" s="1"/>
  <c r="P32" i="80"/>
  <c r="N32" i="80"/>
  <c r="R32" i="80" s="1"/>
  <c r="AK31" i="80"/>
  <c r="AI31" i="80"/>
  <c r="AM31" i="80" s="1"/>
  <c r="AD31" i="80"/>
  <c r="AB31" i="80"/>
  <c r="AF31" i="80" s="1"/>
  <c r="W31" i="80"/>
  <c r="U31" i="80"/>
  <c r="Y31" i="80" s="1"/>
  <c r="P31" i="80"/>
  <c r="N31" i="80"/>
  <c r="O31" i="80" s="1"/>
  <c r="AK30" i="80"/>
  <c r="AI30" i="80"/>
  <c r="AJ30" i="80" s="1"/>
  <c r="AD30" i="80"/>
  <c r="AB30" i="80"/>
  <c r="AC30" i="80" s="1"/>
  <c r="W30" i="80"/>
  <c r="U30" i="80"/>
  <c r="T30" i="80" s="1"/>
  <c r="P30" i="80"/>
  <c r="N30" i="80"/>
  <c r="M30" i="80" s="1"/>
  <c r="R34" i="80"/>
  <c r="L18" i="80"/>
  <c r="L17" i="80"/>
  <c r="L15" i="80"/>
  <c r="L14" i="80"/>
  <c r="L13" i="80"/>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80" a="1"/>
  <c r="O76" i="80" l="1"/>
  <c r="AN77" i="80"/>
  <c r="AN76" i="80"/>
  <c r="M78" i="80"/>
  <c r="AH78" i="80"/>
  <c r="V74" i="80"/>
  <c r="AF77" i="80"/>
  <c r="AC73" i="80"/>
  <c r="Q74" i="80"/>
  <c r="AL74" i="80"/>
  <c r="O77" i="80"/>
  <c r="AG77" i="80"/>
  <c r="AC74" i="80"/>
  <c r="S51" i="80"/>
  <c r="T76" i="80"/>
  <c r="AH76" i="80"/>
  <c r="X77" i="80"/>
  <c r="AC78" i="80"/>
  <c r="Z50" i="80"/>
  <c r="Q75" i="80"/>
  <c r="V73" i="80"/>
  <c r="AG74" i="80"/>
  <c r="S75" i="80"/>
  <c r="V76" i="80"/>
  <c r="AJ76" i="80"/>
  <c r="Z77" i="80"/>
  <c r="R78" i="80"/>
  <c r="X74" i="80"/>
  <c r="T75" i="80"/>
  <c r="AJ75" i="80"/>
  <c r="Q77" i="80"/>
  <c r="AA77" i="80"/>
  <c r="S78" i="80"/>
  <c r="Y77" i="80"/>
  <c r="AL73" i="80"/>
  <c r="Y74" i="80"/>
  <c r="Y76" i="80"/>
  <c r="AL76" i="80"/>
  <c r="R77" i="80"/>
  <c r="AF74" i="80"/>
  <c r="AA74" i="80"/>
  <c r="V75" i="80"/>
  <c r="AM77" i="80"/>
  <c r="S73" i="80"/>
  <c r="T73" i="80"/>
  <c r="AJ73" i="80"/>
  <c r="O74" i="80"/>
  <c r="AM74" i="80"/>
  <c r="R75" i="80"/>
  <c r="Z75" i="80"/>
  <c r="AH75" i="80"/>
  <c r="M76" i="80"/>
  <c r="AC76" i="80"/>
  <c r="AG75" i="80"/>
  <c r="Z78" i="80"/>
  <c r="M73" i="80"/>
  <c r="AA75" i="80"/>
  <c r="T78" i="80"/>
  <c r="AJ78" i="80"/>
  <c r="O73" i="80"/>
  <c r="AM73" i="80"/>
  <c r="R74" i="80"/>
  <c r="Z74" i="80"/>
  <c r="AH74" i="80"/>
  <c r="M75" i="80"/>
  <c r="AC75" i="80"/>
  <c r="X76" i="80"/>
  <c r="AF76" i="80"/>
  <c r="V78" i="80"/>
  <c r="AL78" i="80"/>
  <c r="AE51" i="80"/>
  <c r="X73" i="80"/>
  <c r="AN73" i="80"/>
  <c r="S74" i="80"/>
  <c r="AL75" i="80"/>
  <c r="Q76" i="80"/>
  <c r="AG76" i="80"/>
  <c r="T77" i="80"/>
  <c r="AJ77" i="80"/>
  <c r="O78" i="80"/>
  <c r="AE78" i="80"/>
  <c r="AM78" i="80"/>
  <c r="AF51" i="80"/>
  <c r="Q73" i="80"/>
  <c r="Y73" i="80"/>
  <c r="AE75" i="80"/>
  <c r="AM75" i="80"/>
  <c r="R76" i="80"/>
  <c r="X78" i="80"/>
  <c r="AF78" i="80"/>
  <c r="Q51" i="80"/>
  <c r="AH52" i="80"/>
  <c r="AG51" i="80"/>
  <c r="AA64" i="80"/>
  <c r="Y55" i="80"/>
  <c r="T50" i="80"/>
  <c r="M51" i="80"/>
  <c r="AA51" i="80"/>
  <c r="O51" i="80"/>
  <c r="T52" i="80"/>
  <c r="R50" i="80"/>
  <c r="AA53" i="80"/>
  <c r="AL54" i="80"/>
  <c r="AA55" i="80"/>
  <c r="AM54" i="80"/>
  <c r="AN54" i="80"/>
  <c r="AE53" i="80"/>
  <c r="AG53" i="80"/>
  <c r="M50" i="80"/>
  <c r="AH54" i="80"/>
  <c r="R52" i="80"/>
  <c r="AF52" i="80"/>
  <c r="AL50" i="80"/>
  <c r="S52" i="80"/>
  <c r="AF54" i="80"/>
  <c r="AN50" i="80"/>
  <c r="AG54" i="80"/>
  <c r="AG55" i="80"/>
  <c r="AJ50" i="80"/>
  <c r="AM51" i="80"/>
  <c r="AN52" i="80"/>
  <c r="AC53" i="80"/>
  <c r="T54" i="80"/>
  <c r="AH50" i="80"/>
  <c r="AN51" i="80"/>
  <c r="AA52" i="80"/>
  <c r="M53" i="80"/>
  <c r="T55" i="80"/>
  <c r="Q55" i="80"/>
  <c r="S55" i="80"/>
  <c r="Z52" i="80"/>
  <c r="V54" i="80"/>
  <c r="V52" i="80"/>
  <c r="S53" i="80"/>
  <c r="X54" i="80"/>
  <c r="X52" i="80"/>
  <c r="Y54" i="80"/>
  <c r="S50" i="80"/>
  <c r="AA50" i="80"/>
  <c r="V51" i="80"/>
  <c r="AL51" i="80"/>
  <c r="Q52" i="80"/>
  <c r="AG52" i="80"/>
  <c r="T53" i="80"/>
  <c r="AJ53" i="80"/>
  <c r="O54" i="80"/>
  <c r="AE54" i="80"/>
  <c r="R55" i="80"/>
  <c r="Z55" i="80"/>
  <c r="AH55" i="80"/>
  <c r="V53" i="80"/>
  <c r="Q54" i="80"/>
  <c r="V50" i="80"/>
  <c r="Y51" i="80"/>
  <c r="AJ52" i="80"/>
  <c r="O53" i="80"/>
  <c r="AM53" i="80"/>
  <c r="R54" i="80"/>
  <c r="M55" i="80"/>
  <c r="AC55" i="80"/>
  <c r="AC50" i="80"/>
  <c r="AJ55" i="80"/>
  <c r="O50" i="80"/>
  <c r="AE50" i="80"/>
  <c r="Z51" i="80"/>
  <c r="AH51" i="80"/>
  <c r="M52" i="80"/>
  <c r="AC52" i="80"/>
  <c r="X53" i="80"/>
  <c r="AN53" i="80"/>
  <c r="S54" i="80"/>
  <c r="AA54" i="80"/>
  <c r="V55" i="80"/>
  <c r="AL55" i="80"/>
  <c r="X51" i="80"/>
  <c r="X50" i="80"/>
  <c r="AF50" i="80"/>
  <c r="AL52" i="80"/>
  <c r="Q53" i="80"/>
  <c r="Y53" i="80"/>
  <c r="AE55" i="80"/>
  <c r="AM55" i="80"/>
  <c r="AL53" i="80"/>
  <c r="AA70" i="80"/>
  <c r="AN65" i="80"/>
  <c r="AH68" i="80"/>
  <c r="AA71" i="80"/>
  <c r="AG68" i="80"/>
  <c r="Z70" i="80"/>
  <c r="R68" i="80"/>
  <c r="AM63" i="80"/>
  <c r="S68" i="80"/>
  <c r="S63" i="80"/>
  <c r="AN63" i="80"/>
  <c r="AL62" i="80"/>
  <c r="Q70" i="80"/>
  <c r="T62" i="80"/>
  <c r="AM62" i="80"/>
  <c r="AH64" i="80"/>
  <c r="Q66" i="80"/>
  <c r="AJ69" i="80"/>
  <c r="R70" i="80"/>
  <c r="AN62" i="80"/>
  <c r="R64" i="80"/>
  <c r="S66" i="80"/>
  <c r="AM66" i="80"/>
  <c r="S70" i="80"/>
  <c r="AH63" i="80"/>
  <c r="S64" i="80"/>
  <c r="T66" i="80"/>
  <c r="AN66" i="80"/>
  <c r="AA68" i="80"/>
  <c r="AL69" i="80"/>
  <c r="AL65" i="80"/>
  <c r="AM69" i="80"/>
  <c r="Q63" i="80"/>
  <c r="AM65" i="80"/>
  <c r="AN69" i="80"/>
  <c r="Y70" i="80"/>
  <c r="V63" i="80"/>
  <c r="AF66" i="80"/>
  <c r="AC69" i="80"/>
  <c r="AN70" i="80"/>
  <c r="AC65" i="80"/>
  <c r="V68" i="80"/>
  <c r="AE63" i="80"/>
  <c r="Y64" i="80"/>
  <c r="M65" i="80"/>
  <c r="AE65" i="80"/>
  <c r="V66" i="80"/>
  <c r="AG66" i="80"/>
  <c r="Y68" i="80"/>
  <c r="T70" i="80"/>
  <c r="M71" i="80"/>
  <c r="AC63" i="80"/>
  <c r="M62" i="80"/>
  <c r="O63" i="80"/>
  <c r="X63" i="80"/>
  <c r="AF63" i="80"/>
  <c r="Z64" i="80"/>
  <c r="AG65" i="80"/>
  <c r="O66" i="80"/>
  <c r="AH66" i="80"/>
  <c r="Z68" i="80"/>
  <c r="M69" i="80"/>
  <c r="AE69" i="80"/>
  <c r="Y63" i="80"/>
  <c r="AG63" i="80"/>
  <c r="X66" i="80"/>
  <c r="AF69" i="80"/>
  <c r="V70" i="80"/>
  <c r="AF70" i="80"/>
  <c r="O62" i="80"/>
  <c r="AJ62" i="80"/>
  <c r="Z63" i="80"/>
  <c r="AJ65" i="80"/>
  <c r="Y66" i="80"/>
  <c r="AJ66" i="80"/>
  <c r="AG69" i="80"/>
  <c r="O70" i="80"/>
  <c r="AG70" i="80"/>
  <c r="S71" i="80"/>
  <c r="V64" i="80"/>
  <c r="R63" i="80"/>
  <c r="T64" i="80"/>
  <c r="R66" i="80"/>
  <c r="T68" i="80"/>
  <c r="AH70" i="80"/>
  <c r="T71" i="80"/>
  <c r="AC62" i="80"/>
  <c r="S62" i="80"/>
  <c r="AA62" i="80"/>
  <c r="AL63" i="80"/>
  <c r="Q64" i="80"/>
  <c r="AG64" i="80"/>
  <c r="T65" i="80"/>
  <c r="AE66" i="80"/>
  <c r="Q68" i="80"/>
  <c r="T69" i="80"/>
  <c r="AE70" i="80"/>
  <c r="AM70" i="80"/>
  <c r="R71" i="80"/>
  <c r="Z71" i="80"/>
  <c r="AH71" i="80"/>
  <c r="V65" i="80"/>
  <c r="V69" i="80"/>
  <c r="AJ71" i="80"/>
  <c r="V62" i="80"/>
  <c r="AJ64" i="80"/>
  <c r="O65" i="80"/>
  <c r="AJ68" i="80"/>
  <c r="O69" i="80"/>
  <c r="AC71" i="80"/>
  <c r="AE62" i="80"/>
  <c r="M64" i="80"/>
  <c r="AC64" i="80"/>
  <c r="X65" i="80"/>
  <c r="AF65" i="80"/>
  <c r="AA66" i="80"/>
  <c r="M68" i="80"/>
  <c r="AC68" i="80"/>
  <c r="X69" i="80"/>
  <c r="V71" i="80"/>
  <c r="AL71" i="80"/>
  <c r="X62" i="80"/>
  <c r="AF62" i="80"/>
  <c r="AL64" i="80"/>
  <c r="Q65" i="80"/>
  <c r="Y65" i="80"/>
  <c r="AL68" i="80"/>
  <c r="Q69" i="80"/>
  <c r="Y69" i="80"/>
  <c r="AJ70" i="80"/>
  <c r="O71" i="80"/>
  <c r="AE71" i="80"/>
  <c r="AM71" i="80"/>
  <c r="Q62" i="80"/>
  <c r="Y62" i="80"/>
  <c r="AE64" i="80"/>
  <c r="AM64" i="80"/>
  <c r="R65" i="80"/>
  <c r="AE68" i="80"/>
  <c r="AM68" i="80"/>
  <c r="R69" i="80"/>
  <c r="X71" i="80"/>
  <c r="AF71" i="80"/>
  <c r="AH91" i="80"/>
  <c r="M87" i="80"/>
  <c r="AJ87" i="80"/>
  <c r="AM87" i="80"/>
  <c r="AG91" i="80"/>
  <c r="Y85" i="80"/>
  <c r="S88" i="80"/>
  <c r="AJ86" i="80"/>
  <c r="AC92" i="80"/>
  <c r="AA94" i="80"/>
  <c r="R92" i="80"/>
  <c r="AF92" i="80"/>
  <c r="S92" i="80"/>
  <c r="AG92" i="80"/>
  <c r="AE89" i="80"/>
  <c r="AH92" i="80"/>
  <c r="AF89" i="80"/>
  <c r="AC91" i="80"/>
  <c r="Q93" i="80"/>
  <c r="AG86" i="80"/>
  <c r="T94" i="80"/>
  <c r="AA92" i="80"/>
  <c r="Q92" i="80"/>
  <c r="M92" i="80"/>
  <c r="Y92" i="80"/>
  <c r="Z92" i="80"/>
  <c r="AC85" i="80"/>
  <c r="X93" i="80"/>
  <c r="O87" i="80"/>
  <c r="V88" i="80"/>
  <c r="AG89" i="80"/>
  <c r="AL91" i="80"/>
  <c r="T92" i="80"/>
  <c r="AJ92" i="80"/>
  <c r="AG85" i="80"/>
  <c r="S89" i="80"/>
  <c r="AN91" i="80"/>
  <c r="Q87" i="80"/>
  <c r="V92" i="80"/>
  <c r="AL92" i="80"/>
  <c r="V85" i="80"/>
  <c r="S87" i="80"/>
  <c r="M91" i="80"/>
  <c r="AF91" i="80"/>
  <c r="AM92" i="80"/>
  <c r="AH88" i="80"/>
  <c r="AC93" i="80"/>
  <c r="R86" i="80"/>
  <c r="AF88" i="80"/>
  <c r="AA93" i="80"/>
  <c r="AN93" i="80"/>
  <c r="X94" i="80"/>
  <c r="AA85" i="80"/>
  <c r="AL85" i="80"/>
  <c r="AL86" i="80"/>
  <c r="AN87" i="80"/>
  <c r="Y88" i="80"/>
  <c r="AJ88" i="80"/>
  <c r="AH89" i="80"/>
  <c r="AA91" i="80"/>
  <c r="S93" i="80"/>
  <c r="S94" i="80"/>
  <c r="AM85" i="80"/>
  <c r="AN86" i="80"/>
  <c r="Z88" i="80"/>
  <c r="AA89" i="80"/>
  <c r="AF93" i="80"/>
  <c r="AM88" i="80"/>
  <c r="AG93" i="80"/>
  <c r="R88" i="80"/>
  <c r="AN88" i="80"/>
  <c r="V94" i="80"/>
  <c r="V86" i="80"/>
  <c r="AE85" i="80"/>
  <c r="Q86" i="80"/>
  <c r="AH86" i="80"/>
  <c r="AE88" i="80"/>
  <c r="M93" i="80"/>
  <c r="Y93" i="80"/>
  <c r="R89" i="80"/>
  <c r="Y86" i="80"/>
  <c r="T88" i="80"/>
  <c r="Z86" i="80"/>
  <c r="T87" i="80"/>
  <c r="M89" i="80"/>
  <c r="Z89" i="80"/>
  <c r="O89" i="80"/>
  <c r="T86" i="80"/>
  <c r="O88" i="80"/>
  <c r="Q85" i="80"/>
  <c r="M85" i="80"/>
  <c r="AF86" i="80"/>
  <c r="AA87" i="80"/>
  <c r="Y89" i="80"/>
  <c r="T91" i="80"/>
  <c r="AJ91" i="80"/>
  <c r="O93" i="80"/>
  <c r="AM93" i="80"/>
  <c r="R94" i="80"/>
  <c r="Z94" i="80"/>
  <c r="AH94" i="80"/>
  <c r="AC87" i="80"/>
  <c r="V91" i="80"/>
  <c r="AJ94" i="80"/>
  <c r="X85" i="80"/>
  <c r="AN85" i="80"/>
  <c r="S86" i="80"/>
  <c r="AA86" i="80"/>
  <c r="V87" i="80"/>
  <c r="AL87" i="80"/>
  <c r="Q88" i="80"/>
  <c r="AG88" i="80"/>
  <c r="T89" i="80"/>
  <c r="AJ89" i="80"/>
  <c r="O91" i="80"/>
  <c r="Z93" i="80"/>
  <c r="AH93" i="80"/>
  <c r="M94" i="80"/>
  <c r="AC94" i="80"/>
  <c r="AE87" i="80"/>
  <c r="X91" i="80"/>
  <c r="AL94" i="80"/>
  <c r="O85" i="80"/>
  <c r="R85" i="80"/>
  <c r="Z85" i="80"/>
  <c r="AH85" i="80"/>
  <c r="M86" i="80"/>
  <c r="AC86" i="80"/>
  <c r="X87" i="80"/>
  <c r="AF87" i="80"/>
  <c r="AA88" i="80"/>
  <c r="V89" i="80"/>
  <c r="AL89" i="80"/>
  <c r="Q91" i="80"/>
  <c r="Y91" i="80"/>
  <c r="T93" i="80"/>
  <c r="AJ93" i="80"/>
  <c r="O94" i="80"/>
  <c r="AE94" i="80"/>
  <c r="AM94" i="80"/>
  <c r="Y87" i="80"/>
  <c r="AM89" i="80"/>
  <c r="R91" i="80"/>
  <c r="AF94" i="80"/>
  <c r="AA57" i="80"/>
  <c r="S35" i="80"/>
  <c r="AM46" i="80"/>
  <c r="AF30" i="80"/>
  <c r="AL46" i="80"/>
  <c r="AN31" i="80"/>
  <c r="AJ32" i="80"/>
  <c r="AH33" i="80"/>
  <c r="AG57" i="80"/>
  <c r="AN48" i="80"/>
  <c r="AL33" i="80"/>
  <c r="AG37" i="80"/>
  <c r="AE30" i="80"/>
  <c r="AA47" i="80"/>
  <c r="AG96" i="80"/>
  <c r="AJ97" i="80"/>
  <c r="AL30" i="80"/>
  <c r="AH31" i="80"/>
  <c r="AM33" i="80"/>
  <c r="M42" i="80"/>
  <c r="AG45" i="80"/>
  <c r="AN33" i="80"/>
  <c r="AG35" i="80"/>
  <c r="T38" i="80"/>
  <c r="AC57" i="80"/>
  <c r="AN97" i="80"/>
  <c r="AH35" i="80"/>
  <c r="AC37" i="80"/>
  <c r="AE80" i="80"/>
  <c r="T31" i="80"/>
  <c r="AF57" i="80"/>
  <c r="AF80" i="80"/>
  <c r="AA45" i="80"/>
  <c r="AN46" i="80"/>
  <c r="AH57" i="80"/>
  <c r="T80" i="80"/>
  <c r="AH96" i="80"/>
  <c r="AA38" i="80"/>
  <c r="M46" i="80"/>
  <c r="AH99" i="80"/>
  <c r="AH36" i="80"/>
  <c r="AA37" i="80"/>
  <c r="T41" i="80"/>
  <c r="AL41" i="80"/>
  <c r="T43" i="80"/>
  <c r="Y48" i="80"/>
  <c r="AG60" i="80"/>
  <c r="Y33" i="80"/>
  <c r="AA35" i="80"/>
  <c r="AH40" i="80"/>
  <c r="AN41" i="80"/>
  <c r="AA48" i="80"/>
  <c r="AC58" i="80"/>
  <c r="T59" i="80"/>
  <c r="AJ82" i="80"/>
  <c r="T99" i="80"/>
  <c r="AN99" i="80"/>
  <c r="AC35" i="80"/>
  <c r="Y41" i="80"/>
  <c r="AJ42" i="80"/>
  <c r="Y43" i="80"/>
  <c r="AH45" i="80"/>
  <c r="AE58" i="80"/>
  <c r="AL82" i="80"/>
  <c r="AG30" i="80"/>
  <c r="AM32" i="80"/>
  <c r="AE37" i="80"/>
  <c r="AL40" i="80"/>
  <c r="Z43" i="80"/>
  <c r="Q45" i="80"/>
  <c r="S47" i="80"/>
  <c r="AF58" i="80"/>
  <c r="AN82" i="80"/>
  <c r="AA96" i="80"/>
  <c r="AL97" i="80"/>
  <c r="Q35" i="80"/>
  <c r="AE35" i="80"/>
  <c r="R37" i="80"/>
  <c r="AM40" i="80"/>
  <c r="T42" i="80"/>
  <c r="AM42" i="80"/>
  <c r="AA43" i="80"/>
  <c r="AA60" i="80"/>
  <c r="AA81" i="80"/>
  <c r="AM97" i="80"/>
  <c r="AL43" i="80"/>
  <c r="AJ59" i="80"/>
  <c r="V80" i="80"/>
  <c r="AL81" i="80"/>
  <c r="AC98" i="80"/>
  <c r="V31" i="80"/>
  <c r="O33" i="80"/>
  <c r="AE33" i="80"/>
  <c r="AL36" i="80"/>
  <c r="X38" i="80"/>
  <c r="AF40" i="80"/>
  <c r="AG41" i="80"/>
  <c r="AN43" i="80"/>
  <c r="AF46" i="80"/>
  <c r="R48" i="80"/>
  <c r="AF48" i="80"/>
  <c r="AJ57" i="80"/>
  <c r="AM58" i="80"/>
  <c r="Y59" i="80"/>
  <c r="AL59" i="80"/>
  <c r="X80" i="80"/>
  <c r="AE81" i="80"/>
  <c r="AG82" i="80"/>
  <c r="AF83" i="80"/>
  <c r="AL96" i="80"/>
  <c r="V99" i="80"/>
  <c r="AJ99" i="80"/>
  <c r="AC40" i="80"/>
  <c r="AJ36" i="80"/>
  <c r="V38" i="80"/>
  <c r="Z45" i="80"/>
  <c r="AE40" i="80"/>
  <c r="AM43" i="80"/>
  <c r="AE48" i="80"/>
  <c r="AC97" i="80"/>
  <c r="AA30" i="80"/>
  <c r="AJ31" i="80"/>
  <c r="AF33" i="80"/>
  <c r="M35" i="80"/>
  <c r="Z35" i="80"/>
  <c r="AC36" i="80"/>
  <c r="AM36" i="80"/>
  <c r="AN37" i="80"/>
  <c r="Z38" i="80"/>
  <c r="AG40" i="80"/>
  <c r="Q41" i="80"/>
  <c r="AH41" i="80"/>
  <c r="O42" i="80"/>
  <c r="V43" i="80"/>
  <c r="AE43" i="80"/>
  <c r="AC45" i="80"/>
  <c r="AH46" i="80"/>
  <c r="AE47" i="80"/>
  <c r="AG48" i="80"/>
  <c r="AN58" i="80"/>
  <c r="Z59" i="80"/>
  <c r="AN59" i="80"/>
  <c r="AC60" i="80"/>
  <c r="AF81" i="80"/>
  <c r="AH82" i="80"/>
  <c r="AG83" i="80"/>
  <c r="AC96" i="80"/>
  <c r="AF97" i="80"/>
  <c r="AJ98" i="80"/>
  <c r="AC83" i="80"/>
  <c r="AG31" i="80"/>
  <c r="O48" i="80"/>
  <c r="V59" i="80"/>
  <c r="AC81" i="80"/>
  <c r="AM81" i="80"/>
  <c r="AF82" i="80"/>
  <c r="AE83" i="80"/>
  <c r="R33" i="80"/>
  <c r="AF43" i="80"/>
  <c r="AG47" i="80"/>
  <c r="AL57" i="80"/>
  <c r="Z99" i="80"/>
  <c r="AL99" i="80"/>
  <c r="AC46" i="80"/>
  <c r="Y60" i="80"/>
  <c r="AC47" i="80"/>
  <c r="X31" i="80"/>
  <c r="AM30" i="80"/>
  <c r="Z31" i="80"/>
  <c r="AL31" i="80"/>
  <c r="O35" i="80"/>
  <c r="M36" i="80"/>
  <c r="AF36" i="80"/>
  <c r="AJ41" i="80"/>
  <c r="Q42" i="80"/>
  <c r="AH43" i="80"/>
  <c r="AE45" i="80"/>
  <c r="AN57" i="80"/>
  <c r="AE60" i="80"/>
  <c r="AE96" i="80"/>
  <c r="AM98" i="80"/>
  <c r="O83" i="80"/>
  <c r="Y57" i="80"/>
  <c r="R59" i="80"/>
  <c r="R99" i="80"/>
  <c r="S60" i="80"/>
  <c r="Q83" i="80"/>
  <c r="V60" i="80"/>
  <c r="M83" i="80"/>
  <c r="X99" i="80"/>
  <c r="V30" i="80"/>
  <c r="Q32" i="80"/>
  <c r="T33" i="80"/>
  <c r="M37" i="80"/>
  <c r="S38" i="80"/>
  <c r="V40" i="80"/>
  <c r="M41" i="80"/>
  <c r="X41" i="80"/>
  <c r="R43" i="80"/>
  <c r="R45" i="80"/>
  <c r="M47" i="80"/>
  <c r="T48" i="80"/>
  <c r="S59" i="80"/>
  <c r="Z80" i="80"/>
  <c r="S83" i="80"/>
  <c r="Q98" i="80"/>
  <c r="Q31" i="80"/>
  <c r="X37" i="80"/>
  <c r="S45" i="80"/>
  <c r="X47" i="80"/>
  <c r="R98" i="80"/>
  <c r="S32" i="80"/>
  <c r="Y30" i="80"/>
  <c r="R31" i="80"/>
  <c r="T32" i="80"/>
  <c r="V33" i="80"/>
  <c r="O37" i="80"/>
  <c r="Y37" i="80"/>
  <c r="Y40" i="80"/>
  <c r="Z41" i="80"/>
  <c r="S42" i="80"/>
  <c r="O47" i="80"/>
  <c r="Y47" i="80"/>
  <c r="V48" i="80"/>
  <c r="V57" i="80"/>
  <c r="O60" i="80"/>
  <c r="Z60" i="80"/>
  <c r="S98" i="80"/>
  <c r="R96" i="80"/>
  <c r="M32" i="80"/>
  <c r="X33" i="80"/>
  <c r="Q37" i="80"/>
  <c r="R41" i="80"/>
  <c r="M45" i="80"/>
  <c r="Q47" i="80"/>
  <c r="X48" i="80"/>
  <c r="X57" i="80"/>
  <c r="O59" i="80"/>
  <c r="Q60" i="80"/>
  <c r="S96" i="80"/>
  <c r="M98" i="80"/>
  <c r="O32" i="80"/>
  <c r="O43" i="80"/>
  <c r="T47" i="80"/>
  <c r="Q59" i="80"/>
  <c r="V97" i="80"/>
  <c r="C1" i="80"/>
  <c r="O30" i="80"/>
  <c r="T81" i="80"/>
  <c r="X81" i="80"/>
  <c r="Z81" i="80"/>
  <c r="Y81" i="80"/>
  <c r="X30" i="80"/>
  <c r="AN30" i="80"/>
  <c r="S31" i="80"/>
  <c r="AA31" i="80"/>
  <c r="V32" i="80"/>
  <c r="AL32" i="80"/>
  <c r="Q33" i="80"/>
  <c r="AG33" i="80"/>
  <c r="T35" i="80"/>
  <c r="AJ35" i="80"/>
  <c r="O36" i="80"/>
  <c r="AE36" i="80"/>
  <c r="Z37" i="80"/>
  <c r="AH37" i="80"/>
  <c r="M38" i="80"/>
  <c r="AC38" i="80"/>
  <c r="X40" i="80"/>
  <c r="AN40" i="80"/>
  <c r="S41" i="80"/>
  <c r="AA41" i="80"/>
  <c r="V42" i="80"/>
  <c r="AL42" i="80"/>
  <c r="Q43" i="80"/>
  <c r="AG43" i="80"/>
  <c r="T45" i="80"/>
  <c r="AJ45" i="80"/>
  <c r="O46" i="80"/>
  <c r="AE46" i="80"/>
  <c r="Q48" i="80"/>
  <c r="AH48" i="80"/>
  <c r="AC59" i="80"/>
  <c r="AG59" i="80"/>
  <c r="AF59" i="80"/>
  <c r="AE59" i="80"/>
  <c r="V81" i="80"/>
  <c r="Z83" i="80"/>
  <c r="V83" i="80"/>
  <c r="Y83" i="80"/>
  <c r="X83" i="80"/>
  <c r="AG99" i="80"/>
  <c r="AC99" i="80"/>
  <c r="AF99" i="80"/>
  <c r="AE99" i="80"/>
  <c r="V36" i="80"/>
  <c r="Q30" i="80"/>
  <c r="X46" i="80"/>
  <c r="AL47" i="80"/>
  <c r="AN60" i="80"/>
  <c r="AJ60" i="80"/>
  <c r="AM60" i="80"/>
  <c r="AL60" i="80"/>
  <c r="AN80" i="80"/>
  <c r="AM80" i="80"/>
  <c r="AL80" i="80"/>
  <c r="AJ80" i="80"/>
  <c r="V46" i="80"/>
  <c r="Q40" i="80"/>
  <c r="AE42" i="80"/>
  <c r="R30" i="80"/>
  <c r="Z30" i="80"/>
  <c r="AH30" i="80"/>
  <c r="M31" i="80"/>
  <c r="AC31" i="80"/>
  <c r="X32" i="80"/>
  <c r="AF32" i="80"/>
  <c r="AN32" i="80"/>
  <c r="S33" i="80"/>
  <c r="AA33" i="80"/>
  <c r="V35" i="80"/>
  <c r="AL35" i="80"/>
  <c r="Q36" i="80"/>
  <c r="Y36" i="80"/>
  <c r="AG36" i="80"/>
  <c r="T37" i="80"/>
  <c r="AJ37" i="80"/>
  <c r="O38" i="80"/>
  <c r="AE38" i="80"/>
  <c r="AM38" i="80"/>
  <c r="R40" i="80"/>
  <c r="Z40" i="80"/>
  <c r="AC41" i="80"/>
  <c r="X42" i="80"/>
  <c r="AF42" i="80"/>
  <c r="AN42" i="80"/>
  <c r="S43" i="80"/>
  <c r="V45" i="80"/>
  <c r="AL45" i="80"/>
  <c r="Q46" i="80"/>
  <c r="Y46" i="80"/>
  <c r="AG46" i="80"/>
  <c r="AM47" i="80"/>
  <c r="S48" i="80"/>
  <c r="AJ48" i="80"/>
  <c r="Q80" i="80"/>
  <c r="M80" i="80"/>
  <c r="S80" i="80"/>
  <c r="R80" i="80"/>
  <c r="T82" i="80"/>
  <c r="Z82" i="80"/>
  <c r="Y82" i="80"/>
  <c r="X82" i="80"/>
  <c r="AC32" i="80"/>
  <c r="Y32" i="80"/>
  <c r="AM35" i="80"/>
  <c r="R36" i="80"/>
  <c r="Z36" i="80"/>
  <c r="AF38" i="80"/>
  <c r="AN38" i="80"/>
  <c r="S40" i="80"/>
  <c r="Y42" i="80"/>
  <c r="AG42" i="80"/>
  <c r="AM45" i="80"/>
  <c r="R46" i="80"/>
  <c r="Z46" i="80"/>
  <c r="V47" i="80"/>
  <c r="AN47" i="80"/>
  <c r="R58" i="80"/>
  <c r="S58" i="80"/>
  <c r="Q58" i="80"/>
  <c r="O58" i="80"/>
  <c r="O80" i="80"/>
  <c r="V82" i="80"/>
  <c r="X96" i="80"/>
  <c r="T96" i="80"/>
  <c r="Z96" i="80"/>
  <c r="Y96" i="80"/>
  <c r="V96" i="80"/>
  <c r="AJ38" i="80"/>
  <c r="AC42" i="80"/>
  <c r="AJ47" i="80"/>
  <c r="AE32" i="80"/>
  <c r="AL38" i="80"/>
  <c r="S30" i="80"/>
  <c r="AG32" i="80"/>
  <c r="AE31" i="80"/>
  <c r="X35" i="80"/>
  <c r="AL37" i="80"/>
  <c r="Q38" i="80"/>
  <c r="AE41" i="80"/>
  <c r="X45" i="80"/>
  <c r="AL48" i="80"/>
  <c r="Z97" i="80"/>
  <c r="Y97" i="80"/>
  <c r="X97" i="80"/>
  <c r="O40" i="80"/>
  <c r="X36" i="80"/>
  <c r="O57" i="80"/>
  <c r="M57" i="80"/>
  <c r="S57" i="80"/>
  <c r="R57" i="80"/>
  <c r="Z58" i="80"/>
  <c r="T58" i="80"/>
  <c r="Y58" i="80"/>
  <c r="X58" i="80"/>
  <c r="S81" i="80"/>
  <c r="R81" i="80"/>
  <c r="Q81" i="80"/>
  <c r="O81" i="80"/>
  <c r="AG98" i="80"/>
  <c r="AF98" i="80"/>
  <c r="AE98" i="80"/>
  <c r="Z57" i="80"/>
  <c r="AG58" i="80"/>
  <c r="AM59" i="80"/>
  <c r="R60" i="80"/>
  <c r="O82" i="80"/>
  <c r="S82" i="80"/>
  <c r="M96" i="80"/>
  <c r="AH83" i="80"/>
  <c r="AL83" i="80"/>
  <c r="S97" i="80"/>
  <c r="O97" i="80"/>
  <c r="V98" i="80"/>
  <c r="Z98" i="80"/>
  <c r="AJ58" i="80"/>
  <c r="T60" i="80"/>
  <c r="AG80" i="80"/>
  <c r="AC80" i="80"/>
  <c r="AJ81" i="80"/>
  <c r="AN81" i="80"/>
  <c r="Q82" i="80"/>
  <c r="AJ83" i="80"/>
  <c r="O96" i="80"/>
  <c r="Q99" i="80"/>
  <c r="M99" i="80"/>
  <c r="R82" i="80"/>
  <c r="AE82" i="80"/>
  <c r="AA82" i="80"/>
  <c r="AN96" i="80"/>
  <c r="AJ96" i="80"/>
  <c r="Q97" i="80"/>
  <c r="X98" i="80"/>
  <c r="O99" i="80"/>
  <c r="AL58" i="80"/>
  <c r="AM83" i="80"/>
  <c r="R97" i="80"/>
  <c r="AA97" i="80"/>
  <c r="AE97" i="80"/>
  <c r="Y98" i="80"/>
  <c r="AL98" i="80"/>
  <c r="AH98" i="80"/>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8" i="80" l="1"/>
  <c r="L74" i="80"/>
  <c r="L77" i="80"/>
  <c r="L76" i="80"/>
  <c r="L75" i="80"/>
  <c r="L51" i="80"/>
  <c r="L53" i="80"/>
  <c r="L54" i="80"/>
  <c r="L55" i="80"/>
  <c r="L52" i="80"/>
  <c r="L65" i="80"/>
  <c r="L63" i="80"/>
  <c r="L70" i="80"/>
  <c r="L69" i="80"/>
  <c r="L66" i="80"/>
  <c r="L64" i="80"/>
  <c r="L68" i="80"/>
  <c r="L71" i="80"/>
  <c r="L92" i="80"/>
  <c r="L93" i="80"/>
  <c r="L91" i="80"/>
  <c r="L88" i="80"/>
  <c r="L87" i="80"/>
  <c r="L89" i="80"/>
  <c r="L86" i="80"/>
  <c r="L94" i="80"/>
  <c r="L31" i="80"/>
  <c r="L99" i="80"/>
  <c r="L58" i="80"/>
  <c r="L81" i="80"/>
  <c r="L43" i="80"/>
  <c r="L30" i="80"/>
  <c r="L35" i="80"/>
  <c r="L48" i="80"/>
  <c r="L97" i="80"/>
  <c r="L96" i="80"/>
  <c r="L60" i="80"/>
  <c r="L40" i="80"/>
  <c r="L59" i="80"/>
  <c r="L42" i="80"/>
  <c r="L46" i="80"/>
  <c r="L36" i="80"/>
  <c r="L98" i="80"/>
  <c r="L57" i="80"/>
  <c r="L83" i="80"/>
  <c r="L80" i="80"/>
  <c r="L82" i="80"/>
  <c r="L41" i="80"/>
  <c r="L32" i="80"/>
  <c r="L37" i="80"/>
  <c r="L47" i="80"/>
  <c r="L45" i="80"/>
  <c r="L38" i="80"/>
  <c r="L33" i="80"/>
  <c r="B26" i="80"/>
  <c r="C26" i="80" s="1"/>
  <c r="L26" i="80" s="1"/>
  <c r="L1" i="80"/>
  <c r="C16" i="80"/>
  <c r="L16" i="80" s="1"/>
  <c r="C10" i="80"/>
  <c r="L10" i="80" s="1"/>
  <c r="C12" i="80"/>
  <c r="L12" i="80" s="1"/>
  <c r="B27" i="80"/>
  <c r="C27" i="80" s="1"/>
  <c r="L27" i="80" s="1"/>
  <c r="C11" i="80"/>
  <c r="L11" i="80"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100" i="80" l="1"/>
  <c r="C7" i="80" a="1"/>
  <c r="C7" i="80" s="1"/>
  <c r="C9" i="80"/>
  <c r="L9" i="80" s="1"/>
  <c r="L4" i="80"/>
  <c r="C8" i="80"/>
  <c r="L8" i="80" s="1"/>
  <c r="L96" i="36"/>
  <c r="L86" i="36"/>
  <c r="L91" i="36"/>
  <c r="L99" i="36"/>
  <c r="L90" i="36"/>
  <c r="L100" i="36"/>
  <c r="L7" i="80" l="1"/>
  <c r="C19" i="80"/>
  <c r="L19" i="8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6" i="7" s="1"/>
  <c r="L16" i="7" s="1"/>
  <c r="C1" i="36" a="1"/>
  <c r="B27" i="7" l="1"/>
  <c r="C27" i="7" s="1"/>
  <c r="L27" i="7" s="1"/>
  <c r="C11" i="7"/>
  <c r="L11" i="7" s="1"/>
  <c r="B26" i="7"/>
  <c r="C26" i="7" s="1"/>
  <c r="L26" i="7" s="1"/>
  <c r="C1" i="36"/>
  <c r="C10" i="36" s="1"/>
  <c r="L10" i="36" s="1"/>
  <c r="L1" i="7"/>
  <c r="C12" i="7"/>
  <c r="L12" i="7" s="1"/>
  <c r="C10" i="7"/>
  <c r="L10" i="7" s="1"/>
  <c r="L94" i="7" l="1"/>
  <c r="C8" i="7"/>
  <c r="L8" i="7" s="1"/>
  <c r="L4" i="7"/>
  <c r="C7" i="7" a="1"/>
  <c r="C7" i="7" s="1"/>
  <c r="C9" i="7"/>
  <c r="L9" i="7" s="1"/>
  <c r="B27" i="36"/>
  <c r="C27" i="36" s="1"/>
  <c r="L27" i="36" s="1"/>
  <c r="L1" i="36"/>
  <c r="B26" i="36"/>
  <c r="C26" i="36" s="1"/>
  <c r="L26" i="36" s="1"/>
  <c r="C12" i="36"/>
  <c r="L12" i="36" s="1"/>
  <c r="C11" i="36"/>
  <c r="L11" i="36" s="1"/>
  <c r="C16" i="36"/>
  <c r="L16" i="36" s="1"/>
  <c r="L7" i="7" l="1"/>
  <c r="C19" i="7"/>
  <c r="L19" i="7" s="1"/>
  <c r="L102" i="36"/>
  <c r="C7" i="36" a="1"/>
  <c r="C7" i="36" s="1"/>
  <c r="C8" i="36"/>
  <c r="L8" i="36" s="1"/>
  <c r="L4" i="36"/>
  <c r="C9" i="36"/>
  <c r="L9"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F9F3507-FE1E-4B09-9DBD-D610130D712A}">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<sst xmlns="http://schemas.openxmlformats.org/spreadsheetml/2006/main" count="4802" uniqueCount="1070">
  <si>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</si>
  <si>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</si>
  <si>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</si>
  <si>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</si>
  <si>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</si>
  <si>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</si>
  <si>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</si>
  <si>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</si>
  <si>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</si>
  <si>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</si>
  <si>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</si>
  <si>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</si>
  <si>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</si>
  <si>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</si>
  <si>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</si>
  <si>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</si>
  <si>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</si>
  <si>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</si>
  <si>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</si>
  <si>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</si>
  <si>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</si>
  <si>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</si>
  <si>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</si>
  <si>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</si>
  <si>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</si>
  <si>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</si>
  <si>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</si>
  <si>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</si>
  <si>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</si>
  <si>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</si>
  <si>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</si>
  <si>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</si>
  <si>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</si>
  <si>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</si>
  <si>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</si>
  <si>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</si>
  <si>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</si>
  <si>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</si>
  <si>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</si>
  <si>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</si>
  <si>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</si>
  <si>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</si>
  <si>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</si>
  <si>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</si>
  <si>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</si>
  <si>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</si>
  <si>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</si>
  <si>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</si>
  <si>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</si>
  <si>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</si>
  <si>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</si>
  <si>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</si>
  <si>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</si>
  <si>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</si>
  <si>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</si>
  <si>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</si>
  <si>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</si>
  <si>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</si>
  <si>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</si>
  <si>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</si>
  <si>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</si>
  <si>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</si>
  <si>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</si>
  <si>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</si>
  <si>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</si>
  <si>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</si>
  <si>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</si>
  <si>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</si>
  <si>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</si>
  <si>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</si>
  <si>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</si>
  <si>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</si>
  <si>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</si>
  <si>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</si>
  <si>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</si>
  <si>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</si>
  <si>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</si>
  <si>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</si>
  <si>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</si>
  <si>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</si>
  <si>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</si>
  <si>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</si>
  <si>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</si>
  <si>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</si>
  <si>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</si>
  <si>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</si>
  <si>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</si>
  <si>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</si>
  <si>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</si>
  <si>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</si>
  <si>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</si>
  <si>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</si>
  <si>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</si>
  <si>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</si>
  <si>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</si>
  <si>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</si>
  <si>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</si>
  <si>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</si>
  <si>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</si>
  <si>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</si>
  <si>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</si>
  <si>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</si>
  <si>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</si>
  <si>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</si>
  <si>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</si>
  <si>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</si>
  <si>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</si>
  <si>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</si>
  <si>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</si>
  <si>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</si>
  <si>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</si>
  <si>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</si>
  <si>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</si>
  <si>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</si>
  <si>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</si>
  <si>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</si>
  <si>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</si>
  <si>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</si>
  <si>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</si>
  <si>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</si>
  <si>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</si>
  <si>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</si>
  <si>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</si>
  <si>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</si>
  <si>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</si>
  <si>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</si>
  <si>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</si>
  <si>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</si>
  <si>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</si>
  <si>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</si>
  <si>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</si>
  <si>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</si>
  <si>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</si>
  <si>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</si>
  <si>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</si>
  <si>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</si>
  <si>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</si>
  <si>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</si>
  <si>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</si>
  <si>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</si>
  <si>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</si>
  <si>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</si>
  <si>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</si>
  <si>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</si>
  <si>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</si>
  <si>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</si>
  <si>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</si>
  <si>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</si>
  <si>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</si>
  <si>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</si>
  <si>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</si>
  <si>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</si>
  <si>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</si>
  <si>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</si>
  <si>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</si>
  <si>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</si>
  <si>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</si>
  <si>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</si>
  <si>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</si>
  <si>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</si>
  <si>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</si>
  <si>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</si>
  <si>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</si>
  <si>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</si>
  <si>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</si>
  <si>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</si>
  <si>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</si>
  <si>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</si>
  <si>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</si>
  <si>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</si>
  <si>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</si>
  <si>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</si>
  <si>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</si>
  <si>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</si>
  <si>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</si>
  <si>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</si>
  <si>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</si>
  <si>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</si>
  <si>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</si>
  <si>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</si>
  <si>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</si>
  <si>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</si>
  <si>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</si>
  <si>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</si>
  <si>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</si>
  <si>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</si>
  <si>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</si>
  <si>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</si>
  <si>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</si>
  <si>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</si>
  <si>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</si>
  <si>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</si>
  <si>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</si>
  <si>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</si>
  <si>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</si>
  <si>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</si>
  <si>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</si>
  <si>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</si>
  <si>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</si>
  <si>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</si>
  <si>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</si>
  <si>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</si>
  <si>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</si>
  <si>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</si>
  <si>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</si>
  <si>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</si>
  <si>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</si>
  <si>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</si>
  <si>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</si>
  <si>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</si>
  <si>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</si>
  <si>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</si>
  <si>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</si>
  <si>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</si>
  <si>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</si>
  <si>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</si>
  <si>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</si>
  <si>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</si>
  <si>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</si>
  <si>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</si>
  <si>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</si>
  <si>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</si>
  <si>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</si>
  <si>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</si>
  <si>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</si>
  <si>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</si>
  <si>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</si>
  <si>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</si>
  <si>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</si>
  <si>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</si>
  <si>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</si>
  <si>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</si>
  <si>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</si>
  <si>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</si>
  <si>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</si>
  <si>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</si>
  <si>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</si>
  <si>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</si>
  <si>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</si>
  <si>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</si>
  <si>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</si>
  <si>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</si>
  <si>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</si>
  <si>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</si>
  <si>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</si>
  <si>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</si>
  <si>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</si>
  <si>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</si>
  <si>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</si>
  <si>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</si>
  <si>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</si>
  <si>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</si>
  <si>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</si>
  <si>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</si>
  <si>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</si>
  <si>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</si>
  <si>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</si>
  <si>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</si>
  <si>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</si>
  <si>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</si>
  <si>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</si>
  <si>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</si>
  <si>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</si>
  <si>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</si>
  <si>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</si>
  <si>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</si>
  <si>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</si>
  <si>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</si>
  <si>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</si>
  <si>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</si>
  <si>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</si>
  <si>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</si>
  <si>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</si>
  <si>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</si>
  <si>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</si>
  <si>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</si>
  <si>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</si>
  <si>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</si>
  <si>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</si>
  <si>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</si>
  <si>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</si>
  <si>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</si>
  <si>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</si>
  <si>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</si>
  <si>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</si>
  <si>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</si>
  <si>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</si>
  <si>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</si>
  <si>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</si>
  <si>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</si>
  <si>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</si>
  <si>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</si>
  <si>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</si>
  <si>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</si>
  <si>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</si>
  <si>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</si>
  <si>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</si>
  <si>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</si>
  <si>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</si>
  <si>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</si>
  <si>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</si>
  <si>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</si>
  <si>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</si>
  <si>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</si>
  <si>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</si>
  <si>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</si>
  <si>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</si>
  <si>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</si>
  <si>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</si>
  <si>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</si>
  <si>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</si>
  <si>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</si>
  <si>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</si>
  <si>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</si>
  <si>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</si>
  <si>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</si>
  <si>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</si>
  <si>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</si>
  <si>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</si>
  <si>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</si>
  <si>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</si>
  <si>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</si>
  <si>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</si>
  <si>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</si>
  <si>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</si>
  <si>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</si>
  <si>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</si>
  <si>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</si>
  <si>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</si>
  <si>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</si>
  <si>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</si>
  <si>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</si>
  <si>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</si>
  <si>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</si>
  <si>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</si>
  <si>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</si>
  <si>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</si>
  <si>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</si>
  <si>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</si>
  <si>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</si>
  <si>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</si>
  <si>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</si>
  <si>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</si>
  <si>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</si>
  <si>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</si>
  <si>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</si>
  <si>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</si>
  <si>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</si>
  <si>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</si>
  <si>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</si>
  <si>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</si>
  <si>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</si>
  <si>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</si>
  <si>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</si>
  <si>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</si>
  <si>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</si>
  <si>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</si>
  <si>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</si>
  <si>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</si>
  <si>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</si>
  <si>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</si>
  <si>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</si>
  <si>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</si>
  <si>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</si>
  <si>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</si>
  <si>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</si>
  <si>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</si>
  <si>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</si>
  <si>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</si>
  <si>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</si>
  <si>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</si>
  <si>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</si>
  <si>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</si>
  <si>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</si>
  <si>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</si>
  <si>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</si>
  <si>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</si>
  <si>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</si>
  <si>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</si>
  <si>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</si>
  <si>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</si>
  <si>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</si>
  <si>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</si>
  <si>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</si>
  <si>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</si>
  <si>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</si>
  <si>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</si>
  <si>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</si>
  <si>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</si>
  <si>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</si>
  <si>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</si>
  <si>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</si>
  <si>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</si>
  <si>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</si>
  <si>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</si>
  <si>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</si>
  <si>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</si>
  <si>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</si>
  <si>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</si>
  <si>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</si>
  <si>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</si>
  <si>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</si>
  <si>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</si>
  <si>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</si>
  <si>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</si>
  <si>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</si>
  <si>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</si>
  <si>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</si>
  <si>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</si>
  <si>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</si>
  <si>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</si>
  <si>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</si>
  <si>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</si>
  <si>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</si>
  <si>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</si>
  <si>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</si>
  <si>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</si>
  <si>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</si>
  <si>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</si>
  <si>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</si>
  <si>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</si>
  <si>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</si>
  <si>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</si>
  <si>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</si>
  <si>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</si>
  <si>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</si>
  <si>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</si>
  <si>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</si>
  <si>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</si>
  <si>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</si>
  <si>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</si>
  <si>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</si>
  <si>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</si>
  <si>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</si>
  <si>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</si>
  <si>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</si>
  <si>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</si>
  <si>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</si>
  <si>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</si>
  <si>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</si>
  <si>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</si>
  <si>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</si>
  <si>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</si>
  <si>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</si>
  <si>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</si>
  <si>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</si>
  <si>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</si>
  <si>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</si>
  <si>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</si>
  <si>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</si>
  <si>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</si>
  <si>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</si>
  <si>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</si>
  <si>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</si>
  <si>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</si>
  <si>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</si>
  <si>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</si>
  <si>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</si>
  <si>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</si>
  <si>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</si>
  <si>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</si>
  <si>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</si>
  <si>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</si>
  <si>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</si>
  <si>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</si>
  <si>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</si>
  <si>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</si>
  <si>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</si>
  <si>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</si>
  <si>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</si>
  <si>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</si>
  <si>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</si>
  <si>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</si>
  <si>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</si>
  <si>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</si>
  <si>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</si>
  <si>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</si>
  <si>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</si>
  <si>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</si>
  <si>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</si>
  <si>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</si>
  <si>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</si>
  <si>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</si>
  <si>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</si>
  <si>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</si>
  <si>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</si>
  <si>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</si>
  <si>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</si>
  <si>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</si>
  <si>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</si>
  <si>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</si>
  <si>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</si>
  <si>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</si>
  <si>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</si>
  <si>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</si>
  <si>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</si>
  <si>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</si>
  <si>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</si>
  <si>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</si>
  <si>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</si>
  <si>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</si>
  <si>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</si>
  <si>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</si>
  <si>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</si>
  <si>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</si>
  <si>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</si>
  <si>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</si>
  <si>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</si>
  <si>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</si>
  <si>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</si>
  <si>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</si>
  <si>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</si>
  <si>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</si>
  <si>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</si>
  <si>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</si>
  <si>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</si>
  <si>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</si>
  <si>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</si>
  <si>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</si>
  <si>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</si>
  <si>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</si>
  <si>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</si>
  <si>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</si>
  <si>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</si>
  <si>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</si>
  <si>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</si>
  <si>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</si>
  <si>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</si>
  <si>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</si>
  <si>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</si>
  <si>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</si>
  <si>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</si>
  <si>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</si>
  <si>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</si>
  <si>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</si>
  <si>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</si>
  <si>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</si>
  <si>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</si>
  <si>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</si>
  <si>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</si>
  <si>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</si>
  <si>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</si>
  <si>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</si>
  <si>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</si>
  <si>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</si>
  <si>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</si>
  <si>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</si>
  <si>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</si>
  <si>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</si>
  <si>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</si>
  <si>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</si>
  <si>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</si>
  <si>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</si>
  <si>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</si>
  <si>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</si>
  <si>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</si>
  <si>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</si>
  <si>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</si>
  <si>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</si>
  <si>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</si>
  <si>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</si>
  <si>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</si>
  <si>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</si>
  <si>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</si>
  <si>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</si>
  <si>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</si>
  <si>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</si>
  <si>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</si>
  <si>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</si>
  <si>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</si>
  <si>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</si>
  <si>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</si>
  <si>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</si>
  <si>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</si>
  <si>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</si>
  <si>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</si>
  <si>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</si>
  <si>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</si>
  <si>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</si>
  <si>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</si>
  <si>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</si>
  <si>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</si>
  <si>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</si>
  <si>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</si>
  <si>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</si>
  <si>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</si>
  <si>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</si>
  <si>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</si>
  <si>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</si>
  <si>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</si>
  <si>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</si>
  <si>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</si>
  <si>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</si>
  <si>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</si>
  <si>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</si>
  <si>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</si>
  <si>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</si>
  <si>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</si>
  <si>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</si>
  <si>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</si>
  <si>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</si>
  <si>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</si>
  <si>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</si>
  <si>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</si>
  <si>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</si>
  <si>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</si>
  <si>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</si>
  <si>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</si>
  <si>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</si>
  <si>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</si>
  <si>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</si>
  <si>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</si>
  <si>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</si>
  <si>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</si>
  <si>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</si>
  <si>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</si>
  <si>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</si>
  <si>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</si>
  <si>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</si>
  <si>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</si>
  <si>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</si>
  <si>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</si>
  <si>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</si>
  <si>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</si>
  <si>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</si>
  <si>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</si>
  <si>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</si>
  <si>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</si>
  <si>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</si>
  <si>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</si>
  <si>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</si>
  <si>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</si>
  <si>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</si>
  <si>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</si>
  <si>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</si>
  <si>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</si>
  <si>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</si>
  <si>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</si>
  <si>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</si>
  <si>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</si>
  <si>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</si>
  <si>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</si>
  <si>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</si>
  <si>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</si>
  <si>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</si>
  <si>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</si>
  <si>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</si>
  <si>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</si>
  <si>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</si>
  <si>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</si>
  <si>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</si>
  <si>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</si>
  <si>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</si>
  <si>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</si>
  <si>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</si>
  <si>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</si>
  <si>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</si>
  <si>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</si>
  <si>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</si>
  <si>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</si>
  <si>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</si>
  <si>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</si>
  <si>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</si>
  <si>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</si>
  <si>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</si>
  <si>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</si>
  <si>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</si>
  <si>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</si>
  <si>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</si>
  <si>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</si>
  <si>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</si>
  <si>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</si>
  <si>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</si>
  <si>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</si>
  <si>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</si>
  <si>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</si>
  <si>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</si>
  <si>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</si>
  <si>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</si>
  <si>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</si>
  <si>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</si>
  <si>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</si>
  <si>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</si>
  <si>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</si>
  <si>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</si>
  <si>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</si>
  <si>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</si>
  <si>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</si>
  <si>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</si>
  <si>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</si>
  <si>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</si>
  <si>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</si>
  <si>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</si>
  <si>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</si>
  <si>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</si>
  <si>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</si>
  <si>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</si>
  <si>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</si>
  <si>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</si>
  <si>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</si>
  <si>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</si>
  <si>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</si>
  <si>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</si>
  <si>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</si>
  <si>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</si>
  <si>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</si>
  <si>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</si>
  <si>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</si>
  <si>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</si>
  <si>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</si>
  <si>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</si>
  <si>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</si>
  <si>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</si>
  <si>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</si>
  <si>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</si>
  <si>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</si>
  <si>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</si>
  <si>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</si>
  <si>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</si>
  <si>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</si>
  <si>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</si>
  <si>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</si>
  <si>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</si>
  <si>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</si>
  <si>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</si>
  <si>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</si>
  <si>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</si>
  <si>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</si>
  <si>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</si>
  <si>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</si>
  <si>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</si>
  <si>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</si>
  <si>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</si>
  <si>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</si>
  <si>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</si>
  <si>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</si>
  <si>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</si>
  <si>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</si>
  <si>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</si>
  <si>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</si>
  <si>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</si>
  <si>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</si>
  <si>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</si>
  <si>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</si>
  <si>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</si>
  <si>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</si>
  <si>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</si>
  <si>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</si>
  <si>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</si>
  <si>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</si>
  <si>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</si>
  <si>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</si>
  <si>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</si>
  <si>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</si>
  <si>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</si>
  <si>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</si>
  <si>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</si>
  <si>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</si>
  <si>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</si>
  <si>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</si>
  <si>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</si>
  <si>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</si>
  <si>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</si>
  <si>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</si>
  <si>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</si>
  <si>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</si>
  <si>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</si>
  <si>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</si>
  <si>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</si>
  <si>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</si>
  <si>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</si>
  <si>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</si>
  <si>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</si>
  <si>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</si>
  <si>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</si>
  <si>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</si>
  <si>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</si>
  <si>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</si>
  <si>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</si>
  <si>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</si>
  <si>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</si>
  <si>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</si>
  <si>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</si>
  <si>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</si>
  <si>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</si>
  <si>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</si>
  <si>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</si>
  <si>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</si>
  <si>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</si>
  <si>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</si>
  <si>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</si>
  <si>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</si>
  <si>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</si>
  <si>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</si>
  <si>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</si>
  <si>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</si>
  <si>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</si>
  <si>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</si>
  <si>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</si>
  <si>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</si>
  <si>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</si>
  <si>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</si>
  <si>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</si>
  <si>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</si>
  <si>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</si>
  <si>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</si>
  <si>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</si>
  <si>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</si>
  <si>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</si>
  <si>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</si>
  <si>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</si>
  <si>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</si>
  <si>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</si>
  <si>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</si>
  <si>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</si>
  <si>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</si>
  <si>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</si>
  <si>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</si>
  <si>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</si>
  <si>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</si>
  <si>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</si>
  <si>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</si>
  <si>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</si>
  <si>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</si>
  <si>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</si>
  <si>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</si>
  <si>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</si>
  <si>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</si>
  <si>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</si>
  <si>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</si>
  <si>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</si>
  <si>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</si>
  <si>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</si>
  <si>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</si>
  <si>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</si>
  <si>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</si>
  <si>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</si>
  <si>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</si>
  <si>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</si>
  <si>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</si>
  <si>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</si>
  <si>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</si>
  <si>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</si>
  <si>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</si>
  <si>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</si>
  <si>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</si>
  <si>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</si>
  <si>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</si>
  <si>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</si>
  <si>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</si>
  <si>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</si>
  <si>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</si>
  <si>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</si>
  <si>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</si>
  <si>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</si>
  <si>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</si>
  <si>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</si>
  <si>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</si>
  <si>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</si>
  <si>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</si>
  <si>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</si>
  <si>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</si>
  <si>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</si>
  <si>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</si>
  <si>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</si>
  <si>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</si>
  <si>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</si>
  <si>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</si>
  <si>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</si>
  <si>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</si>
  <si>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</si>
  <si>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</si>
  <si>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</si>
  <si>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</si>
  <si>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</si>
  <si>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</si>
  <si>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</si>
  <si>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</si>
  <si>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</si>
  <si>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</si>
  <si>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</si>
  <si>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</si>
  <si>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</si>
  <si>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</si>
  <si>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</si>
  <si>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</si>
  <si>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</si>
  <si>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</si>
  <si>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</si>
  <si>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</si>
  <si>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</si>
  <si>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</si>
  <si>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</si>
  <si>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</si>
  <si>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</si>
  <si>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</si>
  <si>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</si>
  <si>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</si>
  <si>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</si>
  <si>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</si>
  <si>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</si>
  <si>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</si>
  <si>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</si>
  <si>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</si>
  <si>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</si>
  <si>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</si>
  <si>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</si>
  <si>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</si>
  <si>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</si>
  <si>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</si>
  <si>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</si>
  <si>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</si>
  <si>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</si>
  <si>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</si>
  <si>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</si>
  <si>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</si>
  <si>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</si>
  <si>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</si>
  <si>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</si>
  <si>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</si>
  <si>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</si>
  <si>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</si>
  <si>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</si>
  <si>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</si>
  <si>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</si>
  <si>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</si>
  <si>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</si>
  <si>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</si>
  <si>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</si>
  <si>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</si>
  <si>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</si>
  <si>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</si>
  <si>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</si>
  <si>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</si>
  <si>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</si>
  <si>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</si>
  <si>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</si>
  <si>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</si>
  <si>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</si>
  <si>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</si>
  <si>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</si>
  <si>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</si>
  <si>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</si>
  <si>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</si>
  <si>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</si>
  <si>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</si>
  <si>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</si>
  <si>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</si>
  <si>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</si>
  <si>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</si>
  <si>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</si>
  <si>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</si>
  <si>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</si>
  <si>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</si>
  <si>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</si>
  <si>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</si>
  <si>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</si>
  <si>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</si>
  <si>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</si>
  <si>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</si>
  <si>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</si>
  <si>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</si>
  <si>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</si>
  <si>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</si>
  <si>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</si>
  <si>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</si>
  <si>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</si>
  <si>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</si>
  <si>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</si>
  <si>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</si>
  <si>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</si>
  <si>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</si>
  <si>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</si>
  <si>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</si>
  <si>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</si>
  <si>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</si>
  <si>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</si>
  <si>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</si>
  <si>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</si>
  <si>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</si>
  <si>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</si>
  <si>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</si>
  <si>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</si>
  <si>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</si>
  <si>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</si>
  <si>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</si>
  <si>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</si>
  <si>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</si>
  <si>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</si>
  <si>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</si>
  <si>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</si>
  <si>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</si>
  <si>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</si>
  <si>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</si>
  <si>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</si>
  <si>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</si>
  <si>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</si>
  <si>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</si>
  <si>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</si>
  <si>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</si>
  <si>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</si>
  <si>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</si>
  <si>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</si>
  <si>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</si>
  <si>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</si>
  <si>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</si>
  <si>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</si>
  <si>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</si>
  <si>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</si>
  <si>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</si>
  <si>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</si>
  <si>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</si>
  <si>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</si>
  <si>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</si>
  <si>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</si>
  <si>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</si>
  <si>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</si>
  <si>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</si>
  <si>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</si>
  <si>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</si>
  <si>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</si>
  <si>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</si>
  <si>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</si>
  <si>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</si>
  <si>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</si>
  <si>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</si>
  <si>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</si>
  <si>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</si>
  <si>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</si>
  <si>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</si>
  <si>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</si>
  <si>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</si>
  <si>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</si>
  <si>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</si>
  <si>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</si>
  <si>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</si>
  <si>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</si>
  <si>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</si>
  <si>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</si>
  <si>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</si>
  <si>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</si>
  <si>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</si>
  <si>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</si>
  <si>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</si>
  <si>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</si>
  <si>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</si>
  <si>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t>
  </si>
  <si>
    <t>Por el amor de mis amigos,</t>
  </si>
  <si>
    <t>por el amor de mis hermanos,</t>
  </si>
  <si>
    <t>déjame que yo te diga:</t>
  </si>
  <si>
    <t>Si7</t>
  </si>
  <si>
    <t>la paz contigo.</t>
  </si>
  <si>
    <t>¡Qué alegría cuando me dijeron:</t>
  </si>
  <si>
    <t>vamos a la casa del Señor!</t>
  </si>
  <si>
    <t>YA ESTÁN PISANDO NUESTROS PIES</t>
  </si>
  <si>
    <t>TUS UMBRALES JERUSALÉN.</t>
  </si>
  <si>
    <t>JERUSALÉN, JERUSALÉN,</t>
  </si>
  <si>
    <t>DE NUEVO REEDIFICADA.</t>
  </si>
  <si>
    <t>JERUSALÉN,JERUSALÉN,</t>
  </si>
  <si>
    <t>Allá suben las tribus,</t>
  </si>
  <si>
    <t>las tribus del Señor,</t>
  </si>
  <si>
    <t>SEGÚN LA COSTUMBRE DE ISRAEL,</t>
  </si>
  <si>
    <t>PARA CANTAR AL SEÑOR.</t>
  </si>
  <si>
    <t>Pedid la paz, pedid la paz</t>
  </si>
  <si>
    <t>para Jerusalén:</t>
  </si>
  <si>
    <t>QUE SEA LA PAZ, QUE SEA LA PAZ,</t>
  </si>
  <si>
    <t>CON TODOS LOS QUE TE AMAN.</t>
  </si>
  <si>
    <t>LA LALALALALA, LA LALALALALA,</t>
  </si>
  <si>
    <t>LA LA LALALA.</t>
  </si>
  <si>
    <t>Por el amor... . ...paz contigo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</si>
</sst>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C95021E-4FFF-48B2-83FE-C583CD9AE6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F9CDAE-5DF4-4BFC-BA22-5B5E464D8B4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EB4E14E5-53C7-4F94-A831-53139301E07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1018</v>
      </c>
    </row>
    <row r="3" spans="1:1" ht="60" x14ac:dyDescent="0.25">
      <c r="A3" s="102" t="s">
        <v>1019</v>
      </c>
    </row>
    <row r="5" spans="1:1" x14ac:dyDescent="0.25">
      <c r="A5" t="s">
        <v>1020</v>
      </c>
    </row>
    <row r="6" spans="1:1" ht="75" x14ac:dyDescent="0.25">
      <c r="A6" s="102" t="s">
        <v>1021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1017</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1015</v>
      </c>
      <c r="B7" s="37"/>
      <c r="C7" s="37"/>
      <c r="D7" s="37"/>
      <c r="E7" s="37"/>
      <c r="F7" s="38"/>
      <c r="G7" s="38"/>
      <c r="H7" s="38"/>
    </row>
    <row r="8" spans="1:8" ht="26.1" customHeight="1" x14ac:dyDescent="0.45">
      <c r="A8" s="37" t="s">
        <v>1023</v>
      </c>
      <c r="B8" s="37"/>
      <c r="C8" s="37"/>
      <c r="D8" s="37"/>
      <c r="E8" s="37"/>
      <c r="F8" s="38"/>
      <c r="G8" s="38"/>
      <c r="H8" s="38"/>
    </row>
    <row r="9" spans="1:8" ht="26.1" customHeight="1" x14ac:dyDescent="0.45">
      <c r="A9" s="37" t="s">
        <v>1024</v>
      </c>
      <c r="B9" s="37"/>
      <c r="C9" s="37"/>
      <c r="D9" s="37"/>
      <c r="E9" s="37"/>
      <c r="F9" s="38"/>
      <c r="G9" s="38"/>
      <c r="H9" s="38"/>
    </row>
    <row r="10" spans="1:8" ht="26.1" customHeight="1" x14ac:dyDescent="0.45">
      <c r="A10" s="37" t="s">
        <v>1025</v>
      </c>
      <c r="B10" s="37"/>
      <c r="C10" s="37"/>
      <c r="D10" s="37"/>
      <c r="E10" s="38"/>
      <c r="F10" s="38"/>
      <c r="G10" s="38"/>
      <c r="H10" s="38"/>
    </row>
    <row r="11" spans="1:8" ht="26.1" customHeight="1" x14ac:dyDescent="0.45">
      <c r="A11" s="37" t="s">
        <v>1026</v>
      </c>
      <c r="B11" s="37"/>
      <c r="C11" s="37"/>
      <c r="D11" s="37"/>
      <c r="E11" s="38"/>
      <c r="F11" s="38"/>
      <c r="G11" s="38"/>
      <c r="H11" s="38"/>
    </row>
    <row r="12" spans="1:8" ht="26.1" customHeight="1" x14ac:dyDescent="0.45">
      <c r="A12" s="37" t="s">
        <v>1027</v>
      </c>
      <c r="B12" s="37"/>
      <c r="C12" s="37"/>
      <c r="D12" s="37"/>
      <c r="E12" s="38"/>
      <c r="F12" s="38"/>
      <c r="G12" s="38"/>
      <c r="H12" s="38"/>
    </row>
    <row r="13" spans="1:8" ht="26.1" customHeight="1" x14ac:dyDescent="0.45">
      <c r="A13" s="37" t="s">
        <v>1028</v>
      </c>
      <c r="B13" s="37"/>
      <c r="C13" s="37"/>
      <c r="D13" s="37"/>
      <c r="E13" s="38"/>
      <c r="F13" s="38"/>
      <c r="G13" s="38"/>
      <c r="H13" s="38"/>
    </row>
    <row r="14" spans="1:8" ht="26.1" customHeight="1" x14ac:dyDescent="0.45">
      <c r="A14" s="37" t="s">
        <v>1029</v>
      </c>
      <c r="B14" s="37"/>
      <c r="C14" s="37"/>
      <c r="D14" s="37"/>
      <c r="E14" s="38"/>
      <c r="F14" s="38"/>
      <c r="G14" s="38"/>
      <c r="H14" s="38"/>
    </row>
    <row r="15" spans="1:8" ht="26.1" customHeight="1" x14ac:dyDescent="0.45">
      <c r="A15" s="37" t="s">
        <v>1030</v>
      </c>
      <c r="B15" s="37"/>
      <c r="C15" s="37"/>
      <c r="D15" s="37"/>
      <c r="E15" s="38"/>
      <c r="F15" s="38"/>
      <c r="G15" s="38"/>
      <c r="H15" s="38"/>
    </row>
    <row r="16" spans="1:8" ht="26.1" customHeight="1" x14ac:dyDescent="0.45">
      <c r="A16" s="37" t="s">
        <v>1031</v>
      </c>
      <c r="B16" s="37"/>
      <c r="C16" s="37"/>
      <c r="D16" s="37"/>
      <c r="E16" s="38"/>
      <c r="F16" s="38"/>
      <c r="G16" s="38"/>
      <c r="H16" s="38"/>
    </row>
    <row r="17" spans="1:8" ht="26.1" customHeight="1" x14ac:dyDescent="0.45">
      <c r="A17" s="37" t="s">
        <v>1032</v>
      </c>
      <c r="B17" s="37"/>
      <c r="C17" s="37"/>
      <c r="D17" s="37"/>
      <c r="E17" s="38"/>
      <c r="F17" s="38"/>
      <c r="G17" s="38"/>
      <c r="H17" s="38"/>
    </row>
    <row r="18" spans="1:8" ht="26.1" customHeight="1" x14ac:dyDescent="0.45">
      <c r="A18" s="37" t="s">
        <v>1033</v>
      </c>
      <c r="B18" s="37"/>
      <c r="C18" s="37"/>
      <c r="D18" s="37"/>
      <c r="E18" s="38"/>
      <c r="F18" s="38"/>
      <c r="G18" s="38"/>
      <c r="H18" s="38"/>
    </row>
    <row r="19" spans="1:8" ht="26.1" customHeight="1" x14ac:dyDescent="0.45">
      <c r="A19" s="37" t="s">
        <v>1034</v>
      </c>
      <c r="B19" s="37"/>
      <c r="C19" s="37"/>
      <c r="D19" s="37"/>
      <c r="E19" s="38"/>
      <c r="F19" s="38"/>
      <c r="G19" s="38"/>
      <c r="H19" s="38"/>
    </row>
    <row r="20" spans="1:8" ht="24" x14ac:dyDescent="0.45">
      <c r="A20" s="37" t="s">
        <v>1035</v>
      </c>
      <c r="B20" s="37"/>
      <c r="C20" s="37"/>
      <c r="D20" s="37"/>
      <c r="E20" s="37"/>
      <c r="F20" s="37"/>
      <c r="G20" s="37"/>
      <c r="H20" s="37"/>
    </row>
    <row r="21" spans="1:8" ht="24" x14ac:dyDescent="0.45">
      <c r="A21" s="37" t="s">
        <v>1036</v>
      </c>
      <c r="B21" s="37"/>
      <c r="C21" s="37"/>
      <c r="D21" s="37"/>
      <c r="E21" s="37"/>
      <c r="F21" s="37"/>
      <c r="G21" s="37"/>
      <c r="H21" s="37"/>
    </row>
    <row r="22" spans="1:8" ht="24" x14ac:dyDescent="0.45">
      <c r="A22" s="37" t="s">
        <v>1037</v>
      </c>
      <c r="B22" s="37"/>
      <c r="C22" s="37"/>
      <c r="D22" s="37"/>
      <c r="E22" s="37"/>
      <c r="F22" s="37"/>
      <c r="G22" s="37"/>
      <c r="H22" s="37"/>
    </row>
    <row r="23" spans="1:8" ht="24" x14ac:dyDescent="0.45">
      <c r="A23" s="37" t="s">
        <v>1038</v>
      </c>
      <c r="B23" s="37"/>
      <c r="C23" s="37"/>
      <c r="D23" s="37"/>
      <c r="E23" s="37"/>
      <c r="F23" s="37"/>
      <c r="G23" s="37"/>
      <c r="H23" s="37"/>
    </row>
    <row r="24" spans="1:8" ht="24" x14ac:dyDescent="0.45">
      <c r="A24" s="37" t="s">
        <v>1039</v>
      </c>
      <c r="B24" s="37"/>
      <c r="C24" s="37"/>
      <c r="D24" s="37"/>
      <c r="E24" s="37"/>
      <c r="F24" s="37"/>
      <c r="G24" s="37"/>
      <c r="H24" s="37"/>
    </row>
    <row r="25" spans="1:8" ht="24" x14ac:dyDescent="0.45">
      <c r="A25" s="37" t="s">
        <v>1042</v>
      </c>
      <c r="B25" s="37"/>
      <c r="C25" s="37"/>
      <c r="D25" s="37"/>
      <c r="E25" s="37"/>
      <c r="F25" s="37"/>
      <c r="G25" s="37"/>
      <c r="H25" s="37"/>
    </row>
    <row r="26" spans="1:8" ht="24" x14ac:dyDescent="0.45">
      <c r="A26" s="37" t="s">
        <v>1016</v>
      </c>
      <c r="B26" s="37"/>
      <c r="C26" s="37"/>
      <c r="D26" s="37"/>
      <c r="E26" s="37"/>
      <c r="F26" s="37"/>
      <c r="G26" s="37"/>
      <c r="H26" s="37"/>
    </row>
    <row r="27" spans="1:8" ht="24" x14ac:dyDescent="0.45">
      <c r="A27" s="37" t="s">
        <v>1043</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1022</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1041</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1022</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1041</v>
      </c>
      <c r="D70" t="s">
        <v>326</v>
      </c>
      <c r="E70" t="s">
        <v>260</v>
      </c>
      <c r="F70" s="6" t="s">
        <v>18</v>
      </c>
      <c r="M70" t="s">
        <v>1040</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1044</v>
      </c>
      <c r="D72" t="s">
        <v>449</v>
      </c>
      <c r="E72" t="s">
        <v>260</v>
      </c>
      <c r="F72" s="6" t="s">
        <v>18</v>
      </c>
      <c r="M72" t="s">
        <v>1045</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131</v>
      </c>
      <c r="E1" s="40"/>
      <c r="F1" s="40"/>
      <c r="G1" s="40"/>
      <c r="H1" s="40"/>
      <c r="I1" s="40"/>
      <c r="J1" s="40"/>
      <c r="K1" s="40"/>
      <c r="L1" s="41" t="str">
        <f>VLOOKUP(C1,'[1]Codigo Canto'!A3:AQ236,38,FALSE)</f>
        <v>PENTECOSTÉS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PENTECOSTÉS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pentecostes</v>
      </c>
      <c r="L7" s="48" t="str">
        <f>_xlfn.CONCAT("        id: ","""",C7,"""",",")</f>
        <v xml:space="preserve">        id: "pentecostes",</v>
      </c>
    </row>
    <row r="8" spans="2:32" ht="23.25" x14ac:dyDescent="0.25">
      <c r="C8" t="str">
        <f>PROPER(L1)</f>
        <v>Pentecostés</v>
      </c>
      <c r="L8" s="48" t="str">
        <f>_xlfn.CONCAT("        tt: ","""",C8,"""",",")</f>
        <v xml:space="preserve">        tt: "Pentecostés",</v>
      </c>
    </row>
    <row r="9" spans="2:32" ht="23.25" x14ac:dyDescent="0.25">
      <c r="C9" t="str">
        <f>PROPER(L1)</f>
        <v>Pentecostés</v>
      </c>
      <c r="L9" s="48" t="str">
        <f>_xlfn.CONCAT("        title: ","""",C9,"""",",")</f>
        <v xml:space="preserve">        title: "Pentecostés",</v>
      </c>
    </row>
    <row r="10" spans="2:32" ht="23.25" x14ac:dyDescent="0.25">
      <c r="C10" t="str">
        <f>VLOOKUP(C1,'[1]Codigo Canto'!A3:AQ236,12,FALSE)</f>
        <v xml:space="preserve">Hchos de los Apostoles 2,1-13 </v>
      </c>
      <c r="L10" s="48" t="str">
        <f>_xlfn.CONCAT("        ","subtitle: ","""",C10,"""",",")</f>
        <v xml:space="preserve">        subtitle: "Hchos de los Apostoles 2,1-13 ",</v>
      </c>
    </row>
    <row r="11" spans="2:32" ht="23.25" x14ac:dyDescent="0.25">
      <c r="C11" t="str">
        <f>_xlfn.CONCAT("category: [",VLOOKUP(C1,Table223[],16,FALSE),"],")</f>
        <v>category: ["Precatecumenado","Pascua","Pentecostés","Comunión"],</v>
      </c>
      <c r="L11" s="48" t="str">
        <f>_xlfn.CONCAT("        ",C11)</f>
        <v xml:space="preserve">        category: ["Precatecumenado","Pascua","Pentecostés","Comunión"],</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131</v>
      </c>
      <c r="L16" s="48" t="str">
        <f>_xlfn.CONCAT("        dbno: ","""",C16,"""",",")</f>
        <v xml:space="preserve">        dbno: "131",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pentecostes</v>
      </c>
      <c r="L19" s="48" t="str">
        <f>_xlfn.CONCAT("        audioSrc: ","""/audio/",C19,".mp3""",",")</f>
        <v xml:space="preserve">        audioSrc: "/audio/pentecostes.mp3",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130</v>
      </c>
      <c r="C26" t="str">
        <f>VLOOKUP(B26,[1]Buscador!A3:AP240,31,FALSE)</f>
        <v>/resucito/src/index.html?canto=palomaincorrupta</v>
      </c>
      <c r="L26" s="48" t="str">
        <f>_xlfn.CONCAT("        ant: ","""",C26,"""",",")</f>
        <v xml:space="preserve">        ant: "/resucito/src/index.html?canto=palomaincorrupta",</v>
      </c>
    </row>
    <row r="27" spans="2:40" ht="23.25" x14ac:dyDescent="0.25">
      <c r="B27">
        <f>+C1+1</f>
        <v>132</v>
      </c>
      <c r="C27" t="str">
        <f>VLOOKUP(B27,[1]Buscador!A3:AP240,31,FALSE)</f>
        <v>/resucito/src/index.html?canto=porelamordemisamigos</v>
      </c>
      <c r="L27" s="48" t="str">
        <f>_xlfn.CONCAT("        sig: ","""",C27,"""",",")</f>
        <v xml:space="preserve">        sig: "/resucito/src/index.html?canto=porelamordemisamigos",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PENTECOSTÉS</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9D61E-7A0F-4787-9F8D-912E99D9B38B}">
  <sheetPr codeName="Sheet69">
    <tabColor rgb="FF00B0F0"/>
  </sheetPr>
  <dimension ref="A1:AN102"/>
  <sheetViews>
    <sheetView tabSelected="1" zoomScale="85" zoomScaleNormal="85" workbookViewId="0">
      <pane xSplit="2" ySplit="1" topLeftCell="C88" activePane="bottomRight" state="frozen"/>
      <selection pane="topRight" activeCell="C1" sqref="C1"/>
      <selection pane="bottomLeft" activeCell="A2" sqref="A2"/>
      <selection pane="bottomRight" activeCell="C99" sqref="C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132</v>
      </c>
      <c r="E1" s="40"/>
      <c r="F1" s="40"/>
      <c r="G1" s="40"/>
      <c r="H1" s="40"/>
      <c r="I1" s="40"/>
      <c r="J1" s="40"/>
      <c r="K1" s="40"/>
      <c r="L1" s="41" t="str">
        <f ca="1">UPPER(VLOOKUP(C1,Table223[],3,FALSE))</f>
        <v>POR EL AMOR DE MIS AMIGOS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EL AMOR DE MIS AMIGOS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porelamordemisamigos</v>
      </c>
      <c r="L7" s="48" t="str">
        <f ca="1">_xlfn.CONCAT("        id: ","""",C7,"""",",")</f>
        <v xml:space="preserve">        id: "porelamordemisamigos",</v>
      </c>
    </row>
    <row r="8" spans="2:32" ht="23.25" x14ac:dyDescent="0.25">
      <c r="C8" t="str">
        <f ca="1">PROPER(L1)</f>
        <v>Por El Amor De Mis Amigos</v>
      </c>
      <c r="L8" s="48" t="str">
        <f ca="1">_xlfn.CONCAT("        tt: ","""",C8,"""",",")</f>
        <v xml:space="preserve">        tt: "Por El Amor De Mis Amigos",</v>
      </c>
    </row>
    <row r="9" spans="2:32" ht="23.25" x14ac:dyDescent="0.25">
      <c r="C9" t="str">
        <f ca="1">PROPER(L1)</f>
        <v>Por El Amor De Mis Amigos</v>
      </c>
      <c r="L9" s="48" t="str">
        <f ca="1">_xlfn.CONCAT("        title: ","""",C9,"""",",")</f>
        <v xml:space="preserve">        title: "Por El Amor De Mis Amigos",</v>
      </c>
    </row>
    <row r="10" spans="2:32" ht="23.25" x14ac:dyDescent="0.25">
      <c r="C10" t="str">
        <f ca="1">VLOOKUP(C1,Table223[],4,FALSE)</f>
        <v xml:space="preserve">Salmo 122 (121) - Melodía hebraica </v>
      </c>
      <c r="L10" s="48" t="str">
        <f ca="1">_xlfn.CONCAT("        ","subtitle: ","""",C10,"""",",")</f>
        <v xml:space="preserve">        subtitle: "Salmo 122 (121) - Melodía hebraica ",</v>
      </c>
    </row>
    <row r="11" spans="2:32" ht="23.25" x14ac:dyDescent="0.25">
      <c r="C11" t="str">
        <f ca="1">_xlfn.CONCAT("category: [",VLOOKUP(C1,Table223[],16,FALSE),"],")</f>
        <v>category: ["Precatecumenado","Paz","Antiguo Testamento"],</v>
      </c>
      <c r="L11" s="48" t="str">
        <f ca="1">_xlfn.CONCAT("        ",C11)</f>
        <v xml:space="preserve">        category: ["Precatecumenado","Paz","Antiguo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132</v>
      </c>
      <c r="L16" s="48" t="str">
        <f ca="1">_xlfn.CONCAT("        dbno: ","""",C16,"""",",")</f>
        <v xml:space="preserve">        dbno: "132",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porelamordemisamigos</v>
      </c>
      <c r="L19" s="48" t="str">
        <f ca="1">_xlfn.CONCAT("        audioSrc: ","""/audio/",C19,".mp3""",",")</f>
        <v xml:space="preserve">        audioSrc: "/audio/porelamordemisamigos.mp3",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131</v>
      </c>
      <c r="C26" t="str">
        <f ca="1">VLOOKUP(B26,Table4[],13,FALSE)</f>
        <v>"/resucito/src/index.html?canto=pentecostes"</v>
      </c>
      <c r="L26" s="48" t="str">
        <f ca="1">_xlfn.CONCAT("        ant: ",C26,",")</f>
        <v xml:space="preserve">        ant: "/resucito/src/index.html?canto=pentecostes",</v>
      </c>
    </row>
    <row r="27" spans="1:40" ht="23.25" x14ac:dyDescent="0.25">
      <c r="B27">
        <f ca="1">+C1+1</f>
        <v>133</v>
      </c>
      <c r="C27" t="str">
        <f ca="1">VLOOKUP(B27,Table4[],13,FALSE)</f>
        <v>"/resucito/src/index.html?canto=porqueestanocheesdiferente"</v>
      </c>
      <c r="L27" s="48" t="str">
        <f ca="1">_xlfn.CONCAT("        sig: ",C27,",")</f>
        <v xml:space="preserve">        sig: "/resucito/src/index.html?canto=porqueestanocheesdiferente",</v>
      </c>
    </row>
    <row r="28" spans="1:40" ht="23.25" x14ac:dyDescent="0.25">
      <c r="L28" s="46" t="s">
        <v>991</v>
      </c>
    </row>
    <row r="29" spans="1:40" ht="36" thickBot="1" x14ac:dyDescent="0.3">
      <c r="A29" s="49"/>
      <c r="B29" s="49"/>
      <c r="C29" s="49" t="s">
        <v>1046</v>
      </c>
      <c r="D29" s="49"/>
      <c r="E29" s="49"/>
      <c r="F29" s="49"/>
      <c r="G29" s="49"/>
      <c r="H29" s="49"/>
      <c r="I29" s="49"/>
      <c r="J29" s="49"/>
      <c r="K29" s="49"/>
      <c r="L29" s="50" t="s">
        <v>992</v>
      </c>
    </row>
    <row r="30" spans="1:40" ht="25.5" thickTop="1" thickBot="1" x14ac:dyDescent="0.4">
      <c r="B30" t="s">
        <v>1014</v>
      </c>
      <c r="C30" s="113" t="s">
        <v>1047</v>
      </c>
      <c r="D30" s="112" t="s">
        <v>1011</v>
      </c>
      <c r="E30" s="52" t="s">
        <v>1012</v>
      </c>
      <c r="F30" s="53" t="s">
        <v>1013</v>
      </c>
      <c r="G30" s="53" t="s">
        <v>1012</v>
      </c>
      <c r="H30" s="52"/>
      <c r="I30" s="52"/>
      <c r="J30" s="54"/>
      <c r="K30" s="54"/>
      <c r="L30" s="55" t="str">
        <f t="shared" ref="L30:L31" si="0">IF(C30="","",_xlfn.CONCAT("            { line: ","""",C30,", ",M30:AN30,""", sC: ","""",B30,"""},"))</f>
        <v xml:space="preserve">            { line: "Por el amor de mis amigos,, (Mi,m,20)(La,m,250)", sC: "tc"},</v>
      </c>
      <c r="M30" s="56" t="str">
        <f t="shared" ref="M30:M35" si="1">IF(N30="","","(")</f>
        <v>(</v>
      </c>
      <c r="N30" s="57" t="str">
        <f t="shared" ref="N30:N99" si="2">IF(D30="","",D30)</f>
        <v>Mi</v>
      </c>
      <c r="O30" s="58" t="str">
        <f t="shared" ref="O30:O35" si="3">IF(N30="","",",")</f>
        <v>,</v>
      </c>
      <c r="P30" s="59" t="str">
        <f t="shared" ref="P30:P99"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99" si="8">IF(F30="","",F30)</f>
        <v>La</v>
      </c>
      <c r="V30" s="64" t="str">
        <f t="shared" ref="V30:V35" si="9">IF(U30="","",",")</f>
        <v>,</v>
      </c>
      <c r="W30" s="65" t="str">
        <f t="shared" ref="W30:W99" si="10">IF(G30="","",G30)</f>
        <v>m</v>
      </c>
      <c r="X30" s="64" t="str">
        <f t="shared" ref="X30:X35" si="11">IF(U30="","",",")</f>
        <v>,</v>
      </c>
      <c r="Y30" s="64">
        <f t="shared" ref="Y30:Y35" si="12">IF(U30="","",250)</f>
        <v>250</v>
      </c>
      <c r="Z30" s="56" t="str">
        <f t="shared" ref="Z30:Z35" si="13">IF(U30="","",")")</f>
        <v>)</v>
      </c>
      <c r="AA30" s="66" t="str">
        <f t="shared" ref="AA30:AA35" si="14">IF(AB30="","","(")</f>
        <v/>
      </c>
      <c r="AB30" s="57" t="str">
        <f t="shared" ref="AB30:AB99"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99"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1048</v>
      </c>
      <c r="D31" s="112" t="s">
        <v>1011</v>
      </c>
      <c r="E31" s="52" t="s">
        <v>1012</v>
      </c>
      <c r="F31" s="53"/>
      <c r="G31" s="53"/>
      <c r="H31" s="52"/>
      <c r="I31" s="52"/>
      <c r="J31" s="54"/>
      <c r="K31" s="54"/>
      <c r="L31" s="55" t="str">
        <f t="shared" si="0"/>
        <v xml:space="preserve">            { line: "por el amor de mis hermanos,, (Mi,m,20)", sC: ""},</v>
      </c>
      <c r="M31" s="56" t="str">
        <f t="shared" si="1"/>
        <v>(</v>
      </c>
      <c r="N31" s="57" t="str">
        <f t="shared" si="2"/>
        <v>Mi</v>
      </c>
      <c r="O31" s="58" t="str">
        <f t="shared" si="3"/>
        <v>,</v>
      </c>
      <c r="P31" s="59" t="str">
        <f t="shared" si="4"/>
        <v>m</v>
      </c>
      <c r="Q31" s="60" t="str">
        <f t="shared" si="5"/>
        <v>,</v>
      </c>
      <c r="R31" s="61">
        <f t="shared" ref="R31:R99"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1049</v>
      </c>
      <c r="D32" s="112" t="s">
        <v>1050</v>
      </c>
      <c r="E32" s="52"/>
      <c r="F32" s="53"/>
      <c r="G32" s="53"/>
      <c r="H32" s="52"/>
      <c r="I32" s="52"/>
      <c r="J32" s="54"/>
      <c r="K32" s="54"/>
      <c r="L32" s="55" t="str">
        <f>IF(C32="","",_xlfn.CONCAT("            { line: ","""",C32,", ",M32:AN32,""", sC: ","""",B32,"""},"))</f>
        <v xml:space="preserve">            { line: "déjame que yo te diga:, (Si7,,)", sC: ""},</v>
      </c>
      <c r="M32" s="56" t="str">
        <f t="shared" si="1"/>
        <v>(</v>
      </c>
      <c r="N32" s="57" t="str">
        <f t="shared" si="2"/>
        <v>Si7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1051</v>
      </c>
      <c r="D33" s="112" t="s">
        <v>1011</v>
      </c>
      <c r="E33" s="52" t="s">
        <v>1012</v>
      </c>
      <c r="F33" s="53"/>
      <c r="G33" s="53"/>
      <c r="H33" s="52"/>
      <c r="I33" s="52"/>
      <c r="J33" s="54"/>
      <c r="K33" s="54"/>
      <c r="L33" s="55" t="str">
        <f>IF(C33="","",_xlfn.CONCAT("            { line: ","""",C33,", ",M33:AN33,""", sC: ","""",B33,"""},"))</f>
        <v xml:space="preserve">            { line: "la paz contigo.,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1052</v>
      </c>
      <c r="D35" s="112" t="s">
        <v>1011</v>
      </c>
      <c r="E35" s="52" t="s">
        <v>1012</v>
      </c>
      <c r="F35" s="53"/>
      <c r="G35" s="53"/>
      <c r="H35" s="52"/>
      <c r="I35" s="52"/>
      <c r="J35" s="54"/>
      <c r="K35" s="54"/>
      <c r="L35" s="55" t="str">
        <f t="shared" ref="L35:L48" si="29">IF(C35="","",_xlfn.CONCAT("            { line: ","""",C35,", ",M35:AN35,""", sC: ","""",B35,"""},"))</f>
        <v xml:space="preserve">            { line: "¡Qué alegría cuando me dijeron:, (Mi,m,20)", sC: "tc"},</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1053</v>
      </c>
      <c r="D36" s="112" t="s">
        <v>1013</v>
      </c>
      <c r="E36" s="52" t="s">
        <v>1012</v>
      </c>
      <c r="F36" s="53" t="s">
        <v>1011</v>
      </c>
      <c r="G36" s="53" t="s">
        <v>1012</v>
      </c>
      <c r="H36" s="52"/>
      <c r="I36" s="52"/>
      <c r="J36" s="54"/>
      <c r="K36" s="54"/>
      <c r="L36" s="55" t="str">
        <f t="shared" si="29"/>
        <v xml:space="preserve">            { line: "vamos a la casa del Señor!,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1054</v>
      </c>
      <c r="D37" s="112" t="s">
        <v>1050</v>
      </c>
      <c r="E37" s="52"/>
      <c r="F37" s="53"/>
      <c r="G37" s="53"/>
      <c r="H37" s="52"/>
      <c r="I37" s="52"/>
      <c r="J37" s="54"/>
      <c r="K37" s="54"/>
      <c r="L37" s="55" t="str">
        <f t="shared" si="29"/>
        <v xml:space="preserve">            { line: "YA ESTÁN PISANDO NUESTROS PIES, (Si7,,)", sC: "ta as"},</v>
      </c>
      <c r="M37" s="56" t="str">
        <f>IF(N37="","","(")</f>
        <v>(</v>
      </c>
      <c r="N37" s="57" t="str">
        <f>IF(D37="","",D37)</f>
        <v>Si7</v>
      </c>
      <c r="O37" s="58" t="str">
        <f>IF(N37="","",",")</f>
        <v>,</v>
      </c>
      <c r="P37" s="59" t="str">
        <f>IF(E37="","",E37)</f>
        <v/>
      </c>
      <c r="Q37" s="60" t="str">
        <f>IF(N37="","",",")</f>
        <v>,</v>
      </c>
      <c r="R37" s="61" t="str">
        <f t="shared" si="28"/>
        <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1055</v>
      </c>
      <c r="D38" s="112" t="s">
        <v>1011</v>
      </c>
      <c r="E38" s="52" t="s">
        <v>1012</v>
      </c>
      <c r="F38" s="53"/>
      <c r="G38" s="53"/>
      <c r="H38" s="52"/>
      <c r="I38" s="52"/>
      <c r="J38" s="54"/>
      <c r="K38" s="54"/>
      <c r="L38" s="55" t="str">
        <f t="shared" si="29"/>
        <v xml:space="preserve">            { line: "TUS UMBRALES JERUSALÉN.,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1056</v>
      </c>
      <c r="D40" s="112" t="s">
        <v>1011</v>
      </c>
      <c r="E40" s="52" t="s">
        <v>1012</v>
      </c>
      <c r="F40" s="53"/>
      <c r="G40" s="53"/>
      <c r="H40" s="52"/>
      <c r="I40" s="52"/>
      <c r="J40" s="54"/>
      <c r="K40" s="54"/>
      <c r="L40" s="55" t="str">
        <f t="shared" si="29"/>
        <v xml:space="preserve">            { line: "JERUSALÉN, JERUSALÉN,,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1057</v>
      </c>
      <c r="D41" s="112" t="s">
        <v>1013</v>
      </c>
      <c r="E41" s="52" t="s">
        <v>1012</v>
      </c>
      <c r="F41" s="53" t="s">
        <v>1011</v>
      </c>
      <c r="G41" s="53" t="s">
        <v>1012</v>
      </c>
      <c r="H41" s="52"/>
      <c r="I41" s="52"/>
      <c r="J41" s="54"/>
      <c r="K41" s="54"/>
      <c r="L41" s="55" t="str">
        <f t="shared" si="29"/>
        <v xml:space="preserve">            { line: "DE NUEVO REEDIFICADA., (La,m,20)(Mi,m,250)",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1058</v>
      </c>
      <c r="D42" s="112"/>
      <c r="E42" s="52"/>
      <c r="F42" s="53"/>
      <c r="G42" s="53"/>
      <c r="H42" s="52"/>
      <c r="I42" s="52"/>
      <c r="J42" s="54"/>
      <c r="K42" s="54"/>
      <c r="L42" s="55" t="str">
        <f t="shared" si="29"/>
        <v xml:space="preserve">            { line: "JERUSALÉN,JERUSALÉN,, ", sC: "as"},</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1057</v>
      </c>
      <c r="D43" s="112" t="s">
        <v>1050</v>
      </c>
      <c r="E43" s="52"/>
      <c r="F43" s="53" t="s">
        <v>1011</v>
      </c>
      <c r="G43" s="53" t="s">
        <v>1012</v>
      </c>
      <c r="H43" s="52"/>
      <c r="I43" s="52"/>
      <c r="J43" s="54"/>
      <c r="K43" s="54"/>
      <c r="L43" s="55" t="str">
        <f t="shared" si="29"/>
        <v xml:space="preserve">            { line: "DE NUEVO REEDIFICADA., (Si7,,)(Mi,m,250)", sC: "as"},</v>
      </c>
      <c r="M43" s="56" t="str">
        <f>IF(N43="","","(")</f>
        <v>(</v>
      </c>
      <c r="N43" s="57" t="str">
        <f>IF(D43="","",D43)</f>
        <v>Si7</v>
      </c>
      <c r="O43" s="58" t="str">
        <f>IF(N43="","",",")</f>
        <v>,</v>
      </c>
      <c r="P43" s="59" t="str">
        <f>IF(E43="","",E43)</f>
        <v/>
      </c>
      <c r="Q43" s="60" t="str">
        <f>IF(N43="","",",")</f>
        <v>,</v>
      </c>
      <c r="R43" s="61" t="str">
        <f t="shared" si="28"/>
        <v/>
      </c>
      <c r="S43" s="56" t="str">
        <f>IF(N43="","",")")</f>
        <v>)</v>
      </c>
      <c r="T43" s="62" t="str">
        <f>IF(U43="","","(")</f>
        <v>(</v>
      </c>
      <c r="U43" s="63" t="str">
        <f>IF(F43="","",F43)</f>
        <v>Mi</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1058</v>
      </c>
      <c r="D45" s="112" t="s">
        <v>1011</v>
      </c>
      <c r="E45" s="52" t="s">
        <v>1012</v>
      </c>
      <c r="F45" s="53"/>
      <c r="G45" s="53"/>
      <c r="H45" s="52"/>
      <c r="I45" s="52"/>
      <c r="J45" s="54"/>
      <c r="K45" s="54"/>
      <c r="L45" s="55" t="str">
        <f t="shared" si="29"/>
        <v xml:space="preserve">            { line: "JERUSALÉN,JERUSALÉN,, (Mi,m,20)", sC: "as"},</v>
      </c>
      <c r="M45" s="56" t="str">
        <f>IF(N45="","","(")</f>
        <v>(</v>
      </c>
      <c r="N45" s="57" t="str">
        <f>IF(D45="","",D45)</f>
        <v>Mi</v>
      </c>
      <c r="O45" s="58" t="str">
        <f>IF(N45="","",",")</f>
        <v>,</v>
      </c>
      <c r="P45" s="59" t="str">
        <f>IF(E45="","",E45)</f>
        <v>m</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1057</v>
      </c>
      <c r="D46" s="112" t="s">
        <v>1013</v>
      </c>
      <c r="E46" s="52" t="s">
        <v>1012</v>
      </c>
      <c r="F46" s="53" t="s">
        <v>1011</v>
      </c>
      <c r="G46" s="53" t="s">
        <v>1012</v>
      </c>
      <c r="H46" s="52"/>
      <c r="I46" s="52"/>
      <c r="J46" s="54"/>
      <c r="K46" s="54"/>
      <c r="L46" s="55" t="str">
        <f t="shared" si="29"/>
        <v xml:space="preserve">            { line: "DE NUEVO REEDIFICADA., (La,m,20)(Mi,m,250)", sC: "as"},</v>
      </c>
      <c r="M46" s="56" t="str">
        <f>IF(N46="","","(")</f>
        <v>(</v>
      </c>
      <c r="N46" s="57" t="str">
        <f>IF(D46="","",D46)</f>
        <v>La</v>
      </c>
      <c r="O46" s="58" t="str">
        <f>IF(N46="","",",")</f>
        <v>,</v>
      </c>
      <c r="P46" s="59" t="str">
        <f>IF(E46="","",E46)</f>
        <v>m</v>
      </c>
      <c r="Q46" s="60" t="str">
        <f>IF(N46="","",",")</f>
        <v>,</v>
      </c>
      <c r="R46" s="61">
        <f t="shared" si="28"/>
        <v>20</v>
      </c>
      <c r="S46" s="56" t="str">
        <f>IF(N46="","",")")</f>
        <v>)</v>
      </c>
      <c r="T46" s="62" t="str">
        <f>IF(U46="","","(")</f>
        <v>(</v>
      </c>
      <c r="U46" s="63" t="str">
        <f>IF(F46="","",F46)</f>
        <v>Mi</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1058</v>
      </c>
      <c r="D47" s="112"/>
      <c r="E47" s="52"/>
      <c r="F47" s="53"/>
      <c r="G47" s="53"/>
      <c r="H47" s="52"/>
      <c r="I47" s="52"/>
      <c r="J47" s="54"/>
      <c r="K47" s="54"/>
      <c r="L47" s="55" t="str">
        <f t="shared" si="29"/>
        <v xml:space="preserve">            { line: "JERUSALÉN,JERUSALÉN,, ", sC: "as"},</v>
      </c>
      <c r="M47" s="56" t="str">
        <f>IF(N47="","","(")</f>
        <v/>
      </c>
      <c r="N47" s="57" t="str">
        <f>IF(D47="","",D47)</f>
        <v/>
      </c>
      <c r="O47" s="58" t="str">
        <f>IF(N47="","",",")</f>
        <v/>
      </c>
      <c r="P47" s="59" t="str">
        <f>IF(E47="","",E47)</f>
        <v/>
      </c>
      <c r="Q47" s="60" t="str">
        <f>IF(N47="","",",")</f>
        <v/>
      </c>
      <c r="R47" s="61" t="str">
        <f t="shared" si="28"/>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1057</v>
      </c>
      <c r="D48" s="112" t="s">
        <v>1050</v>
      </c>
      <c r="E48" s="52"/>
      <c r="F48" s="53" t="s">
        <v>1011</v>
      </c>
      <c r="G48" s="53" t="s">
        <v>1012</v>
      </c>
      <c r="H48" s="52"/>
      <c r="I48" s="52"/>
      <c r="J48" s="54"/>
      <c r="K48" s="54"/>
      <c r="L48" s="55" t="str">
        <f t="shared" si="29"/>
        <v xml:space="preserve">            { line: "DE NUEVO REEDIFICADA., (Si7,,)(Mi,m,250)", sC: "as"},</v>
      </c>
      <c r="M48" s="56" t="str">
        <f t="shared" ref="M48" si="57">IF(N48="","","(")</f>
        <v>(</v>
      </c>
      <c r="N48" s="57" t="str">
        <f t="shared" ref="N48" si="58">IF(D48="","",D48)</f>
        <v>Si7</v>
      </c>
      <c r="O48" s="58" t="str">
        <f t="shared" ref="O48" si="59">IF(N48="","",",")</f>
        <v>,</v>
      </c>
      <c r="P48" s="59" t="str">
        <f t="shared" ref="P48" si="60">IF(E48="","",E48)</f>
        <v/>
      </c>
      <c r="Q48" s="60" t="str">
        <f t="shared" ref="Q48" si="61">IF(N48="","",",")</f>
        <v>,</v>
      </c>
      <c r="R48" s="61" t="str">
        <f t="shared" si="28"/>
        <v/>
      </c>
      <c r="S48" s="56" t="str">
        <f t="shared" ref="S48" si="62">IF(N48="","",")")</f>
        <v>)</v>
      </c>
      <c r="T48" s="62" t="str">
        <f t="shared" ref="T48" si="63">IF(U48="","","(")</f>
        <v>(</v>
      </c>
      <c r="U48" s="63" t="str">
        <f t="shared" ref="U48" si="64">IF(F48="","",F48)</f>
        <v>Mi</v>
      </c>
      <c r="V48" s="64" t="str">
        <f t="shared" ref="V48" si="65">IF(U48="","",",")</f>
        <v>,</v>
      </c>
      <c r="W48" s="65" t="str">
        <f t="shared" ref="W48" si="66">IF(G48="","",G48)</f>
        <v>m</v>
      </c>
      <c r="X48" s="64" t="str">
        <f t="shared" ref="X48" si="67">IF(U48="","",",")</f>
        <v>,</v>
      </c>
      <c r="Y48" s="64">
        <f t="shared" ref="Y48" si="68">IF(U48="","",250)</f>
        <v>250</v>
      </c>
      <c r="Z48" s="56" t="str">
        <f t="shared" ref="Z48" si="69">IF(U48="","",")")</f>
        <v>)</v>
      </c>
      <c r="AA48" s="66" t="str">
        <f t="shared" ref="AA48" si="70">IF(AB48="","","(")</f>
        <v/>
      </c>
      <c r="AB48" s="57" t="str">
        <f t="shared" ref="AB48" si="71">IF(H48="","",H48)</f>
        <v/>
      </c>
      <c r="AC48" s="67" t="str">
        <f t="shared" ref="AC48" si="72">IF(AB48="","",",")</f>
        <v/>
      </c>
      <c r="AD48" s="59" t="str">
        <f t="shared" ref="AD48" si="73">IF(I48="","",I48)</f>
        <v/>
      </c>
      <c r="AE48" s="68" t="str">
        <f t="shared" ref="AE48" si="74">IF(AB48="","",",")</f>
        <v/>
      </c>
      <c r="AF48" s="61" t="str">
        <f t="shared" ref="AF48" si="75">IF(AB48="","",350)</f>
        <v/>
      </c>
      <c r="AG48" s="61" t="str">
        <f t="shared" ref="AG48" si="76">IF(AB48="","",")")</f>
        <v/>
      </c>
      <c r="AH48" s="69" t="str">
        <f t="shared" ref="AH48" si="77">IF(AI48="","","(")</f>
        <v/>
      </c>
      <c r="AI48" s="70" t="str">
        <f t="shared" ref="AI48" si="78">IF(J48="","",J48)</f>
        <v/>
      </c>
      <c r="AJ48" s="64" t="str">
        <f t="shared" ref="AJ48" si="79">IF(AI48="","",",")</f>
        <v/>
      </c>
      <c r="AK48" s="64" t="str">
        <f t="shared" ref="AK48" si="80">IF(K48="","",K48)</f>
        <v/>
      </c>
      <c r="AL48" s="64" t="str">
        <f t="shared" ref="AL48" si="81">IF(AI48="","",",")</f>
        <v/>
      </c>
      <c r="AM48" s="64" t="str">
        <f t="shared" ref="AM48" si="82">IF(AI48="","",450)</f>
        <v/>
      </c>
      <c r="AN48" s="64" t="str">
        <f t="shared" ref="AN48" si="83">IF(AI48="","",")")</f>
        <v/>
      </c>
    </row>
    <row r="49" spans="1:40" ht="36.75" thickTop="1" thickBot="1" x14ac:dyDescent="0.4">
      <c r="A49" s="76"/>
      <c r="B49" s="76"/>
      <c r="C49" s="76" t="s">
        <v>1046</v>
      </c>
      <c r="D49" s="77"/>
      <c r="E49" s="77"/>
      <c r="F49" s="77"/>
      <c r="G49" s="77"/>
      <c r="H49" s="77"/>
      <c r="I49" s="77"/>
      <c r="J49" s="77"/>
      <c r="K49" s="77"/>
      <c r="L49" s="50" t="s">
        <v>994</v>
      </c>
      <c r="M49" s="104"/>
      <c r="N49" s="57"/>
      <c r="O49" s="105"/>
      <c r="P49" s="59"/>
      <c r="Q49" s="106"/>
      <c r="R49" s="61" t="str">
        <f t="shared" si="28"/>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thickTop="1" thickBot="1" x14ac:dyDescent="0.4">
      <c r="C50" s="79" t="s">
        <v>995</v>
      </c>
      <c r="D50" s="80"/>
      <c r="E50" s="80"/>
      <c r="F50" s="80"/>
      <c r="G50" s="80"/>
      <c r="H50" s="80"/>
      <c r="I50" s="80"/>
      <c r="J50" s="80"/>
      <c r="K50" s="80"/>
      <c r="L50" s="81" t="s">
        <v>996</v>
      </c>
      <c r="M50" s="56" t="str">
        <f t="shared" ref="M50:M54" si="84">IF(N50="","","(")</f>
        <v/>
      </c>
      <c r="N50" s="57" t="str">
        <f t="shared" ref="N50:N54" si="85">IF(D50="","",D50)</f>
        <v/>
      </c>
      <c r="O50" s="58" t="str">
        <f t="shared" ref="O50:O54" si="86">IF(N50="","",",")</f>
        <v/>
      </c>
      <c r="P50" s="59" t="str">
        <f t="shared" ref="P50:P54" si="87">IF(E50="","",E50)</f>
        <v/>
      </c>
      <c r="Q50" s="60" t="str">
        <f t="shared" ref="Q50:Q54" si="88">IF(N50="","",",")</f>
        <v/>
      </c>
      <c r="R50" s="61" t="str">
        <f t="shared" si="28"/>
        <v/>
      </c>
      <c r="S50" s="56" t="str">
        <f t="shared" ref="S50:S54" si="89">IF(N50="","",")")</f>
        <v/>
      </c>
      <c r="T50" s="62" t="str">
        <f t="shared" ref="T50:T54" si="90">IF(U50="","","(")</f>
        <v/>
      </c>
      <c r="U50" s="63" t="str">
        <f t="shared" ref="U50:U54" si="91">IF(F50="","",F50)</f>
        <v/>
      </c>
      <c r="V50" s="64" t="str">
        <f t="shared" ref="V50:V54" si="92">IF(U50="","",",")</f>
        <v/>
      </c>
      <c r="W50" s="65" t="str">
        <f t="shared" ref="W50:W54" si="93">IF(G50="","",G50)</f>
        <v/>
      </c>
      <c r="X50" s="64" t="str">
        <f t="shared" ref="X50:X54" si="94">IF(U50="","",",")</f>
        <v/>
      </c>
      <c r="Y50" s="64" t="str">
        <f t="shared" ref="Y50:Y54" si="95">IF(U50="","",250)</f>
        <v/>
      </c>
      <c r="Z50" s="56" t="str">
        <f t="shared" ref="Z50:Z54" si="96">IF(U50="","",")")</f>
        <v/>
      </c>
      <c r="AA50" s="66" t="str">
        <f t="shared" ref="AA50:AA54" si="97">IF(AB50="","","(")</f>
        <v/>
      </c>
      <c r="AB50" s="57" t="str">
        <f t="shared" ref="AB50:AB54" si="98">IF(H50="","",H50)</f>
        <v/>
      </c>
      <c r="AC50" s="67" t="str">
        <f t="shared" ref="AC50:AC54" si="99">IF(AB50="","",",")</f>
        <v/>
      </c>
      <c r="AD50" s="59" t="str">
        <f t="shared" ref="AD50:AD54" si="100">IF(I50="","",I50)</f>
        <v/>
      </c>
      <c r="AE50" s="68" t="str">
        <f t="shared" ref="AE50:AE54" si="101">IF(AB50="","",",")</f>
        <v/>
      </c>
      <c r="AF50" s="61" t="str">
        <f t="shared" ref="AF50:AF54" si="102">IF(AB50="","",350)</f>
        <v/>
      </c>
      <c r="AG50" s="61" t="str">
        <f t="shared" ref="AG50:AG54" si="103">IF(AB50="","",")")</f>
        <v/>
      </c>
      <c r="AH50" s="69" t="str">
        <f t="shared" ref="AH50:AH54" si="104">IF(AI50="","","(")</f>
        <v/>
      </c>
      <c r="AI50" s="70" t="str">
        <f t="shared" ref="AI50:AI54" si="105">IF(J50="","",J50)</f>
        <v/>
      </c>
      <c r="AJ50" s="64" t="str">
        <f t="shared" ref="AJ50:AJ54" si="106">IF(AI50="","",",")</f>
        <v/>
      </c>
      <c r="AK50" s="64" t="str">
        <f t="shared" ref="AK50:AK54" si="107">IF(K50="","",K50)</f>
        <v/>
      </c>
      <c r="AL50" s="64" t="str">
        <f t="shared" ref="AL50:AL54" si="108">IF(AI50="","",",")</f>
        <v/>
      </c>
      <c r="AM50" s="64" t="str">
        <f t="shared" ref="AM50:AM54" si="109">IF(AI50="","",450)</f>
        <v/>
      </c>
      <c r="AN50" s="64" t="str">
        <f t="shared" ref="AN50:AN54" si="110">IF(AI50="","",")")</f>
        <v/>
      </c>
    </row>
    <row r="51" spans="1:40" ht="25.5" thickTop="1" thickBot="1" x14ac:dyDescent="0.4">
      <c r="B51" t="s">
        <v>997</v>
      </c>
      <c r="C51" s="82" t="s">
        <v>1069</v>
      </c>
      <c r="D51" s="83" t="s">
        <v>1011</v>
      </c>
      <c r="E51" s="83" t="s">
        <v>1012</v>
      </c>
      <c r="F51" s="83"/>
      <c r="G51" s="83"/>
      <c r="H51" s="83"/>
      <c r="I51" s="83"/>
      <c r="J51" s="83"/>
      <c r="K51" s="83"/>
      <c r="L51" s="84" t="str">
        <f>IF(C51="","",_xlfn.CONCAT("       triggerLine: ","""",C51,", ",M51:AN51,""", sC: ","""",B51,""", lines: ["))</f>
        <v xml:space="preserve">       triggerLine: "Por el amor... . ...paz contigo, (Mi,m,20)", sC: "ta as", lines: [</v>
      </c>
      <c r="M51" s="56" t="str">
        <f t="shared" si="84"/>
        <v>(</v>
      </c>
      <c r="N51" s="57" t="str">
        <f t="shared" si="85"/>
        <v>Mi</v>
      </c>
      <c r="O51" s="58" t="str">
        <f t="shared" si="86"/>
        <v>,</v>
      </c>
      <c r="P51" s="59" t="str">
        <f t="shared" si="87"/>
        <v>m</v>
      </c>
      <c r="Q51" s="60" t="str">
        <f t="shared" si="88"/>
        <v>,</v>
      </c>
      <c r="R51" s="61">
        <f t="shared" si="28"/>
        <v>20</v>
      </c>
      <c r="S51" s="56" t="str">
        <f t="shared" si="89"/>
        <v>)</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5.5" thickTop="1" thickBot="1" x14ac:dyDescent="0.4">
      <c r="B52" t="s">
        <v>999</v>
      </c>
      <c r="C52" s="85" t="s">
        <v>1047</v>
      </c>
      <c r="D52" s="86" t="s">
        <v>1011</v>
      </c>
      <c r="E52" s="86" t="s">
        <v>1012</v>
      </c>
      <c r="F52" s="86" t="s">
        <v>1013</v>
      </c>
      <c r="G52" s="86" t="s">
        <v>1012</v>
      </c>
      <c r="H52" s="87"/>
      <c r="I52" s="87"/>
      <c r="J52" s="87"/>
      <c r="K52" s="87"/>
      <c r="L52" s="88" t="str">
        <f>IF(C52="","",_xlfn.CONCAT("            { line: ","""",C52,", ",M52:AN52,""", sC: ","""",B52,"""},"))</f>
        <v xml:space="preserve">            { line: "Por el amor de mis amigos,, (Mi,m,20)(La,m,250)", sC: "as"},</v>
      </c>
      <c r="M52" s="56" t="str">
        <f t="shared" si="84"/>
        <v>(</v>
      </c>
      <c r="N52" s="57" t="str">
        <f t="shared" si="85"/>
        <v>Mi</v>
      </c>
      <c r="O52" s="58" t="str">
        <f t="shared" si="86"/>
        <v>,</v>
      </c>
      <c r="P52" s="59" t="str">
        <f t="shared" si="87"/>
        <v>m</v>
      </c>
      <c r="Q52" s="60" t="str">
        <f t="shared" si="88"/>
        <v>,</v>
      </c>
      <c r="R52" s="61">
        <f t="shared" si="28"/>
        <v>20</v>
      </c>
      <c r="S52" s="56" t="str">
        <f t="shared" si="89"/>
        <v>)</v>
      </c>
      <c r="T52" s="62" t="str">
        <f t="shared" si="90"/>
        <v>(</v>
      </c>
      <c r="U52" s="63" t="str">
        <f t="shared" si="91"/>
        <v>La</v>
      </c>
      <c r="V52" s="64" t="str">
        <f t="shared" si="92"/>
        <v>,</v>
      </c>
      <c r="W52" s="65" t="str">
        <f t="shared" si="93"/>
        <v>m</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B53" t="s">
        <v>999</v>
      </c>
      <c r="C53" s="85" t="s">
        <v>1048</v>
      </c>
      <c r="D53" s="89" t="s">
        <v>1011</v>
      </c>
      <c r="E53" s="89" t="s">
        <v>1012</v>
      </c>
      <c r="F53" s="89"/>
      <c r="G53" s="89"/>
      <c r="H53" s="90"/>
      <c r="I53" s="90"/>
      <c r="J53" s="90"/>
      <c r="K53" s="90"/>
      <c r="L53" s="88" t="str">
        <f>IF(C53="","",_xlfn.CONCAT("            { line: ","""",C53,", ",M53:AN53,""", sC: ","""",B53,"""},"))</f>
        <v xml:space="preserve">            { line: "por el amor de mis hermanos,, (Mi,m,20)", sC: "as"},</v>
      </c>
      <c r="M53" s="56" t="str">
        <f t="shared" si="84"/>
        <v>(</v>
      </c>
      <c r="N53" s="57" t="str">
        <f t="shared" si="85"/>
        <v>Mi</v>
      </c>
      <c r="O53" s="58" t="str">
        <f t="shared" si="86"/>
        <v>,</v>
      </c>
      <c r="P53" s="59" t="str">
        <f t="shared" si="87"/>
        <v>m</v>
      </c>
      <c r="Q53" s="60" t="str">
        <f t="shared" si="88"/>
        <v>,</v>
      </c>
      <c r="R53" s="61">
        <f t="shared" si="28"/>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B54" t="s">
        <v>999</v>
      </c>
      <c r="C54" s="85" t="s">
        <v>1049</v>
      </c>
      <c r="D54" s="86" t="s">
        <v>1050</v>
      </c>
      <c r="E54" s="86"/>
      <c r="F54" s="86"/>
      <c r="G54" s="86"/>
      <c r="H54" s="87"/>
      <c r="I54" s="87"/>
      <c r="J54" s="87"/>
      <c r="K54" s="87"/>
      <c r="L54" s="88" t="str">
        <f>IF(C54="","",_xlfn.CONCAT("            { line: ","""",C54,", ",M54:AN54,""", sC: ","""",B54,"""},"))</f>
        <v xml:space="preserve">            { line: "déjame que yo te diga:, (Si7,,)", sC: "as"},</v>
      </c>
      <c r="M54" s="56" t="str">
        <f t="shared" si="84"/>
        <v>(</v>
      </c>
      <c r="N54" s="57" t="str">
        <f t="shared" si="85"/>
        <v>Si7</v>
      </c>
      <c r="O54" s="58" t="str">
        <f t="shared" si="86"/>
        <v>,</v>
      </c>
      <c r="P54" s="59" t="str">
        <f t="shared" si="87"/>
        <v/>
      </c>
      <c r="Q54" s="60" t="str">
        <f t="shared" si="88"/>
        <v>,</v>
      </c>
      <c r="R54" s="61" t="str">
        <f t="shared" si="28"/>
        <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93" t="s">
        <v>1051</v>
      </c>
      <c r="D55" s="83" t="s">
        <v>1011</v>
      </c>
      <c r="E55" s="83" t="s">
        <v>1012</v>
      </c>
      <c r="F55" s="83"/>
      <c r="G55" s="83"/>
      <c r="H55" s="83"/>
      <c r="I55" s="83"/>
      <c r="J55" s="83"/>
      <c r="K55" s="83"/>
      <c r="L55" s="94" t="str">
        <f>IF(C55="","",_xlfn.CONCAT("            { line: ","""",C55,", ",M55:AN55,""", sC: ","""",B55,"""},  ]},"))</f>
        <v xml:space="preserve">            { line: "la paz contigo., (Mi,m,20)", sC: "as"},  ]},</v>
      </c>
      <c r="M55" s="56" t="str">
        <f t="shared" ref="M55" si="111">IF(N55="","","(")</f>
        <v>(</v>
      </c>
      <c r="N55" s="57" t="str">
        <f t="shared" ref="N55" si="112">IF(D55="","",D55)</f>
        <v>Mi</v>
      </c>
      <c r="O55" s="58" t="str">
        <f t="shared" ref="O55" si="113">IF(N55="","",",")</f>
        <v>,</v>
      </c>
      <c r="P55" s="59" t="str">
        <f t="shared" ref="P55" si="114">IF(E55="","",E55)</f>
        <v>m</v>
      </c>
      <c r="Q55" s="60" t="str">
        <f t="shared" ref="Q55" si="115">IF(N55="","",",")</f>
        <v>,</v>
      </c>
      <c r="R55" s="61">
        <f t="shared" ref="R55" si="116">IF(N55="Do",10,IF(N55="Re",22,IF(N55="Mi",20,IF(N55="Fa",20,IF(N55="Sol",14,IF(N55="La",20,IF(N55="Si",20,IF(N55="Do#",14,IF(N55="Fa#",15,IF(N55="Sol#",20,""))))))))))</f>
        <v>20</v>
      </c>
      <c r="S55" s="56" t="str">
        <f t="shared" ref="S55" si="117">IF(N55="","",")")</f>
        <v>)</v>
      </c>
      <c r="T55" s="62" t="str">
        <f t="shared" ref="T55" si="118">IF(U55="","","(")</f>
        <v/>
      </c>
      <c r="U55" s="63" t="str">
        <f t="shared" ref="U55" si="119">IF(F55="","",F55)</f>
        <v/>
      </c>
      <c r="V55" s="64" t="str">
        <f t="shared" ref="V55" si="120">IF(U55="","",",")</f>
        <v/>
      </c>
      <c r="W55" s="65" t="str">
        <f t="shared" ref="W55" si="121">IF(G55="","",G55)</f>
        <v/>
      </c>
      <c r="X55" s="64" t="str">
        <f t="shared" ref="X55" si="122">IF(U55="","",",")</f>
        <v/>
      </c>
      <c r="Y55" s="64" t="str">
        <f t="shared" ref="Y55" si="123">IF(U55="","",250)</f>
        <v/>
      </c>
      <c r="Z55" s="56" t="str">
        <f t="shared" ref="Z55" si="124">IF(U55="","",")")</f>
        <v/>
      </c>
      <c r="AA55" s="66" t="str">
        <f t="shared" ref="AA55" si="125">IF(AB55="","","(")</f>
        <v/>
      </c>
      <c r="AB55" s="57" t="str">
        <f t="shared" ref="AB55" si="126">IF(H55="","",H55)</f>
        <v/>
      </c>
      <c r="AC55" s="67" t="str">
        <f t="shared" ref="AC55" si="127">IF(AB55="","",",")</f>
        <v/>
      </c>
      <c r="AD55" s="59" t="str">
        <f t="shared" ref="AD55" si="128">IF(I55="","",I55)</f>
        <v/>
      </c>
      <c r="AE55" s="68" t="str">
        <f t="shared" ref="AE55" si="129">IF(AB55="","",",")</f>
        <v/>
      </c>
      <c r="AF55" s="61" t="str">
        <f t="shared" ref="AF55" si="130">IF(AB55="","",350)</f>
        <v/>
      </c>
      <c r="AG55" s="61" t="str">
        <f t="shared" ref="AG55" si="131">IF(AB55="","",")")</f>
        <v/>
      </c>
      <c r="AH55" s="69" t="str">
        <f t="shared" ref="AH55" si="132">IF(AI55="","","(")</f>
        <v/>
      </c>
      <c r="AI55" s="70" t="str">
        <f t="shared" ref="AI55" si="133">IF(J55="","",J55)</f>
        <v/>
      </c>
      <c r="AJ55" s="64" t="str">
        <f t="shared" ref="AJ55" si="134">IF(AI55="","",",")</f>
        <v/>
      </c>
      <c r="AK55" s="64" t="str">
        <f t="shared" ref="AK55" si="135">IF(K55="","",K55)</f>
        <v/>
      </c>
      <c r="AL55" s="64" t="str">
        <f t="shared" ref="AL55" si="136">IF(AI55="","",",")</f>
        <v/>
      </c>
      <c r="AM55" s="64" t="str">
        <f t="shared" ref="AM55" si="137">IF(AI55="","",450)</f>
        <v/>
      </c>
      <c r="AN55" s="64" t="str">
        <f t="shared" ref="AN55" si="138">IF(AI55="","",")")</f>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1059</v>
      </c>
      <c r="D57" s="112" t="s">
        <v>1011</v>
      </c>
      <c r="E57" s="52" t="s">
        <v>1012</v>
      </c>
      <c r="F57" s="53"/>
      <c r="G57" s="53"/>
      <c r="H57" s="52"/>
      <c r="I57" s="52"/>
      <c r="J57" s="54"/>
      <c r="K57" s="54"/>
      <c r="L57" s="55" t="str">
        <f t="shared" ref="L57:L99" si="139">IF(C57="","",_xlfn.CONCAT("            { line: ","""",C57,", ",M57:AN57,""", sC: ","""",B57,"""},"))</f>
        <v xml:space="preserve">            { line: "Allá suben las tribus,, (Mi,m,20)", sC: "tc"},</v>
      </c>
      <c r="M57" s="56" t="str">
        <f t="shared" ref="M57:M99" si="140">IF(N57="","","(")</f>
        <v>(</v>
      </c>
      <c r="N57" s="57" t="str">
        <f t="shared" si="2"/>
        <v>Mi</v>
      </c>
      <c r="O57" s="58" t="str">
        <f t="shared" ref="O57:O99" si="141">IF(N57="","",",")</f>
        <v>,</v>
      </c>
      <c r="P57" s="59" t="str">
        <f t="shared" si="4"/>
        <v>m</v>
      </c>
      <c r="Q57" s="60" t="str">
        <f t="shared" ref="Q57:Q99" si="142">IF(N57="","",",")</f>
        <v>,</v>
      </c>
      <c r="R57" s="61">
        <f t="shared" si="28"/>
        <v>20</v>
      </c>
      <c r="S57" s="56" t="str">
        <f t="shared" ref="S57:S99" si="143">IF(N57="","",")")</f>
        <v>)</v>
      </c>
      <c r="T57" s="62" t="str">
        <f t="shared" ref="T57:T99" si="144">IF(U57="","","(")</f>
        <v/>
      </c>
      <c r="U57" s="63" t="str">
        <f t="shared" si="8"/>
        <v/>
      </c>
      <c r="V57" s="64" t="str">
        <f t="shared" ref="V57:V99" si="145">IF(U57="","",",")</f>
        <v/>
      </c>
      <c r="W57" s="65" t="str">
        <f t="shared" si="10"/>
        <v/>
      </c>
      <c r="X57" s="64" t="str">
        <f t="shared" ref="X57:X99" si="146">IF(U57="","",",")</f>
        <v/>
      </c>
      <c r="Y57" s="64" t="str">
        <f t="shared" ref="Y57:Y99" si="147">IF(U57="","",250)</f>
        <v/>
      </c>
      <c r="Z57" s="56" t="str">
        <f t="shared" ref="Z57:Z99" si="148">IF(U57="","",")")</f>
        <v/>
      </c>
      <c r="AA57" s="66" t="str">
        <f t="shared" ref="AA57:AA99" si="149">IF(AB57="","","(")</f>
        <v/>
      </c>
      <c r="AB57" s="57" t="str">
        <f t="shared" si="15"/>
        <v/>
      </c>
      <c r="AC57" s="67" t="str">
        <f t="shared" ref="AC57:AC99" si="150">IF(AB57="","",",")</f>
        <v/>
      </c>
      <c r="AD57" s="59" t="str">
        <f t="shared" ref="AD57:AD99" si="151">IF(I57="","",I57)</f>
        <v/>
      </c>
      <c r="AE57" s="68" t="str">
        <f t="shared" ref="AE57:AE99" si="152">IF(AB57="","",",")</f>
        <v/>
      </c>
      <c r="AF57" s="61" t="str">
        <f t="shared" ref="AF57:AF99" si="153">IF(AB57="","",350)</f>
        <v/>
      </c>
      <c r="AG57" s="61" t="str">
        <f t="shared" ref="AG57:AG99" si="154">IF(AB57="","",")")</f>
        <v/>
      </c>
      <c r="AH57" s="69" t="str">
        <f t="shared" ref="AH57:AH99" si="155">IF(AI57="","","(")</f>
        <v/>
      </c>
      <c r="AI57" s="70" t="str">
        <f t="shared" si="22"/>
        <v/>
      </c>
      <c r="AJ57" s="64" t="str">
        <f t="shared" ref="AJ57:AJ99" si="156">IF(AI57="","",",")</f>
        <v/>
      </c>
      <c r="AK57" s="64" t="str">
        <f t="shared" ref="AK57:AK99" si="157">IF(K57="","",K57)</f>
        <v/>
      </c>
      <c r="AL57" s="64" t="str">
        <f t="shared" ref="AL57:AL99" si="158">IF(AI57="","",",")</f>
        <v/>
      </c>
      <c r="AM57" s="64" t="str">
        <f t="shared" ref="AM57:AM99" si="159">IF(AI57="","",450)</f>
        <v/>
      </c>
      <c r="AN57" s="64" t="str">
        <f t="shared" ref="AN57:AN99" si="160">IF(AI57="","",")")</f>
        <v/>
      </c>
    </row>
    <row r="58" spans="1:40" ht="25.5" thickTop="1" thickBot="1" x14ac:dyDescent="0.4">
      <c r="C58" s="113" t="s">
        <v>1060</v>
      </c>
      <c r="D58" s="112" t="s">
        <v>1013</v>
      </c>
      <c r="E58" s="52" t="s">
        <v>1012</v>
      </c>
      <c r="F58" s="53" t="s">
        <v>1011</v>
      </c>
      <c r="G58" s="53" t="s">
        <v>1012</v>
      </c>
      <c r="H58" s="52"/>
      <c r="I58" s="52"/>
      <c r="J58" s="54"/>
      <c r="K58" s="54"/>
      <c r="L58" s="55" t="str">
        <f t="shared" si="139"/>
        <v xml:space="preserve">            { line: "las tribus del Señor,, (La,m,20)(Mi,m,250)", sC: ""},</v>
      </c>
      <c r="M58" s="56" t="str">
        <f t="shared" si="140"/>
        <v>(</v>
      </c>
      <c r="N58" s="57" t="str">
        <f t="shared" si="2"/>
        <v>La</v>
      </c>
      <c r="O58" s="58" t="str">
        <f t="shared" si="141"/>
        <v>,</v>
      </c>
      <c r="P58" s="59" t="str">
        <f t="shared" si="4"/>
        <v>m</v>
      </c>
      <c r="Q58" s="60" t="str">
        <f t="shared" si="142"/>
        <v>,</v>
      </c>
      <c r="R58" s="61">
        <f t="shared" si="28"/>
        <v>20</v>
      </c>
      <c r="S58" s="56" t="str">
        <f t="shared" si="143"/>
        <v>)</v>
      </c>
      <c r="T58" s="62" t="str">
        <f t="shared" si="144"/>
        <v>(</v>
      </c>
      <c r="U58" s="63" t="str">
        <f t="shared" si="8"/>
        <v>Mi</v>
      </c>
      <c r="V58" s="64" t="str">
        <f t="shared" si="145"/>
        <v>,</v>
      </c>
      <c r="W58" s="65" t="str">
        <f t="shared" si="10"/>
        <v>m</v>
      </c>
      <c r="X58" s="64" t="str">
        <f t="shared" si="146"/>
        <v>,</v>
      </c>
      <c r="Y58" s="64">
        <f t="shared" si="147"/>
        <v>250</v>
      </c>
      <c r="Z58" s="56" t="str">
        <f t="shared" si="148"/>
        <v>)</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5.5" thickTop="1" thickBot="1" x14ac:dyDescent="0.4">
      <c r="B59" t="s">
        <v>997</v>
      </c>
      <c r="C59" s="113" t="s">
        <v>1061</v>
      </c>
      <c r="D59" s="112" t="s">
        <v>984</v>
      </c>
      <c r="E59" s="52">
        <v>7</v>
      </c>
      <c r="F59" s="53"/>
      <c r="G59" s="53"/>
      <c r="H59" s="52"/>
      <c r="I59" s="52"/>
      <c r="J59" s="54"/>
      <c r="K59" s="54"/>
      <c r="L59" s="55" t="str">
        <f t="shared" si="139"/>
        <v xml:space="preserve">            { line: "SEGÚN LA COSTUMBRE DE ISRAEL,, (Si,7,20)", sC: "ta as"},</v>
      </c>
      <c r="M59" s="56" t="str">
        <f t="shared" si="140"/>
        <v>(</v>
      </c>
      <c r="N59" s="57" t="str">
        <f t="shared" si="2"/>
        <v>Si</v>
      </c>
      <c r="O59" s="58" t="str">
        <f t="shared" si="141"/>
        <v>,</v>
      </c>
      <c r="P59" s="59">
        <f t="shared" si="4"/>
        <v>7</v>
      </c>
      <c r="Q59" s="60" t="str">
        <f t="shared" si="142"/>
        <v>,</v>
      </c>
      <c r="R59" s="61">
        <f t="shared" si="28"/>
        <v>20</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5.5" thickTop="1" thickBot="1" x14ac:dyDescent="0.4">
      <c r="B60" t="s">
        <v>999</v>
      </c>
      <c r="C60" s="113" t="s">
        <v>1062</v>
      </c>
      <c r="D60" s="112" t="s">
        <v>1011</v>
      </c>
      <c r="E60" s="52" t="s">
        <v>1012</v>
      </c>
      <c r="F60" s="53"/>
      <c r="G60" s="53"/>
      <c r="H60" s="52"/>
      <c r="I60" s="52"/>
      <c r="J60" s="54"/>
      <c r="K60" s="54"/>
      <c r="L60" s="78" t="str">
        <f t="shared" si="139"/>
        <v xml:space="preserve">            { line: "PARA CANTAR AL SEÑOR., (Mi,m,20)", sC: "as"},</v>
      </c>
      <c r="M60" s="56" t="str">
        <f t="shared" si="140"/>
        <v>(</v>
      </c>
      <c r="N60" s="57" t="str">
        <f t="shared" si="2"/>
        <v>Mi</v>
      </c>
      <c r="O60" s="58" t="str">
        <f t="shared" si="141"/>
        <v>,</v>
      </c>
      <c r="P60" s="59" t="str">
        <f t="shared" si="4"/>
        <v>m</v>
      </c>
      <c r="Q60" s="60" t="str">
        <f t="shared" si="142"/>
        <v>,</v>
      </c>
      <c r="R60" s="61">
        <f t="shared" si="28"/>
        <v>20</v>
      </c>
      <c r="S60" s="56" t="str">
        <f t="shared" si="143"/>
        <v>)</v>
      </c>
      <c r="T60" s="62" t="str">
        <f t="shared" si="144"/>
        <v/>
      </c>
      <c r="U60" s="63" t="str">
        <f t="shared" si="8"/>
        <v/>
      </c>
      <c r="V60" s="64" t="str">
        <f t="shared" si="145"/>
        <v/>
      </c>
      <c r="W60" s="65" t="str">
        <f t="shared" si="10"/>
        <v/>
      </c>
      <c r="X60" s="64" t="str">
        <f t="shared" si="146"/>
        <v/>
      </c>
      <c r="Y60" s="64" t="str">
        <f t="shared" si="147"/>
        <v/>
      </c>
      <c r="Z60" s="56" t="str">
        <f t="shared" si="148"/>
        <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R66" si="161">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6" si="162">IF(N62="","","(")</f>
        <v/>
      </c>
      <c r="N62" s="57" t="str">
        <f t="shared" ref="N62:N66" si="163">IF(D62="","",D62)</f>
        <v/>
      </c>
      <c r="O62" s="58" t="str">
        <f t="shared" ref="O62:O66" si="164">IF(N62="","",",")</f>
        <v/>
      </c>
      <c r="P62" s="59" t="str">
        <f t="shared" ref="P62:P66" si="165">IF(E62="","",E62)</f>
        <v/>
      </c>
      <c r="Q62" s="60" t="str">
        <f t="shared" ref="Q62:Q66" si="166">IF(N62="","",",")</f>
        <v/>
      </c>
      <c r="R62" s="61" t="str">
        <f t="shared" si="161"/>
        <v/>
      </c>
      <c r="S62" s="56" t="str">
        <f t="shared" ref="S62:S66" si="167">IF(N62="","",")")</f>
        <v/>
      </c>
      <c r="T62" s="62" t="str">
        <f t="shared" ref="T62:T66" si="168">IF(U62="","","(")</f>
        <v/>
      </c>
      <c r="U62" s="63" t="str">
        <f t="shared" ref="U62:U66" si="169">IF(F62="","",F62)</f>
        <v/>
      </c>
      <c r="V62" s="64" t="str">
        <f t="shared" ref="V62:V66" si="170">IF(U62="","",",")</f>
        <v/>
      </c>
      <c r="W62" s="65" t="str">
        <f t="shared" ref="W62:W66" si="171">IF(G62="","",G62)</f>
        <v/>
      </c>
      <c r="X62" s="64" t="str">
        <f t="shared" ref="X62:X66" si="172">IF(U62="","",",")</f>
        <v/>
      </c>
      <c r="Y62" s="64" t="str">
        <f t="shared" ref="Y62:Y66" si="173">IF(U62="","",250)</f>
        <v/>
      </c>
      <c r="Z62" s="56" t="str">
        <f t="shared" ref="Z62:Z66" si="174">IF(U62="","",")")</f>
        <v/>
      </c>
      <c r="AA62" s="66" t="str">
        <f t="shared" ref="AA62:AA66" si="175">IF(AB62="","","(")</f>
        <v/>
      </c>
      <c r="AB62" s="57" t="str">
        <f t="shared" ref="AB62:AB66" si="176">IF(H62="","",H62)</f>
        <v/>
      </c>
      <c r="AC62" s="67" t="str">
        <f t="shared" ref="AC62:AC66" si="177">IF(AB62="","",",")</f>
        <v/>
      </c>
      <c r="AD62" s="59" t="str">
        <f t="shared" ref="AD62:AD66" si="178">IF(I62="","",I62)</f>
        <v/>
      </c>
      <c r="AE62" s="68" t="str">
        <f t="shared" ref="AE62:AE66" si="179">IF(AB62="","",",")</f>
        <v/>
      </c>
      <c r="AF62" s="61" t="str">
        <f t="shared" ref="AF62:AF66" si="180">IF(AB62="","",350)</f>
        <v/>
      </c>
      <c r="AG62" s="61" t="str">
        <f t="shared" ref="AG62:AG66" si="181">IF(AB62="","",")")</f>
        <v/>
      </c>
      <c r="AH62" s="69" t="str">
        <f t="shared" ref="AH62:AH66" si="182">IF(AI62="","","(")</f>
        <v/>
      </c>
      <c r="AI62" s="70" t="str">
        <f t="shared" ref="AI62:AI66" si="183">IF(J62="","",J62)</f>
        <v/>
      </c>
      <c r="AJ62" s="64" t="str">
        <f t="shared" ref="AJ62:AJ66" si="184">IF(AI62="","",",")</f>
        <v/>
      </c>
      <c r="AK62" s="64" t="str">
        <f t="shared" ref="AK62:AK66" si="185">IF(K62="","",K62)</f>
        <v/>
      </c>
      <c r="AL62" s="64" t="str">
        <f t="shared" ref="AL62:AL66" si="186">IF(AI62="","",",")</f>
        <v/>
      </c>
      <c r="AM62" s="64" t="str">
        <f t="shared" ref="AM62:AM66" si="187">IF(AI62="","",450)</f>
        <v/>
      </c>
      <c r="AN62" s="64" t="str">
        <f t="shared" ref="AN62:AN66" si="188">IF(AI62="","",")")</f>
        <v/>
      </c>
    </row>
    <row r="63" spans="1:40" ht="25.5" thickTop="1" thickBot="1" x14ac:dyDescent="0.4">
      <c r="B63" t="s">
        <v>997</v>
      </c>
      <c r="C63" s="82" t="s">
        <v>1056</v>
      </c>
      <c r="D63" s="83" t="s">
        <v>1011</v>
      </c>
      <c r="E63" s="83" t="s">
        <v>1012</v>
      </c>
      <c r="F63" s="83"/>
      <c r="G63" s="83"/>
      <c r="H63" s="83"/>
      <c r="I63" s="83"/>
      <c r="J63" s="83"/>
      <c r="K63" s="83"/>
      <c r="L63" s="84" t="str">
        <f>IF(C63="","",_xlfn.CONCAT("       triggerLine: ","""",C63,", ",M63:AN63,""", sC: ","""",B63,""", lines: ["))</f>
        <v xml:space="preserve">       triggerLine: "JERUSALÉN, JERUSALÉN,, (Mi,m,20)", sC: "ta as", lines: [</v>
      </c>
      <c r="M63" s="56" t="str">
        <f t="shared" si="162"/>
        <v>(</v>
      </c>
      <c r="N63" s="57" t="str">
        <f t="shared" si="163"/>
        <v>Mi</v>
      </c>
      <c r="O63" s="58" t="str">
        <f t="shared" si="164"/>
        <v>,</v>
      </c>
      <c r="P63" s="59" t="str">
        <f t="shared" si="165"/>
        <v>m</v>
      </c>
      <c r="Q63" s="60" t="str">
        <f t="shared" si="166"/>
        <v>,</v>
      </c>
      <c r="R63" s="61">
        <f t="shared" si="161"/>
        <v>20</v>
      </c>
      <c r="S63" s="56" t="str">
        <f t="shared" si="167"/>
        <v>)</v>
      </c>
      <c r="T63" s="62" t="str">
        <f t="shared" si="168"/>
        <v/>
      </c>
      <c r="U63" s="63" t="str">
        <f t="shared" si="169"/>
        <v/>
      </c>
      <c r="V63" s="64" t="str">
        <f t="shared" si="170"/>
        <v/>
      </c>
      <c r="W63" s="65" t="str">
        <f t="shared" si="171"/>
        <v/>
      </c>
      <c r="X63" s="64" t="str">
        <f t="shared" si="172"/>
        <v/>
      </c>
      <c r="Y63" s="64" t="str">
        <f t="shared" si="173"/>
        <v/>
      </c>
      <c r="Z63" s="56" t="str">
        <f t="shared" si="174"/>
        <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5.5" thickTop="1" thickBot="1" x14ac:dyDescent="0.4">
      <c r="B64" t="s">
        <v>999</v>
      </c>
      <c r="C64" s="85" t="s">
        <v>1057</v>
      </c>
      <c r="D64" s="86" t="s">
        <v>1013</v>
      </c>
      <c r="E64" s="86" t="s">
        <v>1012</v>
      </c>
      <c r="F64" s="86" t="s">
        <v>1011</v>
      </c>
      <c r="G64" s="86" t="s">
        <v>1012</v>
      </c>
      <c r="H64" s="87"/>
      <c r="I64" s="87"/>
      <c r="J64" s="87"/>
      <c r="K64" s="87"/>
      <c r="L64" s="88" t="str">
        <f>IF(C64="","",_xlfn.CONCAT("            { line: ","""",C64,", ",M64:AN64,""", sC: ","""",B64,"""},"))</f>
        <v xml:space="preserve">            { line: "DE NUEVO REEDIFICADA., (La,m,20)(Mi,m,250)", sC: "as"},</v>
      </c>
      <c r="M64" s="56" t="str">
        <f t="shared" si="162"/>
        <v>(</v>
      </c>
      <c r="N64" s="57" t="str">
        <f t="shared" si="163"/>
        <v>La</v>
      </c>
      <c r="O64" s="58" t="str">
        <f t="shared" si="164"/>
        <v>,</v>
      </c>
      <c r="P64" s="59" t="str">
        <f t="shared" si="165"/>
        <v>m</v>
      </c>
      <c r="Q64" s="60" t="str">
        <f t="shared" si="166"/>
        <v>,</v>
      </c>
      <c r="R64" s="61">
        <f t="shared" si="161"/>
        <v>20</v>
      </c>
      <c r="S64" s="56" t="str">
        <f t="shared" si="167"/>
        <v>)</v>
      </c>
      <c r="T64" s="62" t="str">
        <f t="shared" si="168"/>
        <v>(</v>
      </c>
      <c r="U64" s="63" t="str">
        <f t="shared" si="169"/>
        <v>Mi</v>
      </c>
      <c r="V64" s="64" t="str">
        <f t="shared" si="170"/>
        <v>,</v>
      </c>
      <c r="W64" s="65" t="str">
        <f t="shared" si="171"/>
        <v>m</v>
      </c>
      <c r="X64" s="64" t="str">
        <f t="shared" si="172"/>
        <v>,</v>
      </c>
      <c r="Y64" s="64">
        <f t="shared" si="173"/>
        <v>250</v>
      </c>
      <c r="Z64" s="56" t="str">
        <f t="shared" si="174"/>
        <v>)</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5.5" thickTop="1" thickBot="1" x14ac:dyDescent="0.4">
      <c r="B65" t="s">
        <v>999</v>
      </c>
      <c r="C65" s="85" t="s">
        <v>1058</v>
      </c>
      <c r="D65" s="89"/>
      <c r="E65" s="89"/>
      <c r="F65" s="89"/>
      <c r="G65" s="89"/>
      <c r="H65" s="90"/>
      <c r="I65" s="90"/>
      <c r="J65" s="90"/>
      <c r="K65" s="90"/>
      <c r="L65" s="88" t="str">
        <f>IF(C65="","",_xlfn.CONCAT("            { line: ","""",C65,", ",M65:AN65,""", sC: ","""",B65,"""},"))</f>
        <v xml:space="preserve">            { line: "JERUSALÉN,JERUSALÉN,, ", sC: "as"},</v>
      </c>
      <c r="M65" s="56" t="str">
        <f t="shared" si="162"/>
        <v/>
      </c>
      <c r="N65" s="57" t="str">
        <f t="shared" si="163"/>
        <v/>
      </c>
      <c r="O65" s="58" t="str">
        <f t="shared" si="164"/>
        <v/>
      </c>
      <c r="P65" s="59" t="str">
        <f t="shared" si="165"/>
        <v/>
      </c>
      <c r="Q65" s="60" t="str">
        <f t="shared" si="166"/>
        <v/>
      </c>
      <c r="R65" s="61" t="str">
        <f t="shared" si="161"/>
        <v/>
      </c>
      <c r="S65" s="56" t="str">
        <f t="shared" si="167"/>
        <v/>
      </c>
      <c r="T65" s="62" t="str">
        <f t="shared" si="168"/>
        <v/>
      </c>
      <c r="U65" s="63" t="str">
        <f t="shared" si="169"/>
        <v/>
      </c>
      <c r="V65" s="64" t="str">
        <f t="shared" si="170"/>
        <v/>
      </c>
      <c r="W65" s="65" t="str">
        <f t="shared" si="171"/>
        <v/>
      </c>
      <c r="X65" s="64" t="str">
        <f t="shared" si="172"/>
        <v/>
      </c>
      <c r="Y65" s="64" t="str">
        <f t="shared" si="173"/>
        <v/>
      </c>
      <c r="Z65" s="56" t="str">
        <f t="shared" si="174"/>
        <v/>
      </c>
      <c r="AA65" s="66" t="str">
        <f t="shared" si="175"/>
        <v/>
      </c>
      <c r="AB65" s="57" t="str">
        <f t="shared" si="176"/>
        <v/>
      </c>
      <c r="AC65" s="67" t="str">
        <f t="shared" si="177"/>
        <v/>
      </c>
      <c r="AD65" s="59" t="str">
        <f t="shared" si="178"/>
        <v/>
      </c>
      <c r="AE65" s="68" t="str">
        <f t="shared" si="179"/>
        <v/>
      </c>
      <c r="AF65" s="61" t="str">
        <f t="shared" si="180"/>
        <v/>
      </c>
      <c r="AG65" s="61" t="str">
        <f t="shared" si="181"/>
        <v/>
      </c>
      <c r="AH65" s="69" t="str">
        <f t="shared" si="182"/>
        <v/>
      </c>
      <c r="AI65" s="70" t="str">
        <f t="shared" si="183"/>
        <v/>
      </c>
      <c r="AJ65" s="64" t="str">
        <f t="shared" si="184"/>
        <v/>
      </c>
      <c r="AK65" s="64" t="str">
        <f t="shared" si="185"/>
        <v/>
      </c>
      <c r="AL65" s="64" t="str">
        <f t="shared" si="186"/>
        <v/>
      </c>
      <c r="AM65" s="64" t="str">
        <f t="shared" si="187"/>
        <v/>
      </c>
      <c r="AN65" s="64" t="str">
        <f t="shared" si="188"/>
        <v/>
      </c>
    </row>
    <row r="66" spans="1:40" ht="25.5" thickTop="1" thickBot="1" x14ac:dyDescent="0.4">
      <c r="B66" t="s">
        <v>999</v>
      </c>
      <c r="C66" s="85" t="s">
        <v>1057</v>
      </c>
      <c r="D66" s="86" t="s">
        <v>1050</v>
      </c>
      <c r="E66" s="86"/>
      <c r="F66" s="86" t="s">
        <v>1011</v>
      </c>
      <c r="G66" s="86" t="s">
        <v>1012</v>
      </c>
      <c r="H66" s="87"/>
      <c r="I66" s="87"/>
      <c r="J66" s="87"/>
      <c r="K66" s="87"/>
      <c r="L66" s="88" t="str">
        <f>IF(C66="","",_xlfn.CONCAT("            { line: ","""",C66,", ",M66:AN66,""", sC: ","""",B66,"""},"))</f>
        <v xml:space="preserve">            { line: "DE NUEVO REEDIFICADA., (Si7,,)(Mi,m,250)", sC: "as"},</v>
      </c>
      <c r="M66" s="56" t="str">
        <f t="shared" si="162"/>
        <v>(</v>
      </c>
      <c r="N66" s="57" t="str">
        <f t="shared" si="163"/>
        <v>Si7</v>
      </c>
      <c r="O66" s="58" t="str">
        <f t="shared" si="164"/>
        <v>,</v>
      </c>
      <c r="P66" s="59" t="str">
        <f t="shared" si="165"/>
        <v/>
      </c>
      <c r="Q66" s="60" t="str">
        <f t="shared" si="166"/>
        <v>,</v>
      </c>
      <c r="R66" s="61" t="str">
        <f t="shared" si="161"/>
        <v/>
      </c>
      <c r="S66" s="56" t="str">
        <f t="shared" si="167"/>
        <v>)</v>
      </c>
      <c r="T66" s="62" t="str">
        <f t="shared" si="168"/>
        <v>(</v>
      </c>
      <c r="U66" s="63" t="str">
        <f t="shared" si="169"/>
        <v>Mi</v>
      </c>
      <c r="V66" s="64" t="str">
        <f t="shared" si="170"/>
        <v>,</v>
      </c>
      <c r="W66" s="65" t="str">
        <f t="shared" si="171"/>
        <v>m</v>
      </c>
      <c r="X66" s="64" t="str">
        <f t="shared" si="172"/>
        <v>,</v>
      </c>
      <c r="Y66" s="64">
        <f t="shared" si="173"/>
        <v>250</v>
      </c>
      <c r="Z66" s="56" t="str">
        <f t="shared" si="174"/>
        <v>)</v>
      </c>
      <c r="AA66" s="66" t="str">
        <f t="shared" si="175"/>
        <v/>
      </c>
      <c r="AB66" s="57" t="str">
        <f t="shared" si="176"/>
        <v/>
      </c>
      <c r="AC66" s="67" t="str">
        <f t="shared" si="177"/>
        <v/>
      </c>
      <c r="AD66" s="59" t="str">
        <f t="shared" si="178"/>
        <v/>
      </c>
      <c r="AE66" s="68" t="str">
        <f t="shared" si="179"/>
        <v/>
      </c>
      <c r="AF66" s="61" t="str">
        <f t="shared" si="180"/>
        <v/>
      </c>
      <c r="AG66" s="61" t="str">
        <f t="shared" si="181"/>
        <v/>
      </c>
      <c r="AH66" s="69" t="str">
        <f t="shared" si="182"/>
        <v/>
      </c>
      <c r="AI66" s="70" t="str">
        <f t="shared" si="183"/>
        <v/>
      </c>
      <c r="AJ66" s="64" t="str">
        <f t="shared" si="184"/>
        <v/>
      </c>
      <c r="AK66" s="64" t="str">
        <f t="shared" si="185"/>
        <v/>
      </c>
      <c r="AL66" s="64" t="str">
        <f t="shared" si="186"/>
        <v/>
      </c>
      <c r="AM66" s="64" t="str">
        <f t="shared" si="187"/>
        <v/>
      </c>
      <c r="AN66" s="64" t="str">
        <f t="shared" si="188"/>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999</v>
      </c>
      <c r="C68" s="85" t="s">
        <v>1058</v>
      </c>
      <c r="D68" s="89" t="s">
        <v>1011</v>
      </c>
      <c r="E68" s="89" t="s">
        <v>1012</v>
      </c>
      <c r="F68" s="89"/>
      <c r="G68" s="89"/>
      <c r="H68" s="90"/>
      <c r="I68" s="90"/>
      <c r="J68" s="90"/>
      <c r="K68" s="90"/>
      <c r="L68" s="88" t="str">
        <f>IF(C68="","",_xlfn.CONCAT("            { line: ","""",C68,", ",M68:AN68,""", sC: ","""",B68,"""},"))</f>
        <v xml:space="preserve">            { line: "JERUSALÉN,JERUSALÉN,, (Mi,m,20)", sC: "as"},</v>
      </c>
      <c r="M68" s="56" t="str">
        <f t="shared" ref="M68:M71" si="189">IF(N68="","","(")</f>
        <v>(</v>
      </c>
      <c r="N68" s="57" t="str">
        <f t="shared" ref="N68:N71" si="190">IF(D68="","",D68)</f>
        <v>Mi</v>
      </c>
      <c r="O68" s="58" t="str">
        <f t="shared" ref="O68:O71" si="191">IF(N68="","",",")</f>
        <v>,</v>
      </c>
      <c r="P68" s="59" t="str">
        <f t="shared" ref="P68:P71" si="192">IF(E68="","",E68)</f>
        <v>m</v>
      </c>
      <c r="Q68" s="60" t="str">
        <f t="shared" ref="Q68:Q71" si="193">IF(N68="","",",")</f>
        <v>,</v>
      </c>
      <c r="R68" s="61">
        <f t="shared" ref="R68:R78" si="194">IF(N68="Do",10,IF(N68="Re",22,IF(N68="Mi",20,IF(N68="Fa",20,IF(N68="Sol",14,IF(N68="La",20,IF(N68="Si",20,IF(N68="Do#",14,IF(N68="Fa#",15,IF(N68="Sol#",20,""))))))))))</f>
        <v>20</v>
      </c>
      <c r="S68" s="56" t="str">
        <f t="shared" ref="S68:S71" si="195">IF(N68="","",")")</f>
        <v>)</v>
      </c>
      <c r="T68" s="62" t="str">
        <f t="shared" ref="T68:T71" si="196">IF(U68="","","(")</f>
        <v/>
      </c>
      <c r="U68" s="63" t="str">
        <f t="shared" ref="U68:U71" si="197">IF(F68="","",F68)</f>
        <v/>
      </c>
      <c r="V68" s="64" t="str">
        <f t="shared" ref="V68:V71" si="198">IF(U68="","",",")</f>
        <v/>
      </c>
      <c r="W68" s="65" t="str">
        <f t="shared" ref="W68:W71" si="199">IF(G68="","",G68)</f>
        <v/>
      </c>
      <c r="X68" s="64" t="str">
        <f t="shared" ref="X68:X71" si="200">IF(U68="","",",")</f>
        <v/>
      </c>
      <c r="Y68" s="64" t="str">
        <f t="shared" ref="Y68:Y71" si="201">IF(U68="","",250)</f>
        <v/>
      </c>
      <c r="Z68" s="56" t="str">
        <f t="shared" ref="Z68:Z71" si="202">IF(U68="","",")")</f>
        <v/>
      </c>
      <c r="AA68" s="66" t="str">
        <f t="shared" ref="AA68:AA71" si="203">IF(AB68="","","(")</f>
        <v/>
      </c>
      <c r="AB68" s="57" t="str">
        <f t="shared" ref="AB68:AB71" si="204">IF(H68="","",H68)</f>
        <v/>
      </c>
      <c r="AC68" s="67" t="str">
        <f t="shared" ref="AC68:AC71" si="205">IF(AB68="","",",")</f>
        <v/>
      </c>
      <c r="AD68" s="59" t="str">
        <f t="shared" ref="AD68:AD71" si="206">IF(I68="","",I68)</f>
        <v/>
      </c>
      <c r="AE68" s="68" t="str">
        <f t="shared" ref="AE68:AE71" si="207">IF(AB68="","",",")</f>
        <v/>
      </c>
      <c r="AF68" s="61" t="str">
        <f t="shared" ref="AF68:AF71" si="208">IF(AB68="","",350)</f>
        <v/>
      </c>
      <c r="AG68" s="61" t="str">
        <f t="shared" ref="AG68:AG71" si="209">IF(AB68="","",")")</f>
        <v/>
      </c>
      <c r="AH68" s="69" t="str">
        <f t="shared" ref="AH68:AH71" si="210">IF(AI68="","","(")</f>
        <v/>
      </c>
      <c r="AI68" s="70" t="str">
        <f t="shared" ref="AI68:AI71" si="211">IF(J68="","",J68)</f>
        <v/>
      </c>
      <c r="AJ68" s="64" t="str">
        <f t="shared" ref="AJ68:AJ71" si="212">IF(AI68="","",",")</f>
        <v/>
      </c>
      <c r="AK68" s="64" t="str">
        <f t="shared" ref="AK68:AK71" si="213">IF(K68="","",K68)</f>
        <v/>
      </c>
      <c r="AL68" s="64" t="str">
        <f t="shared" ref="AL68:AL71" si="214">IF(AI68="","",",")</f>
        <v/>
      </c>
      <c r="AM68" s="64" t="str">
        <f t="shared" ref="AM68:AM71" si="215">IF(AI68="","",450)</f>
        <v/>
      </c>
      <c r="AN68" s="64" t="str">
        <f t="shared" ref="AN68:AN71" si="216">IF(AI68="","",")")</f>
        <v/>
      </c>
    </row>
    <row r="69" spans="1:40" ht="25.5" thickTop="1" thickBot="1" x14ac:dyDescent="0.4">
      <c r="B69" t="s">
        <v>999</v>
      </c>
      <c r="C69" s="85" t="s">
        <v>1057</v>
      </c>
      <c r="D69" s="91" t="s">
        <v>1013</v>
      </c>
      <c r="E69" s="91" t="s">
        <v>1012</v>
      </c>
      <c r="F69" s="91" t="s">
        <v>1011</v>
      </c>
      <c r="G69" s="91" t="s">
        <v>1012</v>
      </c>
      <c r="H69" s="92"/>
      <c r="I69" s="92"/>
      <c r="J69" s="92"/>
      <c r="K69" s="92"/>
      <c r="L69" s="88" t="str">
        <f>IF(C69="","",_xlfn.CONCAT("            { line: ","""",C69,", ",M69:AN69,""", sC: ","""",B69,"""},"))</f>
        <v xml:space="preserve">            { line: "DE NUEVO REEDIFICADA., (La,m,20)(Mi,m,250)", sC: "as"},</v>
      </c>
      <c r="M69" s="56" t="str">
        <f t="shared" si="189"/>
        <v>(</v>
      </c>
      <c r="N69" s="57" t="str">
        <f t="shared" si="190"/>
        <v>La</v>
      </c>
      <c r="O69" s="58" t="str">
        <f t="shared" si="191"/>
        <v>,</v>
      </c>
      <c r="P69" s="59" t="str">
        <f t="shared" si="192"/>
        <v>m</v>
      </c>
      <c r="Q69" s="60" t="str">
        <f t="shared" si="193"/>
        <v>,</v>
      </c>
      <c r="R69" s="61">
        <f t="shared" si="194"/>
        <v>20</v>
      </c>
      <c r="S69" s="56" t="str">
        <f t="shared" si="195"/>
        <v>)</v>
      </c>
      <c r="T69" s="62" t="str">
        <f t="shared" si="196"/>
        <v>(</v>
      </c>
      <c r="U69" s="63" t="str">
        <f t="shared" si="197"/>
        <v>Mi</v>
      </c>
      <c r="V69" s="64" t="str">
        <f t="shared" si="198"/>
        <v>,</v>
      </c>
      <c r="W69" s="65" t="str">
        <f t="shared" si="199"/>
        <v>m</v>
      </c>
      <c r="X69" s="64" t="str">
        <f t="shared" si="200"/>
        <v>,</v>
      </c>
      <c r="Y69" s="64">
        <f t="shared" si="201"/>
        <v>250</v>
      </c>
      <c r="Z69" s="56" t="str">
        <f t="shared" si="202"/>
        <v>)</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5.5" thickTop="1" thickBot="1" x14ac:dyDescent="0.4">
      <c r="B70" t="s">
        <v>999</v>
      </c>
      <c r="C70" s="85" t="s">
        <v>1058</v>
      </c>
      <c r="D70" s="91"/>
      <c r="E70" s="91"/>
      <c r="F70" s="91"/>
      <c r="G70" s="91"/>
      <c r="H70" s="92"/>
      <c r="I70" s="92"/>
      <c r="J70" s="92"/>
      <c r="K70" s="92"/>
      <c r="L70" s="88" t="str">
        <f>IF(C70="","",_xlfn.CONCAT("            { line: ","""",C70,", ",M70:AN70,""", sC: ","""",B70,"""},"))</f>
        <v xml:space="preserve">            { line: "JERUSALÉN,JERUSALÉN,, ", sC: "as"},</v>
      </c>
      <c r="M70" s="56" t="str">
        <f t="shared" si="189"/>
        <v/>
      </c>
      <c r="N70" s="57" t="str">
        <f t="shared" si="190"/>
        <v/>
      </c>
      <c r="O70" s="58" t="str">
        <f t="shared" si="191"/>
        <v/>
      </c>
      <c r="P70" s="59" t="str">
        <f t="shared" si="192"/>
        <v/>
      </c>
      <c r="Q70" s="60" t="str">
        <f t="shared" si="193"/>
        <v/>
      </c>
      <c r="R70" s="61" t="str">
        <f t="shared" si="194"/>
        <v/>
      </c>
      <c r="S70" s="56" t="str">
        <f t="shared" si="195"/>
        <v/>
      </c>
      <c r="T70" s="62" t="str">
        <f t="shared" si="196"/>
        <v/>
      </c>
      <c r="U70" s="63" t="str">
        <f t="shared" si="197"/>
        <v/>
      </c>
      <c r="V70" s="64" t="str">
        <f t="shared" si="198"/>
        <v/>
      </c>
      <c r="W70" s="65" t="str">
        <f t="shared" si="199"/>
        <v/>
      </c>
      <c r="X70" s="64" t="str">
        <f t="shared" si="200"/>
        <v/>
      </c>
      <c r="Y70" s="64" t="str">
        <f t="shared" si="201"/>
        <v/>
      </c>
      <c r="Z70" s="56" t="str">
        <f t="shared" si="202"/>
        <v/>
      </c>
      <c r="AA70" s="66" t="str">
        <f t="shared" si="203"/>
        <v/>
      </c>
      <c r="AB70" s="57" t="str">
        <f t="shared" si="204"/>
        <v/>
      </c>
      <c r="AC70" s="67" t="str">
        <f t="shared" si="205"/>
        <v/>
      </c>
      <c r="AD70" s="59" t="str">
        <f t="shared" si="206"/>
        <v/>
      </c>
      <c r="AE70" s="68" t="str">
        <f t="shared" si="207"/>
        <v/>
      </c>
      <c r="AF70" s="61" t="str">
        <f t="shared" si="208"/>
        <v/>
      </c>
      <c r="AG70" s="61" t="str">
        <f t="shared" si="209"/>
        <v/>
      </c>
      <c r="AH70" s="69" t="str">
        <f t="shared" si="210"/>
        <v/>
      </c>
      <c r="AI70" s="70" t="str">
        <f t="shared" si="211"/>
        <v/>
      </c>
      <c r="AJ70" s="64" t="str">
        <f t="shared" si="212"/>
        <v/>
      </c>
      <c r="AK70" s="64" t="str">
        <f t="shared" si="213"/>
        <v/>
      </c>
      <c r="AL70" s="64" t="str">
        <f t="shared" si="214"/>
        <v/>
      </c>
      <c r="AM70" s="64" t="str">
        <f t="shared" si="215"/>
        <v/>
      </c>
      <c r="AN70" s="64" t="str">
        <f t="shared" si="216"/>
        <v/>
      </c>
    </row>
    <row r="71" spans="1:40" ht="25.5" thickTop="1" thickBot="1" x14ac:dyDescent="0.4">
      <c r="B71" t="s">
        <v>999</v>
      </c>
      <c r="C71" s="93" t="s">
        <v>1057</v>
      </c>
      <c r="D71" s="83" t="s">
        <v>1050</v>
      </c>
      <c r="E71" s="83"/>
      <c r="F71" s="83" t="s">
        <v>1011</v>
      </c>
      <c r="G71" s="83" t="s">
        <v>1012</v>
      </c>
      <c r="H71" s="83"/>
      <c r="I71" s="83"/>
      <c r="J71" s="83"/>
      <c r="K71" s="83"/>
      <c r="L71" s="94" t="str">
        <f>IF(C71="","",_xlfn.CONCAT("            { line: ","""",C71,", ",M71:AN71,""", sC: ","""",B71,"""},  ]},"))</f>
        <v xml:space="preserve">            { line: "DE NUEVO REEDIFICADA., (Si7,,)(Mi,m,250)", sC: "as"},  ]},</v>
      </c>
      <c r="M71" s="56" t="str">
        <f t="shared" si="189"/>
        <v>(</v>
      </c>
      <c r="N71" s="57" t="str">
        <f t="shared" si="190"/>
        <v>Si7</v>
      </c>
      <c r="O71" s="58" t="str">
        <f t="shared" si="191"/>
        <v>,</v>
      </c>
      <c r="P71" s="59" t="str">
        <f t="shared" si="192"/>
        <v/>
      </c>
      <c r="Q71" s="60" t="str">
        <f t="shared" si="193"/>
        <v>,</v>
      </c>
      <c r="R71" s="61" t="str">
        <f t="shared" si="194"/>
        <v/>
      </c>
      <c r="S71" s="56" t="str">
        <f t="shared" si="195"/>
        <v>)</v>
      </c>
      <c r="T71" s="62" t="str">
        <f t="shared" si="196"/>
        <v>(</v>
      </c>
      <c r="U71" s="63" t="str">
        <f t="shared" si="197"/>
        <v>Mi</v>
      </c>
      <c r="V71" s="64" t="str">
        <f t="shared" si="198"/>
        <v>,</v>
      </c>
      <c r="W71" s="65" t="str">
        <f t="shared" si="199"/>
        <v>m</v>
      </c>
      <c r="X71" s="64" t="str">
        <f t="shared" si="200"/>
        <v>,</v>
      </c>
      <c r="Y71" s="64">
        <f t="shared" si="201"/>
        <v>250</v>
      </c>
      <c r="Z71" s="56" t="str">
        <f t="shared" si="202"/>
        <v>)</v>
      </c>
      <c r="AA71" s="66" t="str">
        <f t="shared" si="203"/>
        <v/>
      </c>
      <c r="AB71" s="57" t="str">
        <f t="shared" si="204"/>
        <v/>
      </c>
      <c r="AC71" s="67" t="str">
        <f t="shared" si="205"/>
        <v/>
      </c>
      <c r="AD71" s="59" t="str">
        <f t="shared" si="206"/>
        <v/>
      </c>
      <c r="AE71" s="68" t="str">
        <f t="shared" si="207"/>
        <v/>
      </c>
      <c r="AF71" s="61" t="str">
        <f t="shared" si="208"/>
        <v/>
      </c>
      <c r="AG71" s="61" t="str">
        <f t="shared" si="209"/>
        <v/>
      </c>
      <c r="AH71" s="69" t="str">
        <f t="shared" si="210"/>
        <v/>
      </c>
      <c r="AI71" s="70" t="str">
        <f t="shared" si="211"/>
        <v/>
      </c>
      <c r="AJ71" s="64" t="str">
        <f t="shared" si="212"/>
        <v/>
      </c>
      <c r="AK71" s="64" t="str">
        <f t="shared" si="213"/>
        <v/>
      </c>
      <c r="AL71" s="64" t="str">
        <f t="shared" si="214"/>
        <v/>
      </c>
      <c r="AM71" s="64" t="str">
        <f t="shared" si="215"/>
        <v/>
      </c>
      <c r="AN71" s="64" t="str">
        <f t="shared" si="216"/>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si="194"/>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C73" s="79" t="s">
        <v>995</v>
      </c>
      <c r="D73" s="80"/>
      <c r="E73" s="80"/>
      <c r="F73" s="80"/>
      <c r="G73" s="80"/>
      <c r="H73" s="80"/>
      <c r="I73" s="80"/>
      <c r="J73" s="80"/>
      <c r="K73" s="80"/>
      <c r="L73" s="81" t="s">
        <v>996</v>
      </c>
      <c r="M73" s="56" t="str">
        <f t="shared" ref="M73:M78" si="217">IF(N73="","","(")</f>
        <v/>
      </c>
      <c r="N73" s="57" t="str">
        <f t="shared" ref="N73:N78" si="218">IF(D73="","",D73)</f>
        <v/>
      </c>
      <c r="O73" s="58" t="str">
        <f t="shared" ref="O73:O78" si="219">IF(N73="","",",")</f>
        <v/>
      </c>
      <c r="P73" s="59" t="str">
        <f t="shared" ref="P73:P78" si="220">IF(E73="","",E73)</f>
        <v/>
      </c>
      <c r="Q73" s="60" t="str">
        <f t="shared" ref="Q73:Q78" si="221">IF(N73="","",",")</f>
        <v/>
      </c>
      <c r="R73" s="61" t="str">
        <f t="shared" si="194"/>
        <v/>
      </c>
      <c r="S73" s="56" t="str">
        <f t="shared" ref="S73:S78" si="222">IF(N73="","",")")</f>
        <v/>
      </c>
      <c r="T73" s="62" t="str">
        <f t="shared" ref="T73:T78" si="223">IF(U73="","","(")</f>
        <v/>
      </c>
      <c r="U73" s="63" t="str">
        <f t="shared" ref="U73:U78" si="224">IF(F73="","",F73)</f>
        <v/>
      </c>
      <c r="V73" s="64" t="str">
        <f t="shared" ref="V73:V78" si="225">IF(U73="","",",")</f>
        <v/>
      </c>
      <c r="W73" s="65" t="str">
        <f t="shared" ref="W73:W78" si="226">IF(G73="","",G73)</f>
        <v/>
      </c>
      <c r="X73" s="64" t="str">
        <f t="shared" ref="X73:X78" si="227">IF(U73="","",",")</f>
        <v/>
      </c>
      <c r="Y73" s="64" t="str">
        <f t="shared" ref="Y73:Y78" si="228">IF(U73="","",250)</f>
        <v/>
      </c>
      <c r="Z73" s="56" t="str">
        <f t="shared" ref="Z73:Z78" si="229">IF(U73="","",")")</f>
        <v/>
      </c>
      <c r="AA73" s="66" t="str">
        <f t="shared" ref="AA73:AA78" si="230">IF(AB73="","","(")</f>
        <v/>
      </c>
      <c r="AB73" s="57" t="str">
        <f t="shared" ref="AB73:AB78" si="231">IF(H73="","",H73)</f>
        <v/>
      </c>
      <c r="AC73" s="67" t="str">
        <f t="shared" ref="AC73:AC78" si="232">IF(AB73="","",",")</f>
        <v/>
      </c>
      <c r="AD73" s="59" t="str">
        <f t="shared" ref="AD73:AD78" si="233">IF(I73="","",I73)</f>
        <v/>
      </c>
      <c r="AE73" s="68" t="str">
        <f t="shared" ref="AE73:AE78" si="234">IF(AB73="","",",")</f>
        <v/>
      </c>
      <c r="AF73" s="61" t="str">
        <f t="shared" ref="AF73:AF78" si="235">IF(AB73="","",350)</f>
        <v/>
      </c>
      <c r="AG73" s="61" t="str">
        <f t="shared" ref="AG73:AG78" si="236">IF(AB73="","",")")</f>
        <v/>
      </c>
      <c r="AH73" s="69" t="str">
        <f t="shared" ref="AH73:AH78" si="237">IF(AI73="","","(")</f>
        <v/>
      </c>
      <c r="AI73" s="70" t="str">
        <f t="shared" ref="AI73:AI78" si="238">IF(J73="","",J73)</f>
        <v/>
      </c>
      <c r="AJ73" s="64" t="str">
        <f t="shared" ref="AJ73:AJ78" si="239">IF(AI73="","",",")</f>
        <v/>
      </c>
      <c r="AK73" s="64" t="str">
        <f t="shared" ref="AK73:AK78" si="240">IF(K73="","",K73)</f>
        <v/>
      </c>
      <c r="AL73" s="64" t="str">
        <f t="shared" ref="AL73:AL78" si="241">IF(AI73="","",",")</f>
        <v/>
      </c>
      <c r="AM73" s="64" t="str">
        <f t="shared" ref="AM73:AM78" si="242">IF(AI73="","",450)</f>
        <v/>
      </c>
      <c r="AN73" s="64" t="str">
        <f t="shared" ref="AN73:AN78" si="243">IF(AI73="","",")")</f>
        <v/>
      </c>
    </row>
    <row r="74" spans="1:40" ht="25.5" thickTop="1" thickBot="1" x14ac:dyDescent="0.4">
      <c r="B74" t="s">
        <v>997</v>
      </c>
      <c r="C74" s="82" t="s">
        <v>1069</v>
      </c>
      <c r="D74" s="83" t="s">
        <v>1011</v>
      </c>
      <c r="E74" s="83" t="s">
        <v>1012</v>
      </c>
      <c r="F74" s="83"/>
      <c r="G74" s="83"/>
      <c r="H74" s="83"/>
      <c r="I74" s="83"/>
      <c r="J74" s="83"/>
      <c r="K74" s="83"/>
      <c r="L74" s="84" t="str">
        <f>IF(C74="","",_xlfn.CONCAT("       triggerLine: ","""",C74,", ",M74:AN74,""", sC: ","""",B74,""", lines: ["))</f>
        <v xml:space="preserve">       triggerLine: "Por el amor... . ...paz contigo, (Mi,m,20)", sC: "ta as", lines: [</v>
      </c>
      <c r="M74" s="56" t="str">
        <f t="shared" si="217"/>
        <v>(</v>
      </c>
      <c r="N74" s="57" t="str">
        <f t="shared" si="218"/>
        <v>Mi</v>
      </c>
      <c r="O74" s="58" t="str">
        <f t="shared" si="219"/>
        <v>,</v>
      </c>
      <c r="P74" s="59" t="str">
        <f t="shared" si="220"/>
        <v>m</v>
      </c>
      <c r="Q74" s="60" t="str">
        <f t="shared" si="221"/>
        <v>,</v>
      </c>
      <c r="R74" s="61">
        <f t="shared" si="194"/>
        <v>20</v>
      </c>
      <c r="S74" s="56" t="str">
        <f t="shared" si="222"/>
        <v>)</v>
      </c>
      <c r="T74" s="62" t="str">
        <f t="shared" si="223"/>
        <v/>
      </c>
      <c r="U74" s="63" t="str">
        <f t="shared" si="224"/>
        <v/>
      </c>
      <c r="V74" s="64" t="str">
        <f t="shared" si="225"/>
        <v/>
      </c>
      <c r="W74" s="65" t="str">
        <f t="shared" si="226"/>
        <v/>
      </c>
      <c r="X74" s="64" t="str">
        <f t="shared" si="227"/>
        <v/>
      </c>
      <c r="Y74" s="64" t="str">
        <f t="shared" si="228"/>
        <v/>
      </c>
      <c r="Z74" s="56" t="str">
        <f t="shared" si="229"/>
        <v/>
      </c>
      <c r="AA74" s="66" t="str">
        <f t="shared" si="230"/>
        <v/>
      </c>
      <c r="AB74" s="57" t="str">
        <f t="shared" si="231"/>
        <v/>
      </c>
      <c r="AC74" s="67" t="str">
        <f t="shared" si="232"/>
        <v/>
      </c>
      <c r="AD74" s="59" t="str">
        <f t="shared" si="233"/>
        <v/>
      </c>
      <c r="AE74" s="68" t="str">
        <f t="shared" si="234"/>
        <v/>
      </c>
      <c r="AF74" s="61" t="str">
        <f t="shared" si="235"/>
        <v/>
      </c>
      <c r="AG74" s="61" t="str">
        <f t="shared" si="236"/>
        <v/>
      </c>
      <c r="AH74" s="69" t="str">
        <f t="shared" si="237"/>
        <v/>
      </c>
      <c r="AI74" s="70" t="str">
        <f t="shared" si="238"/>
        <v/>
      </c>
      <c r="AJ74" s="64" t="str">
        <f t="shared" si="239"/>
        <v/>
      </c>
      <c r="AK74" s="64" t="str">
        <f t="shared" si="240"/>
        <v/>
      </c>
      <c r="AL74" s="64" t="str">
        <f t="shared" si="241"/>
        <v/>
      </c>
      <c r="AM74" s="64" t="str">
        <f t="shared" si="242"/>
        <v/>
      </c>
      <c r="AN74" s="64" t="str">
        <f t="shared" si="243"/>
        <v/>
      </c>
    </row>
    <row r="75" spans="1:40" ht="25.5" thickTop="1" thickBot="1" x14ac:dyDescent="0.4">
      <c r="B75" t="s">
        <v>999</v>
      </c>
      <c r="C75" s="85" t="s">
        <v>1047</v>
      </c>
      <c r="D75" s="86" t="s">
        <v>1011</v>
      </c>
      <c r="E75" s="86" t="s">
        <v>1012</v>
      </c>
      <c r="F75" s="86" t="s">
        <v>1013</v>
      </c>
      <c r="G75" s="86" t="s">
        <v>1012</v>
      </c>
      <c r="H75" s="87"/>
      <c r="I75" s="87"/>
      <c r="J75" s="87"/>
      <c r="K75" s="87"/>
      <c r="L75" s="88" t="str">
        <f>IF(C75="","",_xlfn.CONCAT("            { line: ","""",C75,", ",M75:AN75,""", sC: ","""",B75,"""},"))</f>
        <v xml:space="preserve">            { line: "Por el amor de mis amigos,, (Mi,m,20)(La,m,250)", sC: "as"},</v>
      </c>
      <c r="M75" s="56" t="str">
        <f t="shared" si="217"/>
        <v>(</v>
      </c>
      <c r="N75" s="57" t="str">
        <f t="shared" si="218"/>
        <v>Mi</v>
      </c>
      <c r="O75" s="58" t="str">
        <f t="shared" si="219"/>
        <v>,</v>
      </c>
      <c r="P75" s="59" t="str">
        <f t="shared" si="220"/>
        <v>m</v>
      </c>
      <c r="Q75" s="60" t="str">
        <f t="shared" si="221"/>
        <v>,</v>
      </c>
      <c r="R75" s="61">
        <f t="shared" si="194"/>
        <v>20</v>
      </c>
      <c r="S75" s="56" t="str">
        <f t="shared" si="222"/>
        <v>)</v>
      </c>
      <c r="T75" s="62" t="str">
        <f t="shared" si="223"/>
        <v>(</v>
      </c>
      <c r="U75" s="63" t="str">
        <f t="shared" si="224"/>
        <v>La</v>
      </c>
      <c r="V75" s="64" t="str">
        <f t="shared" si="225"/>
        <v>,</v>
      </c>
      <c r="W75" s="65" t="str">
        <f t="shared" si="226"/>
        <v>m</v>
      </c>
      <c r="X75" s="64" t="str">
        <f t="shared" si="227"/>
        <v>,</v>
      </c>
      <c r="Y75" s="64">
        <f t="shared" si="228"/>
        <v>250</v>
      </c>
      <c r="Z75" s="56" t="str">
        <f t="shared" si="229"/>
        <v>)</v>
      </c>
      <c r="AA75" s="66" t="str">
        <f t="shared" si="230"/>
        <v/>
      </c>
      <c r="AB75" s="57" t="str">
        <f t="shared" si="231"/>
        <v/>
      </c>
      <c r="AC75" s="67" t="str">
        <f t="shared" si="232"/>
        <v/>
      </c>
      <c r="AD75" s="59" t="str">
        <f t="shared" si="233"/>
        <v/>
      </c>
      <c r="AE75" s="68" t="str">
        <f t="shared" si="234"/>
        <v/>
      </c>
      <c r="AF75" s="61" t="str">
        <f t="shared" si="235"/>
        <v/>
      </c>
      <c r="AG75" s="61" t="str">
        <f t="shared" si="236"/>
        <v/>
      </c>
      <c r="AH75" s="69" t="str">
        <f t="shared" si="237"/>
        <v/>
      </c>
      <c r="AI75" s="70" t="str">
        <f t="shared" si="238"/>
        <v/>
      </c>
      <c r="AJ75" s="64" t="str">
        <f t="shared" si="239"/>
        <v/>
      </c>
      <c r="AK75" s="64" t="str">
        <f t="shared" si="240"/>
        <v/>
      </c>
      <c r="AL75" s="64" t="str">
        <f t="shared" si="241"/>
        <v/>
      </c>
      <c r="AM75" s="64" t="str">
        <f t="shared" si="242"/>
        <v/>
      </c>
      <c r="AN75" s="64" t="str">
        <f t="shared" si="243"/>
        <v/>
      </c>
    </row>
    <row r="76" spans="1:40" ht="25.5" thickTop="1" thickBot="1" x14ac:dyDescent="0.4">
      <c r="B76" t="s">
        <v>999</v>
      </c>
      <c r="C76" s="85" t="s">
        <v>1048</v>
      </c>
      <c r="D76" s="89" t="s">
        <v>1011</v>
      </c>
      <c r="E76" s="89" t="s">
        <v>1012</v>
      </c>
      <c r="F76" s="89"/>
      <c r="G76" s="89"/>
      <c r="H76" s="90"/>
      <c r="I76" s="90"/>
      <c r="J76" s="90"/>
      <c r="K76" s="90"/>
      <c r="L76" s="88" t="str">
        <f>IF(C76="","",_xlfn.CONCAT("            { line: ","""",C76,", ",M76:AN76,""", sC: ","""",B76,"""},"))</f>
        <v xml:space="preserve">            { line: "por el amor de mis hermanos,, (Mi,m,20)", sC: "as"},</v>
      </c>
      <c r="M76" s="56" t="str">
        <f t="shared" si="217"/>
        <v>(</v>
      </c>
      <c r="N76" s="57" t="str">
        <f t="shared" si="218"/>
        <v>Mi</v>
      </c>
      <c r="O76" s="58" t="str">
        <f t="shared" si="219"/>
        <v>,</v>
      </c>
      <c r="P76" s="59" t="str">
        <f t="shared" si="220"/>
        <v>m</v>
      </c>
      <c r="Q76" s="60" t="str">
        <f t="shared" si="221"/>
        <v>,</v>
      </c>
      <c r="R76" s="61">
        <f t="shared" si="194"/>
        <v>20</v>
      </c>
      <c r="S76" s="56" t="str">
        <f t="shared" si="222"/>
        <v>)</v>
      </c>
      <c r="T76" s="62" t="str">
        <f t="shared" si="223"/>
        <v/>
      </c>
      <c r="U76" s="63" t="str">
        <f t="shared" si="224"/>
        <v/>
      </c>
      <c r="V76" s="64" t="str">
        <f t="shared" si="225"/>
        <v/>
      </c>
      <c r="W76" s="65" t="str">
        <f t="shared" si="226"/>
        <v/>
      </c>
      <c r="X76" s="64" t="str">
        <f t="shared" si="227"/>
        <v/>
      </c>
      <c r="Y76" s="64" t="str">
        <f t="shared" si="228"/>
        <v/>
      </c>
      <c r="Z76" s="56" t="str">
        <f t="shared" si="229"/>
        <v/>
      </c>
      <c r="AA76" s="66" t="str">
        <f t="shared" si="230"/>
        <v/>
      </c>
      <c r="AB76" s="57" t="str">
        <f t="shared" si="231"/>
        <v/>
      </c>
      <c r="AC76" s="67" t="str">
        <f t="shared" si="232"/>
        <v/>
      </c>
      <c r="AD76" s="59" t="str">
        <f t="shared" si="233"/>
        <v/>
      </c>
      <c r="AE76" s="68" t="str">
        <f t="shared" si="234"/>
        <v/>
      </c>
      <c r="AF76" s="61" t="str">
        <f t="shared" si="235"/>
        <v/>
      </c>
      <c r="AG76" s="61" t="str">
        <f t="shared" si="236"/>
        <v/>
      </c>
      <c r="AH76" s="69" t="str">
        <f t="shared" si="237"/>
        <v/>
      </c>
      <c r="AI76" s="70" t="str">
        <f t="shared" si="238"/>
        <v/>
      </c>
      <c r="AJ76" s="64" t="str">
        <f t="shared" si="239"/>
        <v/>
      </c>
      <c r="AK76" s="64" t="str">
        <f t="shared" si="240"/>
        <v/>
      </c>
      <c r="AL76" s="64" t="str">
        <f t="shared" si="241"/>
        <v/>
      </c>
      <c r="AM76" s="64" t="str">
        <f t="shared" si="242"/>
        <v/>
      </c>
      <c r="AN76" s="64" t="str">
        <f t="shared" si="243"/>
        <v/>
      </c>
    </row>
    <row r="77" spans="1:40" ht="25.5" thickTop="1" thickBot="1" x14ac:dyDescent="0.4">
      <c r="B77" t="s">
        <v>999</v>
      </c>
      <c r="C77" s="85" t="s">
        <v>1049</v>
      </c>
      <c r="D77" s="86" t="s">
        <v>1050</v>
      </c>
      <c r="E77" s="86"/>
      <c r="F77" s="86"/>
      <c r="G77" s="86"/>
      <c r="H77" s="87"/>
      <c r="I77" s="87"/>
      <c r="J77" s="87"/>
      <c r="K77" s="87"/>
      <c r="L77" s="88" t="str">
        <f>IF(C77="","",_xlfn.CONCAT("            { line: ","""",C77,", ",M77:AN77,""", sC: ","""",B77,"""},"))</f>
        <v xml:space="preserve">            { line: "déjame que yo te diga:, (Si7,,)", sC: "as"},</v>
      </c>
      <c r="M77" s="56" t="str">
        <f t="shared" si="217"/>
        <v>(</v>
      </c>
      <c r="N77" s="57" t="str">
        <f t="shared" si="218"/>
        <v>Si7</v>
      </c>
      <c r="O77" s="58" t="str">
        <f t="shared" si="219"/>
        <v>,</v>
      </c>
      <c r="P77" s="59" t="str">
        <f t="shared" si="220"/>
        <v/>
      </c>
      <c r="Q77" s="60" t="str">
        <f t="shared" si="221"/>
        <v>,</v>
      </c>
      <c r="R77" s="61" t="str">
        <f t="shared" si="194"/>
        <v/>
      </c>
      <c r="S77" s="56" t="str">
        <f t="shared" si="222"/>
        <v>)</v>
      </c>
      <c r="T77" s="62" t="str">
        <f t="shared" si="223"/>
        <v/>
      </c>
      <c r="U77" s="63" t="str">
        <f t="shared" si="224"/>
        <v/>
      </c>
      <c r="V77" s="64" t="str">
        <f t="shared" si="225"/>
        <v/>
      </c>
      <c r="W77" s="65" t="str">
        <f t="shared" si="226"/>
        <v/>
      </c>
      <c r="X77" s="64" t="str">
        <f t="shared" si="227"/>
        <v/>
      </c>
      <c r="Y77" s="64" t="str">
        <f t="shared" si="228"/>
        <v/>
      </c>
      <c r="Z77" s="56" t="str">
        <f t="shared" si="229"/>
        <v/>
      </c>
      <c r="AA77" s="66" t="str">
        <f t="shared" si="230"/>
        <v/>
      </c>
      <c r="AB77" s="57" t="str">
        <f t="shared" si="231"/>
        <v/>
      </c>
      <c r="AC77" s="67" t="str">
        <f t="shared" si="232"/>
        <v/>
      </c>
      <c r="AD77" s="59" t="str">
        <f t="shared" si="233"/>
        <v/>
      </c>
      <c r="AE77" s="68" t="str">
        <f t="shared" si="234"/>
        <v/>
      </c>
      <c r="AF77" s="61" t="str">
        <f t="shared" si="235"/>
        <v/>
      </c>
      <c r="AG77" s="61" t="str">
        <f t="shared" si="236"/>
        <v/>
      </c>
      <c r="AH77" s="69" t="str">
        <f t="shared" si="237"/>
        <v/>
      </c>
      <c r="AI77" s="70" t="str">
        <f t="shared" si="238"/>
        <v/>
      </c>
      <c r="AJ77" s="64" t="str">
        <f t="shared" si="239"/>
        <v/>
      </c>
      <c r="AK77" s="64" t="str">
        <f t="shared" si="240"/>
        <v/>
      </c>
      <c r="AL77" s="64" t="str">
        <f t="shared" si="241"/>
        <v/>
      </c>
      <c r="AM77" s="64" t="str">
        <f t="shared" si="242"/>
        <v/>
      </c>
      <c r="AN77" s="64" t="str">
        <f t="shared" si="243"/>
        <v/>
      </c>
    </row>
    <row r="78" spans="1:40" ht="25.5" thickTop="1" thickBot="1" x14ac:dyDescent="0.4">
      <c r="B78" t="s">
        <v>999</v>
      </c>
      <c r="C78" s="93" t="s">
        <v>1051</v>
      </c>
      <c r="D78" s="83" t="s">
        <v>1011</v>
      </c>
      <c r="E78" s="83" t="s">
        <v>1012</v>
      </c>
      <c r="F78" s="83"/>
      <c r="G78" s="83"/>
      <c r="H78" s="83"/>
      <c r="I78" s="83"/>
      <c r="J78" s="83"/>
      <c r="K78" s="83"/>
      <c r="L78" s="94" t="str">
        <f>IF(C78="","",_xlfn.CONCAT("            { line: ","""",C78,", ",M78:AN78,""", sC: ","""",B78,"""},  ]},"))</f>
        <v xml:space="preserve">            { line: "la paz contigo., (Mi,m,20)", sC: "as"},  ]},</v>
      </c>
      <c r="M78" s="56" t="str">
        <f t="shared" si="217"/>
        <v>(</v>
      </c>
      <c r="N78" s="57" t="str">
        <f t="shared" si="218"/>
        <v>Mi</v>
      </c>
      <c r="O78" s="58" t="str">
        <f t="shared" si="219"/>
        <v>,</v>
      </c>
      <c r="P78" s="59" t="str">
        <f t="shared" si="220"/>
        <v>m</v>
      </c>
      <c r="Q78" s="60" t="str">
        <f t="shared" si="221"/>
        <v>,</v>
      </c>
      <c r="R78" s="61">
        <f t="shared" si="194"/>
        <v>20</v>
      </c>
      <c r="S78" s="56" t="str">
        <f t="shared" si="222"/>
        <v>)</v>
      </c>
      <c r="T78" s="62" t="str">
        <f t="shared" si="223"/>
        <v/>
      </c>
      <c r="U78" s="63" t="str">
        <f t="shared" si="224"/>
        <v/>
      </c>
      <c r="V78" s="64" t="str">
        <f t="shared" si="225"/>
        <v/>
      </c>
      <c r="W78" s="65" t="str">
        <f t="shared" si="226"/>
        <v/>
      </c>
      <c r="X78" s="64" t="str">
        <f t="shared" si="227"/>
        <v/>
      </c>
      <c r="Y78" s="64" t="str">
        <f t="shared" si="228"/>
        <v/>
      </c>
      <c r="Z78" s="56" t="str">
        <f t="shared" si="229"/>
        <v/>
      </c>
      <c r="AA78" s="66" t="str">
        <f t="shared" si="230"/>
        <v/>
      </c>
      <c r="AB78" s="57" t="str">
        <f t="shared" si="231"/>
        <v/>
      </c>
      <c r="AC78" s="67" t="str">
        <f t="shared" si="232"/>
        <v/>
      </c>
      <c r="AD78" s="59" t="str">
        <f t="shared" si="233"/>
        <v/>
      </c>
      <c r="AE78" s="68" t="str">
        <f t="shared" si="234"/>
        <v/>
      </c>
      <c r="AF78" s="61" t="str">
        <f t="shared" si="235"/>
        <v/>
      </c>
      <c r="AG78" s="61" t="str">
        <f t="shared" si="236"/>
        <v/>
      </c>
      <c r="AH78" s="69" t="str">
        <f t="shared" si="237"/>
        <v/>
      </c>
      <c r="AI78" s="70" t="str">
        <f t="shared" si="238"/>
        <v/>
      </c>
      <c r="AJ78" s="64" t="str">
        <f t="shared" si="239"/>
        <v/>
      </c>
      <c r="AK78" s="64" t="str">
        <f t="shared" si="240"/>
        <v/>
      </c>
      <c r="AL78" s="64" t="str">
        <f t="shared" si="241"/>
        <v/>
      </c>
      <c r="AM78" s="64" t="str">
        <f t="shared" si="242"/>
        <v/>
      </c>
      <c r="AN78" s="64" t="str">
        <f t="shared" si="243"/>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thickTop="1" thickBot="1" x14ac:dyDescent="0.4">
      <c r="B80" t="s">
        <v>1014</v>
      </c>
      <c r="C80" s="113" t="s">
        <v>1063</v>
      </c>
      <c r="D80" s="112" t="s">
        <v>1011</v>
      </c>
      <c r="E80" s="52" t="s">
        <v>1012</v>
      </c>
      <c r="F80" s="53"/>
      <c r="G80" s="53"/>
      <c r="H80" s="52"/>
      <c r="I80" s="52"/>
      <c r="J80" s="54"/>
      <c r="K80" s="54"/>
      <c r="L80" s="55" t="str">
        <f t="shared" si="139"/>
        <v xml:space="preserve">            { line: "Pedid la paz, pedid la paz, (Mi,m,20)", sC: "tc"},</v>
      </c>
      <c r="M80" s="56" t="str">
        <f t="shared" si="140"/>
        <v>(</v>
      </c>
      <c r="N80" s="57" t="str">
        <f t="shared" si="2"/>
        <v>Mi</v>
      </c>
      <c r="O80" s="58" t="str">
        <f t="shared" si="141"/>
        <v>,</v>
      </c>
      <c r="P80" s="59" t="str">
        <f t="shared" si="4"/>
        <v>m</v>
      </c>
      <c r="Q80" s="60" t="str">
        <f t="shared" si="142"/>
        <v>,</v>
      </c>
      <c r="R80" s="61">
        <f t="shared" si="28"/>
        <v>20</v>
      </c>
      <c r="S80" s="56" t="str">
        <f t="shared" si="143"/>
        <v>)</v>
      </c>
      <c r="T80" s="62" t="str">
        <f t="shared" si="144"/>
        <v/>
      </c>
      <c r="U80" s="63" t="str">
        <f t="shared" si="8"/>
        <v/>
      </c>
      <c r="V80" s="64" t="str">
        <f t="shared" si="145"/>
        <v/>
      </c>
      <c r="W80" s="65" t="str">
        <f t="shared" si="10"/>
        <v/>
      </c>
      <c r="X80" s="64" t="str">
        <f t="shared" si="146"/>
        <v/>
      </c>
      <c r="Y80" s="64" t="str">
        <f t="shared" si="147"/>
        <v/>
      </c>
      <c r="Z80" s="56" t="str">
        <f t="shared" si="148"/>
        <v/>
      </c>
      <c r="AA80" s="66" t="str">
        <f t="shared" si="149"/>
        <v/>
      </c>
      <c r="AB80" s="57" t="str">
        <f t="shared" si="15"/>
        <v/>
      </c>
      <c r="AC80" s="67" t="str">
        <f t="shared" si="150"/>
        <v/>
      </c>
      <c r="AD80" s="59" t="str">
        <f t="shared" si="151"/>
        <v/>
      </c>
      <c r="AE80" s="68" t="str">
        <f t="shared" si="152"/>
        <v/>
      </c>
      <c r="AF80" s="61" t="str">
        <f t="shared" si="153"/>
        <v/>
      </c>
      <c r="AG80" s="61" t="str">
        <f t="shared" si="154"/>
        <v/>
      </c>
      <c r="AH80" s="69" t="str">
        <f t="shared" si="155"/>
        <v/>
      </c>
      <c r="AI80" s="70" t="str">
        <f t="shared" si="22"/>
        <v/>
      </c>
      <c r="AJ80" s="64" t="str">
        <f t="shared" si="156"/>
        <v/>
      </c>
      <c r="AK80" s="64" t="str">
        <f t="shared" si="157"/>
        <v/>
      </c>
      <c r="AL80" s="64" t="str">
        <f t="shared" si="158"/>
        <v/>
      </c>
      <c r="AM80" s="64" t="str">
        <f t="shared" si="159"/>
        <v/>
      </c>
      <c r="AN80" s="64" t="str">
        <f t="shared" si="160"/>
        <v/>
      </c>
    </row>
    <row r="81" spans="1:40" ht="25.5" thickTop="1" thickBot="1" x14ac:dyDescent="0.4">
      <c r="C81" s="113" t="s">
        <v>1064</v>
      </c>
      <c r="D81" s="112" t="s">
        <v>1013</v>
      </c>
      <c r="E81" s="52" t="s">
        <v>1012</v>
      </c>
      <c r="F81" s="53" t="s">
        <v>1011</v>
      </c>
      <c r="G81" s="53" t="s">
        <v>1012</v>
      </c>
      <c r="H81" s="52"/>
      <c r="I81" s="52"/>
      <c r="J81" s="54"/>
      <c r="K81" s="54"/>
      <c r="L81" s="55" t="str">
        <f t="shared" si="139"/>
        <v xml:space="preserve">            { line: "para Jerusalén:, (La,m,20)(Mi,m,250)", sC: ""},</v>
      </c>
      <c r="M81" s="56" t="str">
        <f t="shared" si="140"/>
        <v>(</v>
      </c>
      <c r="N81" s="57" t="str">
        <f t="shared" si="2"/>
        <v>La</v>
      </c>
      <c r="O81" s="58" t="str">
        <f t="shared" si="141"/>
        <v>,</v>
      </c>
      <c r="P81" s="59" t="str">
        <f t="shared" si="4"/>
        <v>m</v>
      </c>
      <c r="Q81" s="60" t="str">
        <f t="shared" si="142"/>
        <v>,</v>
      </c>
      <c r="R81" s="61">
        <f t="shared" si="28"/>
        <v>20</v>
      </c>
      <c r="S81" s="56" t="str">
        <f t="shared" si="143"/>
        <v>)</v>
      </c>
      <c r="T81" s="62" t="str">
        <f t="shared" si="144"/>
        <v>(</v>
      </c>
      <c r="U81" s="63" t="str">
        <f t="shared" si="8"/>
        <v>Mi</v>
      </c>
      <c r="V81" s="64" t="str">
        <f t="shared" si="145"/>
        <v>,</v>
      </c>
      <c r="W81" s="65" t="str">
        <f t="shared" si="10"/>
        <v>m</v>
      </c>
      <c r="X81" s="64" t="str">
        <f t="shared" si="146"/>
        <v>,</v>
      </c>
      <c r="Y81" s="64">
        <f t="shared" si="147"/>
        <v>250</v>
      </c>
      <c r="Z81" s="56" t="str">
        <f t="shared" si="148"/>
        <v>)</v>
      </c>
      <c r="AA81" s="66" t="str">
        <f t="shared" si="149"/>
        <v/>
      </c>
      <c r="AB81" s="57" t="str">
        <f t="shared" si="15"/>
        <v/>
      </c>
      <c r="AC81" s="67" t="str">
        <f t="shared" si="150"/>
        <v/>
      </c>
      <c r="AD81" s="59" t="str">
        <f t="shared" si="151"/>
        <v/>
      </c>
      <c r="AE81" s="68" t="str">
        <f t="shared" si="152"/>
        <v/>
      </c>
      <c r="AF81" s="61" t="str">
        <f t="shared" si="153"/>
        <v/>
      </c>
      <c r="AG81" s="61" t="str">
        <f t="shared" si="154"/>
        <v/>
      </c>
      <c r="AH81" s="69" t="str">
        <f t="shared" si="155"/>
        <v/>
      </c>
      <c r="AI81" s="70" t="str">
        <f t="shared" si="22"/>
        <v/>
      </c>
      <c r="AJ81" s="64" t="str">
        <f t="shared" si="156"/>
        <v/>
      </c>
      <c r="AK81" s="64" t="str">
        <f t="shared" si="157"/>
        <v/>
      </c>
      <c r="AL81" s="64" t="str">
        <f t="shared" si="158"/>
        <v/>
      </c>
      <c r="AM81" s="64" t="str">
        <f t="shared" si="159"/>
        <v/>
      </c>
      <c r="AN81" s="64" t="str">
        <f t="shared" si="160"/>
        <v/>
      </c>
    </row>
    <row r="82" spans="1:40" ht="25.5" thickTop="1" thickBot="1" x14ac:dyDescent="0.4">
      <c r="B82" t="s">
        <v>997</v>
      </c>
      <c r="C82" s="113" t="s">
        <v>1065</v>
      </c>
      <c r="D82" s="112"/>
      <c r="E82" s="52"/>
      <c r="F82" s="53"/>
      <c r="G82" s="53"/>
      <c r="H82" s="52"/>
      <c r="I82" s="52"/>
      <c r="J82" s="54"/>
      <c r="K82" s="54"/>
      <c r="L82" s="55" t="str">
        <f t="shared" si="139"/>
        <v xml:space="preserve">            { line: "QUE SEA LA PAZ, QUE SEA LA PAZ,, ", sC: "ta as"},</v>
      </c>
      <c r="M82" s="56" t="str">
        <f t="shared" si="140"/>
        <v/>
      </c>
      <c r="N82" s="57" t="str">
        <f t="shared" si="2"/>
        <v/>
      </c>
      <c r="O82" s="58" t="str">
        <f t="shared" si="141"/>
        <v/>
      </c>
      <c r="P82" s="59" t="str">
        <f t="shared" si="4"/>
        <v/>
      </c>
      <c r="Q82" s="60" t="str">
        <f t="shared" si="142"/>
        <v/>
      </c>
      <c r="R82" s="61" t="str">
        <f t="shared" si="28"/>
        <v/>
      </c>
      <c r="S82" s="56" t="str">
        <f t="shared" si="143"/>
        <v/>
      </c>
      <c r="T82" s="62" t="str">
        <f t="shared" si="144"/>
        <v/>
      </c>
      <c r="U82" s="63" t="str">
        <f t="shared" si="8"/>
        <v/>
      </c>
      <c r="V82" s="64" t="str">
        <f t="shared" si="145"/>
        <v/>
      </c>
      <c r="W82" s="65" t="str">
        <f t="shared" si="10"/>
        <v/>
      </c>
      <c r="X82" s="64" t="str">
        <f t="shared" si="146"/>
        <v/>
      </c>
      <c r="Y82" s="64" t="str">
        <f t="shared" si="147"/>
        <v/>
      </c>
      <c r="Z82" s="56" t="str">
        <f t="shared" si="148"/>
        <v/>
      </c>
      <c r="AA82" s="66" t="str">
        <f t="shared" si="149"/>
        <v/>
      </c>
      <c r="AB82" s="57" t="str">
        <f t="shared" si="15"/>
        <v/>
      </c>
      <c r="AC82" s="67" t="str">
        <f t="shared" si="150"/>
        <v/>
      </c>
      <c r="AD82" s="59" t="str">
        <f t="shared" si="151"/>
        <v/>
      </c>
      <c r="AE82" s="68" t="str">
        <f t="shared" si="152"/>
        <v/>
      </c>
      <c r="AF82" s="61" t="str">
        <f t="shared" si="153"/>
        <v/>
      </c>
      <c r="AG82" s="61" t="str">
        <f t="shared" si="154"/>
        <v/>
      </c>
      <c r="AH82" s="69" t="str">
        <f t="shared" si="155"/>
        <v/>
      </c>
      <c r="AI82" s="70" t="str">
        <f t="shared" si="22"/>
        <v/>
      </c>
      <c r="AJ82" s="64" t="str">
        <f t="shared" si="156"/>
        <v/>
      </c>
      <c r="AK82" s="64" t="str">
        <f t="shared" si="157"/>
        <v/>
      </c>
      <c r="AL82" s="64" t="str">
        <f t="shared" si="158"/>
        <v/>
      </c>
      <c r="AM82" s="64" t="str">
        <f t="shared" si="159"/>
        <v/>
      </c>
      <c r="AN82" s="64" t="str">
        <f t="shared" si="160"/>
        <v/>
      </c>
    </row>
    <row r="83" spans="1:40" ht="25.5" thickTop="1" thickBot="1" x14ac:dyDescent="0.4">
      <c r="B83" t="s">
        <v>999</v>
      </c>
      <c r="C83" s="113" t="s">
        <v>1066</v>
      </c>
      <c r="D83" s="112" t="s">
        <v>984</v>
      </c>
      <c r="E83" s="52">
        <v>7</v>
      </c>
      <c r="F83" s="53" t="s">
        <v>1011</v>
      </c>
      <c r="G83" s="53" t="s">
        <v>1012</v>
      </c>
      <c r="H83" s="52"/>
      <c r="I83" s="52"/>
      <c r="J83" s="54"/>
      <c r="K83" s="54"/>
      <c r="L83" s="55" t="str">
        <f t="shared" si="139"/>
        <v xml:space="preserve">            { line: "CON TODOS LOS QUE TE AMAN., (Si,7,20)(Mi,m,250)", sC: "as"},</v>
      </c>
      <c r="M83" s="56" t="str">
        <f t="shared" si="140"/>
        <v>(</v>
      </c>
      <c r="N83" s="57" t="str">
        <f t="shared" si="2"/>
        <v>Si</v>
      </c>
      <c r="O83" s="58" t="str">
        <f t="shared" si="141"/>
        <v>,</v>
      </c>
      <c r="P83" s="59">
        <f t="shared" si="4"/>
        <v>7</v>
      </c>
      <c r="Q83" s="60" t="str">
        <f t="shared" si="142"/>
        <v>,</v>
      </c>
      <c r="R83" s="61">
        <f t="shared" si="28"/>
        <v>20</v>
      </c>
      <c r="S83" s="56" t="str">
        <f t="shared" si="143"/>
        <v>)</v>
      </c>
      <c r="T83" s="62" t="str">
        <f t="shared" si="144"/>
        <v>(</v>
      </c>
      <c r="U83" s="63" t="str">
        <f t="shared" si="8"/>
        <v>Mi</v>
      </c>
      <c r="V83" s="64" t="str">
        <f t="shared" si="145"/>
        <v>,</v>
      </c>
      <c r="W83" s="65" t="str">
        <f t="shared" si="10"/>
        <v>m</v>
      </c>
      <c r="X83" s="64" t="str">
        <f t="shared" si="146"/>
        <v>,</v>
      </c>
      <c r="Y83" s="64">
        <f t="shared" si="147"/>
        <v>250</v>
      </c>
      <c r="Z83" s="56" t="str">
        <f t="shared" si="148"/>
        <v>)</v>
      </c>
      <c r="AA83" s="66" t="str">
        <f t="shared" si="149"/>
        <v/>
      </c>
      <c r="AB83" s="57" t="str">
        <f t="shared" si="15"/>
        <v/>
      </c>
      <c r="AC83" s="67" t="str">
        <f t="shared" si="150"/>
        <v/>
      </c>
      <c r="AD83" s="59" t="str">
        <f t="shared" si="151"/>
        <v/>
      </c>
      <c r="AE83" s="68" t="str">
        <f t="shared" si="152"/>
        <v/>
      </c>
      <c r="AF83" s="61" t="str">
        <f t="shared" si="153"/>
        <v/>
      </c>
      <c r="AG83" s="61" t="str">
        <f t="shared" si="154"/>
        <v/>
      </c>
      <c r="AH83" s="69" t="str">
        <f t="shared" si="155"/>
        <v/>
      </c>
      <c r="AI83" s="70" t="str">
        <f t="shared" si="22"/>
        <v/>
      </c>
      <c r="AJ83" s="64" t="str">
        <f t="shared" si="156"/>
        <v/>
      </c>
      <c r="AK83" s="64" t="str">
        <f t="shared" si="157"/>
        <v/>
      </c>
      <c r="AL83" s="64" t="str">
        <f t="shared" si="158"/>
        <v/>
      </c>
      <c r="AM83" s="64" t="str">
        <f t="shared" si="159"/>
        <v/>
      </c>
      <c r="AN83" s="64" t="str">
        <f t="shared" si="160"/>
        <v/>
      </c>
    </row>
    <row r="84" spans="1:40" ht="27.75" thickTop="1" thickBot="1" x14ac:dyDescent="0.4">
      <c r="A84" s="73"/>
      <c r="B84" s="73"/>
      <c r="C84" s="73"/>
      <c r="D84" s="74"/>
      <c r="E84" s="74"/>
      <c r="F84" s="74"/>
      <c r="G84" s="74"/>
      <c r="H84" s="74"/>
      <c r="I84" s="74"/>
      <c r="J84" s="74"/>
      <c r="K84" s="74"/>
      <c r="L84" s="75" t="s">
        <v>993</v>
      </c>
      <c r="M84" s="56"/>
      <c r="N84" s="57"/>
      <c r="O84" s="58"/>
      <c r="P84" s="59"/>
      <c r="Q84" s="60"/>
      <c r="R84" s="61" t="str">
        <f t="shared" ref="R84:R95" si="244">IF(N84="Do",10,IF(N84="Re",22,IF(N84="Mi",20,IF(N84="Fa",20,IF(N84="Sol",14,IF(N84="La",20,IF(N84="Si",20,IF(N84="Do#",14,IF(N84="Fa#",15,IF(N84="Sol#",20,""))))))))))</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thickTop="1" thickBot="1" x14ac:dyDescent="0.4">
      <c r="C85" s="79" t="s">
        <v>995</v>
      </c>
      <c r="D85" s="80"/>
      <c r="E85" s="80"/>
      <c r="F85" s="80"/>
      <c r="G85" s="80"/>
      <c r="H85" s="80"/>
      <c r="I85" s="80"/>
      <c r="J85" s="80"/>
      <c r="K85" s="80"/>
      <c r="L85" s="81" t="s">
        <v>996</v>
      </c>
      <c r="M85" s="56" t="str">
        <f t="shared" ref="M85:M94" si="245">IF(N85="","","(")</f>
        <v/>
      </c>
      <c r="N85" s="57" t="str">
        <f t="shared" ref="N85:N94" si="246">IF(D85="","",D85)</f>
        <v/>
      </c>
      <c r="O85" s="58" t="str">
        <f t="shared" ref="O85:O94" si="247">IF(N85="","",",")</f>
        <v/>
      </c>
      <c r="P85" s="59" t="str">
        <f t="shared" ref="P85:P94" si="248">IF(E85="","",E85)</f>
        <v/>
      </c>
      <c r="Q85" s="60" t="str">
        <f t="shared" ref="Q85:Q94" si="249">IF(N85="","",",")</f>
        <v/>
      </c>
      <c r="R85" s="61" t="str">
        <f t="shared" si="244"/>
        <v/>
      </c>
      <c r="S85" s="56" t="str">
        <f t="shared" ref="S85:S94" si="250">IF(N85="","",")")</f>
        <v/>
      </c>
      <c r="T85" s="62" t="str">
        <f t="shared" ref="T85:T94" si="251">IF(U85="","","(")</f>
        <v/>
      </c>
      <c r="U85" s="63" t="str">
        <f t="shared" ref="U85:U94" si="252">IF(F85="","",F85)</f>
        <v/>
      </c>
      <c r="V85" s="64" t="str">
        <f t="shared" ref="V85:V94" si="253">IF(U85="","",",")</f>
        <v/>
      </c>
      <c r="W85" s="65" t="str">
        <f t="shared" ref="W85:W94" si="254">IF(G85="","",G85)</f>
        <v/>
      </c>
      <c r="X85" s="64" t="str">
        <f t="shared" ref="X85:X94" si="255">IF(U85="","",",")</f>
        <v/>
      </c>
      <c r="Y85" s="64" t="str">
        <f t="shared" ref="Y85:Y94" si="256">IF(U85="","",250)</f>
        <v/>
      </c>
      <c r="Z85" s="56" t="str">
        <f t="shared" ref="Z85:Z94" si="257">IF(U85="","",")")</f>
        <v/>
      </c>
      <c r="AA85" s="66" t="str">
        <f t="shared" ref="AA85:AA94" si="258">IF(AB85="","","(")</f>
        <v/>
      </c>
      <c r="AB85" s="57" t="str">
        <f t="shared" ref="AB85:AB94" si="259">IF(H85="","",H85)</f>
        <v/>
      </c>
      <c r="AC85" s="67" t="str">
        <f t="shared" ref="AC85:AC94" si="260">IF(AB85="","",",")</f>
        <v/>
      </c>
      <c r="AD85" s="59" t="str">
        <f t="shared" ref="AD85:AD94" si="261">IF(I85="","",I85)</f>
        <v/>
      </c>
      <c r="AE85" s="68" t="str">
        <f t="shared" ref="AE85:AE94" si="262">IF(AB85="","",",")</f>
        <v/>
      </c>
      <c r="AF85" s="61" t="str">
        <f t="shared" ref="AF85:AF94" si="263">IF(AB85="","",350)</f>
        <v/>
      </c>
      <c r="AG85" s="61" t="str">
        <f t="shared" ref="AG85:AG94" si="264">IF(AB85="","",")")</f>
        <v/>
      </c>
      <c r="AH85" s="69" t="str">
        <f t="shared" ref="AH85:AH94" si="265">IF(AI85="","","(")</f>
        <v/>
      </c>
      <c r="AI85" s="70" t="str">
        <f t="shared" ref="AI85:AI94" si="266">IF(J85="","",J85)</f>
        <v/>
      </c>
      <c r="AJ85" s="64" t="str">
        <f t="shared" ref="AJ85:AJ94" si="267">IF(AI85="","",",")</f>
        <v/>
      </c>
      <c r="AK85" s="64" t="str">
        <f t="shared" ref="AK85:AK94" si="268">IF(K85="","",K85)</f>
        <v/>
      </c>
      <c r="AL85" s="64" t="str">
        <f t="shared" ref="AL85:AL94" si="269">IF(AI85="","",",")</f>
        <v/>
      </c>
      <c r="AM85" s="64" t="str">
        <f t="shared" ref="AM85:AM94" si="270">IF(AI85="","",450)</f>
        <v/>
      </c>
      <c r="AN85" s="64" t="str">
        <f t="shared" ref="AN85:AN94" si="271">IF(AI85="","",")")</f>
        <v/>
      </c>
    </row>
    <row r="86" spans="1:40" ht="25.5" thickTop="1" thickBot="1" x14ac:dyDescent="0.4">
      <c r="B86" t="s">
        <v>997</v>
      </c>
      <c r="C86" s="82" t="s">
        <v>1056</v>
      </c>
      <c r="D86" s="83" t="s">
        <v>1011</v>
      </c>
      <c r="E86" s="83" t="s">
        <v>1012</v>
      </c>
      <c r="F86" s="83"/>
      <c r="G86" s="83"/>
      <c r="H86" s="83"/>
      <c r="I86" s="83"/>
      <c r="J86" s="83"/>
      <c r="K86" s="83"/>
      <c r="L86" s="84" t="str">
        <f>IF(C86="","",_xlfn.CONCAT("       triggerLine: ","""",C86,", ",M86:AN86,""", sC: ","""",B86,""", lines: ["))</f>
        <v xml:space="preserve">       triggerLine: "JERUSALÉN, JERUSALÉN,, (Mi,m,20)", sC: "ta as", lines: [</v>
      </c>
      <c r="M86" s="56" t="str">
        <f t="shared" si="245"/>
        <v>(</v>
      </c>
      <c r="N86" s="57" t="str">
        <f t="shared" si="246"/>
        <v>Mi</v>
      </c>
      <c r="O86" s="58" t="str">
        <f t="shared" si="247"/>
        <v>,</v>
      </c>
      <c r="P86" s="59" t="str">
        <f t="shared" si="248"/>
        <v>m</v>
      </c>
      <c r="Q86" s="60" t="str">
        <f t="shared" si="249"/>
        <v>,</v>
      </c>
      <c r="R86" s="61">
        <f t="shared" si="244"/>
        <v>20</v>
      </c>
      <c r="S86" s="56" t="str">
        <f t="shared" si="250"/>
        <v>)</v>
      </c>
      <c r="T86" s="62" t="str">
        <f t="shared" si="251"/>
        <v/>
      </c>
      <c r="U86" s="63" t="str">
        <f t="shared" si="252"/>
        <v/>
      </c>
      <c r="V86" s="64" t="str">
        <f t="shared" si="253"/>
        <v/>
      </c>
      <c r="W86" s="65" t="str">
        <f t="shared" si="254"/>
        <v/>
      </c>
      <c r="X86" s="64" t="str">
        <f t="shared" si="255"/>
        <v/>
      </c>
      <c r="Y86" s="64" t="str">
        <f t="shared" si="256"/>
        <v/>
      </c>
      <c r="Z86" s="56" t="str">
        <f t="shared" si="257"/>
        <v/>
      </c>
      <c r="AA86" s="66" t="str">
        <f t="shared" si="258"/>
        <v/>
      </c>
      <c r="AB86" s="57" t="str">
        <f t="shared" si="259"/>
        <v/>
      </c>
      <c r="AC86" s="67" t="str">
        <f t="shared" si="260"/>
        <v/>
      </c>
      <c r="AD86" s="59" t="str">
        <f t="shared" si="261"/>
        <v/>
      </c>
      <c r="AE86" s="68" t="str">
        <f t="shared" si="262"/>
        <v/>
      </c>
      <c r="AF86" s="61" t="str">
        <f t="shared" si="263"/>
        <v/>
      </c>
      <c r="AG86" s="61" t="str">
        <f t="shared" si="264"/>
        <v/>
      </c>
      <c r="AH86" s="69" t="str">
        <f t="shared" si="265"/>
        <v/>
      </c>
      <c r="AI86" s="70" t="str">
        <f t="shared" si="266"/>
        <v/>
      </c>
      <c r="AJ86" s="64" t="str">
        <f t="shared" si="267"/>
        <v/>
      </c>
      <c r="AK86" s="64" t="str">
        <f t="shared" si="268"/>
        <v/>
      </c>
      <c r="AL86" s="64" t="str">
        <f t="shared" si="269"/>
        <v/>
      </c>
      <c r="AM86" s="64" t="str">
        <f t="shared" si="270"/>
        <v/>
      </c>
      <c r="AN86" s="64" t="str">
        <f t="shared" si="271"/>
        <v/>
      </c>
    </row>
    <row r="87" spans="1:40" ht="25.5" thickTop="1" thickBot="1" x14ac:dyDescent="0.4">
      <c r="B87" t="s">
        <v>999</v>
      </c>
      <c r="C87" s="85" t="s">
        <v>1057</v>
      </c>
      <c r="D87" s="86" t="s">
        <v>1013</v>
      </c>
      <c r="E87" s="86" t="s">
        <v>1012</v>
      </c>
      <c r="F87" s="86" t="s">
        <v>1011</v>
      </c>
      <c r="G87" s="86" t="s">
        <v>1012</v>
      </c>
      <c r="H87" s="87"/>
      <c r="I87" s="87"/>
      <c r="J87" s="87"/>
      <c r="K87" s="87"/>
      <c r="L87" s="88" t="str">
        <f>IF(C87="","",_xlfn.CONCAT("            { line: ","""",C87,", ",M87:AN87,""", sC: ","""",B87,"""},"))</f>
        <v xml:space="preserve">            { line: "DE NUEVO REEDIFICADA., (La,m,20)(Mi,m,250)", sC: "as"},</v>
      </c>
      <c r="M87" s="56" t="str">
        <f t="shared" si="245"/>
        <v>(</v>
      </c>
      <c r="N87" s="57" t="str">
        <f t="shared" si="246"/>
        <v>La</v>
      </c>
      <c r="O87" s="58" t="str">
        <f t="shared" si="247"/>
        <v>,</v>
      </c>
      <c r="P87" s="59" t="str">
        <f t="shared" si="248"/>
        <v>m</v>
      </c>
      <c r="Q87" s="60" t="str">
        <f t="shared" si="249"/>
        <v>,</v>
      </c>
      <c r="R87" s="61">
        <f t="shared" si="244"/>
        <v>20</v>
      </c>
      <c r="S87" s="56" t="str">
        <f t="shared" si="250"/>
        <v>)</v>
      </c>
      <c r="T87" s="62" t="str">
        <f t="shared" si="251"/>
        <v>(</v>
      </c>
      <c r="U87" s="63" t="str">
        <f t="shared" si="252"/>
        <v>Mi</v>
      </c>
      <c r="V87" s="64" t="str">
        <f t="shared" si="253"/>
        <v>,</v>
      </c>
      <c r="W87" s="65" t="str">
        <f t="shared" si="254"/>
        <v>m</v>
      </c>
      <c r="X87" s="64" t="str">
        <f t="shared" si="255"/>
        <v>,</v>
      </c>
      <c r="Y87" s="64">
        <f t="shared" si="256"/>
        <v>250</v>
      </c>
      <c r="Z87" s="56" t="str">
        <f t="shared" si="257"/>
        <v>)</v>
      </c>
      <c r="AA87" s="66" t="str">
        <f t="shared" si="258"/>
        <v/>
      </c>
      <c r="AB87" s="57" t="str">
        <f t="shared" si="259"/>
        <v/>
      </c>
      <c r="AC87" s="67" t="str">
        <f t="shared" si="260"/>
        <v/>
      </c>
      <c r="AD87" s="59" t="str">
        <f t="shared" si="261"/>
        <v/>
      </c>
      <c r="AE87" s="68" t="str">
        <f t="shared" si="262"/>
        <v/>
      </c>
      <c r="AF87" s="61" t="str">
        <f t="shared" si="263"/>
        <v/>
      </c>
      <c r="AG87" s="61" t="str">
        <f t="shared" si="264"/>
        <v/>
      </c>
      <c r="AH87" s="69" t="str">
        <f t="shared" si="265"/>
        <v/>
      </c>
      <c r="AI87" s="70" t="str">
        <f t="shared" si="266"/>
        <v/>
      </c>
      <c r="AJ87" s="64" t="str">
        <f t="shared" si="267"/>
        <v/>
      </c>
      <c r="AK87" s="64" t="str">
        <f t="shared" si="268"/>
        <v/>
      </c>
      <c r="AL87" s="64" t="str">
        <f t="shared" si="269"/>
        <v/>
      </c>
      <c r="AM87" s="64" t="str">
        <f t="shared" si="270"/>
        <v/>
      </c>
      <c r="AN87" s="64" t="str">
        <f t="shared" si="271"/>
        <v/>
      </c>
    </row>
    <row r="88" spans="1:40" ht="25.5" thickTop="1" thickBot="1" x14ac:dyDescent="0.4">
      <c r="B88" t="s">
        <v>999</v>
      </c>
      <c r="C88" s="85" t="s">
        <v>1058</v>
      </c>
      <c r="D88" s="89"/>
      <c r="E88" s="89"/>
      <c r="F88" s="89"/>
      <c r="G88" s="89"/>
      <c r="H88" s="90"/>
      <c r="I88" s="90"/>
      <c r="J88" s="90"/>
      <c r="K88" s="90"/>
      <c r="L88" s="88" t="str">
        <f>IF(C88="","",_xlfn.CONCAT("            { line: ","""",C88,", ",M88:AN88,""", sC: ","""",B88,"""},"))</f>
        <v xml:space="preserve">            { line: "JERUSALÉN,JERUSALÉN,, ", sC: "as"},</v>
      </c>
      <c r="M88" s="56" t="str">
        <f t="shared" si="245"/>
        <v/>
      </c>
      <c r="N88" s="57" t="str">
        <f t="shared" si="246"/>
        <v/>
      </c>
      <c r="O88" s="58" t="str">
        <f t="shared" si="247"/>
        <v/>
      </c>
      <c r="P88" s="59" t="str">
        <f t="shared" si="248"/>
        <v/>
      </c>
      <c r="Q88" s="60" t="str">
        <f t="shared" si="249"/>
        <v/>
      </c>
      <c r="R88" s="61" t="str">
        <f t="shared" si="244"/>
        <v/>
      </c>
      <c r="S88" s="56" t="str">
        <f t="shared" si="250"/>
        <v/>
      </c>
      <c r="T88" s="62" t="str">
        <f t="shared" si="251"/>
        <v/>
      </c>
      <c r="U88" s="63" t="str">
        <f t="shared" si="252"/>
        <v/>
      </c>
      <c r="V88" s="64" t="str">
        <f t="shared" si="253"/>
        <v/>
      </c>
      <c r="W88" s="65" t="str">
        <f t="shared" si="254"/>
        <v/>
      </c>
      <c r="X88" s="64" t="str">
        <f t="shared" si="255"/>
        <v/>
      </c>
      <c r="Y88" s="64" t="str">
        <f t="shared" si="256"/>
        <v/>
      </c>
      <c r="Z88" s="56" t="str">
        <f t="shared" si="257"/>
        <v/>
      </c>
      <c r="AA88" s="66" t="str">
        <f t="shared" si="258"/>
        <v/>
      </c>
      <c r="AB88" s="57" t="str">
        <f t="shared" si="259"/>
        <v/>
      </c>
      <c r="AC88" s="67" t="str">
        <f t="shared" si="260"/>
        <v/>
      </c>
      <c r="AD88" s="59" t="str">
        <f t="shared" si="261"/>
        <v/>
      </c>
      <c r="AE88" s="68" t="str">
        <f t="shared" si="262"/>
        <v/>
      </c>
      <c r="AF88" s="61" t="str">
        <f t="shared" si="263"/>
        <v/>
      </c>
      <c r="AG88" s="61" t="str">
        <f t="shared" si="264"/>
        <v/>
      </c>
      <c r="AH88" s="69" t="str">
        <f t="shared" si="265"/>
        <v/>
      </c>
      <c r="AI88" s="70" t="str">
        <f t="shared" si="266"/>
        <v/>
      </c>
      <c r="AJ88" s="64" t="str">
        <f t="shared" si="267"/>
        <v/>
      </c>
      <c r="AK88" s="64" t="str">
        <f t="shared" si="268"/>
        <v/>
      </c>
      <c r="AL88" s="64" t="str">
        <f t="shared" si="269"/>
        <v/>
      </c>
      <c r="AM88" s="64" t="str">
        <f t="shared" si="270"/>
        <v/>
      </c>
      <c r="AN88" s="64" t="str">
        <f t="shared" si="271"/>
        <v/>
      </c>
    </row>
    <row r="89" spans="1:40" ht="25.5" thickTop="1" thickBot="1" x14ac:dyDescent="0.4">
      <c r="B89" t="s">
        <v>999</v>
      </c>
      <c r="C89" s="85" t="s">
        <v>1057</v>
      </c>
      <c r="D89" s="86" t="s">
        <v>1050</v>
      </c>
      <c r="E89" s="86"/>
      <c r="F89" s="86" t="s">
        <v>1011</v>
      </c>
      <c r="G89" s="86" t="s">
        <v>1012</v>
      </c>
      <c r="H89" s="87"/>
      <c r="I89" s="87"/>
      <c r="J89" s="87"/>
      <c r="K89" s="87"/>
      <c r="L89" s="88" t="str">
        <f>IF(C89="","",_xlfn.CONCAT("            { line: ","""",C89,", ",M89:AN89,""", sC: ","""",B89,"""},"))</f>
        <v xml:space="preserve">            { line: "DE NUEVO REEDIFICADA., (Si7,,)(Mi,m,250)", sC: "as"},</v>
      </c>
      <c r="M89" s="56" t="str">
        <f t="shared" si="245"/>
        <v>(</v>
      </c>
      <c r="N89" s="57" t="str">
        <f t="shared" si="246"/>
        <v>Si7</v>
      </c>
      <c r="O89" s="58" t="str">
        <f t="shared" si="247"/>
        <v>,</v>
      </c>
      <c r="P89" s="59" t="str">
        <f t="shared" si="248"/>
        <v/>
      </c>
      <c r="Q89" s="60" t="str">
        <f t="shared" si="249"/>
        <v>,</v>
      </c>
      <c r="R89" s="61" t="str">
        <f t="shared" si="244"/>
        <v/>
      </c>
      <c r="S89" s="56" t="str">
        <f t="shared" si="250"/>
        <v>)</v>
      </c>
      <c r="T89" s="62" t="str">
        <f t="shared" si="251"/>
        <v>(</v>
      </c>
      <c r="U89" s="63" t="str">
        <f t="shared" si="252"/>
        <v>Mi</v>
      </c>
      <c r="V89" s="64" t="str">
        <f t="shared" si="253"/>
        <v>,</v>
      </c>
      <c r="W89" s="65" t="str">
        <f t="shared" si="254"/>
        <v>m</v>
      </c>
      <c r="X89" s="64" t="str">
        <f t="shared" si="255"/>
        <v>,</v>
      </c>
      <c r="Y89" s="64">
        <f t="shared" si="256"/>
        <v>250</v>
      </c>
      <c r="Z89" s="56" t="str">
        <f t="shared" si="257"/>
        <v>)</v>
      </c>
      <c r="AA89" s="66" t="str">
        <f t="shared" si="258"/>
        <v/>
      </c>
      <c r="AB89" s="57" t="str">
        <f t="shared" si="259"/>
        <v/>
      </c>
      <c r="AC89" s="67" t="str">
        <f t="shared" si="260"/>
        <v/>
      </c>
      <c r="AD89" s="59" t="str">
        <f t="shared" si="261"/>
        <v/>
      </c>
      <c r="AE89" s="68" t="str">
        <f t="shared" si="262"/>
        <v/>
      </c>
      <c r="AF89" s="61" t="str">
        <f t="shared" si="263"/>
        <v/>
      </c>
      <c r="AG89" s="61" t="str">
        <f t="shared" si="264"/>
        <v/>
      </c>
      <c r="AH89" s="69" t="str">
        <f t="shared" si="265"/>
        <v/>
      </c>
      <c r="AI89" s="70" t="str">
        <f t="shared" si="266"/>
        <v/>
      </c>
      <c r="AJ89" s="64" t="str">
        <f t="shared" si="267"/>
        <v/>
      </c>
      <c r="AK89" s="64" t="str">
        <f t="shared" si="268"/>
        <v/>
      </c>
      <c r="AL89" s="64" t="str">
        <f t="shared" si="269"/>
        <v/>
      </c>
      <c r="AM89" s="64" t="str">
        <f t="shared" si="270"/>
        <v/>
      </c>
      <c r="AN89" s="64" t="str">
        <f t="shared" si="271"/>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B91" t="s">
        <v>999</v>
      </c>
      <c r="C91" s="85" t="s">
        <v>1058</v>
      </c>
      <c r="D91" s="89" t="s">
        <v>1011</v>
      </c>
      <c r="E91" s="89" t="s">
        <v>1012</v>
      </c>
      <c r="F91" s="89"/>
      <c r="G91" s="89"/>
      <c r="H91" s="90"/>
      <c r="I91" s="90"/>
      <c r="J91" s="90"/>
      <c r="K91" s="90"/>
      <c r="L91" s="88" t="str">
        <f>IF(C91="","",_xlfn.CONCAT("            { line: ","""",C91,", ",M91:AN91,""", sC: ","""",B91,"""},"))</f>
        <v xml:space="preserve">            { line: "JERUSALÉN,JERUSALÉN,, (Mi,m,20)", sC: "as"},</v>
      </c>
      <c r="M91" s="56" t="str">
        <f t="shared" si="245"/>
        <v>(</v>
      </c>
      <c r="N91" s="57" t="str">
        <f t="shared" si="246"/>
        <v>Mi</v>
      </c>
      <c r="O91" s="58" t="str">
        <f t="shared" si="247"/>
        <v>,</v>
      </c>
      <c r="P91" s="59" t="str">
        <f t="shared" si="248"/>
        <v>m</v>
      </c>
      <c r="Q91" s="60" t="str">
        <f t="shared" si="249"/>
        <v>,</v>
      </c>
      <c r="R91" s="61">
        <f t="shared" si="244"/>
        <v>20</v>
      </c>
      <c r="S91" s="56" t="str">
        <f t="shared" si="250"/>
        <v>)</v>
      </c>
      <c r="T91" s="62" t="str">
        <f t="shared" si="251"/>
        <v/>
      </c>
      <c r="U91" s="63" t="str">
        <f t="shared" si="252"/>
        <v/>
      </c>
      <c r="V91" s="64" t="str">
        <f t="shared" si="253"/>
        <v/>
      </c>
      <c r="W91" s="65" t="str">
        <f t="shared" si="254"/>
        <v/>
      </c>
      <c r="X91" s="64" t="str">
        <f t="shared" si="255"/>
        <v/>
      </c>
      <c r="Y91" s="64" t="str">
        <f t="shared" si="256"/>
        <v/>
      </c>
      <c r="Z91" s="56" t="str">
        <f t="shared" si="257"/>
        <v/>
      </c>
      <c r="AA91" s="66" t="str">
        <f t="shared" si="258"/>
        <v/>
      </c>
      <c r="AB91" s="57" t="str">
        <f t="shared" si="259"/>
        <v/>
      </c>
      <c r="AC91" s="67" t="str">
        <f t="shared" si="260"/>
        <v/>
      </c>
      <c r="AD91" s="59" t="str">
        <f t="shared" si="261"/>
        <v/>
      </c>
      <c r="AE91" s="68" t="str">
        <f t="shared" si="262"/>
        <v/>
      </c>
      <c r="AF91" s="61" t="str">
        <f t="shared" si="263"/>
        <v/>
      </c>
      <c r="AG91" s="61" t="str">
        <f t="shared" si="264"/>
        <v/>
      </c>
      <c r="AH91" s="69" t="str">
        <f t="shared" si="265"/>
        <v/>
      </c>
      <c r="AI91" s="70" t="str">
        <f t="shared" si="266"/>
        <v/>
      </c>
      <c r="AJ91" s="64" t="str">
        <f t="shared" si="267"/>
        <v/>
      </c>
      <c r="AK91" s="64" t="str">
        <f t="shared" si="268"/>
        <v/>
      </c>
      <c r="AL91" s="64" t="str">
        <f t="shared" si="269"/>
        <v/>
      </c>
      <c r="AM91" s="64" t="str">
        <f t="shared" si="270"/>
        <v/>
      </c>
      <c r="AN91" s="64" t="str">
        <f t="shared" si="271"/>
        <v/>
      </c>
    </row>
    <row r="92" spans="1:40" ht="25.5" thickTop="1" thickBot="1" x14ac:dyDescent="0.4">
      <c r="B92" t="s">
        <v>999</v>
      </c>
      <c r="C92" s="85" t="s">
        <v>1057</v>
      </c>
      <c r="D92" s="91" t="s">
        <v>1013</v>
      </c>
      <c r="E92" s="91" t="s">
        <v>1012</v>
      </c>
      <c r="F92" s="91" t="s">
        <v>1011</v>
      </c>
      <c r="G92" s="91" t="s">
        <v>1012</v>
      </c>
      <c r="H92" s="92"/>
      <c r="I92" s="92"/>
      <c r="J92" s="92"/>
      <c r="K92" s="92"/>
      <c r="L92" s="88" t="str">
        <f>IF(C92="","",_xlfn.CONCAT("            { line: ","""",C92,", ",M92:AN92,""", sC: ","""",B92,"""},"))</f>
        <v xml:space="preserve">            { line: "DE NUEVO REEDIFICADA., (La,m,20)(Mi,m,250)", sC: "as"},</v>
      </c>
      <c r="M92" s="56" t="str">
        <f t="shared" ref="M92" si="272">IF(N92="","","(")</f>
        <v>(</v>
      </c>
      <c r="N92" s="57" t="str">
        <f t="shared" ref="N92" si="273">IF(D92="","",D92)</f>
        <v>La</v>
      </c>
      <c r="O92" s="58" t="str">
        <f t="shared" ref="O92" si="274">IF(N92="","",",")</f>
        <v>,</v>
      </c>
      <c r="P92" s="59" t="str">
        <f t="shared" ref="P92" si="275">IF(E92="","",E92)</f>
        <v>m</v>
      </c>
      <c r="Q92" s="60" t="str">
        <f t="shared" ref="Q92" si="276">IF(N92="","",",")</f>
        <v>,</v>
      </c>
      <c r="R92" s="61">
        <f t="shared" ref="R92" si="277">IF(N92="Do",10,IF(N92="Re",22,IF(N92="Mi",20,IF(N92="Fa",20,IF(N92="Sol",14,IF(N92="La",20,IF(N92="Si",20,IF(N92="Do#",14,IF(N92="Fa#",15,IF(N92="Sol#",20,""))))))))))</f>
        <v>20</v>
      </c>
      <c r="S92" s="56" t="str">
        <f t="shared" ref="S92" si="278">IF(N92="","",")")</f>
        <v>)</v>
      </c>
      <c r="T92" s="62" t="str">
        <f t="shared" ref="T92" si="279">IF(U92="","","(")</f>
        <v>(</v>
      </c>
      <c r="U92" s="63" t="str">
        <f t="shared" ref="U92" si="280">IF(F92="","",F92)</f>
        <v>Mi</v>
      </c>
      <c r="V92" s="64" t="str">
        <f t="shared" ref="V92" si="281">IF(U92="","",",")</f>
        <v>,</v>
      </c>
      <c r="W92" s="65" t="str">
        <f t="shared" ref="W92" si="282">IF(G92="","",G92)</f>
        <v>m</v>
      </c>
      <c r="X92" s="64" t="str">
        <f t="shared" ref="X92" si="283">IF(U92="","",",")</f>
        <v>,</v>
      </c>
      <c r="Y92" s="64">
        <f t="shared" ref="Y92" si="284">IF(U92="","",250)</f>
        <v>250</v>
      </c>
      <c r="Z92" s="56" t="str">
        <f t="shared" ref="Z92" si="285">IF(U92="","",")")</f>
        <v>)</v>
      </c>
      <c r="AA92" s="66" t="str">
        <f t="shared" ref="AA92" si="286">IF(AB92="","","(")</f>
        <v/>
      </c>
      <c r="AB92" s="57" t="str">
        <f t="shared" ref="AB92" si="287">IF(H92="","",H92)</f>
        <v/>
      </c>
      <c r="AC92" s="67" t="str">
        <f t="shared" ref="AC92" si="288">IF(AB92="","",",")</f>
        <v/>
      </c>
      <c r="AD92" s="59" t="str">
        <f t="shared" ref="AD92" si="289">IF(I92="","",I92)</f>
        <v/>
      </c>
      <c r="AE92" s="68" t="str">
        <f t="shared" ref="AE92" si="290">IF(AB92="","",",")</f>
        <v/>
      </c>
      <c r="AF92" s="61" t="str">
        <f t="shared" ref="AF92" si="291">IF(AB92="","",350)</f>
        <v/>
      </c>
      <c r="AG92" s="61" t="str">
        <f t="shared" ref="AG92" si="292">IF(AB92="","",")")</f>
        <v/>
      </c>
      <c r="AH92" s="69" t="str">
        <f t="shared" ref="AH92" si="293">IF(AI92="","","(")</f>
        <v/>
      </c>
      <c r="AI92" s="70" t="str">
        <f t="shared" ref="AI92" si="294">IF(J92="","",J92)</f>
        <v/>
      </c>
      <c r="AJ92" s="64" t="str">
        <f t="shared" ref="AJ92" si="295">IF(AI92="","",",")</f>
        <v/>
      </c>
      <c r="AK92" s="64" t="str">
        <f t="shared" ref="AK92" si="296">IF(K92="","",K92)</f>
        <v/>
      </c>
      <c r="AL92" s="64" t="str">
        <f t="shared" ref="AL92" si="297">IF(AI92="","",",")</f>
        <v/>
      </c>
      <c r="AM92" s="64" t="str">
        <f t="shared" ref="AM92" si="298">IF(AI92="","",450)</f>
        <v/>
      </c>
      <c r="AN92" s="64" t="str">
        <f t="shared" ref="AN92" si="299">IF(AI92="","",")")</f>
        <v/>
      </c>
    </row>
    <row r="93" spans="1:40" ht="25.5" thickTop="1" thickBot="1" x14ac:dyDescent="0.4">
      <c r="B93" t="s">
        <v>999</v>
      </c>
      <c r="C93" s="85" t="s">
        <v>1058</v>
      </c>
      <c r="D93" s="91"/>
      <c r="E93" s="91"/>
      <c r="F93" s="91"/>
      <c r="G93" s="91"/>
      <c r="H93" s="92"/>
      <c r="I93" s="92"/>
      <c r="J93" s="92"/>
      <c r="K93" s="92"/>
      <c r="L93" s="88" t="str">
        <f>IF(C93="","",_xlfn.CONCAT("            { line: ","""",C93,", ",M93:AN93,""", sC: ","""",B93,"""},"))</f>
        <v xml:space="preserve">            { line: "JERUSALÉN,JERUSALÉN,, ", sC: "as"},</v>
      </c>
      <c r="M93" s="56" t="str">
        <f t="shared" si="245"/>
        <v/>
      </c>
      <c r="N93" s="57" t="str">
        <f t="shared" si="246"/>
        <v/>
      </c>
      <c r="O93" s="58" t="str">
        <f t="shared" si="247"/>
        <v/>
      </c>
      <c r="P93" s="59" t="str">
        <f t="shared" si="248"/>
        <v/>
      </c>
      <c r="Q93" s="60" t="str">
        <f t="shared" si="249"/>
        <v/>
      </c>
      <c r="R93" s="61" t="str">
        <f t="shared" si="244"/>
        <v/>
      </c>
      <c r="S93" s="56" t="str">
        <f t="shared" si="250"/>
        <v/>
      </c>
      <c r="T93" s="62" t="str">
        <f t="shared" si="251"/>
        <v/>
      </c>
      <c r="U93" s="63" t="str">
        <f t="shared" si="252"/>
        <v/>
      </c>
      <c r="V93" s="64" t="str">
        <f t="shared" si="253"/>
        <v/>
      </c>
      <c r="W93" s="65" t="str">
        <f t="shared" si="254"/>
        <v/>
      </c>
      <c r="X93" s="64" t="str">
        <f t="shared" si="255"/>
        <v/>
      </c>
      <c r="Y93" s="64" t="str">
        <f t="shared" si="256"/>
        <v/>
      </c>
      <c r="Z93" s="56" t="str">
        <f t="shared" si="257"/>
        <v/>
      </c>
      <c r="AA93" s="66" t="str">
        <f t="shared" si="258"/>
        <v/>
      </c>
      <c r="AB93" s="57" t="str">
        <f t="shared" si="259"/>
        <v/>
      </c>
      <c r="AC93" s="67" t="str">
        <f t="shared" si="260"/>
        <v/>
      </c>
      <c r="AD93" s="59" t="str">
        <f t="shared" si="261"/>
        <v/>
      </c>
      <c r="AE93" s="68" t="str">
        <f t="shared" si="262"/>
        <v/>
      </c>
      <c r="AF93" s="61" t="str">
        <f t="shared" si="263"/>
        <v/>
      </c>
      <c r="AG93" s="61" t="str">
        <f t="shared" si="264"/>
        <v/>
      </c>
      <c r="AH93" s="69" t="str">
        <f t="shared" si="265"/>
        <v/>
      </c>
      <c r="AI93" s="70" t="str">
        <f t="shared" si="266"/>
        <v/>
      </c>
      <c r="AJ93" s="64" t="str">
        <f t="shared" si="267"/>
        <v/>
      </c>
      <c r="AK93" s="64" t="str">
        <f t="shared" si="268"/>
        <v/>
      </c>
      <c r="AL93" s="64" t="str">
        <f t="shared" si="269"/>
        <v/>
      </c>
      <c r="AM93" s="64" t="str">
        <f t="shared" si="270"/>
        <v/>
      </c>
      <c r="AN93" s="64" t="str">
        <f t="shared" si="271"/>
        <v/>
      </c>
    </row>
    <row r="94" spans="1:40" ht="25.5" thickTop="1" thickBot="1" x14ac:dyDescent="0.4">
      <c r="B94" t="s">
        <v>999</v>
      </c>
      <c r="C94" s="93" t="s">
        <v>1057</v>
      </c>
      <c r="D94" s="83" t="s">
        <v>1050</v>
      </c>
      <c r="E94" s="83"/>
      <c r="F94" s="83" t="s">
        <v>1011</v>
      </c>
      <c r="G94" s="83" t="s">
        <v>1012</v>
      </c>
      <c r="H94" s="83"/>
      <c r="I94" s="83"/>
      <c r="J94" s="83"/>
      <c r="K94" s="83"/>
      <c r="L94" s="94" t="str">
        <f>IF(C94="","",_xlfn.CONCAT("            { line: ","""",C94,", ",M94:AN94,""", sC: ","""",B94,"""},  ]},"))</f>
        <v xml:space="preserve">            { line: "DE NUEVO REEDIFICADA., (Si7,,)(Mi,m,250)", sC: "as"},  ]},</v>
      </c>
      <c r="M94" s="56" t="str">
        <f t="shared" si="245"/>
        <v>(</v>
      </c>
      <c r="N94" s="57" t="str">
        <f t="shared" si="246"/>
        <v>Si7</v>
      </c>
      <c r="O94" s="58" t="str">
        <f t="shared" si="247"/>
        <v>,</v>
      </c>
      <c r="P94" s="59" t="str">
        <f t="shared" si="248"/>
        <v/>
      </c>
      <c r="Q94" s="60" t="str">
        <f t="shared" si="249"/>
        <v>,</v>
      </c>
      <c r="R94" s="61" t="str">
        <f t="shared" si="244"/>
        <v/>
      </c>
      <c r="S94" s="56" t="str">
        <f t="shared" si="250"/>
        <v>)</v>
      </c>
      <c r="T94" s="62" t="str">
        <f t="shared" si="251"/>
        <v>(</v>
      </c>
      <c r="U94" s="63" t="str">
        <f t="shared" si="252"/>
        <v>Mi</v>
      </c>
      <c r="V94" s="64" t="str">
        <f t="shared" si="253"/>
        <v>,</v>
      </c>
      <c r="W94" s="65" t="str">
        <f t="shared" si="254"/>
        <v>m</v>
      </c>
      <c r="X94" s="64" t="str">
        <f t="shared" si="255"/>
        <v>,</v>
      </c>
      <c r="Y94" s="64">
        <f t="shared" si="256"/>
        <v>250</v>
      </c>
      <c r="Z94" s="56" t="str">
        <f t="shared" si="257"/>
        <v>)</v>
      </c>
      <c r="AA94" s="66" t="str">
        <f t="shared" si="258"/>
        <v/>
      </c>
      <c r="AB94" s="57" t="str">
        <f t="shared" si="259"/>
        <v/>
      </c>
      <c r="AC94" s="67" t="str">
        <f t="shared" si="260"/>
        <v/>
      </c>
      <c r="AD94" s="59" t="str">
        <f t="shared" si="261"/>
        <v/>
      </c>
      <c r="AE94" s="68" t="str">
        <f t="shared" si="262"/>
        <v/>
      </c>
      <c r="AF94" s="61" t="str">
        <f t="shared" si="263"/>
        <v/>
      </c>
      <c r="AG94" s="61" t="str">
        <f t="shared" si="264"/>
        <v/>
      </c>
      <c r="AH94" s="69" t="str">
        <f t="shared" si="265"/>
        <v/>
      </c>
      <c r="AI94" s="70" t="str">
        <f t="shared" si="266"/>
        <v/>
      </c>
      <c r="AJ94" s="64" t="str">
        <f t="shared" si="267"/>
        <v/>
      </c>
      <c r="AK94" s="64" t="str">
        <f t="shared" si="268"/>
        <v/>
      </c>
      <c r="AL94" s="64" t="str">
        <f t="shared" si="269"/>
        <v/>
      </c>
      <c r="AM94" s="64" t="str">
        <f t="shared" si="270"/>
        <v/>
      </c>
      <c r="AN94" s="64" t="str">
        <f t="shared" si="271"/>
        <v/>
      </c>
    </row>
    <row r="95" spans="1:40" ht="27.75" thickTop="1" thickBot="1" x14ac:dyDescent="0.4">
      <c r="A95" s="73"/>
      <c r="B95" s="73"/>
      <c r="C95" s="73"/>
      <c r="D95" s="74"/>
      <c r="E95" s="74"/>
      <c r="F95" s="74"/>
      <c r="G95" s="74"/>
      <c r="H95" s="74"/>
      <c r="I95" s="74"/>
      <c r="J95" s="74"/>
      <c r="K95" s="74"/>
      <c r="L95" s="75" t="s">
        <v>993</v>
      </c>
      <c r="M95" s="56"/>
      <c r="N95" s="57"/>
      <c r="O95" s="58"/>
      <c r="P95" s="59"/>
      <c r="Q95" s="60"/>
      <c r="R95" s="61" t="str">
        <f t="shared" si="244"/>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thickTop="1" thickBot="1" x14ac:dyDescent="0.4">
      <c r="B96" t="s">
        <v>997</v>
      </c>
      <c r="C96" s="113" t="s">
        <v>1067</v>
      </c>
      <c r="D96" s="112" t="s">
        <v>1011</v>
      </c>
      <c r="E96" s="52" t="s">
        <v>1012</v>
      </c>
      <c r="F96" s="53"/>
      <c r="G96" s="53"/>
      <c r="H96" s="52"/>
      <c r="I96" s="52"/>
      <c r="J96" s="54"/>
      <c r="K96" s="54"/>
      <c r="L96" s="78" t="str">
        <f t="shared" si="139"/>
        <v xml:space="preserve">            { line: "LA LALALALALA, LA LALALALALA,, (Mi,m,20)", sC: "ta as"},</v>
      </c>
      <c r="M96" s="56" t="str">
        <f t="shared" si="140"/>
        <v>(</v>
      </c>
      <c r="N96" s="57" t="str">
        <f t="shared" si="2"/>
        <v>Mi</v>
      </c>
      <c r="O96" s="58" t="str">
        <f t="shared" si="141"/>
        <v>,</v>
      </c>
      <c r="P96" s="59" t="str">
        <f t="shared" si="4"/>
        <v>m</v>
      </c>
      <c r="Q96" s="60" t="str">
        <f t="shared" si="142"/>
        <v>,</v>
      </c>
      <c r="R96" s="61">
        <f t="shared" si="28"/>
        <v>20</v>
      </c>
      <c r="S96" s="56" t="str">
        <f t="shared" si="143"/>
        <v>)</v>
      </c>
      <c r="T96" s="62" t="str">
        <f t="shared" si="144"/>
        <v/>
      </c>
      <c r="U96" s="63" t="str">
        <f t="shared" si="8"/>
        <v/>
      </c>
      <c r="V96" s="64" t="str">
        <f t="shared" si="145"/>
        <v/>
      </c>
      <c r="W96" s="65" t="str">
        <f t="shared" si="10"/>
        <v/>
      </c>
      <c r="X96" s="64" t="str">
        <f t="shared" si="146"/>
        <v/>
      </c>
      <c r="Y96" s="64" t="str">
        <f t="shared" si="147"/>
        <v/>
      </c>
      <c r="Z96" s="56" t="str">
        <f t="shared" si="148"/>
        <v/>
      </c>
      <c r="AA96" s="66" t="str">
        <f t="shared" si="149"/>
        <v/>
      </c>
      <c r="AB96" s="57" t="str">
        <f t="shared" si="15"/>
        <v/>
      </c>
      <c r="AC96" s="67" t="str">
        <f t="shared" si="150"/>
        <v/>
      </c>
      <c r="AD96" s="59" t="str">
        <f t="shared" si="151"/>
        <v/>
      </c>
      <c r="AE96" s="68" t="str">
        <f t="shared" si="152"/>
        <v/>
      </c>
      <c r="AF96" s="61" t="str">
        <f t="shared" si="153"/>
        <v/>
      </c>
      <c r="AG96" s="61" t="str">
        <f t="shared" si="154"/>
        <v/>
      </c>
      <c r="AH96" s="69" t="str">
        <f t="shared" si="155"/>
        <v/>
      </c>
      <c r="AI96" s="70" t="str">
        <f t="shared" si="22"/>
        <v/>
      </c>
      <c r="AJ96" s="64" t="str">
        <f t="shared" si="156"/>
        <v/>
      </c>
      <c r="AK96" s="64" t="str">
        <f t="shared" si="157"/>
        <v/>
      </c>
      <c r="AL96" s="64" t="str">
        <f t="shared" si="158"/>
        <v/>
      </c>
      <c r="AM96" s="64" t="str">
        <f t="shared" si="159"/>
        <v/>
      </c>
      <c r="AN96" s="64" t="str">
        <f t="shared" si="160"/>
        <v/>
      </c>
    </row>
    <row r="97" spans="1:40" ht="25.5" thickTop="1" thickBot="1" x14ac:dyDescent="0.4">
      <c r="B97" t="s">
        <v>999</v>
      </c>
      <c r="C97" s="113" t="s">
        <v>1068</v>
      </c>
      <c r="D97" s="112" t="s">
        <v>1013</v>
      </c>
      <c r="E97" s="52" t="s">
        <v>1012</v>
      </c>
      <c r="F97" s="53" t="s">
        <v>1011</v>
      </c>
      <c r="G97" s="53" t="s">
        <v>1012</v>
      </c>
      <c r="H97" s="52"/>
      <c r="I97" s="52"/>
      <c r="J97" s="54"/>
      <c r="K97" s="54"/>
      <c r="L97" s="78" t="str">
        <f t="shared" si="139"/>
        <v xml:space="preserve">            { line: "LA LA LALALA., (La,m,20)(Mi,m,250)", sC: "as"},</v>
      </c>
      <c r="M97" s="56" t="str">
        <f t="shared" si="140"/>
        <v>(</v>
      </c>
      <c r="N97" s="57" t="str">
        <f t="shared" si="2"/>
        <v>La</v>
      </c>
      <c r="O97" s="58" t="str">
        <f t="shared" si="141"/>
        <v>,</v>
      </c>
      <c r="P97" s="59" t="str">
        <f t="shared" si="4"/>
        <v>m</v>
      </c>
      <c r="Q97" s="60" t="str">
        <f t="shared" si="142"/>
        <v>,</v>
      </c>
      <c r="R97" s="61">
        <f t="shared" si="28"/>
        <v>20</v>
      </c>
      <c r="S97" s="56" t="str">
        <f t="shared" si="143"/>
        <v>)</v>
      </c>
      <c r="T97" s="62" t="str">
        <f t="shared" si="144"/>
        <v>(</v>
      </c>
      <c r="U97" s="63" t="str">
        <f t="shared" si="8"/>
        <v>Mi</v>
      </c>
      <c r="V97" s="64" t="str">
        <f t="shared" si="145"/>
        <v>,</v>
      </c>
      <c r="W97" s="65" t="str">
        <f t="shared" si="10"/>
        <v>m</v>
      </c>
      <c r="X97" s="64" t="str">
        <f t="shared" si="146"/>
        <v>,</v>
      </c>
      <c r="Y97" s="64">
        <f t="shared" si="147"/>
        <v>250</v>
      </c>
      <c r="Z97" s="56" t="str">
        <f t="shared" si="148"/>
        <v>)</v>
      </c>
      <c r="AA97" s="66" t="str">
        <f t="shared" si="149"/>
        <v/>
      </c>
      <c r="AB97" s="57" t="str">
        <f t="shared" si="15"/>
        <v/>
      </c>
      <c r="AC97" s="67" t="str">
        <f t="shared" si="150"/>
        <v/>
      </c>
      <c r="AD97" s="59" t="str">
        <f t="shared" si="151"/>
        <v/>
      </c>
      <c r="AE97" s="68" t="str">
        <f t="shared" si="152"/>
        <v/>
      </c>
      <c r="AF97" s="61" t="str">
        <f t="shared" si="153"/>
        <v/>
      </c>
      <c r="AG97" s="61" t="str">
        <f t="shared" si="154"/>
        <v/>
      </c>
      <c r="AH97" s="69" t="str">
        <f t="shared" si="155"/>
        <v/>
      </c>
      <c r="AI97" s="70" t="str">
        <f t="shared" si="22"/>
        <v/>
      </c>
      <c r="AJ97" s="64" t="str">
        <f t="shared" si="156"/>
        <v/>
      </c>
      <c r="AK97" s="64" t="str">
        <f t="shared" si="157"/>
        <v/>
      </c>
      <c r="AL97" s="64" t="str">
        <f t="shared" si="158"/>
        <v/>
      </c>
      <c r="AM97" s="64" t="str">
        <f t="shared" si="159"/>
        <v/>
      </c>
      <c r="AN97" s="64" t="str">
        <f t="shared" si="160"/>
        <v/>
      </c>
    </row>
    <row r="98" spans="1:40" ht="25.5" thickTop="1" thickBot="1" x14ac:dyDescent="0.4">
      <c r="B98" t="s">
        <v>999</v>
      </c>
      <c r="C98" s="113" t="s">
        <v>1067</v>
      </c>
      <c r="D98" s="112"/>
      <c r="E98" s="52"/>
      <c r="F98" s="53"/>
      <c r="G98" s="53"/>
      <c r="H98" s="52"/>
      <c r="I98" s="52"/>
      <c r="J98" s="54"/>
      <c r="K98" s="54"/>
      <c r="L98" s="78" t="str">
        <f t="shared" si="139"/>
        <v xml:space="preserve">            { line: "LA LALALALALA, LA LALALALALA,, ", sC: "as"},</v>
      </c>
      <c r="M98" s="56" t="str">
        <f t="shared" si="140"/>
        <v/>
      </c>
      <c r="N98" s="57" t="str">
        <f t="shared" si="2"/>
        <v/>
      </c>
      <c r="O98" s="58" t="str">
        <f t="shared" si="141"/>
        <v/>
      </c>
      <c r="P98" s="59" t="str">
        <f t="shared" si="4"/>
        <v/>
      </c>
      <c r="Q98" s="60" t="str">
        <f t="shared" si="142"/>
        <v/>
      </c>
      <c r="R98" s="61" t="str">
        <f t="shared" si="28"/>
        <v/>
      </c>
      <c r="S98" s="56" t="str">
        <f t="shared" si="143"/>
        <v/>
      </c>
      <c r="T98" s="62" t="str">
        <f t="shared" si="144"/>
        <v/>
      </c>
      <c r="U98" s="63" t="str">
        <f t="shared" si="8"/>
        <v/>
      </c>
      <c r="V98" s="64" t="str">
        <f t="shared" si="145"/>
        <v/>
      </c>
      <c r="W98" s="65" t="str">
        <f t="shared" si="10"/>
        <v/>
      </c>
      <c r="X98" s="64" t="str">
        <f t="shared" si="146"/>
        <v/>
      </c>
      <c r="Y98" s="64" t="str">
        <f t="shared" si="147"/>
        <v/>
      </c>
      <c r="Z98" s="56" t="str">
        <f t="shared" si="148"/>
        <v/>
      </c>
      <c r="AA98" s="66" t="str">
        <f t="shared" si="149"/>
        <v/>
      </c>
      <c r="AB98" s="57" t="str">
        <f t="shared" si="15"/>
        <v/>
      </c>
      <c r="AC98" s="67" t="str">
        <f t="shared" si="150"/>
        <v/>
      </c>
      <c r="AD98" s="59" t="str">
        <f t="shared" si="151"/>
        <v/>
      </c>
      <c r="AE98" s="68" t="str">
        <f t="shared" si="152"/>
        <v/>
      </c>
      <c r="AF98" s="61" t="str">
        <f t="shared" si="153"/>
        <v/>
      </c>
      <c r="AG98" s="61" t="str">
        <f t="shared" si="154"/>
        <v/>
      </c>
      <c r="AH98" s="69" t="str">
        <f t="shared" si="155"/>
        <v/>
      </c>
      <c r="AI98" s="70" t="str">
        <f t="shared" si="22"/>
        <v/>
      </c>
      <c r="AJ98" s="64" t="str">
        <f t="shared" si="156"/>
        <v/>
      </c>
      <c r="AK98" s="64" t="str">
        <f t="shared" si="157"/>
        <v/>
      </c>
      <c r="AL98" s="64" t="str">
        <f t="shared" si="158"/>
        <v/>
      </c>
      <c r="AM98" s="64" t="str">
        <f t="shared" si="159"/>
        <v/>
      </c>
      <c r="AN98" s="64" t="str">
        <f t="shared" si="160"/>
        <v/>
      </c>
    </row>
    <row r="99" spans="1:40" ht="25.5" thickTop="1" thickBot="1" x14ac:dyDescent="0.4">
      <c r="B99" t="s">
        <v>999</v>
      </c>
      <c r="C99" s="113" t="s">
        <v>1068</v>
      </c>
      <c r="D99" s="112" t="s">
        <v>984</v>
      </c>
      <c r="E99" s="52">
        <v>7</v>
      </c>
      <c r="F99" s="53" t="s">
        <v>1011</v>
      </c>
      <c r="G99" s="53" t="s">
        <v>1012</v>
      </c>
      <c r="H99" s="52"/>
      <c r="I99" s="52"/>
      <c r="J99" s="54"/>
      <c r="K99" s="54"/>
      <c r="L99" s="55" t="str">
        <f t="shared" si="139"/>
        <v xml:space="preserve">            { line: "LA LA LALALA., (Si,7,20)(Mi,m,250)", sC: "as"},</v>
      </c>
      <c r="M99" s="56" t="str">
        <f t="shared" si="140"/>
        <v>(</v>
      </c>
      <c r="N99" s="57" t="str">
        <f t="shared" si="2"/>
        <v>Si</v>
      </c>
      <c r="O99" s="58" t="str">
        <f t="shared" si="141"/>
        <v>,</v>
      </c>
      <c r="P99" s="59">
        <f t="shared" si="4"/>
        <v>7</v>
      </c>
      <c r="Q99" s="60" t="str">
        <f t="shared" si="142"/>
        <v>,</v>
      </c>
      <c r="R99" s="61">
        <f t="shared" si="28"/>
        <v>20</v>
      </c>
      <c r="S99" s="56" t="str">
        <f t="shared" si="143"/>
        <v>)</v>
      </c>
      <c r="T99" s="62" t="str">
        <f t="shared" si="144"/>
        <v>(</v>
      </c>
      <c r="U99" s="63" t="str">
        <f t="shared" si="8"/>
        <v>Mi</v>
      </c>
      <c r="V99" s="64" t="str">
        <f t="shared" si="145"/>
        <v>,</v>
      </c>
      <c r="W99" s="65" t="str">
        <f t="shared" si="10"/>
        <v>m</v>
      </c>
      <c r="X99" s="64" t="str">
        <f t="shared" si="146"/>
        <v>,</v>
      </c>
      <c r="Y99" s="64">
        <f t="shared" si="147"/>
        <v>250</v>
      </c>
      <c r="Z99" s="56" t="str">
        <f t="shared" si="148"/>
        <v>)</v>
      </c>
      <c r="AA99" s="66" t="str">
        <f t="shared" si="149"/>
        <v/>
      </c>
      <c r="AB99" s="57" t="str">
        <f t="shared" si="15"/>
        <v/>
      </c>
      <c r="AC99" s="67" t="str">
        <f t="shared" si="150"/>
        <v/>
      </c>
      <c r="AD99" s="59" t="str">
        <f t="shared" si="151"/>
        <v/>
      </c>
      <c r="AE99" s="68" t="str">
        <f t="shared" si="152"/>
        <v/>
      </c>
      <c r="AF99" s="61" t="str">
        <f t="shared" si="153"/>
        <v/>
      </c>
      <c r="AG99" s="61" t="str">
        <f t="shared" si="154"/>
        <v/>
      </c>
      <c r="AH99" s="69" t="str">
        <f t="shared" si="155"/>
        <v/>
      </c>
      <c r="AI99" s="70" t="str">
        <f t="shared" si="22"/>
        <v/>
      </c>
      <c r="AJ99" s="64" t="str">
        <f t="shared" si="156"/>
        <v/>
      </c>
      <c r="AK99" s="64" t="str">
        <f t="shared" si="157"/>
        <v/>
      </c>
      <c r="AL99" s="64" t="str">
        <f t="shared" si="158"/>
        <v/>
      </c>
      <c r="AM99" s="64" t="str">
        <f t="shared" si="159"/>
        <v/>
      </c>
      <c r="AN99" s="64" t="str">
        <f t="shared" si="160"/>
        <v/>
      </c>
    </row>
    <row r="100" spans="1:40" ht="24" customHeight="1" thickTop="1" x14ac:dyDescent="0.4">
      <c r="A100" s="95"/>
      <c r="B100" s="95"/>
      <c r="C100" s="95"/>
      <c r="D100" s="95"/>
      <c r="E100" s="95"/>
      <c r="F100" s="95"/>
      <c r="G100" s="95"/>
      <c r="H100" s="95"/>
      <c r="I100" s="95"/>
      <c r="J100" s="95"/>
      <c r="K100" s="95"/>
      <c r="L100" s="99" t="str">
        <f ca="1">_xlfn.CONCAT("]}, // ULTIMA LINEA DEL CANTO: ",L1)</f>
        <v>]}, // ULTIMA LINEA DEL CANTO: POR EL AMOR DE MIS AMIGOS</v>
      </c>
      <c r="M100" s="95"/>
    </row>
    <row r="101" spans="1:40" ht="20.25" x14ac:dyDescent="0.25">
      <c r="L101" s="100" t="s">
        <v>1008</v>
      </c>
      <c r="M101" s="101"/>
    </row>
    <row r="102" spans="1:40" x14ac:dyDescent="0.25">
      <c r="M10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133</v>
      </c>
      <c r="E1" s="40"/>
      <c r="F1" s="40"/>
      <c r="G1" s="40"/>
      <c r="H1" s="40"/>
      <c r="I1" s="40"/>
      <c r="J1" s="40"/>
      <c r="K1" s="40"/>
      <c r="L1" s="41" t="str">
        <f ca="1">UPPER(VLOOKUP(C1,Table223[],3,FALSE))</f>
        <v>POR QUÉ ESTA NOCHE ES DIFERENTE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ESTA NOCHE ES DIFERENTE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porqueestanocheesdiferente</v>
      </c>
      <c r="L7" s="48" t="str">
        <f ca="1">_xlfn.CONCAT("        id: ","""",C7,"""",",")</f>
        <v xml:space="preserve">        id: "porqueestanocheesdiferente",</v>
      </c>
    </row>
    <row r="8" spans="2:32" ht="23.25" x14ac:dyDescent="0.25">
      <c r="C8" t="str">
        <f ca="1">PROPER(L1)</f>
        <v>Por Qué Esta Noche Es Diferente</v>
      </c>
      <c r="L8" s="48" t="str">
        <f ca="1">_xlfn.CONCAT("        tt: ","""",C8,"""",",")</f>
        <v xml:space="preserve">        tt: "Por Qué Esta Noche Es Diferente",</v>
      </c>
    </row>
    <row r="9" spans="2:32" ht="23.25" x14ac:dyDescent="0.25">
      <c r="C9" t="str">
        <f ca="1">PROPER(L1)</f>
        <v>Por Qué Esta Noche Es Diferente</v>
      </c>
      <c r="L9" s="48" t="str">
        <f ca="1">_xlfn.CONCAT("        title: ","""",C9,"""",",")</f>
        <v xml:space="preserve">        title: "Por Qué Esta Noche Es Diferente",</v>
      </c>
    </row>
    <row r="10" spans="2:32" ht="23.25" x14ac:dyDescent="0.25">
      <c r="C10" t="str">
        <f ca="1">VLOOKUP(C1,Table223[],4,FALSE)</f>
        <v>Haggadá de Pesaj - Melodía hebraica</v>
      </c>
      <c r="L10" s="48" t="str">
        <f ca="1">_xlfn.CONCAT("        ","subtitle: ","""",C10,"""",",")</f>
        <v xml:space="preserve">        subtitle: "Haggadá de Pesaj - Melodía hebraica",</v>
      </c>
    </row>
    <row r="11" spans="2:32" ht="23.25" x14ac:dyDescent="0.25">
      <c r="C11" t="str">
        <f ca="1">_xlfn.CONCAT("category: [",VLOOKUP(C1,Table223[],16,FALSE),"],")</f>
        <v>category: ["Precatecumenado","Pascua","Pentecostés","Niños"],</v>
      </c>
      <c r="L11" s="48" t="str">
        <f ca="1">_xlfn.CONCAT("        ",C11)</f>
        <v xml:space="preserve">        category: ["Precatecumenado","Pascua","Pentecostés","Niños"],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133</v>
      </c>
      <c r="L16" s="48" t="str">
        <f ca="1">_xlfn.CONCAT("        dbno: ","""",C16,"""",",")</f>
        <v xml:space="preserve">        dbno: "133",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porqueestanocheesdiferente</v>
      </c>
      <c r="L19" s="48" t="str">
        <f ca="1">_xlfn.CONCAT("        audioSrc: ","""/audio/",C19,".mp3""",",")</f>
        <v xml:space="preserve">        audioSrc: "/audio/porqueestanocheesdiferente.mp3",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132</v>
      </c>
      <c r="C26" t="str">
        <f ca="1">VLOOKUP(B26,Table4[],13,FALSE)</f>
        <v>"/resucito/src/index.html?canto=porelamordemisamigos"</v>
      </c>
      <c r="L26" s="48" t="str">
        <f ca="1">_xlfn.CONCAT("        ant: ",C26,",")</f>
        <v xml:space="preserve">        ant: "/resucito/src/index.html?canto=porelamordemisamigos",</v>
      </c>
    </row>
    <row r="27" spans="1:40" ht="23.25" x14ac:dyDescent="0.25">
      <c r="B27">
        <f ca="1">+C1+1</f>
        <v>134</v>
      </c>
      <c r="C27" t="str">
        <f ca="1">VLOOKUP(B27,Table4[],13,FALSE)</f>
        <v>"/resucito/src/index.html?canto=porquelasgentesconjuran"</v>
      </c>
      <c r="L27" s="48" t="str">
        <f ca="1">_xlfn.CONCAT("        sig: ",C27,",")</f>
        <v xml:space="preserve">        sig: "/resucito/src/index.html?canto=porquelasgentesconjuran",</v>
      </c>
    </row>
    <row r="28" spans="1:40" ht="23.25" x14ac:dyDescent="0.25">
      <c r="L28" s="46" t="s">
        <v>991</v>
      </c>
    </row>
    <row r="29" spans="1:40" ht="36" thickBot="1" x14ac:dyDescent="0.3">
      <c r="A29" s="49"/>
      <c r="B29" s="49"/>
      <c r="C29" s="49" t="s">
        <v>1046</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1046</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POR QUÉ ESTA NOCHE ES DIFERENTE</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134</v>
      </c>
      <c r="E1" s="40"/>
      <c r="F1" s="40"/>
      <c r="G1" s="40"/>
      <c r="H1" s="40"/>
      <c r="I1" s="40"/>
      <c r="J1" s="40"/>
      <c r="K1" s="40"/>
      <c r="L1" s="41" t="str">
        <f ca="1">UPPER(VLOOKUP(C1,Table223[],3,FALSE))</f>
        <v>POR QUÉ LAS GENTES CONJURAN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LAS GENTES CONJURAN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porquelasgentesconjuran</v>
      </c>
      <c r="L7" s="48" t="str">
        <f ca="1">_xlfn.CONCAT("        id: ","""",C7,"""",",")</f>
        <v xml:space="preserve">        id: "porquelasgentesconjuran",</v>
      </c>
    </row>
    <row r="8" spans="2:32" ht="23.25" x14ac:dyDescent="0.25">
      <c r="C8" t="str">
        <f ca="1">PROPER(L1)</f>
        <v>Por Qué Las Gentes Conjuran</v>
      </c>
      <c r="L8" s="48" t="str">
        <f ca="1">_xlfn.CONCAT("        tt: ","""",C8,"""",",")</f>
        <v xml:space="preserve">        tt: "Por Qué Las Gentes Conjuran",</v>
      </c>
    </row>
    <row r="9" spans="2:32" ht="23.25" x14ac:dyDescent="0.25">
      <c r="C9" t="str">
        <f ca="1">PROPER(L1)</f>
        <v>Por Qué Las Gentes Conjuran</v>
      </c>
      <c r="L9" s="48" t="str">
        <f ca="1">_xlfn.CONCAT("        title: ","""",C9,"""",",")</f>
        <v xml:space="preserve">        title: "Por Qué Las Gentes Conjuran",</v>
      </c>
    </row>
    <row r="10" spans="2:32" ht="23.25" x14ac:dyDescent="0.25">
      <c r="C10" t="str">
        <f ca="1">VLOOKUP(C1,Table223[],4,FALSE)</f>
        <v>Salmo 2</v>
      </c>
      <c r="L10" s="48" t="str">
        <f ca="1">_xlfn.CONCAT("        ","subtitle: ","""",C10,"""",",")</f>
        <v xml:space="preserve">        subtitle: "Salmo 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134</v>
      </c>
      <c r="L16" s="48" t="str">
        <f ca="1">_xlfn.CONCAT("        dbno: ","""",C16,"""",",")</f>
        <v xml:space="preserve">        dbno: "134",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porquelasgentesconjuran</v>
      </c>
      <c r="L19" s="48" t="str">
        <f ca="1">_xlfn.CONCAT("        audioSrc: ","""/audio/",C19,".mp3""",",")</f>
        <v xml:space="preserve">        audioSrc: "/audio/porquelasgentesconjuran.mp3",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133</v>
      </c>
      <c r="C26" t="str">
        <f ca="1">VLOOKUP(B26,Table4[],13,FALSE)</f>
        <v>"/resucito/src/index.html?canto=porqueestanocheesdiferente"</v>
      </c>
      <c r="L26" s="48" t="str">
        <f ca="1">_xlfn.CONCAT("        ant: ",C26,",")</f>
        <v xml:space="preserve">        ant: "/resucito/src/index.html?canto=porqueestanocheesdiferente",</v>
      </c>
    </row>
    <row r="27" spans="1:40" ht="23.25" x14ac:dyDescent="0.25">
      <c r="B27">
        <f ca="1">+C1+1</f>
        <v>135</v>
      </c>
      <c r="C27" t="str">
        <f ca="1">VLOOKUP(B27,Table4[],13,FALSE)</f>
        <v>"/resucito/src/index.html?canto=porquemiyugoessuave"</v>
      </c>
      <c r="L27" s="48" t="str">
        <f ca="1">_xlfn.CONCAT("        sig: ",C27,",")</f>
        <v xml:space="preserve">        sig: "/resucito/src/index.html?canto=porquemiyugoessuave",</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POR QUÉ LAS GENTES CONJURAN</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POR EL AMOR DE MIS AMIGOS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2025-09-15T17:30:31Z</dcterms:modified>
</cp:coreProperties>
</file>