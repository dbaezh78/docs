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E954BD4-C711-45FE-806F-1948399AFAE8}" xr6:coauthVersionLast="47" xr6:coauthVersionMax="47" xr10:uidLastSave="{00000000-0000-0000-0000-000000000000}"/>
  <bookViews>
    <workbookView xWindow="-120" yWindow="-120" windowWidth="51840" windowHeight="21120" tabRatio="693" firstSheet="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TÚ QUE ERES FIEL" sheetId="78"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6" i="78" l="1"/>
  <c r="AK75" i="78"/>
  <c r="AI75" i="78"/>
  <c r="AN75" i="78" s="1"/>
  <c r="AD75" i="78"/>
  <c r="AB75" i="78"/>
  <c r="AG75" i="78" s="1"/>
  <c r="W75" i="78"/>
  <c r="U75" i="78"/>
  <c r="Y75" i="78" s="1"/>
  <c r="R75" i="78"/>
  <c r="Q75" i="78"/>
  <c r="P75" i="78"/>
  <c r="N75" i="78"/>
  <c r="O75" i="78" s="1"/>
  <c r="AN74" i="78"/>
  <c r="AL74" i="78"/>
  <c r="AK74" i="78"/>
  <c r="AJ74" i="78"/>
  <c r="AI74" i="78"/>
  <c r="AM74" i="78" s="1"/>
  <c r="AH74" i="78"/>
  <c r="AD74" i="78"/>
  <c r="AB74" i="78"/>
  <c r="AC74" i="78" s="1"/>
  <c r="Z74" i="78"/>
  <c r="Y74" i="78"/>
  <c r="W74" i="78"/>
  <c r="U74" i="78"/>
  <c r="X74" i="78" s="1"/>
  <c r="R74" i="78"/>
  <c r="Q74" i="78"/>
  <c r="P74" i="78"/>
  <c r="N74" i="78"/>
  <c r="M74" i="78" s="1"/>
  <c r="AK73" i="78"/>
  <c r="AI73" i="78"/>
  <c r="AH73" i="78" s="1"/>
  <c r="AD73" i="78"/>
  <c r="AB73" i="78"/>
  <c r="AA73" i="78" s="1"/>
  <c r="W73" i="78"/>
  <c r="U73" i="78"/>
  <c r="Z73" i="78" s="1"/>
  <c r="T73" i="78"/>
  <c r="P73" i="78"/>
  <c r="N73" i="78"/>
  <c r="S73" i="78" s="1"/>
  <c r="AL72" i="78"/>
  <c r="AK72" i="78"/>
  <c r="AJ72" i="78"/>
  <c r="AI72" i="78"/>
  <c r="AN72" i="78" s="1"/>
  <c r="AH72" i="78"/>
  <c r="AG72" i="78"/>
  <c r="AD72" i="78"/>
  <c r="AB72" i="78"/>
  <c r="AF72" i="78" s="1"/>
  <c r="W72" i="78"/>
  <c r="U72" i="78"/>
  <c r="V72" i="78" s="1"/>
  <c r="T72" i="78"/>
  <c r="P72" i="78"/>
  <c r="N72" i="78"/>
  <c r="O72" i="78" s="1"/>
  <c r="R71" i="78"/>
  <c r="R66" i="78"/>
  <c r="AK65" i="78"/>
  <c r="AI65" i="78"/>
  <c r="AN65" i="78" s="1"/>
  <c r="AD65" i="78"/>
  <c r="AB65" i="78"/>
  <c r="AG65" i="78" s="1"/>
  <c r="AA65" i="78"/>
  <c r="W65" i="78"/>
  <c r="U65" i="78"/>
  <c r="Y65" i="78" s="1"/>
  <c r="P65" i="78"/>
  <c r="N65" i="78"/>
  <c r="O65" i="78" s="1"/>
  <c r="M65" i="78"/>
  <c r="AK64" i="78"/>
  <c r="AI64" i="78"/>
  <c r="AJ64" i="78" s="1"/>
  <c r="AD64" i="78"/>
  <c r="AB64" i="78"/>
  <c r="AC64" i="78" s="1"/>
  <c r="Z64" i="78"/>
  <c r="W64" i="78"/>
  <c r="U64" i="78"/>
  <c r="Y64" i="78" s="1"/>
  <c r="P64" i="78"/>
  <c r="N64" i="78"/>
  <c r="M64" i="78" s="1"/>
  <c r="AK63" i="78"/>
  <c r="AI63" i="78"/>
  <c r="AH63" i="78" s="1"/>
  <c r="AD63" i="78"/>
  <c r="AB63" i="78"/>
  <c r="AC63" i="78" s="1"/>
  <c r="W63" i="78"/>
  <c r="U63" i="78"/>
  <c r="Z63" i="78" s="1"/>
  <c r="P63" i="78"/>
  <c r="N63" i="78"/>
  <c r="S63" i="78" s="1"/>
  <c r="AK62" i="78"/>
  <c r="AI62" i="78"/>
  <c r="AN62" i="78" s="1"/>
  <c r="AH62" i="78"/>
  <c r="AD62" i="78"/>
  <c r="AB62" i="78"/>
  <c r="AF62" i="78" s="1"/>
  <c r="W62" i="78"/>
  <c r="U62" i="78"/>
  <c r="Y62" i="78" s="1"/>
  <c r="P62" i="78"/>
  <c r="N62" i="78"/>
  <c r="O62" i="78" s="1"/>
  <c r="R61" i="78"/>
  <c r="N67" i="78"/>
  <c r="M67" i="78" s="1"/>
  <c r="P67" i="78"/>
  <c r="U67" i="78"/>
  <c r="X67" i="78" s="1"/>
  <c r="W67" i="78"/>
  <c r="AB67" i="78"/>
  <c r="AF67" i="78" s="1"/>
  <c r="AC67" i="78"/>
  <c r="AD67" i="78"/>
  <c r="AI67" i="78"/>
  <c r="AM67" i="78" s="1"/>
  <c r="AJ67" i="78"/>
  <c r="AK67" i="78"/>
  <c r="N68" i="78"/>
  <c r="S68" i="78" s="1"/>
  <c r="O68" i="78"/>
  <c r="P68" i="78"/>
  <c r="U68" i="78"/>
  <c r="T68" i="78" s="1"/>
  <c r="W68" i="78"/>
  <c r="AB68" i="78"/>
  <c r="AE68" i="78" s="1"/>
  <c r="AD68" i="78"/>
  <c r="AI68" i="78"/>
  <c r="AJ68" i="78" s="1"/>
  <c r="AK68" i="78"/>
  <c r="N69" i="78"/>
  <c r="O69" i="78" s="1"/>
  <c r="P69" i="78"/>
  <c r="U69" i="78"/>
  <c r="V69" i="78" s="1"/>
  <c r="W69" i="78"/>
  <c r="AB69" i="78"/>
  <c r="AE69" i="78" s="1"/>
  <c r="AD69" i="78"/>
  <c r="AI69" i="78"/>
  <c r="AL69" i="78" s="1"/>
  <c r="AJ69" i="78"/>
  <c r="AK69" i="78"/>
  <c r="AK55" i="78"/>
  <c r="AI55" i="78"/>
  <c r="AN55" i="78" s="1"/>
  <c r="AD55" i="78"/>
  <c r="AB55" i="78"/>
  <c r="AG55" i="78" s="1"/>
  <c r="W55" i="78"/>
  <c r="U55" i="78"/>
  <c r="Y55" i="78" s="1"/>
  <c r="P55" i="78"/>
  <c r="N55" i="78"/>
  <c r="O55" i="78" s="1"/>
  <c r="AK54" i="78"/>
  <c r="AI54" i="78"/>
  <c r="AJ54" i="78" s="1"/>
  <c r="AD54" i="78"/>
  <c r="AB54" i="78"/>
  <c r="AC54" i="78" s="1"/>
  <c r="W54" i="78"/>
  <c r="U54" i="78"/>
  <c r="Z54" i="78" s="1"/>
  <c r="P54" i="78"/>
  <c r="N54" i="78"/>
  <c r="M54" i="78" s="1"/>
  <c r="AK53" i="78"/>
  <c r="AI53" i="78"/>
  <c r="AH53" i="78" s="1"/>
  <c r="AD53" i="78"/>
  <c r="AB53" i="78"/>
  <c r="AC53" i="78" s="1"/>
  <c r="W53" i="78"/>
  <c r="U53" i="78"/>
  <c r="V53" i="78" s="1"/>
  <c r="P53" i="78"/>
  <c r="N53" i="78"/>
  <c r="S53" i="78" s="1"/>
  <c r="AK52" i="78"/>
  <c r="AI52" i="78"/>
  <c r="AN52" i="78" s="1"/>
  <c r="AD52" i="78"/>
  <c r="AB52" i="78"/>
  <c r="AF52" i="78" s="1"/>
  <c r="X52" i="78"/>
  <c r="W52" i="78"/>
  <c r="V52" i="78"/>
  <c r="U52" i="78"/>
  <c r="Z52" i="78" s="1"/>
  <c r="P52" i="78"/>
  <c r="N52" i="78"/>
  <c r="O52" i="78" s="1"/>
  <c r="R51" i="78"/>
  <c r="R36" i="78"/>
  <c r="R46" i="78"/>
  <c r="AK45" i="78"/>
  <c r="AI45" i="78"/>
  <c r="AD45" i="78"/>
  <c r="AB45" i="78"/>
  <c r="AA45" i="78" s="1"/>
  <c r="W45" i="78"/>
  <c r="U45" i="78"/>
  <c r="Y45" i="78" s="1"/>
  <c r="P45" i="78"/>
  <c r="N45" i="78"/>
  <c r="O45" i="78" s="1"/>
  <c r="AK44" i="78"/>
  <c r="AI44" i="78"/>
  <c r="AH44" i="78" s="1"/>
  <c r="AD44" i="78"/>
  <c r="AB44" i="78"/>
  <c r="W44" i="78"/>
  <c r="U44" i="78"/>
  <c r="T44" i="78" s="1"/>
  <c r="P44" i="78"/>
  <c r="N44" i="78"/>
  <c r="R44" i="78" s="1"/>
  <c r="AK43" i="78"/>
  <c r="AI43" i="78"/>
  <c r="AM43" i="78" s="1"/>
  <c r="AD43" i="78"/>
  <c r="AB43" i="78"/>
  <c r="AE43" i="78" s="1"/>
  <c r="W43" i="78"/>
  <c r="U43" i="78"/>
  <c r="V43" i="78" s="1"/>
  <c r="P43" i="78"/>
  <c r="N43" i="78"/>
  <c r="O43" i="78" s="1"/>
  <c r="AK42" i="78"/>
  <c r="AI42" i="78"/>
  <c r="AJ42" i="78" s="1"/>
  <c r="AD42" i="78"/>
  <c r="AB42" i="78"/>
  <c r="AA42" i="78" s="1"/>
  <c r="W42" i="78"/>
  <c r="U42" i="78"/>
  <c r="T42" i="78" s="1"/>
  <c r="P42" i="78"/>
  <c r="N42" i="78"/>
  <c r="O42" i="78" s="1"/>
  <c r="R41" i="78"/>
  <c r="AK70" i="78"/>
  <c r="AI70" i="78"/>
  <c r="AH70" i="78" s="1"/>
  <c r="AD70" i="78"/>
  <c r="AB70" i="78"/>
  <c r="AF70" i="78" s="1"/>
  <c r="W70" i="78"/>
  <c r="U70" i="78"/>
  <c r="P70" i="78"/>
  <c r="N70" i="78"/>
  <c r="M70" i="78" s="1"/>
  <c r="AK60" i="78"/>
  <c r="AI60" i="78"/>
  <c r="AN60" i="78" s="1"/>
  <c r="AD60" i="78"/>
  <c r="AB60" i="78"/>
  <c r="AC60" i="78" s="1"/>
  <c r="W60" i="78"/>
  <c r="U60" i="78"/>
  <c r="Z60" i="78" s="1"/>
  <c r="P60" i="78"/>
  <c r="N60" i="78"/>
  <c r="Q60" i="78" s="1"/>
  <c r="AK59" i="78"/>
  <c r="AI59" i="78"/>
  <c r="AN59" i="78" s="1"/>
  <c r="AD59" i="78"/>
  <c r="AB59" i="78"/>
  <c r="AA59" i="78" s="1"/>
  <c r="W59" i="78"/>
  <c r="U59" i="78"/>
  <c r="T59" i="78" s="1"/>
  <c r="P59" i="78"/>
  <c r="N59" i="78"/>
  <c r="M59" i="78" s="1"/>
  <c r="AK58" i="78"/>
  <c r="AI58" i="78"/>
  <c r="AH58" i="78" s="1"/>
  <c r="AD58" i="78"/>
  <c r="AB58" i="78"/>
  <c r="AE58" i="78" s="1"/>
  <c r="W58" i="78"/>
  <c r="U58" i="78"/>
  <c r="T58" i="78" s="1"/>
  <c r="P58" i="78"/>
  <c r="N58" i="78"/>
  <c r="M58" i="78" s="1"/>
  <c r="AK57" i="78"/>
  <c r="AI57" i="78"/>
  <c r="AJ57" i="78" s="1"/>
  <c r="AD57" i="78"/>
  <c r="AB57" i="78"/>
  <c r="AG57" i="78" s="1"/>
  <c r="W57" i="78"/>
  <c r="U57" i="78"/>
  <c r="Z57" i="78" s="1"/>
  <c r="P57" i="78"/>
  <c r="N57" i="78"/>
  <c r="M57" i="78" s="1"/>
  <c r="R56" i="78"/>
  <c r="AK50" i="78"/>
  <c r="AI50" i="78"/>
  <c r="AJ50" i="78" s="1"/>
  <c r="AD50" i="78"/>
  <c r="AB50" i="78"/>
  <c r="AC50" i="78" s="1"/>
  <c r="W50" i="78"/>
  <c r="U50" i="78"/>
  <c r="Z50" i="78" s="1"/>
  <c r="P50" i="78"/>
  <c r="N50" i="78"/>
  <c r="Q50" i="78" s="1"/>
  <c r="AK49" i="78"/>
  <c r="AI49" i="78"/>
  <c r="AD49" i="78"/>
  <c r="AB49" i="78"/>
  <c r="AE49" i="78" s="1"/>
  <c r="W49" i="78"/>
  <c r="U49" i="78"/>
  <c r="V49" i="78" s="1"/>
  <c r="P49" i="78"/>
  <c r="N49" i="78"/>
  <c r="S49" i="78" s="1"/>
  <c r="AK48" i="78"/>
  <c r="AI48" i="78"/>
  <c r="AH48" i="78" s="1"/>
  <c r="AD48" i="78"/>
  <c r="AB48" i="78"/>
  <c r="AG48" i="78" s="1"/>
  <c r="W48" i="78"/>
  <c r="U48" i="78"/>
  <c r="V48" i="78" s="1"/>
  <c r="P48" i="78"/>
  <c r="N48" i="78"/>
  <c r="O48" i="78" s="1"/>
  <c r="AK47" i="78"/>
  <c r="AI47" i="78"/>
  <c r="AJ47" i="78" s="1"/>
  <c r="AD47" i="78"/>
  <c r="AB47" i="78"/>
  <c r="AG47" i="78" s="1"/>
  <c r="W47" i="78"/>
  <c r="U47" i="78"/>
  <c r="P47" i="78"/>
  <c r="N47" i="78"/>
  <c r="Q47" i="78" s="1"/>
  <c r="AK40" i="78"/>
  <c r="AI40" i="78"/>
  <c r="AL40" i="78" s="1"/>
  <c r="AD40" i="78"/>
  <c r="AB40" i="78"/>
  <c r="AA40" i="78" s="1"/>
  <c r="W40" i="78"/>
  <c r="U40" i="78"/>
  <c r="Y40" i="78" s="1"/>
  <c r="P40" i="78"/>
  <c r="N40" i="78"/>
  <c r="S40" i="78" s="1"/>
  <c r="AK39" i="78"/>
  <c r="AI39" i="78"/>
  <c r="AD39" i="78"/>
  <c r="AB39" i="78"/>
  <c r="AE39" i="78" s="1"/>
  <c r="W39" i="78"/>
  <c r="U39" i="78"/>
  <c r="Z39" i="78" s="1"/>
  <c r="P39" i="78"/>
  <c r="N39" i="78"/>
  <c r="S39" i="78" s="1"/>
  <c r="AK38" i="78"/>
  <c r="AI38" i="78"/>
  <c r="AH38" i="78" s="1"/>
  <c r="AD38" i="78"/>
  <c r="AB38" i="78"/>
  <c r="AE38" i="78" s="1"/>
  <c r="W38" i="78"/>
  <c r="U38" i="78"/>
  <c r="T38" i="78" s="1"/>
  <c r="P38" i="78"/>
  <c r="N38" i="78"/>
  <c r="O38" i="78" s="1"/>
  <c r="AK37" i="78"/>
  <c r="AI37" i="78"/>
  <c r="AJ37" i="78" s="1"/>
  <c r="AD37" i="78"/>
  <c r="AB37" i="78"/>
  <c r="AG37" i="78" s="1"/>
  <c r="W37" i="78"/>
  <c r="U37" i="78"/>
  <c r="X37" i="78" s="1"/>
  <c r="P37" i="78"/>
  <c r="N37" i="78"/>
  <c r="Q37" i="78" s="1"/>
  <c r="AK35" i="78"/>
  <c r="AI35" i="78"/>
  <c r="AL35" i="78" s="1"/>
  <c r="AD35" i="78"/>
  <c r="AB35" i="78"/>
  <c r="AC35" i="78" s="1"/>
  <c r="W35" i="78"/>
  <c r="U35" i="78"/>
  <c r="X35" i="78" s="1"/>
  <c r="P35" i="78"/>
  <c r="N35" i="78"/>
  <c r="M35" i="78" s="1"/>
  <c r="AK34" i="78"/>
  <c r="AI34" i="78"/>
  <c r="AH34" i="78" s="1"/>
  <c r="AD34" i="78"/>
  <c r="AB34" i="78"/>
  <c r="AE34" i="78" s="1"/>
  <c r="W34" i="78"/>
  <c r="U34" i="78"/>
  <c r="Z34" i="78" s="1"/>
  <c r="P34" i="78"/>
  <c r="N34" i="78"/>
  <c r="S34" i="78" s="1"/>
  <c r="AK33" i="78"/>
  <c r="AI33" i="78"/>
  <c r="AN33" i="78" s="1"/>
  <c r="AD33" i="78"/>
  <c r="AB33" i="78"/>
  <c r="AE33" i="78" s="1"/>
  <c r="W33" i="78"/>
  <c r="U33" i="78"/>
  <c r="X33" i="78" s="1"/>
  <c r="P33" i="78"/>
  <c r="N33" i="78"/>
  <c r="O33" i="78" s="1"/>
  <c r="AK31" i="78"/>
  <c r="AI31" i="78"/>
  <c r="AJ31" i="78" s="1"/>
  <c r="AD31" i="78"/>
  <c r="AB31" i="78"/>
  <c r="AF31" i="78" s="1"/>
  <c r="W31" i="78"/>
  <c r="U31" i="78"/>
  <c r="T31" i="78" s="1"/>
  <c r="P31" i="78"/>
  <c r="N31" i="78"/>
  <c r="O31" i="78" s="1"/>
  <c r="AK30" i="78"/>
  <c r="AI30" i="78"/>
  <c r="AH30" i="78" s="1"/>
  <c r="AD30" i="78"/>
  <c r="AB30" i="78"/>
  <c r="AG30" i="78" s="1"/>
  <c r="W30" i="78"/>
  <c r="U30" i="78"/>
  <c r="Y30" i="78" s="1"/>
  <c r="P30" i="78"/>
  <c r="N30" i="78"/>
  <c r="Q30" i="78" s="1"/>
  <c r="R32" i="78"/>
  <c r="L18" i="78"/>
  <c r="L17" i="78"/>
  <c r="L15" i="78"/>
  <c r="L14" i="78"/>
  <c r="L13" i="78"/>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78" a="1"/>
  <c r="AC75" i="78" l="1"/>
  <c r="AJ73" i="78"/>
  <c r="AA54" i="78"/>
  <c r="AH64" i="78"/>
  <c r="Q73" i="78"/>
  <c r="T74" i="78"/>
  <c r="S75" i="78"/>
  <c r="AE75" i="78"/>
  <c r="AL67" i="78"/>
  <c r="V67" i="78"/>
  <c r="X72" i="78"/>
  <c r="AL73" i="78"/>
  <c r="AE74" i="78"/>
  <c r="AH75" i="78"/>
  <c r="AA62" i="78"/>
  <c r="T64" i="78"/>
  <c r="Y72" i="78"/>
  <c r="AM73" i="78"/>
  <c r="V74" i="78"/>
  <c r="AF74" i="78"/>
  <c r="M75" i="78"/>
  <c r="X68" i="78"/>
  <c r="AL64" i="78"/>
  <c r="Q72" i="78"/>
  <c r="Z72" i="78"/>
  <c r="Z75" i="78"/>
  <c r="O73" i="78"/>
  <c r="R69" i="78"/>
  <c r="AN64" i="78"/>
  <c r="R72" i="78"/>
  <c r="M73" i="78"/>
  <c r="O74" i="78"/>
  <c r="AA75" i="78"/>
  <c r="AC73" i="78"/>
  <c r="T69" i="78"/>
  <c r="AA52" i="78"/>
  <c r="S69" i="78"/>
  <c r="Y68" i="78"/>
  <c r="R62" i="78"/>
  <c r="AA63" i="78"/>
  <c r="S72" i="78"/>
  <c r="AA72" i="78"/>
  <c r="V73" i="78"/>
  <c r="AG74" i="78"/>
  <c r="T75" i="78"/>
  <c r="AJ75" i="78"/>
  <c r="R47" i="78"/>
  <c r="X54" i="78"/>
  <c r="S62" i="78"/>
  <c r="AE73" i="78"/>
  <c r="T62" i="78"/>
  <c r="Q64" i="78"/>
  <c r="M72" i="78"/>
  <c r="AC72" i="78"/>
  <c r="X73" i="78"/>
  <c r="AF73" i="78"/>
  <c r="AN73" i="78"/>
  <c r="S74" i="78"/>
  <c r="AA74" i="78"/>
  <c r="V75" i="78"/>
  <c r="AL75" i="78"/>
  <c r="AE63" i="78"/>
  <c r="Y73" i="78"/>
  <c r="AG73" i="78"/>
  <c r="AM75" i="78"/>
  <c r="R68" i="78"/>
  <c r="AF63" i="78"/>
  <c r="AE72" i="78"/>
  <c r="AM72" i="78"/>
  <c r="R73" i="78"/>
  <c r="X75" i="78"/>
  <c r="AF75" i="78"/>
  <c r="AH54" i="78"/>
  <c r="Q68" i="78"/>
  <c r="Z62" i="78"/>
  <c r="AG63" i="78"/>
  <c r="AM68" i="78"/>
  <c r="AC68" i="78"/>
  <c r="M63" i="78"/>
  <c r="AH68" i="78"/>
  <c r="AF64" i="78"/>
  <c r="AA68" i="78"/>
  <c r="Q54" i="78"/>
  <c r="AF54" i="78"/>
  <c r="AG68" i="78"/>
  <c r="AH67" i="78"/>
  <c r="V62" i="78"/>
  <c r="AG62" i="78"/>
  <c r="V64" i="78"/>
  <c r="AG64" i="78"/>
  <c r="S47" i="78"/>
  <c r="Z69" i="78"/>
  <c r="AF68" i="78"/>
  <c r="M68" i="78"/>
  <c r="Q65" i="78"/>
  <c r="S52" i="78"/>
  <c r="AG52" i="78"/>
  <c r="V54" i="78"/>
  <c r="X69" i="78"/>
  <c r="M69" i="78"/>
  <c r="AN67" i="78"/>
  <c r="X62" i="78"/>
  <c r="AL63" i="78"/>
  <c r="X64" i="78"/>
  <c r="S65" i="78"/>
  <c r="AE53" i="78"/>
  <c r="AN68" i="78"/>
  <c r="T65" i="78"/>
  <c r="AC69" i="78"/>
  <c r="Z68" i="78"/>
  <c r="AE67" i="78"/>
  <c r="O67" i="78"/>
  <c r="Q62" i="78"/>
  <c r="T63" i="78"/>
  <c r="AJ63" i="78"/>
  <c r="O64" i="78"/>
  <c r="AE64" i="78"/>
  <c r="AM64" i="78"/>
  <c r="R65" i="78"/>
  <c r="Z65" i="78"/>
  <c r="AH65" i="78"/>
  <c r="V63" i="78"/>
  <c r="AJ65" i="78"/>
  <c r="AH69" i="78"/>
  <c r="T67" i="78"/>
  <c r="AJ62" i="78"/>
  <c r="O63" i="78"/>
  <c r="AM63" i="78"/>
  <c r="R64" i="78"/>
  <c r="AC65" i="78"/>
  <c r="Y52" i="78"/>
  <c r="Y54" i="78"/>
  <c r="AL54" i="78"/>
  <c r="AG69" i="78"/>
  <c r="Y69" i="78"/>
  <c r="Q69" i="78"/>
  <c r="AL68" i="78"/>
  <c r="V68" i="78"/>
  <c r="AA67" i="78"/>
  <c r="S67" i="78"/>
  <c r="M62" i="78"/>
  <c r="AC62" i="78"/>
  <c r="X63" i="78"/>
  <c r="AN63" i="78"/>
  <c r="S64" i="78"/>
  <c r="AA64" i="78"/>
  <c r="V65" i="78"/>
  <c r="AL65" i="78"/>
  <c r="AA69" i="78"/>
  <c r="AN69" i="78"/>
  <c r="AF69" i="78"/>
  <c r="Z67" i="78"/>
  <c r="R67" i="78"/>
  <c r="AL62" i="78"/>
  <c r="Q63" i="78"/>
  <c r="Y63" i="78"/>
  <c r="AE65" i="78"/>
  <c r="AM65" i="78"/>
  <c r="AM69" i="78"/>
  <c r="AG67" i="78"/>
  <c r="Y67" i="78"/>
  <c r="Q67" i="78"/>
  <c r="AE62" i="78"/>
  <c r="AM62" i="78"/>
  <c r="R63" i="78"/>
  <c r="X65" i="78"/>
  <c r="AF65" i="78"/>
  <c r="T52" i="78"/>
  <c r="T54" i="78"/>
  <c r="R52" i="78"/>
  <c r="M53" i="78"/>
  <c r="T55" i="78"/>
  <c r="AF53" i="78"/>
  <c r="AN54" i="78"/>
  <c r="AG53" i="78"/>
  <c r="M55" i="78"/>
  <c r="AA55" i="78"/>
  <c r="AH31" i="78"/>
  <c r="AH52" i="78"/>
  <c r="AA53" i="78"/>
  <c r="AG54" i="78"/>
  <c r="AL53" i="78"/>
  <c r="Q55" i="78"/>
  <c r="S55" i="78"/>
  <c r="Q52" i="78"/>
  <c r="T53" i="78"/>
  <c r="AJ53" i="78"/>
  <c r="O54" i="78"/>
  <c r="AE54" i="78"/>
  <c r="AM54" i="78"/>
  <c r="R55" i="78"/>
  <c r="Z55" i="78"/>
  <c r="AH55" i="78"/>
  <c r="AJ55" i="78"/>
  <c r="AJ52" i="78"/>
  <c r="O53" i="78"/>
  <c r="AM53" i="78"/>
  <c r="R54" i="78"/>
  <c r="AC55" i="78"/>
  <c r="X42" i="78"/>
  <c r="M52" i="78"/>
  <c r="AC52" i="78"/>
  <c r="X53" i="78"/>
  <c r="AN53" i="78"/>
  <c r="S54" i="78"/>
  <c r="V55" i="78"/>
  <c r="AL55" i="78"/>
  <c r="AL52" i="78"/>
  <c r="Q53" i="78"/>
  <c r="Y53" i="78"/>
  <c r="AE55" i="78"/>
  <c r="AM55" i="78"/>
  <c r="AE52" i="78"/>
  <c r="AM52" i="78"/>
  <c r="R53" i="78"/>
  <c r="Z53" i="78"/>
  <c r="X55" i="78"/>
  <c r="AF55" i="78"/>
  <c r="M34" i="78"/>
  <c r="AA34" i="78"/>
  <c r="M33" i="78"/>
  <c r="AJ70" i="78"/>
  <c r="Y43" i="78"/>
  <c r="AC43" i="78"/>
  <c r="M43" i="78"/>
  <c r="AJ59" i="78"/>
  <c r="V42" i="78"/>
  <c r="Q35" i="78"/>
  <c r="AN35" i="78"/>
  <c r="AG38" i="78"/>
  <c r="AN42" i="78"/>
  <c r="X57" i="78"/>
  <c r="T60" i="78"/>
  <c r="AC42" i="78"/>
  <c r="S35" i="78"/>
  <c r="R33" i="78"/>
  <c r="S33" i="78"/>
  <c r="AA37" i="78"/>
  <c r="AE42" i="78"/>
  <c r="Q31" i="78"/>
  <c r="V35" i="78"/>
  <c r="AF50" i="78"/>
  <c r="AA57" i="78"/>
  <c r="AL70" i="78"/>
  <c r="AF42" i="78"/>
  <c r="AG43" i="78"/>
  <c r="R31" i="78"/>
  <c r="AL34" i="78"/>
  <c r="AG50" i="78"/>
  <c r="S60" i="78"/>
  <c r="AM60" i="78"/>
  <c r="AG42" i="78"/>
  <c r="AH43" i="78"/>
  <c r="AN34" i="78"/>
  <c r="AJ30" i="78"/>
  <c r="AF33" i="78"/>
  <c r="Y37" i="78"/>
  <c r="AH57" i="78"/>
  <c r="AA31" i="78"/>
  <c r="AH33" i="78"/>
  <c r="AM40" i="78"/>
  <c r="AF47" i="78"/>
  <c r="Z48" i="78"/>
  <c r="AL50" i="78"/>
  <c r="AL42" i="78"/>
  <c r="Z43" i="78"/>
  <c r="M44" i="78"/>
  <c r="T30" i="78"/>
  <c r="M31" i="78"/>
  <c r="T39" i="78"/>
  <c r="AH47" i="78"/>
  <c r="AN50" i="78"/>
  <c r="AN44" i="78"/>
  <c r="Q45" i="78"/>
  <c r="AL30" i="78"/>
  <c r="S31" i="78"/>
  <c r="AC34" i="78"/>
  <c r="Y35" i="78"/>
  <c r="AA38" i="78"/>
  <c r="AA48" i="78"/>
  <c r="AN70" i="78"/>
  <c r="Z42" i="78"/>
  <c r="AH42" i="78"/>
  <c r="AA43" i="78"/>
  <c r="M45" i="78"/>
  <c r="AM30" i="78"/>
  <c r="AM31" i="78"/>
  <c r="Z35" i="78"/>
  <c r="AM47" i="78"/>
  <c r="AL57" i="78"/>
  <c r="AF58" i="78"/>
  <c r="Q43" i="78"/>
  <c r="AN30" i="78"/>
  <c r="AN31" i="78"/>
  <c r="AA33" i="78"/>
  <c r="AF34" i="78"/>
  <c r="AA35" i="78"/>
  <c r="T37" i="78"/>
  <c r="AC38" i="78"/>
  <c r="AJ40" i="78"/>
  <c r="AN47" i="78"/>
  <c r="AA49" i="78"/>
  <c r="AN57" i="78"/>
  <c r="AG58" i="78"/>
  <c r="O60" i="78"/>
  <c r="R43" i="78"/>
  <c r="AJ44" i="78"/>
  <c r="AG34" i="78"/>
  <c r="S43" i="78"/>
  <c r="M30" i="78"/>
  <c r="T35" i="78"/>
  <c r="V37" i="78"/>
  <c r="AF38" i="78"/>
  <c r="T40" i="78"/>
  <c r="AE47" i="78"/>
  <c r="AF59" i="78"/>
  <c r="AM42" i="78"/>
  <c r="AF43" i="78"/>
  <c r="AL44" i="78"/>
  <c r="S45" i="78"/>
  <c r="AG49" i="78"/>
  <c r="AN58" i="78"/>
  <c r="AL60" i="78"/>
  <c r="T45" i="78"/>
  <c r="M38" i="78"/>
  <c r="M48" i="78"/>
  <c r="AE60" i="78"/>
  <c r="X58" i="78"/>
  <c r="X59" i="78"/>
  <c r="V60" i="78"/>
  <c r="AF60" i="78"/>
  <c r="AC57" i="78"/>
  <c r="AA58" i="78"/>
  <c r="AG60" i="78"/>
  <c r="X60" i="78"/>
  <c r="AE57" i="78"/>
  <c r="AC58" i="78"/>
  <c r="Y60" i="78"/>
  <c r="AF57" i="78"/>
  <c r="AA60" i="78"/>
  <c r="AE31" i="78"/>
  <c r="Z33" i="78"/>
  <c r="Q38" i="78"/>
  <c r="Y38" i="78"/>
  <c r="V39" i="78"/>
  <c r="X40" i="78"/>
  <c r="M47" i="78"/>
  <c r="AA47" i="78"/>
  <c r="S48" i="78"/>
  <c r="M49" i="78"/>
  <c r="Y50" i="78"/>
  <c r="X38" i="78"/>
  <c r="AC48" i="78"/>
  <c r="AC49" i="78"/>
  <c r="AA50" i="78"/>
  <c r="V38" i="78"/>
  <c r="V50" i="78"/>
  <c r="X50" i="78"/>
  <c r="AF35" i="78"/>
  <c r="R38" i="78"/>
  <c r="X31" i="78"/>
  <c r="AG31" i="78"/>
  <c r="AG35" i="78"/>
  <c r="S38" i="78"/>
  <c r="X39" i="78"/>
  <c r="Z40" i="78"/>
  <c r="O47" i="78"/>
  <c r="AC47" i="78"/>
  <c r="AF48" i="78"/>
  <c r="AC31" i="78"/>
  <c r="V40" i="78"/>
  <c r="R48" i="78"/>
  <c r="O30" i="78"/>
  <c r="S37" i="78"/>
  <c r="Z38" i="78"/>
  <c r="AE48" i="78"/>
  <c r="R30" i="78"/>
  <c r="Z31" i="78"/>
  <c r="AC33" i="78"/>
  <c r="Y39" i="78"/>
  <c r="Q40" i="78"/>
  <c r="X48" i="78"/>
  <c r="AF49" i="78"/>
  <c r="T50" i="78"/>
  <c r="C1" i="78"/>
  <c r="AH39" i="78"/>
  <c r="AM39" i="78"/>
  <c r="Z70" i="78"/>
  <c r="Y70" i="78"/>
  <c r="X70" i="78"/>
  <c r="T70" i="78"/>
  <c r="AC30" i="78"/>
  <c r="T47" i="78"/>
  <c r="Y47" i="78"/>
  <c r="V47" i="78"/>
  <c r="V70" i="78"/>
  <c r="Z30" i="78"/>
  <c r="S30" i="78"/>
  <c r="AA30" i="78"/>
  <c r="V31" i="78"/>
  <c r="AL31" i="78"/>
  <c r="Q33" i="78"/>
  <c r="Y33" i="78"/>
  <c r="AG33" i="78"/>
  <c r="T34" i="78"/>
  <c r="AJ34" i="78"/>
  <c r="O35" i="78"/>
  <c r="AE35" i="78"/>
  <c r="AM35" i="78"/>
  <c r="R37" i="78"/>
  <c r="Z37" i="78"/>
  <c r="AH37" i="78"/>
  <c r="M39" i="78"/>
  <c r="AG39" i="78"/>
  <c r="O40" i="78"/>
  <c r="AN40" i="78"/>
  <c r="AH40" i="78"/>
  <c r="R49" i="78"/>
  <c r="Q49" i="78"/>
  <c r="O49" i="78"/>
  <c r="M50" i="78"/>
  <c r="S50" i="78"/>
  <c r="R50" i="78"/>
  <c r="O50" i="78"/>
  <c r="Q57" i="78"/>
  <c r="S57" i="78"/>
  <c r="R57" i="78"/>
  <c r="O57" i="78"/>
  <c r="V34" i="78"/>
  <c r="V30" i="78"/>
  <c r="Y31" i="78"/>
  <c r="T33" i="78"/>
  <c r="AJ33" i="78"/>
  <c r="O34" i="78"/>
  <c r="AM34" i="78"/>
  <c r="R35" i="78"/>
  <c r="AH35" i="78"/>
  <c r="M37" i="78"/>
  <c r="AC37" i="78"/>
  <c r="AL37" i="78"/>
  <c r="AM38" i="78"/>
  <c r="AJ38" i="78"/>
  <c r="Q39" i="78"/>
  <c r="AA39" i="78"/>
  <c r="AM48" i="78"/>
  <c r="AL48" i="78"/>
  <c r="AJ48" i="78"/>
  <c r="Z49" i="78"/>
  <c r="Y49" i="78"/>
  <c r="X49" i="78"/>
  <c r="T49" i="78"/>
  <c r="O58" i="78"/>
  <c r="S58" i="78"/>
  <c r="R58" i="78"/>
  <c r="Q58" i="78"/>
  <c r="R59" i="78"/>
  <c r="O59" i="78"/>
  <c r="S59" i="78"/>
  <c r="Q59" i="78"/>
  <c r="AG45" i="78"/>
  <c r="AF45" i="78"/>
  <c r="AE45" i="78"/>
  <c r="AC45" i="78"/>
  <c r="X34" i="78"/>
  <c r="AM37" i="78"/>
  <c r="AL39" i="78"/>
  <c r="AF40" i="78"/>
  <c r="AC40" i="78"/>
  <c r="X47" i="78"/>
  <c r="AH49" i="78"/>
  <c r="AN49" i="78"/>
  <c r="AM49" i="78"/>
  <c r="AJ49" i="78"/>
  <c r="R39" i="78"/>
  <c r="O39" i="78"/>
  <c r="X30" i="78"/>
  <c r="AF30" i="78"/>
  <c r="V33" i="78"/>
  <c r="AL33" i="78"/>
  <c r="Q34" i="78"/>
  <c r="Y34" i="78"/>
  <c r="AJ35" i="78"/>
  <c r="O37" i="78"/>
  <c r="AE37" i="78"/>
  <c r="AN37" i="78"/>
  <c r="AL38" i="78"/>
  <c r="AC39" i="78"/>
  <c r="AN39" i="78"/>
  <c r="Z47" i="78"/>
  <c r="AN48" i="78"/>
  <c r="AE30" i="78"/>
  <c r="AM33" i="78"/>
  <c r="R34" i="78"/>
  <c r="AF37" i="78"/>
  <c r="AN38" i="78"/>
  <c r="AE40" i="78"/>
  <c r="AL49" i="78"/>
  <c r="AJ39" i="78"/>
  <c r="AF39" i="78"/>
  <c r="M40" i="78"/>
  <c r="R40" i="78"/>
  <c r="AG40" i="78"/>
  <c r="AL47" i="78"/>
  <c r="Q48" i="78"/>
  <c r="Y48" i="78"/>
  <c r="AE50" i="78"/>
  <c r="AM50" i="78"/>
  <c r="V57" i="78"/>
  <c r="V58" i="78"/>
  <c r="V59" i="78"/>
  <c r="AH59" i="78"/>
  <c r="AM59" i="78"/>
  <c r="T48" i="78"/>
  <c r="AH50" i="78"/>
  <c r="Y58" i="78"/>
  <c r="AL59" i="78"/>
  <c r="Z44" i="78"/>
  <c r="Y44" i="78"/>
  <c r="X44" i="78"/>
  <c r="V44" i="78"/>
  <c r="Z58" i="78"/>
  <c r="AM58" i="78"/>
  <c r="AJ58" i="78"/>
  <c r="AG59" i="78"/>
  <c r="AE59" i="78"/>
  <c r="AN45" i="78"/>
  <c r="AM45" i="78"/>
  <c r="AL45" i="78"/>
  <c r="AH45" i="78"/>
  <c r="AC59" i="78"/>
  <c r="AG70" i="78"/>
  <c r="AE70" i="78"/>
  <c r="AA70" i="78"/>
  <c r="AG44" i="78"/>
  <c r="AF44" i="78"/>
  <c r="AE44" i="78"/>
  <c r="AA44" i="78"/>
  <c r="AJ45" i="78"/>
  <c r="AM57" i="78"/>
  <c r="AL58" i="78"/>
  <c r="M60" i="78"/>
  <c r="R60" i="78"/>
  <c r="R70" i="78"/>
  <c r="Q70" i="78"/>
  <c r="O70" i="78"/>
  <c r="S70" i="78"/>
  <c r="AC70" i="78"/>
  <c r="S42" i="78"/>
  <c r="R42" i="78"/>
  <c r="Q42" i="78"/>
  <c r="M42" i="78"/>
  <c r="AC44" i="78"/>
  <c r="T57" i="78"/>
  <c r="Y57" i="78"/>
  <c r="Z59" i="78"/>
  <c r="Y59" i="78"/>
  <c r="AJ60" i="78"/>
  <c r="AH60" i="78"/>
  <c r="X43" i="78"/>
  <c r="AN43" i="78"/>
  <c r="S44" i="78"/>
  <c r="R45" i="78"/>
  <c r="Z45" i="78"/>
  <c r="AM70" i="78"/>
  <c r="Y42" i="78"/>
  <c r="T43" i="78"/>
  <c r="AJ43" i="78"/>
  <c r="O44" i="78"/>
  <c r="AM44" i="78"/>
  <c r="V45" i="78"/>
  <c r="AL43" i="78"/>
  <c r="Q44" i="78"/>
  <c r="X45" i="78"/>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73" i="78" l="1"/>
  <c r="L75" i="78"/>
  <c r="L74" i="78"/>
  <c r="L64" i="78"/>
  <c r="L68" i="78"/>
  <c r="L69" i="78"/>
  <c r="L63" i="78"/>
  <c r="L65" i="78"/>
  <c r="L67" i="78"/>
  <c r="L55" i="78"/>
  <c r="L53" i="78"/>
  <c r="L54" i="78"/>
  <c r="L45" i="78"/>
  <c r="L43" i="78"/>
  <c r="L59" i="78"/>
  <c r="L33" i="78"/>
  <c r="L44" i="78"/>
  <c r="L58" i="78"/>
  <c r="L57" i="78"/>
  <c r="L31" i="78"/>
  <c r="L48" i="78"/>
  <c r="L60" i="78"/>
  <c r="L70" i="78"/>
  <c r="L47" i="78"/>
  <c r="L50" i="78"/>
  <c r="L35" i="78"/>
  <c r="L34" i="78"/>
  <c r="L40" i="78"/>
  <c r="L39" i="78"/>
  <c r="L30" i="78"/>
  <c r="L49" i="78"/>
  <c r="L37" i="78"/>
  <c r="L38" i="78"/>
  <c r="C12" i="78"/>
  <c r="L12" i="78" s="1"/>
  <c r="L1" i="78"/>
  <c r="B27" i="78"/>
  <c r="C27" i="78" s="1"/>
  <c r="L27" i="78" s="1"/>
  <c r="C11" i="78"/>
  <c r="L11" i="78" s="1"/>
  <c r="C16" i="78"/>
  <c r="L16" i="78" s="1"/>
  <c r="C10" i="78"/>
  <c r="L10" i="78" s="1"/>
  <c r="B26" i="78"/>
  <c r="C26" i="78" s="1"/>
  <c r="L26" i="78"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77" i="78" l="1"/>
  <c r="C8" i="78"/>
  <c r="L8" i="78" s="1"/>
  <c r="C7" i="78" a="1"/>
  <c r="C7" i="78" s="1"/>
  <c r="L4" i="78"/>
  <c r="C9" i="78"/>
  <c r="L9" i="78" s="1"/>
  <c r="L96" i="36"/>
  <c r="L86" i="36"/>
  <c r="L91" i="36"/>
  <c r="L99" i="36"/>
  <c r="L90" i="36"/>
  <c r="L100" i="36"/>
  <c r="L7" i="78" l="1"/>
  <c r="C19" i="78"/>
  <c r="L19" i="7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1" i="7" s="1"/>
  <c r="L11" i="7" s="1"/>
  <c r="C1" i="36" a="1"/>
  <c r="C12" i="7" l="1"/>
  <c r="L12" i="7" s="1"/>
  <c r="L1" i="7"/>
  <c r="L94" i="7" s="1"/>
  <c r="B26" i="7"/>
  <c r="C26" i="7" s="1"/>
  <c r="L26" i="7" s="1"/>
  <c r="B27" i="7"/>
  <c r="C27" i="7" s="1"/>
  <c r="L27" i="7" s="1"/>
  <c r="C10" i="7"/>
  <c r="L10" i="7" s="1"/>
  <c r="C1" i="36"/>
  <c r="B26" i="36" s="1"/>
  <c r="C26" i="36" s="1"/>
  <c r="L26" i="36" s="1"/>
  <c r="C16" i="7"/>
  <c r="L16" i="7" s="1"/>
  <c r="C12" i="36" l="1"/>
  <c r="L12" i="36" s="1"/>
  <c r="C8" i="7"/>
  <c r="L8" i="7" s="1"/>
  <c r="L4" i="7"/>
  <c r="L1" i="36"/>
  <c r="L102" i="36" s="1"/>
  <c r="C11" i="36"/>
  <c r="L11" i="36" s="1"/>
  <c r="C10" i="36"/>
  <c r="L10" i="36" s="1"/>
  <c r="C16" i="36"/>
  <c r="L16" i="36" s="1"/>
  <c r="B27" i="36"/>
  <c r="C27" i="36" s="1"/>
  <c r="L27" i="36" s="1"/>
  <c r="C9" i="7"/>
  <c r="L9" i="7" s="1"/>
  <c r="C7" i="7" a="1"/>
  <c r="C7" i="7" s="1"/>
  <c r="C8" i="36" l="1"/>
  <c r="L8" i="36" s="1"/>
  <c r="L4" i="36"/>
  <c r="C9" i="36"/>
  <c r="L9" i="36" s="1"/>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9193E-39D2-4CB0-8787-D07A4AC487B5}">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<sst xmlns="http://schemas.openxmlformats.org/spreadsheetml/2006/main" count="4734" uniqueCount="1069">
  <si>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</si>
  <si>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</si>
  <si>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</si>
  <si>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</si>
  <si>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</si>
  <si>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</si>
  <si>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</si>
  <si>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</si>
  <si>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</si>
  <si>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</si>
  <si>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</si>
  <si>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</si>
  <si>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</si>
  <si>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</si>
  <si>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</si>
  <si>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</si>
  <si>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</si>
  <si>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</si>
  <si>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</si>
  <si>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</si>
  <si>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</si>
  <si>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</si>
  <si>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</si>
  <si>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</si>
  <si>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</si>
  <si>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</si>
  <si>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</si>
  <si>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</si>
  <si>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</si>
  <si>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</si>
  <si>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</si>
  <si>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</si>
  <si>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</si>
  <si>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</si>
  <si>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</si>
  <si>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</si>
  <si>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</si>
  <si>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</si>
  <si>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</si>
  <si>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</si>
  <si>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</si>
  <si>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</si>
  <si>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</si>
  <si>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</si>
  <si>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</si>
  <si>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</si>
  <si>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</si>
  <si>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</si>
  <si>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</si>
  <si>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</si>
  <si>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</si>
  <si>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</si>
  <si>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</si>
  <si>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</si>
  <si>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</si>
  <si>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</si>
  <si>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</si>
  <si>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</si>
  <si>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</si>
  <si>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</si>
  <si>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</si>
  <si>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</si>
  <si>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</si>
  <si>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</si>
  <si>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</si>
  <si>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</si>
  <si>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</si>
  <si>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</si>
  <si>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</si>
  <si>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</si>
  <si>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</si>
  <si>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</si>
  <si>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</si>
  <si>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</si>
  <si>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</si>
  <si>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</si>
  <si>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</si>
  <si>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</si>
  <si>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</si>
  <si>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</si>
  <si>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</si>
  <si>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</si>
  <si>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</si>
  <si>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</si>
  <si>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</si>
  <si>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</si>
  <si>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</si>
  <si>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</si>
  <si>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</si>
  <si>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</si>
  <si>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</si>
  <si>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</si>
  <si>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</si>
  <si>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</si>
  <si>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</si>
  <si>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</si>
  <si>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</si>
  <si>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</si>
  <si>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</si>
  <si>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</si>
  <si>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</si>
  <si>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</si>
  <si>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</si>
  <si>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</si>
  <si>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</si>
  <si>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</si>
  <si>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</si>
  <si>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</si>
  <si>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</si>
  <si>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</si>
  <si>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</si>
  <si>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</si>
  <si>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</si>
  <si>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</si>
  <si>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</si>
  <si>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</si>
  <si>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</si>
  <si>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</si>
  <si>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</si>
  <si>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</si>
  <si>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</si>
  <si>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</si>
  <si>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</si>
  <si>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</si>
  <si>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</si>
  <si>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</si>
  <si>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</si>
  <si>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</si>
  <si>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</si>
  <si>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</si>
  <si>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</si>
  <si>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</si>
  <si>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</si>
  <si>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</si>
  <si>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</si>
  <si>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</si>
  <si>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</si>
  <si>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</si>
  <si>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</si>
  <si>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</si>
  <si>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</si>
  <si>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</si>
  <si>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</si>
  <si>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</si>
  <si>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</si>
  <si>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</si>
  <si>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</si>
  <si>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</si>
  <si>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</si>
  <si>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</si>
  <si>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</si>
  <si>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</si>
  <si>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</si>
  <si>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</si>
  <si>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</si>
  <si>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</si>
  <si>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</si>
  <si>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</si>
  <si>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</si>
  <si>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</si>
  <si>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</si>
  <si>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</si>
  <si>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</si>
  <si>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</si>
  <si>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</si>
  <si>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</si>
  <si>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</si>
  <si>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</si>
  <si>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</si>
  <si>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</si>
  <si>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</si>
  <si>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</si>
  <si>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</si>
  <si>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</si>
  <si>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</si>
  <si>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</si>
  <si>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</si>
  <si>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</si>
  <si>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</si>
  <si>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</si>
  <si>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</si>
  <si>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</si>
  <si>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</si>
  <si>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</si>
  <si>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</si>
  <si>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</si>
  <si>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</si>
  <si>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</si>
  <si>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</si>
  <si>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</si>
  <si>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</si>
  <si>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</si>
  <si>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</si>
  <si>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</si>
  <si>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</si>
  <si>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</si>
  <si>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</si>
  <si>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</si>
  <si>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</si>
  <si>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</si>
  <si>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</si>
  <si>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</si>
  <si>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</si>
  <si>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</si>
  <si>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</si>
  <si>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</si>
  <si>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</si>
  <si>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</si>
  <si>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</si>
  <si>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</si>
  <si>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</si>
  <si>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</si>
  <si>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</si>
  <si>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</si>
  <si>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</si>
  <si>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</si>
  <si>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</si>
  <si>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</si>
  <si>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</si>
  <si>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</si>
  <si>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</si>
  <si>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</si>
  <si>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</si>
  <si>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</si>
  <si>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</si>
  <si>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</si>
  <si>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</si>
  <si>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</si>
  <si>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</si>
  <si>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</si>
  <si>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</si>
  <si>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</si>
  <si>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</si>
  <si>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</si>
  <si>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</si>
  <si>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</si>
  <si>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</si>
  <si>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</si>
  <si>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</si>
  <si>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</si>
  <si>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</si>
  <si>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</si>
  <si>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</si>
  <si>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</si>
  <si>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</si>
  <si>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</si>
  <si>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</si>
  <si>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</si>
  <si>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</si>
  <si>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</si>
  <si>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</si>
  <si>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</si>
  <si>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</si>
  <si>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</si>
  <si>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</si>
  <si>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</si>
  <si>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</si>
  <si>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</si>
  <si>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</si>
  <si>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</si>
  <si>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</si>
  <si>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</si>
  <si>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</si>
  <si>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</si>
  <si>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</si>
  <si>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</si>
  <si>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</si>
  <si>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</si>
  <si>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</si>
  <si>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</si>
  <si>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</si>
  <si>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</si>
  <si>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</si>
  <si>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</si>
  <si>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</si>
  <si>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</si>
  <si>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</si>
  <si>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</si>
  <si>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</si>
  <si>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</si>
  <si>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</si>
  <si>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</si>
  <si>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</si>
  <si>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</si>
  <si>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</si>
  <si>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</si>
  <si>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</si>
  <si>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</si>
  <si>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</si>
  <si>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</si>
  <si>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</si>
  <si>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</si>
  <si>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</si>
  <si>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</si>
  <si>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</si>
  <si>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</si>
  <si>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</si>
  <si>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</si>
  <si>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</si>
  <si>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</si>
  <si>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</si>
  <si>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</si>
  <si>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</si>
  <si>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</si>
  <si>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</si>
  <si>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</si>
  <si>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</si>
  <si>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</si>
  <si>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</si>
  <si>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</si>
  <si>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</si>
  <si>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</si>
  <si>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</si>
  <si>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</si>
  <si>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</si>
  <si>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</si>
  <si>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</si>
  <si>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</si>
  <si>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</si>
  <si>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</si>
  <si>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</si>
  <si>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</si>
  <si>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</si>
  <si>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</si>
  <si>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</si>
  <si>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</si>
  <si>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</si>
  <si>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</si>
  <si>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</si>
  <si>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</si>
  <si>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</si>
  <si>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</si>
  <si>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</si>
  <si>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</si>
  <si>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</si>
  <si>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</si>
  <si>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</si>
  <si>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</si>
  <si>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</si>
  <si>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</si>
  <si>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</si>
  <si>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</si>
  <si>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</si>
  <si>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</si>
  <si>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</si>
  <si>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</si>
  <si>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</si>
  <si>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</si>
  <si>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</si>
  <si>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</si>
  <si>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</si>
  <si>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</si>
  <si>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</si>
  <si>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</si>
  <si>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</si>
  <si>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</si>
  <si>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</si>
  <si>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</si>
  <si>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</si>
  <si>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</si>
  <si>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</si>
  <si>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</si>
  <si>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</si>
  <si>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</si>
  <si>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</si>
  <si>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</si>
  <si>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</si>
  <si>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</si>
  <si>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</si>
  <si>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</si>
  <si>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</si>
  <si>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</si>
  <si>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</si>
  <si>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</si>
  <si>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</si>
  <si>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</si>
  <si>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</si>
  <si>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</si>
  <si>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</si>
  <si>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</si>
  <si>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</si>
  <si>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</si>
  <si>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</si>
  <si>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</si>
  <si>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</si>
  <si>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</si>
  <si>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</si>
  <si>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</si>
  <si>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</si>
  <si>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</si>
  <si>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</si>
  <si>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</si>
  <si>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</si>
  <si>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</si>
  <si>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</si>
  <si>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</si>
  <si>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</si>
  <si>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</si>
  <si>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</si>
  <si>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</si>
  <si>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</si>
  <si>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</si>
  <si>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</si>
  <si>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</si>
  <si>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</si>
  <si>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</si>
  <si>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</si>
  <si>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</si>
  <si>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</si>
  <si>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</si>
  <si>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</si>
  <si>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</si>
  <si>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</si>
  <si>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</si>
  <si>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</si>
  <si>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</si>
  <si>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</si>
  <si>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</si>
  <si>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</si>
  <si>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</si>
  <si>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</si>
  <si>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</si>
  <si>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</si>
  <si>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</si>
  <si>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</si>
  <si>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</si>
  <si>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</si>
  <si>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</si>
  <si>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</si>
  <si>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</si>
  <si>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</si>
  <si>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</si>
  <si>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</si>
  <si>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</si>
  <si>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</si>
  <si>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</si>
  <si>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</si>
  <si>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</si>
  <si>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</si>
  <si>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</si>
  <si>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</si>
  <si>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</si>
  <si>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</si>
  <si>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</si>
  <si>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</si>
  <si>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</si>
  <si>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</si>
  <si>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</si>
  <si>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</si>
  <si>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</si>
  <si>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</si>
  <si>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</si>
  <si>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</si>
  <si>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</si>
  <si>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</si>
  <si>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</si>
  <si>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</si>
  <si>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</si>
  <si>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</si>
  <si>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</si>
  <si>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</si>
  <si>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</si>
  <si>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</si>
  <si>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</si>
  <si>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</si>
  <si>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</si>
  <si>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</si>
  <si>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</si>
  <si>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</si>
  <si>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</si>
  <si>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</si>
  <si>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</si>
  <si>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</si>
  <si>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</si>
  <si>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</si>
  <si>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</si>
  <si>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</si>
  <si>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</si>
  <si>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</si>
  <si>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</si>
  <si>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</si>
  <si>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</si>
  <si>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</si>
  <si>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</si>
  <si>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</si>
  <si>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</si>
  <si>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</si>
  <si>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</si>
  <si>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</si>
  <si>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</si>
  <si>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</si>
  <si>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</si>
  <si>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</si>
  <si>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</si>
  <si>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</si>
  <si>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</si>
  <si>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</si>
  <si>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</si>
  <si>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</si>
  <si>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</si>
  <si>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</si>
  <si>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</si>
  <si>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</si>
  <si>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</si>
  <si>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</si>
  <si>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</si>
  <si>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</si>
  <si>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</si>
  <si>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</si>
  <si>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</si>
  <si>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</si>
  <si>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</si>
  <si>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</si>
  <si>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</si>
  <si>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</si>
  <si>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</si>
  <si>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</si>
  <si>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</si>
  <si>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</si>
  <si>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</si>
  <si>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</si>
  <si>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</si>
  <si>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</si>
  <si>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</si>
  <si>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</si>
  <si>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</si>
  <si>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</si>
  <si>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</si>
  <si>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</si>
  <si>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</si>
  <si>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</si>
  <si>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</si>
  <si>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</si>
  <si>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</si>
  <si>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</si>
  <si>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</si>
  <si>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</si>
  <si>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</si>
  <si>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</si>
  <si>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</si>
  <si>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</si>
  <si>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</si>
  <si>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</si>
  <si>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</si>
  <si>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</si>
  <si>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</si>
  <si>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</si>
  <si>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</si>
  <si>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</si>
  <si>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</si>
  <si>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</si>
  <si>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</si>
  <si>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</si>
  <si>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</si>
  <si>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</si>
  <si>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</si>
  <si>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</si>
  <si>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</si>
  <si>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</si>
  <si>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</si>
  <si>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</si>
  <si>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</si>
  <si>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</si>
  <si>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</si>
  <si>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</si>
  <si>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</si>
  <si>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</si>
  <si>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</si>
  <si>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</si>
  <si>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</si>
  <si>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</si>
  <si>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</si>
  <si>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</si>
  <si>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</si>
  <si>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</si>
  <si>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</si>
  <si>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</si>
  <si>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</si>
  <si>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</si>
  <si>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</si>
  <si>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</si>
  <si>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</si>
  <si>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</si>
  <si>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</si>
  <si>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</si>
  <si>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</si>
  <si>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</si>
  <si>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</si>
  <si>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</si>
  <si>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</si>
  <si>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</si>
  <si>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</si>
  <si>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</si>
  <si>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</si>
  <si>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</si>
  <si>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</si>
  <si>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</si>
  <si>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</si>
  <si>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</si>
  <si>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</si>
  <si>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</si>
  <si>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</si>
  <si>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</si>
  <si>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</si>
  <si>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</si>
  <si>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</si>
  <si>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</si>
  <si>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</si>
  <si>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</si>
  <si>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</si>
  <si>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</si>
  <si>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</si>
  <si>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</si>
  <si>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</si>
  <si>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</si>
  <si>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</si>
  <si>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</si>
  <si>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</si>
  <si>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</si>
  <si>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</si>
  <si>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</si>
  <si>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</si>
  <si>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</si>
  <si>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</si>
  <si>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</si>
  <si>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</si>
  <si>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</si>
  <si>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</si>
  <si>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</si>
  <si>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</si>
  <si>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</si>
  <si>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</si>
  <si>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</si>
  <si>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</si>
  <si>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</si>
  <si>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</si>
  <si>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</si>
  <si>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</si>
  <si>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</si>
  <si>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</si>
  <si>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</si>
  <si>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</si>
  <si>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</si>
  <si>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</si>
  <si>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</si>
  <si>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</si>
  <si>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</si>
  <si>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</si>
  <si>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</si>
  <si>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</si>
  <si>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</si>
  <si>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</si>
  <si>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</si>
  <si>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</si>
  <si>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</si>
  <si>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</si>
  <si>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</si>
  <si>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</si>
  <si>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</si>
  <si>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</si>
  <si>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</si>
  <si>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</si>
  <si>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</si>
  <si>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</si>
  <si>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</si>
  <si>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</si>
  <si>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</si>
  <si>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</si>
  <si>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</si>
  <si>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</si>
  <si>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</si>
  <si>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</si>
  <si>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</si>
  <si>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</si>
  <si>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</si>
  <si>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</si>
  <si>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</si>
  <si>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</si>
  <si>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</si>
  <si>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</si>
  <si>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</si>
  <si>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</si>
  <si>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</si>
  <si>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</si>
  <si>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</si>
  <si>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</si>
  <si>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</si>
  <si>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</si>
  <si>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</si>
  <si>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</si>
  <si>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</si>
  <si>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</si>
  <si>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</si>
  <si>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</si>
  <si>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</si>
  <si>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</si>
  <si>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</si>
  <si>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</si>
  <si>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</si>
  <si>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</si>
  <si>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</si>
  <si>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</si>
  <si>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</si>
  <si>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</si>
  <si>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</si>
  <si>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</si>
  <si>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</si>
  <si>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</si>
  <si>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</si>
  <si>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</si>
  <si>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</si>
  <si>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</si>
  <si>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</si>
  <si>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</si>
  <si>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</si>
  <si>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</si>
  <si>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</si>
  <si>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</si>
  <si>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</si>
  <si>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</si>
  <si>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</si>
  <si>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</si>
  <si>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</si>
  <si>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</si>
  <si>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</si>
  <si>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</si>
  <si>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</si>
  <si>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</si>
  <si>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</si>
  <si>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</si>
  <si>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</si>
  <si>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</si>
  <si>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</si>
  <si>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</si>
  <si>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</si>
  <si>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</si>
  <si>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</si>
  <si>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</si>
  <si>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</si>
  <si>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</si>
  <si>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</si>
  <si>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</si>
  <si>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</si>
  <si>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</si>
  <si>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</si>
  <si>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</si>
  <si>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</si>
  <si>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</si>
  <si>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</si>
  <si>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</si>
  <si>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</si>
  <si>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</si>
  <si>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</si>
  <si>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</si>
  <si>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</si>
  <si>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</si>
  <si>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</si>
  <si>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</si>
  <si>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</si>
  <si>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</si>
  <si>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</si>
  <si>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</si>
  <si>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</si>
  <si>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</si>
  <si>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</si>
  <si>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</si>
  <si>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</si>
  <si>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</si>
  <si>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</si>
  <si>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</si>
  <si>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</si>
  <si>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</si>
  <si>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</si>
  <si>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</si>
  <si>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</si>
  <si>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</si>
  <si>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</si>
  <si>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</si>
  <si>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</si>
  <si>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</si>
  <si>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</si>
  <si>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</si>
  <si>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</si>
  <si>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</si>
  <si>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</si>
  <si>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</si>
  <si>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</si>
  <si>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</si>
  <si>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</si>
  <si>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</si>
  <si>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</si>
  <si>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</si>
  <si>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</si>
  <si>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</si>
  <si>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</si>
  <si>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</si>
  <si>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</si>
  <si>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</si>
  <si>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</si>
  <si>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</si>
  <si>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</si>
  <si>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</si>
  <si>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</si>
  <si>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</si>
  <si>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</si>
  <si>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</si>
  <si>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</si>
  <si>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</si>
  <si>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</si>
  <si>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</si>
  <si>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</si>
  <si>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</si>
  <si>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</si>
  <si>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</si>
  <si>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</si>
  <si>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</si>
  <si>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</si>
  <si>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</si>
  <si>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</si>
  <si>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</si>
  <si>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</si>
  <si>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</si>
  <si>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</si>
  <si>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</si>
  <si>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</si>
  <si>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</si>
  <si>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</si>
  <si>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</si>
  <si>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</si>
  <si>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</si>
  <si>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</si>
  <si>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</si>
  <si>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</si>
  <si>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</si>
  <si>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</si>
  <si>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</si>
  <si>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</si>
  <si>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</si>
  <si>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</si>
  <si>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</si>
  <si>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</si>
  <si>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</si>
  <si>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</si>
  <si>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</si>
  <si>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</si>
  <si>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</si>
  <si>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</si>
  <si>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</si>
  <si>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</si>
  <si>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</si>
  <si>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</si>
  <si>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</si>
  <si>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</si>
  <si>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</si>
  <si>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</si>
  <si>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</si>
  <si>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</si>
  <si>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</si>
  <si>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</si>
  <si>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</si>
  <si>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</si>
  <si>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</si>
  <si>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</si>
  <si>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</si>
  <si>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</si>
  <si>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</si>
  <si>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</si>
  <si>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</si>
  <si>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</si>
  <si>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</si>
  <si>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</si>
  <si>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</si>
  <si>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</si>
  <si>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</si>
  <si>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</si>
  <si>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</si>
  <si>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</si>
  <si>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</si>
  <si>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</si>
  <si>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</si>
  <si>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</si>
  <si>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</si>
  <si>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</si>
  <si>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</si>
  <si>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</si>
  <si>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</si>
  <si>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</si>
  <si>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</si>
  <si>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</si>
  <si>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</si>
  <si>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</si>
  <si>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</si>
  <si>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</si>
  <si>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</si>
  <si>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</si>
  <si>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</si>
  <si>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</si>
  <si>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</si>
  <si>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</si>
  <si>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</si>
  <si>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</si>
  <si>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</si>
  <si>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</si>
  <si>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</si>
  <si>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</si>
  <si>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</si>
  <si>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</si>
  <si>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</si>
  <si>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</si>
  <si>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</si>
  <si>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</si>
  <si>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</si>
  <si>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</si>
  <si>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</si>
  <si>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</si>
  <si>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</si>
  <si>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</si>
  <si>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</si>
  <si>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</si>
  <si>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</si>
  <si>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</si>
  <si>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</si>
  <si>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</si>
  <si>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</si>
  <si>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</si>
  <si>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</si>
  <si>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</si>
  <si>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</si>
  <si>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</si>
  <si>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</si>
  <si>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</si>
  <si>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</si>
  <si>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</si>
  <si>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</si>
  <si>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</si>
  <si>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</si>
  <si>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</si>
  <si>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</si>
  <si>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</si>
  <si>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</si>
  <si>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</si>
  <si>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</si>
  <si>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</si>
  <si>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</si>
  <si>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</si>
  <si>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</si>
  <si>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</si>
  <si>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</si>
  <si>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</si>
  <si>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</si>
  <si>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</si>
  <si>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</si>
  <si>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</si>
  <si>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</si>
  <si>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</si>
  <si>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</si>
  <si>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</si>
  <si>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</si>
  <si>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</si>
  <si>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</si>
  <si>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</si>
  <si>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</si>
  <si>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</si>
  <si>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</si>
  <si>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</si>
  <si>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</si>
  <si>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</si>
  <si>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</si>
  <si>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</si>
  <si>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</si>
  <si>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</si>
  <si>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</si>
  <si>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</si>
  <si>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</si>
  <si>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</si>
  <si>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</si>
  <si>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</si>
  <si>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</si>
  <si>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</si>
  <si>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</si>
  <si>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</si>
  <si>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</si>
  <si>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</si>
  <si>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</si>
  <si>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</si>
  <si>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</si>
  <si>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</si>
  <si>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</si>
  <si>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</si>
  <si>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</si>
  <si>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</si>
  <si>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</si>
  <si>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</si>
  <si>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</si>
  <si>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</si>
  <si>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</si>
  <si>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</si>
  <si>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</si>
  <si>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</si>
  <si>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</si>
  <si>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</si>
  <si>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</si>
  <si>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</si>
  <si>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</si>
  <si>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</si>
  <si>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</si>
  <si>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</si>
  <si>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</si>
  <si>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</si>
  <si>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</si>
  <si>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</si>
  <si>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</si>
  <si>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</si>
  <si>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</si>
  <si>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</si>
  <si>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</si>
  <si>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</si>
  <si>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</si>
  <si>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</si>
  <si>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</si>
  <si>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</si>
  <si>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</si>
  <si>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</si>
  <si>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</si>
  <si>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</si>
  <si>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</si>
  <si>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</si>
  <si>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</si>
  <si>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</si>
  <si>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</si>
  <si>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</si>
  <si>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</si>
  <si>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</si>
  <si>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</si>
  <si>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</si>
  <si>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</si>
  <si>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</si>
  <si>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</si>
  <si>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</si>
  <si>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</si>
  <si>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</si>
  <si>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</si>
  <si>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</si>
  <si>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</si>
  <si>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</si>
  <si>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</si>
  <si>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</si>
  <si>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t>
  </si>
  <si>
    <t>Señor, escucha mi oración,</t>
  </si>
  <si>
    <t>presta oídos a mi súplica.</t>
  </si>
  <si>
    <t>TÚ QUE ERES FIEL,</t>
  </si>
  <si>
    <t>TÚ QUE ERES FIEL, RESPÓNDEME,</t>
  </si>
  <si>
    <t>POR TU JUSTICIA RESPÓNDEME.</t>
  </si>
  <si>
    <t>No llames a juicio a tu siervo,</t>
  </si>
  <si>
    <t>ningún hombre es inocente frente a ti.</t>
  </si>
  <si>
    <t>El enemigo me persigue,</t>
  </si>
  <si>
    <t>estrella mi vida contra el suelo.</t>
  </si>
  <si>
    <t>Extiendo mis manos hacia ti,</t>
  </si>
  <si>
    <t>tengo sed de ti como tierra reseca.</t>
  </si>
  <si>
    <t>¡Escúchame pronto, Señor,</t>
  </si>
  <si>
    <t>que me falta el aliento!</t>
  </si>
  <si>
    <t>Hazme conocer el camino,</t>
  </si>
  <si>
    <t>la vía que he de seguir.</t>
  </si>
  <si>
    <t>Líbrame de mis enemigos,</t>
  </si>
  <si>
    <t>Señor, que me refugio en ti.</t>
  </si>
  <si>
    <t>Enséñame a cumplir tu voluntad,</t>
  </si>
  <si>
    <t>porque tú eres mi Dios;</t>
  </si>
  <si>
    <t>tu Espíritu me guíe,</t>
  </si>
  <si>
    <t>tu Espíritu me guíe por tierra llana.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</si>
</sst>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E5E45BD-3FDC-4261-A9AE-22B216831A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BE0D29C-B655-4671-9E39-143A8EC03D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6E78B8ED-5113-4FA7-A589-24027163525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1017</v>
      </c>
    </row>
    <row r="3" spans="1:1" ht="60" x14ac:dyDescent="0.25">
      <c r="A3" s="102" t="s">
        <v>1018</v>
      </c>
    </row>
    <row r="5" spans="1:1" x14ac:dyDescent="0.25">
      <c r="A5" t="s">
        <v>1019</v>
      </c>
    </row>
    <row r="6" spans="1:1" ht="75" x14ac:dyDescent="0.25">
      <c r="A6" s="102" t="s">
        <v>1020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1016</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1014</v>
      </c>
      <c r="B7" s="37"/>
      <c r="C7" s="37"/>
      <c r="D7" s="37"/>
      <c r="E7" s="37"/>
      <c r="F7" s="38"/>
      <c r="G7" s="38"/>
      <c r="H7" s="38"/>
    </row>
    <row r="8" spans="1:8" ht="26.1" customHeight="1" x14ac:dyDescent="0.45">
      <c r="A8" s="37" t="s">
        <v>1022</v>
      </c>
      <c r="B8" s="37"/>
      <c r="C8" s="37"/>
      <c r="D8" s="37"/>
      <c r="E8" s="37"/>
      <c r="F8" s="38"/>
      <c r="G8" s="38"/>
      <c r="H8" s="38"/>
    </row>
    <row r="9" spans="1:8" ht="26.1" customHeight="1" x14ac:dyDescent="0.45">
      <c r="A9" s="37" t="s">
        <v>1023</v>
      </c>
      <c r="B9" s="37"/>
      <c r="C9" s="37"/>
      <c r="D9" s="37"/>
      <c r="E9" s="37"/>
      <c r="F9" s="38"/>
      <c r="G9" s="38"/>
      <c r="H9" s="38"/>
    </row>
    <row r="10" spans="1:8" ht="26.1" customHeight="1" x14ac:dyDescent="0.45">
      <c r="A10" s="37" t="s">
        <v>1024</v>
      </c>
      <c r="B10" s="37"/>
      <c r="C10" s="37"/>
      <c r="D10" s="37"/>
      <c r="E10" s="38"/>
      <c r="F10" s="38"/>
      <c r="G10" s="38"/>
      <c r="H10" s="38"/>
    </row>
    <row r="11" spans="1:8" ht="26.1" customHeight="1" x14ac:dyDescent="0.45">
      <c r="A11" s="37" t="s">
        <v>1025</v>
      </c>
      <c r="B11" s="37"/>
      <c r="C11" s="37"/>
      <c r="D11" s="37"/>
      <c r="E11" s="38"/>
      <c r="F11" s="38"/>
      <c r="G11" s="38"/>
      <c r="H11" s="38"/>
    </row>
    <row r="12" spans="1:8" ht="26.1" customHeight="1" x14ac:dyDescent="0.45">
      <c r="A12" s="37" t="s">
        <v>1026</v>
      </c>
      <c r="B12" s="37"/>
      <c r="C12" s="37"/>
      <c r="D12" s="37"/>
      <c r="E12" s="38"/>
      <c r="F12" s="38"/>
      <c r="G12" s="38"/>
      <c r="H12" s="38"/>
    </row>
    <row r="13" spans="1:8" ht="26.1" customHeight="1" x14ac:dyDescent="0.45">
      <c r="A13" s="37" t="s">
        <v>1027</v>
      </c>
      <c r="B13" s="37"/>
      <c r="C13" s="37"/>
      <c r="D13" s="37"/>
      <c r="E13" s="38"/>
      <c r="F13" s="38"/>
      <c r="G13" s="38"/>
      <c r="H13" s="38"/>
    </row>
    <row r="14" spans="1:8" ht="26.1" customHeight="1" x14ac:dyDescent="0.45">
      <c r="A14" s="37" t="s">
        <v>1028</v>
      </c>
      <c r="B14" s="37"/>
      <c r="C14" s="37"/>
      <c r="D14" s="37"/>
      <c r="E14" s="38"/>
      <c r="F14" s="38"/>
      <c r="G14" s="38"/>
      <c r="H14" s="38"/>
    </row>
    <row r="15" spans="1:8" ht="26.1" customHeight="1" x14ac:dyDescent="0.45">
      <c r="A15" s="37" t="s">
        <v>1029</v>
      </c>
      <c r="B15" s="37"/>
      <c r="C15" s="37"/>
      <c r="D15" s="37"/>
      <c r="E15" s="38"/>
      <c r="F15" s="38"/>
      <c r="G15" s="38"/>
      <c r="H15" s="38"/>
    </row>
    <row r="16" spans="1:8" ht="26.1" customHeight="1" x14ac:dyDescent="0.45">
      <c r="A16" s="37" t="s">
        <v>1030</v>
      </c>
      <c r="B16" s="37"/>
      <c r="C16" s="37"/>
      <c r="D16" s="37"/>
      <c r="E16" s="38"/>
      <c r="F16" s="38"/>
      <c r="G16" s="38"/>
      <c r="H16" s="38"/>
    </row>
    <row r="17" spans="1:8" ht="26.1" customHeight="1" x14ac:dyDescent="0.45">
      <c r="A17" s="37" t="s">
        <v>1031</v>
      </c>
      <c r="B17" s="37"/>
      <c r="C17" s="37"/>
      <c r="D17" s="37"/>
      <c r="E17" s="38"/>
      <c r="F17" s="38"/>
      <c r="G17" s="38"/>
      <c r="H17" s="38"/>
    </row>
    <row r="18" spans="1:8" ht="26.1" customHeight="1" x14ac:dyDescent="0.45">
      <c r="A18" s="37" t="s">
        <v>1032</v>
      </c>
      <c r="B18" s="37"/>
      <c r="C18" s="37"/>
      <c r="D18" s="37"/>
      <c r="E18" s="38"/>
      <c r="F18" s="38"/>
      <c r="G18" s="38"/>
      <c r="H18" s="38"/>
    </row>
    <row r="19" spans="1:8" ht="26.1" customHeight="1" x14ac:dyDescent="0.45">
      <c r="A19" s="37" t="s">
        <v>1033</v>
      </c>
      <c r="B19" s="37"/>
      <c r="C19" s="37"/>
      <c r="D19" s="37"/>
      <c r="E19" s="38"/>
      <c r="F19" s="38"/>
      <c r="G19" s="38"/>
      <c r="H19" s="38"/>
    </row>
    <row r="20" spans="1:8" ht="24" x14ac:dyDescent="0.45">
      <c r="A20" s="37" t="s">
        <v>1034</v>
      </c>
      <c r="B20" s="37"/>
      <c r="C20" s="37"/>
      <c r="D20" s="37"/>
      <c r="E20" s="37"/>
      <c r="F20" s="37"/>
      <c r="G20" s="37"/>
      <c r="H20" s="37"/>
    </row>
    <row r="21" spans="1:8" ht="24" x14ac:dyDescent="0.45">
      <c r="A21" s="37" t="s">
        <v>1035</v>
      </c>
      <c r="B21" s="37"/>
      <c r="C21" s="37"/>
      <c r="D21" s="37"/>
      <c r="E21" s="37"/>
      <c r="F21" s="37"/>
      <c r="G21" s="37"/>
      <c r="H21" s="37"/>
    </row>
    <row r="22" spans="1:8" ht="24" x14ac:dyDescent="0.45">
      <c r="A22" s="37" t="s">
        <v>1036</v>
      </c>
      <c r="B22" s="37"/>
      <c r="C22" s="37"/>
      <c r="D22" s="37"/>
      <c r="E22" s="37"/>
      <c r="F22" s="37"/>
      <c r="G22" s="37"/>
      <c r="H22" s="37"/>
    </row>
    <row r="23" spans="1:8" ht="24" x14ac:dyDescent="0.45">
      <c r="A23" s="37" t="s">
        <v>1037</v>
      </c>
      <c r="B23" s="37"/>
      <c r="C23" s="37"/>
      <c r="D23" s="37"/>
      <c r="E23" s="37"/>
      <c r="F23" s="37"/>
      <c r="G23" s="37"/>
      <c r="H23" s="37"/>
    </row>
    <row r="24" spans="1:8" ht="24" x14ac:dyDescent="0.45">
      <c r="A24" s="37" t="s">
        <v>1038</v>
      </c>
      <c r="B24" s="37"/>
      <c r="C24" s="37"/>
      <c r="D24" s="37"/>
      <c r="E24" s="37"/>
      <c r="F24" s="37"/>
      <c r="G24" s="37"/>
      <c r="H24" s="37"/>
    </row>
    <row r="25" spans="1:8" ht="24" x14ac:dyDescent="0.45">
      <c r="A25" s="37" t="s">
        <v>1041</v>
      </c>
      <c r="B25" s="37"/>
      <c r="C25" s="37"/>
      <c r="D25" s="37"/>
      <c r="E25" s="37"/>
      <c r="F25" s="37"/>
      <c r="G25" s="37"/>
      <c r="H25" s="37"/>
    </row>
    <row r="26" spans="1:8" ht="24" x14ac:dyDescent="0.45">
      <c r="A26" s="37" t="s">
        <v>1015</v>
      </c>
      <c r="B26" s="37"/>
      <c r="C26" s="37"/>
      <c r="D26" s="37"/>
      <c r="E26" s="37"/>
      <c r="F26" s="37"/>
      <c r="G26" s="37"/>
      <c r="H26" s="37"/>
    </row>
    <row r="27" spans="1:8" ht="24" x14ac:dyDescent="0.45">
      <c r="A27" s="37" t="s">
        <v>1042</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1021</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1040</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1021</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1040</v>
      </c>
      <c r="D70" t="s">
        <v>326</v>
      </c>
      <c r="E70" t="s">
        <v>260</v>
      </c>
      <c r="F70" s="6" t="s">
        <v>18</v>
      </c>
      <c r="M70" t="s">
        <v>1039</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1043</v>
      </c>
      <c r="D72" t="s">
        <v>449</v>
      </c>
      <c r="E72" t="s">
        <v>260</v>
      </c>
      <c r="F72" s="6" t="s">
        <v>18</v>
      </c>
      <c r="M72" t="s">
        <v>1044</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160</v>
      </c>
      <c r="E1" s="40"/>
      <c r="F1" s="40"/>
      <c r="G1" s="40"/>
      <c r="H1" s="40"/>
      <c r="I1" s="40"/>
      <c r="J1" s="40"/>
      <c r="K1" s="40"/>
      <c r="L1" s="41" t="str">
        <f>VLOOKUP(C1,'[1]Codigo Canto'!A3:AQ236,38,FALSE)</f>
        <v>TÚ HAS CUBIERTO DE VERGÜENZA LA MUERTE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TÚ HAS CUBIERTO DE VERGÜENZA LA MUERTE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tuhascubiertodevergüenzalamuerte</v>
      </c>
      <c r="L7" s="48" t="str">
        <f>_xlfn.CONCAT("        id: ","""",C7,"""",",")</f>
        <v xml:space="preserve">        id: "tuhascubiertodevergüenzalamuerte",</v>
      </c>
    </row>
    <row r="8" spans="2:32" ht="23.25" x14ac:dyDescent="0.25">
      <c r="C8" t="str">
        <f>PROPER(L1)</f>
        <v>Tú Has Cubierto De Vergüenza La Muerte</v>
      </c>
      <c r="L8" s="48" t="str">
        <f>_xlfn.CONCAT("        tt: ","""",C8,"""",",")</f>
        <v xml:space="preserve">        tt: "Tú Has Cubierto De Vergüenza La Muerte",</v>
      </c>
    </row>
    <row r="9" spans="2:32" ht="23.25" x14ac:dyDescent="0.25">
      <c r="C9" t="str">
        <f>PROPER(L1)</f>
        <v>Tú Has Cubierto De Vergüenza La Muerte</v>
      </c>
      <c r="L9" s="48" t="str">
        <f>_xlfn.CONCAT("        title: ","""",C9,"""",",")</f>
        <v xml:space="preserve">        title: "Tú Has Cubierto De Vergüenza La Muerte",</v>
      </c>
    </row>
    <row r="10" spans="2:32" ht="23.25" x14ac:dyDescent="0.25">
      <c r="C10" t="str">
        <f>VLOOKUP(C1,'[1]Codigo Canto'!A3:AQ236,12,FALSE)</f>
        <v>Homilía Pascual (Melltón de Sardes)</v>
      </c>
      <c r="L10" s="48" t="str">
        <f>_xlfn.CONCAT("        ","subtitle: ","""",C10,"""",",")</f>
        <v xml:space="preserve">        subtitle: "Homilía Pascual (Melltón de Sardes)",</v>
      </c>
    </row>
    <row r="11" spans="2:32" ht="23.25" x14ac:dyDescent="0.25">
      <c r="C11" t="str">
        <f>_xlfn.CONCAT("category: [",VLOOKUP(C1,Table223[],16,FALSE),"],")</f>
        <v>category: ["Precatecumenado","Vírgen María","Pascua","Pentecostés","Fracción Del Pan"],</v>
      </c>
      <c r="L11" s="48" t="str">
        <f>_xlfn.CONCAT("        ",C11)</f>
        <v xml:space="preserve">        category: ["Precatecumenado","Vírgen María","Pascua","Pentecostés","Fracción Del Pan"],</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160</v>
      </c>
      <c r="L16" s="48" t="str">
        <f>_xlfn.CONCAT("        dbno: ","""",C16,"""",",")</f>
        <v xml:space="preserve">        dbno: "160",</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tuhascubiertodevergüenzalamuerte</v>
      </c>
      <c r="L19" s="48" t="str">
        <f>_xlfn.CONCAT("        audioSrc: ","""/audio/",C19,".mp3""",",")</f>
        <v xml:space="preserve">        audioSrc: "/audio/tuhascubiertodevergüenzalamuerte.mp3",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159</v>
      </c>
      <c r="C26" t="str">
        <f>VLOOKUP(B26,[1]Buscador!A3:AP240,31,FALSE)</f>
        <v>/resucito/src/index.html?canto=tehemanifestadomipecado</v>
      </c>
      <c r="L26" s="48" t="str">
        <f>_xlfn.CONCAT("        ant: ","""",C26,"""",",")</f>
        <v xml:space="preserve">        ant: "/resucito/src/index.html?canto=tehemanifestadomipecado",</v>
      </c>
    </row>
    <row r="27" spans="2:40" ht="23.25" x14ac:dyDescent="0.25">
      <c r="B27">
        <f>+C1+1</f>
        <v>161</v>
      </c>
      <c r="C27" t="str">
        <f>VLOOKUP(B27,[1]Buscador!A3:AP240,31,FALSE)</f>
        <v>/resucito/src/index.html?canto=tuqueeresfiel</v>
      </c>
      <c r="L27" s="48" t="str">
        <f>_xlfn.CONCAT("        sig: ","""",C27,"""",",")</f>
        <v xml:space="preserve">        sig: "/resucito/src/index.html?canto=tuqueeresfiel",</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TÚ HAS CUBIERTO DE VERGÜENZA LA MUERTE</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F214C-4D5F-47F4-9C39-CB9113297E4D}">
  <sheetPr codeName="Sheet69">
    <tabColor rgb="FF00B0F0"/>
  </sheetPr>
  <dimension ref="A1:AN79"/>
  <sheetViews>
    <sheetView tabSelected="1" zoomScale="85" zoomScaleNormal="85" workbookViewId="0">
      <pane xSplit="2" ySplit="1" topLeftCell="C25" activePane="bottomRight" state="frozen"/>
      <selection pane="topRight" activeCell="C1" sqref="C1"/>
      <selection pane="bottomLeft" activeCell="A2" sqref="A2"/>
      <selection pane="bottomRight" activeCell="L48" sqref="L4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161</v>
      </c>
      <c r="E1" s="40"/>
      <c r="F1" s="40"/>
      <c r="G1" s="40"/>
      <c r="H1" s="40"/>
      <c r="I1" s="40"/>
      <c r="J1" s="40"/>
      <c r="K1" s="40"/>
      <c r="L1" s="41" t="str">
        <f ca="1">UPPER(VLOOKUP(C1,Table223[],3,FALSE))</f>
        <v>TÚ QUE ERES FIEL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TÚ QUE ERES FIEL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tuqueeresfiel</v>
      </c>
      <c r="L7" s="48" t="str">
        <f ca="1">_xlfn.CONCAT("        id: ","""",C7,"""",",")</f>
        <v xml:space="preserve">        id: "tuqueeresfiel",</v>
      </c>
    </row>
    <row r="8" spans="2:32" ht="23.25" x14ac:dyDescent="0.25">
      <c r="C8" t="str">
        <f ca="1">PROPER(L1)</f>
        <v>Tú Que Eres Fiel</v>
      </c>
      <c r="L8" s="48" t="str">
        <f ca="1">_xlfn.CONCAT("        tt: ","""",C8,"""",",")</f>
        <v xml:space="preserve">        tt: "Tú Que Eres Fiel",</v>
      </c>
    </row>
    <row r="9" spans="2:32" ht="23.25" x14ac:dyDescent="0.25">
      <c r="C9" t="str">
        <f ca="1">PROPER(L1)</f>
        <v>Tú Que Eres Fiel</v>
      </c>
      <c r="L9" s="48" t="str">
        <f ca="1">_xlfn.CONCAT("        title: ","""",C9,"""",",")</f>
        <v xml:space="preserve">        title: "Tú Que Eres Fiel",</v>
      </c>
    </row>
    <row r="10" spans="2:32" ht="23.25" x14ac:dyDescent="0.25">
      <c r="C10" t="str">
        <f ca="1">VLOOKUP(C1,Table223[],4,FALSE)</f>
        <v>Salmo 143 (142)</v>
      </c>
      <c r="L10" s="48" t="str">
        <f ca="1">_xlfn.CONCAT("        ","subtitle: ","""",C10,"""",",")</f>
        <v xml:space="preserve">        subtitle: "Salmo 143 (142)",</v>
      </c>
    </row>
    <row r="11" spans="2:32" ht="23.25" x14ac:dyDescent="0.2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161</v>
      </c>
      <c r="L16" s="48" t="str">
        <f ca="1">_xlfn.CONCAT("        dbno: ","""",C16,"""",",")</f>
        <v xml:space="preserve">        dbno: "161",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tuqueeresfiel</v>
      </c>
      <c r="L19" s="48" t="str">
        <f ca="1">_xlfn.CONCAT("        audioSrc: ","""/audio/",C19,".mp3""",",")</f>
        <v xml:space="preserve">        audioSrc: "/audio/tuqueeresfiel.mp3",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160</v>
      </c>
      <c r="C26" t="str">
        <f ca="1">VLOOKUP(B26,Table4[],13,FALSE)</f>
        <v>"/resucito/src/index.html?canto=tuhascubiertodevergüenzalamuerte"</v>
      </c>
      <c r="L26" s="48" t="str">
        <f ca="1">_xlfn.CONCAT("        ant: ",C26,",")</f>
        <v xml:space="preserve">        ant: "/resucito/src/index.html?canto=tuhascubiertodevergüenzalamuerte",</v>
      </c>
    </row>
    <row r="27" spans="1:40" ht="23.25" x14ac:dyDescent="0.25">
      <c r="B27">
        <f ca="1">+C1+1</f>
        <v>162</v>
      </c>
      <c r="C27" t="str">
        <f ca="1">VLOOKUP(B27,Table4[],13,FALSE)</f>
        <v>"/resucito/src/index.html?canto=unretonobrotadeltroncodejese"</v>
      </c>
      <c r="L27" s="48" t="str">
        <f ca="1">_xlfn.CONCAT("        sig: ",C27,",")</f>
        <v xml:space="preserve">        sig: "/resucito/src/index.html?canto=unretonobrotadeltroncodejese",</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5.5" thickTop="1" thickBot="1" x14ac:dyDescent="0.4">
      <c r="B30" t="s">
        <v>1012</v>
      </c>
      <c r="C30" s="113" t="s">
        <v>1048</v>
      </c>
      <c r="D30" s="112" t="s">
        <v>1046</v>
      </c>
      <c r="E30" s="52"/>
      <c r="F30" s="53" t="s">
        <v>1045</v>
      </c>
      <c r="G30" s="53"/>
      <c r="H30" s="52" t="s">
        <v>1046</v>
      </c>
      <c r="I30" s="52" t="s">
        <v>1011</v>
      </c>
      <c r="J30" s="54"/>
      <c r="K30" s="54"/>
      <c r="L30" s="55" t="str">
        <f t="shared" ref="L30:L31" si="0">IF(C30="","",_xlfn.CONCAT("            { line: ","""",C30,", ",M30:AN30,""", sC: ","""",B30,"""},"))</f>
        <v xml:space="preserve">            { line: "Señor, escucha mi oración,, (Do,,10)(Re,,250)(Do,m,350)", sC: "tc"},</v>
      </c>
      <c r="M30" s="56" t="str">
        <f t="shared" ref="M30:M35" si="1">IF(N30="","","(")</f>
        <v>(</v>
      </c>
      <c r="N30" s="57" t="str">
        <f t="shared" ref="N30:N70" si="2">IF(D30="","",D30)</f>
        <v>Do</v>
      </c>
      <c r="O30" s="58" t="str">
        <f t="shared" ref="O30:O35" si="3">IF(N30="","",",")</f>
        <v>,</v>
      </c>
      <c r="P30" s="59" t="str">
        <f t="shared" ref="P30:P70"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v>
      </c>
      <c r="U30" s="63" t="str">
        <f t="shared" ref="U30:U70" si="8">IF(F30="","",F30)</f>
        <v>Re</v>
      </c>
      <c r="V30" s="64" t="str">
        <f t="shared" ref="V30:V35" si="9">IF(U30="","",",")</f>
        <v>,</v>
      </c>
      <c r="W30" s="65" t="str">
        <f t="shared" ref="W30:W70" si="10">IF(G30="","",G30)</f>
        <v/>
      </c>
      <c r="X30" s="64" t="str">
        <f t="shared" ref="X30:X35" si="11">IF(U30="","",",")</f>
        <v>,</v>
      </c>
      <c r="Y30" s="64">
        <f t="shared" ref="Y30:Y35" si="12">IF(U30="","",250)</f>
        <v>250</v>
      </c>
      <c r="Z30" s="56" t="str">
        <f t="shared" ref="Z30:Z35" si="13">IF(U30="","",")")</f>
        <v>)</v>
      </c>
      <c r="AA30" s="66" t="str">
        <f t="shared" ref="AA30:AA35" si="14">IF(AB30="","","(")</f>
        <v>(</v>
      </c>
      <c r="AB30" s="57" t="str">
        <f t="shared" ref="AB30:AB70" si="15">IF(H30="","",H30)</f>
        <v>Do</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70"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1049</v>
      </c>
      <c r="D31" s="112" t="s">
        <v>1045</v>
      </c>
      <c r="E31" s="52"/>
      <c r="F31" s="53" t="s">
        <v>1046</v>
      </c>
      <c r="G31" s="53" t="s">
        <v>1011</v>
      </c>
      <c r="H31" s="52" t="s">
        <v>1045</v>
      </c>
      <c r="I31" s="52"/>
      <c r="J31" s="54"/>
      <c r="K31" s="54"/>
      <c r="L31" s="55" t="str">
        <f t="shared" si="0"/>
        <v xml:space="preserve">            { line: "presta oídos a mi súplica., (Re,,22)(Do,m,250)(Re,,350)", sC: ""},</v>
      </c>
      <c r="M31" s="56" t="str">
        <f t="shared" si="1"/>
        <v>(</v>
      </c>
      <c r="N31" s="57" t="str">
        <f t="shared" si="2"/>
        <v>Re</v>
      </c>
      <c r="O31" s="58" t="str">
        <f t="shared" si="3"/>
        <v>,</v>
      </c>
      <c r="P31" s="59" t="str">
        <f t="shared" si="4"/>
        <v/>
      </c>
      <c r="Q31" s="60" t="str">
        <f t="shared" si="5"/>
        <v>,</v>
      </c>
      <c r="R31" s="61">
        <f t="shared" ref="R31:R70" si="28">IF(N31="Do",10,IF(N31="Re",22,IF(N31="Mi",20,IF(N31="Fa",20,IF(N31="Sol",14,IF(N31="La",20,IF(N31="Si",20,IF(N31="Do#",14,IF(N31="Fa#",15,IF(N31="Sol#",20,""))))))))))</f>
        <v>22</v>
      </c>
      <c r="S31" s="56" t="str">
        <f t="shared" si="6"/>
        <v>)</v>
      </c>
      <c r="T31" s="62" t="str">
        <f t="shared" si="7"/>
        <v>(</v>
      </c>
      <c r="U31" s="63" t="str">
        <f t="shared" si="8"/>
        <v>Do</v>
      </c>
      <c r="V31" s="64" t="str">
        <f t="shared" si="9"/>
        <v>,</v>
      </c>
      <c r="W31" s="65" t="str">
        <f t="shared" si="10"/>
        <v>m</v>
      </c>
      <c r="X31" s="64" t="str">
        <f t="shared" si="11"/>
        <v>,</v>
      </c>
      <c r="Y31" s="64">
        <f t="shared" si="12"/>
        <v>250</v>
      </c>
      <c r="Z31" s="56" t="str">
        <f t="shared" si="13"/>
        <v>)</v>
      </c>
      <c r="AA31" s="66" t="str">
        <f t="shared" si="14"/>
        <v>(</v>
      </c>
      <c r="AB31" s="57" t="str">
        <f t="shared" si="15"/>
        <v>Re</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997</v>
      </c>
      <c r="C33" s="113" t="s">
        <v>1050</v>
      </c>
      <c r="D33" s="112" t="s">
        <v>1013</v>
      </c>
      <c r="E33" s="52" t="s">
        <v>1011</v>
      </c>
      <c r="F33" s="53" t="s">
        <v>1046</v>
      </c>
      <c r="G33" s="53" t="s">
        <v>1011</v>
      </c>
      <c r="H33" s="52"/>
      <c r="I33" s="52"/>
      <c r="J33" s="54"/>
      <c r="K33" s="54"/>
      <c r="L33" s="55" t="str">
        <f>IF(C33="","",_xlfn.CONCAT("            { line: ","""",C33,", ",M33:AN33,""", sC: ","""",B33,"""},"))</f>
        <v xml:space="preserve">            { line: "TÚ QUE ERES FIEL,, (Sol,m,14)(Do,m,250)", sC: "ta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v>
      </c>
      <c r="U33" s="63" t="str">
        <f t="shared" si="8"/>
        <v>Do</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1051</v>
      </c>
      <c r="D34" s="112" t="s">
        <v>1013</v>
      </c>
      <c r="E34" s="52" t="s">
        <v>1011</v>
      </c>
      <c r="F34" s="53" t="s">
        <v>1046</v>
      </c>
      <c r="G34" s="53" t="s">
        <v>1011</v>
      </c>
      <c r="H34" s="52" t="s">
        <v>1045</v>
      </c>
      <c r="I34" s="52">
        <v>7</v>
      </c>
      <c r="J34" s="54"/>
      <c r="K34" s="54"/>
      <c r="L34" s="55" t="str">
        <f>IF(C34="","",_xlfn.CONCAT("            { line: ","""",C34,", ",M34:AN34,""", sC: ","""",B34,"""},"))</f>
        <v xml:space="preserve">            { line: "TÚ QUE ERES FIEL, RESPÓNDEME,, (Sol,m,14)(Do,m,250)(Re,7,350)", sC: "as"},</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Do</v>
      </c>
      <c r="V34" s="64" t="str">
        <f t="shared" si="9"/>
        <v>,</v>
      </c>
      <c r="W34" s="65" t="str">
        <f t="shared" si="10"/>
        <v>m</v>
      </c>
      <c r="X34" s="64" t="str">
        <f t="shared" si="11"/>
        <v>,</v>
      </c>
      <c r="Y34" s="64">
        <f t="shared" si="12"/>
        <v>250</v>
      </c>
      <c r="Z34" s="56" t="str">
        <f t="shared" si="13"/>
        <v>)</v>
      </c>
      <c r="AA34" s="66" t="str">
        <f t="shared" si="14"/>
        <v>(</v>
      </c>
      <c r="AB34" s="57" t="str">
        <f t="shared" si="15"/>
        <v>Re</v>
      </c>
      <c r="AC34" s="67" t="str">
        <f t="shared" si="16"/>
        <v>,</v>
      </c>
      <c r="AD34" s="59">
        <f t="shared" si="17"/>
        <v>7</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1052</v>
      </c>
      <c r="D35" s="112" t="s">
        <v>1046</v>
      </c>
      <c r="E35" s="52" t="s">
        <v>1011</v>
      </c>
      <c r="F35" s="53" t="s">
        <v>1045</v>
      </c>
      <c r="G35" s="53">
        <v>7</v>
      </c>
      <c r="H35" s="52"/>
      <c r="I35" s="52"/>
      <c r="J35" s="54"/>
      <c r="K35" s="54"/>
      <c r="L35" s="55" t="str">
        <f t="shared" ref="L35:L50" si="29">IF(C35="","",_xlfn.CONCAT("            { line: ","""",C35,", ",M35:AN35,""", sC: ","""",B35,"""},"))</f>
        <v xml:space="preserve">            { line: "POR TU JUSTICIA RESPÓNDEME., (Do,m,10)(Re,7,250)", sC: "as"},</v>
      </c>
      <c r="M35" s="56" t="str">
        <f t="shared" si="1"/>
        <v>(</v>
      </c>
      <c r="N35" s="57" t="str">
        <f t="shared" si="2"/>
        <v>Do</v>
      </c>
      <c r="O35" s="58" t="str">
        <f t="shared" si="3"/>
        <v>,</v>
      </c>
      <c r="P35" s="59" t="str">
        <f t="shared" si="4"/>
        <v>m</v>
      </c>
      <c r="Q35" s="60" t="str">
        <f t="shared" si="5"/>
        <v>,</v>
      </c>
      <c r="R35" s="61">
        <f t="shared" si="28"/>
        <v>10</v>
      </c>
      <c r="S35" s="56" t="str">
        <f t="shared" si="6"/>
        <v>)</v>
      </c>
      <c r="T35" s="62" t="str">
        <f t="shared" si="7"/>
        <v>(</v>
      </c>
      <c r="U35" s="63" t="str">
        <f t="shared" si="8"/>
        <v>Re</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1012</v>
      </c>
      <c r="C37" s="113" t="s">
        <v>1053</v>
      </c>
      <c r="D37" s="112" t="s">
        <v>1013</v>
      </c>
      <c r="E37" s="52" t="s">
        <v>1011</v>
      </c>
      <c r="F37" s="53" t="s">
        <v>1045</v>
      </c>
      <c r="G37" s="53">
        <v>7</v>
      </c>
      <c r="H37" s="52"/>
      <c r="I37" s="52"/>
      <c r="J37" s="54"/>
      <c r="K37" s="54"/>
      <c r="L37" s="55" t="str">
        <f t="shared" si="29"/>
        <v xml:space="preserve">            { line: "No llames a juicio a tu siervo,, (Sol,m,14)(Re,7,250)", sC: "tc"},</v>
      </c>
      <c r="M37" s="56" t="str">
        <f>IF(N37="","","(")</f>
        <v>(</v>
      </c>
      <c r="N37" s="57" t="str">
        <f>IF(D37="","",D37)</f>
        <v>Sol</v>
      </c>
      <c r="O37" s="58" t="str">
        <f>IF(N37="","",",")</f>
        <v>,</v>
      </c>
      <c r="P37" s="59" t="str">
        <f>IF(E37="","",E37)</f>
        <v>m</v>
      </c>
      <c r="Q37" s="60" t="str">
        <f>IF(N37="","",",")</f>
        <v>,</v>
      </c>
      <c r="R37" s="61">
        <f t="shared" si="28"/>
        <v>14</v>
      </c>
      <c r="S37" s="56" t="str">
        <f>IF(N37="","",")")</f>
        <v>)</v>
      </c>
      <c r="T37" s="62" t="str">
        <f>IF(U37="","","(")</f>
        <v>(</v>
      </c>
      <c r="U37" s="63" t="str">
        <f>IF(F37="","",F37)</f>
        <v>Re</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1054</v>
      </c>
      <c r="D38" s="112" t="s">
        <v>1013</v>
      </c>
      <c r="E38" s="52" t="s">
        <v>1011</v>
      </c>
      <c r="F38" s="53"/>
      <c r="G38" s="53"/>
      <c r="H38" s="52"/>
      <c r="I38" s="52"/>
      <c r="J38" s="54"/>
      <c r="K38" s="54"/>
      <c r="L38" s="55" t="str">
        <f t="shared" si="29"/>
        <v xml:space="preserve">            { line: "ningún hombre es inocente frente a ti., (Sol,m,14)", sC: ""},</v>
      </c>
      <c r="M38" s="56" t="str">
        <f>IF(N38="","","(")</f>
        <v>(</v>
      </c>
      <c r="N38" s="57" t="str">
        <f>IF(D38="","",D38)</f>
        <v>Sol</v>
      </c>
      <c r="O38" s="58" t="str">
        <f>IF(N38="","",",")</f>
        <v>,</v>
      </c>
      <c r="P38" s="59" t="str">
        <f>IF(E38="","",E38)</f>
        <v>m</v>
      </c>
      <c r="Q38" s="60" t="str">
        <f>IF(N38="","",",")</f>
        <v>,</v>
      </c>
      <c r="R38" s="61">
        <f t="shared" si="28"/>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1055</v>
      </c>
      <c r="D39" s="112" t="s">
        <v>1045</v>
      </c>
      <c r="E39" s="52">
        <v>7</v>
      </c>
      <c r="F39" s="53"/>
      <c r="G39" s="53"/>
      <c r="H39" s="52"/>
      <c r="I39" s="52"/>
      <c r="J39" s="54"/>
      <c r="K39" s="54"/>
      <c r="L39" s="55" t="str">
        <f t="shared" si="29"/>
        <v xml:space="preserve">            { line: "El enemigo me persigue,, (Re,7,22)", sC: ""},</v>
      </c>
      <c r="M39" s="56" t="str">
        <f>IF(N39="","","(")</f>
        <v>(</v>
      </c>
      <c r="N39" s="57" t="str">
        <f>IF(D39="","",D39)</f>
        <v>Re</v>
      </c>
      <c r="O39" s="58" t="str">
        <f>IF(N39="","",",")</f>
        <v>,</v>
      </c>
      <c r="P39" s="59">
        <f>IF(E39="","",E39)</f>
        <v>7</v>
      </c>
      <c r="Q39" s="60" t="str">
        <f>IF(N39="","",",")</f>
        <v>,</v>
      </c>
      <c r="R39" s="61">
        <f t="shared" si="28"/>
        <v>22</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1056</v>
      </c>
      <c r="D40" s="112" t="s">
        <v>1046</v>
      </c>
      <c r="E40" s="52" t="s">
        <v>1011</v>
      </c>
      <c r="F40" s="53" t="s">
        <v>1045</v>
      </c>
      <c r="G40" s="53">
        <v>7</v>
      </c>
      <c r="H40" s="52"/>
      <c r="I40" s="52"/>
      <c r="J40" s="54"/>
      <c r="K40" s="54"/>
      <c r="L40" s="55" t="str">
        <f t="shared" si="29"/>
        <v xml:space="preserve">            { line: "estrella mi vida contra el suelo., (Do,m,10)(Re,7,250)", sC: ""},</v>
      </c>
      <c r="M40" s="56" t="str">
        <f t="shared" ref="M40" si="30">IF(N40="","","(")</f>
        <v>(</v>
      </c>
      <c r="N40" s="57" t="str">
        <f t="shared" ref="N40" si="31">IF(D40="","",D40)</f>
        <v>Do</v>
      </c>
      <c r="O40" s="58" t="str">
        <f t="shared" ref="O40" si="32">IF(N40="","",",")</f>
        <v>,</v>
      </c>
      <c r="P40" s="59" t="str">
        <f t="shared" ref="P40" si="33">IF(E40="","",E40)</f>
        <v>m</v>
      </c>
      <c r="Q40" s="60" t="str">
        <f t="shared" ref="Q40" si="34">IF(N40="","",",")</f>
        <v>,</v>
      </c>
      <c r="R40" s="61">
        <f t="shared" si="28"/>
        <v>10</v>
      </c>
      <c r="S40" s="56" t="str">
        <f t="shared" ref="S40" si="35">IF(N40="","",")")</f>
        <v>)</v>
      </c>
      <c r="T40" s="62" t="str">
        <f t="shared" ref="T40" si="36">IF(U40="","","(")</f>
        <v>(</v>
      </c>
      <c r="U40" s="63" t="str">
        <f t="shared" ref="U40" si="37">IF(F40="","",F40)</f>
        <v>Re</v>
      </c>
      <c r="V40" s="64" t="str">
        <f t="shared" ref="V40" si="38">IF(U40="","",",")</f>
        <v>,</v>
      </c>
      <c r="W40" s="65">
        <f t="shared" ref="W40" si="39">IF(G40="","",G40)</f>
        <v>7</v>
      </c>
      <c r="X40" s="64" t="str">
        <f t="shared" ref="X40" si="40">IF(U40="","",",")</f>
        <v>,</v>
      </c>
      <c r="Y40" s="64">
        <f t="shared" ref="Y40" si="41">IF(U40="","",250)</f>
        <v>250</v>
      </c>
      <c r="Z40" s="56" t="str">
        <f t="shared" ref="Z40" si="42">IF(U40="","",")")</f>
        <v>)</v>
      </c>
      <c r="AA40" s="66" t="str">
        <f t="shared" ref="AA40" si="43">IF(AB40="","","(")</f>
        <v/>
      </c>
      <c r="AB40" s="57" t="str">
        <f t="shared" ref="AB40" si="44">IF(H40="","",H40)</f>
        <v/>
      </c>
      <c r="AC40" s="67" t="str">
        <f t="shared" ref="AC40" si="45">IF(AB40="","",",")</f>
        <v/>
      </c>
      <c r="AD40" s="59" t="str">
        <f t="shared" ref="AD40" si="46">IF(I40="","",I40)</f>
        <v/>
      </c>
      <c r="AE40" s="68" t="str">
        <f t="shared" ref="AE40" si="47">IF(AB40="","",",")</f>
        <v/>
      </c>
      <c r="AF40" s="61" t="str">
        <f t="shared" ref="AF40" si="48">IF(AB40="","",350)</f>
        <v/>
      </c>
      <c r="AG40" s="61" t="str">
        <f t="shared" ref="AG40" si="49">IF(AB40="","",")")</f>
        <v/>
      </c>
      <c r="AH40" s="69" t="str">
        <f t="shared" ref="AH40" si="50">IF(AI40="","","(")</f>
        <v/>
      </c>
      <c r="AI40" s="70" t="str">
        <f t="shared" ref="AI40" si="51">IF(J40="","",J40)</f>
        <v/>
      </c>
      <c r="AJ40" s="64" t="str">
        <f t="shared" ref="AJ40" si="52">IF(AI40="","",",")</f>
        <v/>
      </c>
      <c r="AK40" s="64" t="str">
        <f t="shared" ref="AK40" si="53">IF(K40="","",K40)</f>
        <v/>
      </c>
      <c r="AL40" s="64" t="str">
        <f t="shared" ref="AL40" si="54">IF(AI40="","",",")</f>
        <v/>
      </c>
      <c r="AM40" s="64" t="str">
        <f t="shared" ref="AM40" si="55">IF(AI40="","",450)</f>
        <v/>
      </c>
      <c r="AN40" s="64" t="str">
        <f t="shared" ref="AN40"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6"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5" si="58">IF(N42="","","(")</f>
        <v/>
      </c>
      <c r="N42" s="57" t="str">
        <f t="shared" ref="N42:N45" si="59">IF(D42="","",D42)</f>
        <v/>
      </c>
      <c r="O42" s="58" t="str">
        <f t="shared" ref="O42:O45" si="60">IF(N42="","",",")</f>
        <v/>
      </c>
      <c r="P42" s="59" t="str">
        <f t="shared" ref="P42:P45" si="61">IF(E42="","",E42)</f>
        <v/>
      </c>
      <c r="Q42" s="60" t="str">
        <f t="shared" ref="Q42:Q45" si="62">IF(N42="","",",")</f>
        <v/>
      </c>
      <c r="R42" s="61" t="str">
        <f t="shared" si="57"/>
        <v/>
      </c>
      <c r="S42" s="56" t="str">
        <f t="shared" ref="S42:S45" si="63">IF(N42="","",")")</f>
        <v/>
      </c>
      <c r="T42" s="62" t="str">
        <f t="shared" ref="T42:T45" si="64">IF(U42="","","(")</f>
        <v/>
      </c>
      <c r="U42" s="63" t="str">
        <f t="shared" ref="U42:U45" si="65">IF(F42="","",F42)</f>
        <v/>
      </c>
      <c r="V42" s="64" t="str">
        <f t="shared" ref="V42:V45" si="66">IF(U42="","",",")</f>
        <v/>
      </c>
      <c r="W42" s="65" t="str">
        <f t="shared" ref="W42:W45" si="67">IF(G42="","",G42)</f>
        <v/>
      </c>
      <c r="X42" s="64" t="str">
        <f t="shared" ref="X42:X45" si="68">IF(U42="","",",")</f>
        <v/>
      </c>
      <c r="Y42" s="64" t="str">
        <f t="shared" ref="Y42:Y45" si="69">IF(U42="","",250)</f>
        <v/>
      </c>
      <c r="Z42" s="56" t="str">
        <f t="shared" ref="Z42:Z45" si="70">IF(U42="","",")")</f>
        <v/>
      </c>
      <c r="AA42" s="66" t="str">
        <f t="shared" ref="AA42:AA45" si="71">IF(AB42="","","(")</f>
        <v/>
      </c>
      <c r="AB42" s="57" t="str">
        <f t="shared" ref="AB42:AB45" si="72">IF(H42="","",H42)</f>
        <v/>
      </c>
      <c r="AC42" s="67" t="str">
        <f t="shared" ref="AC42:AC45" si="73">IF(AB42="","",",")</f>
        <v/>
      </c>
      <c r="AD42" s="59" t="str">
        <f t="shared" ref="AD42:AD45" si="74">IF(I42="","",I42)</f>
        <v/>
      </c>
      <c r="AE42" s="68" t="str">
        <f t="shared" ref="AE42:AE45" si="75">IF(AB42="","",",")</f>
        <v/>
      </c>
      <c r="AF42" s="61" t="str">
        <f t="shared" ref="AF42:AF45" si="76">IF(AB42="","",350)</f>
        <v/>
      </c>
      <c r="AG42" s="61" t="str">
        <f t="shared" ref="AG42:AG45" si="77">IF(AB42="","",")")</f>
        <v/>
      </c>
      <c r="AH42" s="69" t="str">
        <f t="shared" ref="AH42:AH45" si="78">IF(AI42="","","(")</f>
        <v/>
      </c>
      <c r="AI42" s="70" t="str">
        <f t="shared" ref="AI42:AI45" si="79">IF(J42="","",J42)</f>
        <v/>
      </c>
      <c r="AJ42" s="64" t="str">
        <f t="shared" ref="AJ42:AJ45" si="80">IF(AI42="","",",")</f>
        <v/>
      </c>
      <c r="AK42" s="64" t="str">
        <f t="shared" ref="AK42:AK45" si="81">IF(K42="","",K42)</f>
        <v/>
      </c>
      <c r="AL42" s="64" t="str">
        <f t="shared" ref="AL42:AL45" si="82">IF(AI42="","",",")</f>
        <v/>
      </c>
      <c r="AM42" s="64" t="str">
        <f t="shared" ref="AM42:AM45" si="83">IF(AI42="","",450)</f>
        <v/>
      </c>
      <c r="AN42" s="64" t="str">
        <f t="shared" ref="AN42:AN45" si="84">IF(AI42="","",")")</f>
        <v/>
      </c>
    </row>
    <row r="43" spans="1:40" ht="25.5" thickTop="1" thickBot="1" x14ac:dyDescent="0.4">
      <c r="B43" t="s">
        <v>997</v>
      </c>
      <c r="C43" s="82" t="s">
        <v>1050</v>
      </c>
      <c r="D43" s="83" t="s">
        <v>1013</v>
      </c>
      <c r="E43" s="83" t="s">
        <v>1011</v>
      </c>
      <c r="F43" s="83" t="s">
        <v>1046</v>
      </c>
      <c r="G43" s="83" t="s">
        <v>1011</v>
      </c>
      <c r="H43" s="83"/>
      <c r="I43" s="83"/>
      <c r="J43" s="83"/>
      <c r="K43" s="83"/>
      <c r="L43" s="84" t="str">
        <f>IF(C43="","",_xlfn.CONCAT("       triggerLine: ","""",C43,", ",M43:AN43,""", sC: ","""",B43,""", lines: ["))</f>
        <v xml:space="preserve">       triggerLine: "TÚ QUE ERES FIEL,, (Sol,m,14)(Do,m,250)", sC: "ta as", lines: [</v>
      </c>
      <c r="M43" s="56" t="str">
        <f t="shared" si="58"/>
        <v>(</v>
      </c>
      <c r="N43" s="57" t="str">
        <f t="shared" si="59"/>
        <v>Sol</v>
      </c>
      <c r="O43" s="58" t="str">
        <f t="shared" si="60"/>
        <v>,</v>
      </c>
      <c r="P43" s="59" t="str">
        <f t="shared" si="61"/>
        <v>m</v>
      </c>
      <c r="Q43" s="60" t="str">
        <f t="shared" si="62"/>
        <v>,</v>
      </c>
      <c r="R43" s="61">
        <f t="shared" si="57"/>
        <v>14</v>
      </c>
      <c r="S43" s="56" t="str">
        <f t="shared" si="63"/>
        <v>)</v>
      </c>
      <c r="T43" s="62" t="str">
        <f t="shared" si="64"/>
        <v>(</v>
      </c>
      <c r="U43" s="63" t="str">
        <f t="shared" si="65"/>
        <v>Do</v>
      </c>
      <c r="V43" s="64" t="str">
        <f t="shared" si="66"/>
        <v>,</v>
      </c>
      <c r="W43" s="65" t="str">
        <f t="shared" si="67"/>
        <v>m</v>
      </c>
      <c r="X43" s="64" t="str">
        <f t="shared" si="68"/>
        <v>,</v>
      </c>
      <c r="Y43" s="64">
        <f t="shared" si="69"/>
        <v>250</v>
      </c>
      <c r="Z43" s="56" t="str">
        <f t="shared" si="70"/>
        <v>)</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5.5" thickTop="1" thickBot="1" x14ac:dyDescent="0.4">
      <c r="B44" t="s">
        <v>999</v>
      </c>
      <c r="C44" s="85" t="s">
        <v>1051</v>
      </c>
      <c r="D44" s="86" t="s">
        <v>1013</v>
      </c>
      <c r="E44" s="86" t="s">
        <v>1011</v>
      </c>
      <c r="F44" s="86" t="s">
        <v>1046</v>
      </c>
      <c r="G44" s="86" t="s">
        <v>1011</v>
      </c>
      <c r="H44" s="87" t="s">
        <v>1045</v>
      </c>
      <c r="I44" s="87">
        <v>7</v>
      </c>
      <c r="J44" s="87"/>
      <c r="K44" s="87"/>
      <c r="L44" s="88" t="str">
        <f>IF(C44="","",_xlfn.CONCAT("            { line: ","""",C44,", ",M44:AN44,""", sC: ","""",B44,"""},"))</f>
        <v xml:space="preserve">            { line: "TÚ QUE ERES FIEL, RESPÓNDEME,, (Sol,m,14)(Do,m,250)(Re,7,350)", sC: "as"},</v>
      </c>
      <c r="M44" s="56" t="str">
        <f t="shared" si="58"/>
        <v>(</v>
      </c>
      <c r="N44" s="57" t="str">
        <f t="shared" si="59"/>
        <v>Sol</v>
      </c>
      <c r="O44" s="58" t="str">
        <f t="shared" si="60"/>
        <v>,</v>
      </c>
      <c r="P44" s="59" t="str">
        <f t="shared" si="61"/>
        <v>m</v>
      </c>
      <c r="Q44" s="60" t="str">
        <f t="shared" si="62"/>
        <v>,</v>
      </c>
      <c r="R44" s="61">
        <f t="shared" si="57"/>
        <v>14</v>
      </c>
      <c r="S44" s="56" t="str">
        <f t="shared" si="63"/>
        <v>)</v>
      </c>
      <c r="T44" s="62" t="str">
        <f t="shared" si="64"/>
        <v>(</v>
      </c>
      <c r="U44" s="63" t="str">
        <f t="shared" si="65"/>
        <v>Do</v>
      </c>
      <c r="V44" s="64" t="str">
        <f t="shared" si="66"/>
        <v>,</v>
      </c>
      <c r="W44" s="65" t="str">
        <f t="shared" si="67"/>
        <v>m</v>
      </c>
      <c r="X44" s="64" t="str">
        <f t="shared" si="68"/>
        <v>,</v>
      </c>
      <c r="Y44" s="64">
        <f t="shared" si="69"/>
        <v>250</v>
      </c>
      <c r="Z44" s="56" t="str">
        <f t="shared" si="70"/>
        <v>)</v>
      </c>
      <c r="AA44" s="66" t="str">
        <f t="shared" si="71"/>
        <v>(</v>
      </c>
      <c r="AB44" s="57" t="str">
        <f t="shared" si="72"/>
        <v>Re</v>
      </c>
      <c r="AC44" s="67" t="str">
        <f t="shared" si="73"/>
        <v>,</v>
      </c>
      <c r="AD44" s="59">
        <f t="shared" si="74"/>
        <v>7</v>
      </c>
      <c r="AE44" s="68" t="str">
        <f t="shared" si="75"/>
        <v>,</v>
      </c>
      <c r="AF44" s="61">
        <f t="shared" si="76"/>
        <v>350</v>
      </c>
      <c r="AG44" s="61" t="str">
        <f t="shared" si="77"/>
        <v>)</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93" t="s">
        <v>1052</v>
      </c>
      <c r="D45" s="83" t="s">
        <v>1046</v>
      </c>
      <c r="E45" s="83" t="s">
        <v>1011</v>
      </c>
      <c r="F45" s="83" t="s">
        <v>1045</v>
      </c>
      <c r="G45" s="83">
        <v>7</v>
      </c>
      <c r="H45" s="83"/>
      <c r="I45" s="83"/>
      <c r="J45" s="83"/>
      <c r="K45" s="83"/>
      <c r="L45" s="94" t="str">
        <f>IF(C45="","",_xlfn.CONCAT("            { line: ","""",C45,", ",M45:AN45,""", sC: ","""",B45,"""},  ]},"))</f>
        <v xml:space="preserve">            { line: "POR TU JUSTICIA RESPÓNDEME., (Do,m,10)(Re,7,250)", sC: "as"},  ]},</v>
      </c>
      <c r="M45" s="56" t="str">
        <f t="shared" si="58"/>
        <v>(</v>
      </c>
      <c r="N45" s="57" t="str">
        <f t="shared" si="59"/>
        <v>Do</v>
      </c>
      <c r="O45" s="58" t="str">
        <f t="shared" si="60"/>
        <v>,</v>
      </c>
      <c r="P45" s="59" t="str">
        <f t="shared" si="61"/>
        <v>m</v>
      </c>
      <c r="Q45" s="60" t="str">
        <f t="shared" si="62"/>
        <v>,</v>
      </c>
      <c r="R45" s="61">
        <f t="shared" si="57"/>
        <v>10</v>
      </c>
      <c r="S45" s="56" t="str">
        <f t="shared" si="63"/>
        <v>)</v>
      </c>
      <c r="T45" s="62" t="str">
        <f t="shared" si="64"/>
        <v>(</v>
      </c>
      <c r="U45" s="63" t="str">
        <f t="shared" si="65"/>
        <v>Re</v>
      </c>
      <c r="V45" s="64" t="str">
        <f t="shared" si="66"/>
        <v>,</v>
      </c>
      <c r="W45" s="65">
        <f t="shared" si="67"/>
        <v>7</v>
      </c>
      <c r="X45" s="64" t="str">
        <f t="shared" si="68"/>
        <v>,</v>
      </c>
      <c r="Y45" s="64">
        <f t="shared" si="69"/>
        <v>250</v>
      </c>
      <c r="Z45" s="56" t="str">
        <f t="shared" si="70"/>
        <v>)</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57"/>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1012</v>
      </c>
      <c r="C47" s="113" t="s">
        <v>1057</v>
      </c>
      <c r="D47" s="112" t="s">
        <v>1013</v>
      </c>
      <c r="E47" s="52" t="s">
        <v>1011</v>
      </c>
      <c r="F47" s="53" t="s">
        <v>1045</v>
      </c>
      <c r="G47" s="53">
        <v>7</v>
      </c>
      <c r="H47" s="52"/>
      <c r="I47" s="52"/>
      <c r="J47" s="54"/>
      <c r="K47" s="54"/>
      <c r="L47" s="55" t="str">
        <f t="shared" si="29"/>
        <v xml:space="preserve">            { line: "Extiendo mis manos hacia ti,,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1058</v>
      </c>
      <c r="D48" s="112" t="s">
        <v>1013</v>
      </c>
      <c r="E48" s="52" t="s">
        <v>1011</v>
      </c>
      <c r="F48" s="53"/>
      <c r="G48" s="53"/>
      <c r="H48" s="52"/>
      <c r="I48" s="52"/>
      <c r="J48" s="54"/>
      <c r="K48" s="54"/>
      <c r="L48" s="55" t="str">
        <f t="shared" si="29"/>
        <v xml:space="preserve">            { line: "tengo sed de ti como tierra reseca., (Sol,m,14)", sC: ""},</v>
      </c>
      <c r="M48" s="56" t="str">
        <f>IF(N48="","","(")</f>
        <v>(</v>
      </c>
      <c r="N48" s="57" t="str">
        <f>IF(D48="","",D48)</f>
        <v>Sol</v>
      </c>
      <c r="O48" s="58" t="str">
        <f>IF(N48="","",",")</f>
        <v>,</v>
      </c>
      <c r="P48" s="59" t="str">
        <f>IF(E48="","",E48)</f>
        <v>m</v>
      </c>
      <c r="Q48" s="60" t="str">
        <f>IF(N48="","",",")</f>
        <v>,</v>
      </c>
      <c r="R48" s="61">
        <f t="shared" si="28"/>
        <v>14</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1059</v>
      </c>
      <c r="D49" s="112" t="s">
        <v>1045</v>
      </c>
      <c r="E49" s="52">
        <v>7</v>
      </c>
      <c r="F49" s="53"/>
      <c r="G49" s="53"/>
      <c r="H49" s="52"/>
      <c r="I49" s="52"/>
      <c r="J49" s="54"/>
      <c r="K49" s="54"/>
      <c r="L49" s="55" t="str">
        <f t="shared" si="29"/>
        <v xml:space="preserve">            { line: "¡Escúchame pronto, Señor,, (Re,7,22)", sC: ""},</v>
      </c>
      <c r="M49" s="56" t="str">
        <f>IF(N49="","","(")</f>
        <v>(</v>
      </c>
      <c r="N49" s="57" t="str">
        <f>IF(D49="","",D49)</f>
        <v>Re</v>
      </c>
      <c r="O49" s="58" t="str">
        <f>IF(N49="","",",")</f>
        <v>,</v>
      </c>
      <c r="P49" s="59">
        <f>IF(E49="","",E49)</f>
        <v>7</v>
      </c>
      <c r="Q49" s="60" t="str">
        <f>IF(N49="","",",")</f>
        <v>,</v>
      </c>
      <c r="R49" s="61">
        <f t="shared" si="28"/>
        <v>22</v>
      </c>
      <c r="S49" s="56" t="str">
        <f>IF(N49="","",")")</f>
        <v>)</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t="s">
        <v>1060</v>
      </c>
      <c r="D50" s="112" t="s">
        <v>1046</v>
      </c>
      <c r="E50" s="52" t="s">
        <v>1011</v>
      </c>
      <c r="F50" s="53" t="s">
        <v>1045</v>
      </c>
      <c r="G50" s="53">
        <v>7</v>
      </c>
      <c r="H50" s="52"/>
      <c r="I50" s="52"/>
      <c r="J50" s="54"/>
      <c r="K50" s="54"/>
      <c r="L50" s="55" t="str">
        <f t="shared" si="29"/>
        <v xml:space="preserve">            { line: "que me falta el aliento!, (Do,m,10)(Re,7,250)", sC: ""},</v>
      </c>
      <c r="M50" s="56" t="str">
        <f t="shared" ref="M50" si="85">IF(N50="","","(")</f>
        <v>(</v>
      </c>
      <c r="N50" s="57" t="str">
        <f t="shared" ref="N50" si="86">IF(D50="","",D50)</f>
        <v>Do</v>
      </c>
      <c r="O50" s="58" t="str">
        <f t="shared" ref="O50" si="87">IF(N50="","",",")</f>
        <v>,</v>
      </c>
      <c r="P50" s="59" t="str">
        <f t="shared" ref="P50" si="88">IF(E50="","",E50)</f>
        <v>m</v>
      </c>
      <c r="Q50" s="60" t="str">
        <f t="shared" ref="Q50" si="89">IF(N50="","",",")</f>
        <v>,</v>
      </c>
      <c r="R50" s="61">
        <f t="shared" si="28"/>
        <v>10</v>
      </c>
      <c r="S50" s="56" t="str">
        <f t="shared" ref="S50" si="90">IF(N50="","",")")</f>
        <v>)</v>
      </c>
      <c r="T50" s="62" t="str">
        <f t="shared" ref="T50" si="91">IF(U50="","","(")</f>
        <v>(</v>
      </c>
      <c r="U50" s="63" t="str">
        <f t="shared" ref="U50" si="92">IF(F50="","",F50)</f>
        <v>Re</v>
      </c>
      <c r="V50" s="64" t="str">
        <f t="shared" ref="V50" si="93">IF(U50="","",",")</f>
        <v>,</v>
      </c>
      <c r="W50" s="65">
        <f t="shared" ref="W50" si="94">IF(G50="","",G50)</f>
        <v>7</v>
      </c>
      <c r="X50" s="64" t="str">
        <f t="shared" ref="X50" si="95">IF(U50="","",",")</f>
        <v>,</v>
      </c>
      <c r="Y50" s="64">
        <f t="shared" ref="Y50" si="96">IF(U50="","",250)</f>
        <v>250</v>
      </c>
      <c r="Z50" s="56" t="str">
        <f t="shared" ref="Z50" si="97">IF(U50="","",")")</f>
        <v>)</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7.75" thickTop="1" thickBot="1" x14ac:dyDescent="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5" si="112">IF(N52="","","(")</f>
        <v/>
      </c>
      <c r="N52" s="57" t="str">
        <f t="shared" ref="N52:N55" si="113">IF(D52="","",D52)</f>
        <v/>
      </c>
      <c r="O52" s="58" t="str">
        <f t="shared" ref="O52:O55" si="114">IF(N52="","",",")</f>
        <v/>
      </c>
      <c r="P52" s="59" t="str">
        <f t="shared" ref="P52:P55" si="115">IF(E52="","",E52)</f>
        <v/>
      </c>
      <c r="Q52" s="60" t="str">
        <f t="shared" ref="Q52:Q55" si="116">IF(N52="","",",")</f>
        <v/>
      </c>
      <c r="R52" s="61" t="str">
        <f t="shared" si="28"/>
        <v/>
      </c>
      <c r="S52" s="56" t="str">
        <f t="shared" ref="S52:S55" si="117">IF(N52="","",")")</f>
        <v/>
      </c>
      <c r="T52" s="62" t="str">
        <f t="shared" ref="T52:T55" si="118">IF(U52="","","(")</f>
        <v/>
      </c>
      <c r="U52" s="63" t="str">
        <f t="shared" ref="U52:U55" si="119">IF(F52="","",F52)</f>
        <v/>
      </c>
      <c r="V52" s="64" t="str">
        <f t="shared" ref="V52:V55" si="120">IF(U52="","",",")</f>
        <v/>
      </c>
      <c r="W52" s="65" t="str">
        <f t="shared" ref="W52:W55" si="121">IF(G52="","",G52)</f>
        <v/>
      </c>
      <c r="X52" s="64" t="str">
        <f t="shared" ref="X52:X55" si="122">IF(U52="","",",")</f>
        <v/>
      </c>
      <c r="Y52" s="64" t="str">
        <f t="shared" ref="Y52:Y55" si="123">IF(U52="","",250)</f>
        <v/>
      </c>
      <c r="Z52" s="56" t="str">
        <f t="shared" ref="Z52:Z55" si="124">IF(U52="","",")")</f>
        <v/>
      </c>
      <c r="AA52" s="66" t="str">
        <f t="shared" ref="AA52:AA55" si="125">IF(AB52="","","(")</f>
        <v/>
      </c>
      <c r="AB52" s="57" t="str">
        <f t="shared" ref="AB52:AB55" si="126">IF(H52="","",H52)</f>
        <v/>
      </c>
      <c r="AC52" s="67" t="str">
        <f t="shared" ref="AC52:AC55" si="127">IF(AB52="","",",")</f>
        <v/>
      </c>
      <c r="AD52" s="59" t="str">
        <f t="shared" ref="AD52:AD55" si="128">IF(I52="","",I52)</f>
        <v/>
      </c>
      <c r="AE52" s="68" t="str">
        <f t="shared" ref="AE52:AE55" si="129">IF(AB52="","",",")</f>
        <v/>
      </c>
      <c r="AF52" s="61" t="str">
        <f t="shared" ref="AF52:AF55" si="130">IF(AB52="","",350)</f>
        <v/>
      </c>
      <c r="AG52" s="61" t="str">
        <f t="shared" ref="AG52:AG55" si="131">IF(AB52="","",")")</f>
        <v/>
      </c>
      <c r="AH52" s="69" t="str">
        <f t="shared" ref="AH52:AH55" si="132">IF(AI52="","","(")</f>
        <v/>
      </c>
      <c r="AI52" s="70" t="str">
        <f t="shared" ref="AI52:AI55" si="133">IF(J52="","",J52)</f>
        <v/>
      </c>
      <c r="AJ52" s="64" t="str">
        <f t="shared" ref="AJ52:AJ55" si="134">IF(AI52="","",",")</f>
        <v/>
      </c>
      <c r="AK52" s="64" t="str">
        <f t="shared" ref="AK52:AK55" si="135">IF(K52="","",K52)</f>
        <v/>
      </c>
      <c r="AL52" s="64" t="str">
        <f t="shared" ref="AL52:AL55" si="136">IF(AI52="","",",")</f>
        <v/>
      </c>
      <c r="AM52" s="64" t="str">
        <f t="shared" ref="AM52:AM55" si="137">IF(AI52="","",450)</f>
        <v/>
      </c>
      <c r="AN52" s="64" t="str">
        <f t="shared" ref="AN52:AN55" si="138">IF(AI52="","",")")</f>
        <v/>
      </c>
    </row>
    <row r="53" spans="1:40" ht="25.5" thickTop="1" thickBot="1" x14ac:dyDescent="0.4">
      <c r="B53" t="s">
        <v>997</v>
      </c>
      <c r="C53" s="82" t="s">
        <v>1050</v>
      </c>
      <c r="D53" s="83" t="s">
        <v>1013</v>
      </c>
      <c r="E53" s="83" t="s">
        <v>1011</v>
      </c>
      <c r="F53" s="83" t="s">
        <v>1046</v>
      </c>
      <c r="G53" s="83" t="s">
        <v>1011</v>
      </c>
      <c r="H53" s="83"/>
      <c r="I53" s="83"/>
      <c r="J53" s="83"/>
      <c r="K53" s="83"/>
      <c r="L53" s="84" t="str">
        <f>IF(C53="","",_xlfn.CONCAT("       triggerLine: ","""",C53,", ",M53:AN53,""", sC: ","""",B53,""", lines: ["))</f>
        <v xml:space="preserve">       triggerLine: "TÚ QUE ERES FIEL,, (Sol,m,14)(Do,m,250)", sC: "ta as", lines: [</v>
      </c>
      <c r="M53" s="56" t="str">
        <f t="shared" si="112"/>
        <v>(</v>
      </c>
      <c r="N53" s="57" t="str">
        <f t="shared" si="113"/>
        <v>Sol</v>
      </c>
      <c r="O53" s="58" t="str">
        <f t="shared" si="114"/>
        <v>,</v>
      </c>
      <c r="P53" s="59" t="str">
        <f t="shared" si="115"/>
        <v>m</v>
      </c>
      <c r="Q53" s="60" t="str">
        <f t="shared" si="116"/>
        <v>,</v>
      </c>
      <c r="R53" s="61">
        <f t="shared" si="28"/>
        <v>14</v>
      </c>
      <c r="S53" s="56" t="str">
        <f t="shared" si="117"/>
        <v>)</v>
      </c>
      <c r="T53" s="62" t="str">
        <f t="shared" si="118"/>
        <v>(</v>
      </c>
      <c r="U53" s="63" t="str">
        <f t="shared" si="119"/>
        <v>Do</v>
      </c>
      <c r="V53" s="64" t="str">
        <f t="shared" si="120"/>
        <v>,</v>
      </c>
      <c r="W53" s="65" t="str">
        <f t="shared" si="121"/>
        <v>m</v>
      </c>
      <c r="X53" s="64" t="str">
        <f t="shared" si="122"/>
        <v>,</v>
      </c>
      <c r="Y53" s="64">
        <f t="shared" si="123"/>
        <v>250</v>
      </c>
      <c r="Z53" s="56" t="str">
        <f t="shared" si="124"/>
        <v>)</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5.5" thickTop="1" thickBot="1" x14ac:dyDescent="0.4">
      <c r="B54" t="s">
        <v>999</v>
      </c>
      <c r="C54" s="85" t="s">
        <v>1051</v>
      </c>
      <c r="D54" s="86" t="s">
        <v>1013</v>
      </c>
      <c r="E54" s="86" t="s">
        <v>1011</v>
      </c>
      <c r="F54" s="86" t="s">
        <v>1046</v>
      </c>
      <c r="G54" s="86" t="s">
        <v>1011</v>
      </c>
      <c r="H54" s="87" t="s">
        <v>1045</v>
      </c>
      <c r="I54" s="87">
        <v>7</v>
      </c>
      <c r="J54" s="87"/>
      <c r="K54" s="87"/>
      <c r="L54" s="88" t="str">
        <f>IF(C54="","",_xlfn.CONCAT("            { line: ","""",C54,", ",M54:AN54,""", sC: ","""",B54,"""},"))</f>
        <v xml:space="preserve">            { line: "TÚ QUE ERES FIEL, RESPÓNDEME,, (Sol,m,14)(Do,m,250)(Re,7,350)", sC: "as"},</v>
      </c>
      <c r="M54" s="56" t="str">
        <f t="shared" si="112"/>
        <v>(</v>
      </c>
      <c r="N54" s="57" t="str">
        <f t="shared" si="113"/>
        <v>Sol</v>
      </c>
      <c r="O54" s="58" t="str">
        <f t="shared" si="114"/>
        <v>,</v>
      </c>
      <c r="P54" s="59" t="str">
        <f t="shared" si="115"/>
        <v>m</v>
      </c>
      <c r="Q54" s="60" t="str">
        <f t="shared" si="116"/>
        <v>,</v>
      </c>
      <c r="R54" s="61">
        <f t="shared" si="28"/>
        <v>14</v>
      </c>
      <c r="S54" s="56" t="str">
        <f t="shared" si="117"/>
        <v>)</v>
      </c>
      <c r="T54" s="62" t="str">
        <f t="shared" si="118"/>
        <v>(</v>
      </c>
      <c r="U54" s="63" t="str">
        <f t="shared" si="119"/>
        <v>Do</v>
      </c>
      <c r="V54" s="64" t="str">
        <f t="shared" si="120"/>
        <v>,</v>
      </c>
      <c r="W54" s="65" t="str">
        <f t="shared" si="121"/>
        <v>m</v>
      </c>
      <c r="X54" s="64" t="str">
        <f t="shared" si="122"/>
        <v>,</v>
      </c>
      <c r="Y54" s="64">
        <f t="shared" si="123"/>
        <v>250</v>
      </c>
      <c r="Z54" s="56" t="str">
        <f t="shared" si="124"/>
        <v>)</v>
      </c>
      <c r="AA54" s="66" t="str">
        <f t="shared" si="125"/>
        <v>(</v>
      </c>
      <c r="AB54" s="57" t="str">
        <f t="shared" si="126"/>
        <v>Re</v>
      </c>
      <c r="AC54" s="67" t="str">
        <f t="shared" si="127"/>
        <v>,</v>
      </c>
      <c r="AD54" s="59">
        <f t="shared" si="128"/>
        <v>7</v>
      </c>
      <c r="AE54" s="68" t="str">
        <f t="shared" si="129"/>
        <v>,</v>
      </c>
      <c r="AF54" s="61">
        <f t="shared" si="130"/>
        <v>350</v>
      </c>
      <c r="AG54" s="61" t="str">
        <f t="shared" si="131"/>
        <v>)</v>
      </c>
      <c r="AH54" s="69" t="str">
        <f t="shared" si="132"/>
        <v/>
      </c>
      <c r="AI54" s="70" t="str">
        <f t="shared" si="133"/>
        <v/>
      </c>
      <c r="AJ54" s="64" t="str">
        <f t="shared" si="134"/>
        <v/>
      </c>
      <c r="AK54" s="64" t="str">
        <f t="shared" si="135"/>
        <v/>
      </c>
      <c r="AL54" s="64" t="str">
        <f t="shared" si="136"/>
        <v/>
      </c>
      <c r="AM54" s="64" t="str">
        <f t="shared" si="137"/>
        <v/>
      </c>
      <c r="AN54" s="64" t="str">
        <f t="shared" si="138"/>
        <v/>
      </c>
    </row>
    <row r="55" spans="1:40" ht="25.5" thickTop="1" thickBot="1" x14ac:dyDescent="0.4">
      <c r="B55" t="s">
        <v>999</v>
      </c>
      <c r="C55" s="93" t="s">
        <v>1052</v>
      </c>
      <c r="D55" s="83" t="s">
        <v>1046</v>
      </c>
      <c r="E55" s="83" t="s">
        <v>1011</v>
      </c>
      <c r="F55" s="83" t="s">
        <v>1045</v>
      </c>
      <c r="G55" s="83">
        <v>7</v>
      </c>
      <c r="H55" s="83"/>
      <c r="I55" s="83"/>
      <c r="J55" s="83"/>
      <c r="K55" s="83"/>
      <c r="L55" s="94" t="str">
        <f>IF(C55="","",_xlfn.CONCAT("            { line: ","""",C55,", ",M55:AN55,""", sC: ","""",B55,"""},  ]},"))</f>
        <v xml:space="preserve">            { line: "POR TU JUSTICIA RESPÓNDEME., (Do,m,10)(Re,7,250)", sC: "as"},  ]},</v>
      </c>
      <c r="M55" s="56" t="str">
        <f t="shared" si="112"/>
        <v>(</v>
      </c>
      <c r="N55" s="57" t="str">
        <f t="shared" si="113"/>
        <v>Do</v>
      </c>
      <c r="O55" s="58" t="str">
        <f t="shared" si="114"/>
        <v>,</v>
      </c>
      <c r="P55" s="59" t="str">
        <f t="shared" si="115"/>
        <v>m</v>
      </c>
      <c r="Q55" s="60" t="str">
        <f t="shared" si="116"/>
        <v>,</v>
      </c>
      <c r="R55" s="61">
        <f t="shared" si="28"/>
        <v>10</v>
      </c>
      <c r="S55" s="56" t="str">
        <f t="shared" si="117"/>
        <v>)</v>
      </c>
      <c r="T55" s="62" t="str">
        <f t="shared" si="118"/>
        <v>(</v>
      </c>
      <c r="U55" s="63" t="str">
        <f t="shared" si="119"/>
        <v>Re</v>
      </c>
      <c r="V55" s="64" t="str">
        <f t="shared" si="120"/>
        <v>,</v>
      </c>
      <c r="W55" s="65">
        <f t="shared" si="121"/>
        <v>7</v>
      </c>
      <c r="X55" s="64" t="str">
        <f t="shared" si="122"/>
        <v>,</v>
      </c>
      <c r="Y55" s="64">
        <f t="shared" si="123"/>
        <v>250</v>
      </c>
      <c r="Z55" s="56" t="str">
        <f t="shared" si="124"/>
        <v>)</v>
      </c>
      <c r="AA55" s="66" t="str">
        <f t="shared" si="125"/>
        <v/>
      </c>
      <c r="AB55" s="57" t="str">
        <f t="shared" si="126"/>
        <v/>
      </c>
      <c r="AC55" s="67" t="str">
        <f t="shared" si="127"/>
        <v/>
      </c>
      <c r="AD55" s="59" t="str">
        <f t="shared" si="128"/>
        <v/>
      </c>
      <c r="AE55" s="68" t="str">
        <f t="shared" si="129"/>
        <v/>
      </c>
      <c r="AF55" s="61" t="str">
        <f t="shared" si="130"/>
        <v/>
      </c>
      <c r="AG55" s="61" t="str">
        <f t="shared" si="131"/>
        <v/>
      </c>
      <c r="AH55" s="69" t="str">
        <f t="shared" si="132"/>
        <v/>
      </c>
      <c r="AI55" s="70" t="str">
        <f t="shared" si="133"/>
        <v/>
      </c>
      <c r="AJ55" s="64" t="str">
        <f t="shared" si="134"/>
        <v/>
      </c>
      <c r="AK55" s="64" t="str">
        <f t="shared" si="135"/>
        <v/>
      </c>
      <c r="AL55" s="64" t="str">
        <f t="shared" si="136"/>
        <v/>
      </c>
      <c r="AM55" s="64" t="str">
        <f t="shared" si="137"/>
        <v/>
      </c>
      <c r="AN55" s="64" t="str">
        <f t="shared" si="138"/>
        <v/>
      </c>
    </row>
    <row r="56" spans="1:40" ht="36.75" thickTop="1" thickBot="1" x14ac:dyDescent="0.4">
      <c r="A56" s="76"/>
      <c r="B56" s="76"/>
      <c r="C56" s="76" t="s">
        <v>1047</v>
      </c>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thickTop="1" thickBot="1" x14ac:dyDescent="0.4">
      <c r="B57" t="s">
        <v>1012</v>
      </c>
      <c r="C57" s="113" t="s">
        <v>1061</v>
      </c>
      <c r="D57" s="112" t="s">
        <v>1013</v>
      </c>
      <c r="E57" s="52" t="s">
        <v>1011</v>
      </c>
      <c r="F57" s="53" t="s">
        <v>1045</v>
      </c>
      <c r="G57" s="53">
        <v>7</v>
      </c>
      <c r="H57" s="52"/>
      <c r="I57" s="52"/>
      <c r="J57" s="54"/>
      <c r="K57" s="54"/>
      <c r="L57" s="55" t="str">
        <f t="shared" ref="L57:L70" si="139">IF(C57="","",_xlfn.CONCAT("            { line: ","""",C57,", ",M57:AN57,""", sC: ","""",B57,"""},"))</f>
        <v xml:space="preserve">            { line: "Hazme conocer el camino,, (Sol,m,14)(Re,7,250)", sC: "tc"},</v>
      </c>
      <c r="M57" s="56" t="str">
        <f t="shared" ref="M57:M70" si="140">IF(N57="","","(")</f>
        <v>(</v>
      </c>
      <c r="N57" s="57" t="str">
        <f t="shared" si="2"/>
        <v>Sol</v>
      </c>
      <c r="O57" s="58" t="str">
        <f t="shared" ref="O57:O70" si="141">IF(N57="","",",")</f>
        <v>,</v>
      </c>
      <c r="P57" s="59" t="str">
        <f t="shared" si="4"/>
        <v>m</v>
      </c>
      <c r="Q57" s="60" t="str">
        <f t="shared" ref="Q57:Q70" si="142">IF(N57="","",",")</f>
        <v>,</v>
      </c>
      <c r="R57" s="61">
        <f t="shared" si="28"/>
        <v>14</v>
      </c>
      <c r="S57" s="56" t="str">
        <f t="shared" ref="S57:S70" si="143">IF(N57="","",")")</f>
        <v>)</v>
      </c>
      <c r="T57" s="62" t="str">
        <f t="shared" ref="T57:T70" si="144">IF(U57="","","(")</f>
        <v>(</v>
      </c>
      <c r="U57" s="63" t="str">
        <f t="shared" si="8"/>
        <v>Re</v>
      </c>
      <c r="V57" s="64" t="str">
        <f t="shared" ref="V57:V70" si="145">IF(U57="","",",")</f>
        <v>,</v>
      </c>
      <c r="W57" s="65">
        <f t="shared" si="10"/>
        <v>7</v>
      </c>
      <c r="X57" s="64" t="str">
        <f t="shared" ref="X57:X70" si="146">IF(U57="","",",")</f>
        <v>,</v>
      </c>
      <c r="Y57" s="64">
        <f t="shared" ref="Y57:Y70" si="147">IF(U57="","",250)</f>
        <v>250</v>
      </c>
      <c r="Z57" s="56" t="str">
        <f t="shared" ref="Z57:Z70" si="148">IF(U57="","",")")</f>
        <v>)</v>
      </c>
      <c r="AA57" s="66" t="str">
        <f t="shared" ref="AA57:AA70" si="149">IF(AB57="","","(")</f>
        <v/>
      </c>
      <c r="AB57" s="57" t="str">
        <f t="shared" si="15"/>
        <v/>
      </c>
      <c r="AC57" s="67" t="str">
        <f t="shared" ref="AC57:AC70" si="150">IF(AB57="","",",")</f>
        <v/>
      </c>
      <c r="AD57" s="59" t="str">
        <f t="shared" ref="AD57:AD70" si="151">IF(I57="","",I57)</f>
        <v/>
      </c>
      <c r="AE57" s="68" t="str">
        <f t="shared" ref="AE57:AE70" si="152">IF(AB57="","",",")</f>
        <v/>
      </c>
      <c r="AF57" s="61" t="str">
        <f t="shared" ref="AF57:AF70" si="153">IF(AB57="","",350)</f>
        <v/>
      </c>
      <c r="AG57" s="61" t="str">
        <f t="shared" ref="AG57:AG70" si="154">IF(AB57="","",")")</f>
        <v/>
      </c>
      <c r="AH57" s="69" t="str">
        <f t="shared" ref="AH57:AH70" si="155">IF(AI57="","","(")</f>
        <v/>
      </c>
      <c r="AI57" s="70" t="str">
        <f t="shared" si="22"/>
        <v/>
      </c>
      <c r="AJ57" s="64" t="str">
        <f t="shared" ref="AJ57:AJ70" si="156">IF(AI57="","",",")</f>
        <v/>
      </c>
      <c r="AK57" s="64" t="str">
        <f t="shared" ref="AK57:AK70" si="157">IF(K57="","",K57)</f>
        <v/>
      </c>
      <c r="AL57" s="64" t="str">
        <f t="shared" ref="AL57:AL70" si="158">IF(AI57="","",",")</f>
        <v/>
      </c>
      <c r="AM57" s="64" t="str">
        <f t="shared" ref="AM57:AM70" si="159">IF(AI57="","",450)</f>
        <v/>
      </c>
      <c r="AN57" s="64" t="str">
        <f t="shared" ref="AN57:AN70" si="160">IF(AI57="","",")")</f>
        <v/>
      </c>
    </row>
    <row r="58" spans="1:40" ht="25.5" thickTop="1" thickBot="1" x14ac:dyDescent="0.4">
      <c r="C58" s="113" t="s">
        <v>1062</v>
      </c>
      <c r="D58" s="112" t="s">
        <v>1013</v>
      </c>
      <c r="E58" s="52" t="s">
        <v>1011</v>
      </c>
      <c r="F58" s="53"/>
      <c r="G58" s="53"/>
      <c r="H58" s="52"/>
      <c r="I58" s="52"/>
      <c r="J58" s="54"/>
      <c r="K58" s="54"/>
      <c r="L58" s="55" t="str">
        <f t="shared" si="139"/>
        <v xml:space="preserve">            { line: "la vía que he de seguir., (Sol,m,14)", sC: ""},</v>
      </c>
      <c r="M58" s="56" t="str">
        <f t="shared" si="140"/>
        <v>(</v>
      </c>
      <c r="N58" s="57" t="str">
        <f t="shared" si="2"/>
        <v>Sol</v>
      </c>
      <c r="O58" s="58" t="str">
        <f t="shared" si="141"/>
        <v>,</v>
      </c>
      <c r="P58" s="59" t="str">
        <f t="shared" si="4"/>
        <v>m</v>
      </c>
      <c r="Q58" s="60" t="str">
        <f t="shared" si="142"/>
        <v>,</v>
      </c>
      <c r="R58" s="61">
        <f t="shared" si="28"/>
        <v>14</v>
      </c>
      <c r="S58" s="56" t="str">
        <f t="shared" si="143"/>
        <v>)</v>
      </c>
      <c r="T58" s="62" t="str">
        <f t="shared" si="144"/>
        <v/>
      </c>
      <c r="U58" s="63" t="str">
        <f t="shared" si="8"/>
        <v/>
      </c>
      <c r="V58" s="64" t="str">
        <f t="shared" si="145"/>
        <v/>
      </c>
      <c r="W58" s="65" t="str">
        <f t="shared" si="10"/>
        <v/>
      </c>
      <c r="X58" s="64" t="str">
        <f t="shared" si="146"/>
        <v/>
      </c>
      <c r="Y58" s="64" t="str">
        <f t="shared" si="147"/>
        <v/>
      </c>
      <c r="Z58" s="56" t="str">
        <f t="shared" si="148"/>
        <v/>
      </c>
      <c r="AA58" s="66" t="str">
        <f t="shared" si="149"/>
        <v/>
      </c>
      <c r="AB58" s="57" t="str">
        <f t="shared" si="15"/>
        <v/>
      </c>
      <c r="AC58" s="67" t="str">
        <f t="shared" si="150"/>
        <v/>
      </c>
      <c r="AD58" s="59" t="str">
        <f t="shared" si="151"/>
        <v/>
      </c>
      <c r="AE58" s="68" t="str">
        <f t="shared" si="152"/>
        <v/>
      </c>
      <c r="AF58" s="61" t="str">
        <f t="shared" si="153"/>
        <v/>
      </c>
      <c r="AG58" s="61" t="str">
        <f t="shared" si="154"/>
        <v/>
      </c>
      <c r="AH58" s="69" t="str">
        <f t="shared" si="155"/>
        <v/>
      </c>
      <c r="AI58" s="70" t="str">
        <f t="shared" si="22"/>
        <v/>
      </c>
      <c r="AJ58" s="64" t="str">
        <f t="shared" si="156"/>
        <v/>
      </c>
      <c r="AK58" s="64" t="str">
        <f t="shared" si="157"/>
        <v/>
      </c>
      <c r="AL58" s="64" t="str">
        <f t="shared" si="158"/>
        <v/>
      </c>
      <c r="AM58" s="64" t="str">
        <f t="shared" si="159"/>
        <v/>
      </c>
      <c r="AN58" s="64" t="str">
        <f t="shared" si="160"/>
        <v/>
      </c>
    </row>
    <row r="59" spans="1:40" ht="25.5" thickTop="1" thickBot="1" x14ac:dyDescent="0.4">
      <c r="C59" s="113" t="s">
        <v>1063</v>
      </c>
      <c r="D59" s="112" t="s">
        <v>1045</v>
      </c>
      <c r="E59" s="52">
        <v>7</v>
      </c>
      <c r="F59" s="53"/>
      <c r="G59" s="53"/>
      <c r="H59" s="52"/>
      <c r="I59" s="52"/>
      <c r="J59" s="54"/>
      <c r="K59" s="54"/>
      <c r="L59" s="55" t="str">
        <f t="shared" si="139"/>
        <v xml:space="preserve">            { line: "Líbrame de mis enemigos,, (Re,7,22)", sC: ""},</v>
      </c>
      <c r="M59" s="56" t="str">
        <f t="shared" si="140"/>
        <v>(</v>
      </c>
      <c r="N59" s="57" t="str">
        <f t="shared" si="2"/>
        <v>Re</v>
      </c>
      <c r="O59" s="58" t="str">
        <f t="shared" si="141"/>
        <v>,</v>
      </c>
      <c r="P59" s="59">
        <f t="shared" si="4"/>
        <v>7</v>
      </c>
      <c r="Q59" s="60" t="str">
        <f t="shared" si="142"/>
        <v>,</v>
      </c>
      <c r="R59" s="61">
        <f t="shared" si="28"/>
        <v>22</v>
      </c>
      <c r="S59" s="56" t="str">
        <f t="shared" si="143"/>
        <v>)</v>
      </c>
      <c r="T59" s="62" t="str">
        <f t="shared" si="144"/>
        <v/>
      </c>
      <c r="U59" s="63" t="str">
        <f t="shared" si="8"/>
        <v/>
      </c>
      <c r="V59" s="64" t="str">
        <f t="shared" si="145"/>
        <v/>
      </c>
      <c r="W59" s="65" t="str">
        <f t="shared" si="10"/>
        <v/>
      </c>
      <c r="X59" s="64" t="str">
        <f t="shared" si="146"/>
        <v/>
      </c>
      <c r="Y59" s="64" t="str">
        <f t="shared" si="147"/>
        <v/>
      </c>
      <c r="Z59" s="56" t="str">
        <f t="shared" si="148"/>
        <v/>
      </c>
      <c r="AA59" s="66" t="str">
        <f t="shared" si="149"/>
        <v/>
      </c>
      <c r="AB59" s="57" t="str">
        <f t="shared" si="15"/>
        <v/>
      </c>
      <c r="AC59" s="67" t="str">
        <f t="shared" si="150"/>
        <v/>
      </c>
      <c r="AD59" s="59" t="str">
        <f t="shared" si="151"/>
        <v/>
      </c>
      <c r="AE59" s="68" t="str">
        <f t="shared" si="152"/>
        <v/>
      </c>
      <c r="AF59" s="61" t="str">
        <f t="shared" si="153"/>
        <v/>
      </c>
      <c r="AG59" s="61" t="str">
        <f t="shared" si="154"/>
        <v/>
      </c>
      <c r="AH59" s="69" t="str">
        <f t="shared" si="155"/>
        <v/>
      </c>
      <c r="AI59" s="70" t="str">
        <f t="shared" si="22"/>
        <v/>
      </c>
      <c r="AJ59" s="64" t="str">
        <f t="shared" si="156"/>
        <v/>
      </c>
      <c r="AK59" s="64" t="str">
        <f t="shared" si="157"/>
        <v/>
      </c>
      <c r="AL59" s="64" t="str">
        <f t="shared" si="158"/>
        <v/>
      </c>
      <c r="AM59" s="64" t="str">
        <f t="shared" si="159"/>
        <v/>
      </c>
      <c r="AN59" s="64" t="str">
        <f t="shared" si="160"/>
        <v/>
      </c>
    </row>
    <row r="60" spans="1:40" ht="25.5" thickTop="1" thickBot="1" x14ac:dyDescent="0.4">
      <c r="C60" s="113" t="s">
        <v>1064</v>
      </c>
      <c r="D60" s="112" t="s">
        <v>1046</v>
      </c>
      <c r="E60" s="52" t="s">
        <v>1011</v>
      </c>
      <c r="F60" s="53" t="s">
        <v>1045</v>
      </c>
      <c r="G60" s="53">
        <v>7</v>
      </c>
      <c r="H60" s="52"/>
      <c r="I60" s="52"/>
      <c r="J60" s="54"/>
      <c r="K60" s="54"/>
      <c r="L60" s="55" t="str">
        <f t="shared" si="139"/>
        <v xml:space="preserve">            { line: "Señor, que me refugio en ti., (Do,m,10)(Re,7,250)", sC: ""},</v>
      </c>
      <c r="M60" s="56" t="str">
        <f t="shared" si="140"/>
        <v>(</v>
      </c>
      <c r="N60" s="57" t="str">
        <f t="shared" si="2"/>
        <v>Do</v>
      </c>
      <c r="O60" s="58" t="str">
        <f t="shared" si="141"/>
        <v>,</v>
      </c>
      <c r="P60" s="59" t="str">
        <f t="shared" si="4"/>
        <v>m</v>
      </c>
      <c r="Q60" s="60" t="str">
        <f t="shared" si="142"/>
        <v>,</v>
      </c>
      <c r="R60" s="61">
        <f t="shared" si="28"/>
        <v>10</v>
      </c>
      <c r="S60" s="56" t="str">
        <f t="shared" si="143"/>
        <v>)</v>
      </c>
      <c r="T60" s="62" t="str">
        <f t="shared" si="144"/>
        <v>(</v>
      </c>
      <c r="U60" s="63" t="str">
        <f t="shared" si="8"/>
        <v>Re</v>
      </c>
      <c r="V60" s="64" t="str">
        <f t="shared" si="145"/>
        <v>,</v>
      </c>
      <c r="W60" s="65">
        <f t="shared" si="10"/>
        <v>7</v>
      </c>
      <c r="X60" s="64" t="str">
        <f t="shared" si="146"/>
        <v>,</v>
      </c>
      <c r="Y60" s="64">
        <f t="shared" si="147"/>
        <v>250</v>
      </c>
      <c r="Z60" s="56" t="str">
        <f t="shared" si="148"/>
        <v>)</v>
      </c>
      <c r="AA60" s="66" t="str">
        <f t="shared" si="149"/>
        <v/>
      </c>
      <c r="AB60" s="57" t="str">
        <f t="shared" si="15"/>
        <v/>
      </c>
      <c r="AC60" s="67" t="str">
        <f t="shared" si="150"/>
        <v/>
      </c>
      <c r="AD60" s="59" t="str">
        <f t="shared" si="151"/>
        <v/>
      </c>
      <c r="AE60" s="68" t="str">
        <f t="shared" si="152"/>
        <v/>
      </c>
      <c r="AF60" s="61" t="str">
        <f t="shared" si="153"/>
        <v/>
      </c>
      <c r="AG60" s="61" t="str">
        <f t="shared" si="154"/>
        <v/>
      </c>
      <c r="AH60" s="69" t="str">
        <f t="shared" si="155"/>
        <v/>
      </c>
      <c r="AI60" s="70" t="str">
        <f t="shared" si="22"/>
        <v/>
      </c>
      <c r="AJ60" s="64" t="str">
        <f t="shared" si="156"/>
        <v/>
      </c>
      <c r="AK60" s="64" t="str">
        <f t="shared" si="157"/>
        <v/>
      </c>
      <c r="AL60" s="64" t="str">
        <f t="shared" si="158"/>
        <v/>
      </c>
      <c r="AM60" s="64" t="str">
        <f t="shared" si="159"/>
        <v/>
      </c>
      <c r="AN60" s="64" t="str">
        <f t="shared" si="160"/>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si="28"/>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79" t="s">
        <v>995</v>
      </c>
      <c r="D62" s="80"/>
      <c r="E62" s="80"/>
      <c r="F62" s="80"/>
      <c r="G62" s="80"/>
      <c r="H62" s="80"/>
      <c r="I62" s="80"/>
      <c r="J62" s="80"/>
      <c r="K62" s="80"/>
      <c r="L62" s="81" t="s">
        <v>996</v>
      </c>
      <c r="M62" s="56" t="str">
        <f t="shared" ref="M62:M65" si="161">IF(N62="","","(")</f>
        <v/>
      </c>
      <c r="N62" s="57" t="str">
        <f t="shared" ref="N62:N65" si="162">IF(D62="","",D62)</f>
        <v/>
      </c>
      <c r="O62" s="58" t="str">
        <f t="shared" ref="O62:O65" si="163">IF(N62="","",",")</f>
        <v/>
      </c>
      <c r="P62" s="59" t="str">
        <f t="shared" ref="P62:P65" si="164">IF(E62="","",E62)</f>
        <v/>
      </c>
      <c r="Q62" s="60" t="str">
        <f t="shared" ref="Q62:Q65" si="165">IF(N62="","",",")</f>
        <v/>
      </c>
      <c r="R62" s="61" t="str">
        <f t="shared" si="28"/>
        <v/>
      </c>
      <c r="S62" s="56" t="str">
        <f t="shared" ref="S62:S65" si="166">IF(N62="","",")")</f>
        <v/>
      </c>
      <c r="T62" s="62" t="str">
        <f t="shared" ref="T62:T65" si="167">IF(U62="","","(")</f>
        <v/>
      </c>
      <c r="U62" s="63" t="str">
        <f t="shared" ref="U62:U65" si="168">IF(F62="","",F62)</f>
        <v/>
      </c>
      <c r="V62" s="64" t="str">
        <f t="shared" ref="V62:V65" si="169">IF(U62="","",",")</f>
        <v/>
      </c>
      <c r="W62" s="65" t="str">
        <f t="shared" ref="W62:W65" si="170">IF(G62="","",G62)</f>
        <v/>
      </c>
      <c r="X62" s="64" t="str">
        <f t="shared" ref="X62:X65" si="171">IF(U62="","",",")</f>
        <v/>
      </c>
      <c r="Y62" s="64" t="str">
        <f t="shared" ref="Y62:Y65" si="172">IF(U62="","",250)</f>
        <v/>
      </c>
      <c r="Z62" s="56" t="str">
        <f t="shared" ref="Z62:Z65" si="173">IF(U62="","",")")</f>
        <v/>
      </c>
      <c r="AA62" s="66" t="str">
        <f t="shared" ref="AA62:AA65" si="174">IF(AB62="","","(")</f>
        <v/>
      </c>
      <c r="AB62" s="57" t="str">
        <f t="shared" ref="AB62:AB65" si="175">IF(H62="","",H62)</f>
        <v/>
      </c>
      <c r="AC62" s="67" t="str">
        <f t="shared" ref="AC62:AC65" si="176">IF(AB62="","",",")</f>
        <v/>
      </c>
      <c r="AD62" s="59" t="str">
        <f t="shared" ref="AD62:AD65" si="177">IF(I62="","",I62)</f>
        <v/>
      </c>
      <c r="AE62" s="68" t="str">
        <f t="shared" ref="AE62:AE65" si="178">IF(AB62="","",",")</f>
        <v/>
      </c>
      <c r="AF62" s="61" t="str">
        <f t="shared" ref="AF62:AF65" si="179">IF(AB62="","",350)</f>
        <v/>
      </c>
      <c r="AG62" s="61" t="str">
        <f t="shared" ref="AG62:AG65" si="180">IF(AB62="","",")")</f>
        <v/>
      </c>
      <c r="AH62" s="69" t="str">
        <f t="shared" ref="AH62:AH65" si="181">IF(AI62="","","(")</f>
        <v/>
      </c>
      <c r="AI62" s="70" t="str">
        <f t="shared" ref="AI62:AI65" si="182">IF(J62="","",J62)</f>
        <v/>
      </c>
      <c r="AJ62" s="64" t="str">
        <f t="shared" ref="AJ62:AJ65" si="183">IF(AI62="","",",")</f>
        <v/>
      </c>
      <c r="AK62" s="64" t="str">
        <f t="shared" ref="AK62:AK65" si="184">IF(K62="","",K62)</f>
        <v/>
      </c>
      <c r="AL62" s="64" t="str">
        <f t="shared" ref="AL62:AL65" si="185">IF(AI62="","",",")</f>
        <v/>
      </c>
      <c r="AM62" s="64" t="str">
        <f t="shared" ref="AM62:AM65" si="186">IF(AI62="","",450)</f>
        <v/>
      </c>
      <c r="AN62" s="64" t="str">
        <f t="shared" ref="AN62:AN65" si="187">IF(AI62="","",")")</f>
        <v/>
      </c>
    </row>
    <row r="63" spans="1:40" ht="25.5" thickTop="1" thickBot="1" x14ac:dyDescent="0.4">
      <c r="B63" t="s">
        <v>997</v>
      </c>
      <c r="C63" s="82" t="s">
        <v>1050</v>
      </c>
      <c r="D63" s="83" t="s">
        <v>1013</v>
      </c>
      <c r="E63" s="83" t="s">
        <v>1011</v>
      </c>
      <c r="F63" s="83" t="s">
        <v>1046</v>
      </c>
      <c r="G63" s="83" t="s">
        <v>1011</v>
      </c>
      <c r="H63" s="83"/>
      <c r="I63" s="83"/>
      <c r="J63" s="83"/>
      <c r="K63" s="83"/>
      <c r="L63" s="84" t="str">
        <f>IF(C63="","",_xlfn.CONCAT("       triggerLine: ","""",C63,", ",M63:AN63,""", sC: ","""",B63,""", lines: ["))</f>
        <v xml:space="preserve">       triggerLine: "TÚ QUE ERES FIEL,, (Sol,m,14)(Do,m,250)", sC: "ta as", lines: [</v>
      </c>
      <c r="M63" s="56" t="str">
        <f t="shared" si="161"/>
        <v>(</v>
      </c>
      <c r="N63" s="57" t="str">
        <f t="shared" si="162"/>
        <v>Sol</v>
      </c>
      <c r="O63" s="58" t="str">
        <f t="shared" si="163"/>
        <v>,</v>
      </c>
      <c r="P63" s="59" t="str">
        <f t="shared" si="164"/>
        <v>m</v>
      </c>
      <c r="Q63" s="60" t="str">
        <f t="shared" si="165"/>
        <v>,</v>
      </c>
      <c r="R63" s="61">
        <f t="shared" si="28"/>
        <v>14</v>
      </c>
      <c r="S63" s="56" t="str">
        <f t="shared" si="166"/>
        <v>)</v>
      </c>
      <c r="T63" s="62" t="str">
        <f t="shared" si="167"/>
        <v>(</v>
      </c>
      <c r="U63" s="63" t="str">
        <f t="shared" si="168"/>
        <v>Do</v>
      </c>
      <c r="V63" s="64" t="str">
        <f t="shared" si="169"/>
        <v>,</v>
      </c>
      <c r="W63" s="65" t="str">
        <f t="shared" si="170"/>
        <v>m</v>
      </c>
      <c r="X63" s="64" t="str">
        <f t="shared" si="171"/>
        <v>,</v>
      </c>
      <c r="Y63" s="64">
        <f t="shared" si="172"/>
        <v>250</v>
      </c>
      <c r="Z63" s="56" t="str">
        <f t="shared" si="173"/>
        <v>)</v>
      </c>
      <c r="AA63" s="66" t="str">
        <f t="shared" si="174"/>
        <v/>
      </c>
      <c r="AB63" s="57" t="str">
        <f t="shared" si="175"/>
        <v/>
      </c>
      <c r="AC63" s="67" t="str">
        <f t="shared" si="176"/>
        <v/>
      </c>
      <c r="AD63" s="59" t="str">
        <f t="shared" si="177"/>
        <v/>
      </c>
      <c r="AE63" s="68" t="str">
        <f t="shared" si="178"/>
        <v/>
      </c>
      <c r="AF63" s="61" t="str">
        <f t="shared" si="179"/>
        <v/>
      </c>
      <c r="AG63" s="61" t="str">
        <f t="shared" si="180"/>
        <v/>
      </c>
      <c r="AH63" s="69" t="str">
        <f t="shared" si="181"/>
        <v/>
      </c>
      <c r="AI63" s="70" t="str">
        <f t="shared" si="182"/>
        <v/>
      </c>
      <c r="AJ63" s="64" t="str">
        <f t="shared" si="183"/>
        <v/>
      </c>
      <c r="AK63" s="64" t="str">
        <f t="shared" si="184"/>
        <v/>
      </c>
      <c r="AL63" s="64" t="str">
        <f t="shared" si="185"/>
        <v/>
      </c>
      <c r="AM63" s="64" t="str">
        <f t="shared" si="186"/>
        <v/>
      </c>
      <c r="AN63" s="64" t="str">
        <f t="shared" si="187"/>
        <v/>
      </c>
    </row>
    <row r="64" spans="1:40" ht="25.5" thickTop="1" thickBot="1" x14ac:dyDescent="0.4">
      <c r="B64" t="s">
        <v>999</v>
      </c>
      <c r="C64" s="85" t="s">
        <v>1051</v>
      </c>
      <c r="D64" s="86" t="s">
        <v>1013</v>
      </c>
      <c r="E64" s="86" t="s">
        <v>1011</v>
      </c>
      <c r="F64" s="86" t="s">
        <v>1046</v>
      </c>
      <c r="G64" s="86" t="s">
        <v>1011</v>
      </c>
      <c r="H64" s="87" t="s">
        <v>1045</v>
      </c>
      <c r="I64" s="87">
        <v>7</v>
      </c>
      <c r="J64" s="87"/>
      <c r="K64" s="87"/>
      <c r="L64" s="88" t="str">
        <f>IF(C64="","",_xlfn.CONCAT("            { line: ","""",C64,", ",M64:AN64,""", sC: ","""",B64,"""},"))</f>
        <v xml:space="preserve">            { line: "TÚ QUE ERES FIEL, RESPÓNDEME,, (Sol,m,14)(Do,m,250)(Re,7,350)", sC: "as"},</v>
      </c>
      <c r="M64" s="56" t="str">
        <f t="shared" si="161"/>
        <v>(</v>
      </c>
      <c r="N64" s="57" t="str">
        <f t="shared" si="162"/>
        <v>Sol</v>
      </c>
      <c r="O64" s="58" t="str">
        <f t="shared" si="163"/>
        <v>,</v>
      </c>
      <c r="P64" s="59" t="str">
        <f t="shared" si="164"/>
        <v>m</v>
      </c>
      <c r="Q64" s="60" t="str">
        <f t="shared" si="165"/>
        <v>,</v>
      </c>
      <c r="R64" s="61">
        <f t="shared" si="28"/>
        <v>14</v>
      </c>
      <c r="S64" s="56" t="str">
        <f t="shared" si="166"/>
        <v>)</v>
      </c>
      <c r="T64" s="62" t="str">
        <f t="shared" si="167"/>
        <v>(</v>
      </c>
      <c r="U64" s="63" t="str">
        <f t="shared" si="168"/>
        <v>Do</v>
      </c>
      <c r="V64" s="64" t="str">
        <f t="shared" si="169"/>
        <v>,</v>
      </c>
      <c r="W64" s="65" t="str">
        <f t="shared" si="170"/>
        <v>m</v>
      </c>
      <c r="X64" s="64" t="str">
        <f t="shared" si="171"/>
        <v>,</v>
      </c>
      <c r="Y64" s="64">
        <f t="shared" si="172"/>
        <v>250</v>
      </c>
      <c r="Z64" s="56" t="str">
        <f t="shared" si="173"/>
        <v>)</v>
      </c>
      <c r="AA64" s="66" t="str">
        <f t="shared" si="174"/>
        <v>(</v>
      </c>
      <c r="AB64" s="57" t="str">
        <f t="shared" si="175"/>
        <v>Re</v>
      </c>
      <c r="AC64" s="67" t="str">
        <f t="shared" si="176"/>
        <v>,</v>
      </c>
      <c r="AD64" s="59">
        <f t="shared" si="177"/>
        <v>7</v>
      </c>
      <c r="AE64" s="68" t="str">
        <f t="shared" si="178"/>
        <v>,</v>
      </c>
      <c r="AF64" s="61">
        <f t="shared" si="179"/>
        <v>350</v>
      </c>
      <c r="AG64" s="61" t="str">
        <f t="shared" si="180"/>
        <v>)</v>
      </c>
      <c r="AH64" s="69" t="str">
        <f t="shared" si="181"/>
        <v/>
      </c>
      <c r="AI64" s="70" t="str">
        <f t="shared" si="182"/>
        <v/>
      </c>
      <c r="AJ64" s="64" t="str">
        <f t="shared" si="183"/>
        <v/>
      </c>
      <c r="AK64" s="64" t="str">
        <f t="shared" si="184"/>
        <v/>
      </c>
      <c r="AL64" s="64" t="str">
        <f t="shared" si="185"/>
        <v/>
      </c>
      <c r="AM64" s="64" t="str">
        <f t="shared" si="186"/>
        <v/>
      </c>
      <c r="AN64" s="64" t="str">
        <f t="shared" si="187"/>
        <v/>
      </c>
    </row>
    <row r="65" spans="1:40" ht="25.5" thickTop="1" thickBot="1" x14ac:dyDescent="0.4">
      <c r="B65" t="s">
        <v>999</v>
      </c>
      <c r="C65" s="93" t="s">
        <v>1052</v>
      </c>
      <c r="D65" s="83" t="s">
        <v>1046</v>
      </c>
      <c r="E65" s="83" t="s">
        <v>1011</v>
      </c>
      <c r="F65" s="83" t="s">
        <v>1045</v>
      </c>
      <c r="G65" s="83">
        <v>7</v>
      </c>
      <c r="H65" s="83"/>
      <c r="I65" s="83"/>
      <c r="J65" s="83"/>
      <c r="K65" s="83"/>
      <c r="L65" s="94" t="str">
        <f>IF(C65="","",_xlfn.CONCAT("            { line: ","""",C65,", ",M65:AN65,""", sC: ","""",B65,"""},  ]},"))</f>
        <v xml:space="preserve">            { line: "POR TU JUSTICIA RESPÓNDEME., (Do,m,10)(Re,7,250)", sC: "as"},  ]},</v>
      </c>
      <c r="M65" s="56" t="str">
        <f t="shared" si="161"/>
        <v>(</v>
      </c>
      <c r="N65" s="57" t="str">
        <f t="shared" si="162"/>
        <v>Do</v>
      </c>
      <c r="O65" s="58" t="str">
        <f t="shared" si="163"/>
        <v>,</v>
      </c>
      <c r="P65" s="59" t="str">
        <f t="shared" si="164"/>
        <v>m</v>
      </c>
      <c r="Q65" s="60" t="str">
        <f t="shared" si="165"/>
        <v>,</v>
      </c>
      <c r="R65" s="61">
        <f t="shared" si="28"/>
        <v>10</v>
      </c>
      <c r="S65" s="56" t="str">
        <f t="shared" si="166"/>
        <v>)</v>
      </c>
      <c r="T65" s="62" t="str">
        <f t="shared" si="167"/>
        <v>(</v>
      </c>
      <c r="U65" s="63" t="str">
        <f t="shared" si="168"/>
        <v>Re</v>
      </c>
      <c r="V65" s="64" t="str">
        <f t="shared" si="169"/>
        <v>,</v>
      </c>
      <c r="W65" s="65">
        <f t="shared" si="170"/>
        <v>7</v>
      </c>
      <c r="X65" s="64" t="str">
        <f t="shared" si="171"/>
        <v>,</v>
      </c>
      <c r="Y65" s="64">
        <f t="shared" si="172"/>
        <v>250</v>
      </c>
      <c r="Z65" s="56" t="str">
        <f t="shared" si="173"/>
        <v>)</v>
      </c>
      <c r="AA65" s="66" t="str">
        <f t="shared" si="174"/>
        <v/>
      </c>
      <c r="AB65" s="57" t="str">
        <f t="shared" si="175"/>
        <v/>
      </c>
      <c r="AC65" s="67" t="str">
        <f t="shared" si="176"/>
        <v/>
      </c>
      <c r="AD65" s="59" t="str">
        <f t="shared" si="177"/>
        <v/>
      </c>
      <c r="AE65" s="68" t="str">
        <f t="shared" si="178"/>
        <v/>
      </c>
      <c r="AF65" s="61" t="str">
        <f t="shared" si="179"/>
        <v/>
      </c>
      <c r="AG65" s="61" t="str">
        <f t="shared" si="180"/>
        <v/>
      </c>
      <c r="AH65" s="69" t="str">
        <f t="shared" si="181"/>
        <v/>
      </c>
      <c r="AI65" s="70" t="str">
        <f t="shared" si="182"/>
        <v/>
      </c>
      <c r="AJ65" s="64" t="str">
        <f t="shared" si="183"/>
        <v/>
      </c>
      <c r="AK65" s="64" t="str">
        <f t="shared" si="184"/>
        <v/>
      </c>
      <c r="AL65" s="64" t="str">
        <f t="shared" si="185"/>
        <v/>
      </c>
      <c r="AM65" s="64" t="str">
        <f t="shared" si="186"/>
        <v/>
      </c>
      <c r="AN65" s="64" t="str">
        <f t="shared" si="187"/>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 t="shared" si="28"/>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1012</v>
      </c>
      <c r="C67" s="113" t="s">
        <v>1065</v>
      </c>
      <c r="D67" s="112" t="s">
        <v>1013</v>
      </c>
      <c r="E67" s="52" t="s">
        <v>1011</v>
      </c>
      <c r="F67" s="53" t="s">
        <v>1045</v>
      </c>
      <c r="G67" s="53">
        <v>7</v>
      </c>
      <c r="H67" s="52"/>
      <c r="I67" s="52"/>
      <c r="J67" s="54"/>
      <c r="K67" s="54"/>
      <c r="L67" s="55" t="str">
        <f t="shared" si="139"/>
        <v xml:space="preserve">            { line: "Enséñame a cumplir tu voluntad,, (Sol,m,14)(Re,7,250)", sC: "tc"},</v>
      </c>
      <c r="M67" s="56" t="str">
        <f t="shared" si="140"/>
        <v>(</v>
      </c>
      <c r="N67" s="57" t="str">
        <f t="shared" si="2"/>
        <v>Sol</v>
      </c>
      <c r="O67" s="58" t="str">
        <f t="shared" si="141"/>
        <v>,</v>
      </c>
      <c r="P67" s="59" t="str">
        <f t="shared" si="4"/>
        <v>m</v>
      </c>
      <c r="Q67" s="60" t="str">
        <f t="shared" si="142"/>
        <v>,</v>
      </c>
      <c r="R67" s="61">
        <f t="shared" si="28"/>
        <v>14</v>
      </c>
      <c r="S67" s="56" t="str">
        <f t="shared" si="143"/>
        <v>)</v>
      </c>
      <c r="T67" s="62" t="str">
        <f t="shared" si="144"/>
        <v>(</v>
      </c>
      <c r="U67" s="63" t="str">
        <f t="shared" si="8"/>
        <v>Re</v>
      </c>
      <c r="V67" s="64" t="str">
        <f t="shared" si="145"/>
        <v>,</v>
      </c>
      <c r="W67" s="65">
        <f t="shared" si="10"/>
        <v>7</v>
      </c>
      <c r="X67" s="64" t="str">
        <f t="shared" si="146"/>
        <v>,</v>
      </c>
      <c r="Y67" s="64">
        <f t="shared" si="147"/>
        <v>250</v>
      </c>
      <c r="Z67" s="56" t="str">
        <f t="shared" si="148"/>
        <v>)</v>
      </c>
      <c r="AA67" s="66" t="str">
        <f t="shared" si="149"/>
        <v/>
      </c>
      <c r="AB67" s="57" t="str">
        <f t="shared" si="15"/>
        <v/>
      </c>
      <c r="AC67" s="67" t="str">
        <f t="shared" si="150"/>
        <v/>
      </c>
      <c r="AD67" s="59" t="str">
        <f t="shared" si="151"/>
        <v/>
      </c>
      <c r="AE67" s="68" t="str">
        <f t="shared" si="152"/>
        <v/>
      </c>
      <c r="AF67" s="61" t="str">
        <f t="shared" si="153"/>
        <v/>
      </c>
      <c r="AG67" s="61" t="str">
        <f t="shared" si="154"/>
        <v/>
      </c>
      <c r="AH67" s="69" t="str">
        <f t="shared" si="155"/>
        <v/>
      </c>
      <c r="AI67" s="70" t="str">
        <f t="shared" si="22"/>
        <v/>
      </c>
      <c r="AJ67" s="64" t="str">
        <f t="shared" si="156"/>
        <v/>
      </c>
      <c r="AK67" s="64" t="str">
        <f t="shared" si="157"/>
        <v/>
      </c>
      <c r="AL67" s="64" t="str">
        <f t="shared" si="158"/>
        <v/>
      </c>
      <c r="AM67" s="64" t="str">
        <f t="shared" si="159"/>
        <v/>
      </c>
      <c r="AN67" s="64" t="str">
        <f t="shared" si="160"/>
        <v/>
      </c>
    </row>
    <row r="68" spans="1:40" ht="25.5" thickTop="1" thickBot="1" x14ac:dyDescent="0.4">
      <c r="C68" s="113" t="s">
        <v>1066</v>
      </c>
      <c r="D68" s="112" t="s">
        <v>1013</v>
      </c>
      <c r="E68" s="52" t="s">
        <v>1011</v>
      </c>
      <c r="F68" s="53"/>
      <c r="G68" s="53"/>
      <c r="H68" s="52"/>
      <c r="I68" s="52"/>
      <c r="J68" s="54"/>
      <c r="K68" s="54"/>
      <c r="L68" s="55" t="str">
        <f t="shared" si="139"/>
        <v xml:space="preserve">            { line: "porque tú eres mi Dios;, (Sol,m,14)", sC: ""},</v>
      </c>
      <c r="M68" s="56" t="str">
        <f t="shared" si="140"/>
        <v>(</v>
      </c>
      <c r="N68" s="57" t="str">
        <f t="shared" si="2"/>
        <v>Sol</v>
      </c>
      <c r="O68" s="58" t="str">
        <f t="shared" si="141"/>
        <v>,</v>
      </c>
      <c r="P68" s="59" t="str">
        <f t="shared" si="4"/>
        <v>m</v>
      </c>
      <c r="Q68" s="60" t="str">
        <f t="shared" si="142"/>
        <v>,</v>
      </c>
      <c r="R68" s="61">
        <f t="shared" si="28"/>
        <v>14</v>
      </c>
      <c r="S68" s="56" t="str">
        <f t="shared" si="143"/>
        <v>)</v>
      </c>
      <c r="T68" s="62" t="str">
        <f t="shared" si="144"/>
        <v/>
      </c>
      <c r="U68" s="63" t="str">
        <f t="shared" si="8"/>
        <v/>
      </c>
      <c r="V68" s="64" t="str">
        <f t="shared" si="145"/>
        <v/>
      </c>
      <c r="W68" s="65" t="str">
        <f t="shared" si="10"/>
        <v/>
      </c>
      <c r="X68" s="64" t="str">
        <f t="shared" si="146"/>
        <v/>
      </c>
      <c r="Y68" s="64" t="str">
        <f t="shared" si="147"/>
        <v/>
      </c>
      <c r="Z68" s="56" t="str">
        <f t="shared" si="148"/>
        <v/>
      </c>
      <c r="AA68" s="66" t="str">
        <f t="shared" si="149"/>
        <v/>
      </c>
      <c r="AB68" s="57" t="str">
        <f t="shared" si="15"/>
        <v/>
      </c>
      <c r="AC68" s="67" t="str">
        <f t="shared" si="150"/>
        <v/>
      </c>
      <c r="AD68" s="59" t="str">
        <f t="shared" si="151"/>
        <v/>
      </c>
      <c r="AE68" s="68" t="str">
        <f t="shared" si="152"/>
        <v/>
      </c>
      <c r="AF68" s="61" t="str">
        <f t="shared" si="153"/>
        <v/>
      </c>
      <c r="AG68" s="61" t="str">
        <f t="shared" si="154"/>
        <v/>
      </c>
      <c r="AH68" s="69" t="str">
        <f t="shared" si="155"/>
        <v/>
      </c>
      <c r="AI68" s="70" t="str">
        <f t="shared" si="22"/>
        <v/>
      </c>
      <c r="AJ68" s="64" t="str">
        <f t="shared" si="156"/>
        <v/>
      </c>
      <c r="AK68" s="64" t="str">
        <f t="shared" si="157"/>
        <v/>
      </c>
      <c r="AL68" s="64" t="str">
        <f t="shared" si="158"/>
        <v/>
      </c>
      <c r="AM68" s="64" t="str">
        <f t="shared" si="159"/>
        <v/>
      </c>
      <c r="AN68" s="64" t="str">
        <f t="shared" si="160"/>
        <v/>
      </c>
    </row>
    <row r="69" spans="1:40" ht="25.5" thickTop="1" thickBot="1" x14ac:dyDescent="0.4">
      <c r="C69" s="113" t="s">
        <v>1067</v>
      </c>
      <c r="D69" s="112" t="s">
        <v>1045</v>
      </c>
      <c r="E69" s="52">
        <v>7</v>
      </c>
      <c r="F69" s="53"/>
      <c r="G69" s="53"/>
      <c r="H69" s="52"/>
      <c r="I69" s="52"/>
      <c r="J69" s="54"/>
      <c r="K69" s="54"/>
      <c r="L69" s="55" t="str">
        <f t="shared" si="139"/>
        <v xml:space="preserve">            { line: "tu Espíritu me guíe,, (Re,7,22)", sC: ""},</v>
      </c>
      <c r="M69" s="56" t="str">
        <f t="shared" si="140"/>
        <v>(</v>
      </c>
      <c r="N69" s="57" t="str">
        <f t="shared" si="2"/>
        <v>Re</v>
      </c>
      <c r="O69" s="58" t="str">
        <f t="shared" si="141"/>
        <v>,</v>
      </c>
      <c r="P69" s="59">
        <f t="shared" si="4"/>
        <v>7</v>
      </c>
      <c r="Q69" s="60" t="str">
        <f t="shared" si="142"/>
        <v>,</v>
      </c>
      <c r="R69" s="61">
        <f t="shared" si="28"/>
        <v>22</v>
      </c>
      <c r="S69" s="56" t="str">
        <f t="shared" si="143"/>
        <v>)</v>
      </c>
      <c r="T69" s="62" t="str">
        <f t="shared" si="144"/>
        <v/>
      </c>
      <c r="U69" s="63" t="str">
        <f t="shared" si="8"/>
        <v/>
      </c>
      <c r="V69" s="64" t="str">
        <f t="shared" si="145"/>
        <v/>
      </c>
      <c r="W69" s="65" t="str">
        <f t="shared" si="10"/>
        <v/>
      </c>
      <c r="X69" s="64" t="str">
        <f t="shared" si="146"/>
        <v/>
      </c>
      <c r="Y69" s="64" t="str">
        <f t="shared" si="147"/>
        <v/>
      </c>
      <c r="Z69" s="56" t="str">
        <f t="shared" si="148"/>
        <v/>
      </c>
      <c r="AA69" s="66" t="str">
        <f t="shared" si="149"/>
        <v/>
      </c>
      <c r="AB69" s="57" t="str">
        <f t="shared" si="15"/>
        <v/>
      </c>
      <c r="AC69" s="67" t="str">
        <f t="shared" si="150"/>
        <v/>
      </c>
      <c r="AD69" s="59" t="str">
        <f t="shared" si="151"/>
        <v/>
      </c>
      <c r="AE69" s="68" t="str">
        <f t="shared" si="152"/>
        <v/>
      </c>
      <c r="AF69" s="61" t="str">
        <f t="shared" si="153"/>
        <v/>
      </c>
      <c r="AG69" s="61" t="str">
        <f t="shared" si="154"/>
        <v/>
      </c>
      <c r="AH69" s="69" t="str">
        <f t="shared" si="155"/>
        <v/>
      </c>
      <c r="AI69" s="70" t="str">
        <f t="shared" si="22"/>
        <v/>
      </c>
      <c r="AJ69" s="64" t="str">
        <f t="shared" si="156"/>
        <v/>
      </c>
      <c r="AK69" s="64" t="str">
        <f t="shared" si="157"/>
        <v/>
      </c>
      <c r="AL69" s="64" t="str">
        <f t="shared" si="158"/>
        <v/>
      </c>
      <c r="AM69" s="64" t="str">
        <f t="shared" si="159"/>
        <v/>
      </c>
      <c r="AN69" s="64" t="str">
        <f t="shared" si="160"/>
        <v/>
      </c>
    </row>
    <row r="70" spans="1:40" ht="25.5" thickTop="1" thickBot="1" x14ac:dyDescent="0.4">
      <c r="C70" s="113" t="s">
        <v>1068</v>
      </c>
      <c r="D70" s="112" t="s">
        <v>1046</v>
      </c>
      <c r="E70" s="52" t="s">
        <v>1011</v>
      </c>
      <c r="F70" s="53" t="s">
        <v>1045</v>
      </c>
      <c r="G70" s="53">
        <v>7</v>
      </c>
      <c r="H70" s="52"/>
      <c r="I70" s="52"/>
      <c r="J70" s="54"/>
      <c r="K70" s="54"/>
      <c r="L70" s="55" t="str">
        <f t="shared" si="139"/>
        <v xml:space="preserve">            { line: "tu Espíritu me guíe por tierra llana., (Do,m,10)(Re,7,250)", sC: ""},</v>
      </c>
      <c r="M70" s="56" t="str">
        <f t="shared" si="140"/>
        <v>(</v>
      </c>
      <c r="N70" s="57" t="str">
        <f t="shared" si="2"/>
        <v>Do</v>
      </c>
      <c r="O70" s="58" t="str">
        <f t="shared" si="141"/>
        <v>,</v>
      </c>
      <c r="P70" s="59" t="str">
        <f t="shared" si="4"/>
        <v>m</v>
      </c>
      <c r="Q70" s="60" t="str">
        <f t="shared" si="142"/>
        <v>,</v>
      </c>
      <c r="R70" s="61">
        <f t="shared" si="28"/>
        <v>10</v>
      </c>
      <c r="S70" s="56" t="str">
        <f t="shared" si="143"/>
        <v>)</v>
      </c>
      <c r="T70" s="62" t="str">
        <f t="shared" si="144"/>
        <v>(</v>
      </c>
      <c r="U70" s="63" t="str">
        <f t="shared" si="8"/>
        <v>Re</v>
      </c>
      <c r="V70" s="64" t="str">
        <f t="shared" si="145"/>
        <v>,</v>
      </c>
      <c r="W70" s="65">
        <f t="shared" si="10"/>
        <v>7</v>
      </c>
      <c r="X70" s="64" t="str">
        <f t="shared" si="146"/>
        <v>,</v>
      </c>
      <c r="Y70" s="64">
        <f t="shared" si="147"/>
        <v>250</v>
      </c>
      <c r="Z70" s="56" t="str">
        <f t="shared" si="148"/>
        <v>)</v>
      </c>
      <c r="AA70" s="66" t="str">
        <f t="shared" si="149"/>
        <v/>
      </c>
      <c r="AB70" s="57" t="str">
        <f t="shared" si="15"/>
        <v/>
      </c>
      <c r="AC70" s="67" t="str">
        <f t="shared" si="150"/>
        <v/>
      </c>
      <c r="AD70" s="59" t="str">
        <f t="shared" si="151"/>
        <v/>
      </c>
      <c r="AE70" s="68" t="str">
        <f t="shared" si="152"/>
        <v/>
      </c>
      <c r="AF70" s="61" t="str">
        <f t="shared" si="153"/>
        <v/>
      </c>
      <c r="AG70" s="61" t="str">
        <f t="shared" si="154"/>
        <v/>
      </c>
      <c r="AH70" s="69" t="str">
        <f t="shared" si="155"/>
        <v/>
      </c>
      <c r="AI70" s="70" t="str">
        <f t="shared" si="22"/>
        <v/>
      </c>
      <c r="AJ70" s="64" t="str">
        <f t="shared" si="156"/>
        <v/>
      </c>
      <c r="AK70" s="64" t="str">
        <f t="shared" si="157"/>
        <v/>
      </c>
      <c r="AL70" s="64" t="str">
        <f t="shared" si="158"/>
        <v/>
      </c>
      <c r="AM70" s="64" t="str">
        <f t="shared" si="159"/>
        <v/>
      </c>
      <c r="AN70" s="64" t="str">
        <f t="shared" si="160"/>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ref="R71:R76" si="188">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C72" s="79" t="s">
        <v>995</v>
      </c>
      <c r="D72" s="80"/>
      <c r="E72" s="80"/>
      <c r="F72" s="80"/>
      <c r="G72" s="80"/>
      <c r="H72" s="80"/>
      <c r="I72" s="80"/>
      <c r="J72" s="80"/>
      <c r="K72" s="80"/>
      <c r="L72" s="81" t="s">
        <v>996</v>
      </c>
      <c r="M72" s="56" t="str">
        <f t="shared" ref="M72:M75" si="189">IF(N72="","","(")</f>
        <v/>
      </c>
      <c r="N72" s="57" t="str">
        <f t="shared" ref="N72:N75" si="190">IF(D72="","",D72)</f>
        <v/>
      </c>
      <c r="O72" s="58" t="str">
        <f t="shared" ref="O72:O75" si="191">IF(N72="","",",")</f>
        <v/>
      </c>
      <c r="P72" s="59" t="str">
        <f t="shared" ref="P72:P75" si="192">IF(E72="","",E72)</f>
        <v/>
      </c>
      <c r="Q72" s="60" t="str">
        <f t="shared" ref="Q72:Q75" si="193">IF(N72="","",",")</f>
        <v/>
      </c>
      <c r="R72" s="61" t="str">
        <f t="shared" si="188"/>
        <v/>
      </c>
      <c r="S72" s="56" t="str">
        <f t="shared" ref="S72:S75" si="194">IF(N72="","",")")</f>
        <v/>
      </c>
      <c r="T72" s="62" t="str">
        <f t="shared" ref="T72:T75" si="195">IF(U72="","","(")</f>
        <v/>
      </c>
      <c r="U72" s="63" t="str">
        <f t="shared" ref="U72:U75" si="196">IF(F72="","",F72)</f>
        <v/>
      </c>
      <c r="V72" s="64" t="str">
        <f t="shared" ref="V72:V75" si="197">IF(U72="","",",")</f>
        <v/>
      </c>
      <c r="W72" s="65" t="str">
        <f t="shared" ref="W72:W75" si="198">IF(G72="","",G72)</f>
        <v/>
      </c>
      <c r="X72" s="64" t="str">
        <f t="shared" ref="X72:X75" si="199">IF(U72="","",",")</f>
        <v/>
      </c>
      <c r="Y72" s="64" t="str">
        <f t="shared" ref="Y72:Y75" si="200">IF(U72="","",250)</f>
        <v/>
      </c>
      <c r="Z72" s="56" t="str">
        <f t="shared" ref="Z72:Z75" si="201">IF(U72="","",")")</f>
        <v/>
      </c>
      <c r="AA72" s="66" t="str">
        <f t="shared" ref="AA72:AA75" si="202">IF(AB72="","","(")</f>
        <v/>
      </c>
      <c r="AB72" s="57" t="str">
        <f t="shared" ref="AB72:AB75" si="203">IF(H72="","",H72)</f>
        <v/>
      </c>
      <c r="AC72" s="67" t="str">
        <f t="shared" ref="AC72:AC75" si="204">IF(AB72="","",",")</f>
        <v/>
      </c>
      <c r="AD72" s="59" t="str">
        <f t="shared" ref="AD72:AD75" si="205">IF(I72="","",I72)</f>
        <v/>
      </c>
      <c r="AE72" s="68" t="str">
        <f t="shared" ref="AE72:AE75" si="206">IF(AB72="","",",")</f>
        <v/>
      </c>
      <c r="AF72" s="61" t="str">
        <f t="shared" ref="AF72:AF75" si="207">IF(AB72="","",350)</f>
        <v/>
      </c>
      <c r="AG72" s="61" t="str">
        <f t="shared" ref="AG72:AG75" si="208">IF(AB72="","",")")</f>
        <v/>
      </c>
      <c r="AH72" s="69" t="str">
        <f t="shared" ref="AH72:AH75" si="209">IF(AI72="","","(")</f>
        <v/>
      </c>
      <c r="AI72" s="70" t="str">
        <f t="shared" ref="AI72:AI75" si="210">IF(J72="","",J72)</f>
        <v/>
      </c>
      <c r="AJ72" s="64" t="str">
        <f t="shared" ref="AJ72:AJ75" si="211">IF(AI72="","",",")</f>
        <v/>
      </c>
      <c r="AK72" s="64" t="str">
        <f t="shared" ref="AK72:AK75" si="212">IF(K72="","",K72)</f>
        <v/>
      </c>
      <c r="AL72" s="64" t="str">
        <f t="shared" ref="AL72:AL75" si="213">IF(AI72="","",",")</f>
        <v/>
      </c>
      <c r="AM72" s="64" t="str">
        <f t="shared" ref="AM72:AM75" si="214">IF(AI72="","",450)</f>
        <v/>
      </c>
      <c r="AN72" s="64" t="str">
        <f t="shared" ref="AN72:AN75" si="215">IF(AI72="","",")")</f>
        <v/>
      </c>
    </row>
    <row r="73" spans="1:40" ht="25.5" thickTop="1" thickBot="1" x14ac:dyDescent="0.4">
      <c r="B73" t="s">
        <v>997</v>
      </c>
      <c r="C73" s="82" t="s">
        <v>1050</v>
      </c>
      <c r="D73" s="83" t="s">
        <v>1013</v>
      </c>
      <c r="E73" s="83" t="s">
        <v>1011</v>
      </c>
      <c r="F73" s="83" t="s">
        <v>1046</v>
      </c>
      <c r="G73" s="83" t="s">
        <v>1011</v>
      </c>
      <c r="H73" s="83"/>
      <c r="I73" s="83"/>
      <c r="J73" s="83"/>
      <c r="K73" s="83"/>
      <c r="L73" s="84" t="str">
        <f>IF(C73="","",_xlfn.CONCAT("       triggerLine: ","""",C73,", ",M73:AN73,""", sC: ","""",B73,""", lines: ["))</f>
        <v xml:space="preserve">       triggerLine: "TÚ QUE ERES FIEL,, (Sol,m,14)(Do,m,250)", sC: "ta as", lines: [</v>
      </c>
      <c r="M73" s="56" t="str">
        <f t="shared" si="189"/>
        <v>(</v>
      </c>
      <c r="N73" s="57" t="str">
        <f t="shared" si="190"/>
        <v>Sol</v>
      </c>
      <c r="O73" s="58" t="str">
        <f t="shared" si="191"/>
        <v>,</v>
      </c>
      <c r="P73" s="59" t="str">
        <f t="shared" si="192"/>
        <v>m</v>
      </c>
      <c r="Q73" s="60" t="str">
        <f t="shared" si="193"/>
        <v>,</v>
      </c>
      <c r="R73" s="61">
        <f t="shared" si="188"/>
        <v>14</v>
      </c>
      <c r="S73" s="56" t="str">
        <f t="shared" si="194"/>
        <v>)</v>
      </c>
      <c r="T73" s="62" t="str">
        <f t="shared" si="195"/>
        <v>(</v>
      </c>
      <c r="U73" s="63" t="str">
        <f t="shared" si="196"/>
        <v>Do</v>
      </c>
      <c r="V73" s="64" t="str">
        <f t="shared" si="197"/>
        <v>,</v>
      </c>
      <c r="W73" s="65" t="str">
        <f t="shared" si="198"/>
        <v>m</v>
      </c>
      <c r="X73" s="64" t="str">
        <f t="shared" si="199"/>
        <v>,</v>
      </c>
      <c r="Y73" s="64">
        <f t="shared" si="200"/>
        <v>250</v>
      </c>
      <c r="Z73" s="56" t="str">
        <f t="shared" si="201"/>
        <v>)</v>
      </c>
      <c r="AA73" s="66" t="str">
        <f t="shared" si="202"/>
        <v/>
      </c>
      <c r="AB73" s="57" t="str">
        <f t="shared" si="203"/>
        <v/>
      </c>
      <c r="AC73" s="67" t="str">
        <f t="shared" si="204"/>
        <v/>
      </c>
      <c r="AD73" s="59" t="str">
        <f t="shared" si="205"/>
        <v/>
      </c>
      <c r="AE73" s="68" t="str">
        <f t="shared" si="206"/>
        <v/>
      </c>
      <c r="AF73" s="61" t="str">
        <f t="shared" si="207"/>
        <v/>
      </c>
      <c r="AG73" s="61" t="str">
        <f t="shared" si="208"/>
        <v/>
      </c>
      <c r="AH73" s="69" t="str">
        <f t="shared" si="209"/>
        <v/>
      </c>
      <c r="AI73" s="70" t="str">
        <f t="shared" si="210"/>
        <v/>
      </c>
      <c r="AJ73" s="64" t="str">
        <f t="shared" si="211"/>
        <v/>
      </c>
      <c r="AK73" s="64" t="str">
        <f t="shared" si="212"/>
        <v/>
      </c>
      <c r="AL73" s="64" t="str">
        <f t="shared" si="213"/>
        <v/>
      </c>
      <c r="AM73" s="64" t="str">
        <f t="shared" si="214"/>
        <v/>
      </c>
      <c r="AN73" s="64" t="str">
        <f t="shared" si="215"/>
        <v/>
      </c>
    </row>
    <row r="74" spans="1:40" ht="25.5" thickTop="1" thickBot="1" x14ac:dyDescent="0.4">
      <c r="B74" t="s">
        <v>999</v>
      </c>
      <c r="C74" s="85" t="s">
        <v>1051</v>
      </c>
      <c r="D74" s="86" t="s">
        <v>1013</v>
      </c>
      <c r="E74" s="86" t="s">
        <v>1011</v>
      </c>
      <c r="F74" s="86" t="s">
        <v>1046</v>
      </c>
      <c r="G74" s="86" t="s">
        <v>1011</v>
      </c>
      <c r="H74" s="87" t="s">
        <v>1045</v>
      </c>
      <c r="I74" s="87">
        <v>7</v>
      </c>
      <c r="J74" s="87"/>
      <c r="K74" s="87"/>
      <c r="L74" s="88" t="str">
        <f>IF(C74="","",_xlfn.CONCAT("            { line: ","""",C74,", ",M74:AN74,""", sC: ","""",B74,"""},"))</f>
        <v xml:space="preserve">            { line: "TÚ QUE ERES FIEL, RESPÓNDEME,, (Sol,m,14)(Do,m,250)(Re,7,350)", sC: "as"},</v>
      </c>
      <c r="M74" s="56" t="str">
        <f t="shared" si="189"/>
        <v>(</v>
      </c>
      <c r="N74" s="57" t="str">
        <f t="shared" si="190"/>
        <v>Sol</v>
      </c>
      <c r="O74" s="58" t="str">
        <f t="shared" si="191"/>
        <v>,</v>
      </c>
      <c r="P74" s="59" t="str">
        <f t="shared" si="192"/>
        <v>m</v>
      </c>
      <c r="Q74" s="60" t="str">
        <f t="shared" si="193"/>
        <v>,</v>
      </c>
      <c r="R74" s="61">
        <f t="shared" si="188"/>
        <v>14</v>
      </c>
      <c r="S74" s="56" t="str">
        <f t="shared" si="194"/>
        <v>)</v>
      </c>
      <c r="T74" s="62" t="str">
        <f t="shared" si="195"/>
        <v>(</v>
      </c>
      <c r="U74" s="63" t="str">
        <f t="shared" si="196"/>
        <v>Do</v>
      </c>
      <c r="V74" s="64" t="str">
        <f t="shared" si="197"/>
        <v>,</v>
      </c>
      <c r="W74" s="65" t="str">
        <f t="shared" si="198"/>
        <v>m</v>
      </c>
      <c r="X74" s="64" t="str">
        <f t="shared" si="199"/>
        <v>,</v>
      </c>
      <c r="Y74" s="64">
        <f t="shared" si="200"/>
        <v>250</v>
      </c>
      <c r="Z74" s="56" t="str">
        <f t="shared" si="201"/>
        <v>)</v>
      </c>
      <c r="AA74" s="66" t="str">
        <f t="shared" si="202"/>
        <v>(</v>
      </c>
      <c r="AB74" s="57" t="str">
        <f t="shared" si="203"/>
        <v>Re</v>
      </c>
      <c r="AC74" s="67" t="str">
        <f t="shared" si="204"/>
        <v>,</v>
      </c>
      <c r="AD74" s="59">
        <f t="shared" si="205"/>
        <v>7</v>
      </c>
      <c r="AE74" s="68" t="str">
        <f t="shared" si="206"/>
        <v>,</v>
      </c>
      <c r="AF74" s="61">
        <f t="shared" si="207"/>
        <v>350</v>
      </c>
      <c r="AG74" s="61" t="str">
        <f t="shared" si="208"/>
        <v>)</v>
      </c>
      <c r="AH74" s="69" t="str">
        <f t="shared" si="209"/>
        <v/>
      </c>
      <c r="AI74" s="70" t="str">
        <f t="shared" si="210"/>
        <v/>
      </c>
      <c r="AJ74" s="64" t="str">
        <f t="shared" si="211"/>
        <v/>
      </c>
      <c r="AK74" s="64" t="str">
        <f t="shared" si="212"/>
        <v/>
      </c>
      <c r="AL74" s="64" t="str">
        <f t="shared" si="213"/>
        <v/>
      </c>
      <c r="AM74" s="64" t="str">
        <f t="shared" si="214"/>
        <v/>
      </c>
      <c r="AN74" s="64" t="str">
        <f t="shared" si="215"/>
        <v/>
      </c>
    </row>
    <row r="75" spans="1:40" ht="25.5" thickTop="1" thickBot="1" x14ac:dyDescent="0.4">
      <c r="B75" t="s">
        <v>999</v>
      </c>
      <c r="C75" s="93" t="s">
        <v>1052</v>
      </c>
      <c r="D75" s="83" t="s">
        <v>1046</v>
      </c>
      <c r="E75" s="83" t="s">
        <v>1011</v>
      </c>
      <c r="F75" s="83" t="s">
        <v>1045</v>
      </c>
      <c r="G75" s="83">
        <v>7</v>
      </c>
      <c r="H75" s="83"/>
      <c r="I75" s="83"/>
      <c r="J75" s="83"/>
      <c r="K75" s="83"/>
      <c r="L75" s="94" t="str">
        <f>IF(C75="","",_xlfn.CONCAT("            { line: ","""",C75,", ",M75:AN75,""", sC: ","""",B75,"""},  ]},"))</f>
        <v xml:space="preserve">            { line: "POR TU JUSTICIA RESPÓNDEME., (Do,m,10)(Re,7,250)", sC: "as"},  ]},</v>
      </c>
      <c r="M75" s="56" t="str">
        <f t="shared" si="189"/>
        <v>(</v>
      </c>
      <c r="N75" s="57" t="str">
        <f t="shared" si="190"/>
        <v>Do</v>
      </c>
      <c r="O75" s="58" t="str">
        <f t="shared" si="191"/>
        <v>,</v>
      </c>
      <c r="P75" s="59" t="str">
        <f t="shared" si="192"/>
        <v>m</v>
      </c>
      <c r="Q75" s="60" t="str">
        <f t="shared" si="193"/>
        <v>,</v>
      </c>
      <c r="R75" s="61">
        <f t="shared" si="188"/>
        <v>10</v>
      </c>
      <c r="S75" s="56" t="str">
        <f t="shared" si="194"/>
        <v>)</v>
      </c>
      <c r="T75" s="62" t="str">
        <f t="shared" si="195"/>
        <v>(</v>
      </c>
      <c r="U75" s="63" t="str">
        <f t="shared" si="196"/>
        <v>Re</v>
      </c>
      <c r="V75" s="64" t="str">
        <f t="shared" si="197"/>
        <v>,</v>
      </c>
      <c r="W75" s="65">
        <f t="shared" si="198"/>
        <v>7</v>
      </c>
      <c r="X75" s="64" t="str">
        <f t="shared" si="199"/>
        <v>,</v>
      </c>
      <c r="Y75" s="64">
        <f t="shared" si="200"/>
        <v>250</v>
      </c>
      <c r="Z75" s="56" t="str">
        <f t="shared" si="201"/>
        <v>)</v>
      </c>
      <c r="AA75" s="66" t="str">
        <f t="shared" si="202"/>
        <v/>
      </c>
      <c r="AB75" s="57" t="str">
        <f t="shared" si="203"/>
        <v/>
      </c>
      <c r="AC75" s="67" t="str">
        <f t="shared" si="204"/>
        <v/>
      </c>
      <c r="AD75" s="59" t="str">
        <f t="shared" si="205"/>
        <v/>
      </c>
      <c r="AE75" s="68" t="str">
        <f t="shared" si="206"/>
        <v/>
      </c>
      <c r="AF75" s="61" t="str">
        <f t="shared" si="207"/>
        <v/>
      </c>
      <c r="AG75" s="61" t="str">
        <f t="shared" si="208"/>
        <v/>
      </c>
      <c r="AH75" s="69" t="str">
        <f t="shared" si="209"/>
        <v/>
      </c>
      <c r="AI75" s="70" t="str">
        <f t="shared" si="210"/>
        <v/>
      </c>
      <c r="AJ75" s="64" t="str">
        <f t="shared" si="211"/>
        <v/>
      </c>
      <c r="AK75" s="64" t="str">
        <f t="shared" si="212"/>
        <v/>
      </c>
      <c r="AL75" s="64" t="str">
        <f t="shared" si="213"/>
        <v/>
      </c>
      <c r="AM75" s="64" t="str">
        <f t="shared" si="214"/>
        <v/>
      </c>
      <c r="AN75" s="64" t="str">
        <f t="shared" si="215"/>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si="188"/>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 customHeight="1" thickTop="1" x14ac:dyDescent="0.4">
      <c r="A77" s="95"/>
      <c r="B77" s="95"/>
      <c r="C77" s="95"/>
      <c r="D77" s="95"/>
      <c r="E77" s="95"/>
      <c r="F77" s="95"/>
      <c r="G77" s="95"/>
      <c r="H77" s="95"/>
      <c r="I77" s="95"/>
      <c r="J77" s="95"/>
      <c r="K77" s="95"/>
      <c r="L77" s="99" t="str">
        <f ca="1">_xlfn.CONCAT("]}, // ULTIMA LINEA DEL CANTO: ",L1)</f>
        <v>]}, // ULTIMA LINEA DEL CANTO: TÚ QUE ERES FIEL</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162</v>
      </c>
      <c r="E1" s="40"/>
      <c r="F1" s="40"/>
      <c r="G1" s="40"/>
      <c r="H1" s="40"/>
      <c r="I1" s="40"/>
      <c r="J1" s="40"/>
      <c r="K1" s="40"/>
      <c r="L1" s="41" t="str">
        <f ca="1">UPPER(VLOOKUP(C1,Table223[],3,FALSE))</f>
        <v>UN RETOÑO BROTA DEL TRONCO DE JESÉ</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 RETOÑO BROTA DEL TRONCO DE JESÉ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unretonobrotadeltroncodejese</v>
      </c>
      <c r="L7" s="48" t="str">
        <f ca="1">_xlfn.CONCAT("        id: ","""",C7,"""",",")</f>
        <v xml:space="preserve">        id: "unretonobrotadeltroncodejese",</v>
      </c>
    </row>
    <row r="8" spans="2:32" ht="23.25" x14ac:dyDescent="0.25">
      <c r="C8" t="str">
        <f ca="1">PROPER(L1)</f>
        <v>Un Retoño Brota Del Tronco De Jesé</v>
      </c>
      <c r="L8" s="48" t="str">
        <f ca="1">_xlfn.CONCAT("        tt: ","""",C8,"""",",")</f>
        <v xml:space="preserve">        tt: "Un Retoño Brota Del Tronco De Jesé",</v>
      </c>
    </row>
    <row r="9" spans="2:32" ht="23.25" x14ac:dyDescent="0.25">
      <c r="C9" t="str">
        <f ca="1">PROPER(L1)</f>
        <v>Un Retoño Brota Del Tronco De Jesé</v>
      </c>
      <c r="L9" s="48" t="str">
        <f ca="1">_xlfn.CONCAT("        title: ","""",C9,"""",",")</f>
        <v xml:space="preserve">        title: "Un Retoño Brota Del Tronco De Jesé",</v>
      </c>
    </row>
    <row r="10" spans="2:32" ht="23.25" x14ac:dyDescent="0.25">
      <c r="C10" t="str">
        <f ca="1">VLOOKUP(C1,Table223[],4,FALSE)</f>
        <v>Isaías 11,1-11</v>
      </c>
      <c r="L10" s="48" t="str">
        <f ca="1">_xlfn.CONCAT("        ","subtitle: ","""",C10,"""",",")</f>
        <v xml:space="preserve">        subtitle: "Isaías 11,1-11",</v>
      </c>
    </row>
    <row r="11" spans="2:32" ht="23.25" x14ac:dyDescent="0.25">
      <c r="C11" t="str">
        <f ca="1">_xlfn.CONCAT("category: [",VLOOKUP(C1,Table223[],16,FALSE),"],")</f>
        <v>category: ["Precatecumenado","Adviento","Navidad","Pascua","Pentecostés","Comunión","Antiguo Testamento"],</v>
      </c>
      <c r="L11" s="48" t="str">
        <f ca="1">_xlfn.CONCAT("        ",C11)</f>
        <v xml:space="preserve">        category: ["Precatecumenado","Adviento","Navidad","Pascua","Pentecostés","Comunión","Antiguo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162</v>
      </c>
      <c r="L16" s="48" t="str">
        <f ca="1">_xlfn.CONCAT("        dbno: ","""",C16,"""",",")</f>
        <v xml:space="preserve">        dbno: "162",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unretonobrotadeltroncodejese</v>
      </c>
      <c r="L19" s="48" t="str">
        <f ca="1">_xlfn.CONCAT("        audioSrc: ","""/audio/",C19,".mp3""",",")</f>
        <v xml:space="preserve">        audioSrc: "/audio/unretonobrotadeltroncodejese.mp3",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161</v>
      </c>
      <c r="C26" t="str">
        <f ca="1">VLOOKUP(B26,Table4[],13,FALSE)</f>
        <v>"/resucito/src/index.html?canto=tuqueeresfiel"</v>
      </c>
      <c r="L26" s="48" t="str">
        <f ca="1">_xlfn.CONCAT("        ant: ",C26,",")</f>
        <v xml:space="preserve">        ant: "/resucito/src/index.html?canto=tuqueeresfiel",</v>
      </c>
    </row>
    <row r="27" spans="1:40" ht="23.25" x14ac:dyDescent="0.25">
      <c r="B27">
        <f ca="1">+C1+1</f>
        <v>163</v>
      </c>
      <c r="C27" t="str">
        <f ca="1">VLOOKUP(B27,Table4[],13,FALSE)</f>
        <v>"/resucito/src/index.html?canto=unagransenal"</v>
      </c>
      <c r="L27" s="48" t="str">
        <f ca="1">_xlfn.CONCAT("        sig: ",C27,",")</f>
        <v xml:space="preserve">        sig: "/resucito/src/index.html?canto=unagransenal",</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1047</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UN RETOÑO BROTA DEL TRONCO DE JESÉ</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163</v>
      </c>
      <c r="E1" s="40"/>
      <c r="F1" s="40"/>
      <c r="G1" s="40"/>
      <c r="H1" s="40"/>
      <c r="I1" s="40"/>
      <c r="J1" s="40"/>
      <c r="K1" s="40"/>
      <c r="L1" s="41" t="str">
        <f ca="1">UPPER(VLOOKUP(C1,Table223[],3,FALSE))</f>
        <v>UNA GRAN SEÑAL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UNA GRAN SEÑAL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48" t="str">
        <f ca="1">_xlfn.CONCAT("        id: ","""",C7,"""",",")</f>
        <v xml:space="preserve">        id: "unagransenal",</v>
      </c>
    </row>
    <row r="8" spans="2:32" ht="23.25" x14ac:dyDescent="0.25">
      <c r="C8" t="str">
        <f ca="1">PROPER(L1)</f>
        <v>Una Gran Señal</v>
      </c>
      <c r="L8" s="48" t="str">
        <f ca="1">_xlfn.CONCAT("        tt: ","""",C8,"""",",")</f>
        <v xml:space="preserve">        tt: "Una Gran Señal",</v>
      </c>
    </row>
    <row r="9" spans="2:32" ht="23.25" x14ac:dyDescent="0.25">
      <c r="C9" t="str">
        <f ca="1">PROPER(L1)</f>
        <v>Una Gran Señal</v>
      </c>
      <c r="L9" s="48" t="str">
        <f ca="1">_xlfn.CONCAT("        title: ","""",C9,"""",",")</f>
        <v xml:space="preserve">        title: "Una Gran Señal",</v>
      </c>
    </row>
    <row r="10" spans="2:32" ht="23.25" x14ac:dyDescent="0.25">
      <c r="C10" t="str">
        <f ca="1">VLOOKUP(C1,Table223[],4,FALSE)</f>
        <v>Apocalipsis 12</v>
      </c>
      <c r="L10" s="48" t="str">
        <f ca="1">_xlfn.CONCAT("        ","subtitle: ","""",C10,"""",",")</f>
        <v xml:space="preserve">        subtitle: "Apocalipsis 12",</v>
      </c>
    </row>
    <row r="11" spans="2:32" ht="23.25" x14ac:dyDescent="0.25">
      <c r="C11" t="str">
        <f ca="1">_xlfn.CONCAT("category: [",VLOOKUP(C1,Table223[],16,FALSE),"],")</f>
        <v>category: ["Precatecumenado","Vírgen María","Adviento","Navidad","Pascua","Pentecostés","Final","Nuevo Testamento"],</v>
      </c>
      <c r="L11" s="48" t="str">
        <f ca="1">_xlfn.CONCAT("        ",C11)</f>
        <v xml:space="preserve">        category: ["Precatecumenado","Vírgen María","Adviento","Navidad","Pascua","Pentecostés","Final","Nuevo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163</v>
      </c>
      <c r="L16" s="48" t="str">
        <f ca="1">_xlfn.CONCAT("        dbno: ","""",C16,"""",",")</f>
        <v xml:space="preserve">        dbno: "163",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unagransenal</v>
      </c>
      <c r="L19" s="48" t="str">
        <f ca="1">_xlfn.CONCAT("        audioSrc: ","""/audio/",C19,".mp3""",",")</f>
        <v xml:space="preserve">        audioSrc: "/audio/unagransenal.mp3",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162</v>
      </c>
      <c r="C26" t="str">
        <f ca="1">VLOOKUP(B26,Table4[],13,FALSE)</f>
        <v>"/resucito/src/index.html?canto=unretonobrotadeltroncodejese"</v>
      </c>
      <c r="L26" s="48" t="str">
        <f ca="1">_xlfn.CONCAT("        ant: ",C26,",")</f>
        <v xml:space="preserve">        ant: "/resucito/src/index.html?canto=unretonobrotadeltroncodejese",</v>
      </c>
    </row>
    <row r="27" spans="1:40" ht="23.25" x14ac:dyDescent="0.25">
      <c r="B27">
        <f ca="1">+C1+1</f>
        <v>164</v>
      </c>
      <c r="C27" t="str">
        <f ca="1">VLOOKUP(B27,Table4[],13,FALSE)</f>
        <v>"/resucito/src/index.html?canto=uriuriura"</v>
      </c>
      <c r="L27" s="48" t="str">
        <f ca="1">_xlfn.CONCAT("        sig: ",C27,",")</f>
        <v xml:space="preserve">        sig: "/resucito/src/index.html?canto=uriuriura",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UNA GRAN SEÑAL</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TÚ QUE ERES FIEL</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2025-09-11T22:02:25Z</dcterms:modified>
</cp:coreProperties>
</file>