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b\Github\docs\"/>
    </mc:Choice>
  </mc:AlternateContent>
  <xr:revisionPtr revIDLastSave="0" documentId="13_ncr:1_{F82171BF-6AB1-4DDD-B0A7-818B3FE30B58}" xr6:coauthVersionLast="47" xr6:coauthVersionMax="47" xr10:uidLastSave="{00000000-0000-0000-0000-000000000000}"/>
  <bookViews>
    <workbookView xWindow="-120" yWindow="-120" windowWidth="51840" windowHeight="21120" xr2:uid="{E07D32E5-EA68-4662-A02C-EF4F17BDD6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C28" i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27" i="1"/>
  <c r="C22" i="1"/>
  <c r="C23" i="1" s="1"/>
  <c r="C24" i="1" s="1"/>
  <c r="C25" i="1" s="1"/>
  <c r="C21" i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9" i="1"/>
  <c r="O21" i="1"/>
  <c r="I8" i="1"/>
  <c r="V8" i="1" s="1"/>
  <c r="B9" i="1"/>
  <c r="B10" i="1" s="1"/>
  <c r="B11" i="1" s="1"/>
  <c r="B13" i="1" s="1"/>
  <c r="B14" i="1" s="1"/>
  <c r="B15" i="1" s="1"/>
  <c r="B17" i="1" s="1"/>
  <c r="B18" i="1" s="1"/>
  <c r="B19" i="1" s="1"/>
  <c r="B21" i="1" s="1"/>
  <c r="B23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W9" i="1"/>
  <c r="W10" i="1" s="1"/>
  <c r="W11" i="1" s="1"/>
  <c r="W12" i="1" s="1"/>
  <c r="W13" i="1" s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W30" i="1" s="1"/>
  <c r="W31" i="1" s="1"/>
  <c r="W32" i="1" s="1"/>
  <c r="W33" i="1" s="1"/>
  <c r="W34" i="1" s="1"/>
  <c r="W35" i="1" s="1"/>
  <c r="W36" i="1" s="1"/>
  <c r="W37" i="1" s="1"/>
  <c r="W38" i="1" s="1"/>
  <c r="U9" i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U32" i="1" s="1"/>
  <c r="U33" i="1" s="1"/>
  <c r="U34" i="1" s="1"/>
  <c r="U35" i="1" s="1"/>
  <c r="U36" i="1" s="1"/>
  <c r="U37" i="1" s="1"/>
  <c r="U38" i="1" s="1"/>
  <c r="T9" i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R9" i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Q9" i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P9" i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O9" i="1"/>
  <c r="O10" i="1" s="1"/>
  <c r="N9" i="1"/>
  <c r="N10" i="1" s="1"/>
  <c r="L9" i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K9" i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J9" i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H9" i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G9" i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D9" i="1"/>
  <c r="D10" i="1" s="1"/>
  <c r="F9" i="1"/>
  <c r="F10" i="1" s="1"/>
  <c r="F11" i="1" s="1"/>
  <c r="S8" i="1"/>
  <c r="I9" i="1" l="1"/>
  <c r="V9" i="1" s="1"/>
  <c r="X8" i="1"/>
  <c r="Y8" i="1" s="1"/>
  <c r="I10" i="1"/>
  <c r="V10" i="1" s="1"/>
  <c r="S9" i="1"/>
  <c r="S10" i="1"/>
  <c r="O11" i="1"/>
  <c r="I11" i="1" s="1"/>
  <c r="V11" i="1" s="1"/>
  <c r="N11" i="1"/>
  <c r="D11" i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F12" i="1"/>
  <c r="X9" i="1" l="1"/>
  <c r="Y9" i="1" s="1"/>
  <c r="X10" i="1"/>
  <c r="Y10" i="1" s="1"/>
  <c r="I12" i="1"/>
  <c r="V12" i="1" s="1"/>
  <c r="S11" i="1"/>
  <c r="N12" i="1"/>
  <c r="F13" i="1"/>
  <c r="X11" i="1" l="1"/>
  <c r="Y11" i="1" s="1"/>
  <c r="O13" i="1"/>
  <c r="I13" i="1" s="1"/>
  <c r="V13" i="1" s="1"/>
  <c r="S12" i="1"/>
  <c r="N13" i="1"/>
  <c r="F14" i="1"/>
  <c r="X12" i="1" l="1"/>
  <c r="Y12" i="1" s="1"/>
  <c r="O14" i="1"/>
  <c r="I14" i="1" s="1"/>
  <c r="V14" i="1" s="1"/>
  <c r="S13" i="1"/>
  <c r="X13" i="1" s="1"/>
  <c r="N14" i="1"/>
  <c r="F15" i="1"/>
  <c r="Y13" i="1" l="1"/>
  <c r="O15" i="1"/>
  <c r="I15" i="1" s="1"/>
  <c r="V15" i="1" s="1"/>
  <c r="S14" i="1"/>
  <c r="N15" i="1"/>
  <c r="F16" i="1"/>
  <c r="X14" i="1" l="1"/>
  <c r="Y14" i="1" s="1"/>
  <c r="I16" i="1"/>
  <c r="V16" i="1" s="1"/>
  <c r="S15" i="1"/>
  <c r="X15" i="1" s="1"/>
  <c r="Y15" i="1" s="1"/>
  <c r="N16" i="1"/>
  <c r="F17" i="1"/>
  <c r="S16" i="1" l="1"/>
  <c r="X16" i="1" s="1"/>
  <c r="O17" i="1"/>
  <c r="I17" i="1" s="1"/>
  <c r="V17" i="1" s="1"/>
  <c r="N17" i="1"/>
  <c r="F18" i="1"/>
  <c r="Y16" i="1" l="1"/>
  <c r="S17" i="1"/>
  <c r="O18" i="1"/>
  <c r="I18" i="1" s="1"/>
  <c r="V18" i="1" s="1"/>
  <c r="N18" i="1"/>
  <c r="F19" i="1"/>
  <c r="X17" i="1" l="1"/>
  <c r="Y17" i="1" s="1"/>
  <c r="S18" i="1"/>
  <c r="O19" i="1"/>
  <c r="I19" i="1" s="1"/>
  <c r="V19" i="1" s="1"/>
  <c r="N19" i="1"/>
  <c r="F20" i="1"/>
  <c r="X18" i="1" l="1"/>
  <c r="Y18" i="1" s="1"/>
  <c r="I20" i="1"/>
  <c r="V20" i="1" s="1"/>
  <c r="S19" i="1"/>
  <c r="N20" i="1"/>
  <c r="F21" i="1"/>
  <c r="X19" i="1" l="1"/>
  <c r="Y19" i="1" s="1"/>
  <c r="I21" i="1"/>
  <c r="V21" i="1" s="1"/>
  <c r="S20" i="1"/>
  <c r="N21" i="1"/>
  <c r="F22" i="1"/>
  <c r="X20" i="1" l="1"/>
  <c r="Y20" i="1" s="1"/>
  <c r="I22" i="1"/>
  <c r="V22" i="1" s="1"/>
  <c r="S21" i="1"/>
  <c r="X21" i="1" s="1"/>
  <c r="Y21" i="1" s="1"/>
  <c r="N22" i="1"/>
  <c r="F23" i="1"/>
  <c r="S22" i="1" l="1"/>
  <c r="X22" i="1" s="1"/>
  <c r="O23" i="1"/>
  <c r="I23" i="1" s="1"/>
  <c r="V23" i="1" s="1"/>
  <c r="N23" i="1"/>
  <c r="F24" i="1"/>
  <c r="Y22" i="1" l="1"/>
  <c r="S23" i="1"/>
  <c r="I24" i="1"/>
  <c r="V24" i="1" s="1"/>
  <c r="N24" i="1"/>
  <c r="F25" i="1"/>
  <c r="X23" i="1" l="1"/>
  <c r="Y23" i="1" s="1"/>
  <c r="S24" i="1"/>
  <c r="X24" i="1" s="1"/>
  <c r="Y24" i="1" s="1"/>
  <c r="O25" i="1"/>
  <c r="I25" i="1" s="1"/>
  <c r="V25" i="1" s="1"/>
  <c r="N25" i="1"/>
  <c r="F26" i="1"/>
  <c r="S25" i="1" l="1"/>
  <c r="X25" i="1" s="1"/>
  <c r="O26" i="1"/>
  <c r="I26" i="1" s="1"/>
  <c r="V26" i="1" s="1"/>
  <c r="N26" i="1"/>
  <c r="F27" i="1"/>
  <c r="Y25" i="1" l="1"/>
  <c r="S26" i="1"/>
  <c r="X26" i="1" s="1"/>
  <c r="O27" i="1"/>
  <c r="I27" i="1" s="1"/>
  <c r="V27" i="1" s="1"/>
  <c r="N27" i="1"/>
  <c r="F28" i="1"/>
  <c r="Y26" i="1" l="1"/>
  <c r="O28" i="1"/>
  <c r="I28" i="1" s="1"/>
  <c r="V28" i="1" s="1"/>
  <c r="S27" i="1"/>
  <c r="N28" i="1"/>
  <c r="F29" i="1"/>
  <c r="X27" i="1" l="1"/>
  <c r="Y27" i="1" s="1"/>
  <c r="O29" i="1"/>
  <c r="I29" i="1" s="1"/>
  <c r="V29" i="1" s="1"/>
  <c r="S28" i="1"/>
  <c r="N29" i="1"/>
  <c r="F30" i="1"/>
  <c r="X28" i="1" l="1"/>
  <c r="Y28" i="1" s="1"/>
  <c r="O30" i="1"/>
  <c r="I30" i="1" s="1"/>
  <c r="V30" i="1" s="1"/>
  <c r="S29" i="1"/>
  <c r="N30" i="1"/>
  <c r="F31" i="1"/>
  <c r="X29" i="1" l="1"/>
  <c r="Y29" i="1" s="1"/>
  <c r="S30" i="1"/>
  <c r="O31" i="1"/>
  <c r="I31" i="1" s="1"/>
  <c r="V31" i="1" s="1"/>
  <c r="N31" i="1"/>
  <c r="F32" i="1"/>
  <c r="X30" i="1" l="1"/>
  <c r="Y30" i="1" s="1"/>
  <c r="S31" i="1"/>
  <c r="O32" i="1"/>
  <c r="I32" i="1" s="1"/>
  <c r="V32" i="1" s="1"/>
  <c r="N32" i="1"/>
  <c r="F33" i="1"/>
  <c r="X31" i="1" l="1"/>
  <c r="Y31" i="1" s="1"/>
  <c r="O33" i="1"/>
  <c r="I33" i="1" s="1"/>
  <c r="V33" i="1" s="1"/>
  <c r="S32" i="1"/>
  <c r="N33" i="1"/>
  <c r="F34" i="1"/>
  <c r="X32" i="1" l="1"/>
  <c r="Y32" i="1" s="1"/>
  <c r="S33" i="1"/>
  <c r="X33" i="1" s="1"/>
  <c r="Y33" i="1" s="1"/>
  <c r="O34" i="1"/>
  <c r="I34" i="1" s="1"/>
  <c r="V34" i="1" s="1"/>
  <c r="N34" i="1"/>
  <c r="F35" i="1"/>
  <c r="S34" i="1" l="1"/>
  <c r="O35" i="1"/>
  <c r="I35" i="1" s="1"/>
  <c r="V35" i="1" s="1"/>
  <c r="N35" i="1"/>
  <c r="F36" i="1"/>
  <c r="X34" i="1" l="1"/>
  <c r="Y34" i="1" s="1"/>
  <c r="S35" i="1"/>
  <c r="X35" i="1" s="1"/>
  <c r="O36" i="1"/>
  <c r="I36" i="1" s="1"/>
  <c r="V36" i="1" s="1"/>
  <c r="N36" i="1"/>
  <c r="F37" i="1"/>
  <c r="Y35" i="1" l="1"/>
  <c r="O37" i="1"/>
  <c r="I37" i="1" s="1"/>
  <c r="V37" i="1" s="1"/>
  <c r="S36" i="1"/>
  <c r="X36" i="1" s="1"/>
  <c r="N37" i="1"/>
  <c r="F38" i="1"/>
  <c r="Y36" i="1" l="1"/>
  <c r="O38" i="1"/>
  <c r="S37" i="1"/>
  <c r="X37" i="1" s="1"/>
  <c r="N38" i="1"/>
  <c r="S38" i="1" l="1"/>
  <c r="I38" i="1"/>
  <c r="V38" i="1" s="1"/>
  <c r="Y37" i="1"/>
  <c r="X38" i="1" l="1"/>
  <c r="Y38" i="1" l="1"/>
</calcChain>
</file>

<file path=xl/sharedStrings.xml><?xml version="1.0" encoding="utf-8"?>
<sst xmlns="http://schemas.openxmlformats.org/spreadsheetml/2006/main" count="50" uniqueCount="44">
  <si>
    <t>{ idi: 1001, id: "aetas1a",		title: "Adviento Semana Iª, Año A",		subtitle: "Ciclo A",		category: "Liturgia",		url: "/src/index.html?canto=aetas1a",		content: "aleluya adviento semana 1 ciclo a tas1a" },</t>
  </si>
  <si>
    <r>
      <t xml:space="preserve">{ idi: </t>
    </r>
    <r>
      <rPr>
        <sz val="10"/>
        <color rgb="FFB5CEA8"/>
        <rFont val="Consolas"/>
        <family val="3"/>
      </rPr>
      <t>1001</t>
    </r>
    <r>
      <rPr>
        <sz val="10"/>
        <color rgb="FF34E411"/>
        <rFont val="Consolas"/>
        <family val="3"/>
      </rPr>
      <t xml:space="preserve">, id: </t>
    </r>
    <r>
      <rPr>
        <sz val="10"/>
        <color rgb="FFCE9178"/>
        <rFont val="Consolas"/>
        <family val="3"/>
      </rPr>
      <t>"aetas1a"</t>
    </r>
    <r>
      <rPr>
        <sz val="10"/>
        <color rgb="FF34E411"/>
        <rFont val="Consolas"/>
        <family val="3"/>
      </rPr>
      <t xml:space="preserve">,     title: </t>
    </r>
    <r>
      <rPr>
        <sz val="10"/>
        <color rgb="FFCE9178"/>
        <rFont val="Consolas"/>
        <family val="3"/>
      </rPr>
      <t>"Adviento Semana Iª, Año A"</t>
    </r>
    <r>
      <rPr>
        <sz val="10"/>
        <color rgb="FF34E411"/>
        <rFont val="Consolas"/>
        <family val="3"/>
      </rPr>
      <t xml:space="preserve">,     subtitle: </t>
    </r>
    <r>
      <rPr>
        <sz val="10"/>
        <color rgb="FFCE9178"/>
        <rFont val="Consolas"/>
        <family val="3"/>
      </rPr>
      <t>"Ciclo A"</t>
    </r>
    <r>
      <rPr>
        <sz val="10"/>
        <color rgb="FF34E411"/>
        <rFont val="Consolas"/>
        <family val="3"/>
      </rPr>
      <t xml:space="preserve">,        category: </t>
    </r>
    <r>
      <rPr>
        <sz val="10"/>
        <color rgb="FFCE9178"/>
        <rFont val="Consolas"/>
        <family val="3"/>
      </rPr>
      <t>"Liturgia"</t>
    </r>
    <r>
      <rPr>
        <sz val="10"/>
        <color rgb="FF34E411"/>
        <rFont val="Consolas"/>
        <family val="3"/>
      </rPr>
      <t xml:space="preserve">,       url: </t>
    </r>
    <r>
      <rPr>
        <sz val="10"/>
        <color rgb="FFCE9178"/>
        <rFont val="Consolas"/>
        <family val="3"/>
      </rPr>
      <t>"/src/index.html?canto=aetas1a"</t>
    </r>
    <r>
      <rPr>
        <sz val="10"/>
        <color rgb="FF34E411"/>
        <rFont val="Consolas"/>
        <family val="3"/>
      </rPr>
      <t xml:space="preserve">,       content: </t>
    </r>
    <r>
      <rPr>
        <sz val="10"/>
        <color rgb="FFCE9178"/>
        <rFont val="Consolas"/>
        <family val="3"/>
      </rPr>
      <t>"aleluya adviento semana 1 ciclo a tas1a"</t>
    </r>
    <r>
      <rPr>
        <sz val="10"/>
        <color rgb="FF34E411"/>
        <rFont val="Consolas"/>
        <family val="3"/>
      </rPr>
      <t xml:space="preserve"> },</t>
    </r>
  </si>
  <si>
    <t>"</t>
  </si>
  <si>
    <t>",</t>
  </si>
  <si>
    <t>A</t>
  </si>
  <si>
    <t xml:space="preserve">", </t>
  </si>
  <si>
    <t>url: "/src/index.html?canto=</t>
  </si>
  <si>
    <t xml:space="preserve">, </t>
  </si>
  <si>
    <t xml:space="preserve">{ idi: </t>
  </si>
  <si>
    <t xml:space="preserve">id: </t>
  </si>
  <si>
    <t xml:space="preserve"> Año</t>
  </si>
  <si>
    <t xml:space="preserve"> Año </t>
  </si>
  <si>
    <t xml:space="preserve">subtitle: </t>
  </si>
  <si>
    <t xml:space="preserve"> category: "Liturgia", </t>
  </si>
  <si>
    <t xml:space="preserve"> content:</t>
  </si>
  <si>
    <t>id</t>
  </si>
  <si>
    <t>IDI</t>
  </si>
  <si>
    <t>IDI1</t>
  </si>
  <si>
    <t>coma1</t>
  </si>
  <si>
    <t>code</t>
  </si>
  <si>
    <t>title</t>
  </si>
  <si>
    <t xml:space="preserve"> Año1</t>
  </si>
  <si>
    <t>subtitle</t>
  </si>
  <si>
    <t>ciclo</t>
  </si>
  <si>
    <t>category</t>
  </si>
  <si>
    <t>url</t>
  </si>
  <si>
    <t>content</t>
  </si>
  <si>
    <t>content1</t>
  </si>
  <si>
    <t>codigo</t>
  </si>
  <si>
    <t>Column1</t>
  </si>
  <si>
    <t>Semana</t>
  </si>
  <si>
    <t>Adviento</t>
  </si>
  <si>
    <t>title1</t>
  </si>
  <si>
    <t>c2</t>
  </si>
  <si>
    <t>c1</t>
  </si>
  <si>
    <t>c3</t>
  </si>
  <si>
    <t>c4</t>
  </si>
  <si>
    <t>c5</t>
  </si>
  <si>
    <t>c6</t>
  </si>
  <si>
    <t xml:space="preserve">title: </t>
  </si>
  <si>
    <t>B</t>
  </si>
  <si>
    <t>C</t>
  </si>
  <si>
    <t>Navidad</t>
  </si>
  <si>
    <t>Ordinario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</si>
</sst>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rgb="FF34E411"/>
      <name val="Consolas"/>
      <family val="3"/>
    </font>
    <font>
      <sz val="10"/>
      <color rgb="FFB5CEA8"/>
      <name val="Consolas"/>
      <family val="3"/>
    </font>
    <font>
      <sz val="10"/>
      <color rgb="FFCE9178"/>
      <name val="Consolas"/>
      <family val="3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633C48-16AE-4454-BB46-819B6DE8C912}" name="Table1" displayName="Table1" ref="B7:Y38" totalsRowShown="0">
  <autoFilter ref="B7:Y38" xr:uid="{42633C48-16AE-4454-BB46-819B6DE8C912}"/>
  <tableColumns count="24">
    <tableColumn id="23" xr3:uid="{B13B43D1-3BB8-43A2-A457-C98015970939}" name="Semana"/>
    <tableColumn id="26" xr3:uid="{0B1ADF5E-40AC-4BCB-A0EA-E42514D68B7C}" name="Column1"/>
    <tableColumn id="1" xr3:uid="{AE3BF532-4DE3-414A-A94C-3ECB29E714E5}" name="IDI"/>
    <tableColumn id="2" xr3:uid="{E86FC52A-17DA-4A60-B709-8F9ADBC154EA}" name="IDI1"/>
    <tableColumn id="3" xr3:uid="{2D181677-E24F-4C71-9355-0CEF6734F212}" name="coma1"/>
    <tableColumn id="4" xr3:uid="{01A311CF-E17D-46D3-85D7-D21FC42F8E2D}" name="id"/>
    <tableColumn id="5" xr3:uid="{93AE39DF-501F-4F38-A7ED-4310DD2F7F41}" name="c1"/>
    <tableColumn id="6" xr3:uid="{BD8E87B9-ED65-4374-A649-C7AC5FD15660}" name="code" dataDxfId="2">
      <calculatedColumnFormula>_xlfn.CONCAT("aet",(LOWER(LEFT(M8,1))),"s",Table1[[#This Row],[Semana]],LOWER(LEFT(O8,1)))</calculatedColumnFormula>
    </tableColumn>
    <tableColumn id="7" xr3:uid="{423598F3-58F4-4DEA-901C-B0CFDA4F1EE3}" name="c2"/>
    <tableColumn id="8" xr3:uid="{5A5AAD09-810C-4C77-AD47-BC592CB6FFB7}" name="title"/>
    <tableColumn id="9" xr3:uid="{31FA0F4B-3F5D-44CC-B238-733D2835FA3B}" name="c3"/>
    <tableColumn id="25" xr3:uid="{8B255006-96D8-4F78-8A47-2E260786F09C}" name="title1" dataDxfId="0">
      <calculatedColumnFormula>_xlfn.CONCAT(C8, " Semana ",ROMAN(B8),"ª,")</calculatedColumnFormula>
    </tableColumn>
    <tableColumn id="11" xr3:uid="{8EA5C1C1-B2DD-4E77-B21A-A6E644C4F91D}" name=" Año"/>
    <tableColumn id="12" xr3:uid="{1975DCA0-C490-490F-876D-AD7E5D8F4FBD}" name=" Año1"/>
    <tableColumn id="13" xr3:uid="{8FDD4D44-F015-4196-9B88-4D213C666975}" name="c4"/>
    <tableColumn id="14" xr3:uid="{98DFB335-7C0F-4CC9-9B99-37C92FEF60BC}" name="subtitle"/>
    <tableColumn id="15" xr3:uid="{2E8006BC-92F3-499A-98F3-4C424CAE53FF}" name="c5"/>
    <tableColumn id="16" xr3:uid="{EDB76B1D-AA89-4D11-8404-B8A572933906}" name="ciclo">
      <calculatedColumnFormula>_xlfn.CONCAT("Ciclo ",O8)</calculatedColumnFormula>
    </tableColumn>
    <tableColumn id="17" xr3:uid="{19DA455C-BAF4-4EE3-95FF-AD5735DB00D8}" name="c6"/>
    <tableColumn id="18" xr3:uid="{E6206550-F5A6-494E-9B51-6592A2259FD1}" name="category"/>
    <tableColumn id="19" xr3:uid="{8F631CD1-B83E-4149-908D-69BD2DD8A6FF}" name="url">
      <calculatedColumnFormula>_xlfn.CONCAT("url: ","""/src/index.html?canto=",I8,""",")</calculatedColumnFormula>
    </tableColumn>
    <tableColumn id="20" xr3:uid="{CDFBD7E9-E3BF-45C3-AEE0-B7C3BCB0D528}" name="content"/>
    <tableColumn id="21" xr3:uid="{A6378C7C-A875-44B6-B3E7-D19E44391D5D}" name="content1" dataDxfId="1">
      <calculatedColumnFormula>_xlfn.CONCAT("""",M8," ",N8,"/",S8,", ",RIGHT(I8,LEN(I8)-2),""" },")</calculatedColumnFormula>
    </tableColumn>
    <tableColumn id="22" xr3:uid="{85FB3F79-6902-4F89-8DA7-0A4AB2E3D537}" name="codigo">
      <calculatedColumnFormula>_xlfn.CONCAT(D8:X38)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BEC96-A8BB-4765-ADB3-ABC3C0B2D18E}">
  <dimension ref="A4:Y42"/>
  <sheetViews>
    <sheetView tabSelected="1" topLeftCell="D13" zoomScale="175" zoomScaleNormal="175" workbookViewId="0">
      <selection activeCell="V25" sqref="V25"/>
    </sheetView>
  </sheetViews>
  <sheetFormatPr defaultRowHeight="15" x14ac:dyDescent="0.25"/>
  <cols>
    <col min="1" max="1" width="2" bestFit="1" customWidth="1"/>
    <col min="2" max="2" width="5.28515625" bestFit="1" customWidth="1"/>
    <col min="3" max="3" width="11.42578125" bestFit="1" customWidth="1"/>
    <col min="4" max="4" width="7.5703125" customWidth="1"/>
    <col min="5" max="5" width="3.7109375" bestFit="1" customWidth="1"/>
    <col min="6" max="6" width="5" bestFit="1" customWidth="1"/>
    <col min="7" max="7" width="5.28515625" bestFit="1" customWidth="1"/>
    <col min="8" max="8" width="9" bestFit="1" customWidth="1"/>
    <col min="9" max="9" width="5.28515625" bestFit="1" customWidth="1"/>
    <col min="10" max="10" width="7" bestFit="1" customWidth="1"/>
    <col min="11" max="12" width="5.28515625" bestFit="1" customWidth="1"/>
    <col min="13" max="13" width="21.85546875" bestFit="1" customWidth="1"/>
    <col min="14" max="14" width="8.140625" bestFit="1" customWidth="1"/>
    <col min="15" max="15" width="5.28515625" bestFit="1" customWidth="1"/>
    <col min="16" max="16" width="10.28515625" bestFit="1" customWidth="1"/>
    <col min="17" max="17" width="5.28515625" bestFit="1" customWidth="1"/>
    <col min="18" max="18" width="8.140625" customWidth="1"/>
    <col min="19" max="19" width="3" customWidth="1"/>
    <col min="20" max="20" width="5.28515625" bestFit="1" customWidth="1"/>
    <col min="21" max="21" width="19.85546875" bestFit="1" customWidth="1"/>
    <col min="22" max="22" width="35.5703125" bestFit="1" customWidth="1"/>
    <col min="23" max="23" width="10.28515625" bestFit="1" customWidth="1"/>
    <col min="24" max="24" width="44.140625" bestFit="1" customWidth="1"/>
    <col min="25" max="25" width="39.85546875" customWidth="1"/>
  </cols>
  <sheetData>
    <row r="4" spans="1:25" x14ac:dyDescent="0.25">
      <c r="A4" t="s">
        <v>0</v>
      </c>
    </row>
    <row r="6" spans="1:25" x14ac:dyDescent="0.25">
      <c r="A6" s="1" t="s">
        <v>1</v>
      </c>
    </row>
    <row r="7" spans="1:25" x14ac:dyDescent="0.25">
      <c r="B7" t="s">
        <v>30</v>
      </c>
      <c r="C7" t="s">
        <v>29</v>
      </c>
      <c r="D7" t="s">
        <v>16</v>
      </c>
      <c r="E7" t="s">
        <v>17</v>
      </c>
      <c r="F7" t="s">
        <v>18</v>
      </c>
      <c r="G7" t="s">
        <v>15</v>
      </c>
      <c r="H7" t="s">
        <v>34</v>
      </c>
      <c r="I7" t="s">
        <v>19</v>
      </c>
      <c r="J7" t="s">
        <v>33</v>
      </c>
      <c r="K7" t="s">
        <v>20</v>
      </c>
      <c r="L7" t="s">
        <v>35</v>
      </c>
      <c r="M7" t="s">
        <v>32</v>
      </c>
      <c r="N7" t="s">
        <v>10</v>
      </c>
      <c r="O7" t="s">
        <v>21</v>
      </c>
      <c r="P7" t="s">
        <v>36</v>
      </c>
      <c r="Q7" t="s">
        <v>22</v>
      </c>
      <c r="R7" t="s">
        <v>37</v>
      </c>
      <c r="S7" t="s">
        <v>23</v>
      </c>
      <c r="T7" t="s">
        <v>38</v>
      </c>
      <c r="U7" t="s">
        <v>24</v>
      </c>
      <c r="V7" t="s">
        <v>25</v>
      </c>
      <c r="W7" t="s">
        <v>26</v>
      </c>
      <c r="X7" t="s">
        <v>27</v>
      </c>
      <c r="Y7" t="s">
        <v>28</v>
      </c>
    </row>
    <row r="8" spans="1:25" x14ac:dyDescent="0.25">
      <c r="A8">
        <v>1</v>
      </c>
      <c r="B8" s="4">
        <v>1</v>
      </c>
      <c r="C8" s="4" t="s">
        <v>31</v>
      </c>
      <c r="D8" s="4" t="s">
        <v>8</v>
      </c>
      <c r="E8" s="4">
        <v>1001</v>
      </c>
      <c r="F8" s="4" t="s">
        <v>7</v>
      </c>
      <c r="G8" s="4" t="s">
        <v>9</v>
      </c>
      <c r="H8" s="4" t="s">
        <v>2</v>
      </c>
      <c r="I8" s="4" t="str">
        <f>_xlfn.CONCAT("aet",(LOWER(LEFT(M8,1))),"s",Table1[[#This Row],[Semana]],LOWER(LEFT(O8,1)))</f>
        <v>aetas1a</v>
      </c>
      <c r="J8" s="4" t="s">
        <v>5</v>
      </c>
      <c r="K8" s="4" t="s">
        <v>39</v>
      </c>
      <c r="L8" s="4" t="s">
        <v>2</v>
      </c>
      <c r="M8" s="4" t="str">
        <f t="shared" ref="M8:M38" si="0">_xlfn.CONCAT(C8, " Semana ",ROMAN(B8),"ª,")</f>
        <v>Adviento Semana Iª,</v>
      </c>
      <c r="N8" s="4" t="s">
        <v>11</v>
      </c>
      <c r="O8" s="4" t="s">
        <v>4</v>
      </c>
      <c r="P8" s="4" t="s">
        <v>5</v>
      </c>
      <c r="Q8" s="4" t="s">
        <v>12</v>
      </c>
      <c r="R8" s="4" t="s">
        <v>2</v>
      </c>
      <c r="S8" s="4" t="str">
        <f>_xlfn.CONCAT("Ciclo ",O8)</f>
        <v>Ciclo A</v>
      </c>
      <c r="T8" s="4" t="s">
        <v>3</v>
      </c>
      <c r="U8" s="4" t="s">
        <v>13</v>
      </c>
      <c r="V8" s="4" t="str">
        <f>_xlfn.CONCAT("url: ","""/src/index.html?canto=",I8,""",")</f>
        <v>url: "/src/index.html?canto=aetas1a",</v>
      </c>
      <c r="W8" s="4" t="s">
        <v>14</v>
      </c>
      <c r="X8" s="4" t="str">
        <f t="shared" ref="X8:X38" si="1">_xlfn.CONCAT("""",M8," ",N8,"/",S8,", ",RIGHT(I8,LEN(I8)-2),""" },")</f>
        <v>"Adviento Semana Iª,  Año /Ciclo A, tas1a" },</v>
      </c>
      <c r="Y8" s="4" t="str">
        <f>_xlfn.CONCAT(D8:X8)</f>
        <v>{ idi: 1001, id: "aetas1a", title: "Adviento Semana Iª, Año A", subtitle: "Ciclo A", category: "Liturgia", url: "/src/index.html?canto=aetas1a", content:"Adviento Semana Iª,  Año /Ciclo A, tas1a" },</v>
      </c>
    </row>
    <row r="9" spans="1:25" x14ac:dyDescent="0.25">
      <c r="B9" s="4">
        <f>+B8+1</f>
        <v>2</v>
      </c>
      <c r="C9" s="4" t="str">
        <f>C8</f>
        <v>Adviento</v>
      </c>
      <c r="D9" s="4" t="str">
        <f>D8</f>
        <v xml:space="preserve">{ idi: </v>
      </c>
      <c r="E9" s="4">
        <v>1002</v>
      </c>
      <c r="F9" s="4" t="str">
        <f>F8</f>
        <v xml:space="preserve">, </v>
      </c>
      <c r="G9" s="4" t="str">
        <f t="shared" ref="G9:G38" si="2">G8</f>
        <v xml:space="preserve">id: </v>
      </c>
      <c r="H9" s="4" t="str">
        <f t="shared" ref="H9:H38" si="3">H8</f>
        <v>"</v>
      </c>
      <c r="I9" s="4" t="str">
        <f>_xlfn.CONCAT("aet",(LOWER(LEFT(M9,1))),"s",Table1[[#This Row],[Semana]],LOWER(LEFT(O9,1)))</f>
        <v>aetas2a</v>
      </c>
      <c r="J9" s="4" t="str">
        <f t="shared" ref="J9:J38" si="4">J8</f>
        <v xml:space="preserve">", </v>
      </c>
      <c r="K9" s="4" t="str">
        <f t="shared" ref="K9:K38" si="5">K8</f>
        <v xml:space="preserve">title: </v>
      </c>
      <c r="L9" s="4" t="str">
        <f t="shared" ref="L9:L38" si="6">L8</f>
        <v>"</v>
      </c>
      <c r="M9" s="4" t="str">
        <f t="shared" si="0"/>
        <v>Adviento Semana IIª,</v>
      </c>
      <c r="N9" s="4" t="str">
        <f t="shared" ref="N9:N38" si="7">N8</f>
        <v xml:space="preserve"> Año </v>
      </c>
      <c r="O9" s="4" t="str">
        <f t="shared" ref="O9:O38" si="8">O8</f>
        <v>A</v>
      </c>
      <c r="P9" s="4" t="str">
        <f t="shared" ref="P9:P38" si="9">P8</f>
        <v xml:space="preserve">", </v>
      </c>
      <c r="Q9" s="4" t="str">
        <f t="shared" ref="Q9:Q38" si="10">Q8</f>
        <v xml:space="preserve">subtitle: </v>
      </c>
      <c r="R9" s="4" t="str">
        <f t="shared" ref="R9:W38" si="11">R8</f>
        <v>"</v>
      </c>
      <c r="S9" s="4" t="str">
        <f t="shared" ref="S9:S38" si="12">_xlfn.CONCAT("Ciclo ",O9)</f>
        <v>Ciclo A</v>
      </c>
      <c r="T9" s="4" t="str">
        <f t="shared" si="11"/>
        <v>",</v>
      </c>
      <c r="U9" s="4" t="str">
        <f t="shared" si="11"/>
        <v xml:space="preserve"> category: "Liturgia", </v>
      </c>
      <c r="V9" s="4" t="str">
        <f>_xlfn.CONCAT("url: ","""/src/index.html?canto=",I9,""",")</f>
        <v>url: "/src/index.html?canto=aetas2a",</v>
      </c>
      <c r="W9" s="4" t="str">
        <f t="shared" si="11"/>
        <v xml:space="preserve"> content:</v>
      </c>
      <c r="X9" s="4" t="str">
        <f t="shared" si="1"/>
        <v>"Adviento Semana IIª,  Año /Ciclo A, tas2a" },</v>
      </c>
      <c r="Y9" s="4" t="str">
        <f>_xlfn.CONCAT(D9:X9)</f>
        <v>{ idi: 1002, id: "aetas2a", title: "Adviento Semana IIª, Año A", subtitle: "Ciclo A", category: "Liturgia", url: "/src/index.html?canto=aetas2a", content:"Adviento Semana IIª,  Año /Ciclo A, tas2a" },</v>
      </c>
    </row>
    <row r="10" spans="1:25" x14ac:dyDescent="0.25">
      <c r="B10" s="4">
        <f t="shared" ref="B10:B38" si="13">+B9+1</f>
        <v>3</v>
      </c>
      <c r="C10" s="4" t="str">
        <f t="shared" ref="C10:C19" si="14">C9</f>
        <v>Adviento</v>
      </c>
      <c r="D10" s="4" t="str">
        <f t="shared" ref="D10:D38" si="15">D9</f>
        <v xml:space="preserve">{ idi: </v>
      </c>
      <c r="E10" s="4">
        <v>1003</v>
      </c>
      <c r="F10" s="4" t="str">
        <f t="shared" ref="F10:F38" si="16">F9</f>
        <v xml:space="preserve">, </v>
      </c>
      <c r="G10" s="4" t="str">
        <f t="shared" si="2"/>
        <v xml:space="preserve">id: </v>
      </c>
      <c r="H10" s="4" t="str">
        <f t="shared" si="3"/>
        <v>"</v>
      </c>
      <c r="I10" s="4" t="str">
        <f>_xlfn.CONCAT("aet",(LOWER(LEFT(M10,1))),"s",Table1[[#This Row],[Semana]],LOWER(LEFT(O10,1)))</f>
        <v>aetas3a</v>
      </c>
      <c r="J10" s="4" t="str">
        <f t="shared" si="4"/>
        <v xml:space="preserve">", </v>
      </c>
      <c r="K10" s="4" t="str">
        <f t="shared" si="5"/>
        <v xml:space="preserve">title: </v>
      </c>
      <c r="L10" s="4" t="str">
        <f t="shared" si="6"/>
        <v>"</v>
      </c>
      <c r="M10" s="4" t="str">
        <f t="shared" si="0"/>
        <v>Adviento Semana IIIª,</v>
      </c>
      <c r="N10" s="4" t="str">
        <f t="shared" si="7"/>
        <v xml:space="preserve"> Año </v>
      </c>
      <c r="O10" s="4" t="str">
        <f t="shared" si="8"/>
        <v>A</v>
      </c>
      <c r="P10" s="4" t="str">
        <f t="shared" si="9"/>
        <v xml:space="preserve">", </v>
      </c>
      <c r="Q10" s="4" t="str">
        <f t="shared" si="10"/>
        <v xml:space="preserve">subtitle: </v>
      </c>
      <c r="R10" s="4" t="str">
        <f t="shared" si="11"/>
        <v>"</v>
      </c>
      <c r="S10" s="4" t="str">
        <f t="shared" si="12"/>
        <v>Ciclo A</v>
      </c>
      <c r="T10" s="4" t="str">
        <f t="shared" si="11"/>
        <v>",</v>
      </c>
      <c r="U10" s="4" t="str">
        <f t="shared" si="11"/>
        <v xml:space="preserve"> category: "Liturgia", </v>
      </c>
      <c r="V10" s="4" t="str">
        <f>_xlfn.CONCAT("url: ","""/src/index.html?canto=",I10,""",")</f>
        <v>url: "/src/index.html?canto=aetas3a",</v>
      </c>
      <c r="W10" s="4" t="str">
        <f t="shared" si="11"/>
        <v xml:space="preserve"> content:</v>
      </c>
      <c r="X10" s="4" t="str">
        <f t="shared" si="1"/>
        <v>"Adviento Semana IIIª,  Año /Ciclo A, tas3a" },</v>
      </c>
      <c r="Y10" s="4" t="str">
        <f>_xlfn.CONCAT(D10:X10)</f>
        <v>{ idi: 1003, id: "aetas3a", title: "Adviento Semana IIIª, Año A", subtitle: "Ciclo A", category: "Liturgia", url: "/src/index.html?canto=aetas3a", content:"Adviento Semana IIIª,  Año /Ciclo A, tas3a" },</v>
      </c>
    </row>
    <row r="11" spans="1:25" x14ac:dyDescent="0.25">
      <c r="B11" s="4">
        <f t="shared" si="13"/>
        <v>4</v>
      </c>
      <c r="C11" s="4" t="str">
        <f t="shared" si="14"/>
        <v>Adviento</v>
      </c>
      <c r="D11" s="4" t="str">
        <f t="shared" si="15"/>
        <v xml:space="preserve">{ idi: </v>
      </c>
      <c r="E11" s="4">
        <v>1004</v>
      </c>
      <c r="F11" s="4" t="str">
        <f t="shared" si="16"/>
        <v xml:space="preserve">, </v>
      </c>
      <c r="G11" s="4" t="str">
        <f t="shared" si="2"/>
        <v xml:space="preserve">id: </v>
      </c>
      <c r="H11" s="4" t="str">
        <f t="shared" si="3"/>
        <v>"</v>
      </c>
      <c r="I11" s="4" t="str">
        <f>_xlfn.CONCAT("aet",(LOWER(LEFT(M11,1))),"s",Table1[[#This Row],[Semana]],LOWER(LEFT(O11,1)))</f>
        <v>aetas4a</v>
      </c>
      <c r="J11" s="4" t="str">
        <f t="shared" si="4"/>
        <v xml:space="preserve">", </v>
      </c>
      <c r="K11" s="4" t="str">
        <f t="shared" si="5"/>
        <v xml:space="preserve">title: </v>
      </c>
      <c r="L11" s="4" t="str">
        <f t="shared" si="6"/>
        <v>"</v>
      </c>
      <c r="M11" s="4" t="str">
        <f t="shared" si="0"/>
        <v>Adviento Semana IVª,</v>
      </c>
      <c r="N11" s="4" t="str">
        <f t="shared" si="7"/>
        <v xml:space="preserve"> Año </v>
      </c>
      <c r="O11" s="4" t="str">
        <f t="shared" si="8"/>
        <v>A</v>
      </c>
      <c r="P11" s="4" t="str">
        <f t="shared" si="9"/>
        <v xml:space="preserve">", </v>
      </c>
      <c r="Q11" s="4" t="str">
        <f t="shared" si="10"/>
        <v xml:space="preserve">subtitle: </v>
      </c>
      <c r="R11" s="4" t="str">
        <f t="shared" si="11"/>
        <v>"</v>
      </c>
      <c r="S11" s="4" t="str">
        <f t="shared" si="12"/>
        <v>Ciclo A</v>
      </c>
      <c r="T11" s="4" t="str">
        <f t="shared" si="11"/>
        <v>",</v>
      </c>
      <c r="U11" s="4" t="str">
        <f t="shared" si="11"/>
        <v xml:space="preserve"> category: "Liturgia", </v>
      </c>
      <c r="V11" s="4" t="str">
        <f>_xlfn.CONCAT("url: ","""/src/index.html?canto=",I11,""",")</f>
        <v>url: "/src/index.html?canto=aetas4a",</v>
      </c>
      <c r="W11" s="4" t="str">
        <f t="shared" si="11"/>
        <v xml:space="preserve"> content:</v>
      </c>
      <c r="X11" s="4" t="str">
        <f t="shared" si="1"/>
        <v>"Adviento Semana IVª,  Año /Ciclo A, tas4a" },</v>
      </c>
      <c r="Y11" s="4" t="str">
        <f>_xlfn.CONCAT(D11:X11)</f>
        <v>{ idi: 1004, id: "aetas4a", title: "Adviento Semana IVª, Año A", subtitle: "Ciclo A", category: "Liturgia", url: "/src/index.html?canto=aetas4a", content:"Adviento Semana IVª,  Año /Ciclo A, tas4a" },</v>
      </c>
    </row>
    <row r="12" spans="1:25" x14ac:dyDescent="0.25">
      <c r="B12" s="4">
        <v>1</v>
      </c>
      <c r="C12" s="4" t="str">
        <f t="shared" si="14"/>
        <v>Adviento</v>
      </c>
      <c r="D12" s="4" t="str">
        <f t="shared" si="15"/>
        <v xml:space="preserve">{ idi: </v>
      </c>
      <c r="E12" s="4">
        <v>1005</v>
      </c>
      <c r="F12" s="4" t="str">
        <f t="shared" si="16"/>
        <v xml:space="preserve">, </v>
      </c>
      <c r="G12" s="4" t="str">
        <f t="shared" si="2"/>
        <v xml:space="preserve">id: </v>
      </c>
      <c r="H12" s="4" t="str">
        <f t="shared" si="3"/>
        <v>"</v>
      </c>
      <c r="I12" s="4" t="str">
        <f>_xlfn.CONCAT("aet",(LOWER(LEFT(M12,1))),"s",Table1[[#This Row],[Semana]],LOWER(LEFT(O12,1)))</f>
        <v>aetas1b</v>
      </c>
      <c r="J12" s="4" t="str">
        <f t="shared" si="4"/>
        <v xml:space="preserve">", </v>
      </c>
      <c r="K12" s="4" t="str">
        <f t="shared" si="5"/>
        <v xml:space="preserve">title: </v>
      </c>
      <c r="L12" s="4" t="str">
        <f t="shared" si="6"/>
        <v>"</v>
      </c>
      <c r="M12" s="4" t="str">
        <f t="shared" si="0"/>
        <v>Adviento Semana Iª,</v>
      </c>
      <c r="N12" s="4" t="str">
        <f t="shared" si="7"/>
        <v xml:space="preserve"> Año </v>
      </c>
      <c r="O12" s="4" t="s">
        <v>40</v>
      </c>
      <c r="P12" s="4" t="str">
        <f t="shared" si="9"/>
        <v xml:space="preserve">", </v>
      </c>
      <c r="Q12" s="4" t="str">
        <f t="shared" si="10"/>
        <v xml:space="preserve">subtitle: </v>
      </c>
      <c r="R12" s="4" t="str">
        <f t="shared" si="11"/>
        <v>"</v>
      </c>
      <c r="S12" s="4" t="str">
        <f t="shared" si="12"/>
        <v>Ciclo B</v>
      </c>
      <c r="T12" s="4" t="str">
        <f t="shared" si="11"/>
        <v>",</v>
      </c>
      <c r="U12" s="4" t="str">
        <f t="shared" si="11"/>
        <v xml:space="preserve"> category: "Liturgia", </v>
      </c>
      <c r="V12" s="4" t="str">
        <f>_xlfn.CONCAT("url: ","""/src/index.html?canto=",I12,""",")</f>
        <v>url: "/src/index.html?canto=aetas1b",</v>
      </c>
      <c r="W12" s="4" t="str">
        <f t="shared" si="11"/>
        <v xml:space="preserve"> content:</v>
      </c>
      <c r="X12" s="4" t="str">
        <f t="shared" si="1"/>
        <v>"Adviento Semana Iª,  Año /Ciclo B, tas1b" },</v>
      </c>
      <c r="Y12" s="4" t="str">
        <f>_xlfn.CONCAT(D12:X12)</f>
        <v>{ idi: 1005, id: "aetas1b", title: "Adviento Semana Iª, Año B", subtitle: "Ciclo B", category: "Liturgia", url: "/src/index.html?canto=aetas1b", content:"Adviento Semana Iª,  Año /Ciclo B, tas1b" },</v>
      </c>
    </row>
    <row r="13" spans="1:25" x14ac:dyDescent="0.25">
      <c r="B13" s="4">
        <f t="shared" si="13"/>
        <v>2</v>
      </c>
      <c r="C13" s="4" t="str">
        <f t="shared" si="14"/>
        <v>Adviento</v>
      </c>
      <c r="D13" s="4" t="str">
        <f t="shared" si="15"/>
        <v xml:space="preserve">{ idi: </v>
      </c>
      <c r="E13" s="4">
        <v>1006</v>
      </c>
      <c r="F13" s="4" t="str">
        <f t="shared" si="16"/>
        <v xml:space="preserve">, </v>
      </c>
      <c r="G13" s="4" t="str">
        <f t="shared" si="2"/>
        <v xml:space="preserve">id: </v>
      </c>
      <c r="H13" s="4" t="str">
        <f t="shared" si="3"/>
        <v>"</v>
      </c>
      <c r="I13" s="4" t="str">
        <f>_xlfn.CONCAT("aet",(LOWER(LEFT(M13,1))),"s",Table1[[#This Row],[Semana]],LOWER(LEFT(O13,1)))</f>
        <v>aetas2b</v>
      </c>
      <c r="J13" s="4" t="str">
        <f t="shared" si="4"/>
        <v xml:space="preserve">", </v>
      </c>
      <c r="K13" s="4" t="str">
        <f t="shared" si="5"/>
        <v xml:space="preserve">title: </v>
      </c>
      <c r="L13" s="4" t="str">
        <f t="shared" si="6"/>
        <v>"</v>
      </c>
      <c r="M13" s="4" t="str">
        <f t="shared" si="0"/>
        <v>Adviento Semana IIª,</v>
      </c>
      <c r="N13" s="4" t="str">
        <f t="shared" si="7"/>
        <v xml:space="preserve"> Año </v>
      </c>
      <c r="O13" s="4" t="str">
        <f t="shared" si="8"/>
        <v>B</v>
      </c>
      <c r="P13" s="4" t="str">
        <f t="shared" si="9"/>
        <v xml:space="preserve">", </v>
      </c>
      <c r="Q13" s="4" t="str">
        <f t="shared" si="10"/>
        <v xml:space="preserve">subtitle: </v>
      </c>
      <c r="R13" s="4" t="str">
        <f t="shared" si="11"/>
        <v>"</v>
      </c>
      <c r="S13" s="4" t="str">
        <f t="shared" si="12"/>
        <v>Ciclo B</v>
      </c>
      <c r="T13" s="4" t="str">
        <f t="shared" si="11"/>
        <v>",</v>
      </c>
      <c r="U13" s="4" t="str">
        <f t="shared" si="11"/>
        <v xml:space="preserve"> category: "Liturgia", </v>
      </c>
      <c r="V13" s="4" t="str">
        <f>_xlfn.CONCAT("url: ","""/src/index.html?canto=",I13,""",")</f>
        <v>url: "/src/index.html?canto=aetas2b",</v>
      </c>
      <c r="W13" s="4" t="str">
        <f t="shared" si="11"/>
        <v xml:space="preserve"> content:</v>
      </c>
      <c r="X13" s="4" t="str">
        <f t="shared" si="1"/>
        <v>"Adviento Semana IIª,  Año /Ciclo B, tas2b" },</v>
      </c>
      <c r="Y13" s="4" t="str">
        <f>_xlfn.CONCAT(D13:X13)</f>
        <v>{ idi: 1006, id: "aetas2b", title: "Adviento Semana IIª, Año B", subtitle: "Ciclo B", category: "Liturgia", url: "/src/index.html?canto=aetas2b", content:"Adviento Semana IIª,  Año /Ciclo B, tas2b" },</v>
      </c>
    </row>
    <row r="14" spans="1:25" x14ac:dyDescent="0.25">
      <c r="B14" s="4">
        <f t="shared" si="13"/>
        <v>3</v>
      </c>
      <c r="C14" s="4" t="str">
        <f t="shared" si="14"/>
        <v>Adviento</v>
      </c>
      <c r="D14" s="4" t="str">
        <f t="shared" si="15"/>
        <v xml:space="preserve">{ idi: </v>
      </c>
      <c r="E14" s="4">
        <v>1007</v>
      </c>
      <c r="F14" s="4" t="str">
        <f t="shared" si="16"/>
        <v xml:space="preserve">, </v>
      </c>
      <c r="G14" s="4" t="str">
        <f t="shared" si="2"/>
        <v xml:space="preserve">id: </v>
      </c>
      <c r="H14" s="4" t="str">
        <f t="shared" si="3"/>
        <v>"</v>
      </c>
      <c r="I14" s="4" t="str">
        <f>_xlfn.CONCAT("aet",(LOWER(LEFT(M14,1))),"s",Table1[[#This Row],[Semana]],LOWER(LEFT(O14,1)))</f>
        <v>aetas3b</v>
      </c>
      <c r="J14" s="4" t="str">
        <f t="shared" si="4"/>
        <v xml:space="preserve">", </v>
      </c>
      <c r="K14" s="4" t="str">
        <f t="shared" si="5"/>
        <v xml:space="preserve">title: </v>
      </c>
      <c r="L14" s="4" t="str">
        <f t="shared" si="6"/>
        <v>"</v>
      </c>
      <c r="M14" s="4" t="str">
        <f t="shared" si="0"/>
        <v>Adviento Semana IIIª,</v>
      </c>
      <c r="N14" s="4" t="str">
        <f t="shared" si="7"/>
        <v xml:space="preserve"> Año </v>
      </c>
      <c r="O14" s="4" t="str">
        <f t="shared" si="8"/>
        <v>B</v>
      </c>
      <c r="P14" s="4" t="str">
        <f t="shared" si="9"/>
        <v xml:space="preserve">", </v>
      </c>
      <c r="Q14" s="4" t="str">
        <f t="shared" si="10"/>
        <v xml:space="preserve">subtitle: </v>
      </c>
      <c r="R14" s="4" t="str">
        <f t="shared" si="11"/>
        <v>"</v>
      </c>
      <c r="S14" s="4" t="str">
        <f t="shared" si="12"/>
        <v>Ciclo B</v>
      </c>
      <c r="T14" s="4" t="str">
        <f t="shared" si="11"/>
        <v>",</v>
      </c>
      <c r="U14" s="4" t="str">
        <f t="shared" si="11"/>
        <v xml:space="preserve"> category: "Liturgia", </v>
      </c>
      <c r="V14" s="4" t="str">
        <f>_xlfn.CONCAT("url: ","""/src/index.html?canto=",I14,""",")</f>
        <v>url: "/src/index.html?canto=aetas3b",</v>
      </c>
      <c r="W14" s="4" t="str">
        <f t="shared" si="11"/>
        <v xml:space="preserve"> content:</v>
      </c>
      <c r="X14" s="4" t="str">
        <f t="shared" si="1"/>
        <v>"Adviento Semana IIIª,  Año /Ciclo B, tas3b" },</v>
      </c>
      <c r="Y14" s="4" t="str">
        <f>_xlfn.CONCAT(D14:X14)</f>
        <v>{ idi: 1007, id: "aetas3b", title: "Adviento Semana IIIª, Año B", subtitle: "Ciclo B", category: "Liturgia", url: "/src/index.html?canto=aetas3b", content:"Adviento Semana IIIª,  Año /Ciclo B, tas3b" },</v>
      </c>
    </row>
    <row r="15" spans="1:25" x14ac:dyDescent="0.25">
      <c r="B15" s="4">
        <f t="shared" si="13"/>
        <v>4</v>
      </c>
      <c r="C15" s="4" t="str">
        <f t="shared" si="14"/>
        <v>Adviento</v>
      </c>
      <c r="D15" s="4" t="str">
        <f t="shared" si="15"/>
        <v xml:space="preserve">{ idi: </v>
      </c>
      <c r="E15" s="4">
        <v>1008</v>
      </c>
      <c r="F15" s="4" t="str">
        <f t="shared" si="16"/>
        <v xml:space="preserve">, </v>
      </c>
      <c r="G15" s="4" t="str">
        <f t="shared" si="2"/>
        <v xml:space="preserve">id: </v>
      </c>
      <c r="H15" s="4" t="str">
        <f t="shared" si="3"/>
        <v>"</v>
      </c>
      <c r="I15" s="4" t="str">
        <f>_xlfn.CONCAT("aet",(LOWER(LEFT(M15,1))),"s",Table1[[#This Row],[Semana]],LOWER(LEFT(O15,1)))</f>
        <v>aetas4b</v>
      </c>
      <c r="J15" s="4" t="str">
        <f t="shared" si="4"/>
        <v xml:space="preserve">", </v>
      </c>
      <c r="K15" s="4" t="str">
        <f t="shared" si="5"/>
        <v xml:space="preserve">title: </v>
      </c>
      <c r="L15" s="4" t="str">
        <f t="shared" si="6"/>
        <v>"</v>
      </c>
      <c r="M15" s="4" t="str">
        <f t="shared" si="0"/>
        <v>Adviento Semana IVª,</v>
      </c>
      <c r="N15" s="4" t="str">
        <f t="shared" si="7"/>
        <v xml:space="preserve"> Año </v>
      </c>
      <c r="O15" s="4" t="str">
        <f t="shared" si="8"/>
        <v>B</v>
      </c>
      <c r="P15" s="4" t="str">
        <f t="shared" si="9"/>
        <v xml:space="preserve">", </v>
      </c>
      <c r="Q15" s="4" t="str">
        <f t="shared" si="10"/>
        <v xml:space="preserve">subtitle: </v>
      </c>
      <c r="R15" s="4" t="str">
        <f t="shared" si="11"/>
        <v>"</v>
      </c>
      <c r="S15" s="4" t="str">
        <f t="shared" si="12"/>
        <v>Ciclo B</v>
      </c>
      <c r="T15" s="4" t="str">
        <f t="shared" si="11"/>
        <v>",</v>
      </c>
      <c r="U15" s="4" t="str">
        <f t="shared" si="11"/>
        <v xml:space="preserve"> category: "Liturgia", </v>
      </c>
      <c r="V15" s="4" t="str">
        <f>_xlfn.CONCAT("url: ","""/src/index.html?canto=",I15,""",")</f>
        <v>url: "/src/index.html?canto=aetas4b",</v>
      </c>
      <c r="W15" s="4" t="str">
        <f t="shared" si="11"/>
        <v xml:space="preserve"> content:</v>
      </c>
      <c r="X15" s="4" t="str">
        <f t="shared" si="1"/>
        <v>"Adviento Semana IVª,  Año /Ciclo B, tas4b" },</v>
      </c>
      <c r="Y15" s="4" t="str">
        <f>_xlfn.CONCAT(D15:X15)</f>
        <v>{ idi: 1008, id: "aetas4b", title: "Adviento Semana IVª, Año B", subtitle: "Ciclo B", category: "Liturgia", url: "/src/index.html?canto=aetas4b", content:"Adviento Semana IVª,  Año /Ciclo B, tas4b" },</v>
      </c>
    </row>
    <row r="16" spans="1:25" x14ac:dyDescent="0.25">
      <c r="B16" s="4">
        <v>1</v>
      </c>
      <c r="C16" s="4" t="str">
        <f t="shared" si="14"/>
        <v>Adviento</v>
      </c>
      <c r="D16" s="4" t="str">
        <f t="shared" si="15"/>
        <v xml:space="preserve">{ idi: </v>
      </c>
      <c r="E16" s="4">
        <v>1009</v>
      </c>
      <c r="F16" s="4" t="str">
        <f t="shared" si="16"/>
        <v xml:space="preserve">, </v>
      </c>
      <c r="G16" s="4" t="str">
        <f t="shared" si="2"/>
        <v xml:space="preserve">id: </v>
      </c>
      <c r="H16" s="4" t="str">
        <f t="shared" si="3"/>
        <v>"</v>
      </c>
      <c r="I16" s="4" t="str">
        <f>_xlfn.CONCAT("aet",(LOWER(LEFT(M16,1))),"s",Table1[[#This Row],[Semana]],LOWER(LEFT(O16,1)))</f>
        <v>aetas1c</v>
      </c>
      <c r="J16" s="4" t="str">
        <f t="shared" si="4"/>
        <v xml:space="preserve">", </v>
      </c>
      <c r="K16" s="4" t="str">
        <f t="shared" si="5"/>
        <v xml:space="preserve">title: </v>
      </c>
      <c r="L16" s="4" t="str">
        <f t="shared" si="6"/>
        <v>"</v>
      </c>
      <c r="M16" s="4" t="str">
        <f t="shared" si="0"/>
        <v>Adviento Semana Iª,</v>
      </c>
      <c r="N16" s="4" t="str">
        <f t="shared" si="7"/>
        <v xml:space="preserve"> Año </v>
      </c>
      <c r="O16" s="4" t="s">
        <v>41</v>
      </c>
      <c r="P16" s="4" t="str">
        <f t="shared" si="9"/>
        <v xml:space="preserve">", </v>
      </c>
      <c r="Q16" s="4" t="str">
        <f t="shared" si="10"/>
        <v xml:space="preserve">subtitle: </v>
      </c>
      <c r="R16" s="4" t="str">
        <f t="shared" si="11"/>
        <v>"</v>
      </c>
      <c r="S16" s="4" t="str">
        <f t="shared" si="12"/>
        <v>Ciclo C</v>
      </c>
      <c r="T16" s="4" t="str">
        <f t="shared" si="11"/>
        <v>",</v>
      </c>
      <c r="U16" s="4" t="str">
        <f t="shared" si="11"/>
        <v xml:space="preserve"> category: "Liturgia", </v>
      </c>
      <c r="V16" s="4" t="str">
        <f>_xlfn.CONCAT("url: ","""/src/index.html?canto=",I16,""",")</f>
        <v>url: "/src/index.html?canto=aetas1c",</v>
      </c>
      <c r="W16" s="4" t="str">
        <f t="shared" si="11"/>
        <v xml:space="preserve"> content:</v>
      </c>
      <c r="X16" s="4" t="str">
        <f t="shared" si="1"/>
        <v>"Adviento Semana Iª,  Año /Ciclo C, tas1c" },</v>
      </c>
      <c r="Y16" s="4" t="str">
        <f>_xlfn.CONCAT(D16:X16)</f>
        <v>{ idi: 1009, id: "aetas1c", title: "Adviento Semana Iª, Año C", subtitle: "Ciclo C", category: "Liturgia", url: "/src/index.html?canto=aetas1c", content:"Adviento Semana Iª,  Año /Ciclo C, tas1c" },</v>
      </c>
    </row>
    <row r="17" spans="2:25" x14ac:dyDescent="0.25">
      <c r="B17" s="4">
        <f t="shared" si="13"/>
        <v>2</v>
      </c>
      <c r="C17" s="4" t="str">
        <f t="shared" si="14"/>
        <v>Adviento</v>
      </c>
      <c r="D17" s="4" t="str">
        <f t="shared" si="15"/>
        <v xml:space="preserve">{ idi: </v>
      </c>
      <c r="E17" s="4">
        <v>1010</v>
      </c>
      <c r="F17" s="4" t="str">
        <f t="shared" si="16"/>
        <v xml:space="preserve">, </v>
      </c>
      <c r="G17" s="4" t="str">
        <f t="shared" si="2"/>
        <v xml:space="preserve">id: </v>
      </c>
      <c r="H17" s="4" t="str">
        <f t="shared" si="3"/>
        <v>"</v>
      </c>
      <c r="I17" s="4" t="str">
        <f>_xlfn.CONCAT("aet",(LOWER(LEFT(M17,1))),"s",Table1[[#This Row],[Semana]],LOWER(LEFT(O17,1)))</f>
        <v>aetas2c</v>
      </c>
      <c r="J17" s="4" t="str">
        <f t="shared" si="4"/>
        <v xml:space="preserve">", </v>
      </c>
      <c r="K17" s="4" t="str">
        <f t="shared" si="5"/>
        <v xml:space="preserve">title: </v>
      </c>
      <c r="L17" s="4" t="str">
        <f t="shared" si="6"/>
        <v>"</v>
      </c>
      <c r="M17" s="4" t="str">
        <f t="shared" si="0"/>
        <v>Adviento Semana IIª,</v>
      </c>
      <c r="N17" s="4" t="str">
        <f t="shared" si="7"/>
        <v xml:space="preserve"> Año </v>
      </c>
      <c r="O17" s="4" t="str">
        <f t="shared" si="8"/>
        <v>C</v>
      </c>
      <c r="P17" s="4" t="str">
        <f t="shared" si="9"/>
        <v xml:space="preserve">", </v>
      </c>
      <c r="Q17" s="4" t="str">
        <f t="shared" si="10"/>
        <v xml:space="preserve">subtitle: </v>
      </c>
      <c r="R17" s="4" t="str">
        <f t="shared" si="11"/>
        <v>"</v>
      </c>
      <c r="S17" s="4" t="str">
        <f t="shared" si="12"/>
        <v>Ciclo C</v>
      </c>
      <c r="T17" s="4" t="str">
        <f t="shared" si="11"/>
        <v>",</v>
      </c>
      <c r="U17" s="4" t="str">
        <f t="shared" si="11"/>
        <v xml:space="preserve"> category: "Liturgia", </v>
      </c>
      <c r="V17" s="4" t="str">
        <f>_xlfn.CONCAT("url: ","""/src/index.html?canto=",I17,""",")</f>
        <v>url: "/src/index.html?canto=aetas2c",</v>
      </c>
      <c r="W17" s="4" t="str">
        <f t="shared" si="11"/>
        <v xml:space="preserve"> content:</v>
      </c>
      <c r="X17" s="4" t="str">
        <f t="shared" si="1"/>
        <v>"Adviento Semana IIª,  Año /Ciclo C, tas2c" },</v>
      </c>
      <c r="Y17" s="4" t="str">
        <f>_xlfn.CONCAT(D17:X17)</f>
        <v>{ idi: 1010, id: "aetas2c", title: "Adviento Semana IIª, Año C", subtitle: "Ciclo C", category: "Liturgia", url: "/src/index.html?canto=aetas2c", content:"Adviento Semana IIª,  Año /Ciclo C, tas2c" },</v>
      </c>
    </row>
    <row r="18" spans="2:25" x14ac:dyDescent="0.25">
      <c r="B18" s="4">
        <f t="shared" si="13"/>
        <v>3</v>
      </c>
      <c r="C18" s="4" t="str">
        <f t="shared" si="14"/>
        <v>Adviento</v>
      </c>
      <c r="D18" s="4" t="str">
        <f t="shared" si="15"/>
        <v xml:space="preserve">{ idi: </v>
      </c>
      <c r="E18" s="4">
        <v>1011</v>
      </c>
      <c r="F18" s="4" t="str">
        <f t="shared" si="16"/>
        <v xml:space="preserve">, </v>
      </c>
      <c r="G18" s="4" t="str">
        <f t="shared" si="2"/>
        <v xml:space="preserve">id: </v>
      </c>
      <c r="H18" s="4" t="str">
        <f t="shared" si="3"/>
        <v>"</v>
      </c>
      <c r="I18" s="4" t="str">
        <f>_xlfn.CONCAT("aet",(LOWER(LEFT(M18,1))),"s",Table1[[#This Row],[Semana]],LOWER(LEFT(O18,1)))</f>
        <v>aetas3c</v>
      </c>
      <c r="J18" s="4" t="str">
        <f t="shared" si="4"/>
        <v xml:space="preserve">", </v>
      </c>
      <c r="K18" s="4" t="str">
        <f t="shared" si="5"/>
        <v xml:space="preserve">title: </v>
      </c>
      <c r="L18" s="4" t="str">
        <f t="shared" si="6"/>
        <v>"</v>
      </c>
      <c r="M18" s="4" t="str">
        <f t="shared" si="0"/>
        <v>Adviento Semana IIIª,</v>
      </c>
      <c r="N18" s="4" t="str">
        <f t="shared" si="7"/>
        <v xml:space="preserve"> Año </v>
      </c>
      <c r="O18" s="4" t="str">
        <f t="shared" si="8"/>
        <v>C</v>
      </c>
      <c r="P18" s="4" t="str">
        <f t="shared" si="9"/>
        <v xml:space="preserve">", </v>
      </c>
      <c r="Q18" s="4" t="str">
        <f t="shared" si="10"/>
        <v xml:space="preserve">subtitle: </v>
      </c>
      <c r="R18" s="4" t="str">
        <f t="shared" si="11"/>
        <v>"</v>
      </c>
      <c r="S18" s="4" t="str">
        <f t="shared" si="12"/>
        <v>Ciclo C</v>
      </c>
      <c r="T18" s="4" t="str">
        <f t="shared" si="11"/>
        <v>",</v>
      </c>
      <c r="U18" s="4" t="str">
        <f t="shared" si="11"/>
        <v xml:space="preserve"> category: "Liturgia", </v>
      </c>
      <c r="V18" s="4" t="str">
        <f>_xlfn.CONCAT("url: ","""/src/index.html?canto=",I18,""",")</f>
        <v>url: "/src/index.html?canto=aetas3c",</v>
      </c>
      <c r="W18" s="4" t="str">
        <f t="shared" si="11"/>
        <v xml:space="preserve"> content:</v>
      </c>
      <c r="X18" s="4" t="str">
        <f t="shared" si="1"/>
        <v>"Adviento Semana IIIª,  Año /Ciclo C, tas3c" },</v>
      </c>
      <c r="Y18" s="4" t="str">
        <f>_xlfn.CONCAT(D18:X18)</f>
        <v>{ idi: 1011, id: "aetas3c", title: "Adviento Semana IIIª, Año C", subtitle: "Ciclo C", category: "Liturgia", url: "/src/index.html?canto=aetas3c", content:"Adviento Semana IIIª,  Año /Ciclo C, tas3c" },</v>
      </c>
    </row>
    <row r="19" spans="2:25" x14ac:dyDescent="0.25">
      <c r="B19" s="4">
        <f t="shared" si="13"/>
        <v>4</v>
      </c>
      <c r="C19" s="4" t="str">
        <f t="shared" si="14"/>
        <v>Adviento</v>
      </c>
      <c r="D19" s="4" t="str">
        <f t="shared" si="15"/>
        <v xml:space="preserve">{ idi: </v>
      </c>
      <c r="E19" s="4">
        <v>1012</v>
      </c>
      <c r="F19" s="4" t="str">
        <f t="shared" si="16"/>
        <v xml:space="preserve">, </v>
      </c>
      <c r="G19" s="4" t="str">
        <f t="shared" si="2"/>
        <v xml:space="preserve">id: </v>
      </c>
      <c r="H19" s="4" t="str">
        <f t="shared" si="3"/>
        <v>"</v>
      </c>
      <c r="I19" s="4" t="str">
        <f>_xlfn.CONCAT("aet",(LOWER(LEFT(M19,1))),"s",Table1[[#This Row],[Semana]],LOWER(LEFT(O19,1)))</f>
        <v>aetas4c</v>
      </c>
      <c r="J19" s="4" t="str">
        <f t="shared" si="4"/>
        <v xml:space="preserve">", </v>
      </c>
      <c r="K19" s="4" t="str">
        <f t="shared" si="5"/>
        <v xml:space="preserve">title: </v>
      </c>
      <c r="L19" s="4" t="str">
        <f t="shared" si="6"/>
        <v>"</v>
      </c>
      <c r="M19" s="4" t="str">
        <f t="shared" si="0"/>
        <v>Adviento Semana IVª,</v>
      </c>
      <c r="N19" s="4" t="str">
        <f t="shared" si="7"/>
        <v xml:space="preserve"> Año </v>
      </c>
      <c r="O19" s="4" t="str">
        <f t="shared" si="8"/>
        <v>C</v>
      </c>
      <c r="P19" s="4" t="str">
        <f t="shared" si="9"/>
        <v xml:space="preserve">", </v>
      </c>
      <c r="Q19" s="4" t="str">
        <f t="shared" si="10"/>
        <v xml:space="preserve">subtitle: </v>
      </c>
      <c r="R19" s="4" t="str">
        <f t="shared" si="11"/>
        <v>"</v>
      </c>
      <c r="S19" s="4" t="str">
        <f t="shared" si="12"/>
        <v>Ciclo C</v>
      </c>
      <c r="T19" s="4" t="str">
        <f t="shared" si="11"/>
        <v>",</v>
      </c>
      <c r="U19" s="4" t="str">
        <f t="shared" si="11"/>
        <v xml:space="preserve"> category: "Liturgia", </v>
      </c>
      <c r="V19" s="4" t="str">
        <f>_xlfn.CONCAT("url: ","""/src/index.html?canto=",I19,""",")</f>
        <v>url: "/src/index.html?canto=aetas4c",</v>
      </c>
      <c r="W19" s="4" t="str">
        <f t="shared" si="11"/>
        <v xml:space="preserve"> content:</v>
      </c>
      <c r="X19" s="4" t="str">
        <f t="shared" si="1"/>
        <v>"Adviento Semana IVª,  Año /Ciclo C, tas4c" },</v>
      </c>
      <c r="Y19" s="4" t="str">
        <f>_xlfn.CONCAT(D19:X19)</f>
        <v>{ idi: 1012, id: "aetas4c", title: "Adviento Semana IVª, Año C", subtitle: "Ciclo C", category: "Liturgia", url: "/src/index.html?canto=aetas4c", content:"Adviento Semana IVª,  Año /Ciclo C, tas4c" },</v>
      </c>
    </row>
    <row r="20" spans="2:25" x14ac:dyDescent="0.25">
      <c r="B20" s="3">
        <v>1</v>
      </c>
      <c r="C20" s="3" t="s">
        <v>42</v>
      </c>
      <c r="D20" s="3" t="str">
        <f t="shared" si="15"/>
        <v xml:space="preserve">{ idi: </v>
      </c>
      <c r="E20" s="3">
        <v>1013</v>
      </c>
      <c r="F20" s="3" t="str">
        <f t="shared" si="16"/>
        <v xml:space="preserve">, </v>
      </c>
      <c r="G20" s="3" t="str">
        <f t="shared" si="2"/>
        <v xml:space="preserve">id: </v>
      </c>
      <c r="H20" s="3" t="str">
        <f t="shared" si="3"/>
        <v>"</v>
      </c>
      <c r="I20" s="3" t="str">
        <f>_xlfn.CONCAT("aet",(LOWER(LEFT(M20,1))),"s",Table1[[#This Row],[Semana]],LOWER(LEFT(O20,1)))</f>
        <v>aetns1a</v>
      </c>
      <c r="J20" s="3" t="str">
        <f t="shared" si="4"/>
        <v xml:space="preserve">", </v>
      </c>
      <c r="K20" s="3" t="str">
        <f t="shared" si="5"/>
        <v xml:space="preserve">title: </v>
      </c>
      <c r="L20" s="3" t="str">
        <f t="shared" si="6"/>
        <v>"</v>
      </c>
      <c r="M20" s="3" t="str">
        <f t="shared" si="0"/>
        <v>Navidad Semana Iª,</v>
      </c>
      <c r="N20" s="3" t="str">
        <f t="shared" si="7"/>
        <v xml:space="preserve"> Año </v>
      </c>
      <c r="O20" s="3" t="s">
        <v>4</v>
      </c>
      <c r="P20" s="3" t="str">
        <f t="shared" si="9"/>
        <v xml:space="preserve">", </v>
      </c>
      <c r="Q20" s="3" t="str">
        <f t="shared" si="10"/>
        <v xml:space="preserve">subtitle: </v>
      </c>
      <c r="R20" s="3" t="str">
        <f t="shared" si="11"/>
        <v>"</v>
      </c>
      <c r="S20" s="3" t="str">
        <f t="shared" si="12"/>
        <v>Ciclo A</v>
      </c>
      <c r="T20" s="3" t="str">
        <f t="shared" si="11"/>
        <v>",</v>
      </c>
      <c r="U20" s="3" t="str">
        <f t="shared" si="11"/>
        <v xml:space="preserve"> category: "Liturgia", </v>
      </c>
      <c r="V20" s="3" t="str">
        <f>_xlfn.CONCAT("url: ","""/src/index.html?canto=",I20,""",")</f>
        <v>url: "/src/index.html?canto=aetns1a",</v>
      </c>
      <c r="W20" s="3" t="str">
        <f t="shared" si="11"/>
        <v xml:space="preserve"> content:</v>
      </c>
      <c r="X20" s="3" t="str">
        <f t="shared" si="1"/>
        <v>"Navidad Semana Iª,  Año /Ciclo A, tns1a" },</v>
      </c>
      <c r="Y20" s="3" t="str">
        <f>_xlfn.CONCAT(D20:X20)</f>
        <v>{ idi: 1013, id: "aetns1a", title: "Navidad Semana Iª, Año A", subtitle: "Ciclo A", category: "Liturgia", url: "/src/index.html?canto=aetns1a", content:"Navidad Semana Iª,  Año /Ciclo A, tns1a" },</v>
      </c>
    </row>
    <row r="21" spans="2:25" x14ac:dyDescent="0.25">
      <c r="B21" s="3">
        <f t="shared" si="13"/>
        <v>2</v>
      </c>
      <c r="C21" s="3" t="str">
        <f>C20</f>
        <v>Navidad</v>
      </c>
      <c r="D21" s="3" t="str">
        <f t="shared" si="15"/>
        <v xml:space="preserve">{ idi: </v>
      </c>
      <c r="E21" s="3">
        <v>1014</v>
      </c>
      <c r="F21" s="3" t="str">
        <f t="shared" si="16"/>
        <v xml:space="preserve">, </v>
      </c>
      <c r="G21" s="3" t="str">
        <f t="shared" si="2"/>
        <v xml:space="preserve">id: </v>
      </c>
      <c r="H21" s="3" t="str">
        <f t="shared" si="3"/>
        <v>"</v>
      </c>
      <c r="I21" s="3" t="str">
        <f>_xlfn.CONCAT("aet",(LOWER(LEFT(M21,1))),"s",Table1[[#This Row],[Semana]],LOWER(LEFT(O21,1)))</f>
        <v>aetns2a</v>
      </c>
      <c r="J21" s="3" t="str">
        <f t="shared" si="4"/>
        <v xml:space="preserve">", </v>
      </c>
      <c r="K21" s="3" t="str">
        <f t="shared" si="5"/>
        <v xml:space="preserve">title: </v>
      </c>
      <c r="L21" s="3" t="str">
        <f t="shared" si="6"/>
        <v>"</v>
      </c>
      <c r="M21" s="3" t="str">
        <f t="shared" si="0"/>
        <v>Navidad Semana IIª,</v>
      </c>
      <c r="N21" s="3" t="str">
        <f t="shared" si="7"/>
        <v xml:space="preserve"> Año </v>
      </c>
      <c r="O21" s="3" t="str">
        <f t="shared" si="8"/>
        <v>A</v>
      </c>
      <c r="P21" s="3" t="str">
        <f t="shared" si="9"/>
        <v xml:space="preserve">", </v>
      </c>
      <c r="Q21" s="3" t="str">
        <f t="shared" si="10"/>
        <v xml:space="preserve">subtitle: </v>
      </c>
      <c r="R21" s="3" t="str">
        <f t="shared" si="11"/>
        <v>"</v>
      </c>
      <c r="S21" s="3" t="str">
        <f t="shared" si="12"/>
        <v>Ciclo A</v>
      </c>
      <c r="T21" s="3" t="str">
        <f t="shared" si="11"/>
        <v>",</v>
      </c>
      <c r="U21" s="3" t="str">
        <f t="shared" si="11"/>
        <v xml:space="preserve"> category: "Liturgia", </v>
      </c>
      <c r="V21" s="3" t="str">
        <f>_xlfn.CONCAT("url: ","""/src/index.html?canto=",I21,""",")</f>
        <v>url: "/src/index.html?canto=aetns2a",</v>
      </c>
      <c r="W21" s="3" t="str">
        <f t="shared" si="11"/>
        <v xml:space="preserve"> content:</v>
      </c>
      <c r="X21" s="3" t="str">
        <f t="shared" si="1"/>
        <v>"Navidad Semana IIª,  Año /Ciclo A, tns2a" },</v>
      </c>
      <c r="Y21" s="3" t="str">
        <f>_xlfn.CONCAT(D21:X21)</f>
        <v>{ idi: 1014, id: "aetns2a", title: "Navidad Semana IIª, Año A", subtitle: "Ciclo A", category: "Liturgia", url: "/src/index.html?canto=aetns2a", content:"Navidad Semana IIª,  Año /Ciclo A, tns2a" },</v>
      </c>
    </row>
    <row r="22" spans="2:25" x14ac:dyDescent="0.25">
      <c r="B22" s="3">
        <v>1</v>
      </c>
      <c r="C22" s="3" t="str">
        <f t="shared" ref="C22:C25" si="17">C21</f>
        <v>Navidad</v>
      </c>
      <c r="D22" s="3" t="str">
        <f t="shared" si="15"/>
        <v xml:space="preserve">{ idi: </v>
      </c>
      <c r="E22" s="3">
        <v>1015</v>
      </c>
      <c r="F22" s="3" t="str">
        <f t="shared" si="16"/>
        <v xml:space="preserve">, </v>
      </c>
      <c r="G22" s="3" t="str">
        <f t="shared" si="2"/>
        <v xml:space="preserve">id: </v>
      </c>
      <c r="H22" s="3" t="str">
        <f t="shared" si="3"/>
        <v>"</v>
      </c>
      <c r="I22" s="3" t="str">
        <f>_xlfn.CONCAT("aet",(LOWER(LEFT(M22,1))),"s",Table1[[#This Row],[Semana]],LOWER(LEFT(O22,1)))</f>
        <v>aetns1b</v>
      </c>
      <c r="J22" s="3" t="str">
        <f t="shared" si="4"/>
        <v xml:space="preserve">", </v>
      </c>
      <c r="K22" s="3" t="str">
        <f t="shared" si="5"/>
        <v xml:space="preserve">title: </v>
      </c>
      <c r="L22" s="3" t="str">
        <f t="shared" si="6"/>
        <v>"</v>
      </c>
      <c r="M22" s="3" t="str">
        <f t="shared" si="0"/>
        <v>Navidad Semana Iª,</v>
      </c>
      <c r="N22" s="3" t="str">
        <f t="shared" si="7"/>
        <v xml:space="preserve"> Año </v>
      </c>
      <c r="O22" s="3" t="s">
        <v>40</v>
      </c>
      <c r="P22" s="3" t="str">
        <f t="shared" si="9"/>
        <v xml:space="preserve">", </v>
      </c>
      <c r="Q22" s="3" t="str">
        <f t="shared" si="10"/>
        <v xml:space="preserve">subtitle: </v>
      </c>
      <c r="R22" s="3" t="str">
        <f t="shared" si="11"/>
        <v>"</v>
      </c>
      <c r="S22" s="3" t="str">
        <f t="shared" si="12"/>
        <v>Ciclo B</v>
      </c>
      <c r="T22" s="3" t="str">
        <f t="shared" si="11"/>
        <v>",</v>
      </c>
      <c r="U22" s="3" t="str">
        <f t="shared" si="11"/>
        <v xml:space="preserve"> category: "Liturgia", </v>
      </c>
      <c r="V22" s="3" t="str">
        <f>_xlfn.CONCAT("url: ","""/src/index.html?canto=",I22,""",")</f>
        <v>url: "/src/index.html?canto=aetns1b",</v>
      </c>
      <c r="W22" s="3" t="str">
        <f t="shared" si="11"/>
        <v xml:space="preserve"> content:</v>
      </c>
      <c r="X22" s="3" t="str">
        <f t="shared" si="1"/>
        <v>"Navidad Semana Iª,  Año /Ciclo B, tns1b" },</v>
      </c>
      <c r="Y22" s="3" t="str">
        <f>_xlfn.CONCAT(D22:X22)</f>
        <v>{ idi: 1015, id: "aetns1b", title: "Navidad Semana Iª, Año B", subtitle: "Ciclo B", category: "Liturgia", url: "/src/index.html?canto=aetns1b", content:"Navidad Semana Iª,  Año /Ciclo B, tns1b" },</v>
      </c>
    </row>
    <row r="23" spans="2:25" x14ac:dyDescent="0.25">
      <c r="B23" s="3">
        <f t="shared" si="13"/>
        <v>2</v>
      </c>
      <c r="C23" s="3" t="str">
        <f t="shared" si="17"/>
        <v>Navidad</v>
      </c>
      <c r="D23" s="3" t="str">
        <f t="shared" si="15"/>
        <v xml:space="preserve">{ idi: </v>
      </c>
      <c r="E23" s="3">
        <v>1016</v>
      </c>
      <c r="F23" s="3" t="str">
        <f t="shared" si="16"/>
        <v xml:space="preserve">, </v>
      </c>
      <c r="G23" s="3" t="str">
        <f t="shared" si="2"/>
        <v xml:space="preserve">id: </v>
      </c>
      <c r="H23" s="3" t="str">
        <f t="shared" si="3"/>
        <v>"</v>
      </c>
      <c r="I23" s="3" t="str">
        <f>_xlfn.CONCAT("aet",(LOWER(LEFT(M23,1))),"s",Table1[[#This Row],[Semana]],LOWER(LEFT(O23,1)))</f>
        <v>aetns2b</v>
      </c>
      <c r="J23" s="3" t="str">
        <f t="shared" si="4"/>
        <v xml:space="preserve">", </v>
      </c>
      <c r="K23" s="3" t="str">
        <f t="shared" si="5"/>
        <v xml:space="preserve">title: </v>
      </c>
      <c r="L23" s="3" t="str">
        <f t="shared" si="6"/>
        <v>"</v>
      </c>
      <c r="M23" s="3" t="str">
        <f t="shared" si="0"/>
        <v>Navidad Semana IIª,</v>
      </c>
      <c r="N23" s="3" t="str">
        <f t="shared" si="7"/>
        <v xml:space="preserve"> Año </v>
      </c>
      <c r="O23" s="3" t="str">
        <f t="shared" si="8"/>
        <v>B</v>
      </c>
      <c r="P23" s="3" t="str">
        <f t="shared" si="9"/>
        <v xml:space="preserve">", </v>
      </c>
      <c r="Q23" s="3" t="str">
        <f t="shared" si="10"/>
        <v xml:space="preserve">subtitle: </v>
      </c>
      <c r="R23" s="3" t="str">
        <f t="shared" si="11"/>
        <v>"</v>
      </c>
      <c r="S23" s="3" t="str">
        <f t="shared" si="12"/>
        <v>Ciclo B</v>
      </c>
      <c r="T23" s="3" t="str">
        <f t="shared" si="11"/>
        <v>",</v>
      </c>
      <c r="U23" s="3" t="str">
        <f t="shared" si="11"/>
        <v xml:space="preserve"> category: "Liturgia", </v>
      </c>
      <c r="V23" s="3" t="str">
        <f>_xlfn.CONCAT("url: ","""/src/index.html?canto=",I23,""",")</f>
        <v>url: "/src/index.html?canto=aetns2b",</v>
      </c>
      <c r="W23" s="3" t="str">
        <f t="shared" si="11"/>
        <v xml:space="preserve"> content:</v>
      </c>
      <c r="X23" s="3" t="str">
        <f t="shared" si="1"/>
        <v>"Navidad Semana IIª,  Año /Ciclo B, tns2b" },</v>
      </c>
      <c r="Y23" s="3" t="str">
        <f>_xlfn.CONCAT(D23:X23)</f>
        <v>{ idi: 1016, id: "aetns2b", title: "Navidad Semana IIª, Año B", subtitle: "Ciclo B", category: "Liturgia", url: "/src/index.html?canto=aetns2b", content:"Navidad Semana IIª,  Año /Ciclo B, tns2b" },</v>
      </c>
    </row>
    <row r="24" spans="2:25" x14ac:dyDescent="0.25">
      <c r="B24" s="3">
        <v>1</v>
      </c>
      <c r="C24" s="3" t="str">
        <f t="shared" si="17"/>
        <v>Navidad</v>
      </c>
      <c r="D24" s="3" t="str">
        <f t="shared" si="15"/>
        <v xml:space="preserve">{ idi: </v>
      </c>
      <c r="E24" s="3">
        <v>1017</v>
      </c>
      <c r="F24" s="3" t="str">
        <f t="shared" si="16"/>
        <v xml:space="preserve">, </v>
      </c>
      <c r="G24" s="3" t="str">
        <f t="shared" si="2"/>
        <v xml:space="preserve">id: </v>
      </c>
      <c r="H24" s="3" t="str">
        <f t="shared" si="3"/>
        <v>"</v>
      </c>
      <c r="I24" s="3" t="str">
        <f>_xlfn.CONCAT("aet",(LOWER(LEFT(M24,1))),"s",Table1[[#This Row],[Semana]],LOWER(LEFT(O24,1)))</f>
        <v>aetns1c</v>
      </c>
      <c r="J24" s="3" t="str">
        <f t="shared" si="4"/>
        <v xml:space="preserve">", </v>
      </c>
      <c r="K24" s="3" t="str">
        <f t="shared" si="5"/>
        <v xml:space="preserve">title: </v>
      </c>
      <c r="L24" s="3" t="str">
        <f t="shared" si="6"/>
        <v>"</v>
      </c>
      <c r="M24" s="3" t="str">
        <f t="shared" si="0"/>
        <v>Navidad Semana Iª,</v>
      </c>
      <c r="N24" s="3" t="str">
        <f t="shared" si="7"/>
        <v xml:space="preserve"> Año </v>
      </c>
      <c r="O24" s="3" t="s">
        <v>41</v>
      </c>
      <c r="P24" s="3" t="str">
        <f t="shared" si="9"/>
        <v xml:space="preserve">", </v>
      </c>
      <c r="Q24" s="3" t="str">
        <f t="shared" si="10"/>
        <v xml:space="preserve">subtitle: </v>
      </c>
      <c r="R24" s="3" t="str">
        <f t="shared" si="11"/>
        <v>"</v>
      </c>
      <c r="S24" s="3" t="str">
        <f t="shared" si="12"/>
        <v>Ciclo C</v>
      </c>
      <c r="T24" s="3" t="str">
        <f t="shared" si="11"/>
        <v>",</v>
      </c>
      <c r="U24" s="3" t="str">
        <f t="shared" si="11"/>
        <v xml:space="preserve"> category: "Liturgia", </v>
      </c>
      <c r="V24" s="3" t="str">
        <f>_xlfn.CONCAT("url: ","""/src/index.html?canto=",I24,""",")</f>
        <v>url: "/src/index.html?canto=aetns1c",</v>
      </c>
      <c r="W24" s="3" t="str">
        <f t="shared" si="11"/>
        <v xml:space="preserve"> content:</v>
      </c>
      <c r="X24" s="3" t="str">
        <f t="shared" si="1"/>
        <v>"Navidad Semana Iª,  Año /Ciclo C, tns1c" },</v>
      </c>
      <c r="Y24" s="3" t="str">
        <f>_xlfn.CONCAT(D24:X24)</f>
        <v>{ idi: 1017, id: "aetns1c", title: "Navidad Semana Iª, Año C", subtitle: "Ciclo C", category: "Liturgia", url: "/src/index.html?canto=aetns1c", content:"Navidad Semana Iª,  Año /Ciclo C, tns1c" },</v>
      </c>
    </row>
    <row r="25" spans="2:25" x14ac:dyDescent="0.25">
      <c r="B25" s="3">
        <f t="shared" si="13"/>
        <v>2</v>
      </c>
      <c r="C25" s="3" t="str">
        <f t="shared" si="17"/>
        <v>Navidad</v>
      </c>
      <c r="D25" s="3" t="str">
        <f t="shared" si="15"/>
        <v xml:space="preserve">{ idi: </v>
      </c>
      <c r="E25" s="3">
        <v>1018</v>
      </c>
      <c r="F25" s="3" t="str">
        <f t="shared" si="16"/>
        <v xml:space="preserve">, </v>
      </c>
      <c r="G25" s="3" t="str">
        <f t="shared" si="2"/>
        <v xml:space="preserve">id: </v>
      </c>
      <c r="H25" s="3" t="str">
        <f t="shared" si="3"/>
        <v>"</v>
      </c>
      <c r="I25" s="3" t="str">
        <f>_xlfn.CONCAT("aet",(LOWER(LEFT(M25,1))),"s",Table1[[#This Row],[Semana]],LOWER(LEFT(O25,1)))</f>
        <v>aetns2c</v>
      </c>
      <c r="J25" s="3" t="str">
        <f t="shared" si="4"/>
        <v xml:space="preserve">", </v>
      </c>
      <c r="K25" s="3" t="str">
        <f t="shared" si="5"/>
        <v xml:space="preserve">title: </v>
      </c>
      <c r="L25" s="3" t="str">
        <f t="shared" si="6"/>
        <v>"</v>
      </c>
      <c r="M25" s="3" t="str">
        <f t="shared" si="0"/>
        <v>Navidad Semana IIª,</v>
      </c>
      <c r="N25" s="3" t="str">
        <f t="shared" si="7"/>
        <v xml:space="preserve"> Año </v>
      </c>
      <c r="O25" s="3" t="str">
        <f t="shared" si="8"/>
        <v>C</v>
      </c>
      <c r="P25" s="3" t="str">
        <f t="shared" si="9"/>
        <v xml:space="preserve">", </v>
      </c>
      <c r="Q25" s="3" t="str">
        <f t="shared" si="10"/>
        <v xml:space="preserve">subtitle: </v>
      </c>
      <c r="R25" s="3" t="str">
        <f t="shared" si="11"/>
        <v>"</v>
      </c>
      <c r="S25" s="3" t="str">
        <f t="shared" si="12"/>
        <v>Ciclo C</v>
      </c>
      <c r="T25" s="3" t="str">
        <f t="shared" si="11"/>
        <v>",</v>
      </c>
      <c r="U25" s="3" t="str">
        <f t="shared" si="11"/>
        <v xml:space="preserve"> category: "Liturgia", </v>
      </c>
      <c r="V25" s="3" t="str">
        <f>_xlfn.CONCAT("url: ","""/src/index.html?canto=",I25,""",")</f>
        <v>url: "/src/index.html?canto=aetns2c",</v>
      </c>
      <c r="W25" s="3" t="str">
        <f t="shared" si="11"/>
        <v xml:space="preserve"> content:</v>
      </c>
      <c r="X25" s="3" t="str">
        <f t="shared" si="1"/>
        <v>"Navidad Semana IIª,  Año /Ciclo C, tns2c" },</v>
      </c>
      <c r="Y25" s="3" t="str">
        <f>_xlfn.CONCAT(D25:X25)</f>
        <v>{ idi: 1018, id: "aetns2c", title: "Navidad Semana IIª, Año C", subtitle: "Ciclo C", category: "Liturgia", url: "/src/index.html?canto=aetns2c", content:"Navidad Semana IIª,  Año /Ciclo C, tns2c" },</v>
      </c>
    </row>
    <row r="26" spans="2:25" x14ac:dyDescent="0.25">
      <c r="B26">
        <f t="shared" si="13"/>
        <v>3</v>
      </c>
      <c r="C26" t="s">
        <v>43</v>
      </c>
      <c r="D26" t="str">
        <f t="shared" si="15"/>
        <v xml:space="preserve">{ idi: </v>
      </c>
      <c r="E26">
        <v>1019</v>
      </c>
      <c r="F26" t="str">
        <f t="shared" si="16"/>
        <v xml:space="preserve">, </v>
      </c>
      <c r="G26" t="str">
        <f t="shared" si="2"/>
        <v xml:space="preserve">id: </v>
      </c>
      <c r="H26" t="str">
        <f t="shared" si="3"/>
        <v>"</v>
      </c>
      <c r="I26" t="str">
        <f>_xlfn.CONCAT("aet",(LOWER(LEFT(M26,1))),"s",Table1[[#This Row],[Semana]],LOWER(LEFT(O26,1)))</f>
        <v>aetos3c</v>
      </c>
      <c r="J26" t="str">
        <f t="shared" si="4"/>
        <v xml:space="preserve">", </v>
      </c>
      <c r="K26" t="str">
        <f t="shared" si="5"/>
        <v xml:space="preserve">title: </v>
      </c>
      <c r="L26" t="str">
        <f t="shared" si="6"/>
        <v>"</v>
      </c>
      <c r="M26" t="str">
        <f t="shared" si="0"/>
        <v>Ordinario Semana IIIª,</v>
      </c>
      <c r="N26" t="str">
        <f t="shared" si="7"/>
        <v xml:space="preserve"> Año </v>
      </c>
      <c r="O26" t="str">
        <f t="shared" si="8"/>
        <v>C</v>
      </c>
      <c r="P26" t="str">
        <f t="shared" si="9"/>
        <v xml:space="preserve">", </v>
      </c>
      <c r="Q26" t="str">
        <f t="shared" si="10"/>
        <v xml:space="preserve">subtitle: </v>
      </c>
      <c r="R26" t="str">
        <f t="shared" si="11"/>
        <v>"</v>
      </c>
      <c r="S26" t="str">
        <f t="shared" si="12"/>
        <v>Ciclo C</v>
      </c>
      <c r="T26" t="str">
        <f t="shared" si="11"/>
        <v>",</v>
      </c>
      <c r="U26" t="str">
        <f t="shared" si="11"/>
        <v xml:space="preserve"> category: "Liturgia", </v>
      </c>
      <c r="V26" t="str">
        <f>_xlfn.CONCAT("url: ","""/src/index.html?canto=",I26,""",")</f>
        <v>url: "/src/index.html?canto=aetos3c",</v>
      </c>
      <c r="W26" t="str">
        <f t="shared" si="11"/>
        <v xml:space="preserve"> content:</v>
      </c>
      <c r="X26" t="str">
        <f t="shared" si="1"/>
        <v>"Ordinario Semana IIIª,  Año /Ciclo C, tos3c" },</v>
      </c>
      <c r="Y26" t="str">
        <f>_xlfn.CONCAT(D26:X26)</f>
        <v>{ idi: 1019, id: "aetos3c", title: "Ordinario Semana IIIª, Año C", subtitle: "Ciclo C", category: "Liturgia", url: "/src/index.html?canto=aetos3c", content:"Ordinario Semana IIIª,  Año /Ciclo C, tos3c" },</v>
      </c>
    </row>
    <row r="27" spans="2:25" x14ac:dyDescent="0.25">
      <c r="B27">
        <f t="shared" si="13"/>
        <v>4</v>
      </c>
      <c r="C27" t="str">
        <f>C26</f>
        <v>Ordinario</v>
      </c>
      <c r="D27" t="str">
        <f t="shared" si="15"/>
        <v xml:space="preserve">{ idi: </v>
      </c>
      <c r="E27">
        <v>1020</v>
      </c>
      <c r="F27" t="str">
        <f t="shared" si="16"/>
        <v xml:space="preserve">, </v>
      </c>
      <c r="G27" t="str">
        <f t="shared" si="2"/>
        <v xml:space="preserve">id: </v>
      </c>
      <c r="H27" t="str">
        <f t="shared" si="3"/>
        <v>"</v>
      </c>
      <c r="I27" t="str">
        <f>_xlfn.CONCAT("aet",(LOWER(LEFT(M27,1))),"s",Table1[[#This Row],[Semana]],LOWER(LEFT(O27,1)))</f>
        <v>aetos4c</v>
      </c>
      <c r="J27" t="str">
        <f t="shared" si="4"/>
        <v xml:space="preserve">", </v>
      </c>
      <c r="K27" t="str">
        <f t="shared" si="5"/>
        <v xml:space="preserve">title: </v>
      </c>
      <c r="L27" t="str">
        <f t="shared" si="6"/>
        <v>"</v>
      </c>
      <c r="M27" t="str">
        <f t="shared" si="0"/>
        <v>Ordinario Semana IVª,</v>
      </c>
      <c r="N27" t="str">
        <f t="shared" si="7"/>
        <v xml:space="preserve"> Año </v>
      </c>
      <c r="O27" t="str">
        <f t="shared" si="8"/>
        <v>C</v>
      </c>
      <c r="P27" t="str">
        <f t="shared" si="9"/>
        <v xml:space="preserve">", </v>
      </c>
      <c r="Q27" t="str">
        <f t="shared" si="10"/>
        <v xml:space="preserve">subtitle: </v>
      </c>
      <c r="R27" t="str">
        <f t="shared" si="11"/>
        <v>"</v>
      </c>
      <c r="S27" t="str">
        <f t="shared" si="12"/>
        <v>Ciclo C</v>
      </c>
      <c r="T27" t="str">
        <f t="shared" si="11"/>
        <v>",</v>
      </c>
      <c r="U27" t="str">
        <f t="shared" si="11"/>
        <v xml:space="preserve"> category: "Liturgia", </v>
      </c>
      <c r="V27" t="str">
        <f>_xlfn.CONCAT("url: ","""/src/index.html?canto=",I27,""",")</f>
        <v>url: "/src/index.html?canto=aetos4c",</v>
      </c>
      <c r="W27" t="str">
        <f t="shared" si="11"/>
        <v xml:space="preserve"> content:</v>
      </c>
      <c r="X27" t="str">
        <f t="shared" si="1"/>
        <v>"Ordinario Semana IVª,  Año /Ciclo C, tos4c" },</v>
      </c>
      <c r="Y27" t="str">
        <f>_xlfn.CONCAT(D27:X27)</f>
        <v>{ idi: 1020, id: "aetos4c", title: "Ordinario Semana IVª, Año C", subtitle: "Ciclo C", category: "Liturgia", url: "/src/index.html?canto=aetos4c", content:"Ordinario Semana IVª,  Año /Ciclo C, tos4c" },</v>
      </c>
    </row>
    <row r="28" spans="2:25" x14ac:dyDescent="0.25">
      <c r="B28">
        <f t="shared" si="13"/>
        <v>5</v>
      </c>
      <c r="C28" t="str">
        <f t="shared" ref="C28:C38" si="18">C27</f>
        <v>Ordinario</v>
      </c>
      <c r="D28" t="str">
        <f t="shared" si="15"/>
        <v xml:space="preserve">{ idi: </v>
      </c>
      <c r="E28">
        <v>1021</v>
      </c>
      <c r="F28" t="str">
        <f t="shared" si="16"/>
        <v xml:space="preserve">, </v>
      </c>
      <c r="G28" t="str">
        <f t="shared" si="2"/>
        <v xml:space="preserve">id: </v>
      </c>
      <c r="H28" t="str">
        <f t="shared" si="3"/>
        <v>"</v>
      </c>
      <c r="I28" t="str">
        <f>_xlfn.CONCAT("aet",(LOWER(LEFT(M28,1))),"s",Table1[[#This Row],[Semana]],LOWER(LEFT(O28,1)))</f>
        <v>aetos5c</v>
      </c>
      <c r="J28" t="str">
        <f t="shared" si="4"/>
        <v xml:space="preserve">", </v>
      </c>
      <c r="K28" t="str">
        <f t="shared" si="5"/>
        <v xml:space="preserve">title: </v>
      </c>
      <c r="L28" t="str">
        <f t="shared" si="6"/>
        <v>"</v>
      </c>
      <c r="M28" t="str">
        <f t="shared" si="0"/>
        <v>Ordinario Semana Vª,</v>
      </c>
      <c r="N28" t="str">
        <f t="shared" si="7"/>
        <v xml:space="preserve"> Año </v>
      </c>
      <c r="O28" t="str">
        <f t="shared" si="8"/>
        <v>C</v>
      </c>
      <c r="P28" t="str">
        <f t="shared" si="9"/>
        <v xml:space="preserve">", </v>
      </c>
      <c r="Q28" t="str">
        <f t="shared" si="10"/>
        <v xml:space="preserve">subtitle: </v>
      </c>
      <c r="R28" t="str">
        <f t="shared" si="11"/>
        <v>"</v>
      </c>
      <c r="S28" t="str">
        <f t="shared" si="12"/>
        <v>Ciclo C</v>
      </c>
      <c r="T28" t="str">
        <f t="shared" si="11"/>
        <v>",</v>
      </c>
      <c r="U28" t="str">
        <f t="shared" si="11"/>
        <v xml:space="preserve"> category: "Liturgia", </v>
      </c>
      <c r="V28" t="str">
        <f>_xlfn.CONCAT("url: ","""/src/index.html?canto=",I28,""",")</f>
        <v>url: "/src/index.html?canto=aetos5c",</v>
      </c>
      <c r="W28" t="str">
        <f t="shared" si="11"/>
        <v xml:space="preserve"> content:</v>
      </c>
      <c r="X28" t="str">
        <f t="shared" si="1"/>
        <v>"Ordinario Semana Vª,  Año /Ciclo C, tos5c" },</v>
      </c>
      <c r="Y28" t="str">
        <f>_xlfn.CONCAT(D28:X28)</f>
        <v>{ idi: 1021, id: "aetos5c", title: "Ordinario Semana Vª, Año C", subtitle: "Ciclo C", category: "Liturgia", url: "/src/index.html?canto=aetos5c", content:"Ordinario Semana Vª,  Año /Ciclo C, tos5c" },</v>
      </c>
    </row>
    <row r="29" spans="2:25" x14ac:dyDescent="0.25">
      <c r="B29">
        <f t="shared" si="13"/>
        <v>6</v>
      </c>
      <c r="C29" t="str">
        <f t="shared" si="18"/>
        <v>Ordinario</v>
      </c>
      <c r="D29" t="str">
        <f t="shared" si="15"/>
        <v xml:space="preserve">{ idi: </v>
      </c>
      <c r="E29">
        <v>1022</v>
      </c>
      <c r="F29" t="str">
        <f t="shared" si="16"/>
        <v xml:space="preserve">, </v>
      </c>
      <c r="G29" t="str">
        <f t="shared" si="2"/>
        <v xml:space="preserve">id: </v>
      </c>
      <c r="H29" t="str">
        <f t="shared" si="3"/>
        <v>"</v>
      </c>
      <c r="I29" t="str">
        <f>_xlfn.CONCAT("aet",(LOWER(LEFT(M29,1))),"s",Table1[[#This Row],[Semana]],LOWER(LEFT(O29,1)))</f>
        <v>aetos6c</v>
      </c>
      <c r="J29" t="str">
        <f t="shared" si="4"/>
        <v xml:space="preserve">", </v>
      </c>
      <c r="K29" t="str">
        <f t="shared" si="5"/>
        <v xml:space="preserve">title: </v>
      </c>
      <c r="L29" t="str">
        <f t="shared" si="6"/>
        <v>"</v>
      </c>
      <c r="M29" t="str">
        <f t="shared" si="0"/>
        <v>Ordinario Semana VIª,</v>
      </c>
      <c r="N29" t="str">
        <f t="shared" si="7"/>
        <v xml:space="preserve"> Año </v>
      </c>
      <c r="O29" t="str">
        <f t="shared" si="8"/>
        <v>C</v>
      </c>
      <c r="P29" t="str">
        <f t="shared" si="9"/>
        <v xml:space="preserve">", </v>
      </c>
      <c r="Q29" t="str">
        <f t="shared" si="10"/>
        <v xml:space="preserve">subtitle: </v>
      </c>
      <c r="R29" t="str">
        <f t="shared" si="11"/>
        <v>"</v>
      </c>
      <c r="S29" t="str">
        <f t="shared" si="12"/>
        <v>Ciclo C</v>
      </c>
      <c r="T29" t="str">
        <f t="shared" si="11"/>
        <v>",</v>
      </c>
      <c r="U29" t="str">
        <f t="shared" si="11"/>
        <v xml:space="preserve"> category: "Liturgia", </v>
      </c>
      <c r="V29" t="str">
        <f>_xlfn.CONCAT("url: ","""/src/index.html?canto=",I29,""",")</f>
        <v>url: "/src/index.html?canto=aetos6c",</v>
      </c>
      <c r="W29" t="str">
        <f t="shared" si="11"/>
        <v xml:space="preserve"> content:</v>
      </c>
      <c r="X29" t="str">
        <f t="shared" si="1"/>
        <v>"Ordinario Semana VIª,  Año /Ciclo C, tos6c" },</v>
      </c>
      <c r="Y29" t="str">
        <f>_xlfn.CONCAT(D29:X29)</f>
        <v>{ idi: 1022, id: "aetos6c", title: "Ordinario Semana VIª, Año C", subtitle: "Ciclo C", category: "Liturgia", url: "/src/index.html?canto=aetos6c", content:"Ordinario Semana VIª,  Año /Ciclo C, tos6c" },</v>
      </c>
    </row>
    <row r="30" spans="2:25" x14ac:dyDescent="0.25">
      <c r="B30">
        <f t="shared" si="13"/>
        <v>7</v>
      </c>
      <c r="C30" t="str">
        <f t="shared" si="18"/>
        <v>Ordinario</v>
      </c>
      <c r="D30" t="str">
        <f t="shared" si="15"/>
        <v xml:space="preserve">{ idi: </v>
      </c>
      <c r="E30">
        <v>1023</v>
      </c>
      <c r="F30" t="str">
        <f t="shared" si="16"/>
        <v xml:space="preserve">, </v>
      </c>
      <c r="G30" t="str">
        <f t="shared" si="2"/>
        <v xml:space="preserve">id: </v>
      </c>
      <c r="H30" t="str">
        <f t="shared" si="3"/>
        <v>"</v>
      </c>
      <c r="I30" t="str">
        <f>_xlfn.CONCAT("aet",(LOWER(LEFT(M30,1))),"s",Table1[[#This Row],[Semana]],LOWER(LEFT(O30,1)))</f>
        <v>aetos7c</v>
      </c>
      <c r="J30" t="str">
        <f t="shared" si="4"/>
        <v xml:space="preserve">", </v>
      </c>
      <c r="K30" t="str">
        <f t="shared" si="5"/>
        <v xml:space="preserve">title: </v>
      </c>
      <c r="L30" t="str">
        <f t="shared" si="6"/>
        <v>"</v>
      </c>
      <c r="M30" t="str">
        <f t="shared" si="0"/>
        <v>Ordinario Semana VIIª,</v>
      </c>
      <c r="N30" t="str">
        <f t="shared" si="7"/>
        <v xml:space="preserve"> Año </v>
      </c>
      <c r="O30" t="str">
        <f t="shared" si="8"/>
        <v>C</v>
      </c>
      <c r="P30" t="str">
        <f t="shared" si="9"/>
        <v xml:space="preserve">", </v>
      </c>
      <c r="Q30" t="str">
        <f t="shared" si="10"/>
        <v xml:space="preserve">subtitle: </v>
      </c>
      <c r="R30" t="str">
        <f t="shared" si="11"/>
        <v>"</v>
      </c>
      <c r="S30" t="str">
        <f t="shared" si="12"/>
        <v>Ciclo C</v>
      </c>
      <c r="T30" t="str">
        <f t="shared" si="11"/>
        <v>",</v>
      </c>
      <c r="U30" t="str">
        <f t="shared" si="11"/>
        <v xml:space="preserve"> category: "Liturgia", </v>
      </c>
      <c r="V30" t="str">
        <f>_xlfn.CONCAT("url: ","""/src/index.html?canto=",I30,""",")</f>
        <v>url: "/src/index.html?canto=aetos7c",</v>
      </c>
      <c r="W30" t="str">
        <f t="shared" si="11"/>
        <v xml:space="preserve"> content:</v>
      </c>
      <c r="X30" t="str">
        <f t="shared" si="1"/>
        <v>"Ordinario Semana VIIª,  Año /Ciclo C, tos7c" },</v>
      </c>
      <c r="Y30" t="str">
        <f>_xlfn.CONCAT(D30:X30)</f>
        <v>{ idi: 1023, id: "aetos7c", title: "Ordinario Semana VIIª, Año C", subtitle: "Ciclo C", category: "Liturgia", url: "/src/index.html?canto=aetos7c", content:"Ordinario Semana VIIª,  Año /Ciclo C, tos7c" },</v>
      </c>
    </row>
    <row r="31" spans="2:25" x14ac:dyDescent="0.25">
      <c r="B31">
        <f t="shared" si="13"/>
        <v>8</v>
      </c>
      <c r="C31" t="str">
        <f t="shared" si="18"/>
        <v>Ordinario</v>
      </c>
      <c r="D31" t="str">
        <f t="shared" si="15"/>
        <v xml:space="preserve">{ idi: </v>
      </c>
      <c r="E31">
        <v>1024</v>
      </c>
      <c r="F31" t="str">
        <f t="shared" si="16"/>
        <v xml:space="preserve">, </v>
      </c>
      <c r="G31" t="str">
        <f t="shared" si="2"/>
        <v xml:space="preserve">id: </v>
      </c>
      <c r="H31" t="str">
        <f t="shared" si="3"/>
        <v>"</v>
      </c>
      <c r="I31" t="str">
        <f>_xlfn.CONCAT("aet",(LOWER(LEFT(M31,1))),"s",Table1[[#This Row],[Semana]],LOWER(LEFT(O31,1)))</f>
        <v>aetos8c</v>
      </c>
      <c r="J31" t="str">
        <f t="shared" si="4"/>
        <v xml:space="preserve">", </v>
      </c>
      <c r="K31" t="str">
        <f t="shared" si="5"/>
        <v xml:space="preserve">title: </v>
      </c>
      <c r="L31" t="str">
        <f t="shared" si="6"/>
        <v>"</v>
      </c>
      <c r="M31" t="str">
        <f t="shared" si="0"/>
        <v>Ordinario Semana VIIIª,</v>
      </c>
      <c r="N31" t="str">
        <f t="shared" si="7"/>
        <v xml:space="preserve"> Año </v>
      </c>
      <c r="O31" t="str">
        <f t="shared" si="8"/>
        <v>C</v>
      </c>
      <c r="P31" t="str">
        <f t="shared" si="9"/>
        <v xml:space="preserve">", </v>
      </c>
      <c r="Q31" t="str">
        <f t="shared" si="10"/>
        <v xml:space="preserve">subtitle: </v>
      </c>
      <c r="R31" t="str">
        <f t="shared" si="11"/>
        <v>"</v>
      </c>
      <c r="S31" t="str">
        <f t="shared" si="12"/>
        <v>Ciclo C</v>
      </c>
      <c r="T31" t="str">
        <f t="shared" si="11"/>
        <v>",</v>
      </c>
      <c r="U31" t="str">
        <f t="shared" si="11"/>
        <v xml:space="preserve"> category: "Liturgia", </v>
      </c>
      <c r="V31" t="str">
        <f>_xlfn.CONCAT("url: ","""/src/index.html?canto=",I31,""",")</f>
        <v>url: "/src/index.html?canto=aetos8c",</v>
      </c>
      <c r="W31" t="str">
        <f t="shared" si="11"/>
        <v xml:space="preserve"> content:</v>
      </c>
      <c r="X31" t="str">
        <f t="shared" si="1"/>
        <v>"Ordinario Semana VIIIª,  Año /Ciclo C, tos8c" },</v>
      </c>
      <c r="Y31" t="str">
        <f>_xlfn.CONCAT(D31:X31)</f>
        <v>{ idi: 1024, id: "aetos8c", title: "Ordinario Semana VIIIª, Año C", subtitle: "Ciclo C", category: "Liturgia", url: "/src/index.html?canto=aetos8c", content:"Ordinario Semana VIIIª,  Año /Ciclo C, tos8c" },</v>
      </c>
    </row>
    <row r="32" spans="2:25" x14ac:dyDescent="0.25">
      <c r="B32">
        <f t="shared" si="13"/>
        <v>9</v>
      </c>
      <c r="C32" t="str">
        <f t="shared" si="18"/>
        <v>Ordinario</v>
      </c>
      <c r="D32" t="str">
        <f t="shared" si="15"/>
        <v xml:space="preserve">{ idi: </v>
      </c>
      <c r="E32">
        <v>1025</v>
      </c>
      <c r="F32" t="str">
        <f t="shared" si="16"/>
        <v xml:space="preserve">, </v>
      </c>
      <c r="G32" t="str">
        <f t="shared" si="2"/>
        <v xml:space="preserve">id: </v>
      </c>
      <c r="H32" t="str">
        <f t="shared" si="3"/>
        <v>"</v>
      </c>
      <c r="I32" t="str">
        <f>_xlfn.CONCAT("aet",(LOWER(LEFT(M32,1))),"s",Table1[[#This Row],[Semana]],LOWER(LEFT(O32,1)))</f>
        <v>aetos9c</v>
      </c>
      <c r="J32" t="str">
        <f t="shared" si="4"/>
        <v xml:space="preserve">", </v>
      </c>
      <c r="K32" t="str">
        <f t="shared" si="5"/>
        <v xml:space="preserve">title: </v>
      </c>
      <c r="L32" t="str">
        <f t="shared" si="6"/>
        <v>"</v>
      </c>
      <c r="M32" t="str">
        <f t="shared" si="0"/>
        <v>Ordinario Semana IXª,</v>
      </c>
      <c r="N32" t="str">
        <f t="shared" si="7"/>
        <v xml:space="preserve"> Año </v>
      </c>
      <c r="O32" t="str">
        <f t="shared" si="8"/>
        <v>C</v>
      </c>
      <c r="P32" t="str">
        <f t="shared" si="9"/>
        <v xml:space="preserve">", </v>
      </c>
      <c r="Q32" t="str">
        <f t="shared" si="10"/>
        <v xml:space="preserve">subtitle: </v>
      </c>
      <c r="R32" t="str">
        <f t="shared" si="11"/>
        <v>"</v>
      </c>
      <c r="S32" t="str">
        <f t="shared" si="12"/>
        <v>Ciclo C</v>
      </c>
      <c r="T32" t="str">
        <f t="shared" si="11"/>
        <v>",</v>
      </c>
      <c r="U32" t="str">
        <f t="shared" si="11"/>
        <v xml:space="preserve"> category: "Liturgia", </v>
      </c>
      <c r="V32" t="str">
        <f>_xlfn.CONCAT("url: ","""/src/index.html?canto=",I32,""",")</f>
        <v>url: "/src/index.html?canto=aetos9c",</v>
      </c>
      <c r="W32" t="str">
        <f t="shared" si="11"/>
        <v xml:space="preserve"> content:</v>
      </c>
      <c r="X32" t="str">
        <f t="shared" si="1"/>
        <v>"Ordinario Semana IXª,  Año /Ciclo C, tos9c" },</v>
      </c>
      <c r="Y32" t="str">
        <f>_xlfn.CONCAT(D32:X32)</f>
        <v>{ idi: 1025, id: "aetos9c", title: "Ordinario Semana IXª, Año C", subtitle: "Ciclo C", category: "Liturgia", url: "/src/index.html?canto=aetos9c", content:"Ordinario Semana IXª,  Año /Ciclo C, tos9c" },</v>
      </c>
    </row>
    <row r="33" spans="2:25" x14ac:dyDescent="0.25">
      <c r="B33">
        <f t="shared" si="13"/>
        <v>10</v>
      </c>
      <c r="C33" t="str">
        <f t="shared" si="18"/>
        <v>Ordinario</v>
      </c>
      <c r="D33" t="str">
        <f t="shared" si="15"/>
        <v xml:space="preserve">{ idi: </v>
      </c>
      <c r="E33">
        <v>1026</v>
      </c>
      <c r="F33" t="str">
        <f t="shared" si="16"/>
        <v xml:space="preserve">, </v>
      </c>
      <c r="G33" t="str">
        <f t="shared" si="2"/>
        <v xml:space="preserve">id: </v>
      </c>
      <c r="H33" t="str">
        <f t="shared" si="3"/>
        <v>"</v>
      </c>
      <c r="I33" t="str">
        <f>_xlfn.CONCAT("aet",(LOWER(LEFT(M33,1))),"s",Table1[[#This Row],[Semana]],LOWER(LEFT(O33,1)))</f>
        <v>aetos10c</v>
      </c>
      <c r="J33" t="str">
        <f t="shared" si="4"/>
        <v xml:space="preserve">", </v>
      </c>
      <c r="K33" t="str">
        <f t="shared" si="5"/>
        <v xml:space="preserve">title: </v>
      </c>
      <c r="L33" t="str">
        <f t="shared" si="6"/>
        <v>"</v>
      </c>
      <c r="M33" t="str">
        <f t="shared" si="0"/>
        <v>Ordinario Semana Xª,</v>
      </c>
      <c r="N33" t="str">
        <f t="shared" si="7"/>
        <v xml:space="preserve"> Año </v>
      </c>
      <c r="O33" t="str">
        <f t="shared" si="8"/>
        <v>C</v>
      </c>
      <c r="P33" t="str">
        <f t="shared" si="9"/>
        <v xml:space="preserve">", </v>
      </c>
      <c r="Q33" t="str">
        <f t="shared" si="10"/>
        <v xml:space="preserve">subtitle: </v>
      </c>
      <c r="R33" t="str">
        <f t="shared" si="11"/>
        <v>"</v>
      </c>
      <c r="S33" t="str">
        <f t="shared" si="12"/>
        <v>Ciclo C</v>
      </c>
      <c r="T33" t="str">
        <f t="shared" si="11"/>
        <v>",</v>
      </c>
      <c r="U33" t="str">
        <f t="shared" si="11"/>
        <v xml:space="preserve"> category: "Liturgia", </v>
      </c>
      <c r="V33" t="str">
        <f>_xlfn.CONCAT("url: ","""/src/index.html?canto=",I33,""",")</f>
        <v>url: "/src/index.html?canto=aetos10c",</v>
      </c>
      <c r="W33" t="str">
        <f t="shared" si="11"/>
        <v xml:space="preserve"> content:</v>
      </c>
      <c r="X33" t="str">
        <f t="shared" si="1"/>
        <v>"Ordinario Semana Xª,  Año /Ciclo C, tos10c" },</v>
      </c>
      <c r="Y33" t="str">
        <f>_xlfn.CONCAT(D33:X33)</f>
        <v>{ idi: 1026, id: "aetos10c", title: "Ordinario Semana Xª, Año C", subtitle: "Ciclo C", category: "Liturgia", url: "/src/index.html?canto=aetos10c", content:"Ordinario Semana Xª,  Año /Ciclo C, tos10c" },</v>
      </c>
    </row>
    <row r="34" spans="2:25" x14ac:dyDescent="0.25">
      <c r="B34">
        <f t="shared" si="13"/>
        <v>11</v>
      </c>
      <c r="C34" t="str">
        <f t="shared" si="18"/>
        <v>Ordinario</v>
      </c>
      <c r="D34" t="str">
        <f t="shared" si="15"/>
        <v xml:space="preserve">{ idi: </v>
      </c>
      <c r="E34">
        <v>1027</v>
      </c>
      <c r="F34" t="str">
        <f t="shared" si="16"/>
        <v xml:space="preserve">, </v>
      </c>
      <c r="G34" t="str">
        <f t="shared" si="2"/>
        <v xml:space="preserve">id: </v>
      </c>
      <c r="H34" t="str">
        <f t="shared" si="3"/>
        <v>"</v>
      </c>
      <c r="I34" t="str">
        <f>_xlfn.CONCAT("aet",(LOWER(LEFT(M34,1))),"s",Table1[[#This Row],[Semana]],LOWER(LEFT(O34,1)))</f>
        <v>aetos11c</v>
      </c>
      <c r="J34" t="str">
        <f t="shared" si="4"/>
        <v xml:space="preserve">", </v>
      </c>
      <c r="K34" t="str">
        <f t="shared" si="5"/>
        <v xml:space="preserve">title: </v>
      </c>
      <c r="L34" t="str">
        <f t="shared" si="6"/>
        <v>"</v>
      </c>
      <c r="M34" t="str">
        <f t="shared" si="0"/>
        <v>Ordinario Semana XIª,</v>
      </c>
      <c r="N34" t="str">
        <f t="shared" si="7"/>
        <v xml:space="preserve"> Año </v>
      </c>
      <c r="O34" t="str">
        <f t="shared" si="8"/>
        <v>C</v>
      </c>
      <c r="P34" t="str">
        <f t="shared" si="9"/>
        <v xml:space="preserve">", </v>
      </c>
      <c r="Q34" t="str">
        <f t="shared" si="10"/>
        <v xml:space="preserve">subtitle: </v>
      </c>
      <c r="R34" t="str">
        <f t="shared" si="11"/>
        <v>"</v>
      </c>
      <c r="S34" t="str">
        <f t="shared" si="12"/>
        <v>Ciclo C</v>
      </c>
      <c r="T34" t="str">
        <f t="shared" si="11"/>
        <v>",</v>
      </c>
      <c r="U34" t="str">
        <f t="shared" si="11"/>
        <v xml:space="preserve"> category: "Liturgia", </v>
      </c>
      <c r="V34" t="str">
        <f>_xlfn.CONCAT("url: ","""/src/index.html?canto=",I34,""",")</f>
        <v>url: "/src/index.html?canto=aetos11c",</v>
      </c>
      <c r="W34" t="str">
        <f t="shared" si="11"/>
        <v xml:space="preserve"> content:</v>
      </c>
      <c r="X34" t="str">
        <f t="shared" si="1"/>
        <v>"Ordinario Semana XIª,  Año /Ciclo C, tos11c" },</v>
      </c>
      <c r="Y34" t="str">
        <f>_xlfn.CONCAT(D34:X34)</f>
        <v>{ idi: 1027, id: "aetos11c", title: "Ordinario Semana XIª, Año C", subtitle: "Ciclo C", category: "Liturgia", url: "/src/index.html?canto=aetos11c", content:"Ordinario Semana XIª,  Año /Ciclo C, tos11c" },</v>
      </c>
    </row>
    <row r="35" spans="2:25" x14ac:dyDescent="0.25">
      <c r="B35">
        <f t="shared" si="13"/>
        <v>12</v>
      </c>
      <c r="C35" t="str">
        <f t="shared" si="18"/>
        <v>Ordinario</v>
      </c>
      <c r="D35" t="str">
        <f t="shared" si="15"/>
        <v xml:space="preserve">{ idi: </v>
      </c>
      <c r="E35">
        <v>1028</v>
      </c>
      <c r="F35" t="str">
        <f t="shared" si="16"/>
        <v xml:space="preserve">, </v>
      </c>
      <c r="G35" t="str">
        <f t="shared" si="2"/>
        <v xml:space="preserve">id: </v>
      </c>
      <c r="H35" t="str">
        <f t="shared" si="3"/>
        <v>"</v>
      </c>
      <c r="I35" t="str">
        <f>_xlfn.CONCAT("aet",(LOWER(LEFT(M35,1))),"s",Table1[[#This Row],[Semana]],LOWER(LEFT(O35,1)))</f>
        <v>aetos12c</v>
      </c>
      <c r="J35" t="str">
        <f t="shared" si="4"/>
        <v xml:space="preserve">", </v>
      </c>
      <c r="K35" t="str">
        <f t="shared" si="5"/>
        <v xml:space="preserve">title: </v>
      </c>
      <c r="L35" t="str">
        <f t="shared" si="6"/>
        <v>"</v>
      </c>
      <c r="M35" t="str">
        <f t="shared" si="0"/>
        <v>Ordinario Semana XIIª,</v>
      </c>
      <c r="N35" t="str">
        <f t="shared" si="7"/>
        <v xml:space="preserve"> Año </v>
      </c>
      <c r="O35" t="str">
        <f t="shared" si="8"/>
        <v>C</v>
      </c>
      <c r="P35" t="str">
        <f t="shared" si="9"/>
        <v xml:space="preserve">", </v>
      </c>
      <c r="Q35" t="str">
        <f t="shared" si="10"/>
        <v xml:space="preserve">subtitle: </v>
      </c>
      <c r="R35" t="str">
        <f t="shared" si="11"/>
        <v>"</v>
      </c>
      <c r="S35" t="str">
        <f t="shared" si="12"/>
        <v>Ciclo C</v>
      </c>
      <c r="T35" t="str">
        <f t="shared" si="11"/>
        <v>",</v>
      </c>
      <c r="U35" t="str">
        <f t="shared" si="11"/>
        <v xml:space="preserve"> category: "Liturgia", </v>
      </c>
      <c r="V35" t="str">
        <f>_xlfn.CONCAT("url: ","""/src/index.html?canto=",I35,""",")</f>
        <v>url: "/src/index.html?canto=aetos12c",</v>
      </c>
      <c r="W35" t="str">
        <f t="shared" si="11"/>
        <v xml:space="preserve"> content:</v>
      </c>
      <c r="X35" t="str">
        <f t="shared" si="1"/>
        <v>"Ordinario Semana XIIª,  Año /Ciclo C, tos12c" },</v>
      </c>
      <c r="Y35" t="str">
        <f>_xlfn.CONCAT(D35:X35)</f>
        <v>{ idi: 1028, id: "aetos12c", title: "Ordinario Semana XIIª, Año C", subtitle: "Ciclo C", category: "Liturgia", url: "/src/index.html?canto=aetos12c", content:"Ordinario Semana XIIª,  Año /Ciclo C, tos12c" },</v>
      </c>
    </row>
    <row r="36" spans="2:25" x14ac:dyDescent="0.25">
      <c r="B36">
        <f t="shared" si="13"/>
        <v>13</v>
      </c>
      <c r="C36" t="str">
        <f t="shared" si="18"/>
        <v>Ordinario</v>
      </c>
      <c r="D36" t="str">
        <f t="shared" si="15"/>
        <v xml:space="preserve">{ idi: </v>
      </c>
      <c r="E36">
        <v>1029</v>
      </c>
      <c r="F36" t="str">
        <f t="shared" si="16"/>
        <v xml:space="preserve">, </v>
      </c>
      <c r="G36" t="str">
        <f t="shared" si="2"/>
        <v xml:space="preserve">id: </v>
      </c>
      <c r="H36" t="str">
        <f t="shared" si="3"/>
        <v>"</v>
      </c>
      <c r="I36" t="str">
        <f>_xlfn.CONCAT("aet",(LOWER(LEFT(M36,1))),"s",Table1[[#This Row],[Semana]],LOWER(LEFT(O36,1)))</f>
        <v>aetos13c</v>
      </c>
      <c r="J36" t="str">
        <f t="shared" si="4"/>
        <v xml:space="preserve">", </v>
      </c>
      <c r="K36" t="str">
        <f t="shared" si="5"/>
        <v xml:space="preserve">title: </v>
      </c>
      <c r="L36" t="str">
        <f t="shared" si="6"/>
        <v>"</v>
      </c>
      <c r="M36" t="str">
        <f t="shared" si="0"/>
        <v>Ordinario Semana XIIIª,</v>
      </c>
      <c r="N36" t="str">
        <f t="shared" si="7"/>
        <v xml:space="preserve"> Año </v>
      </c>
      <c r="O36" t="str">
        <f t="shared" si="8"/>
        <v>C</v>
      </c>
      <c r="P36" t="str">
        <f t="shared" si="9"/>
        <v xml:space="preserve">", </v>
      </c>
      <c r="Q36" t="str">
        <f t="shared" si="10"/>
        <v xml:space="preserve">subtitle: </v>
      </c>
      <c r="R36" t="str">
        <f t="shared" si="11"/>
        <v>"</v>
      </c>
      <c r="S36" t="str">
        <f t="shared" si="12"/>
        <v>Ciclo C</v>
      </c>
      <c r="T36" t="str">
        <f t="shared" si="11"/>
        <v>",</v>
      </c>
      <c r="U36" t="str">
        <f t="shared" si="11"/>
        <v xml:space="preserve"> category: "Liturgia", </v>
      </c>
      <c r="V36" t="str">
        <f>_xlfn.CONCAT("url: ","""/src/index.html?canto=",I36,""",")</f>
        <v>url: "/src/index.html?canto=aetos13c",</v>
      </c>
      <c r="W36" t="str">
        <f t="shared" si="11"/>
        <v xml:space="preserve"> content:</v>
      </c>
      <c r="X36" t="str">
        <f t="shared" si="1"/>
        <v>"Ordinario Semana XIIIª,  Año /Ciclo C, tos13c" },</v>
      </c>
      <c r="Y36" t="str">
        <f>_xlfn.CONCAT(D36:X36)</f>
        <v>{ idi: 1029, id: "aetos13c", title: "Ordinario Semana XIIIª, Año C", subtitle: "Ciclo C", category: "Liturgia", url: "/src/index.html?canto=aetos13c", content:"Ordinario Semana XIIIª,  Año /Ciclo C, tos13c" },</v>
      </c>
    </row>
    <row r="37" spans="2:25" x14ac:dyDescent="0.25">
      <c r="B37">
        <f t="shared" si="13"/>
        <v>14</v>
      </c>
      <c r="C37" t="str">
        <f t="shared" si="18"/>
        <v>Ordinario</v>
      </c>
      <c r="D37" t="str">
        <f t="shared" si="15"/>
        <v xml:space="preserve">{ idi: </v>
      </c>
      <c r="E37">
        <v>1030</v>
      </c>
      <c r="F37" t="str">
        <f t="shared" si="16"/>
        <v xml:space="preserve">, </v>
      </c>
      <c r="G37" t="str">
        <f t="shared" si="2"/>
        <v xml:space="preserve">id: </v>
      </c>
      <c r="H37" t="str">
        <f t="shared" si="3"/>
        <v>"</v>
      </c>
      <c r="I37" t="str">
        <f>_xlfn.CONCAT("aet",(LOWER(LEFT(M37,1))),"s",Table1[[#This Row],[Semana]],LOWER(LEFT(O37,1)))</f>
        <v>aetos14c</v>
      </c>
      <c r="J37" t="str">
        <f t="shared" si="4"/>
        <v xml:space="preserve">", </v>
      </c>
      <c r="K37" t="str">
        <f t="shared" si="5"/>
        <v xml:space="preserve">title: </v>
      </c>
      <c r="L37" t="str">
        <f t="shared" si="6"/>
        <v>"</v>
      </c>
      <c r="M37" t="str">
        <f t="shared" si="0"/>
        <v>Ordinario Semana XIVª,</v>
      </c>
      <c r="N37" t="str">
        <f t="shared" si="7"/>
        <v xml:space="preserve"> Año </v>
      </c>
      <c r="O37" t="str">
        <f t="shared" si="8"/>
        <v>C</v>
      </c>
      <c r="P37" t="str">
        <f t="shared" si="9"/>
        <v xml:space="preserve">", </v>
      </c>
      <c r="Q37" t="str">
        <f t="shared" si="10"/>
        <v xml:space="preserve">subtitle: </v>
      </c>
      <c r="R37" t="str">
        <f t="shared" si="11"/>
        <v>"</v>
      </c>
      <c r="S37" t="str">
        <f t="shared" si="12"/>
        <v>Ciclo C</v>
      </c>
      <c r="T37" t="str">
        <f t="shared" si="11"/>
        <v>",</v>
      </c>
      <c r="U37" t="str">
        <f t="shared" si="11"/>
        <v xml:space="preserve"> category: "Liturgia", </v>
      </c>
      <c r="V37" t="str">
        <f>_xlfn.CONCAT("url: ","""/src/index.html?canto=",I37,""",")</f>
        <v>url: "/src/index.html?canto=aetos14c",</v>
      </c>
      <c r="W37" t="str">
        <f t="shared" si="11"/>
        <v xml:space="preserve"> content:</v>
      </c>
      <c r="X37" t="str">
        <f t="shared" si="1"/>
        <v>"Ordinario Semana XIVª,  Año /Ciclo C, tos14c" },</v>
      </c>
      <c r="Y37" t="str">
        <f>_xlfn.CONCAT(D37:X37)</f>
        <v>{ idi: 1030, id: "aetos14c", title: "Ordinario Semana XIVª, Año C", subtitle: "Ciclo C", category: "Liturgia", url: "/src/index.html?canto=aetos14c", content:"Ordinario Semana XIVª,  Año /Ciclo C, tos14c" },</v>
      </c>
    </row>
    <row r="38" spans="2:25" x14ac:dyDescent="0.25">
      <c r="B38">
        <f t="shared" si="13"/>
        <v>15</v>
      </c>
      <c r="C38" t="str">
        <f t="shared" si="18"/>
        <v>Ordinario</v>
      </c>
      <c r="D38" t="str">
        <f t="shared" si="15"/>
        <v xml:space="preserve">{ idi: </v>
      </c>
      <c r="E38">
        <v>1031</v>
      </c>
      <c r="F38" t="str">
        <f t="shared" si="16"/>
        <v xml:space="preserve">, </v>
      </c>
      <c r="G38" t="str">
        <f t="shared" si="2"/>
        <v xml:space="preserve">id: </v>
      </c>
      <c r="H38" t="str">
        <f t="shared" si="3"/>
        <v>"</v>
      </c>
      <c r="I38" t="str">
        <f>_xlfn.CONCAT("aet",(LOWER(LEFT(M38,1))),"s",Table1[[#This Row],[Semana]],LOWER(LEFT(O38,1)))</f>
        <v>aetos15c</v>
      </c>
      <c r="J38" t="str">
        <f t="shared" si="4"/>
        <v xml:space="preserve">", </v>
      </c>
      <c r="K38" t="str">
        <f t="shared" si="5"/>
        <v xml:space="preserve">title: </v>
      </c>
      <c r="L38" t="str">
        <f t="shared" si="6"/>
        <v>"</v>
      </c>
      <c r="M38" t="str">
        <f t="shared" si="0"/>
        <v>Ordinario Semana XVª,</v>
      </c>
      <c r="N38" t="str">
        <f t="shared" si="7"/>
        <v xml:space="preserve"> Año </v>
      </c>
      <c r="O38" t="str">
        <f t="shared" si="8"/>
        <v>C</v>
      </c>
      <c r="P38" t="str">
        <f t="shared" si="9"/>
        <v xml:space="preserve">", </v>
      </c>
      <c r="Q38" t="str">
        <f t="shared" si="10"/>
        <v xml:space="preserve">subtitle: </v>
      </c>
      <c r="R38" t="str">
        <f t="shared" si="11"/>
        <v>"</v>
      </c>
      <c r="S38" t="str">
        <f t="shared" si="12"/>
        <v>Ciclo C</v>
      </c>
      <c r="T38" t="str">
        <f t="shared" si="11"/>
        <v>",</v>
      </c>
      <c r="U38" t="str">
        <f t="shared" si="11"/>
        <v xml:space="preserve"> category: "Liturgia", </v>
      </c>
      <c r="V38" t="str">
        <f>_xlfn.CONCAT("url: ","""/src/index.html?canto=",I38,""",")</f>
        <v>url: "/src/index.html?canto=aetos15c",</v>
      </c>
      <c r="W38" t="str">
        <f t="shared" si="11"/>
        <v xml:space="preserve"> content:</v>
      </c>
      <c r="X38" t="str">
        <f t="shared" si="1"/>
        <v>"Ordinario Semana XVª,  Año /Ciclo C, tos15c" },</v>
      </c>
      <c r="Y38" t="str">
        <f>_xlfn.CONCAT(D38:X38)</f>
        <v>{ idi: 1031, id: "aetos15c", title: "Ordinario Semana XVª, Año C", subtitle: "Ciclo C", category: "Liturgia", url: "/src/index.html?canto=aetos15c", content:"Ordinario Semana XVª,  Año /Ciclo C, tos15c" },</v>
      </c>
    </row>
    <row r="39" spans="2:25" x14ac:dyDescent="0.25">
      <c r="R39" t="s">
        <v>6</v>
      </c>
    </row>
    <row r="42" spans="2:25" x14ac:dyDescent="0.25">
      <c r="B42" s="2"/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Baez</dc:creator>
  <cp:lastModifiedBy>Carlos Baez</cp:lastModifiedBy>
  <dcterms:created xsi:type="dcterms:W3CDTF">2026-04-21T12:38:52Z</dcterms:created>
  <dcterms:modified xsi:type="dcterms:W3CDTF">2026-04-23T22:13:59Z</dcterms:modified>
</cp:coreProperties>
</file>