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9F27DF4-2313-46A6-B96D-612D92AB7160}" xr6:coauthVersionLast="47" xr6:coauthVersionMax="47" xr10:uidLastSave="{00000000-0000-0000-0000-000000000000}"/>
  <bookViews>
    <workbookView xWindow="-110" yWindow="-110" windowWidth="25820" windowHeight="15500" firstSheet="5"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HACIA TI, MORADA SANTA" sheetId="45"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45" l="1"/>
  <c r="AI65" i="45"/>
  <c r="AN65" i="45" s="1"/>
  <c r="AD65" i="45"/>
  <c r="AB65" i="45"/>
  <c r="AC65" i="45" s="1"/>
  <c r="AA65" i="45"/>
  <c r="W65" i="45"/>
  <c r="U65" i="45"/>
  <c r="X65" i="45" s="1"/>
  <c r="T65" i="45"/>
  <c r="P65" i="45"/>
  <c r="N65" i="45"/>
  <c r="S65" i="45" s="1"/>
  <c r="M65" i="45"/>
  <c r="AL64" i="45"/>
  <c r="AK64" i="45"/>
  <c r="AJ64" i="45"/>
  <c r="AI64" i="45"/>
  <c r="AM64" i="45" s="1"/>
  <c r="AD64" i="45"/>
  <c r="AB64" i="45"/>
  <c r="AE64" i="45" s="1"/>
  <c r="AA64" i="45"/>
  <c r="W64" i="45"/>
  <c r="U64" i="45"/>
  <c r="Y64" i="45" s="1"/>
  <c r="T64" i="45"/>
  <c r="P64" i="45"/>
  <c r="N64" i="45"/>
  <c r="R64" i="45" s="1"/>
  <c r="M64" i="45"/>
  <c r="AK63" i="45"/>
  <c r="AI63" i="45"/>
  <c r="AH63" i="45" s="1"/>
  <c r="AD63" i="45"/>
  <c r="AB63" i="45"/>
  <c r="AG63" i="45" s="1"/>
  <c r="W63" i="45"/>
  <c r="U63" i="45"/>
  <c r="Z63" i="45" s="1"/>
  <c r="T63" i="45"/>
  <c r="P63" i="45"/>
  <c r="N63" i="45"/>
  <c r="S63" i="45" s="1"/>
  <c r="M63" i="45"/>
  <c r="AK62" i="45"/>
  <c r="AI62" i="45"/>
  <c r="AL62" i="45" s="1"/>
  <c r="AH62" i="45"/>
  <c r="AD62" i="45"/>
  <c r="AB62" i="45"/>
  <c r="AE62" i="45" s="1"/>
  <c r="AA62" i="45"/>
  <c r="W62" i="45"/>
  <c r="U62" i="45"/>
  <c r="X62" i="45" s="1"/>
  <c r="P62" i="45"/>
  <c r="N62" i="45"/>
  <c r="S62" i="45" s="1"/>
  <c r="M62" i="45"/>
  <c r="AK61" i="45"/>
  <c r="AI61" i="45"/>
  <c r="AN61" i="45" s="1"/>
  <c r="AH61" i="45"/>
  <c r="AD61" i="45"/>
  <c r="AB61" i="45"/>
  <c r="AC61" i="45" s="1"/>
  <c r="AA61" i="45"/>
  <c r="W61" i="45"/>
  <c r="U61" i="45"/>
  <c r="X61" i="45" s="1"/>
  <c r="P61" i="45"/>
  <c r="N61" i="45"/>
  <c r="Q61" i="45" s="1"/>
  <c r="M61" i="45"/>
  <c r="AK49" i="45"/>
  <c r="AI49" i="45"/>
  <c r="AN49" i="45" s="1"/>
  <c r="AD49" i="45"/>
  <c r="AB49" i="45"/>
  <c r="AG49" i="45" s="1"/>
  <c r="W49" i="45"/>
  <c r="U49" i="45"/>
  <c r="Y49" i="45" s="1"/>
  <c r="P49" i="45"/>
  <c r="N49" i="45"/>
  <c r="S49" i="45" s="1"/>
  <c r="AK48" i="45"/>
  <c r="AI48" i="45"/>
  <c r="AN48" i="45" s="1"/>
  <c r="AH48" i="45"/>
  <c r="AD48" i="45"/>
  <c r="AB48" i="45"/>
  <c r="AG48" i="45" s="1"/>
  <c r="W48" i="45"/>
  <c r="U48" i="45"/>
  <c r="V48" i="45" s="1"/>
  <c r="P48" i="45"/>
  <c r="N48" i="45"/>
  <c r="S48" i="45" s="1"/>
  <c r="M48" i="45"/>
  <c r="AK47" i="45"/>
  <c r="AI47" i="45"/>
  <c r="AN47" i="45" s="1"/>
  <c r="AH47" i="45"/>
  <c r="AD47" i="45"/>
  <c r="AB47" i="45"/>
  <c r="AG47" i="45" s="1"/>
  <c r="W47" i="45"/>
  <c r="U47" i="45"/>
  <c r="Y47" i="45" s="1"/>
  <c r="T47" i="45"/>
  <c r="P47" i="45"/>
  <c r="N47" i="45"/>
  <c r="S47" i="45" s="1"/>
  <c r="AK46" i="45"/>
  <c r="AI46" i="45"/>
  <c r="AM46" i="45" s="1"/>
  <c r="AD46" i="45"/>
  <c r="AB46" i="45"/>
  <c r="AG46" i="45" s="1"/>
  <c r="W46" i="45"/>
  <c r="U46" i="45"/>
  <c r="V46" i="45" s="1"/>
  <c r="P46" i="45"/>
  <c r="N46" i="45"/>
  <c r="Q46" i="45" s="1"/>
  <c r="AK45" i="45"/>
  <c r="AI45" i="45"/>
  <c r="AN45" i="45" s="1"/>
  <c r="AH45" i="45"/>
  <c r="AD45" i="45"/>
  <c r="AB45" i="45"/>
  <c r="AG45" i="45" s="1"/>
  <c r="AA45" i="45"/>
  <c r="W45" i="45"/>
  <c r="U45" i="45"/>
  <c r="Z45" i="45" s="1"/>
  <c r="P45" i="45"/>
  <c r="N45" i="45"/>
  <c r="S45" i="45" s="1"/>
  <c r="AK59" i="45"/>
  <c r="AI59" i="45"/>
  <c r="AL59" i="45" s="1"/>
  <c r="AH59" i="45"/>
  <c r="AD59" i="45"/>
  <c r="AB59" i="45"/>
  <c r="AE59" i="45" s="1"/>
  <c r="W59" i="45"/>
  <c r="U59" i="45"/>
  <c r="T59" i="45" s="1"/>
  <c r="P59" i="45"/>
  <c r="N59" i="45"/>
  <c r="S59" i="45" s="1"/>
  <c r="AK58" i="45"/>
  <c r="AI58" i="45"/>
  <c r="AH58" i="45" s="1"/>
  <c r="AD58" i="45"/>
  <c r="AB58" i="45"/>
  <c r="AC58" i="45" s="1"/>
  <c r="W58" i="45"/>
  <c r="U58" i="45"/>
  <c r="X58" i="45" s="1"/>
  <c r="P58" i="45"/>
  <c r="N58" i="45"/>
  <c r="Q58" i="45" s="1"/>
  <c r="M58" i="45"/>
  <c r="AK57" i="45"/>
  <c r="AI57" i="45"/>
  <c r="AL57" i="45" s="1"/>
  <c r="AH57" i="45"/>
  <c r="AD57" i="45"/>
  <c r="AB57" i="45"/>
  <c r="AG57" i="45" s="1"/>
  <c r="W57" i="45"/>
  <c r="U57" i="45"/>
  <c r="T57" i="45" s="1"/>
  <c r="P57" i="45"/>
  <c r="N57" i="45"/>
  <c r="R57" i="45" s="1"/>
  <c r="AK56" i="45"/>
  <c r="AI56" i="45"/>
  <c r="AH56" i="45" s="1"/>
  <c r="AD56" i="45"/>
  <c r="AB56" i="45"/>
  <c r="AA56" i="45"/>
  <c r="W56" i="45"/>
  <c r="U56" i="45"/>
  <c r="V56" i="45" s="1"/>
  <c r="P56" i="45"/>
  <c r="N56" i="45"/>
  <c r="M56" i="45"/>
  <c r="AK54" i="45"/>
  <c r="AI54" i="45"/>
  <c r="AH54" i="45" s="1"/>
  <c r="AD54" i="45"/>
  <c r="AB54" i="45"/>
  <c r="AF54" i="45" s="1"/>
  <c r="W54" i="45"/>
  <c r="U54" i="45"/>
  <c r="Z54" i="45" s="1"/>
  <c r="P54" i="45"/>
  <c r="N54" i="45"/>
  <c r="M54" i="45" s="1"/>
  <c r="AK53" i="45"/>
  <c r="AI53" i="45"/>
  <c r="AH53" i="45" s="1"/>
  <c r="AD53" i="45"/>
  <c r="AB53" i="45"/>
  <c r="AG53" i="45" s="1"/>
  <c r="W53" i="45"/>
  <c r="U53" i="45"/>
  <c r="T53" i="45" s="1"/>
  <c r="P53" i="45"/>
  <c r="N53" i="45"/>
  <c r="Q53" i="45" s="1"/>
  <c r="M53" i="45"/>
  <c r="AK52" i="45"/>
  <c r="AI52" i="45"/>
  <c r="AM52" i="45" s="1"/>
  <c r="AH52" i="45"/>
  <c r="AD52" i="45"/>
  <c r="AB52" i="45"/>
  <c r="AA52" i="45"/>
  <c r="W52" i="45"/>
  <c r="U52" i="45"/>
  <c r="Z52" i="45" s="1"/>
  <c r="P52" i="45"/>
  <c r="N52" i="45"/>
  <c r="S52" i="45" s="1"/>
  <c r="AK51" i="45"/>
  <c r="AI51" i="45"/>
  <c r="AN51" i="45" s="1"/>
  <c r="AD51" i="45"/>
  <c r="AB51" i="45"/>
  <c r="AF51" i="45" s="1"/>
  <c r="W51" i="45"/>
  <c r="U51" i="45"/>
  <c r="V51" i="45" s="1"/>
  <c r="P51" i="45"/>
  <c r="N51" i="45"/>
  <c r="M51" i="45" s="1"/>
  <c r="AK50" i="45"/>
  <c r="AI50" i="45"/>
  <c r="AL50" i="45" s="1"/>
  <c r="AH50" i="45"/>
  <c r="AD50" i="45"/>
  <c r="AB50" i="45"/>
  <c r="AE50" i="45" s="1"/>
  <c r="W50" i="45"/>
  <c r="U50" i="45"/>
  <c r="T50" i="45" s="1"/>
  <c r="P50" i="45"/>
  <c r="N50" i="45"/>
  <c r="M50" i="45"/>
  <c r="AK43" i="45"/>
  <c r="AI43" i="45"/>
  <c r="AM43" i="45" s="1"/>
  <c r="AD43" i="45"/>
  <c r="AB43" i="45"/>
  <c r="AG43" i="45" s="1"/>
  <c r="W43" i="45"/>
  <c r="U43" i="45"/>
  <c r="Z43" i="45" s="1"/>
  <c r="P43" i="45"/>
  <c r="N43" i="45"/>
  <c r="R43" i="45" s="1"/>
  <c r="M43" i="45"/>
  <c r="AK42" i="45"/>
  <c r="AI42" i="45"/>
  <c r="AN42" i="45" s="1"/>
  <c r="AD42" i="45"/>
  <c r="AB42" i="45"/>
  <c r="AA42" i="45" s="1"/>
  <c r="W42" i="45"/>
  <c r="U42" i="45"/>
  <c r="V42" i="45" s="1"/>
  <c r="P42" i="45"/>
  <c r="N42" i="45"/>
  <c r="M42" i="45"/>
  <c r="AK41" i="45"/>
  <c r="AI41" i="45"/>
  <c r="AJ41" i="45" s="1"/>
  <c r="AD41" i="45"/>
  <c r="AB41" i="45"/>
  <c r="W41" i="45"/>
  <c r="U41" i="45"/>
  <c r="T41" i="45" s="1"/>
  <c r="P41" i="45"/>
  <c r="N41" i="45"/>
  <c r="O41" i="45" s="1"/>
  <c r="AK40" i="45"/>
  <c r="AI40" i="45"/>
  <c r="AM40" i="45" s="1"/>
  <c r="AD40" i="45"/>
  <c r="AB40" i="45"/>
  <c r="AA40" i="45" s="1"/>
  <c r="W40" i="45"/>
  <c r="U40" i="45"/>
  <c r="Z40" i="45" s="1"/>
  <c r="T40" i="45"/>
  <c r="P40" i="45"/>
  <c r="N40" i="45"/>
  <c r="Q40" i="45" s="1"/>
  <c r="AK38" i="45"/>
  <c r="AI38" i="45"/>
  <c r="AH38" i="45" s="1"/>
  <c r="AD38" i="45"/>
  <c r="AB38" i="45"/>
  <c r="AG38" i="45" s="1"/>
  <c r="W38" i="45"/>
  <c r="U38" i="45"/>
  <c r="T38" i="45" s="1"/>
  <c r="P38" i="45"/>
  <c r="N38" i="45"/>
  <c r="M38" i="45" s="1"/>
  <c r="AK37" i="45"/>
  <c r="AI37" i="45"/>
  <c r="AL37" i="45" s="1"/>
  <c r="AD37" i="45"/>
  <c r="AB37" i="45"/>
  <c r="AA37" i="45" s="1"/>
  <c r="W37" i="45"/>
  <c r="U37" i="45"/>
  <c r="Z37" i="45" s="1"/>
  <c r="P37" i="45"/>
  <c r="N37" i="45"/>
  <c r="M37" i="45" s="1"/>
  <c r="AK36" i="45"/>
  <c r="AI36" i="45"/>
  <c r="AH36" i="45" s="1"/>
  <c r="AD36" i="45"/>
  <c r="AB36" i="45"/>
  <c r="AG36" i="45" s="1"/>
  <c r="W36" i="45"/>
  <c r="U36" i="45"/>
  <c r="V36" i="45" s="1"/>
  <c r="T36" i="45"/>
  <c r="P36" i="45"/>
  <c r="N36" i="45"/>
  <c r="M36" i="45" s="1"/>
  <c r="AK35" i="45"/>
  <c r="AI35" i="45"/>
  <c r="AJ35" i="45" s="1"/>
  <c r="AH35" i="45"/>
  <c r="AD35" i="45"/>
  <c r="AB35" i="45"/>
  <c r="AG35" i="45" s="1"/>
  <c r="W35" i="45"/>
  <c r="U35" i="45"/>
  <c r="T35" i="45" s="1"/>
  <c r="P35" i="45"/>
  <c r="N35" i="45"/>
  <c r="O35" i="45" s="1"/>
  <c r="AK33" i="45"/>
  <c r="AI33" i="45"/>
  <c r="AD33" i="45"/>
  <c r="AB33" i="45"/>
  <c r="AA33" i="45" s="1"/>
  <c r="W33" i="45"/>
  <c r="U33" i="45"/>
  <c r="Z33" i="45" s="1"/>
  <c r="P33" i="45"/>
  <c r="N33" i="45"/>
  <c r="M33" i="45" s="1"/>
  <c r="AK32" i="45"/>
  <c r="AI32" i="45"/>
  <c r="AN32" i="45" s="1"/>
  <c r="AH32" i="45"/>
  <c r="AD32" i="45"/>
  <c r="AB32" i="45"/>
  <c r="AE32" i="45" s="1"/>
  <c r="AA32" i="45"/>
  <c r="W32" i="45"/>
  <c r="U32" i="45"/>
  <c r="T32" i="45"/>
  <c r="P32" i="45"/>
  <c r="N32" i="45"/>
  <c r="S32" i="45" s="1"/>
  <c r="AK31" i="45"/>
  <c r="AI31" i="45"/>
  <c r="AJ31" i="45" s="1"/>
  <c r="AD31" i="45"/>
  <c r="AB31" i="45"/>
  <c r="AA31" i="45" s="1"/>
  <c r="W31" i="45"/>
  <c r="U31" i="45"/>
  <c r="T31" i="45" s="1"/>
  <c r="P31" i="45"/>
  <c r="N31" i="45"/>
  <c r="M31" i="45" s="1"/>
  <c r="AK30" i="45"/>
  <c r="AI30" i="45"/>
  <c r="AL30" i="45" s="1"/>
  <c r="AD30" i="45"/>
  <c r="AB30" i="45"/>
  <c r="AA30" i="45" s="1"/>
  <c r="W30" i="45"/>
  <c r="U30" i="45"/>
  <c r="Y30" i="45" s="1"/>
  <c r="P30" i="45"/>
  <c r="N30" i="45"/>
  <c r="S30" i="45" s="1"/>
  <c r="L18" i="45"/>
  <c r="L17" i="45"/>
  <c r="L15" i="45"/>
  <c r="L14" i="45"/>
  <c r="L13" i="45"/>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5" a="1"/>
  <c r="AG61" i="45" l="1"/>
  <c r="AH42" i="45"/>
  <c r="T52" i="45"/>
  <c r="AH64" i="45"/>
  <c r="AF61" i="45"/>
  <c r="T62" i="45"/>
  <c r="AF62" i="45"/>
  <c r="AN64" i="45"/>
  <c r="AG62" i="45"/>
  <c r="AH65" i="45"/>
  <c r="AE61" i="45"/>
  <c r="M47" i="45"/>
  <c r="T61" i="45"/>
  <c r="AA63" i="45"/>
  <c r="AM63" i="45"/>
  <c r="AN63" i="45"/>
  <c r="O65" i="45"/>
  <c r="AJ61" i="45"/>
  <c r="AM62" i="45"/>
  <c r="AN62" i="45"/>
  <c r="AM61" i="45"/>
  <c r="Y65" i="45"/>
  <c r="Z64" i="45"/>
  <c r="S61" i="45"/>
  <c r="V62" i="45"/>
  <c r="AE65" i="45"/>
  <c r="V61" i="45"/>
  <c r="Y62" i="45"/>
  <c r="Z62" i="45"/>
  <c r="AF64" i="45"/>
  <c r="AG64" i="45"/>
  <c r="Y61" i="45"/>
  <c r="AE63" i="45"/>
  <c r="AJ63" i="45"/>
  <c r="AL63" i="45"/>
  <c r="AJ62" i="45"/>
  <c r="Q65" i="45"/>
  <c r="AL61" i="45"/>
  <c r="O64" i="45"/>
  <c r="O63" i="45"/>
  <c r="S64" i="45"/>
  <c r="O62" i="45"/>
  <c r="R63" i="45"/>
  <c r="V64" i="45"/>
  <c r="Z65" i="45"/>
  <c r="O61" i="45"/>
  <c r="R62" i="45"/>
  <c r="X64" i="45"/>
  <c r="R61" i="45"/>
  <c r="X63" i="45"/>
  <c r="Y63" i="45"/>
  <c r="AC64" i="45"/>
  <c r="AG65" i="45"/>
  <c r="AC63" i="45"/>
  <c r="Z61" i="45"/>
  <c r="AC62" i="45"/>
  <c r="AF63" i="45"/>
  <c r="AL65" i="45"/>
  <c r="AF65" i="45"/>
  <c r="R65" i="45"/>
  <c r="Q64" i="45"/>
  <c r="V65" i="45"/>
  <c r="Q63" i="45"/>
  <c r="Q62" i="45"/>
  <c r="V63" i="45"/>
  <c r="AJ65" i="45"/>
  <c r="AM65" i="45"/>
  <c r="AA48" i="45"/>
  <c r="M46" i="45"/>
  <c r="T30" i="45"/>
  <c r="M45" i="45"/>
  <c r="AA51" i="45"/>
  <c r="M59" i="45"/>
  <c r="AH37" i="45"/>
  <c r="T43" i="45"/>
  <c r="T49" i="45"/>
  <c r="M40" i="45"/>
  <c r="AA43" i="45"/>
  <c r="AA49" i="45"/>
  <c r="T54" i="45"/>
  <c r="M32" i="45"/>
  <c r="AE48" i="45"/>
  <c r="M41" i="45"/>
  <c r="M57" i="45"/>
  <c r="AF48" i="45"/>
  <c r="AC48" i="45"/>
  <c r="T37" i="45"/>
  <c r="AA46" i="45"/>
  <c r="M49" i="45"/>
  <c r="AH41" i="45"/>
  <c r="AA50" i="45"/>
  <c r="AA53" i="45"/>
  <c r="AH46" i="45"/>
  <c r="T45" i="45"/>
  <c r="AH30" i="45"/>
  <c r="M35" i="45"/>
  <c r="T58" i="45"/>
  <c r="AH49" i="45"/>
  <c r="AA38" i="45"/>
  <c r="AA47" i="45"/>
  <c r="Z47" i="45"/>
  <c r="X46" i="45"/>
  <c r="Y46" i="45"/>
  <c r="Z46" i="45"/>
  <c r="T48" i="45"/>
  <c r="AE47" i="45"/>
  <c r="AF47" i="45"/>
  <c r="O48" i="45"/>
  <c r="O45" i="45"/>
  <c r="X48" i="45"/>
  <c r="AJ49" i="45"/>
  <c r="S46" i="45"/>
  <c r="V47" i="45"/>
  <c r="Y48" i="45"/>
  <c r="AC46" i="45"/>
  <c r="AM48" i="45"/>
  <c r="R46" i="45"/>
  <c r="AH43" i="45"/>
  <c r="Q45" i="45"/>
  <c r="T46" i="45"/>
  <c r="Z48" i="45"/>
  <c r="AL49" i="45"/>
  <c r="AC47" i="45"/>
  <c r="AJ48" i="45"/>
  <c r="AL48" i="45"/>
  <c r="AN46" i="45"/>
  <c r="Z49" i="45"/>
  <c r="AL45" i="45"/>
  <c r="R45" i="45"/>
  <c r="X47" i="45"/>
  <c r="AM49" i="45"/>
  <c r="V45" i="45"/>
  <c r="X45" i="45"/>
  <c r="Y45" i="45"/>
  <c r="O49" i="45"/>
  <c r="AE46" i="45"/>
  <c r="Q49" i="45"/>
  <c r="AC45" i="45"/>
  <c r="AF46" i="45"/>
  <c r="R49" i="45"/>
  <c r="AJ47" i="45"/>
  <c r="AE45" i="45"/>
  <c r="AF45" i="45"/>
  <c r="AL47" i="45"/>
  <c r="AJ46" i="45"/>
  <c r="AM47" i="45"/>
  <c r="V49" i="45"/>
  <c r="AL46" i="45"/>
  <c r="X49" i="45"/>
  <c r="AJ45" i="45"/>
  <c r="AM45" i="45"/>
  <c r="Q48" i="45"/>
  <c r="AC49" i="45"/>
  <c r="O47" i="45"/>
  <c r="R48" i="45"/>
  <c r="AE49" i="45"/>
  <c r="Q47" i="45"/>
  <c r="AF49" i="45"/>
  <c r="O46" i="45"/>
  <c r="R47" i="45"/>
  <c r="AL31" i="45"/>
  <c r="M30" i="45"/>
  <c r="AA59" i="45"/>
  <c r="T42" i="45"/>
  <c r="AN50" i="45"/>
  <c r="AH31" i="45"/>
  <c r="AM41" i="45"/>
  <c r="T51" i="45"/>
  <c r="AG51" i="45"/>
  <c r="AL41" i="45"/>
  <c r="AN41" i="45"/>
  <c r="AH51" i="45"/>
  <c r="AN43" i="45"/>
  <c r="AA36" i="45"/>
  <c r="AA54" i="45"/>
  <c r="AA58" i="45"/>
  <c r="AH40" i="45"/>
  <c r="M52" i="45"/>
  <c r="AC35" i="45"/>
  <c r="O54" i="45"/>
  <c r="S54" i="45"/>
  <c r="R54" i="45"/>
  <c r="AL35" i="45"/>
  <c r="AN35" i="45"/>
  <c r="AF42" i="45"/>
  <c r="AG42" i="45"/>
  <c r="AF32" i="45"/>
  <c r="AE53" i="45"/>
  <c r="AF53" i="45"/>
  <c r="AE35" i="45"/>
  <c r="AF35" i="45"/>
  <c r="Q54" i="45"/>
  <c r="AM35" i="45"/>
  <c r="AG32" i="45"/>
  <c r="AJ56" i="45"/>
  <c r="AC53" i="45"/>
  <c r="AL56" i="45"/>
  <c r="AM56" i="45"/>
  <c r="AF41" i="45"/>
  <c r="AA41" i="45"/>
  <c r="AN56" i="45"/>
  <c r="AA35" i="45"/>
  <c r="AM30" i="45"/>
  <c r="AE57" i="45"/>
  <c r="AN30" i="45"/>
  <c r="AF57" i="45"/>
  <c r="AG54" i="45"/>
  <c r="AJ54" i="45"/>
  <c r="AM57" i="45"/>
  <c r="AF50" i="45"/>
  <c r="AN52" i="45"/>
  <c r="AN57" i="45"/>
  <c r="AC31" i="45"/>
  <c r="AG50" i="45"/>
  <c r="AL54" i="45"/>
  <c r="AM54" i="45"/>
  <c r="AE31" i="45"/>
  <c r="AN54" i="45"/>
  <c r="AF31" i="45"/>
  <c r="AG31" i="45"/>
  <c r="AM50" i="45"/>
  <c r="S57" i="45"/>
  <c r="X56" i="45"/>
  <c r="Y56" i="45"/>
  <c r="X51" i="45"/>
  <c r="Y51" i="45"/>
  <c r="Z51" i="45"/>
  <c r="Z56" i="45"/>
  <c r="T33" i="45"/>
  <c r="O32" i="45"/>
  <c r="Z30" i="45"/>
  <c r="Q32" i="45"/>
  <c r="R40" i="45"/>
  <c r="X42" i="45"/>
  <c r="R32" i="45"/>
  <c r="S40" i="45"/>
  <c r="Y42" i="45"/>
  <c r="Z42" i="45"/>
  <c r="O38" i="45"/>
  <c r="Q38" i="45"/>
  <c r="R38" i="45"/>
  <c r="S43" i="45"/>
  <c r="S38" i="45"/>
  <c r="V38" i="45"/>
  <c r="V33" i="45"/>
  <c r="X38" i="45"/>
  <c r="Y38" i="45"/>
  <c r="X33" i="45"/>
  <c r="Z38" i="45"/>
  <c r="Y33" i="45"/>
  <c r="C1" i="45"/>
  <c r="AC38" i="45"/>
  <c r="X57" i="45"/>
  <c r="V57" i="45"/>
  <c r="Z57" i="45"/>
  <c r="Y57" i="45"/>
  <c r="AH33" i="45"/>
  <c r="AN33" i="45"/>
  <c r="AM33" i="45"/>
  <c r="AL33" i="45"/>
  <c r="AG30" i="45"/>
  <c r="AF30" i="45"/>
  <c r="AJ33" i="45"/>
  <c r="AG52" i="45"/>
  <c r="AF52" i="45"/>
  <c r="AE52" i="45"/>
  <c r="AC30" i="45"/>
  <c r="AJ40" i="45"/>
  <c r="AC52" i="45"/>
  <c r="AE30" i="45"/>
  <c r="AL40" i="45"/>
  <c r="S51" i="45"/>
  <c r="R51" i="45"/>
  <c r="O51" i="45"/>
  <c r="Q59" i="45"/>
  <c r="Z32" i="45"/>
  <c r="Y32" i="45"/>
  <c r="AN40" i="45"/>
  <c r="R59" i="45"/>
  <c r="X32" i="45"/>
  <c r="Q37" i="45"/>
  <c r="Z59" i="45"/>
  <c r="Y59" i="45"/>
  <c r="R37" i="45"/>
  <c r="AE38" i="45"/>
  <c r="V59" i="45"/>
  <c r="S37" i="45"/>
  <c r="AF38" i="45"/>
  <c r="S31" i="45"/>
  <c r="R31" i="45"/>
  <c r="Q31" i="45"/>
  <c r="X59" i="45"/>
  <c r="O31" i="45"/>
  <c r="V37" i="45"/>
  <c r="AN38" i="45"/>
  <c r="AM38" i="45"/>
  <c r="AL38" i="45"/>
  <c r="AJ38" i="45"/>
  <c r="X37" i="45"/>
  <c r="Y37" i="45"/>
  <c r="Q56" i="45"/>
  <c r="S56" i="45"/>
  <c r="R56" i="45"/>
  <c r="O56" i="45"/>
  <c r="AC43" i="45"/>
  <c r="AG37" i="45"/>
  <c r="AF37" i="45"/>
  <c r="AE37" i="45"/>
  <c r="AC37" i="45"/>
  <c r="AE43" i="45"/>
  <c r="AF43" i="45"/>
  <c r="AN53" i="45"/>
  <c r="AM53" i="45"/>
  <c r="AL53" i="45"/>
  <c r="S36" i="45"/>
  <c r="R36" i="45"/>
  <c r="S42" i="45"/>
  <c r="R42" i="45"/>
  <c r="O52" i="45"/>
  <c r="AJ53" i="45"/>
  <c r="O36" i="45"/>
  <c r="O42" i="45"/>
  <c r="Q52" i="45"/>
  <c r="Q36" i="45"/>
  <c r="AC40" i="45"/>
  <c r="Q42" i="45"/>
  <c r="R52" i="45"/>
  <c r="AG33" i="45"/>
  <c r="AE33" i="45"/>
  <c r="AF33" i="45"/>
  <c r="AE40" i="45"/>
  <c r="AJ50" i="45"/>
  <c r="AC33" i="45"/>
  <c r="AF40" i="45"/>
  <c r="O59" i="45"/>
  <c r="V32" i="45"/>
  <c r="O37" i="45"/>
  <c r="Q51" i="45"/>
  <c r="AG40" i="45"/>
  <c r="AE56" i="45"/>
  <c r="AG56" i="45"/>
  <c r="AF56" i="45"/>
  <c r="R58" i="45"/>
  <c r="Z31" i="45"/>
  <c r="Y31" i="45"/>
  <c r="X31" i="45"/>
  <c r="AJ42" i="45"/>
  <c r="S58" i="45"/>
  <c r="V31" i="45"/>
  <c r="X36" i="45"/>
  <c r="V54" i="45"/>
  <c r="Y36" i="45"/>
  <c r="AC41" i="45"/>
  <c r="AL42" i="45"/>
  <c r="AF59" i="45"/>
  <c r="Q35" i="45"/>
  <c r="Z36" i="45"/>
  <c r="AM42" i="45"/>
  <c r="O53" i="45"/>
  <c r="X54" i="45"/>
  <c r="V58" i="45"/>
  <c r="AG59" i="45"/>
  <c r="O30" i="45"/>
  <c r="AJ32" i="45"/>
  <c r="R35" i="45"/>
  <c r="AE41" i="45"/>
  <c r="Y54" i="45"/>
  <c r="S35" i="45"/>
  <c r="Q30" i="45"/>
  <c r="AL32" i="45"/>
  <c r="V40" i="45"/>
  <c r="AG41" i="45"/>
  <c r="R53" i="45"/>
  <c r="Y58" i="45"/>
  <c r="R30" i="45"/>
  <c r="AM32" i="45"/>
  <c r="V35" i="45"/>
  <c r="Z35" i="45"/>
  <c r="Y35" i="45"/>
  <c r="X35" i="45"/>
  <c r="AJ51" i="45"/>
  <c r="S53" i="45"/>
  <c r="Z58" i="45"/>
  <c r="AN36" i="45"/>
  <c r="AM36" i="45"/>
  <c r="AL36" i="45"/>
  <c r="AJ36" i="45"/>
  <c r="X40" i="45"/>
  <c r="O43" i="45"/>
  <c r="O57" i="45"/>
  <c r="Y40" i="45"/>
  <c r="AC50" i="45"/>
  <c r="AL51" i="45"/>
  <c r="Z53" i="45"/>
  <c r="Y53" i="45"/>
  <c r="X53" i="45"/>
  <c r="AN31" i="45"/>
  <c r="AM31" i="45"/>
  <c r="Q43" i="45"/>
  <c r="AM51" i="45"/>
  <c r="V53" i="45"/>
  <c r="Q57" i="45"/>
  <c r="S41" i="45"/>
  <c r="R41" i="45"/>
  <c r="Q41" i="45"/>
  <c r="O58" i="45"/>
  <c r="AC56" i="45"/>
  <c r="AC59" i="45"/>
  <c r="O33" i="45"/>
  <c r="S33" i="45"/>
  <c r="R33" i="45"/>
  <c r="Q33" i="45"/>
  <c r="AC36" i="45"/>
  <c r="AJ37" i="45"/>
  <c r="V41" i="45"/>
  <c r="V50" i="45"/>
  <c r="AE58" i="45"/>
  <c r="AC42" i="45"/>
  <c r="AJ43" i="45"/>
  <c r="AC51" i="45"/>
  <c r="AJ52" i="45"/>
  <c r="AF58" i="45"/>
  <c r="AJ30" i="45"/>
  <c r="AE36" i="45"/>
  <c r="X41" i="45"/>
  <c r="X50" i="45"/>
  <c r="T56" i="45"/>
  <c r="AA57" i="45"/>
  <c r="AG58" i="45"/>
  <c r="AF36" i="45"/>
  <c r="Y41" i="45"/>
  <c r="AE42" i="45"/>
  <c r="AL43" i="45"/>
  <c r="Y50" i="45"/>
  <c r="AE51" i="45"/>
  <c r="AL52" i="45"/>
  <c r="S50" i="45"/>
  <c r="Q50" i="45"/>
  <c r="R50" i="45"/>
  <c r="O50" i="45"/>
  <c r="AN59" i="45"/>
  <c r="AM59" i="45"/>
  <c r="AJ59" i="45"/>
  <c r="AM37" i="45"/>
  <c r="AN37" i="45"/>
  <c r="Z41" i="45"/>
  <c r="Z50" i="45"/>
  <c r="AC57" i="45"/>
  <c r="AN58" i="45"/>
  <c r="AL58" i="45"/>
  <c r="AM58" i="45"/>
  <c r="AJ58" i="45"/>
  <c r="V52" i="45"/>
  <c r="V30" i="45"/>
  <c r="AC32" i="45"/>
  <c r="O40" i="45"/>
  <c r="X43" i="45"/>
  <c r="X52" i="45"/>
  <c r="AJ57" i="45"/>
  <c r="V43" i="45"/>
  <c r="AC54" i="45"/>
  <c r="X30" i="45"/>
  <c r="Y43" i="45"/>
  <c r="Y52" i="45"/>
  <c r="AE54" i="4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62" i="45" l="1"/>
  <c r="L63" i="45"/>
  <c r="L64" i="45"/>
  <c r="L65" i="45"/>
  <c r="L49" i="45"/>
  <c r="L46" i="45"/>
  <c r="L47" i="45"/>
  <c r="L48" i="45"/>
  <c r="L52" i="45"/>
  <c r="L31" i="45"/>
  <c r="L54" i="45"/>
  <c r="L56" i="45"/>
  <c r="L57" i="45"/>
  <c r="L59" i="45"/>
  <c r="L51" i="45"/>
  <c r="L58" i="45"/>
  <c r="L53" i="45"/>
  <c r="L40" i="45"/>
  <c r="L43" i="45"/>
  <c r="L30" i="45"/>
  <c r="L37" i="45"/>
  <c r="L38" i="45"/>
  <c r="L33" i="45"/>
  <c r="L41" i="45"/>
  <c r="L42" i="45"/>
  <c r="L36" i="45"/>
  <c r="L35" i="45"/>
  <c r="L32" i="45"/>
  <c r="C11" i="45"/>
  <c r="L11" i="45" s="1"/>
  <c r="C10" i="45"/>
  <c r="L10" i="45" s="1"/>
  <c r="C16" i="45"/>
  <c r="L16" i="45" s="1"/>
  <c r="B27" i="45"/>
  <c r="C27" i="45" s="1"/>
  <c r="L27" i="45" s="1"/>
  <c r="B26" i="45"/>
  <c r="C26" i="45" s="1"/>
  <c r="L26" i="45" s="1"/>
  <c r="L1" i="45"/>
  <c r="C12" i="45"/>
  <c r="L12" i="45" s="1"/>
  <c r="L96" i="36"/>
  <c r="L86" i="36"/>
  <c r="L91" i="36"/>
  <c r="L99" i="36"/>
  <c r="L90" i="36"/>
  <c r="L100" i="36"/>
  <c r="L66" i="45" l="1"/>
  <c r="C9" i="45"/>
  <c r="L9" i="45" s="1"/>
  <c r="L4" i="45"/>
  <c r="C8" i="45"/>
  <c r="L8" i="45" s="1"/>
  <c r="C7" i="45" a="1"/>
  <c r="C7" i="45"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9" i="45" l="1"/>
  <c r="L19" i="45" s="1"/>
  <c r="L7" i="45"/>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R87" i="7" s="1"/>
  <c r="AK86" i="7"/>
  <c r="AI86" i="7"/>
  <c r="AM86" i="7" s="1"/>
  <c r="AD86" i="7"/>
  <c r="AB86" i="7"/>
  <c r="AC86" i="7" s="1"/>
  <c r="W86" i="7"/>
  <c r="U86" i="7"/>
  <c r="T86" i="7" s="1"/>
  <c r="P86" i="7"/>
  <c r="N86" i="7"/>
  <c r="AK85" i="7"/>
  <c r="AI85" i="7"/>
  <c r="AD85" i="7"/>
  <c r="AB85" i="7"/>
  <c r="AC85" i="7" s="1"/>
  <c r="W85" i="7"/>
  <c r="U85" i="7"/>
  <c r="Z85" i="7" s="1"/>
  <c r="P85" i="7"/>
  <c r="N85" i="7"/>
  <c r="R85" i="7" s="1"/>
  <c r="M85" i="7"/>
  <c r="AK84" i="7"/>
  <c r="AI84" i="7"/>
  <c r="AM84" i="7" s="1"/>
  <c r="AD84" i="7"/>
  <c r="AB84" i="7"/>
  <c r="AE84" i="7" s="1"/>
  <c r="W84" i="7"/>
  <c r="U84" i="7"/>
  <c r="Y84" i="7" s="1"/>
  <c r="P84" i="7"/>
  <c r="N84" i="7"/>
  <c r="O84" i="7" s="1"/>
  <c r="AK83" i="7"/>
  <c r="AI83" i="7"/>
  <c r="AJ83" i="7" s="1"/>
  <c r="AD83" i="7"/>
  <c r="AB83" i="7"/>
  <c r="AG83" i="7" s="1"/>
  <c r="W83" i="7"/>
  <c r="U83" i="7"/>
  <c r="P83" i="7"/>
  <c r="N83" i="7"/>
  <c r="R83" i="7" s="1"/>
  <c r="AK81" i="7"/>
  <c r="AI81" i="7"/>
  <c r="AN81" i="7" s="1"/>
  <c r="AD81" i="7"/>
  <c r="AB81" i="7"/>
  <c r="AF81" i="7" s="1"/>
  <c r="W81" i="7"/>
  <c r="U81" i="7"/>
  <c r="X81" i="7" s="1"/>
  <c r="P81" i="7"/>
  <c r="N81" i="7"/>
  <c r="R81" i="7" s="1"/>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R73" i="7" s="1"/>
  <c r="L73" i="7"/>
  <c r="AK72" i="7"/>
  <c r="AI72" i="7"/>
  <c r="AM72" i="7" s="1"/>
  <c r="AD72" i="7"/>
  <c r="AB72" i="7"/>
  <c r="AF72" i="7" s="1"/>
  <c r="W72" i="7"/>
  <c r="U72" i="7"/>
  <c r="T72" i="7" s="1"/>
  <c r="P72" i="7"/>
  <c r="N72" i="7"/>
  <c r="R72" i="7" s="1"/>
  <c r="L72" i="7"/>
  <c r="AK71" i="7"/>
  <c r="AI71" i="7"/>
  <c r="AM71" i="7" s="1"/>
  <c r="AD71" i="7"/>
  <c r="AB71" i="7"/>
  <c r="AA71" i="7" s="1"/>
  <c r="W71" i="7"/>
  <c r="U71" i="7"/>
  <c r="Y71" i="7" s="1"/>
  <c r="P71" i="7"/>
  <c r="N71" i="7"/>
  <c r="R71" i="7" s="1"/>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R62" i="7" s="1"/>
  <c r="M62" i="7"/>
  <c r="L62" i="7"/>
  <c r="AK61" i="7"/>
  <c r="AI61" i="7"/>
  <c r="AM61" i="7" s="1"/>
  <c r="AD61" i="7"/>
  <c r="AB61" i="7"/>
  <c r="W61" i="7"/>
  <c r="U61" i="7"/>
  <c r="V61" i="7" s="1"/>
  <c r="P61" i="7"/>
  <c r="N61" i="7"/>
  <c r="R61" i="7" s="1"/>
  <c r="AK59" i="7"/>
  <c r="AI59" i="7"/>
  <c r="AN59" i="7" s="1"/>
  <c r="AD59" i="7"/>
  <c r="AB59" i="7"/>
  <c r="W59" i="7"/>
  <c r="U59" i="7"/>
  <c r="Y59" i="7" s="1"/>
  <c r="T59" i="7"/>
  <c r="P59" i="7"/>
  <c r="N59" i="7"/>
  <c r="R59" i="7" s="1"/>
  <c r="L59" i="7"/>
  <c r="AK58" i="7"/>
  <c r="AI58" i="7"/>
  <c r="AD58" i="7"/>
  <c r="AB58" i="7"/>
  <c r="AF58" i="7" s="1"/>
  <c r="W58" i="7"/>
  <c r="U58" i="7"/>
  <c r="Y58" i="7" s="1"/>
  <c r="P58" i="7"/>
  <c r="N58" i="7"/>
  <c r="M58" i="7" s="1"/>
  <c r="L58" i="7"/>
  <c r="AK57" i="7"/>
  <c r="AI57" i="7"/>
  <c r="AH57" i="7" s="1"/>
  <c r="AD57" i="7"/>
  <c r="AB57" i="7"/>
  <c r="W57" i="7"/>
  <c r="U57" i="7"/>
  <c r="T57" i="7" s="1"/>
  <c r="P57" i="7"/>
  <c r="N57" i="7"/>
  <c r="R57" i="7" s="1"/>
  <c r="L57" i="7"/>
  <c r="AK56" i="7"/>
  <c r="AI56" i="7"/>
  <c r="AM56" i="7" s="1"/>
  <c r="AD56" i="7"/>
  <c r="AB56" i="7"/>
  <c r="AF56" i="7" s="1"/>
  <c r="W56" i="7"/>
  <c r="U56" i="7"/>
  <c r="Y56" i="7" s="1"/>
  <c r="P56" i="7"/>
  <c r="N56" i="7"/>
  <c r="R56" i="7" s="1"/>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R54" i="7" s="1"/>
  <c r="L54" i="7"/>
  <c r="AK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R50" i="7" s="1"/>
  <c r="L50" i="7"/>
  <c r="AK49" i="7"/>
  <c r="AI49" i="7"/>
  <c r="AM49" i="7" s="1"/>
  <c r="AD49" i="7"/>
  <c r="AB49" i="7"/>
  <c r="AF49" i="7" s="1"/>
  <c r="W49" i="7"/>
  <c r="U49" i="7"/>
  <c r="Z49" i="7" s="1"/>
  <c r="P49" i="7"/>
  <c r="N49" i="7"/>
  <c r="R49" i="7" s="1"/>
  <c r="L49" i="7"/>
  <c r="AK48" i="7"/>
  <c r="AI48" i="7"/>
  <c r="AM48" i="7" s="1"/>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R46" i="7" s="1"/>
  <c r="L46" i="7"/>
  <c r="AK45" i="7"/>
  <c r="AI45" i="7"/>
  <c r="AM45" i="7" s="1"/>
  <c r="AD45" i="7"/>
  <c r="AB45" i="7"/>
  <c r="AF45" i="7" s="1"/>
  <c r="W45" i="7"/>
  <c r="U45" i="7"/>
  <c r="V45" i="7" s="1"/>
  <c r="P45" i="7"/>
  <c r="N45" i="7"/>
  <c r="R45" i="7" s="1"/>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R42" i="7" s="1"/>
  <c r="L42"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AF70" i="7" l="1"/>
  <c r="T49" i="7"/>
  <c r="AN84" i="7"/>
  <c r="AL84" i="7"/>
  <c r="V57" i="7"/>
  <c r="AG44" i="7"/>
  <c r="AG58" i="7"/>
  <c r="AG45" i="7"/>
  <c r="Q87" i="7"/>
  <c r="AM66" i="7"/>
  <c r="V84" i="7"/>
  <c r="O46" i="7"/>
  <c r="X84" i="7"/>
  <c r="V74" i="7"/>
  <c r="AM30" i="7"/>
  <c r="V65" i="7"/>
  <c r="O35" i="7"/>
  <c r="AL41" i="7"/>
  <c r="R66"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Y61" i="7"/>
  <c r="AC69" i="7"/>
  <c r="AJ74" i="7"/>
  <c r="AE89" i="7"/>
  <c r="AJ53" i="7"/>
  <c r="AJ65" i="7"/>
  <c r="AL88" i="7"/>
  <c r="Q31" i="7"/>
  <c r="O71" i="7"/>
  <c r="V80" i="7"/>
  <c r="AJ34" i="7"/>
  <c r="AL71" i="7"/>
  <c r="X80" i="7"/>
  <c r="AC66" i="7"/>
  <c r="AJ57" i="7"/>
  <c r="AG37" i="7"/>
  <c r="X43" i="7"/>
  <c r="Z61" i="7"/>
  <c r="O64" i="7"/>
  <c r="AH80" i="7"/>
  <c r="AG89" i="7"/>
  <c r="AL33" i="7"/>
  <c r="AM44" i="7"/>
  <c r="R58" i="7"/>
  <c r="O42" i="7"/>
  <c r="AE36" i="7"/>
  <c r="S42" i="7"/>
  <c r="AN88" i="7"/>
  <c r="AM88" i="7"/>
  <c r="Y64" i="7"/>
  <c r="AM87" i="7"/>
  <c r="AC46" i="7"/>
  <c r="Y55" i="7"/>
  <c r="AN61" i="7"/>
  <c r="Z72" i="7"/>
  <c r="R75" i="7"/>
  <c r="S85" i="7"/>
  <c r="Y67" i="7"/>
  <c r="X30" i="7"/>
  <c r="V33" i="7"/>
  <c r="X38" i="7"/>
  <c r="AF46" i="7"/>
  <c r="AF55" i="7"/>
  <c r="AG72" i="7"/>
  <c r="AF78" i="7"/>
  <c r="AA85" i="7"/>
  <c r="AF36" i="7"/>
  <c r="V86" i="7"/>
  <c r="V39" i="7"/>
  <c r="AC68" i="7"/>
  <c r="X86" i="7"/>
  <c r="AJ50" i="7"/>
  <c r="O58" i="7"/>
  <c r="V72" i="7"/>
  <c r="X72" i="7"/>
  <c r="AL61"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R51"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1" i="7"/>
  <c r="AA84" i="7"/>
  <c r="Y87" i="7"/>
  <c r="R88" i="7"/>
  <c r="AH90" i="7"/>
  <c r="AN45" i="7"/>
  <c r="S48" i="7"/>
  <c r="Z57" i="7"/>
  <c r="AN57" i="7"/>
  <c r="R68" i="7"/>
  <c r="AE71" i="7"/>
  <c r="S77" i="7"/>
  <c r="AG77" i="7"/>
  <c r="AE79" i="7"/>
  <c r="AE85" i="7"/>
  <c r="R90" i="7"/>
  <c r="V31" i="7"/>
  <c r="AJ45" i="7"/>
  <c r="X36" i="7"/>
  <c r="AJ30" i="7"/>
  <c r="R31" i="7"/>
  <c r="Z31" i="7"/>
  <c r="Z32" i="7"/>
  <c r="AJ33" i="7"/>
  <c r="T34" i="7"/>
  <c r="AM35" i="7"/>
  <c r="Y36" i="7"/>
  <c r="Q37" i="7"/>
  <c r="AE39" i="7"/>
  <c r="Q50" i="7"/>
  <c r="AJ61"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3" i="7"/>
  <c r="AG85" i="7"/>
  <c r="R89" i="7"/>
  <c r="O56" i="7"/>
  <c r="AH51" i="7"/>
  <c r="Q66" i="7"/>
  <c r="AM67" i="7"/>
  <c r="Q75" i="7"/>
  <c r="AA77" i="7"/>
  <c r="AH89" i="7"/>
  <c r="AC38" i="7"/>
  <c r="AC40" i="7"/>
  <c r="AC76" i="7"/>
  <c r="V47" i="7"/>
  <c r="O52" i="7"/>
  <c r="AJ80" i="7"/>
  <c r="Y85" i="7"/>
  <c r="AE87"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1" i="7"/>
  <c r="AE81" i="7"/>
  <c r="Z86" i="7"/>
  <c r="AN86" i="7"/>
  <c r="AM89" i="7"/>
  <c r="X90" i="7"/>
  <c r="AJ47" i="7"/>
  <c r="V51" i="7"/>
  <c r="AC56" i="7"/>
  <c r="AC73" i="7"/>
  <c r="AG33" i="7"/>
  <c r="AG38" i="7"/>
  <c r="AF43" i="7"/>
  <c r="R52"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3" i="7"/>
  <c r="Z83" i="7"/>
  <c r="Y83" i="7"/>
  <c r="X83" i="7"/>
  <c r="V83"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6" i="7"/>
  <c r="S86" i="7"/>
  <c r="R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R84"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L87" i="7" l="1"/>
  <c r="L85" i="7"/>
  <c r="L88" i="7"/>
  <c r="L84" i="7"/>
  <c r="L89" i="7"/>
  <c r="L98" i="8"/>
  <c r="L94" i="8"/>
  <c r="L102" i="8"/>
  <c r="C9" i="8"/>
  <c r="L9" i="8" s="1"/>
  <c r="C8" i="8"/>
  <c r="L8" i="8" s="1"/>
  <c r="L4" i="8"/>
  <c r="C7" i="8" a="1"/>
  <c r="C7" i="8" s="1"/>
  <c r="L86" i="7"/>
  <c r="L90"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0" i="7" s="1"/>
  <c r="L10" i="7" s="1"/>
  <c r="C1" i="36" a="1"/>
  <c r="L1" i="7" l="1"/>
  <c r="C8" i="7" s="1"/>
  <c r="L8" i="7" s="1"/>
  <c r="C11" i="7"/>
  <c r="L11" i="7" s="1"/>
  <c r="B26" i="7"/>
  <c r="C26" i="7" s="1"/>
  <c r="L26" i="7" s="1"/>
  <c r="C12" i="7"/>
  <c r="L12" i="7" s="1"/>
  <c r="C16" i="7"/>
  <c r="L16" i="7" s="1"/>
  <c r="B27" i="7"/>
  <c r="C27" i="7" s="1"/>
  <c r="L27" i="7" s="1"/>
  <c r="C1" i="36"/>
  <c r="C11" i="36" s="1"/>
  <c r="L11" i="36" s="1"/>
  <c r="B27" i="36" l="1"/>
  <c r="C27" i="36" s="1"/>
  <c r="L27" i="36" s="1"/>
  <c r="B26" i="36"/>
  <c r="C26" i="36" s="1"/>
  <c r="L26" i="36" s="1"/>
  <c r="C16" i="36"/>
  <c r="L16" i="36" s="1"/>
  <c r="C12" i="36"/>
  <c r="L12" i="36" s="1"/>
  <c r="C10" i="36"/>
  <c r="L10" i="36" s="1"/>
  <c r="L1" i="36"/>
  <c r="L102" i="36" s="1"/>
  <c r="L4" i="7"/>
  <c r="L92" i="7"/>
  <c r="C9" i="7"/>
  <c r="L9" i="7" s="1"/>
  <c r="C7" i="7" a="1"/>
  <c r="C7" i="7" s="1"/>
  <c r="L7" i="7"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94248-50A0-4464-83EB-84F28DC2C514}">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<sst xmlns="http://schemas.openxmlformats.org/spreadsheetml/2006/main" count="4651" uniqueCount="1069">
  <si>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</si>
  <si>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</si>
  <si>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</si>
  <si>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</si>
  <si>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</si>
  <si>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</si>
  <si>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</si>
  <si>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</si>
  <si>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</si>
  <si>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</si>
  <si>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</si>
  <si>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</si>
  <si>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</si>
  <si>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</si>
  <si>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</si>
  <si>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</si>
  <si>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</si>
  <si>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</si>
  <si>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</si>
  <si>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</si>
  <si>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</si>
  <si>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</si>
  <si>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</si>
  <si>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</si>
  <si>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</si>
  <si>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</si>
  <si>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</si>
  <si>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</si>
  <si>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</si>
  <si>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</si>
  <si>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</si>
  <si>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</si>
  <si>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</si>
  <si>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</si>
  <si>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</si>
  <si>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</si>
  <si>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</si>
  <si>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</si>
  <si>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</si>
  <si>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</si>
  <si>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</si>
  <si>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</si>
  <si>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</si>
  <si>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</si>
  <si>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</si>
  <si>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</si>
  <si>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</si>
  <si>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</si>
  <si>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</si>
  <si>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</si>
  <si>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</si>
  <si>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</si>
  <si>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</si>
  <si>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</si>
  <si>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</si>
  <si>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</si>
  <si>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</si>
  <si>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</si>
  <si>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</si>
  <si>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</si>
  <si>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</si>
  <si>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</si>
  <si>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</si>
  <si>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</si>
  <si>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</si>
  <si>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</si>
  <si>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</si>
  <si>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</si>
  <si>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</si>
  <si>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</si>
  <si>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</si>
  <si>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</si>
  <si>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</si>
  <si>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</si>
  <si>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</si>
  <si>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</si>
  <si>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</si>
  <si>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</si>
  <si>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</si>
  <si>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</si>
  <si>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</si>
  <si>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</si>
  <si>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</si>
  <si>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</si>
  <si>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</si>
  <si>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</si>
  <si>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</si>
  <si>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</si>
  <si>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</si>
  <si>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</si>
  <si>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</si>
  <si>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</si>
  <si>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</si>
  <si>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</si>
  <si>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</si>
  <si>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</si>
  <si>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</si>
  <si>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</si>
  <si>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</si>
  <si>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</si>
  <si>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</si>
  <si>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</si>
  <si>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</si>
  <si>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</si>
  <si>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</si>
  <si>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</si>
  <si>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</si>
  <si>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</si>
  <si>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</si>
  <si>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</si>
  <si>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</si>
  <si>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</si>
  <si>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</si>
  <si>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</si>
  <si>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</si>
  <si>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</si>
  <si>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</si>
  <si>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</si>
  <si>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</si>
  <si>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</si>
  <si>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</si>
  <si>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</si>
  <si>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</si>
  <si>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</si>
  <si>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</si>
  <si>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</si>
  <si>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</si>
  <si>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</si>
  <si>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</si>
  <si>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</si>
  <si>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</si>
  <si>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</si>
  <si>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</si>
  <si>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</si>
  <si>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</si>
  <si>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</si>
  <si>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</si>
  <si>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</si>
  <si>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</si>
  <si>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</si>
  <si>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</si>
  <si>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</si>
  <si>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</si>
  <si>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</si>
  <si>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</si>
  <si>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</si>
  <si>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</si>
  <si>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</si>
  <si>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</si>
  <si>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</si>
  <si>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</si>
  <si>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</si>
  <si>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</si>
  <si>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</si>
  <si>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</si>
  <si>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</si>
  <si>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</si>
  <si>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</si>
  <si>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</si>
  <si>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</si>
  <si>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</si>
  <si>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</si>
  <si>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</si>
  <si>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</si>
  <si>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</si>
  <si>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</si>
  <si>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</si>
  <si>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</si>
  <si>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</si>
  <si>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</si>
  <si>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</si>
  <si>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</si>
  <si>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</si>
  <si>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</si>
  <si>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</si>
  <si>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</si>
  <si>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</si>
  <si>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</si>
  <si>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</si>
  <si>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</si>
  <si>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</si>
  <si>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</si>
  <si>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</si>
  <si>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</si>
  <si>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</si>
  <si>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</si>
  <si>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</si>
  <si>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</si>
  <si>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</si>
  <si>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</si>
  <si>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</si>
  <si>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</si>
  <si>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</si>
  <si>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</si>
  <si>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</si>
  <si>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</si>
  <si>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</si>
  <si>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</si>
  <si>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</si>
  <si>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</si>
  <si>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</si>
  <si>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</si>
  <si>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</si>
  <si>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</si>
  <si>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</si>
  <si>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</si>
  <si>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</si>
  <si>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</si>
  <si>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</si>
  <si>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</si>
  <si>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</si>
  <si>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</si>
  <si>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</si>
  <si>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</si>
  <si>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</si>
  <si>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</si>
  <si>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</si>
  <si>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</si>
  <si>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</si>
  <si>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</si>
  <si>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</si>
  <si>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</si>
  <si>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</si>
  <si>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</si>
  <si>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</si>
  <si>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</si>
  <si>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</si>
  <si>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</si>
  <si>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</si>
  <si>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</si>
  <si>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</si>
  <si>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</si>
  <si>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</si>
  <si>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</si>
  <si>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</si>
  <si>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</si>
  <si>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</si>
  <si>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</si>
  <si>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</si>
  <si>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</si>
  <si>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</si>
  <si>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</si>
  <si>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</si>
  <si>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</si>
  <si>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</si>
  <si>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</si>
  <si>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</si>
  <si>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</si>
  <si>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</si>
  <si>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</si>
  <si>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</si>
  <si>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</si>
  <si>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</si>
  <si>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</si>
  <si>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</si>
  <si>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</si>
  <si>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</si>
  <si>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</si>
  <si>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</si>
  <si>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</si>
  <si>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</si>
  <si>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</si>
  <si>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</si>
  <si>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</si>
  <si>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</si>
  <si>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</si>
  <si>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</si>
  <si>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</si>
  <si>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</si>
  <si>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</si>
  <si>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</si>
  <si>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</si>
  <si>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</si>
  <si>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</si>
  <si>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</si>
  <si>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</si>
  <si>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</si>
  <si>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</si>
  <si>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</si>
  <si>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</si>
  <si>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</si>
  <si>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</si>
  <si>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</si>
  <si>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</si>
  <si>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</si>
  <si>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</si>
  <si>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</si>
  <si>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</si>
  <si>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</si>
  <si>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</si>
  <si>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</si>
  <si>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</si>
  <si>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</si>
  <si>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</si>
  <si>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</si>
  <si>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</si>
  <si>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</si>
  <si>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</si>
  <si>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</si>
  <si>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</si>
  <si>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</si>
  <si>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</si>
  <si>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</si>
  <si>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</si>
  <si>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</si>
  <si>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</si>
  <si>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</si>
  <si>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</si>
  <si>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</si>
  <si>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</si>
  <si>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</si>
  <si>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</si>
  <si>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</si>
  <si>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</si>
  <si>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</si>
  <si>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</si>
  <si>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</si>
  <si>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</si>
  <si>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</si>
  <si>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</si>
  <si>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</si>
  <si>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</si>
  <si>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</si>
  <si>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</si>
  <si>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</si>
  <si>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</si>
  <si>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</si>
  <si>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</si>
  <si>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</si>
  <si>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</si>
  <si>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</si>
  <si>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</si>
  <si>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</si>
  <si>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</si>
  <si>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</si>
  <si>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</si>
  <si>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</si>
  <si>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</si>
  <si>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</si>
  <si>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</si>
  <si>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</si>
  <si>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</si>
  <si>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</si>
  <si>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</si>
  <si>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</si>
  <si>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</si>
  <si>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</si>
  <si>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</si>
  <si>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</si>
  <si>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</si>
  <si>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</si>
  <si>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</si>
  <si>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</si>
  <si>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</si>
  <si>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</si>
  <si>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</si>
  <si>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</si>
  <si>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</si>
  <si>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</si>
  <si>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</si>
  <si>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</si>
  <si>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</si>
  <si>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</si>
  <si>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</si>
  <si>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</si>
  <si>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</si>
  <si>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</si>
  <si>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</si>
  <si>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</si>
  <si>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</si>
  <si>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</si>
  <si>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</si>
  <si>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</si>
  <si>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</si>
  <si>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</si>
  <si>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</si>
  <si>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</si>
  <si>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</si>
  <si>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</si>
  <si>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</si>
  <si>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</si>
  <si>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</si>
  <si>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</si>
  <si>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</si>
  <si>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</si>
  <si>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</si>
  <si>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</si>
  <si>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</si>
  <si>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</si>
  <si>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</si>
  <si>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</si>
  <si>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</si>
  <si>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</si>
  <si>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</si>
  <si>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</si>
  <si>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</si>
  <si>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</si>
  <si>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</si>
  <si>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</si>
  <si>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</si>
  <si>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</si>
  <si>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</si>
  <si>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</si>
  <si>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</si>
  <si>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</si>
  <si>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</si>
  <si>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</si>
  <si>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</si>
  <si>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</si>
  <si>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</si>
  <si>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</si>
  <si>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</si>
  <si>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</si>
  <si>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</si>
  <si>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</si>
  <si>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</si>
  <si>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</si>
  <si>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</si>
  <si>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</si>
  <si>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</si>
  <si>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</si>
  <si>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</si>
  <si>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</si>
  <si>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</si>
  <si>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</si>
  <si>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</si>
  <si>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</si>
  <si>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</si>
  <si>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</si>
  <si>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</si>
  <si>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</si>
  <si>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</si>
  <si>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</si>
  <si>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</si>
  <si>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</si>
  <si>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</si>
  <si>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</si>
  <si>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</si>
  <si>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</si>
  <si>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</si>
  <si>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</si>
  <si>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</si>
  <si>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</si>
  <si>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</si>
  <si>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</si>
  <si>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</si>
  <si>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</si>
  <si>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</si>
  <si>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</si>
  <si>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</si>
  <si>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</si>
  <si>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</si>
  <si>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</si>
  <si>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</si>
  <si>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</si>
  <si>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</si>
  <si>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</si>
  <si>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</si>
  <si>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</si>
  <si>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</si>
  <si>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</si>
  <si>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</si>
  <si>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</si>
  <si>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</si>
  <si>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</si>
  <si>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</si>
  <si>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</si>
  <si>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</si>
  <si>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</si>
  <si>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</si>
  <si>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</si>
  <si>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</si>
  <si>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</si>
  <si>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</si>
  <si>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</si>
  <si>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</si>
  <si>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</si>
  <si>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</si>
  <si>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</si>
  <si>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</si>
  <si>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</si>
  <si>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</si>
  <si>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</si>
  <si>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</si>
  <si>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</si>
  <si>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</si>
  <si>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</si>
  <si>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</si>
  <si>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</si>
  <si>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</si>
  <si>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</si>
  <si>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</si>
  <si>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</si>
  <si>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</si>
  <si>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</si>
  <si>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</si>
  <si>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</si>
  <si>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</si>
  <si>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</si>
  <si>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</si>
  <si>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</si>
  <si>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</si>
  <si>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</si>
  <si>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</si>
  <si>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</si>
  <si>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</si>
  <si>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</si>
  <si>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</si>
  <si>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</si>
  <si>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</si>
  <si>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</si>
  <si>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</si>
  <si>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</si>
  <si>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</si>
  <si>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</si>
  <si>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</si>
  <si>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</si>
  <si>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</si>
  <si>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</si>
  <si>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</si>
  <si>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</si>
  <si>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</si>
  <si>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</si>
  <si>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</si>
  <si>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</si>
  <si>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</si>
  <si>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</si>
  <si>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</si>
  <si>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</si>
  <si>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</si>
  <si>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</si>
  <si>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</si>
  <si>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</si>
  <si>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</si>
  <si>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</si>
  <si>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</si>
  <si>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</si>
  <si>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</si>
  <si>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</si>
  <si>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</si>
  <si>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</si>
  <si>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</si>
  <si>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</si>
  <si>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</si>
  <si>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</si>
  <si>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</si>
  <si>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</si>
  <si>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</si>
  <si>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</si>
  <si>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</si>
  <si>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</si>
  <si>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</si>
  <si>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</si>
  <si>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</si>
  <si>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</si>
  <si>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</si>
  <si>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</si>
  <si>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</si>
  <si>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</si>
  <si>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</si>
  <si>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</si>
  <si>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</si>
  <si>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</si>
  <si>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</si>
  <si>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</si>
  <si>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</si>
  <si>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</si>
  <si>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</si>
  <si>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</si>
  <si>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</si>
  <si>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</si>
  <si>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</si>
  <si>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</si>
  <si>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</si>
  <si>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</si>
  <si>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</si>
  <si>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</si>
  <si>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</si>
  <si>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</si>
  <si>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</si>
  <si>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</si>
  <si>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</si>
  <si>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</si>
  <si>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</si>
  <si>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</si>
  <si>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</si>
  <si>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</si>
  <si>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</si>
  <si>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</si>
  <si>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</si>
  <si>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</si>
  <si>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</si>
  <si>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</si>
  <si>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</si>
  <si>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</si>
  <si>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</si>
  <si>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</si>
  <si>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</si>
  <si>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</si>
  <si>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</si>
  <si>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</si>
  <si>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</si>
  <si>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</si>
  <si>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</si>
  <si>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</si>
  <si>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</si>
  <si>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</si>
  <si>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</si>
  <si>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</si>
  <si>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</si>
  <si>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</si>
  <si>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</si>
  <si>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</si>
  <si>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</si>
  <si>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</si>
  <si>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</si>
  <si>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</si>
  <si>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</si>
  <si>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</si>
  <si>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</si>
  <si>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</si>
  <si>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</si>
  <si>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</si>
  <si>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</si>
  <si>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</si>
  <si>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</si>
  <si>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</si>
  <si>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</si>
  <si>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</si>
  <si>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</si>
  <si>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</si>
  <si>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</si>
  <si>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</si>
  <si>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</si>
  <si>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</si>
  <si>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</si>
  <si>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</si>
  <si>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</si>
  <si>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</si>
  <si>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</si>
  <si>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</si>
  <si>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</si>
  <si>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</si>
  <si>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</si>
  <si>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</si>
  <si>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</si>
  <si>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</si>
  <si>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</si>
  <si>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</si>
  <si>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</si>
  <si>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</si>
  <si>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</si>
  <si>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</si>
  <si>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</si>
  <si>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</si>
  <si>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</si>
  <si>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</si>
  <si>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</si>
  <si>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</si>
  <si>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</si>
  <si>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</si>
  <si>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</si>
  <si>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</si>
  <si>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</si>
  <si>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</si>
  <si>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</si>
  <si>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</si>
  <si>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</si>
  <si>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</si>
  <si>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</si>
  <si>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</si>
  <si>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</si>
  <si>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</si>
  <si>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</si>
  <si>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</si>
  <si>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</si>
  <si>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</si>
  <si>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</si>
  <si>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</si>
  <si>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</si>
  <si>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</si>
  <si>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</si>
  <si>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</si>
  <si>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</si>
  <si>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</si>
  <si>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</si>
  <si>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</si>
  <si>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</si>
  <si>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</si>
  <si>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</si>
  <si>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</si>
  <si>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</si>
  <si>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</si>
  <si>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</si>
  <si>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</si>
  <si>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</si>
  <si>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</si>
  <si>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</si>
  <si>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</si>
  <si>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</si>
  <si>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</si>
  <si>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</si>
  <si>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</si>
  <si>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</si>
  <si>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</si>
  <si>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</si>
  <si>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</si>
  <si>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</si>
  <si>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</si>
  <si>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</si>
  <si>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</si>
  <si>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</si>
  <si>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</si>
  <si>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</si>
  <si>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</si>
  <si>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</si>
  <si>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</si>
  <si>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</si>
  <si>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</si>
  <si>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</si>
  <si>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</si>
  <si>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</si>
  <si>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</si>
  <si>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</si>
  <si>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</si>
  <si>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</si>
  <si>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</si>
  <si>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</si>
  <si>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</si>
  <si>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</si>
  <si>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</si>
  <si>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</si>
  <si>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</si>
  <si>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</si>
  <si>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</si>
  <si>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</si>
  <si>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</si>
  <si>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</si>
  <si>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</si>
  <si>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</si>
  <si>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</si>
  <si>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</si>
  <si>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</si>
  <si>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</si>
  <si>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</si>
  <si>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</si>
  <si>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</si>
  <si>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</si>
  <si>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</si>
  <si>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</si>
  <si>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</si>
  <si>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</si>
  <si>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</si>
  <si>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</si>
  <si>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</si>
  <si>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</si>
  <si>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</si>
  <si>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</si>
  <si>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</si>
  <si>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</si>
  <si>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</si>
  <si>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</si>
  <si>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</si>
  <si>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</si>
  <si>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</si>
  <si>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</si>
  <si>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</si>
  <si>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</si>
  <si>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</si>
  <si>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</si>
  <si>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</si>
  <si>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</si>
  <si>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</si>
  <si>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</si>
  <si>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</si>
  <si>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</si>
  <si>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</si>
  <si>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</si>
  <si>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</si>
  <si>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</si>
  <si>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</si>
  <si>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</si>
  <si>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</si>
  <si>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</si>
  <si>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</si>
  <si>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</si>
  <si>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</si>
  <si>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</si>
  <si>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</si>
  <si>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</si>
  <si>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</si>
  <si>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</si>
  <si>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</si>
  <si>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</si>
  <si>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</si>
  <si>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</si>
  <si>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</si>
  <si>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</si>
  <si>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</si>
  <si>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</si>
  <si>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</si>
  <si>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</si>
  <si>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</si>
  <si>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</si>
  <si>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</si>
  <si>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</si>
  <si>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</si>
  <si>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</si>
  <si>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</si>
  <si>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</si>
  <si>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</si>
  <si>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</si>
  <si>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</si>
  <si>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</si>
  <si>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</si>
  <si>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</si>
  <si>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</si>
  <si>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</si>
  <si>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</si>
  <si>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</si>
  <si>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</si>
  <si>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</si>
  <si>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</si>
  <si>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</si>
  <si>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</si>
  <si>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</si>
  <si>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</si>
  <si>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</si>
  <si>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</si>
  <si>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</si>
  <si>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</si>
  <si>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</si>
  <si>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</si>
  <si>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</si>
  <si>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</si>
  <si>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</si>
  <si>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</si>
  <si>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</si>
  <si>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</si>
  <si>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</si>
  <si>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</si>
  <si>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</si>
  <si>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</si>
  <si>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</si>
  <si>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</si>
  <si>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</si>
  <si>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</si>
  <si>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</si>
  <si>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</si>
  <si>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</si>
  <si>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</si>
  <si>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</si>
  <si>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</si>
  <si>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</si>
  <si>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</si>
  <si>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</si>
  <si>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</si>
  <si>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</si>
  <si>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</si>
  <si>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</si>
  <si>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</si>
  <si>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</si>
  <si>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</si>
  <si>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</si>
  <si>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</si>
  <si>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</si>
  <si>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</si>
  <si>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</si>
  <si>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</si>
  <si>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</si>
  <si>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</si>
  <si>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</si>
  <si>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</si>
  <si>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</si>
  <si>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</si>
  <si>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</si>
  <si>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</si>
  <si>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</si>
  <si>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</si>
  <si>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</si>
  <si>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</si>
  <si>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</si>
  <si>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</si>
  <si>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</si>
  <si>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</si>
  <si>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</si>
  <si>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</si>
  <si>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</si>
  <si>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</si>
  <si>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</si>
  <si>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</si>
  <si>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</si>
  <si>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</si>
  <si>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</si>
  <si>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</si>
  <si>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</si>
  <si>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</si>
  <si>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</si>
  <si>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</si>
  <si>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</si>
  <si>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</si>
  <si>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</si>
  <si>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</si>
  <si>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</si>
  <si>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</si>
  <si>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</si>
  <si>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</si>
  <si>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</si>
  <si>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</si>
  <si>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</si>
  <si>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</si>
  <si>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</si>
  <si>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</si>
  <si>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</si>
  <si>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</si>
  <si>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</si>
  <si>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</si>
  <si>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</si>
  <si>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</si>
  <si>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</si>
  <si>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</si>
  <si>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</si>
  <si>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</si>
  <si>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</si>
  <si>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</si>
  <si>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</si>
  <si>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</si>
  <si>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</si>
  <si>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</si>
  <si>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</si>
  <si>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</si>
  <si>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</si>
  <si>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</si>
  <si>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</si>
  <si>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</si>
  <si>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</si>
  <si>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</si>
  <si>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</si>
  <si>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</si>
  <si>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</si>
  <si>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</si>
  <si>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</si>
  <si>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</si>
  <si>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</si>
  <si>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</si>
  <si>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</si>
  <si>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</si>
  <si>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</si>
  <si>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</si>
  <si>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</si>
  <si>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</si>
  <si>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</si>
  <si>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</si>
  <si>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</si>
  <si>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</si>
  <si>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</si>
  <si>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</si>
  <si>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</si>
  <si>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</si>
  <si>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</si>
  <si>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</si>
  <si>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</si>
  <si>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</si>
  <si>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</si>
  <si>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</si>
  <si>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</si>
  <si>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</si>
  <si>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</si>
  <si>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</si>
  <si>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</si>
  <si>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</si>
  <si>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</si>
  <si>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</si>
  <si>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</si>
  <si>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</si>
  <si>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</si>
  <si>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</si>
  <si>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</si>
  <si>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</si>
  <si>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</si>
  <si>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</si>
  <si>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</si>
  <si>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</si>
  <si>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</si>
  <si>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</si>
  <si>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</si>
  <si>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</si>
  <si>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</si>
  <si>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</si>
  <si>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</si>
  <si>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</si>
  <si>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</si>
  <si>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</si>
  <si>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</si>
  <si>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</si>
  <si>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</si>
  <si>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</si>
  <si>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</si>
  <si>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</si>
  <si>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</si>
  <si>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</si>
  <si>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</si>
  <si>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</si>
  <si>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</si>
  <si>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</si>
  <si>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</si>
  <si>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</si>
  <si>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</si>
  <si>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</si>
  <si>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</si>
  <si>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</si>
  <si>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</si>
  <si>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</si>
  <si>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</si>
  <si>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</si>
  <si>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</si>
  <si>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</si>
  <si>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</si>
  <si>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</si>
  <si>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</si>
  <si>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</si>
  <si>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</si>
  <si>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</si>
  <si>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</si>
  <si>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</si>
  <si>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</si>
  <si>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</si>
  <si>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</si>
  <si>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</si>
  <si>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</si>
  <si>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</si>
  <si>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</si>
  <si>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</si>
  <si>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</si>
  <si>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</si>
  <si>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</si>
  <si>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</si>
  <si>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</si>
  <si>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</si>
  <si>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</si>
  <si>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</si>
  <si>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</si>
  <si>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</si>
  <si>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</si>
  <si>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</si>
  <si>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</si>
  <si>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</si>
  <si>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</si>
  <si>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HACIA TI, MORADA SANTA,</t>
  </si>
  <si>
    <t>HACIA TI, TIERRA DEL SALVADOR,</t>
  </si>
  <si>
    <t>PEREGRINOS, CAMINANTES,</t>
  </si>
  <si>
    <t>VAMOS HACIA TI.</t>
  </si>
  <si>
    <t>Venimos a tu mesa,</t>
  </si>
  <si>
    <t>sellaremos tu pacto,</t>
  </si>
  <si>
    <t>comeremos tu carne,</t>
  </si>
  <si>
    <t>tu sangre nos limpiará.</t>
  </si>
  <si>
    <t>Reinaremos contigo</t>
  </si>
  <si>
    <t>en tu morada santa,</t>
  </si>
  <si>
    <t>beberemos tu sangre,</t>
  </si>
  <si>
    <t>tu Fe nos salvará.</t>
  </si>
  <si>
    <t>HACIA TI, MORADA SANTA,...</t>
  </si>
  <si>
    <t>Somos tu pueblo santo,</t>
  </si>
  <si>
    <t>que hoy camina unido,</t>
  </si>
  <si>
    <t>tú vas entre nosotros,</t>
  </si>
  <si>
    <t>tu amor nos guiará.</t>
  </si>
  <si>
    <t>Tú eres el Camino,</t>
  </si>
  <si>
    <t>tú eres la esperanza,</t>
  </si>
  <si>
    <t>hermano de los pobres.</t>
  </si>
  <si>
    <t>Amén. Aleluya.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</si>
</sst>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8EF8C4-71E4-479F-80F9-A5AA11438F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3C0150C-A431-42B1-ACAB-97F97CB619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97F11E81-5CC7-4469-8BA9-8110069E458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B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1020</v>
      </c>
    </row>
    <row r="3" spans="1:1" ht="58" x14ac:dyDescent="0.35">
      <c r="A3" s="102" t="s">
        <v>1021</v>
      </c>
    </row>
    <row r="5" spans="1:1" x14ac:dyDescent="0.35">
      <c r="A5" t="s">
        <v>1022</v>
      </c>
    </row>
    <row r="6" spans="1:1" ht="72.5" x14ac:dyDescent="0.3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2" t="str" cm="1">
        <f t="array" aca="1" ref="B1" ca="1">MID(CELL("filename", B1), FIND("]", CELL("filename", B1)) + 1, 255)</f>
        <v>Indice</v>
      </c>
      <c r="C1" s="112"/>
      <c r="D1" s="112"/>
      <c r="E1" s="112"/>
      <c r="F1" s="36"/>
      <c r="G1" s="113"/>
      <c r="H1" s="113"/>
    </row>
    <row r="2" spans="1:8" ht="26.15" customHeight="1" x14ac:dyDescent="0.7">
      <c r="A2" s="37" t="s">
        <v>1019</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1025</v>
      </c>
      <c r="B8" s="37"/>
      <c r="C8" s="37"/>
      <c r="D8" s="37"/>
      <c r="E8" s="37"/>
      <c r="F8" s="38"/>
      <c r="G8" s="38"/>
      <c r="H8" s="38"/>
    </row>
    <row r="9" spans="1:8" ht="26.15" customHeight="1" x14ac:dyDescent="0.7">
      <c r="A9" s="37" t="s">
        <v>1026</v>
      </c>
      <c r="B9" s="37"/>
      <c r="C9" s="37"/>
      <c r="D9" s="37"/>
      <c r="E9" s="37"/>
      <c r="F9" s="38"/>
      <c r="G9" s="38"/>
      <c r="H9" s="38"/>
    </row>
    <row r="10" spans="1:8" ht="26.15" customHeight="1" x14ac:dyDescent="0.7">
      <c r="A10" s="37" t="s">
        <v>1027</v>
      </c>
      <c r="B10" s="37"/>
      <c r="C10" s="37"/>
      <c r="D10" s="37"/>
      <c r="E10" s="38"/>
      <c r="F10" s="38"/>
      <c r="G10" s="38"/>
      <c r="H10" s="38"/>
    </row>
    <row r="11" spans="1:8" ht="26.15" customHeight="1" x14ac:dyDescent="0.7">
      <c r="A11" s="37" t="s">
        <v>1028</v>
      </c>
      <c r="B11" s="37"/>
      <c r="C11" s="37"/>
      <c r="D11" s="37"/>
      <c r="E11" s="38"/>
      <c r="F11" s="38"/>
      <c r="G11" s="38"/>
      <c r="H11" s="38"/>
    </row>
    <row r="12" spans="1:8" ht="26.15" customHeight="1" x14ac:dyDescent="0.7">
      <c r="A12" s="37" t="s">
        <v>1029</v>
      </c>
      <c r="B12" s="37"/>
      <c r="C12" s="37"/>
      <c r="D12" s="37"/>
      <c r="E12" s="38"/>
      <c r="F12" s="38"/>
      <c r="G12" s="38"/>
      <c r="H12" s="38"/>
    </row>
    <row r="13" spans="1:8" ht="26.15" customHeight="1" x14ac:dyDescent="0.7">
      <c r="A13" s="37" t="s">
        <v>1030</v>
      </c>
      <c r="B13" s="37"/>
      <c r="C13" s="37"/>
      <c r="D13" s="37"/>
      <c r="E13" s="38"/>
      <c r="F13" s="38"/>
      <c r="G13" s="38"/>
      <c r="H13" s="38"/>
    </row>
    <row r="14" spans="1:8" ht="26.15" customHeight="1" x14ac:dyDescent="0.7">
      <c r="A14" s="37" t="s">
        <v>1031</v>
      </c>
      <c r="B14" s="37"/>
      <c r="C14" s="37"/>
      <c r="D14" s="37"/>
      <c r="E14" s="38"/>
      <c r="F14" s="38"/>
      <c r="G14" s="38"/>
      <c r="H14" s="38"/>
    </row>
    <row r="15" spans="1:8" ht="26.15" customHeight="1" x14ac:dyDescent="0.7">
      <c r="A15" s="37" t="s">
        <v>1032</v>
      </c>
      <c r="B15" s="37"/>
      <c r="C15" s="37"/>
      <c r="D15" s="37"/>
      <c r="E15" s="38"/>
      <c r="F15" s="38"/>
      <c r="G15" s="38"/>
      <c r="H15" s="38"/>
    </row>
    <row r="16" spans="1:8" ht="26.15" customHeight="1" x14ac:dyDescent="0.7">
      <c r="A16" s="37" t="s">
        <v>1033</v>
      </c>
      <c r="B16" s="37"/>
      <c r="C16" s="37"/>
      <c r="D16" s="37"/>
      <c r="E16" s="38"/>
      <c r="F16" s="38"/>
      <c r="G16" s="38"/>
      <c r="H16" s="38"/>
    </row>
    <row r="17" spans="1:8" ht="26.15" customHeight="1" x14ac:dyDescent="0.7">
      <c r="A17" s="37" t="s">
        <v>1034</v>
      </c>
      <c r="B17" s="37"/>
      <c r="C17" s="37"/>
      <c r="D17" s="37"/>
      <c r="E17" s="38"/>
      <c r="F17" s="38"/>
      <c r="G17" s="38"/>
      <c r="H17" s="38"/>
    </row>
    <row r="18" spans="1:8" ht="26.15" customHeight="1" x14ac:dyDescent="0.7">
      <c r="A18" s="37" t="s">
        <v>1035</v>
      </c>
      <c r="B18" s="37"/>
      <c r="C18" s="37"/>
      <c r="D18" s="37"/>
      <c r="E18" s="38"/>
      <c r="F18" s="38"/>
      <c r="G18" s="38"/>
      <c r="H18" s="38"/>
    </row>
    <row r="19" spans="1:8" ht="26.15" customHeight="1" x14ac:dyDescent="0.7">
      <c r="A19" s="37" t="s">
        <v>1036</v>
      </c>
      <c r="B19" s="37"/>
      <c r="C19" s="37"/>
      <c r="D19" s="37"/>
      <c r="E19" s="38"/>
      <c r="F19" s="38"/>
      <c r="G19" s="38"/>
      <c r="H19" s="38"/>
    </row>
    <row r="20" spans="1:8" ht="25" x14ac:dyDescent="0.7">
      <c r="A20" s="37" t="s">
        <v>1037</v>
      </c>
      <c r="B20" s="37"/>
      <c r="C20" s="37"/>
      <c r="D20" s="37"/>
      <c r="E20" s="37"/>
      <c r="F20" s="37"/>
      <c r="G20" s="37"/>
      <c r="H20" s="37"/>
    </row>
    <row r="21" spans="1:8" ht="25" x14ac:dyDescent="0.7">
      <c r="A21" s="37" t="s">
        <v>1038</v>
      </c>
      <c r="B21" s="37"/>
      <c r="C21" s="37"/>
      <c r="D21" s="37"/>
      <c r="E21" s="37"/>
      <c r="F21" s="37"/>
      <c r="G21" s="37"/>
      <c r="H21" s="37"/>
    </row>
    <row r="22" spans="1:8" ht="25" x14ac:dyDescent="0.7">
      <c r="A22" s="37" t="s">
        <v>1039</v>
      </c>
      <c r="B22" s="37"/>
      <c r="C22" s="37"/>
      <c r="D22" s="37"/>
      <c r="E22" s="37"/>
      <c r="F22" s="37"/>
      <c r="G22" s="37"/>
      <c r="H22" s="37"/>
    </row>
    <row r="23" spans="1:8" ht="25" x14ac:dyDescent="0.7">
      <c r="A23" s="37" t="s">
        <v>1040</v>
      </c>
      <c r="B23" s="37"/>
      <c r="C23" s="37"/>
      <c r="D23" s="37"/>
      <c r="E23" s="37"/>
      <c r="F23" s="37"/>
      <c r="G23" s="37"/>
      <c r="H23" s="37"/>
    </row>
    <row r="24" spans="1:8" ht="25" x14ac:dyDescent="0.7">
      <c r="A24" s="37" t="s">
        <v>1041</v>
      </c>
      <c r="B24" s="37"/>
      <c r="C24" s="37"/>
      <c r="D24" s="37"/>
      <c r="E24" s="37"/>
      <c r="F24" s="37"/>
      <c r="G24" s="37"/>
      <c r="H24" s="37"/>
    </row>
    <row r="25" spans="1:8" ht="25" x14ac:dyDescent="0.7">
      <c r="A25" s="37" t="s">
        <v>1044</v>
      </c>
      <c r="B25" s="37"/>
      <c r="C25" s="37"/>
      <c r="D25" s="37"/>
      <c r="E25" s="37"/>
      <c r="F25" s="37"/>
      <c r="G25" s="37"/>
      <c r="H25" s="37"/>
    </row>
    <row r="26" spans="1:8" ht="25" x14ac:dyDescent="0.7">
      <c r="A26" s="37" t="s">
        <v>1018</v>
      </c>
      <c r="B26" s="37"/>
      <c r="C26" s="37"/>
      <c r="D26" s="37"/>
      <c r="E26" s="37"/>
      <c r="F26" s="37"/>
      <c r="G26" s="37"/>
      <c r="H26" s="37"/>
    </row>
    <row r="27" spans="1:8" ht="25" x14ac:dyDescent="0.7">
      <c r="A27" s="37" t="s">
        <v>1045</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1024</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1043</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4" t="s">
        <v>969</v>
      </c>
      <c r="E1" s="114"/>
      <c r="F1" s="114"/>
      <c r="G1" s="114"/>
      <c r="H1" s="114"/>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78</v>
      </c>
      <c r="E1" s="40"/>
      <c r="F1" s="40"/>
      <c r="G1" s="40"/>
      <c r="H1" s="40"/>
      <c r="I1" s="40"/>
      <c r="J1" s="40"/>
      <c r="K1" s="40"/>
      <c r="L1" s="41" t="str">
        <f>VLOOKUP(C1,'[1]Codigo Canto'!A3:AQ236,38,FALSE)</f>
        <v>GRITAD JUBILOSOS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GRITAD JUBILOSOS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 x14ac:dyDescent="0.35">
      <c r="C8" t="str">
        <f>PROPER(L1)</f>
        <v>Gritad Jubilosos</v>
      </c>
      <c r="L8" s="48" t="str">
        <f>_xlfn.CONCAT("        tt: ","""",C8,"""",",")</f>
        <v xml:space="preserve">        tt: "Gritad Jubilosos",</v>
      </c>
    </row>
    <row r="9" spans="2:32" ht="23" x14ac:dyDescent="0.35">
      <c r="C9" t="str">
        <f>PROPER(L1)</f>
        <v>Gritad Jubilosos</v>
      </c>
      <c r="L9" s="48" t="str">
        <f>_xlfn.CONCAT("        title: ","""",C9,"""",",")</f>
        <v xml:space="preserve">        title: "Gritad Jubilosos",</v>
      </c>
    </row>
    <row r="10" spans="2:32" ht="23" x14ac:dyDescent="0.35">
      <c r="C10" t="str">
        <f>VLOOKUP(C1,'[1]Codigo Canto'!A3:AQ236,12,FALSE)</f>
        <v>Isaías 12,1ss</v>
      </c>
      <c r="L10" s="48" t="str">
        <f>_xlfn.CONCAT("        ","subtitle: ","""",C10,"""",",")</f>
        <v xml:space="preserve">        subtitle: "Isaías 12,1ss",</v>
      </c>
    </row>
    <row r="11" spans="2:32" ht="23" x14ac:dyDescent="0.3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78</v>
      </c>
      <c r="L16" s="48" t="str">
        <f>_xlfn.CONCAT("        dbno: ","""",C16,"""",",")</f>
        <v xml:space="preserve">        dbno: "78",</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gritadjubilosos</v>
      </c>
      <c r="L19" s="48" t="str">
        <f>_xlfn.CONCAT("        audioSrc: ","""/audio/",C19,".mp3""",",")</f>
        <v xml:space="preserve">        audioSrc: "/audio/gritadjubilosos.mp3",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77</v>
      </c>
      <c r="C26" t="str">
        <f>VLOOKUP(B26,[1]Buscador!A3:AP240,31,FALSE)</f>
        <v>/resucito/src/index.html?canto=graciasayahveh</v>
      </c>
      <c r="L26" s="48" t="str">
        <f>_xlfn.CONCAT("        ant: ","""",C26,"""",",")</f>
        <v xml:space="preserve">        ant: "/resucito/src/index.html?canto=graciasayahveh",</v>
      </c>
    </row>
    <row r="27" spans="2:40" ht="23" x14ac:dyDescent="0.35">
      <c r="B27">
        <f>+C1+1</f>
        <v>79</v>
      </c>
      <c r="C27" t="str">
        <f>VLOOKUP(B27,[1]Buscador!A3:AP240,31,FALSE)</f>
        <v>/resucito/src/index.html?canto=haciatimoradasanta</v>
      </c>
      <c r="L27" s="48" t="str">
        <f>_xlfn.CONCAT("        sig: ","""",C27,"""",",")</f>
        <v xml:space="preserve">        sig: "/resucito/src/index.html?canto=haciatimoradasanta",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GRITAD JUBILOSOS</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44494-C98F-46FA-9ED1-7CDA48CB5EB5}">
  <sheetPr codeName="Sheet69">
    <tabColor rgb="FF00B0F0"/>
  </sheetPr>
  <dimension ref="A1:AN68"/>
  <sheetViews>
    <sheetView tabSelected="1" zoomScale="85" zoomScaleNormal="85" workbookViewId="0">
      <pane xSplit="2" ySplit="1" topLeftCell="C43" activePane="bottomRight" state="frozen"/>
      <selection pane="topRight" activeCell="C1" sqref="C1"/>
      <selection pane="bottomLeft" activeCell="A2" sqref="A2"/>
      <selection pane="bottomRight" activeCell="B52" sqref="B5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HACIA TI, MORADA SANTA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 x14ac:dyDescent="0.35">
      <c r="C8" t="str">
        <f ca="1">PROPER(L1)</f>
        <v>Hacia Ti, Morada Santa</v>
      </c>
      <c r="L8" s="48" t="str">
        <f ca="1">_xlfn.CONCAT("        tt: ","""",C8,"""",",")</f>
        <v xml:space="preserve">        tt: "Hacia Ti, Morada Santa",</v>
      </c>
    </row>
    <row r="9" spans="2:32" ht="23" x14ac:dyDescent="0.35">
      <c r="C9" t="str">
        <f ca="1">PROPER(L1)</f>
        <v>Hacia Ti, Morada Santa</v>
      </c>
      <c r="L9" s="48" t="str">
        <f ca="1">_xlfn.CONCAT("        title: ","""",C9,"""",",")</f>
        <v xml:space="preserve">        title: "Hacia Ti, Morada Santa",</v>
      </c>
    </row>
    <row r="10" spans="2:32" ht="23" x14ac:dyDescent="0.35">
      <c r="C10" t="str">
        <f ca="1">VLOOKUP(C1,Table223[],4,FALSE)</f>
        <v>Himno procesional eucarístico (Kiko Argüello)</v>
      </c>
      <c r="L10" s="48" t="str">
        <f ca="1">_xlfn.CONCAT("        ","subtitle: ","""",C10,"""",",")</f>
        <v xml:space="preserve">        subtitle: "Himno procesional eucarístico (Kiko Argüello)",</v>
      </c>
    </row>
    <row r="11" spans="2:32" ht="23" x14ac:dyDescent="0.35">
      <c r="C11" t="str">
        <f ca="1">_xlfn.CONCAT("category: [",VLOOKUP(C1,Table223[],16,FALSE),"],")</f>
        <v>category: ["Precatecumenado","Entrada"],</v>
      </c>
      <c r="L11" s="48" t="str">
        <f ca="1">_xlfn.CONCAT("        ",C11)</f>
        <v xml:space="preserve">        category: ["Precatecumenado","Entrada"],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79</v>
      </c>
      <c r="L16" s="48" t="str">
        <f ca="1">_xlfn.CONCAT("        dbno: ","""",C16,"""",",")</f>
        <v xml:space="preserve">        dbno: "79",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haciatimoradasanta</v>
      </c>
      <c r="L19" s="48" t="str">
        <f ca="1">_xlfn.CONCAT("        audioSrc: ","""/audio/",C19,".mp3""",",")</f>
        <v xml:space="preserve">        audioSrc: "/audio/haciatimoradasanta.mp3",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78</v>
      </c>
      <c r="C26" t="str">
        <f ca="1">VLOOKUP(B26,Table4[],13,FALSE)</f>
        <v>"/resucito/src/index.html?canto=gritadjubilosos"</v>
      </c>
      <c r="L26" s="48" t="str">
        <f ca="1">_xlfn.CONCAT("        ant: ",C26,",")</f>
        <v xml:space="preserve">        ant: "/resucito/src/index.html?canto=gritadjubilosos",</v>
      </c>
    </row>
    <row r="27" spans="1:40" ht="23" x14ac:dyDescent="0.35">
      <c r="B27">
        <f ca="1">+C1+1</f>
        <v>80</v>
      </c>
      <c r="C27" t="str">
        <f ca="1">VLOOKUP(B27,Table4[],13,FALSE)</f>
        <v>"/resucito/src/index.html?canto=hastacuando"</v>
      </c>
      <c r="L27" s="48" t="str">
        <f ca="1">_xlfn.CONCAT("        sig: ",C27,",")</f>
        <v xml:space="preserve">        sig: "/resucito/src/index.html?canto=hastacuando",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1048</v>
      </c>
      <c r="D30" s="52" t="s">
        <v>1013</v>
      </c>
      <c r="E30" s="52" t="s">
        <v>1012</v>
      </c>
      <c r="F30" s="53" t="s">
        <v>1011</v>
      </c>
      <c r="G30" s="53"/>
      <c r="H30" s="52"/>
      <c r="I30" s="52"/>
      <c r="J30" s="54"/>
      <c r="K30" s="54"/>
      <c r="L30" s="55" t="str">
        <f t="shared" ref="L30:L31" si="0">IF(C30="","",_xlfn.CONCAT("            { line: ","""",C30,", ",M30:AN30,""", sC: ","""",B30,"""},"))</f>
        <v xml:space="preserve">            { line: "HACIA TI, MORADA SANTA,, (La,m,15)(Mi,,250)", sC: "ta as"},</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v>
      </c>
      <c r="U30" s="63" t="str">
        <f t="shared" ref="U30:U59" si="9">IF(F30="","",F30)</f>
        <v>Mi</v>
      </c>
      <c r="V30" s="64" t="str">
        <f t="shared" ref="V30:V35" si="10">IF(U30="","",",")</f>
        <v>,</v>
      </c>
      <c r="W30" s="65" t="str">
        <f t="shared" ref="W30:W59" si="11">IF(G30="","",G30)</f>
        <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51" t="s">
        <v>1049</v>
      </c>
      <c r="D31" s="52" t="s">
        <v>1013</v>
      </c>
      <c r="E31" s="52" t="s">
        <v>1012</v>
      </c>
      <c r="F31" s="53"/>
      <c r="G31" s="53"/>
      <c r="H31" s="52"/>
      <c r="I31" s="52"/>
      <c r="J31" s="54"/>
      <c r="K31" s="54"/>
      <c r="L31" s="55" t="str">
        <f t="shared" si="0"/>
        <v xml:space="preserve">            { line: "HACIA TI, TIERRA DEL SALVADOR,,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1050</v>
      </c>
      <c r="D32" s="52" t="s">
        <v>1016</v>
      </c>
      <c r="E32" s="52"/>
      <c r="F32" s="53" t="s">
        <v>1015</v>
      </c>
      <c r="G32" s="53"/>
      <c r="H32" s="52"/>
      <c r="I32" s="52"/>
      <c r="J32" s="54"/>
      <c r="K32" s="54"/>
      <c r="L32" s="55" t="str">
        <f>IF(C32="","",_xlfn.CONCAT("            { line: ","""",C32,", ",M32:AN32,""", sC: ","""",B32,"""},"))</f>
        <v xml:space="preserve">            { line: "PEREGRINOS, CAMINANTES,, (Sol,,15)(Fa,,250)",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1051</v>
      </c>
      <c r="D33" s="52" t="s">
        <v>1011</v>
      </c>
      <c r="E33" s="52"/>
      <c r="F33" s="53"/>
      <c r="G33" s="53"/>
      <c r="H33" s="52"/>
      <c r="I33" s="52"/>
      <c r="J33" s="54"/>
      <c r="K33" s="54"/>
      <c r="L33" s="55" t="str">
        <f>IF(C33="","",_xlfn.CONCAT("            { line: ","""",C33,", ",M33:AN33,""", sC: ","""",B33,"""},"))</f>
        <v xml:space="preserve">            { line: "VAMOS HACIA TI.,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1052</v>
      </c>
      <c r="D35" s="52" t="s">
        <v>1013</v>
      </c>
      <c r="E35" s="52" t="s">
        <v>1012</v>
      </c>
      <c r="F35" s="53"/>
      <c r="G35" s="53"/>
      <c r="H35" s="52"/>
      <c r="I35" s="52"/>
      <c r="J35" s="54"/>
      <c r="K35" s="54"/>
      <c r="L35" s="55" t="str">
        <f t="shared" ref="L35:L43" si="29">IF(C35="","",_xlfn.CONCAT("            { line: ","""",C35,", ",M35:AN35,""", sC: ","""",B35,"""},"))</f>
        <v xml:space="preserve">            { line: "Venimos a tu mesa,, (La,m,15)", sC: "tc"},</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1053</v>
      </c>
      <c r="D36" s="52" t="s">
        <v>1016</v>
      </c>
      <c r="E36" s="52"/>
      <c r="F36" s="53"/>
      <c r="G36" s="53"/>
      <c r="H36" s="52"/>
      <c r="I36" s="52"/>
      <c r="J36" s="54"/>
      <c r="K36" s="54"/>
      <c r="L36" s="55" t="str">
        <f t="shared" si="29"/>
        <v xml:space="preserve">            { line: "sellaremos tu pacto,, (Sol,,15)", sC: ""},</v>
      </c>
      <c r="M36" s="56" t="str">
        <f>IF(N36="","","(")</f>
        <v>(</v>
      </c>
      <c r="N36" s="57" t="str">
        <f>IF(D36="","",D36)</f>
        <v>Sol</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1054</v>
      </c>
      <c r="D37" s="52" t="s">
        <v>1015</v>
      </c>
      <c r="E37" s="52"/>
      <c r="F37" s="53"/>
      <c r="G37" s="53"/>
      <c r="H37" s="52"/>
      <c r="I37" s="52"/>
      <c r="J37" s="54"/>
      <c r="K37" s="54"/>
      <c r="L37" s="55" t="str">
        <f t="shared" si="29"/>
        <v xml:space="preserve">            { line: "comeremos tu carne,, (Fa,,15)", sC: ""},</v>
      </c>
      <c r="M37" s="56" t="str">
        <f>IF(N37="","","(")</f>
        <v>(</v>
      </c>
      <c r="N37" s="57" t="str">
        <f>IF(D37="","",D37)</f>
        <v>Fa</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1055</v>
      </c>
      <c r="D38" s="52" t="s">
        <v>1011</v>
      </c>
      <c r="E38" s="52"/>
      <c r="F38" s="53"/>
      <c r="G38" s="53"/>
      <c r="H38" s="52"/>
      <c r="I38" s="52"/>
      <c r="J38" s="54"/>
      <c r="K38" s="54"/>
      <c r="L38" s="55" t="str">
        <f t="shared" si="29"/>
        <v xml:space="preserve">            { line: "tu sangre nos limpiará., (Mi,,15)", sC: ""},</v>
      </c>
      <c r="M38" s="56" t="str">
        <f>IF(N38="","","(")</f>
        <v>(</v>
      </c>
      <c r="N38" s="57" t="str">
        <f>IF(D38="","",D38)</f>
        <v>Mi</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51" t="s">
        <v>1056</v>
      </c>
      <c r="D40" s="52" t="s">
        <v>1013</v>
      </c>
      <c r="E40" s="52" t="s">
        <v>1012</v>
      </c>
      <c r="F40" s="53"/>
      <c r="G40" s="53"/>
      <c r="H40" s="52"/>
      <c r="I40" s="52"/>
      <c r="J40" s="54"/>
      <c r="K40" s="54"/>
      <c r="L40" s="55" t="str">
        <f t="shared" si="29"/>
        <v xml:space="preserve">            { line: "Reinaremos contigo, (La,m,15)", sC: ""},</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1057</v>
      </c>
      <c r="D41" s="52" t="s">
        <v>1016</v>
      </c>
      <c r="E41" s="52"/>
      <c r="F41" s="53"/>
      <c r="G41" s="53"/>
      <c r="H41" s="52"/>
      <c r="I41" s="52"/>
      <c r="J41" s="54"/>
      <c r="K41" s="54"/>
      <c r="L41" s="55" t="str">
        <f t="shared" si="29"/>
        <v xml:space="preserve">            { line: "en tu morada santa,,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51" t="s">
        <v>1058</v>
      </c>
      <c r="D42" s="52" t="s">
        <v>1015</v>
      </c>
      <c r="E42" s="52"/>
      <c r="F42" s="53"/>
      <c r="G42" s="53"/>
      <c r="H42" s="52"/>
      <c r="I42" s="52"/>
      <c r="J42" s="54"/>
      <c r="K42" s="54"/>
      <c r="L42" s="55" t="str">
        <f t="shared" si="29"/>
        <v xml:space="preserve">            { line: "beberemos tu sangre,, (Fa,,15)",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ref="R42:R43" si="35">IF(N42="","",15)</f>
        <v>15</v>
      </c>
      <c r="S42" s="56" t="str">
        <f t="shared" ref="S42:S43" si="36">IF(N42="","",")")</f>
        <v>)</v>
      </c>
      <c r="T42" s="62" t="str">
        <f t="shared" ref="T42:T43" si="37">IF(U42="","","(")</f>
        <v/>
      </c>
      <c r="U42" s="63" t="str">
        <f t="shared" ref="U42:U43" si="38">IF(F42="","",F42)</f>
        <v/>
      </c>
      <c r="V42" s="64" t="str">
        <f t="shared" ref="V42:V43" si="39">IF(U42="","",",")</f>
        <v/>
      </c>
      <c r="W42" s="65" t="str">
        <f t="shared" ref="W42:W43" si="40">IF(G42="","",G42)</f>
        <v/>
      </c>
      <c r="X42" s="64" t="str">
        <f t="shared" ref="X42:X43" si="41">IF(U42="","",",")</f>
        <v/>
      </c>
      <c r="Y42" s="64" t="str">
        <f t="shared" ref="Y42:Y43" si="42">IF(U42="","",250)</f>
        <v/>
      </c>
      <c r="Z42" s="56" t="str">
        <f t="shared" ref="Z42:Z43" si="43">IF(U42="","",")")</f>
        <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4.5" thickTop="1" thickBot="1" x14ac:dyDescent="0.55000000000000004">
      <c r="C43" s="51" t="s">
        <v>1059</v>
      </c>
      <c r="D43" s="52" t="s">
        <v>1011</v>
      </c>
      <c r="E43" s="52"/>
      <c r="F43" s="53"/>
      <c r="G43" s="53"/>
      <c r="H43" s="52"/>
      <c r="I43" s="52"/>
      <c r="J43" s="54"/>
      <c r="K43" s="54"/>
      <c r="L43" s="55" t="str">
        <f t="shared" si="29"/>
        <v xml:space="preserve">            { line: "tu Fe nos salvará.,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4.5" thickTop="1" thickBot="1" x14ac:dyDescent="0.55000000000000004">
      <c r="B46" t="s">
        <v>997</v>
      </c>
      <c r="C46" s="82" t="s">
        <v>1060</v>
      </c>
      <c r="D46" s="83" t="s">
        <v>1013</v>
      </c>
      <c r="E46" s="83" t="s">
        <v>1012</v>
      </c>
      <c r="F46" s="83" t="s">
        <v>1011</v>
      </c>
      <c r="G46" s="83"/>
      <c r="H46" s="83"/>
      <c r="I46" s="83"/>
      <c r="J46" s="83"/>
      <c r="K46" s="83"/>
      <c r="L46" s="84" t="str">
        <f>IF(C46="","",_xlfn.CONCAT("       triggerLine: ","""",C46,", ",M46:AN46,""", sC: ","""",B46,""", lines: ["))</f>
        <v xml:space="preserve">       triggerLine: "HACIA TI, MORADA SANTA,..., (La,m,15)(Mi,,250)",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4.5" thickTop="1" thickBot="1" x14ac:dyDescent="0.55000000000000004">
      <c r="B47" t="s">
        <v>999</v>
      </c>
      <c r="C47" s="85" t="s">
        <v>1049</v>
      </c>
      <c r="D47" s="86" t="s">
        <v>1013</v>
      </c>
      <c r="E47" s="86" t="s">
        <v>1012</v>
      </c>
      <c r="F47" s="86"/>
      <c r="G47" s="86"/>
      <c r="H47" s="87"/>
      <c r="I47" s="87"/>
      <c r="J47" s="87"/>
      <c r="K47" s="87"/>
      <c r="L47" s="88" t="str">
        <f>IF(C47="","",_xlfn.CONCAT("            { line: ","""",C47,", ",M47:AN47,""", sC: ","""",B47,"""},"))</f>
        <v xml:space="preserve">            { line: "HACIA TI, TIERRA DEL SALVADOR,, (La,m,15)", sC: "as"},</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B48" t="s">
        <v>999</v>
      </c>
      <c r="C48" s="85" t="s">
        <v>1050</v>
      </c>
      <c r="D48" s="89" t="s">
        <v>1016</v>
      </c>
      <c r="E48" s="89"/>
      <c r="F48" s="89" t="s">
        <v>1015</v>
      </c>
      <c r="G48" s="89"/>
      <c r="H48" s="90"/>
      <c r="I48" s="90"/>
      <c r="J48" s="90"/>
      <c r="K48" s="90"/>
      <c r="L48" s="88" t="str">
        <f>IF(C48="","",_xlfn.CONCAT("            { line: ","""",C48,", ",M48:AN48,""", sC: ","""",B48,"""},"))</f>
        <v xml:space="preserve">            { line: "PEREGRINOS, CAMINANTES,, (Sol,,15)(Fa,,250)", sC: "as"},</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Fa</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93" t="s">
        <v>1051</v>
      </c>
      <c r="D49" s="83" t="s">
        <v>1011</v>
      </c>
      <c r="E49" s="83"/>
      <c r="F49" s="83"/>
      <c r="G49" s="83"/>
      <c r="H49" s="83"/>
      <c r="I49" s="83"/>
      <c r="J49" s="83"/>
      <c r="K49" s="83"/>
      <c r="L49" s="94" t="str">
        <f>IF(C49="","",_xlfn.CONCAT("            { line: ","""",C49,", ",M49:AN49,""", sC: ","""",B49,"""},  ]},"))</f>
        <v xml:space="preserve">            { line: "VAMOS HACIA TI., (Mi,,15)", sC: "as"},  ]},</v>
      </c>
      <c r="M49" s="56" t="str">
        <f t="shared" si="58"/>
        <v>(</v>
      </c>
      <c r="N49" s="57" t="str">
        <f t="shared" si="59"/>
        <v>Mi</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5" thickTop="1" thickBot="1" x14ac:dyDescent="0.55000000000000004">
      <c r="A50" s="76"/>
      <c r="B50" s="76"/>
      <c r="C50" s="76"/>
      <c r="D50" s="77"/>
      <c r="E50" s="77"/>
      <c r="F50" s="77"/>
      <c r="G50" s="77"/>
      <c r="H50" s="77"/>
      <c r="I50" s="77"/>
      <c r="J50" s="77"/>
      <c r="K50" s="77"/>
      <c r="L50" s="50" t="s">
        <v>994</v>
      </c>
      <c r="M50" s="104" t="str">
        <f t="shared" ref="M50:M59" si="86">IF(N50="","","(")</f>
        <v/>
      </c>
      <c r="N50" s="57" t="str">
        <f t="shared" si="2"/>
        <v/>
      </c>
      <c r="O50" s="105" t="str">
        <f t="shared" ref="O50:O59" si="87">IF(N50="","",",")</f>
        <v/>
      </c>
      <c r="P50" s="59" t="str">
        <f t="shared" si="4"/>
        <v/>
      </c>
      <c r="Q50" s="106" t="str">
        <f t="shared" ref="Q50:Q59" si="88">IF(N50="","",",")</f>
        <v/>
      </c>
      <c r="R50" s="61" t="str">
        <f t="shared" ref="R50:R59" si="89">IF(N50="","",15)</f>
        <v/>
      </c>
      <c r="S50" s="104" t="str">
        <f t="shared" ref="S50:S59" si="90">IF(N50="","",")")</f>
        <v/>
      </c>
      <c r="T50" s="107" t="str">
        <f t="shared" ref="T50:T59" si="91">IF(U50="","","(")</f>
        <v/>
      </c>
      <c r="U50" s="108" t="str">
        <f t="shared" si="9"/>
        <v/>
      </c>
      <c r="V50" s="109" t="str">
        <f t="shared" ref="V50:V59" si="92">IF(U50="","",",")</f>
        <v/>
      </c>
      <c r="W50" s="110" t="str">
        <f t="shared" si="11"/>
        <v/>
      </c>
      <c r="X50" s="109" t="str">
        <f t="shared" ref="X50:X59" si="93">IF(U50="","",",")</f>
        <v/>
      </c>
      <c r="Y50" s="109" t="str">
        <f t="shared" ref="Y50:Y59" si="94">IF(U50="","",250)</f>
        <v/>
      </c>
      <c r="Z50" s="104" t="str">
        <f t="shared" ref="Z50:Z59" si="95">IF(U50="","",")")</f>
        <v/>
      </c>
      <c r="AA50" s="66" t="str">
        <f t="shared" ref="AA50:AA59" si="96">IF(AB50="","","(")</f>
        <v/>
      </c>
      <c r="AB50" s="57" t="str">
        <f t="shared" si="16"/>
        <v/>
      </c>
      <c r="AC50" s="67" t="str">
        <f t="shared" ref="AC50:AC59" si="97">IF(AB50="","",",")</f>
        <v/>
      </c>
      <c r="AD50" s="59" t="str">
        <f t="shared" ref="AD50:AD59" si="98">IF(I50="","",I50)</f>
        <v/>
      </c>
      <c r="AE50" s="68" t="str">
        <f t="shared" ref="AE50:AE59" si="99">IF(AB50="","",",")</f>
        <v/>
      </c>
      <c r="AF50" s="61" t="str">
        <f t="shared" ref="AF50:AF59" si="100">IF(AB50="","",350)</f>
        <v/>
      </c>
      <c r="AG50" s="61" t="str">
        <f t="shared" ref="AG50:AG59" si="101">IF(AB50="","",")")</f>
        <v/>
      </c>
      <c r="AH50" s="66" t="str">
        <f t="shared" ref="AH50:AH59" si="102">IF(AI50="","","(")</f>
        <v/>
      </c>
      <c r="AI50" s="111" t="str">
        <f t="shared" si="23"/>
        <v/>
      </c>
      <c r="AJ50" s="109" t="str">
        <f t="shared" ref="AJ50:AJ59" si="103">IF(AI50="","",",")</f>
        <v/>
      </c>
      <c r="AK50" s="109" t="str">
        <f t="shared" ref="AK50:AK59" si="104">IF(K50="","",K50)</f>
        <v/>
      </c>
      <c r="AL50" s="109" t="str">
        <f t="shared" ref="AL50:AL59" si="105">IF(AI50="","",",")</f>
        <v/>
      </c>
      <c r="AM50" s="109" t="str">
        <f t="shared" ref="AM50:AM59" si="106">IF(AI50="","",450)</f>
        <v/>
      </c>
      <c r="AN50" s="109" t="str">
        <f t="shared" ref="AN50:AN59" si="107">IF(AI50="","",")")</f>
        <v/>
      </c>
    </row>
    <row r="51" spans="1:40" ht="24.5" thickTop="1" thickBot="1" x14ac:dyDescent="0.55000000000000004">
      <c r="B51" t="s">
        <v>1014</v>
      </c>
      <c r="C51" s="51" t="s">
        <v>1061</v>
      </c>
      <c r="D51" s="52" t="s">
        <v>1013</v>
      </c>
      <c r="E51" s="52" t="s">
        <v>1012</v>
      </c>
      <c r="F51" s="53"/>
      <c r="G51" s="53"/>
      <c r="H51" s="52"/>
      <c r="I51" s="52"/>
      <c r="J51" s="54"/>
      <c r="K51" s="54"/>
      <c r="L51" s="55" t="str">
        <f t="shared" ref="L51:L59" si="108">IF(C51="","",_xlfn.CONCAT("            { line: ","""",C51,", ",M51:AN51,""", sC: ","""",B51,"""},"))</f>
        <v xml:space="preserve">            { line: "Somos tu pueblo santo,, (La,m,15)",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
      </c>
      <c r="U51" s="63" t="str">
        <f t="shared" si="9"/>
        <v/>
      </c>
      <c r="V51" s="64" t="str">
        <f t="shared" si="92"/>
        <v/>
      </c>
      <c r="W51" s="65" t="str">
        <f t="shared" si="11"/>
        <v/>
      </c>
      <c r="X51" s="64" t="str">
        <f t="shared" si="93"/>
        <v/>
      </c>
      <c r="Y51" s="64" t="str">
        <f t="shared" si="94"/>
        <v/>
      </c>
      <c r="Z51" s="56" t="str">
        <f t="shared" si="95"/>
        <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4.5" thickTop="1" thickBot="1" x14ac:dyDescent="0.55000000000000004">
      <c r="C52" s="51" t="s">
        <v>1062</v>
      </c>
      <c r="D52" s="52" t="s">
        <v>1016</v>
      </c>
      <c r="E52" s="52"/>
      <c r="F52" s="53"/>
      <c r="G52" s="53"/>
      <c r="H52" s="52"/>
      <c r="I52" s="52"/>
      <c r="J52" s="54"/>
      <c r="K52" s="54"/>
      <c r="L52" s="55" t="str">
        <f t="shared" si="108"/>
        <v xml:space="preserve">            { line: "que hoy camina unido,, (Sol,,15)", sC: ""},</v>
      </c>
      <c r="M52" s="56" t="str">
        <f t="shared" si="86"/>
        <v>(</v>
      </c>
      <c r="N52" s="57" t="str">
        <f t="shared" si="2"/>
        <v>Sol</v>
      </c>
      <c r="O52" s="58" t="str">
        <f t="shared" si="87"/>
        <v>,</v>
      </c>
      <c r="P52" s="59" t="str">
        <f t="shared" si="4"/>
        <v/>
      </c>
      <c r="Q52" s="60" t="str">
        <f t="shared" si="88"/>
        <v>,</v>
      </c>
      <c r="R52" s="61">
        <f t="shared" si="89"/>
        <v>15</v>
      </c>
      <c r="S52" s="56" t="str">
        <f t="shared" si="90"/>
        <v>)</v>
      </c>
      <c r="T52" s="62" t="str">
        <f t="shared" si="91"/>
        <v/>
      </c>
      <c r="U52" s="63" t="str">
        <f t="shared" si="9"/>
        <v/>
      </c>
      <c r="V52" s="64" t="str">
        <f t="shared" si="92"/>
        <v/>
      </c>
      <c r="W52" s="65" t="str">
        <f t="shared" si="11"/>
        <v/>
      </c>
      <c r="X52" s="64" t="str">
        <f t="shared" si="93"/>
        <v/>
      </c>
      <c r="Y52" s="64" t="str">
        <f t="shared" si="94"/>
        <v/>
      </c>
      <c r="Z52" s="56" t="str">
        <f t="shared" si="95"/>
        <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4.5" thickTop="1" thickBot="1" x14ac:dyDescent="0.55000000000000004">
      <c r="C53" s="51" t="s">
        <v>1063</v>
      </c>
      <c r="D53" s="52" t="s">
        <v>1015</v>
      </c>
      <c r="E53" s="52"/>
      <c r="F53" s="53"/>
      <c r="G53" s="53"/>
      <c r="H53" s="52"/>
      <c r="I53" s="52"/>
      <c r="J53" s="54"/>
      <c r="K53" s="54"/>
      <c r="L53" s="55" t="str">
        <f t="shared" si="108"/>
        <v xml:space="preserve">            { line: "tú vas entre nosotros,, (Fa,,15)", sC: ""},</v>
      </c>
      <c r="M53" s="56" t="str">
        <f t="shared" si="86"/>
        <v>(</v>
      </c>
      <c r="N53" s="57" t="str">
        <f t="shared" si="2"/>
        <v>Fa</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4.5" thickTop="1" thickBot="1" x14ac:dyDescent="0.55000000000000004">
      <c r="C54" s="51" t="s">
        <v>1064</v>
      </c>
      <c r="D54" s="52" t="s">
        <v>1011</v>
      </c>
      <c r="E54" s="52"/>
      <c r="F54" s="53"/>
      <c r="G54" s="53"/>
      <c r="H54" s="52"/>
      <c r="I54" s="52"/>
      <c r="J54" s="54"/>
      <c r="K54" s="54"/>
      <c r="L54" s="55" t="str">
        <f t="shared" si="108"/>
        <v xml:space="preserve">            { line: "tu amor nos guiará., (Mi,,15)", sC: ""},</v>
      </c>
      <c r="M54" s="56" t="str">
        <f t="shared" si="86"/>
        <v>(</v>
      </c>
      <c r="N54" s="57" t="str">
        <f t="shared" si="2"/>
        <v>Mi</v>
      </c>
      <c r="O54" s="58" t="str">
        <f t="shared" si="87"/>
        <v>,</v>
      </c>
      <c r="P54" s="59" t="str">
        <f t="shared" si="4"/>
        <v/>
      </c>
      <c r="Q54" s="60" t="str">
        <f t="shared" si="88"/>
        <v>,</v>
      </c>
      <c r="R54" s="61">
        <f t="shared" si="89"/>
        <v>15</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51" t="s">
        <v>1065</v>
      </c>
      <c r="D56" s="52" t="s">
        <v>1013</v>
      </c>
      <c r="E56" s="52" t="s">
        <v>1012</v>
      </c>
      <c r="F56" s="53"/>
      <c r="G56" s="53"/>
      <c r="H56" s="52"/>
      <c r="I56" s="52"/>
      <c r="J56" s="54"/>
      <c r="K56" s="54"/>
      <c r="L56" s="55" t="str">
        <f t="shared" si="108"/>
        <v xml:space="preserve">            { line: "Tú eres el Camino,, (La,m,15)", sC: ""},</v>
      </c>
      <c r="M56" s="56" t="str">
        <f t="shared" si="86"/>
        <v>(</v>
      </c>
      <c r="N56" s="57" t="str">
        <f t="shared" si="2"/>
        <v>La</v>
      </c>
      <c r="O56" s="58" t="str">
        <f t="shared" si="87"/>
        <v>,</v>
      </c>
      <c r="P56" s="59" t="str">
        <f t="shared" si="4"/>
        <v>m</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1066</v>
      </c>
      <c r="D57" s="52" t="s">
        <v>1016</v>
      </c>
      <c r="E57" s="52"/>
      <c r="F57" s="53"/>
      <c r="G57" s="53"/>
      <c r="H57" s="52"/>
      <c r="I57" s="52"/>
      <c r="J57" s="54"/>
      <c r="K57" s="54"/>
      <c r="L57" s="78" t="str">
        <f t="shared" si="108"/>
        <v xml:space="preserve">            { line: "tú eres la esperanza,, (Sol,,15)", sC: ""},</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1067</v>
      </c>
      <c r="D58" s="52" t="s">
        <v>1015</v>
      </c>
      <c r="E58" s="52"/>
      <c r="F58" s="53"/>
      <c r="G58" s="53"/>
      <c r="H58" s="52"/>
      <c r="I58" s="52"/>
      <c r="J58" s="54"/>
      <c r="K58" s="54"/>
      <c r="L58" s="78" t="str">
        <f t="shared" si="108"/>
        <v xml:space="preserve">            { line: "hermano de los pobres., (Fa,,15)", sC: ""},</v>
      </c>
      <c r="M58" s="56" t="str">
        <f t="shared" si="86"/>
        <v>(</v>
      </c>
      <c r="N58" s="57" t="str">
        <f t="shared" si="2"/>
        <v>Fa</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1068</v>
      </c>
      <c r="D59" s="52" t="s">
        <v>1011</v>
      </c>
      <c r="E59" s="52"/>
      <c r="F59" s="53"/>
      <c r="G59" s="53"/>
      <c r="H59" s="52"/>
      <c r="I59" s="52"/>
      <c r="J59" s="54"/>
      <c r="K59" s="54"/>
      <c r="L59" s="78" t="str">
        <f t="shared" si="108"/>
        <v xml:space="preserve">            { line: "Amén. Aleluya., (Mi,,15)", sC: ""},</v>
      </c>
      <c r="M59" s="56" t="str">
        <f t="shared" si="86"/>
        <v>(</v>
      </c>
      <c r="N59" s="57" t="str">
        <f t="shared" si="2"/>
        <v>Mi</v>
      </c>
      <c r="O59" s="58" t="str">
        <f t="shared" si="87"/>
        <v>,</v>
      </c>
      <c r="P59" s="59" t="str">
        <f t="shared" si="4"/>
        <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79" t="s">
        <v>995</v>
      </c>
      <c r="D61" s="80"/>
      <c r="E61" s="80"/>
      <c r="F61" s="80"/>
      <c r="G61" s="80"/>
      <c r="H61" s="80"/>
      <c r="I61" s="80"/>
      <c r="J61" s="80"/>
      <c r="K61" s="80"/>
      <c r="L61" s="81" t="s">
        <v>996</v>
      </c>
      <c r="M61" s="56" t="str">
        <f t="shared" ref="M61:M65" si="109">IF(N61="","","(")</f>
        <v/>
      </c>
      <c r="N61" s="57" t="str">
        <f t="shared" ref="N61:N65" si="110">IF(D61="","",D61)</f>
        <v/>
      </c>
      <c r="O61" s="58" t="str">
        <f t="shared" ref="O61:O65" si="111">IF(N61="","",",")</f>
        <v/>
      </c>
      <c r="P61" s="59" t="str">
        <f t="shared" ref="P61:P65" si="112">IF(E61="","",E61)</f>
        <v/>
      </c>
      <c r="Q61" s="60" t="str">
        <f t="shared" ref="Q61:Q65" si="113">IF(N61="","",",")</f>
        <v/>
      </c>
      <c r="R61" s="61" t="str">
        <f t="shared" ref="R61:R65" si="114">IF(N61="","",15)</f>
        <v/>
      </c>
      <c r="S61" s="56" t="str">
        <f t="shared" ref="S61:S65" si="115">IF(N61="","",")")</f>
        <v/>
      </c>
      <c r="T61" s="62" t="str">
        <f t="shared" ref="T61:T65" si="116">IF(U61="","","(")</f>
        <v/>
      </c>
      <c r="U61" s="63" t="str">
        <f t="shared" ref="U61:U65" si="117">IF(F61="","",F61)</f>
        <v/>
      </c>
      <c r="V61" s="64" t="str">
        <f t="shared" ref="V61:V65" si="118">IF(U61="","",",")</f>
        <v/>
      </c>
      <c r="W61" s="65" t="str">
        <f t="shared" ref="W61:W65" si="119">IF(G61="","",G61)</f>
        <v/>
      </c>
      <c r="X61" s="64" t="str">
        <f t="shared" ref="X61:X65" si="120">IF(U61="","",",")</f>
        <v/>
      </c>
      <c r="Y61" s="64" t="str">
        <f t="shared" ref="Y61:Y65" si="121">IF(U61="","",250)</f>
        <v/>
      </c>
      <c r="Z61" s="56" t="str">
        <f t="shared" ref="Z61:Z65" si="122">IF(U61="","",")")</f>
        <v/>
      </c>
      <c r="AA61" s="66" t="str">
        <f t="shared" ref="AA61:AA65" si="123">IF(AB61="","","(")</f>
        <v/>
      </c>
      <c r="AB61" s="57" t="str">
        <f t="shared" ref="AB61:AB65" si="124">IF(H61="","",H61)</f>
        <v/>
      </c>
      <c r="AC61" s="67" t="str">
        <f t="shared" ref="AC61:AC65" si="125">IF(AB61="","",",")</f>
        <v/>
      </c>
      <c r="AD61" s="59" t="str">
        <f t="shared" ref="AD61:AD65" si="126">IF(I61="","",I61)</f>
        <v/>
      </c>
      <c r="AE61" s="68" t="str">
        <f t="shared" ref="AE61:AE65" si="127">IF(AB61="","",",")</f>
        <v/>
      </c>
      <c r="AF61" s="61" t="str">
        <f t="shared" ref="AF61:AF65" si="128">IF(AB61="","",350)</f>
        <v/>
      </c>
      <c r="AG61" s="61" t="str">
        <f t="shared" ref="AG61:AG65" si="129">IF(AB61="","",")")</f>
        <v/>
      </c>
      <c r="AH61" s="69" t="str">
        <f t="shared" ref="AH61:AH65" si="130">IF(AI61="","","(")</f>
        <v/>
      </c>
      <c r="AI61" s="70" t="str">
        <f t="shared" ref="AI61:AI65" si="131">IF(J61="","",J61)</f>
        <v/>
      </c>
      <c r="AJ61" s="64" t="str">
        <f t="shared" ref="AJ61:AJ65" si="132">IF(AI61="","",",")</f>
        <v/>
      </c>
      <c r="AK61" s="64" t="str">
        <f t="shared" ref="AK61:AK65" si="133">IF(K61="","",K61)</f>
        <v/>
      </c>
      <c r="AL61" s="64" t="str">
        <f t="shared" ref="AL61:AL65" si="134">IF(AI61="","",",")</f>
        <v/>
      </c>
      <c r="AM61" s="64" t="str">
        <f t="shared" ref="AM61:AM65" si="135">IF(AI61="","",450)</f>
        <v/>
      </c>
      <c r="AN61" s="64" t="str">
        <f t="shared" ref="AN61:AN65" si="136">IF(AI61="","",")")</f>
        <v/>
      </c>
    </row>
    <row r="62" spans="1:40" ht="24.5" thickTop="1" thickBot="1" x14ac:dyDescent="0.55000000000000004">
      <c r="B62" t="s">
        <v>997</v>
      </c>
      <c r="C62" s="82" t="s">
        <v>1060</v>
      </c>
      <c r="D62" s="83" t="s">
        <v>1013</v>
      </c>
      <c r="E62" s="83" t="s">
        <v>1012</v>
      </c>
      <c r="F62" s="83" t="s">
        <v>1011</v>
      </c>
      <c r="G62" s="83"/>
      <c r="H62" s="83"/>
      <c r="I62" s="83"/>
      <c r="J62" s="83"/>
      <c r="K62" s="83"/>
      <c r="L62" s="84" t="str">
        <f>IF(C62="","",_xlfn.CONCAT("       triggerLine: ","""",C62,", ",M62:AN62,""", sC: ","""",B62,""", lines: ["))</f>
        <v xml:space="preserve">       triggerLine: "HACIA TI, MORADA SANTA,..., (La,m,15)(Mi,,250)", sC: "ta as", lines: [</v>
      </c>
      <c r="M62" s="56" t="str">
        <f t="shared" si="109"/>
        <v>(</v>
      </c>
      <c r="N62" s="57" t="str">
        <f t="shared" si="110"/>
        <v>La</v>
      </c>
      <c r="O62" s="58" t="str">
        <f t="shared" si="111"/>
        <v>,</v>
      </c>
      <c r="P62" s="59" t="str">
        <f t="shared" si="112"/>
        <v>m</v>
      </c>
      <c r="Q62" s="60" t="str">
        <f t="shared" si="113"/>
        <v>,</v>
      </c>
      <c r="R62" s="61">
        <f t="shared" si="114"/>
        <v>15</v>
      </c>
      <c r="S62" s="56" t="str">
        <f t="shared" si="115"/>
        <v>)</v>
      </c>
      <c r="T62" s="62" t="str">
        <f t="shared" si="116"/>
        <v>(</v>
      </c>
      <c r="U62" s="63" t="str">
        <f t="shared" si="117"/>
        <v>Mi</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85" t="s">
        <v>1049</v>
      </c>
      <c r="D63" s="86" t="s">
        <v>1013</v>
      </c>
      <c r="E63" s="86" t="s">
        <v>1012</v>
      </c>
      <c r="F63" s="86"/>
      <c r="G63" s="86"/>
      <c r="H63" s="87"/>
      <c r="I63" s="87"/>
      <c r="J63" s="87"/>
      <c r="K63" s="87"/>
      <c r="L63" s="88" t="str">
        <f>IF(C63="","",_xlfn.CONCAT("            { line: ","""",C63,", ",M63:AN63,""", sC: ","""",B63,"""},"))</f>
        <v xml:space="preserve">            { line: "HACIA TI, TIERRA DEL SALVADOR,, (La,m,15)", sC: "as"},</v>
      </c>
      <c r="M63" s="56" t="str">
        <f t="shared" si="109"/>
        <v>(</v>
      </c>
      <c r="N63" s="57" t="str">
        <f t="shared" si="110"/>
        <v>La</v>
      </c>
      <c r="O63" s="58" t="str">
        <f t="shared" si="111"/>
        <v>,</v>
      </c>
      <c r="P63" s="59" t="str">
        <f t="shared" si="112"/>
        <v>m</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5" thickTop="1" thickBot="1" x14ac:dyDescent="0.55000000000000004">
      <c r="B64" t="s">
        <v>999</v>
      </c>
      <c r="C64" s="85" t="s">
        <v>1050</v>
      </c>
      <c r="D64" s="89" t="s">
        <v>1016</v>
      </c>
      <c r="E64" s="89"/>
      <c r="F64" s="89" t="s">
        <v>1015</v>
      </c>
      <c r="G64" s="89"/>
      <c r="H64" s="90"/>
      <c r="I64" s="90"/>
      <c r="J64" s="90"/>
      <c r="K64" s="90"/>
      <c r="L64" s="88" t="str">
        <f>IF(C64="","",_xlfn.CONCAT("            { line: ","""",C64,", ",M64:AN64,""", sC: ","""",B64,"""},"))</f>
        <v xml:space="preserve">            { line: "PEREGRINOS, CAMINANTES,, (Sol,,15)(Fa,,250)", sC: "as"},</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v>
      </c>
      <c r="U64" s="63" t="str">
        <f t="shared" si="117"/>
        <v>Fa</v>
      </c>
      <c r="V64" s="64" t="str">
        <f t="shared" si="118"/>
        <v>,</v>
      </c>
      <c r="W64" s="65" t="str">
        <f t="shared" si="119"/>
        <v/>
      </c>
      <c r="X64" s="64" t="str">
        <f t="shared" si="120"/>
        <v>,</v>
      </c>
      <c r="Y64" s="64">
        <f t="shared" si="121"/>
        <v>250</v>
      </c>
      <c r="Z64" s="56" t="str">
        <f t="shared" si="122"/>
        <v>)</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4.5" thickTop="1" thickBot="1" x14ac:dyDescent="0.55000000000000004">
      <c r="B65" t="s">
        <v>999</v>
      </c>
      <c r="C65" s="93" t="s">
        <v>1051</v>
      </c>
      <c r="D65" s="83" t="s">
        <v>1011</v>
      </c>
      <c r="E65" s="83"/>
      <c r="F65" s="83"/>
      <c r="G65" s="83"/>
      <c r="H65" s="83"/>
      <c r="I65" s="83"/>
      <c r="J65" s="83"/>
      <c r="K65" s="83"/>
      <c r="L65" s="94" t="str">
        <f>IF(C65="","",_xlfn.CONCAT("            { line: ","""",C65,", ",M65:AN65,""", sC: ","""",B65,"""},  ]},"))</f>
        <v xml:space="preserve">            { line: "VAMOS HACIA TI., (Mi,,15)", sC: "as"},  ]},</v>
      </c>
      <c r="M65" s="56" t="str">
        <f t="shared" si="109"/>
        <v>(</v>
      </c>
      <c r="N65" s="57" t="str">
        <f t="shared" si="110"/>
        <v>Mi</v>
      </c>
      <c r="O65" s="58" t="str">
        <f t="shared" si="111"/>
        <v>,</v>
      </c>
      <c r="P65" s="59" t="str">
        <f t="shared" si="112"/>
        <v/>
      </c>
      <c r="Q65" s="60" t="str">
        <f t="shared" si="113"/>
        <v>,</v>
      </c>
      <c r="R65" s="61">
        <f t="shared" si="114"/>
        <v>15</v>
      </c>
      <c r="S65" s="56" t="str">
        <f t="shared" si="115"/>
        <v>)</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 customHeight="1" x14ac:dyDescent="0.6">
      <c r="A66" s="95"/>
      <c r="B66" s="95"/>
      <c r="C66" s="95"/>
      <c r="D66" s="95"/>
      <c r="E66" s="95"/>
      <c r="F66" s="95"/>
      <c r="G66" s="95"/>
      <c r="H66" s="95"/>
      <c r="I66" s="95"/>
      <c r="J66" s="95"/>
      <c r="K66" s="95"/>
      <c r="L66" s="99" t="str">
        <f ca="1">_xlfn.CONCAT("]}, // ULTIMA LINEA DEL CANTO: ",L1)</f>
        <v>]}, // ULTIMA LINEA DEL CANTO: HACIA TI, MORADA SANTA</v>
      </c>
      <c r="M66" s="95"/>
    </row>
    <row r="67" spans="1:40" ht="20.5" x14ac:dyDescent="0.35">
      <c r="L67" s="100" t="s">
        <v>1008</v>
      </c>
      <c r="M67" s="101"/>
    </row>
    <row r="68" spans="1:40" x14ac:dyDescent="0.3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HASTA CUÁNDO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 x14ac:dyDescent="0.35">
      <c r="C8" t="str">
        <f ca="1">PROPER(L1)</f>
        <v>Hasta Cuándo</v>
      </c>
      <c r="L8" s="48" t="str">
        <f ca="1">_xlfn.CONCAT("        tt: ","""",C8,"""",",")</f>
        <v xml:space="preserve">        tt: "Hasta Cuándo",</v>
      </c>
    </row>
    <row r="9" spans="2:32" ht="23" x14ac:dyDescent="0.35">
      <c r="C9" t="str">
        <f ca="1">PROPER(L1)</f>
        <v>Hasta Cuándo</v>
      </c>
      <c r="L9" s="48" t="str">
        <f ca="1">_xlfn.CONCAT("        title: ","""",C9,"""",",")</f>
        <v xml:space="preserve">        title: "Hasta Cuándo",</v>
      </c>
    </row>
    <row r="10" spans="2:32" ht="23" x14ac:dyDescent="0.35">
      <c r="C10" t="str">
        <f ca="1">VLOOKUP(C1,Table223[],4,FALSE)</f>
        <v>Salmo 13 (12)</v>
      </c>
      <c r="L10" s="48" t="str">
        <f ca="1">_xlfn.CONCAT("        ","subtitle: ","""",C10,"""",",")</f>
        <v xml:space="preserve">        subtitle: "Salmo 13 (12)",</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80</v>
      </c>
      <c r="L16" s="48" t="str">
        <f ca="1">_xlfn.CONCAT("        dbno: ","""",C16,"""",",")</f>
        <v xml:space="preserve">        dbno: "80",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hastacuando</v>
      </c>
      <c r="L19" s="48" t="str">
        <f ca="1">_xlfn.CONCAT("        audioSrc: ","""/audio/",C19,".mp3""",",")</f>
        <v xml:space="preserve">        audioSrc: "/audio/hastacuando.mp3",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79</v>
      </c>
      <c r="C26" t="str">
        <f ca="1">VLOOKUP(B26,Table4[],13,FALSE)</f>
        <v>"/resucito/src/index.html?canto=haciatimoradasanta"</v>
      </c>
      <c r="L26" s="48" t="str">
        <f ca="1">_xlfn.CONCAT("        ant: ",C26,",")</f>
        <v xml:space="preserve">        ant: "/resucito/src/index.html?canto=haciatimoradasanta",</v>
      </c>
    </row>
    <row r="27" spans="1:40" ht="23" x14ac:dyDescent="0.35">
      <c r="B27">
        <f ca="1">+C1+1</f>
        <v>81</v>
      </c>
      <c r="C27" t="str">
        <f ca="1">VLOOKUP(B27,Table4[],13,FALSE)</f>
        <v>"/resucito/src/index.html?canto=heaquimisiervo"</v>
      </c>
      <c r="L27" s="48" t="str">
        <f ca="1">_xlfn.CONCAT("        sig: ",C27,",")</f>
        <v xml:space="preserve">        sig: "/resucito/src/index.html?canto=heaquimisiervo",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8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8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4.5" thickTop="1" thickBot="1" x14ac:dyDescent="0.55000000000000004">
      <c r="C81" s="51"/>
      <c r="D81" s="52"/>
      <c r="E81" s="52"/>
      <c r="F81" s="53"/>
      <c r="G81" s="53"/>
      <c r="H81" s="52"/>
      <c r="I81" s="52"/>
      <c r="J81" s="54"/>
      <c r="K81" s="54"/>
      <c r="L81" s="55" t="str">
        <f t="shared" ref="L81" si="82">IF(C81="","",_xlfn.CONCAT("            { line: ","""",C81,", ",M81:AN81,""", sC: ","""",B81,"""},"))</f>
        <v/>
      </c>
      <c r="M81" s="56" t="str">
        <f t="shared" ref="M81" si="83">IF(N81="","","(")</f>
        <v/>
      </c>
      <c r="N81" s="57" t="str">
        <f t="shared" ref="N81" si="84">IF(D81="","",D81)</f>
        <v/>
      </c>
      <c r="O81" s="58" t="str">
        <f t="shared" ref="O81" si="85">IF(N81="","",",")</f>
        <v/>
      </c>
      <c r="P81" s="59" t="str">
        <f t="shared" ref="P81" si="86">IF(E81="","",E81)</f>
        <v/>
      </c>
      <c r="Q81" s="60" t="str">
        <f t="shared" ref="Q81" si="87">IF(N81="","",",")</f>
        <v/>
      </c>
      <c r="R81" s="61" t="str">
        <f t="shared" ref="R81" si="88">IF(N81="","",15)</f>
        <v/>
      </c>
      <c r="S81" s="56" t="str">
        <f t="shared" ref="S81" si="89">IF(N81="","",")")</f>
        <v/>
      </c>
      <c r="T81" s="62" t="str">
        <f t="shared" ref="T81" si="90">IF(U81="","","(")</f>
        <v/>
      </c>
      <c r="U81" s="63" t="str">
        <f t="shared" ref="U81" si="91">IF(F81="","",F81)</f>
        <v/>
      </c>
      <c r="V81" s="64" t="str">
        <f t="shared" ref="V81" si="92">IF(U81="","",",")</f>
        <v/>
      </c>
      <c r="W81" s="65" t="str">
        <f t="shared" ref="W81" si="93">IF(G81="","",G81)</f>
        <v/>
      </c>
      <c r="X81" s="64" t="str">
        <f t="shared" ref="X81" si="94">IF(U81="","",",")</f>
        <v/>
      </c>
      <c r="Y81" s="64" t="str">
        <f t="shared" ref="Y81" si="95">IF(U81="","",250)</f>
        <v/>
      </c>
      <c r="Z81" s="56" t="str">
        <f t="shared" ref="Z81" si="96">IF(U81="","",")")</f>
        <v/>
      </c>
      <c r="AA81" s="66" t="str">
        <f t="shared" ref="AA81" si="97">IF(AB81="","","(")</f>
        <v/>
      </c>
      <c r="AB81" s="57" t="str">
        <f t="shared" ref="AB81" si="98">IF(H81="","",H81)</f>
        <v/>
      </c>
      <c r="AC81" s="67" t="str">
        <f t="shared" ref="AC81" si="99">IF(AB81="","",",")</f>
        <v/>
      </c>
      <c r="AD81" s="59" t="str">
        <f t="shared" si="71"/>
        <v/>
      </c>
      <c r="AE81" s="68" t="str">
        <f t="shared" ref="AE81" si="100">IF(AB81="","",",")</f>
        <v/>
      </c>
      <c r="AF81" s="61" t="str">
        <f t="shared" ref="AF81" si="101">IF(AB81="","",350)</f>
        <v/>
      </c>
      <c r="AG81" s="61" t="str">
        <f t="shared" ref="AG81" si="102">IF(AB81="","",")")</f>
        <v/>
      </c>
      <c r="AH81" s="69" t="str">
        <f t="shared" ref="AH81" si="103">IF(AI81="","","(")</f>
        <v/>
      </c>
      <c r="AI81" s="70" t="str">
        <f t="shared" ref="AI81" si="104">IF(J81="","",J81)</f>
        <v/>
      </c>
      <c r="AJ81" s="64" t="str">
        <f t="shared" ref="AJ81" si="105">IF(AI81="","",",")</f>
        <v/>
      </c>
      <c r="AK81" s="64" t="str">
        <f t="shared" si="77"/>
        <v/>
      </c>
      <c r="AL81" s="64" t="str">
        <f t="shared" ref="AL81" si="106">IF(AI81="","",",")</f>
        <v/>
      </c>
      <c r="AM81" s="64" t="str">
        <f t="shared" ref="AM81" si="107">IF(AI81="","",450)</f>
        <v/>
      </c>
      <c r="AN81" s="64" t="str">
        <f t="shared" ref="AN81" si="108">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9">IF(N83="","","(")</f>
        <v/>
      </c>
      <c r="N83" s="57" t="str">
        <f t="shared" ref="N83:N90" si="110">IF(D83="","",D83)</f>
        <v/>
      </c>
      <c r="O83" s="58" t="str">
        <f t="shared" ref="O83:O90" si="111">IF(N83="","",",")</f>
        <v/>
      </c>
      <c r="P83" s="59" t="str">
        <f t="shared" ref="P83:P90" si="112">IF(E83="","",E83)</f>
        <v/>
      </c>
      <c r="Q83" s="60" t="str">
        <f t="shared" ref="Q83:Q90" si="113">IF(N83="","",",")</f>
        <v/>
      </c>
      <c r="R83" s="61" t="str">
        <f t="shared" ref="R83:R90" si="114">IF(N83="","",15)</f>
        <v/>
      </c>
      <c r="S83" s="56" t="str">
        <f t="shared" ref="S83:S90" si="115">IF(N83="","",")")</f>
        <v/>
      </c>
      <c r="T83" s="62" t="str">
        <f t="shared" ref="T83:T90" si="116">IF(U83="","","(")</f>
        <v/>
      </c>
      <c r="U83" s="63" t="str">
        <f t="shared" ref="U83:U90" si="117">IF(F83="","",F83)</f>
        <v/>
      </c>
      <c r="V83" s="64" t="str">
        <f t="shared" ref="V83:V90" si="118">IF(U83="","",",")</f>
        <v/>
      </c>
      <c r="W83" s="65" t="str">
        <f t="shared" ref="W83:W90" si="119">IF(G83="","",G83)</f>
        <v/>
      </c>
      <c r="X83" s="64" t="str">
        <f t="shared" ref="X83:X90" si="120">IF(U83="","",",")</f>
        <v/>
      </c>
      <c r="Y83" s="64" t="str">
        <f t="shared" ref="Y83:Y90" si="121">IF(U83="","",250)</f>
        <v/>
      </c>
      <c r="Z83" s="56" t="str">
        <f t="shared" ref="Z83:Z90" si="122">IF(U83="","",")")</f>
        <v/>
      </c>
      <c r="AA83" s="66" t="str">
        <f t="shared" ref="AA83:AA90" si="123">IF(AB83="","","(")</f>
        <v/>
      </c>
      <c r="AB83" s="57" t="str">
        <f t="shared" ref="AB83:AB90" si="124">IF(H83="","",H83)</f>
        <v/>
      </c>
      <c r="AC83" s="67" t="str">
        <f t="shared" ref="AC83:AC90" si="125">IF(AB83="","",",")</f>
        <v/>
      </c>
      <c r="AD83" s="59" t="str">
        <f t="shared" ref="AD83:AD90" si="126">IF(I83="","",I83)</f>
        <v/>
      </c>
      <c r="AE83" s="68" t="str">
        <f t="shared" ref="AE83:AE90" si="127">IF(AB83="","",",")</f>
        <v/>
      </c>
      <c r="AF83" s="61" t="str">
        <f t="shared" ref="AF83:AF90" si="128">IF(AB83="","",350)</f>
        <v/>
      </c>
      <c r="AG83" s="61" t="str">
        <f t="shared" ref="AG83:AG90" si="129">IF(AB83="","",")")</f>
        <v/>
      </c>
      <c r="AH83" s="69" t="str">
        <f t="shared" ref="AH83:AH90" si="130">IF(AI83="","","(")</f>
        <v/>
      </c>
      <c r="AI83" s="70" t="str">
        <f t="shared" ref="AI83:AI90" si="131">IF(J83="","",J83)</f>
        <v/>
      </c>
      <c r="AJ83" s="64" t="str">
        <f t="shared" ref="AJ83:AJ90" si="132">IF(AI83="","",",")</f>
        <v/>
      </c>
      <c r="AK83" s="64" t="str">
        <f t="shared" ref="AK83:AK90" si="133">IF(K83="","",K83)</f>
        <v/>
      </c>
      <c r="AL83" s="64" t="str">
        <f t="shared" ref="AL83:AL90" si="134">IF(AI83="","",",")</f>
        <v/>
      </c>
      <c r="AM83" s="64" t="str">
        <f t="shared" ref="AM83:AM90" si="135">IF(AI83="","",450)</f>
        <v/>
      </c>
      <c r="AN83" s="64" t="str">
        <f t="shared" ref="AN83:AN90" si="136">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9"/>
        <v/>
      </c>
      <c r="N84" s="57" t="str">
        <f t="shared" si="110"/>
        <v/>
      </c>
      <c r="O84" s="58" t="str">
        <f t="shared" si="111"/>
        <v/>
      </c>
      <c r="P84" s="59" t="str">
        <f t="shared" si="112"/>
        <v/>
      </c>
      <c r="Q84" s="60" t="str">
        <f t="shared" si="113"/>
        <v/>
      </c>
      <c r="R84" s="61" t="str">
        <f t="shared" si="114"/>
        <v/>
      </c>
      <c r="S84" s="56" t="str">
        <f t="shared" si="115"/>
        <v/>
      </c>
      <c r="T84" s="62" t="str">
        <f t="shared" si="116"/>
        <v/>
      </c>
      <c r="U84" s="63" t="str">
        <f t="shared" si="117"/>
        <v/>
      </c>
      <c r="V84" s="64" t="str">
        <f t="shared" si="118"/>
        <v/>
      </c>
      <c r="W84" s="65" t="str">
        <f t="shared" si="119"/>
        <v/>
      </c>
      <c r="X84" s="64" t="str">
        <f t="shared" si="120"/>
        <v/>
      </c>
      <c r="Y84" s="64" t="str">
        <f t="shared" si="121"/>
        <v/>
      </c>
      <c r="Z84" s="56" t="str">
        <f t="shared" si="122"/>
        <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HASTA CUÁNDO</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81</v>
      </c>
      <c r="E1" s="40"/>
      <c r="F1" s="40"/>
      <c r="G1" s="40"/>
      <c r="H1" s="40"/>
      <c r="I1" s="40"/>
      <c r="J1" s="40"/>
      <c r="K1" s="40"/>
      <c r="L1" s="41" t="str">
        <f ca="1">UPPER(VLOOKUP(C1,Table223[],3,FALSE))</f>
        <v>HE AQUÍ MI SIERVO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HE AQUÍ MI SIERVO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heaquimisiervo</v>
      </c>
      <c r="L7" s="48" t="str">
        <f ca="1">_xlfn.CONCAT("        id: ","""",C7,"""",",")</f>
        <v xml:space="preserve">        id: "heaquimisiervo",</v>
      </c>
    </row>
    <row r="8" spans="2:32" ht="23" x14ac:dyDescent="0.35">
      <c r="C8" t="str">
        <f ca="1">PROPER(L1)</f>
        <v>He Aquí Mi Siervo</v>
      </c>
      <c r="L8" s="48" t="str">
        <f ca="1">_xlfn.CONCAT("        tt: ","""",C8,"""",",")</f>
        <v xml:space="preserve">        tt: "He Aquí Mi Siervo",</v>
      </c>
    </row>
    <row r="9" spans="2:32" ht="23" x14ac:dyDescent="0.35">
      <c r="C9" t="str">
        <f ca="1">PROPER(L1)</f>
        <v>He Aquí Mi Siervo</v>
      </c>
      <c r="L9" s="48" t="str">
        <f ca="1">_xlfn.CONCAT("        title: ","""",C9,"""",",")</f>
        <v xml:space="preserve">        title: "He Aquí Mi Siervo",</v>
      </c>
    </row>
    <row r="10" spans="2:32" ht="23" x14ac:dyDescent="0.35">
      <c r="C10" t="str">
        <f ca="1">VLOOKUP(C1,Table223[],4,FALSE)</f>
        <v>Isaías 42,1-4; Mateo 12,18-21 - Primer canto de Siervo de Yahveh</v>
      </c>
      <c r="L10" s="48" t="str">
        <f ca="1">_xlfn.CONCAT("        ","subtitle: ","""",C10,"""",",")</f>
        <v xml:space="preserve">        subtitle: "Isaías 42,1-4; Mateo 12,18-21 - Primer canto de Siervo de Yahveh",</v>
      </c>
    </row>
    <row r="11" spans="2:32" ht="23" x14ac:dyDescent="0.35">
      <c r="C11" t="str">
        <f ca="1">_xlfn.CONCAT("category: [",VLOOKUP(C1,Table223[],16,FALSE),"],")</f>
        <v>category: ["Precatecumenado","Cuaresma","Penitencial","Fracción Del Pan","Antiguo Testamento"],</v>
      </c>
      <c r="L11" s="48" t="str">
        <f ca="1">_xlfn.CONCAT("        ",C11)</f>
        <v xml:space="preserve">        category: ["Precatecumenado","Cuaresma","Penitencial","Fracción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81</v>
      </c>
      <c r="L16" s="48" t="str">
        <f ca="1">_xlfn.CONCAT("        dbno: ","""",C16,"""",",")</f>
        <v xml:space="preserve">        dbno: "81",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heaquimisiervo</v>
      </c>
      <c r="L19" s="48" t="str">
        <f ca="1">_xlfn.CONCAT("        audioSrc: ","""/audio/",C19,".mp3""",",")</f>
        <v xml:space="preserve">        audioSrc: "/audio/heaquimisiervo.mp3",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80</v>
      </c>
      <c r="C26" t="str">
        <f ca="1">VLOOKUP(B26,Table4[],13,FALSE)</f>
        <v>"/resucito/src/index.html?canto=hastacuando"</v>
      </c>
      <c r="L26" s="48" t="str">
        <f ca="1">_xlfn.CONCAT("        ant: ",C26,",")</f>
        <v xml:space="preserve">        ant: "/resucito/src/index.html?canto=hastacuando",</v>
      </c>
    </row>
    <row r="27" spans="1:40" ht="23" x14ac:dyDescent="0.35">
      <c r="B27">
        <f ca="1">+C1+1</f>
        <v>82</v>
      </c>
      <c r="C27" t="str">
        <f ca="1">VLOOKUP(B27,Table4[],13,FALSE)</f>
        <v>"/resucito/src/index.html?canto=heaquiquevengopresto"</v>
      </c>
      <c r="L27" s="48" t="str">
        <f ca="1">_xlfn.CONCAT("        sig: ",C27,",")</f>
        <v xml:space="preserve">        sig: "/resucito/src/index.html?canto=heaquiquevengopresto",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HE AQUÍ MI SIERVO</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HACIA TI, MORADA SANTA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2025-08-25T02:33:23Z</dcterms:modified>
</cp:coreProperties>
</file>