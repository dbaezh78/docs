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48F8B7A9-812E-47A3-B006-22768E1748B6}" xr6:coauthVersionLast="47" xr6:coauthVersionMax="47" xr10:uidLastSave="{00000000-0000-0000-0000-000000000000}"/>
  <bookViews>
    <workbookView xWindow="-105" yWindow="0" windowWidth="29190" windowHeight="20985" tabRatio="693" firstSheet="3" activeTab="7"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ID Y ANUNCIAD A MIS HERMANOS" sheetId="58" r:id="rId8"/>
    <sheet name="MARIA, MADRE MÍA" sheetId="7" r:id="rId9"/>
    <sheet name="boceto" sheetId="36" state="hidden" r:id="rId10"/>
  </sheets>
  <functionGroups builtInGroupCount="19"/>
  <externalReferences>
    <externalReference r:id="rId11"/>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3" i="58" l="1"/>
  <c r="R67" i="58"/>
  <c r="AK69" i="58"/>
  <c r="AI69" i="58"/>
  <c r="AM69" i="58" s="1"/>
  <c r="AD69" i="58"/>
  <c r="AC69" i="58"/>
  <c r="AB69" i="58"/>
  <c r="AE69" i="58" s="1"/>
  <c r="W69" i="58"/>
  <c r="U69" i="58"/>
  <c r="T69" i="58" s="1"/>
  <c r="P69" i="58"/>
  <c r="N69" i="58"/>
  <c r="O69" i="58" s="1"/>
  <c r="R74" i="58"/>
  <c r="AK73" i="58"/>
  <c r="AI73" i="58"/>
  <c r="AN73" i="58" s="1"/>
  <c r="AD73" i="58"/>
  <c r="AB73" i="58"/>
  <c r="AG73" i="58" s="1"/>
  <c r="W73" i="58"/>
  <c r="U73" i="58"/>
  <c r="Y73" i="58" s="1"/>
  <c r="P73" i="58"/>
  <c r="N73" i="58"/>
  <c r="Q73" i="58" s="1"/>
  <c r="AK72" i="58"/>
  <c r="AI72" i="58"/>
  <c r="AL72" i="58" s="1"/>
  <c r="AD72" i="58"/>
  <c r="AB72" i="58"/>
  <c r="AC72" i="58" s="1"/>
  <c r="W72" i="58"/>
  <c r="U72" i="58"/>
  <c r="Y72" i="58" s="1"/>
  <c r="P72" i="58"/>
  <c r="N72" i="58"/>
  <c r="M72" i="58" s="1"/>
  <c r="AK71" i="58"/>
  <c r="AI71" i="58"/>
  <c r="AH71" i="58" s="1"/>
  <c r="AD71" i="58"/>
  <c r="AB71" i="58"/>
  <c r="AA71" i="58" s="1"/>
  <c r="W71" i="58"/>
  <c r="U71" i="58"/>
  <c r="Z71" i="58" s="1"/>
  <c r="P71" i="58"/>
  <c r="N71" i="58"/>
  <c r="S71" i="58" s="1"/>
  <c r="R70" i="58"/>
  <c r="R59" i="58"/>
  <c r="AK58" i="58"/>
  <c r="AI58" i="58"/>
  <c r="AN58" i="58" s="1"/>
  <c r="AD58" i="58"/>
  <c r="AB58" i="58"/>
  <c r="AG58" i="58" s="1"/>
  <c r="W58" i="58"/>
  <c r="U58" i="58"/>
  <c r="Y58" i="58" s="1"/>
  <c r="P58" i="58"/>
  <c r="N58" i="58"/>
  <c r="M58" i="58" s="1"/>
  <c r="AK57" i="58"/>
  <c r="AI57" i="58"/>
  <c r="AM57" i="58" s="1"/>
  <c r="AD57" i="58"/>
  <c r="AB57" i="58"/>
  <c r="AC57" i="58" s="1"/>
  <c r="W57" i="58"/>
  <c r="U57" i="58"/>
  <c r="V57" i="58" s="1"/>
  <c r="P57" i="58"/>
  <c r="N57" i="58"/>
  <c r="O57" i="58" s="1"/>
  <c r="AK56" i="58"/>
  <c r="AI56" i="58"/>
  <c r="AJ56" i="58" s="1"/>
  <c r="AD56" i="58"/>
  <c r="AB56" i="58"/>
  <c r="AA56" i="58" s="1"/>
  <c r="W56" i="58"/>
  <c r="U56" i="58"/>
  <c r="T56" i="58" s="1"/>
  <c r="P56" i="58"/>
  <c r="N56" i="58"/>
  <c r="S56" i="58" s="1"/>
  <c r="R55" i="58"/>
  <c r="R47" i="58"/>
  <c r="R44" i="58"/>
  <c r="R41" i="58"/>
  <c r="R39" i="58"/>
  <c r="R35" i="58"/>
  <c r="R32" i="58"/>
  <c r="AK68" i="58"/>
  <c r="AI68" i="58"/>
  <c r="AJ68" i="58" s="1"/>
  <c r="AD68" i="58"/>
  <c r="AB68" i="58"/>
  <c r="AA68" i="58" s="1"/>
  <c r="W68" i="58"/>
  <c r="U68" i="58"/>
  <c r="V68" i="58" s="1"/>
  <c r="P68" i="58"/>
  <c r="N68" i="58"/>
  <c r="M68" i="58" s="1"/>
  <c r="AK66" i="58"/>
  <c r="AI66" i="58"/>
  <c r="AJ66" i="58" s="1"/>
  <c r="AD66" i="58"/>
  <c r="AB66" i="58"/>
  <c r="AA66" i="58" s="1"/>
  <c r="W66" i="58"/>
  <c r="U66" i="58"/>
  <c r="X66" i="58" s="1"/>
  <c r="P66" i="58"/>
  <c r="N66" i="58"/>
  <c r="O66" i="58" s="1"/>
  <c r="AK65" i="58"/>
  <c r="AI65" i="58"/>
  <c r="AJ65" i="58" s="1"/>
  <c r="AD65" i="58"/>
  <c r="AB65" i="58"/>
  <c r="AC65" i="58" s="1"/>
  <c r="W65" i="58"/>
  <c r="U65" i="58"/>
  <c r="V65" i="58" s="1"/>
  <c r="P65" i="58"/>
  <c r="N65" i="58"/>
  <c r="M65" i="58" s="1"/>
  <c r="AK64" i="58"/>
  <c r="AI64" i="58"/>
  <c r="AH64" i="58" s="1"/>
  <c r="AD64" i="58"/>
  <c r="AB64" i="58"/>
  <c r="W64" i="58"/>
  <c r="U64" i="58"/>
  <c r="P64" i="58"/>
  <c r="N64" i="58"/>
  <c r="AK62" i="58"/>
  <c r="AI62" i="58"/>
  <c r="AH62" i="58" s="1"/>
  <c r="AD62" i="58"/>
  <c r="AB62" i="58"/>
  <c r="AE62" i="58" s="1"/>
  <c r="W62" i="58"/>
  <c r="U62" i="58"/>
  <c r="V62" i="58" s="1"/>
  <c r="P62" i="58"/>
  <c r="N62" i="58"/>
  <c r="O62" i="58" s="1"/>
  <c r="AK61" i="58"/>
  <c r="AI61" i="58"/>
  <c r="AJ61" i="58" s="1"/>
  <c r="AD61" i="58"/>
  <c r="AB61" i="58"/>
  <c r="AE61" i="58" s="1"/>
  <c r="W61" i="58"/>
  <c r="U61" i="58"/>
  <c r="X61" i="58" s="1"/>
  <c r="P61" i="58"/>
  <c r="N61" i="58"/>
  <c r="O61" i="58" s="1"/>
  <c r="AK60" i="58"/>
  <c r="AI60" i="58"/>
  <c r="AJ60" i="58" s="1"/>
  <c r="AD60" i="58"/>
  <c r="AB60" i="58"/>
  <c r="AA60" i="58" s="1"/>
  <c r="W60" i="58"/>
  <c r="U60" i="58"/>
  <c r="T60" i="58" s="1"/>
  <c r="P60" i="58"/>
  <c r="N60" i="58"/>
  <c r="Q60" i="58" s="1"/>
  <c r="AK54" i="58"/>
  <c r="AI54" i="58"/>
  <c r="AJ54" i="58" s="1"/>
  <c r="AD54" i="58"/>
  <c r="AB54" i="58"/>
  <c r="AE54" i="58" s="1"/>
  <c r="W54" i="58"/>
  <c r="U54" i="58"/>
  <c r="Z54" i="58" s="1"/>
  <c r="P54" i="58"/>
  <c r="N54" i="58"/>
  <c r="M54" i="58" s="1"/>
  <c r="AK53" i="58"/>
  <c r="AI53" i="58"/>
  <c r="AH53" i="58" s="1"/>
  <c r="AD53" i="58"/>
  <c r="AB53" i="58"/>
  <c r="AA53" i="58" s="1"/>
  <c r="W53" i="58"/>
  <c r="U53" i="58"/>
  <c r="X53" i="58" s="1"/>
  <c r="P53" i="58"/>
  <c r="N53" i="58"/>
  <c r="M53" i="58" s="1"/>
  <c r="R52" i="58"/>
  <c r="AK51" i="58"/>
  <c r="AI51" i="58"/>
  <c r="AN51" i="58" s="1"/>
  <c r="AD51" i="58"/>
  <c r="AB51" i="58"/>
  <c r="AG51" i="58" s="1"/>
  <c r="W51" i="58"/>
  <c r="U51" i="58"/>
  <c r="X51" i="58" s="1"/>
  <c r="P51" i="58"/>
  <c r="N51" i="58"/>
  <c r="M51" i="58" s="1"/>
  <c r="AK50" i="58"/>
  <c r="AI50" i="58"/>
  <c r="AH50" i="58" s="1"/>
  <c r="AD50" i="58"/>
  <c r="AB50" i="58"/>
  <c r="AC50" i="58" s="1"/>
  <c r="W50" i="58"/>
  <c r="U50" i="58"/>
  <c r="Z50" i="58" s="1"/>
  <c r="P50" i="58"/>
  <c r="N50" i="58"/>
  <c r="AK49" i="58"/>
  <c r="AI49" i="58"/>
  <c r="AJ49" i="58" s="1"/>
  <c r="AD49" i="58"/>
  <c r="AB49" i="58"/>
  <c r="AA49" i="58" s="1"/>
  <c r="W49" i="58"/>
  <c r="U49" i="58"/>
  <c r="Z49" i="58" s="1"/>
  <c r="P49" i="58"/>
  <c r="N49" i="58"/>
  <c r="S49" i="58" s="1"/>
  <c r="AK48" i="58"/>
  <c r="AI48" i="58"/>
  <c r="AD48" i="58"/>
  <c r="AB48" i="58"/>
  <c r="AE48" i="58" s="1"/>
  <c r="W48" i="58"/>
  <c r="U48" i="58"/>
  <c r="T48" i="58" s="1"/>
  <c r="P48" i="58"/>
  <c r="N48" i="58"/>
  <c r="O48" i="58" s="1"/>
  <c r="AK46" i="58"/>
  <c r="AI46" i="58"/>
  <c r="AJ46" i="58" s="1"/>
  <c r="AD46" i="58"/>
  <c r="AB46" i="58"/>
  <c r="AG46" i="58" s="1"/>
  <c r="W46" i="58"/>
  <c r="U46" i="58"/>
  <c r="V46" i="58" s="1"/>
  <c r="P46" i="58"/>
  <c r="N46" i="58"/>
  <c r="M46" i="58" s="1"/>
  <c r="AK45" i="58"/>
  <c r="AI45" i="58"/>
  <c r="AD45" i="58"/>
  <c r="AB45" i="58"/>
  <c r="AG45" i="58" s="1"/>
  <c r="W45" i="58"/>
  <c r="U45" i="58"/>
  <c r="Z45" i="58" s="1"/>
  <c r="P45" i="58"/>
  <c r="N45" i="58"/>
  <c r="Q45" i="58" s="1"/>
  <c r="AK43" i="58"/>
  <c r="AI43" i="58"/>
  <c r="AL43" i="58" s="1"/>
  <c r="AD43" i="58"/>
  <c r="AB43" i="58"/>
  <c r="AA43" i="58" s="1"/>
  <c r="W43" i="58"/>
  <c r="U43" i="58"/>
  <c r="V43" i="58" s="1"/>
  <c r="P43" i="58"/>
  <c r="N43" i="58"/>
  <c r="S43" i="58" s="1"/>
  <c r="AK42" i="58"/>
  <c r="AI42" i="58"/>
  <c r="AN42" i="58" s="1"/>
  <c r="AD42" i="58"/>
  <c r="AB42" i="58"/>
  <c r="AE42" i="58" s="1"/>
  <c r="W42" i="58"/>
  <c r="U42" i="58"/>
  <c r="T42" i="58" s="1"/>
  <c r="P42" i="58"/>
  <c r="N42" i="58"/>
  <c r="S42" i="58" s="1"/>
  <c r="AK40" i="58"/>
  <c r="AI40" i="58"/>
  <c r="AN40" i="58" s="1"/>
  <c r="AD40" i="58"/>
  <c r="AB40" i="58"/>
  <c r="AG40" i="58" s="1"/>
  <c r="W40" i="58"/>
  <c r="U40" i="58"/>
  <c r="X40" i="58" s="1"/>
  <c r="P40" i="58"/>
  <c r="N40" i="58"/>
  <c r="M40" i="58" s="1"/>
  <c r="AK38" i="58"/>
  <c r="AI38" i="58"/>
  <c r="AH38" i="58" s="1"/>
  <c r="AD38" i="58"/>
  <c r="AB38" i="58"/>
  <c r="AC38" i="58" s="1"/>
  <c r="W38" i="58"/>
  <c r="U38" i="58"/>
  <c r="Z38" i="58" s="1"/>
  <c r="P38" i="58"/>
  <c r="N38" i="58"/>
  <c r="Q38" i="58" s="1"/>
  <c r="AK37" i="58"/>
  <c r="AI37" i="58"/>
  <c r="AL37" i="58" s="1"/>
  <c r="AD37" i="58"/>
  <c r="AB37" i="58"/>
  <c r="AA37" i="58" s="1"/>
  <c r="W37" i="58"/>
  <c r="U37" i="58"/>
  <c r="Z37" i="58" s="1"/>
  <c r="P37" i="58"/>
  <c r="N37" i="58"/>
  <c r="AK36" i="58"/>
  <c r="AI36" i="58"/>
  <c r="AN36" i="58" s="1"/>
  <c r="AD36" i="58"/>
  <c r="AB36" i="58"/>
  <c r="AE36" i="58" s="1"/>
  <c r="W36" i="58"/>
  <c r="U36" i="58"/>
  <c r="T36" i="58" s="1"/>
  <c r="P36" i="58"/>
  <c r="N36" i="58"/>
  <c r="O36" i="58" s="1"/>
  <c r="AK34" i="58"/>
  <c r="AI34" i="58"/>
  <c r="AJ34" i="58" s="1"/>
  <c r="AD34" i="58"/>
  <c r="AB34" i="58"/>
  <c r="AG34" i="58" s="1"/>
  <c r="W34" i="58"/>
  <c r="U34" i="58"/>
  <c r="P34" i="58"/>
  <c r="N34" i="58"/>
  <c r="AK33" i="58"/>
  <c r="AI33" i="58"/>
  <c r="AH33" i="58" s="1"/>
  <c r="AD33" i="58"/>
  <c r="AB33" i="58"/>
  <c r="AG33" i="58" s="1"/>
  <c r="W33" i="58"/>
  <c r="U33" i="58"/>
  <c r="P33" i="58"/>
  <c r="N33" i="58"/>
  <c r="Q33" i="58" s="1"/>
  <c r="AK31" i="58"/>
  <c r="AI31" i="58"/>
  <c r="AL31" i="58" s="1"/>
  <c r="AD31" i="58"/>
  <c r="AB31" i="58"/>
  <c r="AA31" i="58" s="1"/>
  <c r="W31" i="58"/>
  <c r="U31" i="58"/>
  <c r="V31" i="58" s="1"/>
  <c r="P31" i="58"/>
  <c r="N31" i="58"/>
  <c r="S31" i="58" s="1"/>
  <c r="AK30" i="58"/>
  <c r="AI30" i="58"/>
  <c r="AN30" i="58" s="1"/>
  <c r="AD30" i="58"/>
  <c r="AB30" i="58"/>
  <c r="W30" i="58"/>
  <c r="U30" i="58"/>
  <c r="P30" i="58"/>
  <c r="N30" i="58"/>
  <c r="S30" i="58" s="1"/>
  <c r="B27" i="58"/>
  <c r="C27" i="58" s="1"/>
  <c r="L27" i="58" s="1"/>
  <c r="B26" i="58"/>
  <c r="C26" i="58" s="1"/>
  <c r="L26" i="58" s="1"/>
  <c r="L18" i="58"/>
  <c r="L17" i="58"/>
  <c r="C16" i="58"/>
  <c r="L16" i="58" s="1"/>
  <c r="L15" i="58"/>
  <c r="L14" i="58"/>
  <c r="L13" i="58"/>
  <c r="C12" i="58"/>
  <c r="L12" i="58" s="1"/>
  <c r="C11" i="58"/>
  <c r="L11" i="58" s="1"/>
  <c r="C10" i="58"/>
  <c r="L10" i="58" s="1"/>
  <c r="L1" i="58"/>
  <c r="L75" i="58" s="1"/>
  <c r="R91" i="7"/>
  <c r="R90" i="7"/>
  <c r="R89" i="7"/>
  <c r="R88" i="7"/>
  <c r="R87" i="7"/>
  <c r="R86" i="7"/>
  <c r="R85" i="7"/>
  <c r="R84" i="7"/>
  <c r="R83" i="7"/>
  <c r="R82" i="7"/>
  <c r="R81" i="7"/>
  <c r="R80" i="7"/>
  <c r="R79" i="7"/>
  <c r="R78" i="7"/>
  <c r="R77" i="7"/>
  <c r="R76" i="7"/>
  <c r="R75" i="7"/>
  <c r="R74" i="7"/>
  <c r="R73" i="7"/>
  <c r="R72" i="7"/>
  <c r="R71" i="7"/>
  <c r="R70" i="7"/>
  <c r="R69" i="7"/>
  <c r="R68" i="7"/>
  <c r="R67" i="7"/>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AH69" i="58" l="1"/>
  <c r="AF69" i="58"/>
  <c r="Z73" i="58"/>
  <c r="R69" i="58"/>
  <c r="M71" i="58"/>
  <c r="V69" i="58"/>
  <c r="X69" i="58"/>
  <c r="AE57" i="58"/>
  <c r="Z69" i="58"/>
  <c r="AF57" i="58"/>
  <c r="AA69" i="58"/>
  <c r="AL69" i="58"/>
  <c r="AN69" i="58"/>
  <c r="Q69" i="58"/>
  <c r="Y69" i="58"/>
  <c r="AG69" i="58"/>
  <c r="S69" i="58"/>
  <c r="AJ69" i="58"/>
  <c r="M69" i="58"/>
  <c r="AA73" i="58"/>
  <c r="AA58" i="58"/>
  <c r="T72" i="58"/>
  <c r="AG57" i="58"/>
  <c r="O72" i="58"/>
  <c r="AN72" i="58"/>
  <c r="T73" i="58"/>
  <c r="V72" i="58"/>
  <c r="AE72" i="58"/>
  <c r="T71" i="58"/>
  <c r="AL71" i="58"/>
  <c r="AF72" i="58"/>
  <c r="R73" i="58"/>
  <c r="AJ71" i="58"/>
  <c r="X72" i="58"/>
  <c r="AG72" i="58"/>
  <c r="S73" i="58"/>
  <c r="AH73" i="58"/>
  <c r="Z72" i="58"/>
  <c r="Q72" i="58"/>
  <c r="AA72" i="58"/>
  <c r="AM72" i="58"/>
  <c r="V71" i="58"/>
  <c r="AJ73" i="58"/>
  <c r="AC56" i="58"/>
  <c r="O71" i="58"/>
  <c r="AE71" i="58"/>
  <c r="AM71" i="58"/>
  <c r="R72" i="58"/>
  <c r="AH72" i="58"/>
  <c r="M73" i="58"/>
  <c r="AC73" i="58"/>
  <c r="AA57" i="58"/>
  <c r="AH58" i="58"/>
  <c r="X71" i="58"/>
  <c r="AF71" i="58"/>
  <c r="AN71" i="58"/>
  <c r="S72" i="58"/>
  <c r="V73" i="58"/>
  <c r="AL73" i="58"/>
  <c r="Q71" i="58"/>
  <c r="Y71" i="58"/>
  <c r="AG71" i="58"/>
  <c r="AJ72" i="58"/>
  <c r="O73" i="58"/>
  <c r="AE73" i="58"/>
  <c r="AM73" i="58"/>
  <c r="R71" i="58"/>
  <c r="X73" i="58"/>
  <c r="AF73" i="58"/>
  <c r="AC71" i="58"/>
  <c r="AL56" i="58"/>
  <c r="AH57" i="58"/>
  <c r="M56" i="58"/>
  <c r="AM56" i="58"/>
  <c r="AE56" i="58"/>
  <c r="AN56" i="58"/>
  <c r="AN57" i="58"/>
  <c r="AF56" i="58"/>
  <c r="AG56" i="58"/>
  <c r="AH56" i="58"/>
  <c r="Q57" i="58"/>
  <c r="Q58" i="58"/>
  <c r="O58" i="58"/>
  <c r="Z58" i="58"/>
  <c r="R58" i="58"/>
  <c r="S58" i="58"/>
  <c r="T58" i="58"/>
  <c r="S57" i="58"/>
  <c r="M57" i="58"/>
  <c r="X57" i="58"/>
  <c r="Y57" i="58"/>
  <c r="Z57" i="58"/>
  <c r="R57" i="58"/>
  <c r="V56" i="58"/>
  <c r="O56" i="58"/>
  <c r="AJ58" i="58"/>
  <c r="X56" i="58"/>
  <c r="AC58" i="58"/>
  <c r="Q56" i="58"/>
  <c r="Y56" i="58"/>
  <c r="T57" i="58"/>
  <c r="AJ57" i="58"/>
  <c r="V58" i="58"/>
  <c r="AL58" i="58"/>
  <c r="R56" i="58"/>
  <c r="Z56" i="58"/>
  <c r="AE58" i="58"/>
  <c r="AM58" i="58"/>
  <c r="AL57" i="58"/>
  <c r="X58" i="58"/>
  <c r="AF58" i="58"/>
  <c r="Y65" i="58"/>
  <c r="AL38" i="58"/>
  <c r="AM38" i="58"/>
  <c r="AH60" i="58"/>
  <c r="C7" i="58" a="1"/>
  <c r="C7" i="58" s="1"/>
  <c r="L7" i="58" s="1"/>
  <c r="AH54" i="58"/>
  <c r="AM54" i="58"/>
  <c r="V53" i="58"/>
  <c r="M61" i="58"/>
  <c r="AH66" i="58"/>
  <c r="AF61" i="58"/>
  <c r="R60" i="58"/>
  <c r="AG61" i="58"/>
  <c r="Q66" i="58"/>
  <c r="R66" i="58"/>
  <c r="AL68" i="58"/>
  <c r="AN38" i="58"/>
  <c r="AM68" i="58"/>
  <c r="R54" i="58"/>
  <c r="AL54" i="58"/>
  <c r="AL64" i="58"/>
  <c r="AN68" i="58"/>
  <c r="AG65" i="58"/>
  <c r="AC68" i="58"/>
  <c r="AH30" i="58"/>
  <c r="AJ53" i="58"/>
  <c r="AL61" i="58"/>
  <c r="AC62" i="58"/>
  <c r="T65" i="58"/>
  <c r="Z66" i="58"/>
  <c r="AE68" i="58"/>
  <c r="AG53" i="58"/>
  <c r="AE34" i="58"/>
  <c r="M60" i="58"/>
  <c r="AM61" i="58"/>
  <c r="AH68" i="58"/>
  <c r="AN61" i="58"/>
  <c r="L4" i="58"/>
  <c r="O54" i="58"/>
  <c r="O60" i="58"/>
  <c r="X65" i="58"/>
  <c r="C9" i="58"/>
  <c r="L9" i="58" s="1"/>
  <c r="AH31" i="58"/>
  <c r="AM53" i="58"/>
  <c r="AN54" i="58"/>
  <c r="S60" i="58"/>
  <c r="AF62" i="58"/>
  <c r="O65" i="58"/>
  <c r="Z65" i="58"/>
  <c r="S66" i="58"/>
  <c r="AJ40" i="58"/>
  <c r="V61" i="58"/>
  <c r="AL42" i="58"/>
  <c r="AA61" i="58"/>
  <c r="X62" i="58"/>
  <c r="AG62" i="58"/>
  <c r="AA65" i="58"/>
  <c r="AL65" i="58"/>
  <c r="T66" i="58"/>
  <c r="AM42" i="58"/>
  <c r="AM65" i="58"/>
  <c r="AJ43" i="58"/>
  <c r="AC61" i="58"/>
  <c r="Z62" i="58"/>
  <c r="AN65" i="58"/>
  <c r="V66" i="58"/>
  <c r="Y62" i="58"/>
  <c r="O43" i="58"/>
  <c r="AE50" i="58"/>
  <c r="AA62" i="58"/>
  <c r="AJ64" i="58"/>
  <c r="AE65" i="58"/>
  <c r="AN43" i="58"/>
  <c r="AF65" i="58"/>
  <c r="Y66" i="58"/>
  <c r="Y53" i="58"/>
  <c r="T54" i="58"/>
  <c r="Q62" i="58"/>
  <c r="Q65" i="58"/>
  <c r="Q53" i="58"/>
  <c r="Z53" i="58"/>
  <c r="R62" i="58"/>
  <c r="R53" i="58"/>
  <c r="V54" i="58"/>
  <c r="S62" i="58"/>
  <c r="O53" i="58"/>
  <c r="S53" i="58"/>
  <c r="T53" i="58"/>
  <c r="AG50" i="58"/>
  <c r="AF43" i="58"/>
  <c r="S45" i="58"/>
  <c r="AG43" i="58"/>
  <c r="R43" i="58"/>
  <c r="AA46" i="58"/>
  <c r="M30" i="58"/>
  <c r="X31" i="58"/>
  <c r="Z31" i="58"/>
  <c r="S40" i="58"/>
  <c r="O40" i="58"/>
  <c r="R40" i="58"/>
  <c r="M31" i="58"/>
  <c r="T40" i="58"/>
  <c r="X46" i="58"/>
  <c r="T38" i="58"/>
  <c r="O45" i="58"/>
  <c r="S48" i="58"/>
  <c r="M33" i="58"/>
  <c r="AE43" i="58"/>
  <c r="AF34" i="58"/>
  <c r="V38" i="58"/>
  <c r="AC46" i="58"/>
  <c r="T49" i="58"/>
  <c r="AG31" i="58"/>
  <c r="V40" i="58"/>
  <c r="AA33" i="58"/>
  <c r="Y38" i="58"/>
  <c r="M42" i="58"/>
  <c r="AF46" i="58"/>
  <c r="Y40" i="58"/>
  <c r="AA34" i="58"/>
  <c r="Z40" i="58"/>
  <c r="M45" i="58"/>
  <c r="AC45" i="58"/>
  <c r="T50" i="58"/>
  <c r="Y37" i="58"/>
  <c r="T37" i="58"/>
  <c r="V37" i="58"/>
  <c r="AA36" i="58"/>
  <c r="V36" i="58"/>
  <c r="Z36" i="58"/>
  <c r="Y36" i="58"/>
  <c r="AC42" i="58"/>
  <c r="V48" i="58"/>
  <c r="AJ30" i="58"/>
  <c r="AJ31" i="58"/>
  <c r="S36" i="58"/>
  <c r="AE38" i="58"/>
  <c r="AH40" i="58"/>
  <c r="O42" i="58"/>
  <c r="M43" i="58"/>
  <c r="X43" i="58"/>
  <c r="AH43" i="58"/>
  <c r="AA45" i="58"/>
  <c r="AN46" i="58"/>
  <c r="AF48" i="58"/>
  <c r="AJ50" i="58"/>
  <c r="Y51" i="58"/>
  <c r="AM51" i="58"/>
  <c r="AC48" i="58"/>
  <c r="AJ51" i="58"/>
  <c r="AC33" i="58"/>
  <c r="AL46" i="58"/>
  <c r="O51" i="58"/>
  <c r="R30" i="58"/>
  <c r="Q31" i="58"/>
  <c r="AC31" i="58"/>
  <c r="R33" i="58"/>
  <c r="AF33" i="58"/>
  <c r="AC36" i="58"/>
  <c r="AG38" i="58"/>
  <c r="AH42" i="58"/>
  <c r="Z43" i="58"/>
  <c r="X48" i="58"/>
  <c r="AG48" i="58"/>
  <c r="V49" i="58"/>
  <c r="X50" i="58"/>
  <c r="Q51" i="58"/>
  <c r="Z51" i="58"/>
  <c r="O30" i="58"/>
  <c r="O31" i="58"/>
  <c r="O33" i="58"/>
  <c r="V50" i="58"/>
  <c r="AL30" i="58"/>
  <c r="R31" i="58"/>
  <c r="AM31" i="58"/>
  <c r="S33" i="58"/>
  <c r="AL34" i="58"/>
  <c r="R42" i="58"/>
  <c r="Y48" i="58"/>
  <c r="Y50" i="58"/>
  <c r="AL50" i="58"/>
  <c r="R51" i="58"/>
  <c r="AM30" i="58"/>
  <c r="AE31" i="58"/>
  <c r="AN31" i="58"/>
  <c r="AN34" i="58"/>
  <c r="AF36" i="58"/>
  <c r="AJ38" i="58"/>
  <c r="AJ42" i="58"/>
  <c r="AC43" i="58"/>
  <c r="R45" i="58"/>
  <c r="AE46" i="58"/>
  <c r="Z48" i="58"/>
  <c r="Y49" i="58"/>
  <c r="AM50" i="58"/>
  <c r="S51" i="58"/>
  <c r="V51" i="58"/>
  <c r="Q36" i="58"/>
  <c r="AF31" i="58"/>
  <c r="AC34" i="58"/>
  <c r="X36" i="58"/>
  <c r="AG36" i="58"/>
  <c r="X38" i="58"/>
  <c r="Q40" i="58"/>
  <c r="AM40" i="58"/>
  <c r="Q43" i="58"/>
  <c r="AM43" i="58"/>
  <c r="AF45" i="58"/>
  <c r="Q48" i="58"/>
  <c r="AA48" i="58"/>
  <c r="AN50" i="58"/>
  <c r="T51" i="58"/>
  <c r="AH51" i="58"/>
  <c r="Z30" i="58"/>
  <c r="Y30" i="58"/>
  <c r="X30" i="58"/>
  <c r="V30" i="58"/>
  <c r="M50" i="58"/>
  <c r="S50" i="58"/>
  <c r="R50" i="58"/>
  <c r="AA30" i="58"/>
  <c r="AG30" i="58"/>
  <c r="AF30" i="58"/>
  <c r="T34" i="58"/>
  <c r="Z34" i="58"/>
  <c r="Y34" i="58"/>
  <c r="AG49" i="58"/>
  <c r="AF49" i="58"/>
  <c r="AE49" i="58"/>
  <c r="AC49" i="58"/>
  <c r="V34" i="58"/>
  <c r="AG66" i="58"/>
  <c r="AF66" i="58"/>
  <c r="AE66" i="58"/>
  <c r="AC66" i="58"/>
  <c r="S68" i="58"/>
  <c r="R68" i="58"/>
  <c r="Q68" i="58"/>
  <c r="O68" i="58"/>
  <c r="AN33" i="58"/>
  <c r="AM33" i="58"/>
  <c r="AL33" i="58"/>
  <c r="AJ33" i="58"/>
  <c r="S46" i="58"/>
  <c r="R46" i="58"/>
  <c r="Q46" i="58"/>
  <c r="O46" i="58"/>
  <c r="AH49" i="58"/>
  <c r="AN49" i="58"/>
  <c r="AM49" i="58"/>
  <c r="Q50" i="58"/>
  <c r="AN45" i="58"/>
  <c r="AM45" i="58"/>
  <c r="AL45" i="58"/>
  <c r="AJ45" i="58"/>
  <c r="AJ37" i="58"/>
  <c r="AC30" i="58"/>
  <c r="Y33" i="58"/>
  <c r="X33" i="58"/>
  <c r="V33" i="58"/>
  <c r="T33" i="58"/>
  <c r="AE30" i="58"/>
  <c r="Z33" i="58"/>
  <c r="X34" i="58"/>
  <c r="R37" i="58"/>
  <c r="Q37" i="58"/>
  <c r="O37" i="58"/>
  <c r="M37" i="58"/>
  <c r="M38" i="58"/>
  <c r="S38" i="58"/>
  <c r="R38" i="58"/>
  <c r="Z42" i="58"/>
  <c r="Y42" i="58"/>
  <c r="X42" i="58"/>
  <c r="V42" i="58"/>
  <c r="AM48" i="58"/>
  <c r="AL48" i="58"/>
  <c r="AJ48" i="58"/>
  <c r="AH48" i="58"/>
  <c r="S64" i="58"/>
  <c r="R64" i="58"/>
  <c r="Q64" i="58"/>
  <c r="O64" i="58"/>
  <c r="M64" i="58"/>
  <c r="S34" i="58"/>
  <c r="R34" i="58"/>
  <c r="Q34" i="58"/>
  <c r="O34" i="58"/>
  <c r="AH37" i="58"/>
  <c r="AN37" i="58"/>
  <c r="AM37" i="58"/>
  <c r="AM36" i="58"/>
  <c r="AL36" i="58"/>
  <c r="AJ36" i="58"/>
  <c r="AH36" i="58"/>
  <c r="R49" i="58"/>
  <c r="Q49" i="58"/>
  <c r="O49" i="58"/>
  <c r="M49" i="58"/>
  <c r="AG37" i="58"/>
  <c r="AF37" i="58"/>
  <c r="AE37" i="58"/>
  <c r="AC37" i="58"/>
  <c r="O38" i="58"/>
  <c r="AF40" i="58"/>
  <c r="AE40" i="58"/>
  <c r="AC40" i="58"/>
  <c r="AA40" i="58"/>
  <c r="T46" i="58"/>
  <c r="Z46" i="58"/>
  <c r="Y46" i="58"/>
  <c r="O50" i="58"/>
  <c r="AF51" i="58"/>
  <c r="AE51" i="58"/>
  <c r="AC51" i="58"/>
  <c r="AA51" i="58"/>
  <c r="T30" i="58"/>
  <c r="M34" i="58"/>
  <c r="S37" i="58"/>
  <c r="AA42" i="58"/>
  <c r="AG42" i="58"/>
  <c r="AF42" i="58"/>
  <c r="Y45" i="58"/>
  <c r="X45" i="58"/>
  <c r="V45" i="58"/>
  <c r="T45" i="58"/>
  <c r="AH45" i="58"/>
  <c r="AN48" i="58"/>
  <c r="AL49" i="58"/>
  <c r="Z64" i="58"/>
  <c r="Y64" i="58"/>
  <c r="X64" i="58"/>
  <c r="V64" i="58"/>
  <c r="T64" i="58"/>
  <c r="Y31" i="58"/>
  <c r="AM34" i="58"/>
  <c r="R36" i="58"/>
  <c r="AF38" i="58"/>
  <c r="Y43" i="58"/>
  <c r="AM46" i="58"/>
  <c r="R48" i="58"/>
  <c r="AF50" i="58"/>
  <c r="AF53" i="58"/>
  <c r="AC53" i="58"/>
  <c r="Y54" i="58"/>
  <c r="X54" i="58"/>
  <c r="Y60" i="58"/>
  <c r="X60" i="58"/>
  <c r="V60" i="58"/>
  <c r="AN60" i="58"/>
  <c r="AM60" i="58"/>
  <c r="AL60" i="58"/>
  <c r="T61" i="58"/>
  <c r="Z61" i="58"/>
  <c r="Y61" i="58"/>
  <c r="AE53" i="58"/>
  <c r="Z60" i="58"/>
  <c r="AN62" i="58"/>
  <c r="AM62" i="58"/>
  <c r="AL62" i="58"/>
  <c r="AJ62" i="58"/>
  <c r="AN66" i="58"/>
  <c r="AM66" i="58"/>
  <c r="AL66" i="58"/>
  <c r="T68" i="58"/>
  <c r="Z68" i="58"/>
  <c r="Y68" i="58"/>
  <c r="X68" i="58"/>
  <c r="Q30" i="58"/>
  <c r="T31" i="58"/>
  <c r="AE33" i="58"/>
  <c r="AH34" i="58"/>
  <c r="M36" i="58"/>
  <c r="X37" i="58"/>
  <c r="AA38" i="58"/>
  <c r="AL40" i="58"/>
  <c r="Q42" i="58"/>
  <c r="T43" i="58"/>
  <c r="AE45" i="58"/>
  <c r="AH46" i="58"/>
  <c r="M48" i="58"/>
  <c r="X49" i="58"/>
  <c r="AA50" i="58"/>
  <c r="AL51" i="58"/>
  <c r="S54" i="58"/>
  <c r="Q54" i="58"/>
  <c r="AA54" i="58"/>
  <c r="AG54" i="58"/>
  <c r="AF54" i="58"/>
  <c r="AG60" i="58"/>
  <c r="AF60" i="58"/>
  <c r="AE60" i="58"/>
  <c r="AA64" i="58"/>
  <c r="AG64" i="58"/>
  <c r="AF64" i="58"/>
  <c r="AE64" i="58"/>
  <c r="C8" i="58"/>
  <c r="L8" i="58" s="1"/>
  <c r="AN53" i="58"/>
  <c r="AL53" i="58"/>
  <c r="AC54" i="58"/>
  <c r="AC60" i="58"/>
  <c r="S61" i="58"/>
  <c r="R61" i="58"/>
  <c r="Q61" i="58"/>
  <c r="AC64" i="58"/>
  <c r="T62" i="58"/>
  <c r="AM64" i="58"/>
  <c r="R65" i="58"/>
  <c r="AH65" i="58"/>
  <c r="M66" i="58"/>
  <c r="AF68" i="58"/>
  <c r="AH61" i="58"/>
  <c r="M62" i="58"/>
  <c r="AN64" i="58"/>
  <c r="S65" i="58"/>
  <c r="AG68" i="58"/>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69" i="58" l="1"/>
  <c r="L72" i="58"/>
  <c r="L58" i="58"/>
  <c r="L73" i="58"/>
  <c r="L57" i="58"/>
  <c r="C19" i="58"/>
  <c r="L19" i="58" s="1"/>
  <c r="L62" i="58"/>
  <c r="L66" i="58"/>
  <c r="L60" i="58"/>
  <c r="L54" i="58"/>
  <c r="L53" i="58"/>
  <c r="L61" i="58"/>
  <c r="L65" i="58"/>
  <c r="L68" i="58"/>
  <c r="L64" i="58"/>
  <c r="L30" i="58"/>
  <c r="L31" i="58"/>
  <c r="L46" i="58"/>
  <c r="L33" i="58"/>
  <c r="L40" i="58"/>
  <c r="L36" i="58"/>
  <c r="L48" i="58"/>
  <c r="L37" i="58"/>
  <c r="L50" i="58"/>
  <c r="L43" i="58"/>
  <c r="L42" i="58"/>
  <c r="L51" i="58"/>
  <c r="L49" i="58"/>
  <c r="L34" i="58"/>
  <c r="L38" i="58"/>
  <c r="L45" i="58"/>
  <c r="L96" i="36"/>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0" i="7"/>
  <c r="AI90" i="7"/>
  <c r="AN90" i="7" s="1"/>
  <c r="AD90" i="7"/>
  <c r="AB90" i="7"/>
  <c r="AG90" i="7" s="1"/>
  <c r="W90" i="7"/>
  <c r="U90" i="7"/>
  <c r="Y90" i="7" s="1"/>
  <c r="T90" i="7"/>
  <c r="P90" i="7"/>
  <c r="N90" i="7"/>
  <c r="Q90" i="7" s="1"/>
  <c r="AK89" i="7"/>
  <c r="AI89" i="7"/>
  <c r="AL89" i="7" s="1"/>
  <c r="AD89" i="7"/>
  <c r="AB89" i="7"/>
  <c r="AF89" i="7" s="1"/>
  <c r="AA89" i="7"/>
  <c r="W89" i="7"/>
  <c r="U89" i="7"/>
  <c r="V89" i="7" s="1"/>
  <c r="P89" i="7"/>
  <c r="N89" i="7"/>
  <c r="O89" i="7" s="1"/>
  <c r="M89" i="7"/>
  <c r="AK88" i="7"/>
  <c r="AI88" i="7"/>
  <c r="AJ88" i="7" s="1"/>
  <c r="AH88" i="7"/>
  <c r="AD88" i="7"/>
  <c r="AB88" i="7"/>
  <c r="W88" i="7"/>
  <c r="U88" i="7"/>
  <c r="V88" i="7" s="1"/>
  <c r="T88" i="7"/>
  <c r="P88" i="7"/>
  <c r="N88" i="7"/>
  <c r="S88" i="7" s="1"/>
  <c r="AK87" i="7"/>
  <c r="AI87" i="7"/>
  <c r="AN87" i="7" s="1"/>
  <c r="AD87" i="7"/>
  <c r="AB87" i="7"/>
  <c r="AF87" i="7" s="1"/>
  <c r="W87" i="7"/>
  <c r="U87" i="7"/>
  <c r="X87" i="7" s="1"/>
  <c r="T87" i="7"/>
  <c r="P87" i="7"/>
  <c r="N87" i="7"/>
  <c r="AK86" i="7"/>
  <c r="AI86" i="7"/>
  <c r="AM86" i="7" s="1"/>
  <c r="AD86" i="7"/>
  <c r="AB86" i="7"/>
  <c r="AC86" i="7" s="1"/>
  <c r="W86" i="7"/>
  <c r="U86" i="7"/>
  <c r="T86" i="7" s="1"/>
  <c r="P86" i="7"/>
  <c r="N86" i="7"/>
  <c r="AK85" i="7"/>
  <c r="AI85" i="7"/>
  <c r="AD85" i="7"/>
  <c r="AB85" i="7"/>
  <c r="AC85" i="7" s="1"/>
  <c r="W85" i="7"/>
  <c r="U85" i="7"/>
  <c r="Z85" i="7" s="1"/>
  <c r="P85" i="7"/>
  <c r="N85" i="7"/>
  <c r="M85" i="7"/>
  <c r="AK84" i="7"/>
  <c r="AI84" i="7"/>
  <c r="AM84" i="7" s="1"/>
  <c r="AD84" i="7"/>
  <c r="AB84" i="7"/>
  <c r="AE84" i="7" s="1"/>
  <c r="W84" i="7"/>
  <c r="U84" i="7"/>
  <c r="Y84" i="7" s="1"/>
  <c r="P84" i="7"/>
  <c r="N84" i="7"/>
  <c r="O84" i="7" s="1"/>
  <c r="AK83" i="7"/>
  <c r="AI83" i="7"/>
  <c r="AJ83" i="7" s="1"/>
  <c r="AD83" i="7"/>
  <c r="AB83" i="7"/>
  <c r="AG83" i="7" s="1"/>
  <c r="W83" i="7"/>
  <c r="U83" i="7"/>
  <c r="P83" i="7"/>
  <c r="N83" i="7"/>
  <c r="AK81" i="7"/>
  <c r="AI81" i="7"/>
  <c r="AN81" i="7" s="1"/>
  <c r="AD81" i="7"/>
  <c r="AB81" i="7"/>
  <c r="AF81" i="7" s="1"/>
  <c r="W81" i="7"/>
  <c r="U81" i="7"/>
  <c r="X81" i="7" s="1"/>
  <c r="P81" i="7"/>
  <c r="N81" i="7"/>
  <c r="L81" i="7"/>
  <c r="AK80" i="7"/>
  <c r="AI80" i="7"/>
  <c r="AM80" i="7" s="1"/>
  <c r="AD80" i="7"/>
  <c r="AB80" i="7"/>
  <c r="AF80" i="7" s="1"/>
  <c r="W80" i="7"/>
  <c r="U80" i="7"/>
  <c r="T80" i="7" s="1"/>
  <c r="P80" i="7"/>
  <c r="N80" i="7"/>
  <c r="L80" i="7"/>
  <c r="AK79" i="7"/>
  <c r="AI79" i="7"/>
  <c r="AD79" i="7"/>
  <c r="AB79" i="7"/>
  <c r="AF79" i="7" s="1"/>
  <c r="AA79" i="7"/>
  <c r="W79" i="7"/>
  <c r="U79" i="7"/>
  <c r="P79" i="7"/>
  <c r="N79" i="7"/>
  <c r="M79" i="7" s="1"/>
  <c r="L79" i="7"/>
  <c r="AK78" i="7"/>
  <c r="AI78" i="7"/>
  <c r="AH78" i="7" s="1"/>
  <c r="AD78" i="7"/>
  <c r="AB78" i="7"/>
  <c r="AE78" i="7" s="1"/>
  <c r="W78" i="7"/>
  <c r="U78" i="7"/>
  <c r="Y78" i="7" s="1"/>
  <c r="P78" i="7"/>
  <c r="N78" i="7"/>
  <c r="L78" i="7"/>
  <c r="AK77" i="7"/>
  <c r="AI77" i="7"/>
  <c r="AD77" i="7"/>
  <c r="AB77" i="7"/>
  <c r="AC77" i="7" s="1"/>
  <c r="W77" i="7"/>
  <c r="U77" i="7"/>
  <c r="P77" i="7"/>
  <c r="N77" i="7"/>
  <c r="M77" i="7"/>
  <c r="L77" i="7"/>
  <c r="AK76" i="7"/>
  <c r="AI76" i="7"/>
  <c r="AM76" i="7" s="1"/>
  <c r="AH76" i="7"/>
  <c r="AD76" i="7"/>
  <c r="AB76" i="7"/>
  <c r="AF76" i="7" s="1"/>
  <c r="W76" i="7"/>
  <c r="U76" i="7"/>
  <c r="Y76" i="7" s="1"/>
  <c r="P76" i="7"/>
  <c r="N76" i="7"/>
  <c r="M76" i="7" s="1"/>
  <c r="L76" i="7"/>
  <c r="AK75" i="7"/>
  <c r="AI75" i="7"/>
  <c r="AH75" i="7" s="1"/>
  <c r="AD75" i="7"/>
  <c r="AB75" i="7"/>
  <c r="AF75" i="7" s="1"/>
  <c r="W75" i="7"/>
  <c r="U75" i="7"/>
  <c r="Z75" i="7" s="1"/>
  <c r="P75" i="7"/>
  <c r="N75" i="7"/>
  <c r="M75" i="7" s="1"/>
  <c r="L75" i="7"/>
  <c r="AK74" i="7"/>
  <c r="AI74" i="7"/>
  <c r="AH74" i="7" s="1"/>
  <c r="AD74" i="7"/>
  <c r="AB74" i="7"/>
  <c r="AF74" i="7" s="1"/>
  <c r="W74" i="7"/>
  <c r="U74" i="7"/>
  <c r="Y74" i="7" s="1"/>
  <c r="P74" i="7"/>
  <c r="N74" i="7"/>
  <c r="O74" i="7" s="1"/>
  <c r="L74" i="7"/>
  <c r="AK73" i="7"/>
  <c r="AI73" i="7"/>
  <c r="AD73" i="7"/>
  <c r="AB73" i="7"/>
  <c r="AF73" i="7" s="1"/>
  <c r="W73" i="7"/>
  <c r="U73" i="7"/>
  <c r="T73" i="7" s="1"/>
  <c r="P73" i="7"/>
  <c r="N73" i="7"/>
  <c r="L73" i="7"/>
  <c r="AK72" i="7"/>
  <c r="AI72" i="7"/>
  <c r="AM72" i="7" s="1"/>
  <c r="AD72" i="7"/>
  <c r="AB72" i="7"/>
  <c r="AF72" i="7" s="1"/>
  <c r="W72" i="7"/>
  <c r="U72" i="7"/>
  <c r="T72" i="7" s="1"/>
  <c r="P72" i="7"/>
  <c r="N72" i="7"/>
  <c r="L72" i="7"/>
  <c r="AK71" i="7"/>
  <c r="AI71" i="7"/>
  <c r="AM71" i="7" s="1"/>
  <c r="AD71" i="7"/>
  <c r="AB71" i="7"/>
  <c r="AA71" i="7" s="1"/>
  <c r="W71" i="7"/>
  <c r="U71" i="7"/>
  <c r="Y71" i="7" s="1"/>
  <c r="P71" i="7"/>
  <c r="N71" i="7"/>
  <c r="L71" i="7"/>
  <c r="AK70" i="7"/>
  <c r="AI70" i="7"/>
  <c r="AM70" i="7" s="1"/>
  <c r="AD70" i="7"/>
  <c r="AB70" i="7"/>
  <c r="AA70" i="7" s="1"/>
  <c r="W70" i="7"/>
  <c r="U70" i="7"/>
  <c r="Y70" i="7" s="1"/>
  <c r="T70" i="7"/>
  <c r="P70" i="7"/>
  <c r="N70" i="7"/>
  <c r="S70" i="7" s="1"/>
  <c r="L70" i="7"/>
  <c r="AK69" i="7"/>
  <c r="AI69" i="7"/>
  <c r="AN69" i="7" s="1"/>
  <c r="AD69" i="7"/>
  <c r="AB69" i="7"/>
  <c r="AA69" i="7" s="1"/>
  <c r="W69" i="7"/>
  <c r="U69" i="7"/>
  <c r="Y69" i="7" s="1"/>
  <c r="P69" i="7"/>
  <c r="N69" i="7"/>
  <c r="S69" i="7" s="1"/>
  <c r="M69" i="7"/>
  <c r="L69" i="7"/>
  <c r="AK68" i="7"/>
  <c r="AI68" i="7"/>
  <c r="AN68" i="7" s="1"/>
  <c r="AH68" i="7"/>
  <c r="AD68" i="7"/>
  <c r="AB68" i="7"/>
  <c r="AF68" i="7" s="1"/>
  <c r="W68" i="7"/>
  <c r="U68" i="7"/>
  <c r="Y68" i="7" s="1"/>
  <c r="P68" i="7"/>
  <c r="N68" i="7"/>
  <c r="M68" i="7" s="1"/>
  <c r="L68" i="7"/>
  <c r="AK67" i="7"/>
  <c r="AI67" i="7"/>
  <c r="AH67" i="7" s="1"/>
  <c r="AD67" i="7"/>
  <c r="AB67" i="7"/>
  <c r="AF67" i="7" s="1"/>
  <c r="W67" i="7"/>
  <c r="U67" i="7"/>
  <c r="X67" i="7" s="1"/>
  <c r="P67" i="7"/>
  <c r="N67" i="7"/>
  <c r="Q67" i="7" s="1"/>
  <c r="L67" i="7"/>
  <c r="AK66" i="7"/>
  <c r="AI66" i="7"/>
  <c r="AL66" i="7" s="1"/>
  <c r="AD66" i="7"/>
  <c r="AB66" i="7"/>
  <c r="AA66" i="7" s="1"/>
  <c r="W66" i="7"/>
  <c r="U66" i="7"/>
  <c r="V66" i="7" s="1"/>
  <c r="P66" i="7"/>
  <c r="N66" i="7"/>
  <c r="M66" i="7" s="1"/>
  <c r="L66" i="7"/>
  <c r="AK65" i="7"/>
  <c r="AI65" i="7"/>
  <c r="AH65" i="7" s="1"/>
  <c r="AD65" i="7"/>
  <c r="AB65" i="7"/>
  <c r="W65" i="7"/>
  <c r="U65" i="7"/>
  <c r="Y65" i="7" s="1"/>
  <c r="P65" i="7"/>
  <c r="N65" i="7"/>
  <c r="S65" i="7" s="1"/>
  <c r="L65" i="7"/>
  <c r="AK64" i="7"/>
  <c r="AI64" i="7"/>
  <c r="AN64" i="7" s="1"/>
  <c r="AD64" i="7"/>
  <c r="AB64" i="7"/>
  <c r="AF64" i="7" s="1"/>
  <c r="W64" i="7"/>
  <c r="U64" i="7"/>
  <c r="X64" i="7" s="1"/>
  <c r="P64" i="7"/>
  <c r="N64" i="7"/>
  <c r="M64" i="7" s="1"/>
  <c r="L64" i="7"/>
  <c r="AK63" i="7"/>
  <c r="AI63" i="7"/>
  <c r="AH63" i="7" s="1"/>
  <c r="AD63" i="7"/>
  <c r="AB63" i="7"/>
  <c r="W63" i="7"/>
  <c r="U63" i="7"/>
  <c r="T63" i="7" s="1"/>
  <c r="P63" i="7"/>
  <c r="N63" i="7"/>
  <c r="L63" i="7"/>
  <c r="AK62" i="7"/>
  <c r="AI62" i="7"/>
  <c r="AD62" i="7"/>
  <c r="AB62" i="7"/>
  <c r="AF62" i="7" s="1"/>
  <c r="W62" i="7"/>
  <c r="U62" i="7"/>
  <c r="P62" i="7"/>
  <c r="N62" i="7"/>
  <c r="M62" i="7"/>
  <c r="L62" i="7"/>
  <c r="AK59" i="7"/>
  <c r="AI59" i="7"/>
  <c r="AN59" i="7" s="1"/>
  <c r="AD59" i="7"/>
  <c r="AB59" i="7"/>
  <c r="W59" i="7"/>
  <c r="U59" i="7"/>
  <c r="Y59" i="7" s="1"/>
  <c r="T59" i="7"/>
  <c r="P59" i="7"/>
  <c r="N59" i="7"/>
  <c r="L59" i="7"/>
  <c r="AK58" i="7"/>
  <c r="AI58" i="7"/>
  <c r="AD58" i="7"/>
  <c r="AB58" i="7"/>
  <c r="AF58" i="7" s="1"/>
  <c r="W58" i="7"/>
  <c r="U58" i="7"/>
  <c r="Y58" i="7" s="1"/>
  <c r="P58" i="7"/>
  <c r="N58" i="7"/>
  <c r="M58" i="7" s="1"/>
  <c r="L58" i="7"/>
  <c r="AK57" i="7"/>
  <c r="AI57" i="7"/>
  <c r="AH57" i="7" s="1"/>
  <c r="AD57" i="7"/>
  <c r="AB57" i="7"/>
  <c r="W57" i="7"/>
  <c r="U57" i="7"/>
  <c r="T57" i="7" s="1"/>
  <c r="P57" i="7"/>
  <c r="N57" i="7"/>
  <c r="L57" i="7"/>
  <c r="AK56" i="7"/>
  <c r="AI56" i="7"/>
  <c r="AM56" i="7" s="1"/>
  <c r="AD56" i="7"/>
  <c r="AB56" i="7"/>
  <c r="AF56" i="7" s="1"/>
  <c r="W56" i="7"/>
  <c r="U56" i="7"/>
  <c r="Y56" i="7" s="1"/>
  <c r="P56" i="7"/>
  <c r="N56" i="7"/>
  <c r="L56" i="7"/>
  <c r="AK55" i="7"/>
  <c r="AI55" i="7"/>
  <c r="AM55" i="7" s="1"/>
  <c r="AD55" i="7"/>
  <c r="AB55" i="7"/>
  <c r="AA55" i="7" s="1"/>
  <c r="W55" i="7"/>
  <c r="U55" i="7"/>
  <c r="Z55" i="7" s="1"/>
  <c r="T55" i="7"/>
  <c r="P55" i="7"/>
  <c r="N55" i="7"/>
  <c r="S55" i="7" s="1"/>
  <c r="L55" i="7"/>
  <c r="AK54" i="7"/>
  <c r="AI54" i="7"/>
  <c r="AN54" i="7" s="1"/>
  <c r="AD54" i="7"/>
  <c r="AB54" i="7"/>
  <c r="AA54" i="7" s="1"/>
  <c r="W54" i="7"/>
  <c r="U54" i="7"/>
  <c r="Y54" i="7" s="1"/>
  <c r="P54" i="7"/>
  <c r="N54" i="7"/>
  <c r="L54" i="7"/>
  <c r="AK53" i="7"/>
  <c r="AI53" i="7"/>
  <c r="AM53" i="7" s="1"/>
  <c r="AD53" i="7"/>
  <c r="AB53" i="7"/>
  <c r="AF53" i="7" s="1"/>
  <c r="W53" i="7"/>
  <c r="U53" i="7"/>
  <c r="Y53" i="7" s="1"/>
  <c r="P53" i="7"/>
  <c r="N53" i="7"/>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I50" i="7"/>
  <c r="AM50" i="7" s="1"/>
  <c r="AD50" i="7"/>
  <c r="AB50" i="7"/>
  <c r="AF50" i="7" s="1"/>
  <c r="W50" i="7"/>
  <c r="U50" i="7"/>
  <c r="T50" i="7" s="1"/>
  <c r="P50" i="7"/>
  <c r="N50" i="7"/>
  <c r="L50" i="7"/>
  <c r="AK49" i="7"/>
  <c r="AI49" i="7"/>
  <c r="AM49" i="7" s="1"/>
  <c r="AD49" i="7"/>
  <c r="AB49" i="7"/>
  <c r="AF49" i="7" s="1"/>
  <c r="W49" i="7"/>
  <c r="U49" i="7"/>
  <c r="Z49" i="7" s="1"/>
  <c r="P49" i="7"/>
  <c r="N49" i="7"/>
  <c r="L49" i="7"/>
  <c r="AK48" i="7"/>
  <c r="AI48" i="7"/>
  <c r="AM48" i="7" s="1"/>
  <c r="AD48" i="7"/>
  <c r="AB48" i="7"/>
  <c r="AF48" i="7" s="1"/>
  <c r="W48" i="7"/>
  <c r="U48" i="7"/>
  <c r="Y48" i="7" s="1"/>
  <c r="P48" i="7"/>
  <c r="N48" i="7"/>
  <c r="L48" i="7"/>
  <c r="AK47" i="7"/>
  <c r="AI47" i="7"/>
  <c r="AM47" i="7" s="1"/>
  <c r="AD47" i="7"/>
  <c r="AB47" i="7"/>
  <c r="AF47" i="7" s="1"/>
  <c r="W47" i="7"/>
  <c r="U47" i="7"/>
  <c r="Y47" i="7" s="1"/>
  <c r="T47" i="7"/>
  <c r="P47" i="7"/>
  <c r="N47" i="7"/>
  <c r="S47" i="7" s="1"/>
  <c r="L47" i="7"/>
  <c r="AK46" i="7"/>
  <c r="AI46" i="7"/>
  <c r="AN46" i="7" s="1"/>
  <c r="AD46" i="7"/>
  <c r="AB46" i="7"/>
  <c r="AA46" i="7" s="1"/>
  <c r="W46" i="7"/>
  <c r="U46" i="7"/>
  <c r="Y46" i="7" s="1"/>
  <c r="P46" i="7"/>
  <c r="N46" i="7"/>
  <c r="L46" i="7"/>
  <c r="AK45" i="7"/>
  <c r="AI45" i="7"/>
  <c r="AM45" i="7" s="1"/>
  <c r="AD45" i="7"/>
  <c r="AB45" i="7"/>
  <c r="AF45" i="7" s="1"/>
  <c r="W45" i="7"/>
  <c r="U45" i="7"/>
  <c r="V45" i="7" s="1"/>
  <c r="P45" i="7"/>
  <c r="N45" i="7"/>
  <c r="L45" i="7"/>
  <c r="AK44" i="7"/>
  <c r="AI44" i="7"/>
  <c r="AL44" i="7" s="1"/>
  <c r="AD44" i="7"/>
  <c r="AB44" i="7"/>
  <c r="AF44" i="7" s="1"/>
  <c r="W44" i="7"/>
  <c r="U44" i="7"/>
  <c r="Z44" i="7" s="1"/>
  <c r="P44" i="7"/>
  <c r="N44" i="7"/>
  <c r="M44" i="7" s="1"/>
  <c r="L44" i="7"/>
  <c r="AK43" i="7"/>
  <c r="AI43" i="7"/>
  <c r="AH43" i="7" s="1"/>
  <c r="AD43" i="7"/>
  <c r="AB43" i="7"/>
  <c r="AA43" i="7" s="1"/>
  <c r="W43" i="7"/>
  <c r="U43" i="7"/>
  <c r="Y43" i="7" s="1"/>
  <c r="P43" i="7"/>
  <c r="N43" i="7"/>
  <c r="S43" i="7" s="1"/>
  <c r="L43" i="7"/>
  <c r="AK42" i="7"/>
  <c r="AI42" i="7"/>
  <c r="AN42" i="7" s="1"/>
  <c r="AD42" i="7"/>
  <c r="AB42" i="7"/>
  <c r="AA42" i="7" s="1"/>
  <c r="W42" i="7"/>
  <c r="U42" i="7"/>
  <c r="T42" i="7" s="1"/>
  <c r="P42" i="7"/>
  <c r="N42" i="7"/>
  <c r="L42" i="7"/>
  <c r="AK41" i="7"/>
  <c r="AI41" i="7"/>
  <c r="AM41" i="7" s="1"/>
  <c r="AD41" i="7"/>
  <c r="AB41" i="7"/>
  <c r="AG41" i="7" s="1"/>
  <c r="W41" i="7"/>
  <c r="U41" i="7"/>
  <c r="T41" i="7" s="1"/>
  <c r="P41" i="7"/>
  <c r="N41" i="7"/>
  <c r="L41" i="7"/>
  <c r="AK40" i="7"/>
  <c r="AI40" i="7"/>
  <c r="AM40" i="7" s="1"/>
  <c r="AH40" i="7"/>
  <c r="AD40" i="7"/>
  <c r="AB40" i="7"/>
  <c r="AF40" i="7" s="1"/>
  <c r="W40" i="7"/>
  <c r="U40" i="7"/>
  <c r="Z40" i="7" s="1"/>
  <c r="P40" i="7"/>
  <c r="N40" i="7"/>
  <c r="M40" i="7" s="1"/>
  <c r="L40" i="7"/>
  <c r="AK39" i="7"/>
  <c r="AI39" i="7"/>
  <c r="AH39" i="7" s="1"/>
  <c r="AD39" i="7"/>
  <c r="AB39" i="7"/>
  <c r="AA39" i="7" s="1"/>
  <c r="W39" i="7"/>
  <c r="U39" i="7"/>
  <c r="Y39" i="7" s="1"/>
  <c r="P39" i="7"/>
  <c r="N39" i="7"/>
  <c r="S39" i="7" s="1"/>
  <c r="L39" i="7"/>
  <c r="AK38" i="7"/>
  <c r="AI38" i="7"/>
  <c r="AN38" i="7" s="1"/>
  <c r="AD38" i="7"/>
  <c r="AB38" i="7"/>
  <c r="AA38" i="7" s="1"/>
  <c r="W38" i="7"/>
  <c r="U38" i="7"/>
  <c r="Z38" i="7" s="1"/>
  <c r="P38" i="7"/>
  <c r="N38" i="7"/>
  <c r="O38" i="7" s="1"/>
  <c r="L38" i="7"/>
  <c r="AK37" i="7"/>
  <c r="AI37" i="7"/>
  <c r="AJ37" i="7" s="1"/>
  <c r="AD37" i="7"/>
  <c r="AB37" i="7"/>
  <c r="AF37" i="7" s="1"/>
  <c r="AA37" i="7"/>
  <c r="W37" i="7"/>
  <c r="U37" i="7"/>
  <c r="T37" i="7" s="1"/>
  <c r="P37" i="7"/>
  <c r="N37" i="7"/>
  <c r="O37" i="7" s="1"/>
  <c r="L37" i="7"/>
  <c r="AK36" i="7"/>
  <c r="AI36" i="7"/>
  <c r="AJ36" i="7" s="1"/>
  <c r="AD36" i="7"/>
  <c r="AB36" i="7"/>
  <c r="AC36" i="7" s="1"/>
  <c r="W36" i="7"/>
  <c r="U36" i="7"/>
  <c r="T36" i="7" s="1"/>
  <c r="P36" i="7"/>
  <c r="N36" i="7"/>
  <c r="Q36" i="7" s="1"/>
  <c r="L36" i="7"/>
  <c r="AK35" i="7"/>
  <c r="AI35" i="7"/>
  <c r="AL35" i="7" s="1"/>
  <c r="AD35" i="7"/>
  <c r="AB35" i="7"/>
  <c r="AC35" i="7" s="1"/>
  <c r="W35" i="7"/>
  <c r="U35" i="7"/>
  <c r="V35" i="7" s="1"/>
  <c r="P35" i="7"/>
  <c r="N35" i="7"/>
  <c r="L35" i="7"/>
  <c r="AK34" i="7"/>
  <c r="AI34" i="7"/>
  <c r="AM34" i="7" s="1"/>
  <c r="AH34" i="7"/>
  <c r="AD34" i="7"/>
  <c r="AB34" i="7"/>
  <c r="AA34" i="7" s="1"/>
  <c r="W34" i="7"/>
  <c r="U34" i="7"/>
  <c r="V34" i="7" s="1"/>
  <c r="P34" i="7"/>
  <c r="N34" i="7"/>
  <c r="M34" i="7" s="1"/>
  <c r="L34" i="7"/>
  <c r="AK33" i="7"/>
  <c r="AI33" i="7"/>
  <c r="AH33" i="7" s="1"/>
  <c r="AD33" i="7"/>
  <c r="AB33" i="7"/>
  <c r="AA33" i="7" s="1"/>
  <c r="W33" i="7"/>
  <c r="U33" i="7"/>
  <c r="X33" i="7" s="1"/>
  <c r="P33" i="7"/>
  <c r="N33" i="7"/>
  <c r="O33" i="7" s="1"/>
  <c r="L33" i="7"/>
  <c r="AK32" i="7"/>
  <c r="AI32" i="7"/>
  <c r="AJ32" i="7" s="1"/>
  <c r="AD32" i="7"/>
  <c r="AB32" i="7"/>
  <c r="AC32" i="7" s="1"/>
  <c r="W32" i="7"/>
  <c r="U32" i="7"/>
  <c r="Y32" i="7" s="1"/>
  <c r="T32" i="7"/>
  <c r="P32" i="7"/>
  <c r="N32" i="7"/>
  <c r="M32" i="7" s="1"/>
  <c r="L32" i="7"/>
  <c r="AK31" i="7"/>
  <c r="AI31" i="7"/>
  <c r="AH31" i="7" s="1"/>
  <c r="AD31" i="7"/>
  <c r="AB31" i="7"/>
  <c r="AC31" i="7" s="1"/>
  <c r="W31" i="7"/>
  <c r="U31" i="7"/>
  <c r="T31" i="7" s="1"/>
  <c r="P31" i="7"/>
  <c r="N31" i="7"/>
  <c r="M31" i="7" s="1"/>
  <c r="L31" i="7"/>
  <c r="AK30" i="7"/>
  <c r="AI30" i="7"/>
  <c r="AH30" i="7" s="1"/>
  <c r="AD30" i="7"/>
  <c r="AB30" i="7"/>
  <c r="AE30" i="7" s="1"/>
  <c r="W30" i="7"/>
  <c r="U30" i="7"/>
  <c r="V30" i="7" s="1"/>
  <c r="P30" i="7"/>
  <c r="N30" i="7"/>
  <c r="O30" i="7" s="1"/>
  <c r="L30" i="7"/>
  <c r="L18" i="7"/>
  <c r="L17" i="7"/>
  <c r="L15" i="7"/>
  <c r="L14" i="7"/>
  <c r="L13" i="7"/>
  <c r="AF70" i="7" l="1"/>
  <c r="T49" i="7"/>
  <c r="AN84" i="7"/>
  <c r="AL84" i="7"/>
  <c r="V57" i="7"/>
  <c r="AG44" i="7"/>
  <c r="AG58" i="7"/>
  <c r="AG45" i="7"/>
  <c r="Q87" i="7"/>
  <c r="AM66" i="7"/>
  <c r="V84" i="7"/>
  <c r="O46" i="7"/>
  <c r="X84" i="7"/>
  <c r="V74" i="7"/>
  <c r="AM30" i="7"/>
  <c r="V65" i="7"/>
  <c r="O35" i="7"/>
  <c r="AL41" i="7"/>
  <c r="AC45" i="7"/>
  <c r="AA67" i="7"/>
  <c r="AL30" i="7"/>
  <c r="X74" i="7"/>
  <c r="AE44" i="7"/>
  <c r="AL74" i="7"/>
  <c r="AM74" i="7"/>
  <c r="S89" i="7"/>
  <c r="AE69" i="7"/>
  <c r="O87" i="7"/>
  <c r="Y63" i="7"/>
  <c r="AF69" i="7"/>
  <c r="S87" i="7"/>
  <c r="Z84" i="7"/>
  <c r="AE62" i="7"/>
  <c r="AL65" i="7"/>
  <c r="AM36" i="7"/>
  <c r="AC42" i="7"/>
  <c r="AM65" i="7"/>
  <c r="Q71" i="7"/>
  <c r="X34" i="7"/>
  <c r="AN36" i="7"/>
  <c r="Q54" i="7"/>
  <c r="Y34" i="7"/>
  <c r="AE42" i="7"/>
  <c r="S54" i="7"/>
  <c r="V63" i="7"/>
  <c r="AE31" i="7"/>
  <c r="M37" i="7"/>
  <c r="AF42" i="7"/>
  <c r="Q89" i="7"/>
  <c r="AG36" i="7"/>
  <c r="AC54" i="7"/>
  <c r="AE48" i="7"/>
  <c r="AN34" i="7"/>
  <c r="AC69" i="7"/>
  <c r="AJ74" i="7"/>
  <c r="AE89" i="7"/>
  <c r="AJ53" i="7"/>
  <c r="AJ65" i="7"/>
  <c r="AL88" i="7"/>
  <c r="Q31" i="7"/>
  <c r="O71" i="7"/>
  <c r="V80" i="7"/>
  <c r="AJ34" i="7"/>
  <c r="AL71" i="7"/>
  <c r="X80" i="7"/>
  <c r="AC66" i="7"/>
  <c r="AJ57" i="7"/>
  <c r="AG37" i="7"/>
  <c r="X43" i="7"/>
  <c r="O64" i="7"/>
  <c r="AH80" i="7"/>
  <c r="AG89" i="7"/>
  <c r="AL33" i="7"/>
  <c r="AM44" i="7"/>
  <c r="O42" i="7"/>
  <c r="AE36" i="7"/>
  <c r="S42" i="7"/>
  <c r="AN88" i="7"/>
  <c r="AM88" i="7"/>
  <c r="Y64" i="7"/>
  <c r="AM87" i="7"/>
  <c r="AC46" i="7"/>
  <c r="Y55" i="7"/>
  <c r="Z72" i="7"/>
  <c r="S85" i="7"/>
  <c r="Y67" i="7"/>
  <c r="X30" i="7"/>
  <c r="V33" i="7"/>
  <c r="X38" i="7"/>
  <c r="AF46" i="7"/>
  <c r="AF55" i="7"/>
  <c r="AG72" i="7"/>
  <c r="AF78" i="7"/>
  <c r="AA85" i="7"/>
  <c r="AF36" i="7"/>
  <c r="V86" i="7"/>
  <c r="V39" i="7"/>
  <c r="AC68" i="7"/>
  <c r="X86" i="7"/>
  <c r="AJ50" i="7"/>
  <c r="O58" i="7"/>
  <c r="V72" i="7"/>
  <c r="X72" i="7"/>
  <c r="V38" i="7"/>
  <c r="AE46" i="7"/>
  <c r="AA44" i="7"/>
  <c r="AL49" i="7"/>
  <c r="AC58" i="7"/>
  <c r="X88" i="7"/>
  <c r="S58" i="7"/>
  <c r="Q58" i="7"/>
  <c r="Y72" i="7"/>
  <c r="Y33" i="7"/>
  <c r="AN49" i="7"/>
  <c r="Y88" i="7"/>
  <c r="AC44" i="7"/>
  <c r="AE58" i="7"/>
  <c r="AM81" i="7"/>
  <c r="Z88" i="7"/>
  <c r="X55" i="7"/>
  <c r="M42" i="7"/>
  <c r="AA62" i="7"/>
  <c r="AM75" i="7"/>
  <c r="M83" i="7"/>
  <c r="V53" i="7"/>
  <c r="AF31" i="7"/>
  <c r="O34" i="7"/>
  <c r="Z34" i="7"/>
  <c r="V36" i="7"/>
  <c r="AM38" i="7"/>
  <c r="X39" i="7"/>
  <c r="X41" i="7"/>
  <c r="X42" i="7"/>
  <c r="AM42" i="7"/>
  <c r="Z43" i="7"/>
  <c r="X45" i="7"/>
  <c r="Q46" i="7"/>
  <c r="AG48" i="7"/>
  <c r="AL53" i="7"/>
  <c r="X57" i="7"/>
  <c r="AL57" i="7"/>
  <c r="Q64" i="7"/>
  <c r="X65" i="7"/>
  <c r="O68" i="7"/>
  <c r="AE68" i="7"/>
  <c r="AC71" i="7"/>
  <c r="AE77" i="7"/>
  <c r="S78" i="7"/>
  <c r="Y81" i="7"/>
  <c r="AF90" i="7"/>
  <c r="X31" i="7"/>
  <c r="AG31" i="7"/>
  <c r="V32" i="7"/>
  <c r="AH36" i="7"/>
  <c r="AL40" i="7"/>
  <c r="AL45" i="7"/>
  <c r="S46" i="7"/>
  <c r="AG46" i="7"/>
  <c r="Q48" i="7"/>
  <c r="O50" i="7"/>
  <c r="M52" i="7"/>
  <c r="Z53" i="7"/>
  <c r="AN53" i="7"/>
  <c r="Q56" i="7"/>
  <c r="Y57" i="7"/>
  <c r="AM57" i="7"/>
  <c r="AJ63" i="7"/>
  <c r="AM64" i="7"/>
  <c r="Z65" i="7"/>
  <c r="AG69" i="7"/>
  <c r="O73" i="7"/>
  <c r="Z74" i="7"/>
  <c r="Y75" i="7"/>
  <c r="AJ76" i="7"/>
  <c r="Q77" i="7"/>
  <c r="AF77" i="7"/>
  <c r="T78" i="7"/>
  <c r="AA81" i="7"/>
  <c r="AA84" i="7"/>
  <c r="Y87" i="7"/>
  <c r="AH90" i="7"/>
  <c r="AN45" i="7"/>
  <c r="S48" i="7"/>
  <c r="Z57" i="7"/>
  <c r="AN57" i="7"/>
  <c r="AE71" i="7"/>
  <c r="S77" i="7"/>
  <c r="AG77" i="7"/>
  <c r="AE79" i="7"/>
  <c r="AE85" i="7"/>
  <c r="V31" i="7"/>
  <c r="AJ45" i="7"/>
  <c r="X36" i="7"/>
  <c r="AJ30" i="7"/>
  <c r="Z31" i="7"/>
  <c r="Z32" i="7"/>
  <c r="AJ33" i="7"/>
  <c r="T34" i="7"/>
  <c r="AM35" i="7"/>
  <c r="Y36" i="7"/>
  <c r="Q37" i="7"/>
  <c r="AE39" i="7"/>
  <c r="Q50" i="7"/>
  <c r="Q62" i="7"/>
  <c r="AG62" i="7"/>
  <c r="AL63" i="7"/>
  <c r="O66" i="7"/>
  <c r="AJ67" i="7"/>
  <c r="AF71" i="7"/>
  <c r="Q73" i="7"/>
  <c r="O75" i="7"/>
  <c r="AL76" i="7"/>
  <c r="AG79" i="7"/>
  <c r="T84" i="7"/>
  <c r="Q85" i="7"/>
  <c r="AF85" i="7"/>
  <c r="Y31" i="7"/>
  <c r="Q34" i="7"/>
  <c r="S31" i="7"/>
  <c r="AA31" i="7"/>
  <c r="AA32" i="7"/>
  <c r="S35" i="7"/>
  <c r="AL36" i="7"/>
  <c r="S37" i="7"/>
  <c r="AF39" i="7"/>
  <c r="AJ41" i="7"/>
  <c r="Q42" i="7"/>
  <c r="M46" i="7"/>
  <c r="S50" i="7"/>
  <c r="AH53" i="7"/>
  <c r="AE54" i="7"/>
  <c r="V55" i="7"/>
  <c r="AH59" i="7"/>
  <c r="S62" i="7"/>
  <c r="X63" i="7"/>
  <c r="AA64" i="7"/>
  <c r="AE66" i="7"/>
  <c r="V67" i="7"/>
  <c r="Z76" i="7"/>
  <c r="AN76" i="7"/>
  <c r="Q79" i="7"/>
  <c r="AA83" i="7"/>
  <c r="AG85" i="7"/>
  <c r="O56" i="7"/>
  <c r="AH51" i="7"/>
  <c r="Q66" i="7"/>
  <c r="AM67" i="7"/>
  <c r="Q75" i="7"/>
  <c r="AA77" i="7"/>
  <c r="AH89" i="7"/>
  <c r="AC38" i="7"/>
  <c r="AC40" i="7"/>
  <c r="AC76" i="7"/>
  <c r="V47" i="7"/>
  <c r="O52" i="7"/>
  <c r="AJ80" i="7"/>
  <c r="Y85" i="7"/>
  <c r="AE87" i="7"/>
  <c r="AC30" i="7"/>
  <c r="AN30" i="7"/>
  <c r="Q33" i="7"/>
  <c r="AE33" i="7"/>
  <c r="AM33" i="7"/>
  <c r="M35" i="7"/>
  <c r="O36" i="7"/>
  <c r="Z36" i="7"/>
  <c r="AE38" i="7"/>
  <c r="Z39" i="7"/>
  <c r="AE40" i="7"/>
  <c r="AN41" i="7"/>
  <c r="AG42" i="7"/>
  <c r="AH44" i="7"/>
  <c r="AH45" i="7"/>
  <c r="AN47" i="7"/>
  <c r="V49" i="7"/>
  <c r="AG49" i="7"/>
  <c r="M50" i="7"/>
  <c r="Y50" i="7"/>
  <c r="X51" i="7"/>
  <c r="AC52" i="7"/>
  <c r="AF54" i="7"/>
  <c r="AL55" i="7"/>
  <c r="S56" i="7"/>
  <c r="AE56" i="7"/>
  <c r="V59" i="7"/>
  <c r="AJ59" i="7"/>
  <c r="Z63" i="7"/>
  <c r="AM63" i="7"/>
  <c r="AN65" i="7"/>
  <c r="S66" i="7"/>
  <c r="AF66" i="7"/>
  <c r="AC67" i="7"/>
  <c r="Z68" i="7"/>
  <c r="AJ68" i="7"/>
  <c r="O69" i="7"/>
  <c r="V70" i="7"/>
  <c r="AG71" i="7"/>
  <c r="Q72" i="7"/>
  <c r="AL72" i="7"/>
  <c r="S73" i="7"/>
  <c r="AE73" i="7"/>
  <c r="AN74" i="7"/>
  <c r="S75" i="7"/>
  <c r="AE75" i="7"/>
  <c r="Y80" i="7"/>
  <c r="Q81" i="7"/>
  <c r="O83" i="7"/>
  <c r="AC83" i="7"/>
  <c r="Y86" i="7"/>
  <c r="AL86" i="7"/>
  <c r="AG87" i="7"/>
  <c r="AJ90" i="7"/>
  <c r="AC33" i="7"/>
  <c r="AC75" i="7"/>
  <c r="AJ86" i="7"/>
  <c r="AC41" i="7"/>
  <c r="O43"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AG66" i="7"/>
  <c r="T67" i="7"/>
  <c r="AM69" i="7"/>
  <c r="AN70" i="7"/>
  <c r="AN72" i="7"/>
  <c r="AG73" i="7"/>
  <c r="T74" i="7"/>
  <c r="AG75" i="7"/>
  <c r="X78" i="7"/>
  <c r="AL78" i="7"/>
  <c r="Z80" i="7"/>
  <c r="AL80" i="7"/>
  <c r="S81" i="7"/>
  <c r="AE81" i="7"/>
  <c r="Z86" i="7"/>
  <c r="AN86" i="7"/>
  <c r="AM89" i="7"/>
  <c r="X90" i="7"/>
  <c r="AJ47" i="7"/>
  <c r="V51" i="7"/>
  <c r="AC56" i="7"/>
  <c r="AC73" i="7"/>
  <c r="AG33" i="7"/>
  <c r="AG38" i="7"/>
  <c r="AF43" i="7"/>
  <c r="AA58" i="7"/>
  <c r="X59" i="7"/>
  <c r="AL59" i="7"/>
  <c r="AG64" i="7"/>
  <c r="T65" i="7"/>
  <c r="AE67" i="7"/>
  <c r="AL68" i="7"/>
  <c r="Q69" i="7"/>
  <c r="X70" i="7"/>
  <c r="O77" i="7"/>
  <c r="Z78" i="7"/>
  <c r="AC79" i="7"/>
  <c r="AN80" i="7"/>
  <c r="T81" i="7"/>
  <c r="AG81" i="7"/>
  <c r="Q83" i="7"/>
  <c r="AE83" i="7"/>
  <c r="AF84" i="7"/>
  <c r="M87" i="7"/>
  <c r="AC89" i="7"/>
  <c r="M90" i="7"/>
  <c r="Z90" i="7"/>
  <c r="AL90" i="7"/>
  <c r="AJ55" i="7"/>
  <c r="O81" i="7"/>
  <c r="AJ51" i="7"/>
  <c r="AM52" i="7"/>
  <c r="X49" i="7"/>
  <c r="AM51" i="7"/>
  <c r="AE52" i="7"/>
  <c r="O31" i="7"/>
  <c r="AJ35" i="7"/>
  <c r="T39" i="7"/>
  <c r="V41" i="7"/>
  <c r="AH41" i="7"/>
  <c r="V43" i="7"/>
  <c r="O48" i="7"/>
  <c r="AC48" i="7"/>
  <c r="Y49" i="7"/>
  <c r="AJ49" i="7"/>
  <c r="AF52" i="7"/>
  <c r="O54" i="7"/>
  <c r="M56" i="7"/>
  <c r="Z59" i="7"/>
  <c r="AM59" i="7"/>
  <c r="AM68" i="7"/>
  <c r="Z70" i="7"/>
  <c r="M71" i="7"/>
  <c r="M73" i="7"/>
  <c r="AA78" i="7"/>
  <c r="S83" i="7"/>
  <c r="AF83" i="7"/>
  <c r="AH84" i="7"/>
  <c r="AM90" i="7"/>
  <c r="AJ72" i="7"/>
  <c r="AC64" i="7"/>
  <c r="V78" i="7"/>
  <c r="AF30" i="7"/>
  <c r="Z47" i="7"/>
  <c r="AL32" i="7"/>
  <c r="AA40" i="7"/>
  <c r="T51" i="7"/>
  <c r="AH55" i="7"/>
  <c r="AA56" i="7"/>
  <c r="AH72" i="7"/>
  <c r="AA73" i="7"/>
  <c r="AA75" i="7"/>
  <c r="M81" i="7"/>
  <c r="AH86" i="7"/>
  <c r="AA87"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Z62" i="7"/>
  <c r="X62" i="7"/>
  <c r="V62" i="7"/>
  <c r="T62" i="7"/>
  <c r="T83" i="7"/>
  <c r="Z83" i="7"/>
  <c r="Y83" i="7"/>
  <c r="X83" i="7"/>
  <c r="V83" i="7"/>
  <c r="AN58" i="7"/>
  <c r="AL58" i="7"/>
  <c r="AJ58" i="7"/>
  <c r="AH58" i="7"/>
  <c r="Z30" i="7"/>
  <c r="X32" i="7"/>
  <c r="AF32" i="7"/>
  <c r="AN32" i="7"/>
  <c r="S33" i="7"/>
  <c r="AL34" i="7"/>
  <c r="Q35" i="7"/>
  <c r="Y35" i="7"/>
  <c r="AG35" i="7"/>
  <c r="AE37" i="7"/>
  <c r="AM37" i="7"/>
  <c r="AJ38" i="7"/>
  <c r="AN40" i="7"/>
  <c r="AJ40" i="7"/>
  <c r="Q41" i="7"/>
  <c r="Z41" i="7"/>
  <c r="AJ42"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Y62" i="7"/>
  <c r="T77" i="7"/>
  <c r="Z77" i="7"/>
  <c r="Y77" i="7"/>
  <c r="V77" i="7"/>
  <c r="X77" i="7"/>
  <c r="Z79" i="7"/>
  <c r="X79" i="7"/>
  <c r="T79" i="7"/>
  <c r="Y79" i="7"/>
  <c r="V79" i="7"/>
  <c r="O45" i="7"/>
  <c r="S45" i="7"/>
  <c r="AJ46" i="7"/>
  <c r="AH46" i="7"/>
  <c r="AL46" i="7"/>
  <c r="AE47" i="7"/>
  <c r="AC47" i="7"/>
  <c r="AG47" i="7"/>
  <c r="Q53" i="7"/>
  <c r="O53" i="7"/>
  <c r="S53" i="7"/>
  <c r="T30" i="7"/>
  <c r="AM31" i="7"/>
  <c r="AH32" i="7"/>
  <c r="M33" i="7"/>
  <c r="AF34" i="7"/>
  <c r="AA35" i="7"/>
  <c r="Y37" i="7"/>
  <c r="T38" i="7"/>
  <c r="AM39" i="7"/>
  <c r="AM43"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AA47" i="7"/>
  <c r="AL47" i="7"/>
  <c r="M49" i="7"/>
  <c r="S49" i="7"/>
  <c r="O49" i="7"/>
  <c r="AA50" i="7"/>
  <c r="AF51" i="7"/>
  <c r="V52" i="7"/>
  <c r="T52" i="7"/>
  <c r="X52" i="7"/>
  <c r="M53" i="7"/>
  <c r="X53" i="7"/>
  <c r="AM54" i="7"/>
  <c r="AH56" i="7"/>
  <c r="AN56" i="7"/>
  <c r="AL56" i="7"/>
  <c r="AJ56" i="7"/>
  <c r="AF57" i="7"/>
  <c r="X58" i="7"/>
  <c r="V58" i="7"/>
  <c r="T58" i="7"/>
  <c r="Z58" i="7"/>
  <c r="AF59"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T64" i="7"/>
  <c r="AJ64" i="7"/>
  <c r="O65" i="7"/>
  <c r="Z66" i="7"/>
  <c r="AH66" i="7"/>
  <c r="M67" i="7"/>
  <c r="V68" i="7"/>
  <c r="T69" i="7"/>
  <c r="Z69" i="7"/>
  <c r="V69" i="7"/>
  <c r="O70" i="7"/>
  <c r="M70" i="7"/>
  <c r="Q70" i="7"/>
  <c r="AJ70" i="7"/>
  <c r="X73" i="7"/>
  <c r="V73" i="7"/>
  <c r="Z73" i="7"/>
  <c r="AA74" i="7"/>
  <c r="AG74" i="7"/>
  <c r="AC74" i="7"/>
  <c r="V76" i="7"/>
  <c r="AH85" i="7"/>
  <c r="AN85" i="7"/>
  <c r="AM85" i="7"/>
  <c r="AL85" i="7"/>
  <c r="AJ85" i="7"/>
  <c r="AA88" i="7"/>
  <c r="AG88" i="7"/>
  <c r="AF88" i="7"/>
  <c r="AE88" i="7"/>
  <c r="AC88" i="7"/>
  <c r="AN73" i="7"/>
  <c r="AL73" i="7"/>
  <c r="AH73" i="7"/>
  <c r="AM77" i="7"/>
  <c r="O79" i="7"/>
  <c r="V64" i="7"/>
  <c r="AL64" i="7"/>
  <c r="Q65" i="7"/>
  <c r="T66" i="7"/>
  <c r="AJ66" i="7"/>
  <c r="O67" i="7"/>
  <c r="AG67" i="7"/>
  <c r="Q68" i="7"/>
  <c r="S68" i="7"/>
  <c r="X68" i="7"/>
  <c r="X69" i="7"/>
  <c r="AL70" i="7"/>
  <c r="S71" i="7"/>
  <c r="Y73" i="7"/>
  <c r="AJ73" i="7"/>
  <c r="AE74" i="7"/>
  <c r="X76" i="7"/>
  <c r="AN77" i="7"/>
  <c r="M80" i="7"/>
  <c r="S80" i="7"/>
  <c r="Q80" i="7"/>
  <c r="O80" i="7"/>
  <c r="M86" i="7"/>
  <c r="S86" i="7"/>
  <c r="Q86" i="7"/>
  <c r="O86" i="7"/>
  <c r="AJ69" i="7"/>
  <c r="AH69" i="7"/>
  <c r="AL69" i="7"/>
  <c r="AE70" i="7"/>
  <c r="AC70" i="7"/>
  <c r="AG70" i="7"/>
  <c r="Z71" i="7"/>
  <c r="X71" i="7"/>
  <c r="T71" i="7"/>
  <c r="M72" i="7"/>
  <c r="S72" i="7"/>
  <c r="O72" i="7"/>
  <c r="V75" i="7"/>
  <c r="T75" i="7"/>
  <c r="X75" i="7"/>
  <c r="Q76" i="7"/>
  <c r="O76" i="7"/>
  <c r="S76" i="7"/>
  <c r="AM78" i="7"/>
  <c r="AJ78" i="7"/>
  <c r="AC80" i="7"/>
  <c r="AA80" i="7"/>
  <c r="AG80" i="7"/>
  <c r="AE80" i="7"/>
  <c r="Z67" i="7"/>
  <c r="AL67" i="7"/>
  <c r="AN67" i="7"/>
  <c r="AG68" i="7"/>
  <c r="AA68" i="7"/>
  <c r="V71" i="7"/>
  <c r="AM73" i="7"/>
  <c r="AG76" i="7"/>
  <c r="AE76" i="7"/>
  <c r="AA76" i="7"/>
  <c r="O78" i="7"/>
  <c r="M78" i="7"/>
  <c r="Q78" i="7"/>
  <c r="S79" i="7"/>
  <c r="AG78" i="7"/>
  <c r="Z81" i="7"/>
  <c r="AH81" i="7"/>
  <c r="AL83" i="7"/>
  <c r="Q84" i="7"/>
  <c r="AG84" i="7"/>
  <c r="T85" i="7"/>
  <c r="AE86" i="7"/>
  <c r="Z87" i="7"/>
  <c r="AH87" i="7"/>
  <c r="M88" i="7"/>
  <c r="X89" i="7"/>
  <c r="AN89" i="7"/>
  <c r="S90" i="7"/>
  <c r="AA90" i="7"/>
  <c r="AM83" i="7"/>
  <c r="AF86" i="7"/>
  <c r="Y89" i="7"/>
  <c r="AJ81" i="7"/>
  <c r="AN83" i="7"/>
  <c r="S84" i="7"/>
  <c r="V85" i="7"/>
  <c r="AG86" i="7"/>
  <c r="AJ87" i="7"/>
  <c r="O88" i="7"/>
  <c r="Z89" i="7"/>
  <c r="AC90" i="7"/>
  <c r="AC81" i="7"/>
  <c r="AJ84" i="7"/>
  <c r="O85" i="7"/>
  <c r="AC87" i="7"/>
  <c r="V90" i="7"/>
  <c r="AC78" i="7"/>
  <c r="V81" i="7"/>
  <c r="AL81" i="7"/>
  <c r="AH83" i="7"/>
  <c r="M84" i="7"/>
  <c r="AC84" i="7"/>
  <c r="X85" i="7"/>
  <c r="AA86" i="7"/>
  <c r="V87" i="7"/>
  <c r="AL87" i="7"/>
  <c r="Q88" i="7"/>
  <c r="T89" i="7"/>
  <c r="AJ89" i="7"/>
  <c r="O90" i="7"/>
  <c r="AE90" i="7"/>
  <c r="L87" i="7" l="1"/>
  <c r="L85" i="7"/>
  <c r="L88" i="7"/>
  <c r="L84" i="7"/>
  <c r="L89" i="7"/>
  <c r="L98" i="8"/>
  <c r="L94" i="8"/>
  <c r="L102" i="8"/>
  <c r="C9" i="8"/>
  <c r="L9" i="8" s="1"/>
  <c r="C8" i="8"/>
  <c r="L8" i="8" s="1"/>
  <c r="L4" i="8"/>
  <c r="C7" i="8" a="1"/>
  <c r="C7" i="8" s="1"/>
  <c r="L86" i="7"/>
  <c r="L90"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B26" i="7" l="1"/>
  <c r="C26" i="7" s="1"/>
  <c r="L26" i="7" s="1"/>
  <c r="C12" i="7"/>
  <c r="L12" i="7" s="1"/>
  <c r="C10" i="7"/>
  <c r="L10" i="7" s="1"/>
  <c r="C1" i="36" a="1"/>
  <c r="C11" i="7" l="1"/>
  <c r="L11" i="7" s="1"/>
  <c r="C1" i="36"/>
  <c r="C11" i="36" s="1"/>
  <c r="L11" i="36" s="1"/>
  <c r="L1" i="7"/>
  <c r="C16" i="7"/>
  <c r="L16" i="7" s="1"/>
  <c r="B27" i="7"/>
  <c r="C27" i="7" s="1"/>
  <c r="L27" i="7" s="1"/>
  <c r="C10" i="36" l="1"/>
  <c r="L10" i="36" s="1"/>
  <c r="B27" i="36"/>
  <c r="C27" i="36" s="1"/>
  <c r="L27" i="36" s="1"/>
  <c r="B26" i="36"/>
  <c r="C26" i="36" s="1"/>
  <c r="L26" i="36" s="1"/>
  <c r="L1" i="36"/>
  <c r="L4" i="36" s="1"/>
  <c r="C8" i="7"/>
  <c r="L8" i="7" s="1"/>
  <c r="L92" i="7"/>
  <c r="C7" i="7" a="1"/>
  <c r="C7" i="7" s="1"/>
  <c r="L4" i="7"/>
  <c r="C9" i="7"/>
  <c r="L9" i="7" s="1"/>
  <c r="C16" i="36"/>
  <c r="L16" i="36" s="1"/>
  <c r="C12" i="36"/>
  <c r="L12" i="36" s="1"/>
  <c r="C8" i="36" l="1"/>
  <c r="L8" i="36" s="1"/>
  <c r="C9" i="36"/>
  <c r="L9" i="36" s="1"/>
  <c r="L102" i="36"/>
  <c r="C7" i="36" a="1"/>
  <c r="C7" i="36" s="1"/>
  <c r="L7" i="7"/>
  <c r="C19" i="7"/>
  <c r="L19" i="7"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4075340-12D2-436F-AED9-FE62859A6147}">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<sst xmlns="http://schemas.openxmlformats.org/spreadsheetml/2006/main" count="4684" uniqueCount="1077">
  <si>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</si>
  <si>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</si>
  <si>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</si>
  <si>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</si>
  <si>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</si>
  <si>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</si>
  <si>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</si>
  <si>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</si>
  <si>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</si>
  <si>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</si>
  <si>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</si>
  <si>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</si>
  <si>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</si>
  <si>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</si>
  <si>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</si>
  <si>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</si>
  <si>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</si>
  <si>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</si>
  <si>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</si>
  <si>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</si>
  <si>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</si>
  <si>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</si>
  <si>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</si>
  <si>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</si>
  <si>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</si>
  <si>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</si>
  <si>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</si>
  <si>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</si>
  <si>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</si>
  <si>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</si>
  <si>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</si>
  <si>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</si>
  <si>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</si>
  <si>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</si>
  <si>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</si>
  <si>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</si>
  <si>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</si>
  <si>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</si>
  <si>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</si>
  <si>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</si>
  <si>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</si>
  <si>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</si>
  <si>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</si>
  <si>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</si>
  <si>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</si>
  <si>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</si>
  <si>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</si>
  <si>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</si>
  <si>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</si>
  <si>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</si>
  <si>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</si>
  <si>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</si>
  <si>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</si>
  <si>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</si>
  <si>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</si>
  <si>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</si>
  <si>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</si>
  <si>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</si>
  <si>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</si>
  <si>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</si>
  <si>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</si>
  <si>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</si>
  <si>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</si>
  <si>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</si>
  <si>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</si>
  <si>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</si>
  <si>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</si>
  <si>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</si>
  <si>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</si>
  <si>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</si>
  <si>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</si>
  <si>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</si>
  <si>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</si>
  <si>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</si>
  <si>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</si>
  <si>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</si>
  <si>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</si>
  <si>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</si>
  <si>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</si>
  <si>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</si>
  <si>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</si>
  <si>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</si>
  <si>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</si>
  <si>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</si>
  <si>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</si>
  <si>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</si>
  <si>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</si>
  <si>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</si>
  <si>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</si>
  <si>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</si>
  <si>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</si>
  <si>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</si>
  <si>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</si>
  <si>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</si>
  <si>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</si>
  <si>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</si>
  <si>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</si>
  <si>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</si>
  <si>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</si>
  <si>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</si>
  <si>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</si>
  <si>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</si>
  <si>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</si>
  <si>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</si>
  <si>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</si>
  <si>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</si>
  <si>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</si>
  <si>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</si>
  <si>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</si>
  <si>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</si>
  <si>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</si>
  <si>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</si>
  <si>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</si>
  <si>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</si>
  <si>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</si>
  <si>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</si>
  <si>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</si>
  <si>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</si>
  <si>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</si>
  <si>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</si>
  <si>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</si>
  <si>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</si>
  <si>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</si>
  <si>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</si>
  <si>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</si>
  <si>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</si>
  <si>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</si>
  <si>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</si>
  <si>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</si>
  <si>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</si>
  <si>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</si>
  <si>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</si>
  <si>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</si>
  <si>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</si>
  <si>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</si>
  <si>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</si>
  <si>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</si>
  <si>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</si>
  <si>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</si>
  <si>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</si>
  <si>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</si>
  <si>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</si>
  <si>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</si>
  <si>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</si>
  <si>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</si>
  <si>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</si>
  <si>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</si>
  <si>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</si>
  <si>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</si>
  <si>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</si>
  <si>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</si>
  <si>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</si>
  <si>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</si>
  <si>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</si>
  <si>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</si>
  <si>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</si>
  <si>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</si>
  <si>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</si>
  <si>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</si>
  <si>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</si>
  <si>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</si>
  <si>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</si>
  <si>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</si>
  <si>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</si>
  <si>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</si>
  <si>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</si>
  <si>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</si>
  <si>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</si>
  <si>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</si>
  <si>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</si>
  <si>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</si>
  <si>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</si>
  <si>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</si>
  <si>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</si>
  <si>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</si>
  <si>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</si>
  <si>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</si>
  <si>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</si>
  <si>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</si>
  <si>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</si>
  <si>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</si>
  <si>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</si>
  <si>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</si>
  <si>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</si>
  <si>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</si>
  <si>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</si>
  <si>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</si>
  <si>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</si>
  <si>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</si>
  <si>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</si>
  <si>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</si>
  <si>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</si>
  <si>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</si>
  <si>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</si>
  <si>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</si>
  <si>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</si>
  <si>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</si>
  <si>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</si>
  <si>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</si>
  <si>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</si>
  <si>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</si>
  <si>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</si>
  <si>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</si>
  <si>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</si>
  <si>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</si>
  <si>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</si>
  <si>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</si>
  <si>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</si>
  <si>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</si>
  <si>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</si>
  <si>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</si>
  <si>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</si>
  <si>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</si>
  <si>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</si>
  <si>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</si>
  <si>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</si>
  <si>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</si>
  <si>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</si>
  <si>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</si>
  <si>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</si>
  <si>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</si>
  <si>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</si>
  <si>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</si>
  <si>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</si>
  <si>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</si>
  <si>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</si>
  <si>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</si>
  <si>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</si>
  <si>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</si>
  <si>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</si>
  <si>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</si>
  <si>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</si>
  <si>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</si>
  <si>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</si>
  <si>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</si>
  <si>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</si>
  <si>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</si>
  <si>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</si>
  <si>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</si>
  <si>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</si>
  <si>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</si>
  <si>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</si>
  <si>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</si>
  <si>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</si>
  <si>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</si>
  <si>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</si>
  <si>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</si>
  <si>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</si>
  <si>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</si>
  <si>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</si>
  <si>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</si>
  <si>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</si>
  <si>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</si>
  <si>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</si>
  <si>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</si>
  <si>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</si>
  <si>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</si>
  <si>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</si>
  <si>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</si>
  <si>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</si>
  <si>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</si>
  <si>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</si>
  <si>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</si>
  <si>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</si>
  <si>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</si>
  <si>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</si>
  <si>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</si>
  <si>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</si>
  <si>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</si>
  <si>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</si>
  <si>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</si>
  <si>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</si>
  <si>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</si>
  <si>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</si>
  <si>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</si>
  <si>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</si>
  <si>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</si>
  <si>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</si>
  <si>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</si>
  <si>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</si>
  <si>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</si>
  <si>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</si>
  <si>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</si>
  <si>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</si>
  <si>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</si>
  <si>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</si>
  <si>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</si>
  <si>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</si>
  <si>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</si>
  <si>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</si>
  <si>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</si>
  <si>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</si>
  <si>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</si>
  <si>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</si>
  <si>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</si>
  <si>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</si>
  <si>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</si>
  <si>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</si>
  <si>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</si>
  <si>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</si>
  <si>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</si>
  <si>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</si>
  <si>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</si>
  <si>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</si>
  <si>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</si>
  <si>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</si>
  <si>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</si>
  <si>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</si>
  <si>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</si>
  <si>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</si>
  <si>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</si>
  <si>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</si>
  <si>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</si>
  <si>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</si>
  <si>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</si>
  <si>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</si>
  <si>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</si>
  <si>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</si>
  <si>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</si>
  <si>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</si>
  <si>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</si>
  <si>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</si>
  <si>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</si>
  <si>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</si>
  <si>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</si>
  <si>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</si>
  <si>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</si>
  <si>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</si>
  <si>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</si>
  <si>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</si>
  <si>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</si>
  <si>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</si>
  <si>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</si>
  <si>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</si>
  <si>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</si>
  <si>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</si>
  <si>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</si>
  <si>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</si>
  <si>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</si>
  <si>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</si>
  <si>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</si>
  <si>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</si>
  <si>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</si>
  <si>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</si>
  <si>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</si>
  <si>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</si>
  <si>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</si>
  <si>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</si>
  <si>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</si>
  <si>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</si>
  <si>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</si>
  <si>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</si>
  <si>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</si>
  <si>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</si>
  <si>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</si>
  <si>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</si>
  <si>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</si>
  <si>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</si>
  <si>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</si>
  <si>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</si>
  <si>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</si>
  <si>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</si>
  <si>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</si>
  <si>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</si>
  <si>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</si>
  <si>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</si>
  <si>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</si>
  <si>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</si>
  <si>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</si>
  <si>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</si>
  <si>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</si>
  <si>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</si>
  <si>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</si>
  <si>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</si>
  <si>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</si>
  <si>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</si>
  <si>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</si>
  <si>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</si>
  <si>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</si>
  <si>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</si>
  <si>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</si>
  <si>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</si>
  <si>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</si>
  <si>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</si>
  <si>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</si>
  <si>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</si>
  <si>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</si>
  <si>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</si>
  <si>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</si>
  <si>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</si>
  <si>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</si>
  <si>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</si>
  <si>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</si>
  <si>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</si>
  <si>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</si>
  <si>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</si>
  <si>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</si>
  <si>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</si>
  <si>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</si>
  <si>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</si>
  <si>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</si>
  <si>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</si>
  <si>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</si>
  <si>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</si>
  <si>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</si>
  <si>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</si>
  <si>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</si>
  <si>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</si>
  <si>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</si>
  <si>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</si>
  <si>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</si>
  <si>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</si>
  <si>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</si>
  <si>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</si>
  <si>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</si>
  <si>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</si>
  <si>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</si>
  <si>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</si>
  <si>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</si>
  <si>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</si>
  <si>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</si>
  <si>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</si>
  <si>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</si>
  <si>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</si>
  <si>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</si>
  <si>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</si>
  <si>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</si>
  <si>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</si>
  <si>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</si>
  <si>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</si>
  <si>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</si>
  <si>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</si>
  <si>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</si>
  <si>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</si>
  <si>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</si>
  <si>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</si>
  <si>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</si>
  <si>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</si>
  <si>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</si>
  <si>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</si>
  <si>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</si>
  <si>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</si>
  <si>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</si>
  <si>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</si>
  <si>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</si>
  <si>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</si>
  <si>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</si>
  <si>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</si>
  <si>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</si>
  <si>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</si>
  <si>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</si>
  <si>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</si>
  <si>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</si>
  <si>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</si>
  <si>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</si>
  <si>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</si>
  <si>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</si>
  <si>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</si>
  <si>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</si>
  <si>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</si>
  <si>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</si>
  <si>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</si>
  <si>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</si>
  <si>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</si>
  <si>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</si>
  <si>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</si>
  <si>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</si>
  <si>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</si>
  <si>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</si>
  <si>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</si>
  <si>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</si>
  <si>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</si>
  <si>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</si>
  <si>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</si>
  <si>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</si>
  <si>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</si>
  <si>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</si>
  <si>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</si>
  <si>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</si>
  <si>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</si>
  <si>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</si>
  <si>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</si>
  <si>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</si>
  <si>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</si>
  <si>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</si>
  <si>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</si>
  <si>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</si>
  <si>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</si>
  <si>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</si>
  <si>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</si>
  <si>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</si>
  <si>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</si>
  <si>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</si>
  <si>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</si>
  <si>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</si>
  <si>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</si>
  <si>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</si>
  <si>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</si>
  <si>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</si>
  <si>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</si>
  <si>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</si>
  <si>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</si>
  <si>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</si>
  <si>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</si>
  <si>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</si>
  <si>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</si>
  <si>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</si>
  <si>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</si>
  <si>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</si>
  <si>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</si>
  <si>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</si>
  <si>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</si>
  <si>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</si>
  <si>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</si>
  <si>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</si>
  <si>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</si>
  <si>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</si>
  <si>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</si>
  <si>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</si>
  <si>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</si>
  <si>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</si>
  <si>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</si>
  <si>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</si>
  <si>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</si>
  <si>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</si>
  <si>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</si>
  <si>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</si>
  <si>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</si>
  <si>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</si>
  <si>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</si>
  <si>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</si>
  <si>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</si>
  <si>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</si>
  <si>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</si>
  <si>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</si>
  <si>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</si>
  <si>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</si>
  <si>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</si>
  <si>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</si>
  <si>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</si>
  <si>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</si>
  <si>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</si>
  <si>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</si>
  <si>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</si>
  <si>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</si>
  <si>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</si>
  <si>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</si>
  <si>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</si>
  <si>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</si>
  <si>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</si>
  <si>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</si>
  <si>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</si>
  <si>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</si>
  <si>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</si>
  <si>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</si>
  <si>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</si>
  <si>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</si>
  <si>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</si>
  <si>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</si>
  <si>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</si>
  <si>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</si>
  <si>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</si>
  <si>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</si>
  <si>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</si>
  <si>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</si>
  <si>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</si>
  <si>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</si>
  <si>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</si>
  <si>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</si>
  <si>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</si>
  <si>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</si>
  <si>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</si>
  <si>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</si>
  <si>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</si>
  <si>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</si>
  <si>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</si>
  <si>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</si>
  <si>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</si>
  <si>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</si>
  <si>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</si>
  <si>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</si>
  <si>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</si>
  <si>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</si>
  <si>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</si>
  <si>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</si>
  <si>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</si>
  <si>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</si>
  <si>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</si>
  <si>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</si>
  <si>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</si>
  <si>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</si>
  <si>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</si>
  <si>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</si>
  <si>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</si>
  <si>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</si>
  <si>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</si>
  <si>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</si>
  <si>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</si>
  <si>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</si>
  <si>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</si>
  <si>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</si>
  <si>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</si>
  <si>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</si>
  <si>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</si>
  <si>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</si>
  <si>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</si>
  <si>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</si>
  <si>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</si>
  <si>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</si>
  <si>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</si>
  <si>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</si>
  <si>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</si>
  <si>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</si>
  <si>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</si>
  <si>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</si>
  <si>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</si>
  <si>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</si>
  <si>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</si>
  <si>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</si>
  <si>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</si>
  <si>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</si>
  <si>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</si>
  <si>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</si>
  <si>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</si>
  <si>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</si>
  <si>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</si>
  <si>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</si>
  <si>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</si>
  <si>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</si>
  <si>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</si>
  <si>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</si>
  <si>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</si>
  <si>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</si>
  <si>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</si>
  <si>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</si>
  <si>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</si>
  <si>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</si>
  <si>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</si>
  <si>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</si>
  <si>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</si>
  <si>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</si>
  <si>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</si>
  <si>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</si>
  <si>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</si>
  <si>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</si>
  <si>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</si>
  <si>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</si>
  <si>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</si>
  <si>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</si>
  <si>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</si>
  <si>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</si>
  <si>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</si>
  <si>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</si>
  <si>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</si>
  <si>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</si>
  <si>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</si>
  <si>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</si>
  <si>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</si>
  <si>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</si>
  <si>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</si>
  <si>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</si>
  <si>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</si>
  <si>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</si>
  <si>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</si>
  <si>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</si>
  <si>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</si>
  <si>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</si>
  <si>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</si>
  <si>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</si>
  <si>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</si>
  <si>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</si>
  <si>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</si>
  <si>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</si>
  <si>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</si>
  <si>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</si>
  <si>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</si>
  <si>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</si>
  <si>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</si>
  <si>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</si>
  <si>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</si>
  <si>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</si>
  <si>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</si>
  <si>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</si>
  <si>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</si>
  <si>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</si>
  <si>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</si>
  <si>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</si>
  <si>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</si>
  <si>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</si>
  <si>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</si>
  <si>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</si>
  <si>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</si>
  <si>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</si>
  <si>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</si>
  <si>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</si>
  <si>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</si>
  <si>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</si>
  <si>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</si>
  <si>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</si>
  <si>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</si>
  <si>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</si>
  <si>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</si>
  <si>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</si>
  <si>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</si>
  <si>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</si>
  <si>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</si>
  <si>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</si>
  <si>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</si>
  <si>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</si>
  <si>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</si>
  <si>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</si>
  <si>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</si>
  <si>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</si>
  <si>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</si>
  <si>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</si>
  <si>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</si>
  <si>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</si>
  <si>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</si>
  <si>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</si>
  <si>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</si>
  <si>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</si>
  <si>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</si>
  <si>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</si>
  <si>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</si>
  <si>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</si>
  <si>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</si>
  <si>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</si>
  <si>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</si>
  <si>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</si>
  <si>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</si>
  <si>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</si>
  <si>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</si>
  <si>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</si>
  <si>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</si>
  <si>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</si>
  <si>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</si>
  <si>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</si>
  <si>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</si>
  <si>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</si>
  <si>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</si>
  <si>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</si>
  <si>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</si>
  <si>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</si>
  <si>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</si>
  <si>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</si>
  <si>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</si>
  <si>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</si>
  <si>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</si>
  <si>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</si>
  <si>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</si>
  <si>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</si>
  <si>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</si>
  <si>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</si>
  <si>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</si>
  <si>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</si>
  <si>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</si>
  <si>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</si>
  <si>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</si>
  <si>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</si>
  <si>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</si>
  <si>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</si>
  <si>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</si>
  <si>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</si>
  <si>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</si>
  <si>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</si>
  <si>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</si>
  <si>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</si>
  <si>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</si>
  <si>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</si>
  <si>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</si>
  <si>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</si>
  <si>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</si>
  <si>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</si>
  <si>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</si>
  <si>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</si>
  <si>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</si>
  <si>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</si>
  <si>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</si>
  <si>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</si>
  <si>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</si>
  <si>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</si>
  <si>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</si>
  <si>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</si>
  <si>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</si>
  <si>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</si>
  <si>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</si>
  <si>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</si>
  <si>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</si>
  <si>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</si>
  <si>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</si>
  <si>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</si>
  <si>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</si>
  <si>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</si>
  <si>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</si>
  <si>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</si>
  <si>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</si>
  <si>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</si>
  <si>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</si>
  <si>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</si>
  <si>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</si>
  <si>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</si>
  <si>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</si>
  <si>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</si>
  <si>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</si>
  <si>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</si>
  <si>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</si>
  <si>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</si>
  <si>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</si>
  <si>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</si>
  <si>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</si>
  <si>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</si>
  <si>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</si>
  <si>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</si>
  <si>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</si>
  <si>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</si>
  <si>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</si>
  <si>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</si>
  <si>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</si>
  <si>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</si>
  <si>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</si>
  <si>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</si>
  <si>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</si>
  <si>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</si>
  <si>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</si>
  <si>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</si>
  <si>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</si>
  <si>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</si>
  <si>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</si>
  <si>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</si>
  <si>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</si>
  <si>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</si>
  <si>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</si>
  <si>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</si>
  <si>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</si>
  <si>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</si>
  <si>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</si>
  <si>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</si>
  <si>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</si>
  <si>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</si>
  <si>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</si>
  <si>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</si>
  <si>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</si>
  <si>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</si>
  <si>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</si>
  <si>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</si>
  <si>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</si>
  <si>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</si>
  <si>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</si>
  <si>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</si>
  <si>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</si>
  <si>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</si>
  <si>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</si>
  <si>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</si>
  <si>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</si>
  <si>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</si>
  <si>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</si>
  <si>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</si>
  <si>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</si>
  <si>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</si>
  <si>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</si>
  <si>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</si>
  <si>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</si>
  <si>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</si>
  <si>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</si>
  <si>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</si>
  <si>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</si>
  <si>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</si>
  <si>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</si>
  <si>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</si>
  <si>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</si>
  <si>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</si>
  <si>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</si>
  <si>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</si>
  <si>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</si>
  <si>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</si>
  <si>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</si>
  <si>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</si>
  <si>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</si>
  <si>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</si>
  <si>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</si>
  <si>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</si>
  <si>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</si>
  <si>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</si>
  <si>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</si>
  <si>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</si>
  <si>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</si>
  <si>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</si>
  <si>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</si>
  <si>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</si>
  <si>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</si>
  <si>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</si>
  <si>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</si>
  <si>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</si>
  <si>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</si>
  <si>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</si>
  <si>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</si>
  <si>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</si>
  <si>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</si>
  <si>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</si>
  <si>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</si>
  <si>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</si>
  <si>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</si>
  <si>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</si>
  <si>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</si>
  <si>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</si>
  <si>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</si>
  <si>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</si>
  <si>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</si>
  <si>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</si>
  <si>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</si>
  <si>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</si>
  <si>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</si>
  <si>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</si>
  <si>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</si>
  <si>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</si>
  <si>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</si>
  <si>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</si>
  <si>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</si>
  <si>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</si>
  <si>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</si>
  <si>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</si>
  <si>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</si>
  <si>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</si>
  <si>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</si>
  <si>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</si>
  <si>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</si>
  <si>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</si>
  <si>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</si>
  <si>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</si>
  <si>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</si>
  <si>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</si>
  <si>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</si>
  <si>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</si>
  <si>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</si>
  <si>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</si>
  <si>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</si>
  <si>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</si>
  <si>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</si>
  <si>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</si>
  <si>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</si>
  <si>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</si>
  <si>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</si>
  <si>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</si>
  <si>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</si>
  <si>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</si>
  <si>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</si>
  <si>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</si>
  <si>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</si>
  <si>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</si>
  <si>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</si>
  <si>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</si>
  <si>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</si>
  <si>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</si>
  <si>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</si>
  <si>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</si>
  <si>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</si>
  <si>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</si>
  <si>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</si>
  <si>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</si>
  <si>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</si>
  <si>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</si>
  <si>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</si>
  <si>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</si>
  <si>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</si>
  <si>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</si>
  <si>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</si>
  <si>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</si>
  <si>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</si>
  <si>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</si>
  <si>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</si>
  <si>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</si>
  <si>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</si>
  <si>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</si>
  <si>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</si>
  <si>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</si>
  <si>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</si>
  <si>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</si>
  <si>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</si>
  <si>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</si>
  <si>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</si>
  <si>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</si>
  <si>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</si>
  <si>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</si>
  <si>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</si>
  <si>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</si>
  <si>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</si>
  <si>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</si>
  <si>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</si>
  <si>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</si>
  <si>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</si>
  <si>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</si>
  <si>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</si>
  <si>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</si>
  <si>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</si>
  <si>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</si>
  <si>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</si>
  <si>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</si>
  <si>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</si>
  <si>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</si>
  <si>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</si>
  <si>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</si>
  <si>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</si>
  <si>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</si>
  <si>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</si>
  <si>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</si>
  <si>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</si>
  <si>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</si>
  <si>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</si>
  <si>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</si>
  <si>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</si>
  <si>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</si>
  <si>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</si>
  <si>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</si>
  <si>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</si>
  <si>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</si>
  <si>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Fa</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</si>
  <si>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</si>
  <si>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</si>
  <si>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</si>
  <si>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</si>
  <si>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</si>
  <si>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</si>
  <si>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</si>
  <si>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</si>
  <si>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</si>
  <si>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</si>
  <si>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</si>
  <si>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</si>
  <si>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</si>
  <si>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</si>
  <si>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</si>
  <si>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</si>
  <si>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</si>
  <si>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</si>
  <si>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</si>
  <si>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</si>
  <si>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</si>
  <si>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</si>
  <si>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</si>
  <si>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</si>
  <si>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</si>
  <si>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</si>
  <si>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</si>
  <si>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</si>
  <si>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</si>
  <si>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</si>
  <si>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</si>
  <si>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</si>
  <si>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</si>
  <si>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Do</t>
  </si>
  <si>
    <t>as r1</t>
  </si>
  <si>
    <t>«ID Y ANUNCIAD A MIS HERMANOS</t>
  </si>
  <si>
    <t>QUE VAYAN A GALILEA.</t>
  </si>
  <si>
    <t>Que allí me verán,</t>
  </si>
  <si>
    <t>QUE ALLÍ ME VERÁN».</t>
  </si>
  <si>
    <t>Los discípulos fueron a Galilea,</t>
  </si>
  <si>
    <t>al monte que Jesús les había indicado.</t>
  </si>
  <si>
    <t>Cuando lo vieron le adoraron.</t>
  </si>
  <si>
    <t>Y Jesús les dijo:</t>
  </si>
  <si>
    <t>«Me ha sido dado todo poder</t>
  </si>
  <si>
    <t>en el cielo y en la tierra.</t>
  </si>
  <si>
    <t>ME HA SIDO DADO TODO PODER</t>
  </si>
  <si>
    <t>EN EL CIELO Y EN LA TIERRA.</t>
  </si>
  <si>
    <t>Id, pues, y haced discípulos</t>
  </si>
  <si>
    <t>a todas las gentes</t>
  </si>
  <si>
    <t>bautizándolas en el nombre del Padre</t>
  </si>
  <si>
    <t>y del Hijo y del Espíritu Santo,</t>
  </si>
  <si>
    <t>y enseñándoles a poner en práctica,</t>
  </si>
  <si>
    <t>todo lo que yo os he mandado.</t>
  </si>
  <si>
    <t>Ved que yo estoy con vosotros,</t>
  </si>
  <si>
    <t>ved que yo estoy con vosotros</t>
  </si>
  <si>
    <t>todos los días.</t>
  </si>
  <si>
    <t>VED QUE YO ESTOY CON VOSOTROS,</t>
  </si>
  <si>
    <t>VED QUE YO ESTOY CON VOSOTROS</t>
  </si>
  <si>
    <t>TODOS LOS DÍAS.</t>
  </si>
  <si>
    <t>Hasta el fin del mundo,</t>
  </si>
  <si>
    <t>HASTA EL FIN DEL MUNDO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</si>
</sst>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1D08562-4540-43BC-9B6C-7B98A62C2E6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126A68-8299-4C84-8071-0BC4C8837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E468DBAE-A012-4E58-A48E-9645F25930FB}"/>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4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1020</v>
      </c>
    </row>
    <row r="3" spans="1:1" ht="60" x14ac:dyDescent="0.25">
      <c r="A3" s="102" t="s">
        <v>1021</v>
      </c>
    </row>
    <row r="5" spans="1:1" x14ac:dyDescent="0.25">
      <c r="A5" t="s">
        <v>1022</v>
      </c>
    </row>
    <row r="6" spans="1:1" ht="75" x14ac:dyDescent="0.25">
      <c r="A6" s="102" t="s">
        <v>1023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1019</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1017</v>
      </c>
      <c r="B7" s="37"/>
      <c r="C7" s="37"/>
      <c r="D7" s="37"/>
      <c r="E7" s="37"/>
      <c r="F7" s="38"/>
      <c r="G7" s="38"/>
      <c r="H7" s="38"/>
    </row>
    <row r="8" spans="1:8" ht="26.1" customHeight="1" x14ac:dyDescent="0.45">
      <c r="A8" s="37" t="s">
        <v>1025</v>
      </c>
      <c r="B8" s="37"/>
      <c r="C8" s="37"/>
      <c r="D8" s="37"/>
      <c r="E8" s="37"/>
      <c r="F8" s="38"/>
      <c r="G8" s="38"/>
      <c r="H8" s="38"/>
    </row>
    <row r="9" spans="1:8" ht="26.1" customHeight="1" x14ac:dyDescent="0.45">
      <c r="A9" s="37" t="s">
        <v>1026</v>
      </c>
      <c r="B9" s="37"/>
      <c r="C9" s="37"/>
      <c r="D9" s="37"/>
      <c r="E9" s="37"/>
      <c r="F9" s="38"/>
      <c r="G9" s="38"/>
      <c r="H9" s="38"/>
    </row>
    <row r="10" spans="1:8" ht="26.1" customHeight="1" x14ac:dyDescent="0.45">
      <c r="A10" s="37" t="s">
        <v>1027</v>
      </c>
      <c r="B10" s="37"/>
      <c r="C10" s="37"/>
      <c r="D10" s="37"/>
      <c r="E10" s="38"/>
      <c r="F10" s="38"/>
      <c r="G10" s="38"/>
      <c r="H10" s="38"/>
    </row>
    <row r="11" spans="1:8" ht="26.1" customHeight="1" x14ac:dyDescent="0.45">
      <c r="A11" s="37" t="s">
        <v>1028</v>
      </c>
      <c r="B11" s="37"/>
      <c r="C11" s="37"/>
      <c r="D11" s="37"/>
      <c r="E11" s="38"/>
      <c r="F11" s="38"/>
      <c r="G11" s="38"/>
      <c r="H11" s="38"/>
    </row>
    <row r="12" spans="1:8" ht="26.1" customHeight="1" x14ac:dyDescent="0.45">
      <c r="A12" s="37" t="s">
        <v>1029</v>
      </c>
      <c r="B12" s="37"/>
      <c r="C12" s="37"/>
      <c r="D12" s="37"/>
      <c r="E12" s="38"/>
      <c r="F12" s="38"/>
      <c r="G12" s="38"/>
      <c r="H12" s="38"/>
    </row>
    <row r="13" spans="1:8" ht="26.1" customHeight="1" x14ac:dyDescent="0.45">
      <c r="A13" s="37" t="s">
        <v>1030</v>
      </c>
      <c r="B13" s="37"/>
      <c r="C13" s="37"/>
      <c r="D13" s="37"/>
      <c r="E13" s="38"/>
      <c r="F13" s="38"/>
      <c r="G13" s="38"/>
      <c r="H13" s="38"/>
    </row>
    <row r="14" spans="1:8" ht="26.1" customHeight="1" x14ac:dyDescent="0.45">
      <c r="A14" s="37" t="s">
        <v>1031</v>
      </c>
      <c r="B14" s="37"/>
      <c r="C14" s="37"/>
      <c r="D14" s="37"/>
      <c r="E14" s="38"/>
      <c r="F14" s="38"/>
      <c r="G14" s="38"/>
      <c r="H14" s="38"/>
    </row>
    <row r="15" spans="1:8" ht="26.1" customHeight="1" x14ac:dyDescent="0.45">
      <c r="A15" s="37" t="s">
        <v>1032</v>
      </c>
      <c r="B15" s="37"/>
      <c r="C15" s="37"/>
      <c r="D15" s="37"/>
      <c r="E15" s="38"/>
      <c r="F15" s="38"/>
      <c r="G15" s="38"/>
      <c r="H15" s="38"/>
    </row>
    <row r="16" spans="1:8" ht="26.1" customHeight="1" x14ac:dyDescent="0.45">
      <c r="A16" s="37" t="s">
        <v>1033</v>
      </c>
      <c r="B16" s="37"/>
      <c r="C16" s="37"/>
      <c r="D16" s="37"/>
      <c r="E16" s="38"/>
      <c r="F16" s="38"/>
      <c r="G16" s="38"/>
      <c r="H16" s="38"/>
    </row>
    <row r="17" spans="1:8" ht="26.1" customHeight="1" x14ac:dyDescent="0.45">
      <c r="A17" s="37" t="s">
        <v>1034</v>
      </c>
      <c r="B17" s="37"/>
      <c r="C17" s="37"/>
      <c r="D17" s="37"/>
      <c r="E17" s="38"/>
      <c r="F17" s="38"/>
      <c r="G17" s="38"/>
      <c r="H17" s="38"/>
    </row>
    <row r="18" spans="1:8" ht="26.1" customHeight="1" x14ac:dyDescent="0.45">
      <c r="A18" s="37" t="s">
        <v>1035</v>
      </c>
      <c r="B18" s="37"/>
      <c r="C18" s="37"/>
      <c r="D18" s="37"/>
      <c r="E18" s="38"/>
      <c r="F18" s="38"/>
      <c r="G18" s="38"/>
      <c r="H18" s="38"/>
    </row>
    <row r="19" spans="1:8" ht="26.1" customHeight="1" x14ac:dyDescent="0.45">
      <c r="A19" s="37" t="s">
        <v>1036</v>
      </c>
      <c r="B19" s="37"/>
      <c r="C19" s="37"/>
      <c r="D19" s="37"/>
      <c r="E19" s="38"/>
      <c r="F19" s="38"/>
      <c r="G19" s="38"/>
      <c r="H19" s="38"/>
    </row>
    <row r="20" spans="1:8" ht="24" x14ac:dyDescent="0.45">
      <c r="A20" s="37" t="s">
        <v>1037</v>
      </c>
      <c r="B20" s="37"/>
      <c r="C20" s="37"/>
      <c r="D20" s="37"/>
      <c r="E20" s="37"/>
      <c r="F20" s="37"/>
      <c r="G20" s="37"/>
      <c r="H20" s="37"/>
    </row>
    <row r="21" spans="1:8" ht="24" x14ac:dyDescent="0.45">
      <c r="A21" s="37" t="s">
        <v>1038</v>
      </c>
      <c r="B21" s="37"/>
      <c r="C21" s="37"/>
      <c r="D21" s="37"/>
      <c r="E21" s="37"/>
      <c r="F21" s="37"/>
      <c r="G21" s="37"/>
      <c r="H21" s="37"/>
    </row>
    <row r="22" spans="1:8" ht="24" x14ac:dyDescent="0.45">
      <c r="A22" s="37" t="s">
        <v>1039</v>
      </c>
      <c r="B22" s="37"/>
      <c r="C22" s="37"/>
      <c r="D22" s="37"/>
      <c r="E22" s="37"/>
      <c r="F22" s="37"/>
      <c r="G22" s="37"/>
      <c r="H22" s="37"/>
    </row>
    <row r="23" spans="1:8" ht="24" x14ac:dyDescent="0.45">
      <c r="A23" s="37" t="s">
        <v>1040</v>
      </c>
      <c r="B23" s="37"/>
      <c r="C23" s="37"/>
      <c r="D23" s="37"/>
      <c r="E23" s="37"/>
      <c r="F23" s="37"/>
      <c r="G23" s="37"/>
      <c r="H23" s="37"/>
    </row>
    <row r="24" spans="1:8" ht="24" x14ac:dyDescent="0.45">
      <c r="A24" s="37" t="s">
        <v>1041</v>
      </c>
      <c r="B24" s="37"/>
      <c r="C24" s="37"/>
      <c r="D24" s="37"/>
      <c r="E24" s="37"/>
      <c r="F24" s="37"/>
      <c r="G24" s="37"/>
      <c r="H24" s="37"/>
    </row>
    <row r="25" spans="1:8" ht="24" x14ac:dyDescent="0.45">
      <c r="A25" s="37" t="s">
        <v>1044</v>
      </c>
      <c r="B25" s="37"/>
      <c r="C25" s="37"/>
      <c r="D25" s="37"/>
      <c r="E25" s="37"/>
      <c r="F25" s="37"/>
      <c r="G25" s="37"/>
      <c r="H25" s="37"/>
    </row>
    <row r="26" spans="1:8" ht="24" x14ac:dyDescent="0.45">
      <c r="A26" s="37" t="s">
        <v>1018</v>
      </c>
      <c r="B26" s="37"/>
      <c r="C26" s="37"/>
      <c r="D26" s="37"/>
      <c r="E26" s="37"/>
      <c r="F26" s="37"/>
      <c r="G26" s="37"/>
      <c r="H26" s="37"/>
    </row>
    <row r="27" spans="1:8" ht="24" x14ac:dyDescent="0.45">
      <c r="A27" s="37" t="s">
        <v>1045</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1024</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1043</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1024</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1043</v>
      </c>
      <c r="D70" t="s">
        <v>326</v>
      </c>
      <c r="E70" t="s">
        <v>260</v>
      </c>
      <c r="F70" s="6" t="s">
        <v>18</v>
      </c>
      <c r="M70" t="s">
        <v>1042</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1046</v>
      </c>
      <c r="D72" t="s">
        <v>449</v>
      </c>
      <c r="E72" t="s">
        <v>260</v>
      </c>
      <c r="F72" s="6" t="s">
        <v>18</v>
      </c>
      <c r="M72" t="s">
        <v>1047</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78</v>
      </c>
      <c r="E1" s="40"/>
      <c r="F1" s="40"/>
      <c r="G1" s="40"/>
      <c r="H1" s="40"/>
      <c r="I1" s="40"/>
      <c r="J1" s="40"/>
      <c r="K1" s="40"/>
      <c r="L1" s="41" t="str">
        <f>VLOOKUP(C1,'[1]Codigo Canto'!A3:AQ236,38,FALSE)</f>
        <v>GRITAD JUBILOSOS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GRITAD JUBILOSOS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gritadjubilosos</v>
      </c>
      <c r="L7" s="48" t="str">
        <f>_xlfn.CONCAT("        id: ","""",C7,"""",",")</f>
        <v xml:space="preserve">        id: "gritadjubilosos",</v>
      </c>
    </row>
    <row r="8" spans="2:32" ht="23.25" x14ac:dyDescent="0.25">
      <c r="C8" t="str">
        <f>PROPER(L1)</f>
        <v>Gritad Jubilosos</v>
      </c>
      <c r="L8" s="48" t="str">
        <f>_xlfn.CONCAT("        tt: ","""",C8,"""",",")</f>
        <v xml:space="preserve">        tt: "Gritad Jubilosos",</v>
      </c>
    </row>
    <row r="9" spans="2:32" ht="23.25" x14ac:dyDescent="0.25">
      <c r="C9" t="str">
        <f>PROPER(L1)</f>
        <v>Gritad Jubilosos</v>
      </c>
      <c r="L9" s="48" t="str">
        <f>_xlfn.CONCAT("        title: ","""",C9,"""",",")</f>
        <v xml:space="preserve">        title: "Gritad Jubilosos",</v>
      </c>
    </row>
    <row r="10" spans="2:32" ht="23.25" x14ac:dyDescent="0.25">
      <c r="C10" t="str">
        <f>VLOOKUP(C1,'[1]Codigo Canto'!A3:AQ236,12,FALSE)</f>
        <v>Isaías 12,1ss</v>
      </c>
      <c r="L10" s="48" t="str">
        <f>_xlfn.CONCAT("        ","subtitle: ","""",C10,"""",",")</f>
        <v xml:space="preserve">        subtitle: "Isaías 12,1ss",</v>
      </c>
    </row>
    <row r="11" spans="2:32" ht="23.25" x14ac:dyDescent="0.25">
      <c r="C11" t="str">
        <f>_xlfn.CONCAT("category: [",VLOOKUP(C1,Table223[],16,FALSE),"],")</f>
        <v>category: ["Precatecumenado","Pascua","Pentecostés","Comunión","Final","Antiguo Testamento"],</v>
      </c>
      <c r="L11" s="48" t="str">
        <f>_xlfn.CONCAT("        ",C11)</f>
        <v xml:space="preserve">        category: ["Precatecumenado","Pascua","Pentecostés","Comunión","Final","Antiguo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78</v>
      </c>
      <c r="L16" s="48" t="str">
        <f>_xlfn.CONCAT("        dbno: ","""",C16,"""",",")</f>
        <v xml:space="preserve">        dbno: "78",</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gritadjubilosos</v>
      </c>
      <c r="L19" s="48" t="str">
        <f>_xlfn.CONCAT("        audioSrc: ","""/audio/",C19,".mp3""",",")</f>
        <v xml:space="preserve">        audioSrc: "/audio/gritadjubilosos.mp3",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77</v>
      </c>
      <c r="C26" t="str">
        <f>VLOOKUP(B26,[1]Buscador!A3:AP240,31,FALSE)</f>
        <v>/resucito/src/index.html?canto=graciasayahveh</v>
      </c>
      <c r="L26" s="48" t="str">
        <f>_xlfn.CONCAT("        ant: ","""",C26,"""",",")</f>
        <v xml:space="preserve">        ant: "/resucito/src/index.html?canto=graciasayahveh",</v>
      </c>
    </row>
    <row r="27" spans="2:40" ht="23.25" x14ac:dyDescent="0.25">
      <c r="B27">
        <f>+C1+1</f>
        <v>79</v>
      </c>
      <c r="C27" t="str">
        <f>VLOOKUP(B27,[1]Buscador!A3:AP240,31,FALSE)</f>
        <v>/resucito/src/index.html?canto=haciatimoradasanta</v>
      </c>
      <c r="L27" s="48" t="str">
        <f>_xlfn.CONCAT("        sig: ","""",C27,"""",",")</f>
        <v xml:space="preserve">        sig: "/resucito/src/index.html?canto=haciatimoradasanta",</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GRITAD JUBILOSOS</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21D9-A201-4CEC-8174-ADED01511006}">
  <sheetPr codeName="Sheet69">
    <tabColor rgb="FF00B0F0"/>
  </sheetPr>
  <dimension ref="A1:AN77"/>
  <sheetViews>
    <sheetView tabSelected="1" zoomScale="85" zoomScaleNormal="85" workbookViewId="0">
      <pane xSplit="2" ySplit="1" topLeftCell="C39" activePane="bottomRight" state="frozen"/>
      <selection pane="topRight" activeCell="C1" sqref="C1"/>
      <selection pane="bottomLeft" activeCell="A2" sqref="A2"/>
      <selection pane="bottomRight" activeCell="B73" sqref="B7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92</v>
      </c>
      <c r="E1" s="40"/>
      <c r="F1" s="40"/>
      <c r="G1" s="40"/>
      <c r="H1" s="40"/>
      <c r="I1" s="40"/>
      <c r="J1" s="40"/>
      <c r="K1" s="40"/>
      <c r="L1" s="41" t="str">
        <f>UPPER(VLOOKUP(C1,Table223[],3,FALSE))</f>
        <v>ID Y ANUNCIAD A MIS HERMANOS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ID Y ANUNCIAD A MIS HERMANOS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idyanunciadamishermanos</v>
      </c>
      <c r="L7" s="48" t="str">
        <f>_xlfn.CONCAT("        id: ","""",C7,"""",",")</f>
        <v xml:space="preserve">        id: "idyanunciadamishermanos",</v>
      </c>
    </row>
    <row r="8" spans="2:32" ht="23.25" x14ac:dyDescent="0.25">
      <c r="C8" t="str">
        <f>PROPER(L1)</f>
        <v>Id Y Anunciad A Mis Hermanos</v>
      </c>
      <c r="L8" s="48" t="str">
        <f>_xlfn.CONCAT("        tt: ","""",C8,"""",",")</f>
        <v xml:space="preserve">        tt: "Id Y Anunciad A Mis Hermanos",</v>
      </c>
    </row>
    <row r="9" spans="2:32" ht="23.25" x14ac:dyDescent="0.25">
      <c r="C9" t="str">
        <f>PROPER(L1)</f>
        <v>Id Y Anunciad A Mis Hermanos</v>
      </c>
      <c r="L9" s="48" t="str">
        <f>_xlfn.CONCAT("        title: ","""",C9,"""",",")</f>
        <v xml:space="preserve">        title: "Id Y Anunciad A Mis Hermanos",</v>
      </c>
    </row>
    <row r="10" spans="2:32" ht="23.25" x14ac:dyDescent="0.25">
      <c r="C10" t="str">
        <f>VLOOKUP(C1,Table223[],4,FALSE)</f>
        <v>Mateo 28,10.16-20</v>
      </c>
      <c r="L10" s="48" t="str">
        <f>_xlfn.CONCAT("        ","subtitle: ","""",C10,"""",",")</f>
        <v xml:space="preserve">        subtitle: "Mateo 28,10.16-20",</v>
      </c>
    </row>
    <row r="11" spans="2:32" ht="23.25" x14ac:dyDescent="0.25">
      <c r="C11" t="str">
        <f>_xlfn.CONCAT("category: [",VLOOKUP(C1,Table223[],16,FALSE),"],")</f>
        <v>category: ["Precatecumenado","Pascua","Pentecostés","Final","Nuevo Testamento"],</v>
      </c>
      <c r="L11" s="48" t="str">
        <f>_xlfn.CONCAT("        ",C11)</f>
        <v xml:space="preserve">        category: ["Precatecumenado","Pascua","Pentecostés","Final","Nuevo Testamento"],</v>
      </c>
    </row>
    <row r="12" spans="2:32" ht="23.25" x14ac:dyDescent="0.25">
      <c r="C12" t="str">
        <f>VLOOKUP(C1,Table223[],5,FALSE)</f>
        <v>Precatecumenado</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VLOOKUP(C1,Table223[],1,FALSE)</f>
        <v>92</v>
      </c>
      <c r="L16" s="48" t="str">
        <f>_xlfn.CONCAT("        dbno: ","""",C16,"""",",")</f>
        <v xml:space="preserve">        dbno: "92",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C7</f>
        <v>idyanunciadamishermanos</v>
      </c>
      <c r="L19" s="48" t="str">
        <f>_xlfn.CONCAT("        audioSrc: ","""/audio/",C19,".mp3""",",")</f>
        <v xml:space="preserve">        audioSrc: "/audio/idyanunciadamishermanos.mp3",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+C1-1</f>
        <v>91</v>
      </c>
      <c r="C26" t="str">
        <f>VLOOKUP(B26,Table4[],13,FALSE)</f>
        <v>"/resucito/src/index.html?canto=huyeamadomio"</v>
      </c>
      <c r="L26" s="48" t="str">
        <f>_xlfn.CONCAT("        ant: ",C26,",")</f>
        <v xml:space="preserve">        ant: "/resucito/src/index.html?canto=huyeamadomio",</v>
      </c>
    </row>
    <row r="27" spans="1:40" ht="23.25" x14ac:dyDescent="0.25">
      <c r="B27">
        <f>+C1+1</f>
        <v>93</v>
      </c>
      <c r="C27" t="str">
        <f>VLOOKUP(B27,Table4[],13,FALSE)</f>
        <v>"/resucito/src/index.html?canto=improperios"</v>
      </c>
      <c r="L27" s="48" t="str">
        <f>_xlfn.CONCAT("        sig: ",C27,",")</f>
        <v xml:space="preserve">        sig: "/resucito/src/index.html?canto=improperios",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1051</v>
      </c>
      <c r="D30" s="112" t="s">
        <v>1013</v>
      </c>
      <c r="E30" s="52" t="s">
        <v>1012</v>
      </c>
      <c r="F30" s="53"/>
      <c r="G30" s="53"/>
      <c r="H30" s="52"/>
      <c r="I30" s="52"/>
      <c r="J30" s="54"/>
      <c r="K30" s="54"/>
      <c r="L30" s="55" t="str">
        <f t="shared" ref="L30:L51" si="0">IF(C30="","",_xlfn.CONCAT("            { line: ","""",C30,", ",M30:AN30,""", sC: ","""",B30,"""},"))</f>
        <v xml:space="preserve">            { line: "«ID Y ANUNCIAD A MIS HERMANOS, (La,m,20)", sC: "ta as"},</v>
      </c>
      <c r="M30" s="56" t="str">
        <f t="shared" ref="M30:M51" si="1">IF(N30="","","(")</f>
        <v>(</v>
      </c>
      <c r="N30" s="57" t="str">
        <f t="shared" ref="N30:N68" si="2">IF(D30="","",D30)</f>
        <v>La</v>
      </c>
      <c r="O30" s="58" t="str">
        <f t="shared" ref="O30:O51" si="3">IF(N30="","",",")</f>
        <v>,</v>
      </c>
      <c r="P30" s="59" t="str">
        <f t="shared" ref="P30:P68" si="4">IF(E30="","",E30)</f>
        <v>m</v>
      </c>
      <c r="Q30" s="60" t="str">
        <f t="shared" ref="Q30:Q51" si="5">IF(N30="","",",")</f>
        <v>,</v>
      </c>
      <c r="R30" s="61">
        <f>IF(N30="Do",10,IF(N30="Re",22,IF(N30="Mi",20,IF(N30="Fa",20,IF(N30="Sol",14,IF(N30="La",20,IF(N30="Si",20,IF(N30="Do#",14,IF(N30="Fa#",15,IF(N30="Sol#",20,""))))))))))</f>
        <v>20</v>
      </c>
      <c r="S30" s="56" t="str">
        <f t="shared" ref="S30:S51" si="6">IF(N30="","",")")</f>
        <v>)</v>
      </c>
      <c r="T30" s="62" t="str">
        <f t="shared" ref="T30:T51" si="7">IF(U30="","","(")</f>
        <v/>
      </c>
      <c r="U30" s="63" t="str">
        <f t="shared" ref="U30:U68" si="8">IF(F30="","",F30)</f>
        <v/>
      </c>
      <c r="V30" s="64" t="str">
        <f t="shared" ref="V30:V51" si="9">IF(U30="","",",")</f>
        <v/>
      </c>
      <c r="W30" s="65" t="str">
        <f t="shared" ref="W30:W68" si="10">IF(G30="","",G30)</f>
        <v/>
      </c>
      <c r="X30" s="64" t="str">
        <f t="shared" ref="X30:X51" si="11">IF(U30="","",",")</f>
        <v/>
      </c>
      <c r="Y30" s="64" t="str">
        <f t="shared" ref="Y30:Y51" si="12">IF(U30="","",250)</f>
        <v/>
      </c>
      <c r="Z30" s="56" t="str">
        <f t="shared" ref="Z30:Z51" si="13">IF(U30="","",")")</f>
        <v/>
      </c>
      <c r="AA30" s="66" t="str">
        <f t="shared" ref="AA30:AA51" si="14">IF(AB30="","","(")</f>
        <v/>
      </c>
      <c r="AB30" s="57" t="str">
        <f t="shared" ref="AB30:AB68" si="15">IF(H30="","",H30)</f>
        <v/>
      </c>
      <c r="AC30" s="67" t="str">
        <f t="shared" ref="AC30:AC51" si="16">IF(AB30="","",",")</f>
        <v/>
      </c>
      <c r="AD30" s="59" t="str">
        <f t="shared" ref="AD30:AD51" si="17">IF(I30="","",I30)</f>
        <v/>
      </c>
      <c r="AE30" s="68" t="str">
        <f t="shared" ref="AE30:AE51" si="18">IF(AB30="","",",")</f>
        <v/>
      </c>
      <c r="AF30" s="61" t="str">
        <f t="shared" ref="AF30:AF51" si="19">IF(AB30="","",350)</f>
        <v/>
      </c>
      <c r="AG30" s="61" t="str">
        <f t="shared" ref="AG30:AG51" si="20">IF(AB30="","",")")</f>
        <v/>
      </c>
      <c r="AH30" s="69" t="str">
        <f t="shared" ref="AH30:AH51" si="21">IF(AI30="","","(")</f>
        <v/>
      </c>
      <c r="AI30" s="70" t="str">
        <f t="shared" ref="AI30:AI68" si="22">IF(J30="","",J30)</f>
        <v/>
      </c>
      <c r="AJ30" s="64" t="str">
        <f t="shared" ref="AJ30:AJ51" si="23">IF(AI30="","",",")</f>
        <v/>
      </c>
      <c r="AK30" s="64" t="str">
        <f t="shared" ref="AK30:AK51" si="24">IF(K30="","",K30)</f>
        <v/>
      </c>
      <c r="AL30" s="64" t="str">
        <f t="shared" ref="AL30:AL51" si="25">IF(AI30="","",",")</f>
        <v/>
      </c>
      <c r="AM30" s="64" t="str">
        <f t="shared" ref="AM30:AM51" si="26">IF(AI30="","",450)</f>
        <v/>
      </c>
      <c r="AN30" s="64" t="str">
        <f t="shared" ref="AN30:AN51" si="27">IF(AI30="","",")")</f>
        <v/>
      </c>
    </row>
    <row r="31" spans="1:40" ht="25.5" thickTop="1" thickBot="1" x14ac:dyDescent="0.4">
      <c r="B31" t="s">
        <v>1050</v>
      </c>
      <c r="C31" s="113" t="s">
        <v>1052</v>
      </c>
      <c r="D31" s="112" t="s">
        <v>1016</v>
      </c>
      <c r="E31" s="52"/>
      <c r="F31" s="53" t="s">
        <v>1013</v>
      </c>
      <c r="G31" s="53" t="s">
        <v>1012</v>
      </c>
      <c r="H31" s="52"/>
      <c r="I31" s="52"/>
      <c r="J31" s="54"/>
      <c r="K31" s="54"/>
      <c r="L31" s="55" t="str">
        <f t="shared" si="0"/>
        <v xml:space="preserve">            { line: "QUE VAYAN A GALILEA., (Sol,,14)(La,m,250)", sC: "as r1"},</v>
      </c>
      <c r="M31" s="56" t="str">
        <f t="shared" si="1"/>
        <v>(</v>
      </c>
      <c r="N31" s="57" t="str">
        <f t="shared" si="2"/>
        <v>Sol</v>
      </c>
      <c r="O31" s="58" t="str">
        <f t="shared" si="3"/>
        <v>,</v>
      </c>
      <c r="P31" s="59" t="str">
        <f t="shared" si="4"/>
        <v/>
      </c>
      <c r="Q31" s="60" t="str">
        <f t="shared" si="5"/>
        <v>,</v>
      </c>
      <c r="R31" s="61">
        <f t="shared" ref="R31:R74" si="28">IF(N31="Do",10,IF(N31="Re",22,IF(N31="Mi",20,IF(N31="Fa",20,IF(N31="Sol",14,IF(N31="La",20,IF(N31="Si",20,IF(N31="Do#",14,IF(N31="Fa#",15,IF(N31="Sol#",20,""))))))))))</f>
        <v>14</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1053</v>
      </c>
      <c r="D33" s="112" t="s">
        <v>1011</v>
      </c>
      <c r="E33" s="52"/>
      <c r="F33" s="53"/>
      <c r="G33" s="53"/>
      <c r="H33" s="52"/>
      <c r="I33" s="52"/>
      <c r="J33" s="54"/>
      <c r="K33" s="54"/>
      <c r="L33" s="55" t="str">
        <f>IF(C33="","",_xlfn.CONCAT("            { line: ","""",C33,", ",M33:AN33,""", sC: ","""",B33,"""},"))</f>
        <v xml:space="preserve">            { line: "Que allí me verán,, (Mi,,20)", sC: "tc"},</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997</v>
      </c>
      <c r="C34" s="113" t="s">
        <v>1054</v>
      </c>
      <c r="D34" s="112" t="s">
        <v>1013</v>
      </c>
      <c r="E34" s="52" t="s">
        <v>1012</v>
      </c>
      <c r="F34" s="53"/>
      <c r="G34" s="53"/>
      <c r="H34" s="52"/>
      <c r="I34" s="52"/>
      <c r="J34" s="54"/>
      <c r="K34" s="54"/>
      <c r="L34" s="55" t="str">
        <f>IF(C34="","",_xlfn.CONCAT("            { line: ","""",C34,", ",M34:AN34,""", sC: ","""",B34,"""},"))</f>
        <v xml:space="preserve">            { line: "QUE ALLÍ ME VERÁN»., (La,m,20)",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3" t="s">
        <v>1055</v>
      </c>
      <c r="D36" s="112" t="s">
        <v>1013</v>
      </c>
      <c r="E36" s="52" t="s">
        <v>1012</v>
      </c>
      <c r="F36" s="53" t="s">
        <v>1048</v>
      </c>
      <c r="G36" s="53" t="s">
        <v>1012</v>
      </c>
      <c r="H36" s="52" t="s">
        <v>1013</v>
      </c>
      <c r="I36" s="52" t="s">
        <v>1012</v>
      </c>
      <c r="J36" s="54"/>
      <c r="K36" s="54"/>
      <c r="L36" s="55" t="str">
        <f t="shared" ref="L36:L50" si="30">IF(C36="","",_xlfn.CONCAT("            { line: ","""",C36,", ",M36:AN36,""", sC: ","""",B36,"""},"))</f>
        <v xml:space="preserve">            { line: "Los discípulos fueron a Galilea,, (La,m,20)(Re,m,250)(La,m,350)", sC: "tc"},</v>
      </c>
      <c r="M36" s="56" t="str">
        <f t="shared" si="1"/>
        <v>(</v>
      </c>
      <c r="N36" s="57" t="str">
        <f t="shared" si="2"/>
        <v>La</v>
      </c>
      <c r="O36" s="58" t="str">
        <f t="shared" si="3"/>
        <v>,</v>
      </c>
      <c r="P36" s="59" t="str">
        <f t="shared" si="4"/>
        <v>m</v>
      </c>
      <c r="Q36" s="60" t="str">
        <f t="shared" si="5"/>
        <v>,</v>
      </c>
      <c r="R36" s="61">
        <f t="shared" si="28"/>
        <v>20</v>
      </c>
      <c r="S36" s="56" t="str">
        <f t="shared" si="6"/>
        <v>)</v>
      </c>
      <c r="T36" s="62" t="str">
        <f t="shared" si="7"/>
        <v>(</v>
      </c>
      <c r="U36" s="63" t="str">
        <f t="shared" si="8"/>
        <v>Re</v>
      </c>
      <c r="V36" s="64" t="str">
        <f t="shared" si="9"/>
        <v>,</v>
      </c>
      <c r="W36" s="65" t="str">
        <f t="shared" si="10"/>
        <v>m</v>
      </c>
      <c r="X36" s="64" t="str">
        <f t="shared" si="11"/>
        <v>,</v>
      </c>
      <c r="Y36" s="64">
        <f t="shared" si="12"/>
        <v>250</v>
      </c>
      <c r="Z36" s="56" t="str">
        <f t="shared" si="13"/>
        <v>)</v>
      </c>
      <c r="AA36" s="66" t="str">
        <f t="shared" si="14"/>
        <v>(</v>
      </c>
      <c r="AB36" s="57" t="str">
        <f t="shared" si="15"/>
        <v>La</v>
      </c>
      <c r="AC36" s="67" t="str">
        <f t="shared" si="16"/>
        <v>,</v>
      </c>
      <c r="AD36" s="59" t="str">
        <f t="shared" si="17"/>
        <v>m</v>
      </c>
      <c r="AE36" s="68" t="str">
        <f t="shared" si="18"/>
        <v>,</v>
      </c>
      <c r="AF36" s="61">
        <f t="shared" si="19"/>
        <v>350</v>
      </c>
      <c r="AG36" s="61" t="str">
        <f t="shared" si="20"/>
        <v>)</v>
      </c>
      <c r="AH36" s="69" t="str">
        <f t="shared" si="21"/>
        <v/>
      </c>
      <c r="AI36" s="70" t="str">
        <f t="shared" si="22"/>
        <v/>
      </c>
      <c r="AJ36" s="64" t="str">
        <f t="shared" si="23"/>
        <v/>
      </c>
      <c r="AK36" s="64" t="str">
        <f t="shared" si="24"/>
        <v/>
      </c>
      <c r="AL36" s="64" t="str">
        <f t="shared" si="25"/>
        <v/>
      </c>
      <c r="AM36" s="64" t="str">
        <f t="shared" si="26"/>
        <v/>
      </c>
      <c r="AN36" s="64" t="str">
        <f t="shared" si="27"/>
        <v/>
      </c>
    </row>
    <row r="37" spans="1:40" ht="25.5" thickTop="1" thickBot="1" x14ac:dyDescent="0.4">
      <c r="C37" s="113" t="s">
        <v>1056</v>
      </c>
      <c r="D37" s="112" t="s">
        <v>1048</v>
      </c>
      <c r="E37" s="52" t="s">
        <v>1012</v>
      </c>
      <c r="F37" s="53" t="s">
        <v>1013</v>
      </c>
      <c r="G37" s="53" t="s">
        <v>1012</v>
      </c>
      <c r="H37" s="52"/>
      <c r="I37" s="52"/>
      <c r="J37" s="54"/>
      <c r="K37" s="54"/>
      <c r="L37" s="55" t="str">
        <f t="shared" si="30"/>
        <v xml:space="preserve">            { line: "al monte que Jesús les había indicado., (Re,m,22)(La,m,250)", sC: ""},</v>
      </c>
      <c r="M37" s="56" t="str">
        <f>IF(N37="","","(")</f>
        <v>(</v>
      </c>
      <c r="N37" s="57" t="str">
        <f>IF(D37="","",D37)</f>
        <v>Re</v>
      </c>
      <c r="O37" s="58" t="str">
        <f>IF(N37="","",",")</f>
        <v>,</v>
      </c>
      <c r="P37" s="59" t="str">
        <f>IF(E37="","",E37)</f>
        <v>m</v>
      </c>
      <c r="Q37" s="60" t="str">
        <f>IF(N37="","",",")</f>
        <v>,</v>
      </c>
      <c r="R37" s="61">
        <f t="shared" si="28"/>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1057</v>
      </c>
      <c r="D38" s="112" t="s">
        <v>1011</v>
      </c>
      <c r="E38" s="52"/>
      <c r="F38" s="53" t="s">
        <v>1013</v>
      </c>
      <c r="G38" s="53" t="s">
        <v>1012</v>
      </c>
      <c r="H38" s="52"/>
      <c r="I38" s="52"/>
      <c r="J38" s="54"/>
      <c r="K38" s="54"/>
      <c r="L38" s="55" t="str">
        <f t="shared" si="30"/>
        <v xml:space="preserve">            { line: "Cuando lo vieron le adoraron., (Mi,,20)(La,m,250)", sC: ""},</v>
      </c>
      <c r="M38" s="56" t="str">
        <f>IF(N38="","","(")</f>
        <v>(</v>
      </c>
      <c r="N38" s="57" t="str">
        <f>IF(D38="","",D38)</f>
        <v>Mi</v>
      </c>
      <c r="O38" s="58" t="str">
        <f>IF(N38="","",",")</f>
        <v>,</v>
      </c>
      <c r="P38" s="59" t="str">
        <f>IF(E38="","",E38)</f>
        <v/>
      </c>
      <c r="Q38" s="60" t="str">
        <f>IF(N38="","",",")</f>
        <v>,</v>
      </c>
      <c r="R38" s="61">
        <f t="shared" si="28"/>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113" t="s">
        <v>1058</v>
      </c>
      <c r="D40" s="112" t="s">
        <v>1015</v>
      </c>
      <c r="E40" s="52"/>
      <c r="F40" s="53" t="s">
        <v>1011</v>
      </c>
      <c r="G40" s="53"/>
      <c r="H40" s="52"/>
      <c r="I40" s="52"/>
      <c r="J40" s="54"/>
      <c r="K40" s="54"/>
      <c r="L40" s="55" t="str">
        <f t="shared" si="30"/>
        <v xml:space="preserve">            { line: "Y Jesús les dijo:, (Fa,,20)(Mi,,250)", sC: ""},</v>
      </c>
      <c r="M40" s="56" t="str">
        <f>IF(N40="","","(")</f>
        <v>(</v>
      </c>
      <c r="N40" s="57" t="str">
        <f>IF(D40="","",D40)</f>
        <v>Fa</v>
      </c>
      <c r="O40" s="58" t="str">
        <f>IF(N40="","",",")</f>
        <v>,</v>
      </c>
      <c r="P40" s="59" t="str">
        <f>IF(E40="","",E40)</f>
        <v/>
      </c>
      <c r="Q40" s="60" t="str">
        <f>IF(N40="","",",")</f>
        <v>,</v>
      </c>
      <c r="R40" s="61">
        <f t="shared" si="28"/>
        <v>20</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113" t="s">
        <v>1059</v>
      </c>
      <c r="D42" s="112" t="s">
        <v>1049</v>
      </c>
      <c r="E42" s="52"/>
      <c r="F42" s="53" t="s">
        <v>1016</v>
      </c>
      <c r="G42" s="53"/>
      <c r="H42" s="52"/>
      <c r="I42" s="52"/>
      <c r="J42" s="54"/>
      <c r="K42" s="54"/>
      <c r="L42" s="55" t="str">
        <f t="shared" si="30"/>
        <v xml:space="preserve">            { line: "«Me ha sido dado todo poder, (Do,,10)(Sol,,250)", sC: ""},</v>
      </c>
      <c r="M42" s="56" t="str">
        <f>IF(N42="","","(")</f>
        <v>(</v>
      </c>
      <c r="N42" s="57" t="str">
        <f>IF(D42="","",D42)</f>
        <v>Do</v>
      </c>
      <c r="O42" s="58" t="str">
        <f>IF(N42="","",",")</f>
        <v>,</v>
      </c>
      <c r="P42" s="59" t="str">
        <f>IF(E42="","",E42)</f>
        <v/>
      </c>
      <c r="Q42" s="60" t="str">
        <f>IF(N42="","",",")</f>
        <v>,</v>
      </c>
      <c r="R42" s="61">
        <f t="shared" si="28"/>
        <v>10</v>
      </c>
      <c r="S42" s="56" t="str">
        <f>IF(N42="","",")")</f>
        <v>)</v>
      </c>
      <c r="T42" s="62" t="str">
        <f>IF(U42="","","(")</f>
        <v>(</v>
      </c>
      <c r="U42" s="63" t="str">
        <f>IF(F42="","",F42)</f>
        <v>Sol</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C43" s="113" t="s">
        <v>1060</v>
      </c>
      <c r="D43" s="112" t="s">
        <v>1049</v>
      </c>
      <c r="E43" s="52"/>
      <c r="F43" s="53"/>
      <c r="G43" s="53"/>
      <c r="H43" s="52"/>
      <c r="I43" s="52"/>
      <c r="J43" s="54"/>
      <c r="K43" s="54"/>
      <c r="L43" s="55" t="str">
        <f t="shared" si="30"/>
        <v xml:space="preserve">            { line: "en el cielo y en la tierra., (Do,,10)", sC: ""},</v>
      </c>
      <c r="M43" s="56" t="str">
        <f>IF(N43="","","(")</f>
        <v>(</v>
      </c>
      <c r="N43" s="57" t="str">
        <f>IF(D43="","",D43)</f>
        <v>Do</v>
      </c>
      <c r="O43" s="58" t="str">
        <f>IF(N43="","",",")</f>
        <v>,</v>
      </c>
      <c r="P43" s="59" t="str">
        <f>IF(E43="","",E43)</f>
        <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 si="32">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997</v>
      </c>
      <c r="C45" s="113" t="s">
        <v>1061</v>
      </c>
      <c r="D45" s="112" t="s">
        <v>1049</v>
      </c>
      <c r="E45" s="52"/>
      <c r="F45" s="53" t="s">
        <v>1016</v>
      </c>
      <c r="G45" s="53"/>
      <c r="H45" s="52"/>
      <c r="I45" s="52"/>
      <c r="J45" s="54"/>
      <c r="K45" s="54"/>
      <c r="L45" s="55" t="str">
        <f t="shared" si="30"/>
        <v xml:space="preserve">            { line: "ME HA SIDO DADO TODO PODER, (Do,,10)(Sol,,250)", sC: "ta as"},</v>
      </c>
      <c r="M45" s="56" t="str">
        <f t="shared" ref="M45:M50" si="33">IF(N45="","","(")</f>
        <v>(</v>
      </c>
      <c r="N45" s="57" t="str">
        <f t="shared" ref="N45:N50" si="34">IF(D45="","",D45)</f>
        <v>Do</v>
      </c>
      <c r="O45" s="58" t="str">
        <f t="shared" ref="O45:O50" si="35">IF(N45="","",",")</f>
        <v>,</v>
      </c>
      <c r="P45" s="59" t="str">
        <f t="shared" ref="P45:P50" si="36">IF(E45="","",E45)</f>
        <v/>
      </c>
      <c r="Q45" s="60" t="str">
        <f t="shared" ref="Q45:Q50" si="37">IF(N45="","",",")</f>
        <v>,</v>
      </c>
      <c r="R45" s="61">
        <f t="shared" si="28"/>
        <v>10</v>
      </c>
      <c r="S45" s="56" t="str">
        <f t="shared" ref="S45:S50" si="38">IF(N45="","",")")</f>
        <v>)</v>
      </c>
      <c r="T45" s="62" t="str">
        <f t="shared" ref="T45:T50" si="39">IF(U45="","","(")</f>
        <v>(</v>
      </c>
      <c r="U45" s="63" t="str">
        <f t="shared" ref="U45:U50" si="40">IF(F45="","",F45)</f>
        <v>Sol</v>
      </c>
      <c r="V45" s="64" t="str">
        <f t="shared" ref="V45:V50" si="41">IF(U45="","",",")</f>
        <v>,</v>
      </c>
      <c r="W45" s="65" t="str">
        <f t="shared" ref="W45:W50" si="42">IF(G45="","",G45)</f>
        <v/>
      </c>
      <c r="X45" s="64" t="str">
        <f t="shared" ref="X45:X50" si="43">IF(U45="","",",")</f>
        <v>,</v>
      </c>
      <c r="Y45" s="64">
        <f t="shared" ref="Y45:Y50" si="44">IF(U45="","",250)</f>
        <v>250</v>
      </c>
      <c r="Z45" s="56" t="str">
        <f t="shared" ref="Z45:Z50" si="45">IF(U45="","",")")</f>
        <v>)</v>
      </c>
      <c r="AA45" s="66" t="str">
        <f t="shared" ref="AA45:AA50" si="46">IF(AB45="","","(")</f>
        <v/>
      </c>
      <c r="AB45" s="57" t="str">
        <f t="shared" ref="AB45:AB50" si="47">IF(H45="","",H45)</f>
        <v/>
      </c>
      <c r="AC45" s="67" t="str">
        <f t="shared" ref="AC45:AC50" si="48">IF(AB45="","",",")</f>
        <v/>
      </c>
      <c r="AD45" s="59" t="str">
        <f t="shared" ref="AD45:AD50" si="49">IF(I45="","",I45)</f>
        <v/>
      </c>
      <c r="AE45" s="68" t="str">
        <f t="shared" ref="AE45:AE50" si="50">IF(AB45="","",",")</f>
        <v/>
      </c>
      <c r="AF45" s="61" t="str">
        <f t="shared" ref="AF45:AF50" si="51">IF(AB45="","",350)</f>
        <v/>
      </c>
      <c r="AG45" s="61" t="str">
        <f t="shared" ref="AG45:AG50" si="52">IF(AB45="","",")")</f>
        <v/>
      </c>
      <c r="AH45" s="69" t="str">
        <f t="shared" ref="AH45:AH50" si="53">IF(AI45="","","(")</f>
        <v/>
      </c>
      <c r="AI45" s="70" t="str">
        <f t="shared" ref="AI45:AI50" si="54">IF(J45="","",J45)</f>
        <v/>
      </c>
      <c r="AJ45" s="64" t="str">
        <f t="shared" ref="AJ45:AJ50" si="55">IF(AI45="","",",")</f>
        <v/>
      </c>
      <c r="AK45" s="64" t="str">
        <f t="shared" ref="AK45:AK50" si="56">IF(K45="","",K45)</f>
        <v/>
      </c>
      <c r="AL45" s="64" t="str">
        <f t="shared" ref="AL45:AL50" si="57">IF(AI45="","",",")</f>
        <v/>
      </c>
      <c r="AM45" s="64" t="str">
        <f t="shared" ref="AM45:AM50" si="58">IF(AI45="","",450)</f>
        <v/>
      </c>
      <c r="AN45" s="64" t="str">
        <f t="shared" ref="AN45:AN50" si="59">IF(AI45="","",")")</f>
        <v/>
      </c>
    </row>
    <row r="46" spans="1:40" ht="25.5" thickTop="1" thickBot="1" x14ac:dyDescent="0.4">
      <c r="B46" t="s">
        <v>999</v>
      </c>
      <c r="C46" s="113" t="s">
        <v>1062</v>
      </c>
      <c r="D46" s="112" t="s">
        <v>1049</v>
      </c>
      <c r="E46" s="52"/>
      <c r="F46" s="53"/>
      <c r="G46" s="53"/>
      <c r="H46" s="52"/>
      <c r="I46" s="52"/>
      <c r="J46" s="54"/>
      <c r="K46" s="54"/>
      <c r="L46" s="55" t="str">
        <f t="shared" si="30"/>
        <v xml:space="preserve">            { line: "EN EL CIELO Y EN LA TIERRA., (Do,,10)", sC: "as"},</v>
      </c>
      <c r="M46" s="56" t="str">
        <f t="shared" si="33"/>
        <v>(</v>
      </c>
      <c r="N46" s="57" t="str">
        <f t="shared" si="34"/>
        <v>Do</v>
      </c>
      <c r="O46" s="58" t="str">
        <f t="shared" si="35"/>
        <v>,</v>
      </c>
      <c r="P46" s="59" t="str">
        <f t="shared" si="36"/>
        <v/>
      </c>
      <c r="Q46" s="60" t="str">
        <f t="shared" si="37"/>
        <v>,</v>
      </c>
      <c r="R46" s="61">
        <f t="shared" si="28"/>
        <v>10</v>
      </c>
      <c r="S46" s="56" t="str">
        <f t="shared" si="38"/>
        <v>)</v>
      </c>
      <c r="T46" s="62" t="str">
        <f t="shared" si="39"/>
        <v/>
      </c>
      <c r="U46" s="63" t="str">
        <f t="shared" si="40"/>
        <v/>
      </c>
      <c r="V46" s="64" t="str">
        <f t="shared" si="41"/>
        <v/>
      </c>
      <c r="W46" s="65" t="str">
        <f t="shared" si="42"/>
        <v/>
      </c>
      <c r="X46" s="64" t="str">
        <f t="shared" si="43"/>
        <v/>
      </c>
      <c r="Y46" s="64" t="str">
        <f t="shared" si="44"/>
        <v/>
      </c>
      <c r="Z46" s="56" t="str">
        <f t="shared" si="45"/>
        <v/>
      </c>
      <c r="AA46" s="66" t="str">
        <f t="shared" si="46"/>
        <v/>
      </c>
      <c r="AB46" s="57" t="str">
        <f t="shared" si="47"/>
        <v/>
      </c>
      <c r="AC46" s="67" t="str">
        <f t="shared" si="48"/>
        <v/>
      </c>
      <c r="AD46" s="59" t="str">
        <f t="shared" si="49"/>
        <v/>
      </c>
      <c r="AE46" s="68" t="str">
        <f t="shared" si="50"/>
        <v/>
      </c>
      <c r="AF46" s="61" t="str">
        <f t="shared" si="51"/>
        <v/>
      </c>
      <c r="AG46" s="61" t="str">
        <f t="shared" si="52"/>
        <v/>
      </c>
      <c r="AH46" s="69" t="str">
        <f t="shared" si="53"/>
        <v/>
      </c>
      <c r="AI46" s="70" t="str">
        <f t="shared" si="54"/>
        <v/>
      </c>
      <c r="AJ46" s="64" t="str">
        <f t="shared" si="55"/>
        <v/>
      </c>
      <c r="AK46" s="64" t="str">
        <f t="shared" si="56"/>
        <v/>
      </c>
      <c r="AL46" s="64" t="str">
        <f t="shared" si="57"/>
        <v/>
      </c>
      <c r="AM46" s="64" t="str">
        <f t="shared" si="58"/>
        <v/>
      </c>
      <c r="AN46" s="64" t="str">
        <f t="shared" si="59"/>
        <v/>
      </c>
    </row>
    <row r="47" spans="1:40" ht="27.75" thickTop="1" thickBot="1" x14ac:dyDescent="0.4">
      <c r="A47" s="73"/>
      <c r="B47" s="73"/>
      <c r="C47" s="73"/>
      <c r="D47" s="74"/>
      <c r="E47" s="74"/>
      <c r="F47" s="74"/>
      <c r="G47" s="74"/>
      <c r="H47" s="74"/>
      <c r="I47" s="74"/>
      <c r="J47" s="74"/>
      <c r="K47" s="74"/>
      <c r="L47" s="75" t="s">
        <v>993</v>
      </c>
      <c r="M47" s="56"/>
      <c r="N47" s="57"/>
      <c r="O47" s="58"/>
      <c r="P47" s="59"/>
      <c r="Q47" s="60"/>
      <c r="R47" s="61" t="str">
        <f t="shared" si="28"/>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5.5" thickTop="1" thickBot="1" x14ac:dyDescent="0.4">
      <c r="B48" t="s">
        <v>1014</v>
      </c>
      <c r="C48" s="113" t="s">
        <v>1063</v>
      </c>
      <c r="D48" s="112" t="s">
        <v>1049</v>
      </c>
      <c r="E48" s="52"/>
      <c r="F48" s="53" t="s">
        <v>1016</v>
      </c>
      <c r="G48" s="53"/>
      <c r="H48" s="52"/>
      <c r="I48" s="52"/>
      <c r="J48" s="54"/>
      <c r="K48" s="54"/>
      <c r="L48" s="55" t="str">
        <f t="shared" si="30"/>
        <v xml:space="preserve">            { line: "Id, pues, y haced discípulos, (Do,,10)(Sol,,250)", sC: "tc"},</v>
      </c>
      <c r="M48" s="56" t="str">
        <f t="shared" si="33"/>
        <v>(</v>
      </c>
      <c r="N48" s="57" t="str">
        <f t="shared" si="34"/>
        <v>Do</v>
      </c>
      <c r="O48" s="58" t="str">
        <f t="shared" si="35"/>
        <v>,</v>
      </c>
      <c r="P48" s="59" t="str">
        <f t="shared" si="36"/>
        <v/>
      </c>
      <c r="Q48" s="60" t="str">
        <f t="shared" si="37"/>
        <v>,</v>
      </c>
      <c r="R48" s="61">
        <f t="shared" si="28"/>
        <v>10</v>
      </c>
      <c r="S48" s="56" t="str">
        <f t="shared" si="38"/>
        <v>)</v>
      </c>
      <c r="T48" s="62" t="str">
        <f t="shared" si="39"/>
        <v>(</v>
      </c>
      <c r="U48" s="63" t="str">
        <f t="shared" si="40"/>
        <v>Sol</v>
      </c>
      <c r="V48" s="64" t="str">
        <f t="shared" si="41"/>
        <v>,</v>
      </c>
      <c r="W48" s="65" t="str">
        <f t="shared" si="42"/>
        <v/>
      </c>
      <c r="X48" s="64" t="str">
        <f t="shared" si="43"/>
        <v>,</v>
      </c>
      <c r="Y48" s="64">
        <f t="shared" si="44"/>
        <v>250</v>
      </c>
      <c r="Z48" s="56" t="str">
        <f t="shared" si="45"/>
        <v>)</v>
      </c>
      <c r="AA48" s="66" t="str">
        <f t="shared" si="46"/>
        <v/>
      </c>
      <c r="AB48" s="57" t="str">
        <f t="shared" si="47"/>
        <v/>
      </c>
      <c r="AC48" s="67" t="str">
        <f t="shared" si="48"/>
        <v/>
      </c>
      <c r="AD48" s="59" t="str">
        <f t="shared" si="49"/>
        <v/>
      </c>
      <c r="AE48" s="68" t="str">
        <f t="shared" si="50"/>
        <v/>
      </c>
      <c r="AF48" s="61" t="str">
        <f t="shared" si="51"/>
        <v/>
      </c>
      <c r="AG48" s="61" t="str">
        <f t="shared" si="52"/>
        <v/>
      </c>
      <c r="AH48" s="69" t="str">
        <f t="shared" si="53"/>
        <v/>
      </c>
      <c r="AI48" s="70" t="str">
        <f t="shared" si="54"/>
        <v/>
      </c>
      <c r="AJ48" s="64" t="str">
        <f t="shared" si="55"/>
        <v/>
      </c>
      <c r="AK48" s="64" t="str">
        <f t="shared" si="56"/>
        <v/>
      </c>
      <c r="AL48" s="64" t="str">
        <f t="shared" si="57"/>
        <v/>
      </c>
      <c r="AM48" s="64" t="str">
        <f t="shared" si="58"/>
        <v/>
      </c>
      <c r="AN48" s="64" t="str">
        <f t="shared" si="59"/>
        <v/>
      </c>
    </row>
    <row r="49" spans="1:40" ht="25.5" thickTop="1" thickBot="1" x14ac:dyDescent="0.4">
      <c r="C49" s="113" t="s">
        <v>1064</v>
      </c>
      <c r="D49" s="112" t="s">
        <v>1049</v>
      </c>
      <c r="E49" s="52"/>
      <c r="F49" s="53"/>
      <c r="G49" s="53"/>
      <c r="H49" s="52"/>
      <c r="I49" s="52"/>
      <c r="J49" s="54"/>
      <c r="K49" s="54"/>
      <c r="L49" s="55" t="str">
        <f t="shared" si="30"/>
        <v xml:space="preserve">            { line: "a todas las gentes, (Do,,10)", sC: ""},</v>
      </c>
      <c r="M49" s="56" t="str">
        <f t="shared" si="33"/>
        <v>(</v>
      </c>
      <c r="N49" s="57" t="str">
        <f t="shared" si="34"/>
        <v>Do</v>
      </c>
      <c r="O49" s="58" t="str">
        <f t="shared" si="35"/>
        <v>,</v>
      </c>
      <c r="P49" s="59" t="str">
        <f t="shared" si="36"/>
        <v/>
      </c>
      <c r="Q49" s="60" t="str">
        <f t="shared" si="37"/>
        <v>,</v>
      </c>
      <c r="R49" s="61">
        <f t="shared" si="28"/>
        <v>10</v>
      </c>
      <c r="S49" s="56" t="str">
        <f t="shared" si="38"/>
        <v>)</v>
      </c>
      <c r="T49" s="62" t="str">
        <f t="shared" si="39"/>
        <v/>
      </c>
      <c r="U49" s="63" t="str">
        <f t="shared" si="40"/>
        <v/>
      </c>
      <c r="V49" s="64" t="str">
        <f t="shared" si="41"/>
        <v/>
      </c>
      <c r="W49" s="65" t="str">
        <f t="shared" si="42"/>
        <v/>
      </c>
      <c r="X49" s="64" t="str">
        <f t="shared" si="43"/>
        <v/>
      </c>
      <c r="Y49" s="64" t="str">
        <f t="shared" si="44"/>
        <v/>
      </c>
      <c r="Z49" s="56" t="str">
        <f t="shared" si="45"/>
        <v/>
      </c>
      <c r="AA49" s="66" t="str">
        <f t="shared" si="46"/>
        <v/>
      </c>
      <c r="AB49" s="57" t="str">
        <f t="shared" si="47"/>
        <v/>
      </c>
      <c r="AC49" s="67" t="str">
        <f t="shared" si="48"/>
        <v/>
      </c>
      <c r="AD49" s="59" t="str">
        <f t="shared" si="49"/>
        <v/>
      </c>
      <c r="AE49" s="68" t="str">
        <f t="shared" si="50"/>
        <v/>
      </c>
      <c r="AF49" s="61" t="str">
        <f t="shared" si="51"/>
        <v/>
      </c>
      <c r="AG49" s="61" t="str">
        <f t="shared" si="52"/>
        <v/>
      </c>
      <c r="AH49" s="69" t="str">
        <f t="shared" si="53"/>
        <v/>
      </c>
      <c r="AI49" s="70" t="str">
        <f t="shared" si="54"/>
        <v/>
      </c>
      <c r="AJ49" s="64" t="str">
        <f t="shared" si="55"/>
        <v/>
      </c>
      <c r="AK49" s="64" t="str">
        <f t="shared" si="56"/>
        <v/>
      </c>
      <c r="AL49" s="64" t="str">
        <f t="shared" si="57"/>
        <v/>
      </c>
      <c r="AM49" s="64" t="str">
        <f t="shared" si="58"/>
        <v/>
      </c>
      <c r="AN49" s="64" t="str">
        <f t="shared" si="59"/>
        <v/>
      </c>
    </row>
    <row r="50" spans="1:40" ht="25.5" thickTop="1" thickBot="1" x14ac:dyDescent="0.4">
      <c r="C50" s="113" t="s">
        <v>1065</v>
      </c>
      <c r="D50" s="112" t="s">
        <v>1013</v>
      </c>
      <c r="E50" s="52" t="s">
        <v>1012</v>
      </c>
      <c r="F50" s="53" t="s">
        <v>1011</v>
      </c>
      <c r="G50" s="53"/>
      <c r="H50" s="52"/>
      <c r="I50" s="52"/>
      <c r="J50" s="54"/>
      <c r="K50" s="54"/>
      <c r="L50" s="55" t="str">
        <f t="shared" si="30"/>
        <v xml:space="preserve">            { line: "bautizándolas en el nombre del Padre, (La,m,20)(Mi,,250)", sC: ""},</v>
      </c>
      <c r="M50" s="56" t="str">
        <f t="shared" si="33"/>
        <v>(</v>
      </c>
      <c r="N50" s="57" t="str">
        <f t="shared" si="34"/>
        <v>La</v>
      </c>
      <c r="O50" s="58" t="str">
        <f t="shared" si="35"/>
        <v>,</v>
      </c>
      <c r="P50" s="59" t="str">
        <f t="shared" si="36"/>
        <v>m</v>
      </c>
      <c r="Q50" s="60" t="str">
        <f t="shared" si="37"/>
        <v>,</v>
      </c>
      <c r="R50" s="61">
        <f t="shared" si="28"/>
        <v>20</v>
      </c>
      <c r="S50" s="56" t="str">
        <f t="shared" si="38"/>
        <v>)</v>
      </c>
      <c r="T50" s="62" t="str">
        <f t="shared" si="39"/>
        <v>(</v>
      </c>
      <c r="U50" s="63" t="str">
        <f t="shared" si="40"/>
        <v>Mi</v>
      </c>
      <c r="V50" s="64" t="str">
        <f t="shared" si="41"/>
        <v>,</v>
      </c>
      <c r="W50" s="65" t="str">
        <f t="shared" si="42"/>
        <v/>
      </c>
      <c r="X50" s="64" t="str">
        <f t="shared" si="43"/>
        <v>,</v>
      </c>
      <c r="Y50" s="64">
        <f t="shared" si="44"/>
        <v>250</v>
      </c>
      <c r="Z50" s="56" t="str">
        <f t="shared" si="45"/>
        <v>)</v>
      </c>
      <c r="AA50" s="66" t="str">
        <f t="shared" si="46"/>
        <v/>
      </c>
      <c r="AB50" s="57" t="str">
        <f t="shared" si="47"/>
        <v/>
      </c>
      <c r="AC50" s="67" t="str">
        <f t="shared" si="48"/>
        <v/>
      </c>
      <c r="AD50" s="59" t="str">
        <f t="shared" si="49"/>
        <v/>
      </c>
      <c r="AE50" s="68" t="str">
        <f t="shared" si="50"/>
        <v/>
      </c>
      <c r="AF50" s="61" t="str">
        <f t="shared" si="51"/>
        <v/>
      </c>
      <c r="AG50" s="61" t="str">
        <f t="shared" si="52"/>
        <v/>
      </c>
      <c r="AH50" s="69" t="str">
        <f t="shared" si="53"/>
        <v/>
      </c>
      <c r="AI50" s="70" t="str">
        <f t="shared" si="54"/>
        <v/>
      </c>
      <c r="AJ50" s="64" t="str">
        <f t="shared" si="55"/>
        <v/>
      </c>
      <c r="AK50" s="64" t="str">
        <f t="shared" si="56"/>
        <v/>
      </c>
      <c r="AL50" s="64" t="str">
        <f t="shared" si="57"/>
        <v/>
      </c>
      <c r="AM50" s="64" t="str">
        <f t="shared" si="58"/>
        <v/>
      </c>
      <c r="AN50" s="64" t="str">
        <f t="shared" si="59"/>
        <v/>
      </c>
    </row>
    <row r="51" spans="1:40" ht="25.5" thickTop="1" thickBot="1" x14ac:dyDescent="0.4">
      <c r="C51" s="113" t="s">
        <v>1066</v>
      </c>
      <c r="D51" s="112" t="s">
        <v>1013</v>
      </c>
      <c r="E51" s="52" t="s">
        <v>1012</v>
      </c>
      <c r="F51" s="53"/>
      <c r="G51" s="53"/>
      <c r="H51" s="52"/>
      <c r="I51" s="52"/>
      <c r="J51" s="54"/>
      <c r="K51" s="54"/>
      <c r="L51" s="55" t="str">
        <f t="shared" si="0"/>
        <v xml:space="preserve">            { line: "y del Hijo y del Espíritu Santo,, (La,m,20)",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36.75" thickTop="1" thickBot="1" x14ac:dyDescent="0.4">
      <c r="A52" s="76"/>
      <c r="B52" s="76"/>
      <c r="C52" s="76"/>
      <c r="D52" s="77"/>
      <c r="E52" s="77"/>
      <c r="F52" s="77"/>
      <c r="G52" s="77"/>
      <c r="H52" s="77"/>
      <c r="I52" s="77"/>
      <c r="J52" s="77"/>
      <c r="K52" s="77"/>
      <c r="L52" s="50" t="s">
        <v>994</v>
      </c>
      <c r="M52" s="104"/>
      <c r="N52" s="57"/>
      <c r="O52" s="105"/>
      <c r="P52" s="59"/>
      <c r="Q52" s="106"/>
      <c r="R52" s="61" t="str">
        <f t="shared" si="28"/>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5.5" thickTop="1" thickBot="1" x14ac:dyDescent="0.4">
      <c r="C53" s="113" t="s">
        <v>1067</v>
      </c>
      <c r="D53" s="112" t="s">
        <v>1015</v>
      </c>
      <c r="E53" s="52"/>
      <c r="F53" s="53"/>
      <c r="G53" s="53"/>
      <c r="H53" s="52"/>
      <c r="I53" s="52"/>
      <c r="J53" s="54"/>
      <c r="K53" s="54"/>
      <c r="L53" s="55" t="str">
        <f t="shared" ref="L53:L68" si="60">IF(C53="","",_xlfn.CONCAT("            { line: ","""",C53,", ",M53:AN53,""", sC: ","""",B53,"""},"))</f>
        <v xml:space="preserve">            { line: "y enseñándoles a poner en práctica,, (Fa,,20)", sC: ""},</v>
      </c>
      <c r="M53" s="56" t="str">
        <f t="shared" ref="M53:M68" si="61">IF(N53="","","(")</f>
        <v>(</v>
      </c>
      <c r="N53" s="57" t="str">
        <f t="shared" si="2"/>
        <v>Fa</v>
      </c>
      <c r="O53" s="58" t="str">
        <f t="shared" ref="O53:O68" si="62">IF(N53="","",",")</f>
        <v>,</v>
      </c>
      <c r="P53" s="59" t="str">
        <f t="shared" si="4"/>
        <v/>
      </c>
      <c r="Q53" s="60" t="str">
        <f t="shared" ref="Q53:Q68" si="63">IF(N53="","",",")</f>
        <v>,</v>
      </c>
      <c r="R53" s="61">
        <f t="shared" si="28"/>
        <v>20</v>
      </c>
      <c r="S53" s="56" t="str">
        <f t="shared" ref="S53:S68" si="64">IF(N53="","",")")</f>
        <v>)</v>
      </c>
      <c r="T53" s="62" t="str">
        <f t="shared" ref="T53:T68" si="65">IF(U53="","","(")</f>
        <v/>
      </c>
      <c r="U53" s="63" t="str">
        <f t="shared" si="8"/>
        <v/>
      </c>
      <c r="V53" s="64" t="str">
        <f t="shared" ref="V53:V68" si="66">IF(U53="","",",")</f>
        <v/>
      </c>
      <c r="W53" s="65" t="str">
        <f t="shared" si="10"/>
        <v/>
      </c>
      <c r="X53" s="64" t="str">
        <f t="shared" ref="X53:X68" si="67">IF(U53="","",",")</f>
        <v/>
      </c>
      <c r="Y53" s="64" t="str">
        <f t="shared" ref="Y53:Y68" si="68">IF(U53="","",250)</f>
        <v/>
      </c>
      <c r="Z53" s="56" t="str">
        <f t="shared" ref="Z53:Z68" si="69">IF(U53="","",")")</f>
        <v/>
      </c>
      <c r="AA53" s="66" t="str">
        <f t="shared" ref="AA53:AA68" si="70">IF(AB53="","","(")</f>
        <v/>
      </c>
      <c r="AB53" s="57" t="str">
        <f t="shared" si="15"/>
        <v/>
      </c>
      <c r="AC53" s="67" t="str">
        <f t="shared" ref="AC53:AC68" si="71">IF(AB53="","",",")</f>
        <v/>
      </c>
      <c r="AD53" s="59" t="str">
        <f t="shared" ref="AD53:AD68" si="72">IF(I53="","",I53)</f>
        <v/>
      </c>
      <c r="AE53" s="68" t="str">
        <f t="shared" ref="AE53:AE68" si="73">IF(AB53="","",",")</f>
        <v/>
      </c>
      <c r="AF53" s="61" t="str">
        <f t="shared" ref="AF53:AF68" si="74">IF(AB53="","",350)</f>
        <v/>
      </c>
      <c r="AG53" s="61" t="str">
        <f t="shared" ref="AG53:AG68" si="75">IF(AB53="","",")")</f>
        <v/>
      </c>
      <c r="AH53" s="69" t="str">
        <f t="shared" ref="AH53:AH68" si="76">IF(AI53="","","(")</f>
        <v/>
      </c>
      <c r="AI53" s="70" t="str">
        <f t="shared" si="22"/>
        <v/>
      </c>
      <c r="AJ53" s="64" t="str">
        <f t="shared" ref="AJ53:AJ68" si="77">IF(AI53="","",",")</f>
        <v/>
      </c>
      <c r="AK53" s="64" t="str">
        <f t="shared" ref="AK53:AK68" si="78">IF(K53="","",K53)</f>
        <v/>
      </c>
      <c r="AL53" s="64" t="str">
        <f t="shared" ref="AL53:AL68" si="79">IF(AI53="","",",")</f>
        <v/>
      </c>
      <c r="AM53" s="64" t="str">
        <f t="shared" ref="AM53:AM68" si="80">IF(AI53="","",450)</f>
        <v/>
      </c>
      <c r="AN53" s="64" t="str">
        <f t="shared" ref="AN53:AN68" si="81">IF(AI53="","",")")</f>
        <v/>
      </c>
    </row>
    <row r="54" spans="1:40" ht="25.5" thickTop="1" thickBot="1" x14ac:dyDescent="0.4">
      <c r="C54" s="113" t="s">
        <v>1068</v>
      </c>
      <c r="D54" s="112" t="s">
        <v>1011</v>
      </c>
      <c r="E54" s="52"/>
      <c r="F54" s="53" t="s">
        <v>1013</v>
      </c>
      <c r="G54" s="53" t="s">
        <v>1012</v>
      </c>
      <c r="H54" s="52"/>
      <c r="I54" s="52"/>
      <c r="J54" s="54"/>
      <c r="K54" s="54"/>
      <c r="L54" s="55" t="str">
        <f t="shared" si="60"/>
        <v xml:space="preserve">            { line: "todo lo que yo os he mandado., (Mi,,20)(La,m,250)", sC: ""},</v>
      </c>
      <c r="M54" s="56" t="str">
        <f t="shared" si="61"/>
        <v>(</v>
      </c>
      <c r="N54" s="57" t="str">
        <f t="shared" si="2"/>
        <v>Mi</v>
      </c>
      <c r="O54" s="58" t="str">
        <f t="shared" si="62"/>
        <v>,</v>
      </c>
      <c r="P54" s="59" t="str">
        <f t="shared" si="4"/>
        <v/>
      </c>
      <c r="Q54" s="60" t="str">
        <f t="shared" si="63"/>
        <v>,</v>
      </c>
      <c r="R54" s="61">
        <f t="shared" si="28"/>
        <v>20</v>
      </c>
      <c r="S54" s="56" t="str">
        <f t="shared" si="64"/>
        <v>)</v>
      </c>
      <c r="T54" s="62" t="str">
        <f t="shared" si="65"/>
        <v>(</v>
      </c>
      <c r="U54" s="63" t="str">
        <f t="shared" si="8"/>
        <v>La</v>
      </c>
      <c r="V54" s="64" t="str">
        <f t="shared" si="66"/>
        <v>,</v>
      </c>
      <c r="W54" s="65" t="str">
        <f t="shared" si="10"/>
        <v>m</v>
      </c>
      <c r="X54" s="64" t="str">
        <f t="shared" si="67"/>
        <v>,</v>
      </c>
      <c r="Y54" s="64">
        <f t="shared" si="68"/>
        <v>250</v>
      </c>
      <c r="Z54" s="56" t="str">
        <f t="shared" si="69"/>
        <v>)</v>
      </c>
      <c r="AA54" s="66" t="str">
        <f t="shared" si="70"/>
        <v/>
      </c>
      <c r="AB54" s="57" t="str">
        <f t="shared" si="15"/>
        <v/>
      </c>
      <c r="AC54" s="67" t="str">
        <f t="shared" si="71"/>
        <v/>
      </c>
      <c r="AD54" s="59" t="str">
        <f t="shared" si="72"/>
        <v/>
      </c>
      <c r="AE54" s="68" t="str">
        <f t="shared" si="73"/>
        <v/>
      </c>
      <c r="AF54" s="61" t="str">
        <f t="shared" si="74"/>
        <v/>
      </c>
      <c r="AG54" s="61" t="str">
        <f t="shared" si="75"/>
        <v/>
      </c>
      <c r="AH54" s="69" t="str">
        <f t="shared" si="76"/>
        <v/>
      </c>
      <c r="AI54" s="70" t="str">
        <f t="shared" si="22"/>
        <v/>
      </c>
      <c r="AJ54" s="64" t="str">
        <f t="shared" si="77"/>
        <v/>
      </c>
      <c r="AK54" s="64" t="str">
        <f t="shared" si="78"/>
        <v/>
      </c>
      <c r="AL54" s="64" t="str">
        <f t="shared" si="79"/>
        <v/>
      </c>
      <c r="AM54" s="64" t="str">
        <f t="shared" si="80"/>
        <v/>
      </c>
      <c r="AN54" s="64" t="str">
        <f t="shared" si="81"/>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ref="R55:R59" si="82">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79" t="s">
        <v>995</v>
      </c>
      <c r="D56" s="80"/>
      <c r="E56" s="80"/>
      <c r="F56" s="80"/>
      <c r="G56" s="80"/>
      <c r="H56" s="80"/>
      <c r="I56" s="80"/>
      <c r="J56" s="80"/>
      <c r="K56" s="80"/>
      <c r="L56" s="81" t="s">
        <v>996</v>
      </c>
      <c r="M56" s="56" t="str">
        <f t="shared" ref="M56:M58" si="83">IF(N56="","","(")</f>
        <v/>
      </c>
      <c r="N56" s="57" t="str">
        <f t="shared" ref="N56:N58" si="84">IF(D56="","",D56)</f>
        <v/>
      </c>
      <c r="O56" s="58" t="str">
        <f t="shared" ref="O56:O58" si="85">IF(N56="","",",")</f>
        <v/>
      </c>
      <c r="P56" s="59" t="str">
        <f t="shared" ref="P56:P58" si="86">IF(E56="","",E56)</f>
        <v/>
      </c>
      <c r="Q56" s="60" t="str">
        <f t="shared" ref="Q56:Q58" si="87">IF(N56="","",",")</f>
        <v/>
      </c>
      <c r="R56" s="61" t="str">
        <f t="shared" si="82"/>
        <v/>
      </c>
      <c r="S56" s="56" t="str">
        <f t="shared" ref="S56:S58" si="88">IF(N56="","",")")</f>
        <v/>
      </c>
      <c r="T56" s="62" t="str">
        <f t="shared" ref="T56:T58" si="89">IF(U56="","","(")</f>
        <v/>
      </c>
      <c r="U56" s="63" t="str">
        <f t="shared" ref="U56:U58" si="90">IF(F56="","",F56)</f>
        <v/>
      </c>
      <c r="V56" s="64" t="str">
        <f t="shared" ref="V56:V58" si="91">IF(U56="","",",")</f>
        <v/>
      </c>
      <c r="W56" s="65" t="str">
        <f t="shared" ref="W56:W58" si="92">IF(G56="","",G56)</f>
        <v/>
      </c>
      <c r="X56" s="64" t="str">
        <f t="shared" ref="X56:X58" si="93">IF(U56="","",",")</f>
        <v/>
      </c>
      <c r="Y56" s="64" t="str">
        <f t="shared" ref="Y56:Y58" si="94">IF(U56="","",250)</f>
        <v/>
      </c>
      <c r="Z56" s="56" t="str">
        <f t="shared" ref="Z56:Z58" si="95">IF(U56="","",")")</f>
        <v/>
      </c>
      <c r="AA56" s="66" t="str">
        <f t="shared" ref="AA56:AA58" si="96">IF(AB56="","","(")</f>
        <v/>
      </c>
      <c r="AB56" s="57" t="str">
        <f t="shared" ref="AB56:AB58" si="97">IF(H56="","",H56)</f>
        <v/>
      </c>
      <c r="AC56" s="67" t="str">
        <f t="shared" ref="AC56:AC58" si="98">IF(AB56="","",",")</f>
        <v/>
      </c>
      <c r="AD56" s="59" t="str">
        <f t="shared" ref="AD56:AD58" si="99">IF(I56="","",I56)</f>
        <v/>
      </c>
      <c r="AE56" s="68" t="str">
        <f t="shared" ref="AE56:AE58" si="100">IF(AB56="","",",")</f>
        <v/>
      </c>
      <c r="AF56" s="61" t="str">
        <f t="shared" ref="AF56:AF58" si="101">IF(AB56="","",350)</f>
        <v/>
      </c>
      <c r="AG56" s="61" t="str">
        <f t="shared" ref="AG56:AG58" si="102">IF(AB56="","",")")</f>
        <v/>
      </c>
      <c r="AH56" s="69" t="str">
        <f t="shared" ref="AH56:AH58" si="103">IF(AI56="","","(")</f>
        <v/>
      </c>
      <c r="AI56" s="70" t="str">
        <f t="shared" ref="AI56:AI58" si="104">IF(J56="","",J56)</f>
        <v/>
      </c>
      <c r="AJ56" s="64" t="str">
        <f t="shared" ref="AJ56:AJ58" si="105">IF(AI56="","",",")</f>
        <v/>
      </c>
      <c r="AK56" s="64" t="str">
        <f t="shared" ref="AK56:AK58" si="106">IF(K56="","",K56)</f>
        <v/>
      </c>
      <c r="AL56" s="64" t="str">
        <f t="shared" ref="AL56:AL58" si="107">IF(AI56="","",",")</f>
        <v/>
      </c>
      <c r="AM56" s="64" t="str">
        <f t="shared" ref="AM56:AM58" si="108">IF(AI56="","",450)</f>
        <v/>
      </c>
      <c r="AN56" s="64" t="str">
        <f t="shared" ref="AN56:AN58" si="109">IF(AI56="","",")")</f>
        <v/>
      </c>
    </row>
    <row r="57" spans="1:40" ht="25.5" thickTop="1" thickBot="1" x14ac:dyDescent="0.4">
      <c r="B57" t="s">
        <v>997</v>
      </c>
      <c r="C57" s="82" t="s">
        <v>1051</v>
      </c>
      <c r="D57" s="83" t="s">
        <v>1013</v>
      </c>
      <c r="E57" s="83" t="s">
        <v>1012</v>
      </c>
      <c r="F57" s="83"/>
      <c r="G57" s="83"/>
      <c r="H57" s="83"/>
      <c r="I57" s="83"/>
      <c r="J57" s="83"/>
      <c r="K57" s="83"/>
      <c r="L57" s="84" t="str">
        <f>IF(C57="","",_xlfn.CONCAT("       triggerLine: ","""",C57,", ",M57:AN57,""", sC: ","""",B57,""", lines: ["))</f>
        <v xml:space="preserve">       triggerLine: "«ID Y ANUNCIAD A MIS HERMANOS, (La,m,20)", sC: "ta as", lines: [</v>
      </c>
      <c r="M57" s="56" t="str">
        <f t="shared" si="83"/>
        <v>(</v>
      </c>
      <c r="N57" s="57" t="str">
        <f t="shared" si="84"/>
        <v>La</v>
      </c>
      <c r="O57" s="58" t="str">
        <f t="shared" si="85"/>
        <v>,</v>
      </c>
      <c r="P57" s="59" t="str">
        <f t="shared" si="86"/>
        <v>m</v>
      </c>
      <c r="Q57" s="60" t="str">
        <f t="shared" si="87"/>
        <v>,</v>
      </c>
      <c r="R57" s="61">
        <f t="shared" si="82"/>
        <v>20</v>
      </c>
      <c r="S57" s="56" t="str">
        <f t="shared" si="88"/>
        <v>)</v>
      </c>
      <c r="T57" s="62" t="str">
        <f t="shared" si="89"/>
        <v/>
      </c>
      <c r="U57" s="63" t="str">
        <f t="shared" si="90"/>
        <v/>
      </c>
      <c r="V57" s="64" t="str">
        <f t="shared" si="91"/>
        <v/>
      </c>
      <c r="W57" s="65" t="str">
        <f t="shared" si="92"/>
        <v/>
      </c>
      <c r="X57" s="64" t="str">
        <f t="shared" si="93"/>
        <v/>
      </c>
      <c r="Y57" s="64" t="str">
        <f t="shared" si="94"/>
        <v/>
      </c>
      <c r="Z57" s="56" t="str">
        <f t="shared" si="95"/>
        <v/>
      </c>
      <c r="AA57" s="66" t="str">
        <f t="shared" si="96"/>
        <v/>
      </c>
      <c r="AB57" s="57" t="str">
        <f t="shared" si="97"/>
        <v/>
      </c>
      <c r="AC57" s="67" t="str">
        <f t="shared" si="98"/>
        <v/>
      </c>
      <c r="AD57" s="59" t="str">
        <f t="shared" si="99"/>
        <v/>
      </c>
      <c r="AE57" s="68" t="str">
        <f t="shared" si="100"/>
        <v/>
      </c>
      <c r="AF57" s="61" t="str">
        <f t="shared" si="101"/>
        <v/>
      </c>
      <c r="AG57" s="61" t="str">
        <f t="shared" si="102"/>
        <v/>
      </c>
      <c r="AH57" s="69" t="str">
        <f t="shared" si="103"/>
        <v/>
      </c>
      <c r="AI57" s="70" t="str">
        <f t="shared" si="104"/>
        <v/>
      </c>
      <c r="AJ57" s="64" t="str">
        <f t="shared" si="105"/>
        <v/>
      </c>
      <c r="AK57" s="64" t="str">
        <f t="shared" si="106"/>
        <v/>
      </c>
      <c r="AL57" s="64" t="str">
        <f t="shared" si="107"/>
        <v/>
      </c>
      <c r="AM57" s="64" t="str">
        <f t="shared" si="108"/>
        <v/>
      </c>
      <c r="AN57" s="64" t="str">
        <f t="shared" si="109"/>
        <v/>
      </c>
    </row>
    <row r="58" spans="1:40" ht="25.5" thickTop="1" thickBot="1" x14ac:dyDescent="0.4">
      <c r="B58" t="s">
        <v>1050</v>
      </c>
      <c r="C58" s="93" t="s">
        <v>1052</v>
      </c>
      <c r="D58" s="83" t="s">
        <v>1016</v>
      </c>
      <c r="E58" s="83"/>
      <c r="F58" s="83" t="s">
        <v>1013</v>
      </c>
      <c r="G58" s="83" t="s">
        <v>1012</v>
      </c>
      <c r="H58" s="83"/>
      <c r="I58" s="83"/>
      <c r="J58" s="83"/>
      <c r="K58" s="83"/>
      <c r="L58" s="94" t="str">
        <f>IF(C58="","",_xlfn.CONCAT("            { line: ","""",C58,", ",M58:AN58,""", sC: ","""",B58,"""},  ]},"))</f>
        <v xml:space="preserve">            { line: "QUE VAYAN A GALILEA., (Sol,,14)(La,m,250)", sC: "as r1"},  ]},</v>
      </c>
      <c r="M58" s="56" t="str">
        <f t="shared" si="83"/>
        <v>(</v>
      </c>
      <c r="N58" s="57" t="str">
        <f t="shared" si="84"/>
        <v>Sol</v>
      </c>
      <c r="O58" s="58" t="str">
        <f t="shared" si="85"/>
        <v>,</v>
      </c>
      <c r="P58" s="59" t="str">
        <f t="shared" si="86"/>
        <v/>
      </c>
      <c r="Q58" s="60" t="str">
        <f t="shared" si="87"/>
        <v>,</v>
      </c>
      <c r="R58" s="61">
        <f t="shared" si="82"/>
        <v>14</v>
      </c>
      <c r="S58" s="56" t="str">
        <f t="shared" si="88"/>
        <v>)</v>
      </c>
      <c r="T58" s="62" t="str">
        <f t="shared" si="89"/>
        <v>(</v>
      </c>
      <c r="U58" s="63" t="str">
        <f t="shared" si="90"/>
        <v>La</v>
      </c>
      <c r="V58" s="64" t="str">
        <f t="shared" si="91"/>
        <v>,</v>
      </c>
      <c r="W58" s="65" t="str">
        <f t="shared" si="92"/>
        <v>m</v>
      </c>
      <c r="X58" s="64" t="str">
        <f t="shared" si="93"/>
        <v>,</v>
      </c>
      <c r="Y58" s="64">
        <f t="shared" si="94"/>
        <v>250</v>
      </c>
      <c r="Z58" s="56" t="str">
        <f t="shared" si="95"/>
        <v>)</v>
      </c>
      <c r="AA58" s="66" t="str">
        <f t="shared" si="96"/>
        <v/>
      </c>
      <c r="AB58" s="57" t="str">
        <f t="shared" si="97"/>
        <v/>
      </c>
      <c r="AC58" s="67" t="str">
        <f t="shared" si="98"/>
        <v/>
      </c>
      <c r="AD58" s="59" t="str">
        <f t="shared" si="99"/>
        <v/>
      </c>
      <c r="AE58" s="68" t="str">
        <f t="shared" si="100"/>
        <v/>
      </c>
      <c r="AF58" s="61" t="str">
        <f t="shared" si="101"/>
        <v/>
      </c>
      <c r="AG58" s="61" t="str">
        <f t="shared" si="102"/>
        <v/>
      </c>
      <c r="AH58" s="69" t="str">
        <f t="shared" si="103"/>
        <v/>
      </c>
      <c r="AI58" s="70" t="str">
        <f t="shared" si="104"/>
        <v/>
      </c>
      <c r="AJ58" s="64" t="str">
        <f t="shared" si="105"/>
        <v/>
      </c>
      <c r="AK58" s="64" t="str">
        <f t="shared" si="106"/>
        <v/>
      </c>
      <c r="AL58" s="64" t="str">
        <f t="shared" si="107"/>
        <v/>
      </c>
      <c r="AM58" s="64" t="str">
        <f t="shared" si="108"/>
        <v/>
      </c>
      <c r="AN58" s="64" t="str">
        <f t="shared" si="109"/>
        <v/>
      </c>
    </row>
    <row r="59" spans="1:40" ht="27.75" thickTop="1" thickBot="1" x14ac:dyDescent="0.4">
      <c r="A59" s="73"/>
      <c r="B59" s="73"/>
      <c r="C59" s="73"/>
      <c r="D59" s="74"/>
      <c r="E59" s="74"/>
      <c r="F59" s="74"/>
      <c r="G59" s="74"/>
      <c r="H59" s="74"/>
      <c r="I59" s="74"/>
      <c r="J59" s="74"/>
      <c r="K59" s="74"/>
      <c r="L59" s="75" t="s">
        <v>993</v>
      </c>
      <c r="M59" s="56"/>
      <c r="N59" s="57"/>
      <c r="O59" s="58"/>
      <c r="P59" s="59"/>
      <c r="Q59" s="60"/>
      <c r="R59" s="61" t="str">
        <f t="shared" si="82"/>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B60" t="s">
        <v>1014</v>
      </c>
      <c r="C60" s="113" t="s">
        <v>1069</v>
      </c>
      <c r="D60" s="112" t="s">
        <v>1013</v>
      </c>
      <c r="E60" s="52" t="s">
        <v>1012</v>
      </c>
      <c r="F60" s="53"/>
      <c r="G60" s="53"/>
      <c r="H60" s="52"/>
      <c r="I60" s="52"/>
      <c r="J60" s="54"/>
      <c r="K60" s="54"/>
      <c r="L60" s="55" t="str">
        <f t="shared" si="60"/>
        <v xml:space="preserve">            { line: "Ved que yo estoy con vosotros,, (La,m,20)", sC: "tc"},</v>
      </c>
      <c r="M60" s="56" t="str">
        <f t="shared" si="61"/>
        <v>(</v>
      </c>
      <c r="N60" s="57" t="str">
        <f t="shared" si="2"/>
        <v>La</v>
      </c>
      <c r="O60" s="58" t="str">
        <f t="shared" si="62"/>
        <v>,</v>
      </c>
      <c r="P60" s="59" t="str">
        <f t="shared" si="4"/>
        <v>m</v>
      </c>
      <c r="Q60" s="60" t="str">
        <f t="shared" si="63"/>
        <v>,</v>
      </c>
      <c r="R60" s="61">
        <f t="shared" si="28"/>
        <v>20</v>
      </c>
      <c r="S60" s="56" t="str">
        <f t="shared" si="64"/>
        <v>)</v>
      </c>
      <c r="T60" s="62" t="str">
        <f t="shared" si="65"/>
        <v/>
      </c>
      <c r="U60" s="63" t="str">
        <f t="shared" si="8"/>
        <v/>
      </c>
      <c r="V60" s="64" t="str">
        <f t="shared" si="66"/>
        <v/>
      </c>
      <c r="W60" s="65" t="str">
        <f t="shared" si="10"/>
        <v/>
      </c>
      <c r="X60" s="64" t="str">
        <f t="shared" si="67"/>
        <v/>
      </c>
      <c r="Y60" s="64" t="str">
        <f t="shared" si="68"/>
        <v/>
      </c>
      <c r="Z60" s="56" t="str">
        <f t="shared" si="69"/>
        <v/>
      </c>
      <c r="AA60" s="66" t="str">
        <f t="shared" si="70"/>
        <v/>
      </c>
      <c r="AB60" s="57" t="str">
        <f t="shared" si="15"/>
        <v/>
      </c>
      <c r="AC60" s="67" t="str">
        <f t="shared" si="71"/>
        <v/>
      </c>
      <c r="AD60" s="59" t="str">
        <f t="shared" si="72"/>
        <v/>
      </c>
      <c r="AE60" s="68" t="str">
        <f t="shared" si="73"/>
        <v/>
      </c>
      <c r="AF60" s="61" t="str">
        <f t="shared" si="74"/>
        <v/>
      </c>
      <c r="AG60" s="61" t="str">
        <f t="shared" si="75"/>
        <v/>
      </c>
      <c r="AH60" s="69" t="str">
        <f t="shared" si="76"/>
        <v/>
      </c>
      <c r="AI60" s="70" t="str">
        <f t="shared" si="22"/>
        <v/>
      </c>
      <c r="AJ60" s="64" t="str">
        <f t="shared" si="77"/>
        <v/>
      </c>
      <c r="AK60" s="64" t="str">
        <f t="shared" si="78"/>
        <v/>
      </c>
      <c r="AL60" s="64" t="str">
        <f t="shared" si="79"/>
        <v/>
      </c>
      <c r="AM60" s="64" t="str">
        <f t="shared" si="80"/>
        <v/>
      </c>
      <c r="AN60" s="64" t="str">
        <f t="shared" si="81"/>
        <v/>
      </c>
    </row>
    <row r="61" spans="1:40" ht="25.5" thickTop="1" thickBot="1" x14ac:dyDescent="0.4">
      <c r="C61" s="113" t="s">
        <v>1070</v>
      </c>
      <c r="D61" s="112" t="s">
        <v>1016</v>
      </c>
      <c r="E61" s="52"/>
      <c r="F61" s="53"/>
      <c r="G61" s="53"/>
      <c r="H61" s="52"/>
      <c r="I61" s="52"/>
      <c r="J61" s="54"/>
      <c r="K61" s="54"/>
      <c r="L61" s="55" t="str">
        <f t="shared" si="60"/>
        <v xml:space="preserve">            { line: "ved que yo estoy con vosotros, (Sol,,14)", sC: ""},</v>
      </c>
      <c r="M61" s="56" t="str">
        <f t="shared" si="61"/>
        <v>(</v>
      </c>
      <c r="N61" s="57" t="str">
        <f t="shared" si="2"/>
        <v>Sol</v>
      </c>
      <c r="O61" s="58" t="str">
        <f t="shared" si="62"/>
        <v>,</v>
      </c>
      <c r="P61" s="59" t="str">
        <f t="shared" si="4"/>
        <v/>
      </c>
      <c r="Q61" s="60" t="str">
        <f t="shared" si="63"/>
        <v>,</v>
      </c>
      <c r="R61" s="61">
        <f t="shared" si="28"/>
        <v>14</v>
      </c>
      <c r="S61" s="56" t="str">
        <f t="shared" si="64"/>
        <v>)</v>
      </c>
      <c r="T61" s="62" t="str">
        <f t="shared" si="65"/>
        <v/>
      </c>
      <c r="U61" s="63" t="str">
        <f t="shared" si="8"/>
        <v/>
      </c>
      <c r="V61" s="64" t="str">
        <f t="shared" si="66"/>
        <v/>
      </c>
      <c r="W61" s="65" t="str">
        <f t="shared" si="10"/>
        <v/>
      </c>
      <c r="X61" s="64" t="str">
        <f t="shared" si="67"/>
        <v/>
      </c>
      <c r="Y61" s="64" t="str">
        <f t="shared" si="68"/>
        <v/>
      </c>
      <c r="Z61" s="56" t="str">
        <f t="shared" si="69"/>
        <v/>
      </c>
      <c r="AA61" s="66" t="str">
        <f t="shared" si="70"/>
        <v/>
      </c>
      <c r="AB61" s="57" t="str">
        <f t="shared" si="15"/>
        <v/>
      </c>
      <c r="AC61" s="67" t="str">
        <f t="shared" si="71"/>
        <v/>
      </c>
      <c r="AD61" s="59" t="str">
        <f t="shared" si="72"/>
        <v/>
      </c>
      <c r="AE61" s="68" t="str">
        <f t="shared" si="73"/>
        <v/>
      </c>
      <c r="AF61" s="61" t="str">
        <f t="shared" si="74"/>
        <v/>
      </c>
      <c r="AG61" s="61" t="str">
        <f t="shared" si="75"/>
        <v/>
      </c>
      <c r="AH61" s="69" t="str">
        <f t="shared" si="76"/>
        <v/>
      </c>
      <c r="AI61" s="70" t="str">
        <f t="shared" si="22"/>
        <v/>
      </c>
      <c r="AJ61" s="64" t="str">
        <f t="shared" si="77"/>
        <v/>
      </c>
      <c r="AK61" s="64" t="str">
        <f t="shared" si="78"/>
        <v/>
      </c>
      <c r="AL61" s="64" t="str">
        <f t="shared" si="79"/>
        <v/>
      </c>
      <c r="AM61" s="64" t="str">
        <f t="shared" si="80"/>
        <v/>
      </c>
      <c r="AN61" s="64" t="str">
        <f t="shared" si="81"/>
        <v/>
      </c>
    </row>
    <row r="62" spans="1:40" ht="25.5" thickTop="1" thickBot="1" x14ac:dyDescent="0.4">
      <c r="C62" s="113" t="s">
        <v>1071</v>
      </c>
      <c r="D62" s="112" t="s">
        <v>1013</v>
      </c>
      <c r="E62" s="52" t="s">
        <v>1012</v>
      </c>
      <c r="F62" s="53"/>
      <c r="G62" s="53"/>
      <c r="H62" s="52"/>
      <c r="I62" s="52"/>
      <c r="J62" s="54"/>
      <c r="K62" s="54"/>
      <c r="L62" s="78" t="str">
        <f t="shared" si="60"/>
        <v xml:space="preserve">            { line: "todos los días., (La,m,20)", sC: ""},</v>
      </c>
      <c r="M62" s="56" t="str">
        <f t="shared" si="61"/>
        <v>(</v>
      </c>
      <c r="N62" s="57" t="str">
        <f t="shared" si="2"/>
        <v>La</v>
      </c>
      <c r="O62" s="58" t="str">
        <f t="shared" si="62"/>
        <v>,</v>
      </c>
      <c r="P62" s="59" t="str">
        <f t="shared" si="4"/>
        <v>m</v>
      </c>
      <c r="Q62" s="60" t="str">
        <f t="shared" si="63"/>
        <v>,</v>
      </c>
      <c r="R62" s="61">
        <f t="shared" si="28"/>
        <v>20</v>
      </c>
      <c r="S62" s="56" t="str">
        <f t="shared" si="64"/>
        <v>)</v>
      </c>
      <c r="T62" s="62" t="str">
        <f t="shared" si="65"/>
        <v/>
      </c>
      <c r="U62" s="63" t="str">
        <f t="shared" si="8"/>
        <v/>
      </c>
      <c r="V62" s="64" t="str">
        <f t="shared" si="66"/>
        <v/>
      </c>
      <c r="W62" s="65" t="str">
        <f t="shared" si="10"/>
        <v/>
      </c>
      <c r="X62" s="64" t="str">
        <f t="shared" si="67"/>
        <v/>
      </c>
      <c r="Y62" s="64" t="str">
        <f t="shared" si="68"/>
        <v/>
      </c>
      <c r="Z62" s="56" t="str">
        <f t="shared" si="69"/>
        <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997</v>
      </c>
      <c r="C64" s="113" t="s">
        <v>1072</v>
      </c>
      <c r="D64" s="112" t="s">
        <v>1013</v>
      </c>
      <c r="E64" s="52" t="s">
        <v>1012</v>
      </c>
      <c r="F64" s="53"/>
      <c r="G64" s="53"/>
      <c r="H64" s="52"/>
      <c r="I64" s="52"/>
      <c r="J64" s="54"/>
      <c r="K64" s="54"/>
      <c r="L64" s="78" t="str">
        <f t="shared" si="60"/>
        <v xml:space="preserve">            { line: "VED QUE YO ESTOY CON VOSOTROS,, (La,m,20)", sC: "ta as"},</v>
      </c>
      <c r="M64" s="56" t="str">
        <f t="shared" si="61"/>
        <v>(</v>
      </c>
      <c r="N64" s="57" t="str">
        <f t="shared" si="2"/>
        <v>La</v>
      </c>
      <c r="O64" s="58" t="str">
        <f t="shared" si="62"/>
        <v>,</v>
      </c>
      <c r="P64" s="59" t="str">
        <f t="shared" si="4"/>
        <v>m</v>
      </c>
      <c r="Q64" s="60" t="str">
        <f t="shared" si="63"/>
        <v>,</v>
      </c>
      <c r="R64" s="61">
        <f t="shared" si="28"/>
        <v>20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5.5" thickTop="1" thickBot="1" x14ac:dyDescent="0.4">
      <c r="B65" t="s">
        <v>999</v>
      </c>
      <c r="C65" s="113" t="s">
        <v>1073</v>
      </c>
      <c r="D65" s="112" t="s">
        <v>1016</v>
      </c>
      <c r="E65" s="52"/>
      <c r="F65" s="53"/>
      <c r="G65" s="53"/>
      <c r="H65" s="52"/>
      <c r="I65" s="52"/>
      <c r="J65" s="54"/>
      <c r="K65" s="54"/>
      <c r="L65" s="78" t="str">
        <f t="shared" si="60"/>
        <v xml:space="preserve">            { line: "VED QUE YO ESTOY CON VOSOTROS, (Sol,,14)", sC: "as"},</v>
      </c>
      <c r="M65" s="56" t="str">
        <f t="shared" si="61"/>
        <v>(</v>
      </c>
      <c r="N65" s="57" t="str">
        <f t="shared" si="2"/>
        <v>Sol</v>
      </c>
      <c r="O65" s="58" t="str">
        <f t="shared" si="62"/>
        <v>,</v>
      </c>
      <c r="P65" s="59" t="str">
        <f t="shared" si="4"/>
        <v/>
      </c>
      <c r="Q65" s="60" t="str">
        <f t="shared" si="63"/>
        <v>,</v>
      </c>
      <c r="R65" s="61">
        <f t="shared" si="28"/>
        <v>14</v>
      </c>
      <c r="S65" s="56" t="str">
        <f t="shared" si="64"/>
        <v>)</v>
      </c>
      <c r="T65" s="62" t="str">
        <f t="shared" si="65"/>
        <v/>
      </c>
      <c r="U65" s="63" t="str">
        <f t="shared" si="8"/>
        <v/>
      </c>
      <c r="V65" s="64" t="str">
        <f t="shared" si="66"/>
        <v/>
      </c>
      <c r="W65" s="65" t="str">
        <f t="shared" si="10"/>
        <v/>
      </c>
      <c r="X65" s="64" t="str">
        <f t="shared" si="67"/>
        <v/>
      </c>
      <c r="Y65" s="64" t="str">
        <f t="shared" si="68"/>
        <v/>
      </c>
      <c r="Z65" s="56" t="str">
        <f t="shared" si="69"/>
        <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5.5" thickTop="1" thickBot="1" x14ac:dyDescent="0.4">
      <c r="B66" t="s">
        <v>999</v>
      </c>
      <c r="C66" s="113" t="s">
        <v>1074</v>
      </c>
      <c r="D66" s="112" t="s">
        <v>1013</v>
      </c>
      <c r="E66" s="52" t="s">
        <v>1012</v>
      </c>
      <c r="F66" s="53"/>
      <c r="G66" s="53"/>
      <c r="H66" s="52"/>
      <c r="I66" s="52"/>
      <c r="J66" s="54"/>
      <c r="K66" s="54"/>
      <c r="L66" s="55" t="str">
        <f t="shared" si="60"/>
        <v xml:space="preserve">            { line: "TODOS LOS DÍAS., (La,m,20)", sC: "as"},</v>
      </c>
      <c r="M66" s="56" t="str">
        <f t="shared" si="61"/>
        <v>(</v>
      </c>
      <c r="N66" s="57" t="str">
        <f t="shared" si="2"/>
        <v>La</v>
      </c>
      <c r="O66" s="58" t="str">
        <f t="shared" si="62"/>
        <v>,</v>
      </c>
      <c r="P66" s="59" t="str">
        <f t="shared" si="4"/>
        <v>m</v>
      </c>
      <c r="Q66" s="60" t="str">
        <f t="shared" si="63"/>
        <v>,</v>
      </c>
      <c r="R66" s="61">
        <f t="shared" si="28"/>
        <v>20</v>
      </c>
      <c r="S66" s="56" t="str">
        <f t="shared" si="64"/>
        <v>)</v>
      </c>
      <c r="T66" s="62" t="str">
        <f t="shared" si="65"/>
        <v/>
      </c>
      <c r="U66" s="63" t="str">
        <f t="shared" si="8"/>
        <v/>
      </c>
      <c r="V66" s="64" t="str">
        <f t="shared" si="66"/>
        <v/>
      </c>
      <c r="W66" s="65" t="str">
        <f t="shared" si="10"/>
        <v/>
      </c>
      <c r="X66" s="64" t="str">
        <f t="shared" si="67"/>
        <v/>
      </c>
      <c r="Y66" s="64" t="str">
        <f t="shared" si="68"/>
        <v/>
      </c>
      <c r="Z66" s="56" t="str">
        <f t="shared" si="69"/>
        <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ref="R67" si="110">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B68" t="s">
        <v>1014</v>
      </c>
      <c r="C68" s="113" t="s">
        <v>1075</v>
      </c>
      <c r="D68" s="112" t="s">
        <v>1011</v>
      </c>
      <c r="E68" s="52"/>
      <c r="F68" s="53"/>
      <c r="G68" s="53"/>
      <c r="H68" s="52"/>
      <c r="I68" s="52"/>
      <c r="J68" s="54"/>
      <c r="K68" s="54"/>
      <c r="L68" s="55" t="str">
        <f t="shared" si="60"/>
        <v xml:space="preserve">            { line: "Hasta el fin del mundo,, (Mi,,20)", sC: "tc"},</v>
      </c>
      <c r="M68" s="56" t="str">
        <f t="shared" si="61"/>
        <v>(</v>
      </c>
      <c r="N68" s="57" t="str">
        <f t="shared" si="2"/>
        <v>Mi</v>
      </c>
      <c r="O68" s="58" t="str">
        <f t="shared" si="62"/>
        <v>,</v>
      </c>
      <c r="P68" s="59" t="str">
        <f t="shared" si="4"/>
        <v/>
      </c>
      <c r="Q68" s="60" t="str">
        <f t="shared" si="63"/>
        <v>,</v>
      </c>
      <c r="R68" s="61">
        <f t="shared" si="28"/>
        <v>20</v>
      </c>
      <c r="S68" s="56" t="str">
        <f t="shared" si="64"/>
        <v>)</v>
      </c>
      <c r="T68" s="62" t="str">
        <f t="shared" si="65"/>
        <v/>
      </c>
      <c r="U68" s="63" t="str">
        <f t="shared" si="8"/>
        <v/>
      </c>
      <c r="V68" s="64" t="str">
        <f t="shared" si="66"/>
        <v/>
      </c>
      <c r="W68" s="65" t="str">
        <f t="shared" si="10"/>
        <v/>
      </c>
      <c r="X68" s="64" t="str">
        <f t="shared" si="67"/>
        <v/>
      </c>
      <c r="Y68" s="64" t="str">
        <f t="shared" si="68"/>
        <v/>
      </c>
      <c r="Z68" s="56" t="str">
        <f t="shared" si="69"/>
        <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5.5" thickTop="1" thickBot="1" x14ac:dyDescent="0.4">
      <c r="B69" t="s">
        <v>997</v>
      </c>
      <c r="C69" s="113" t="s">
        <v>1076</v>
      </c>
      <c r="D69" s="112" t="s">
        <v>1013</v>
      </c>
      <c r="E69" s="52" t="s">
        <v>1012</v>
      </c>
      <c r="F69" s="53"/>
      <c r="G69" s="53"/>
      <c r="H69" s="52"/>
      <c r="I69" s="52"/>
      <c r="J69" s="54"/>
      <c r="K69" s="54"/>
      <c r="L69" s="55" t="str">
        <f t="shared" ref="L69" si="111">IF(C69="","",_xlfn.CONCAT("            { line: ","""",C69,", ",M69:AN69,""", sC: ","""",B69,"""},"))</f>
        <v xml:space="preserve">            { line: "HASTA EL FIN DEL MUNDO, (La,m,20)", sC: "ta as"},</v>
      </c>
      <c r="M69" s="56" t="str">
        <f t="shared" ref="M69" si="112">IF(N69="","","(")</f>
        <v>(</v>
      </c>
      <c r="N69" s="57" t="str">
        <f t="shared" ref="N69" si="113">IF(D69="","",D69)</f>
        <v>La</v>
      </c>
      <c r="O69" s="58" t="str">
        <f t="shared" ref="O69" si="114">IF(N69="","",",")</f>
        <v>,</v>
      </c>
      <c r="P69" s="59" t="str">
        <f t="shared" ref="P69" si="115">IF(E69="","",E69)</f>
        <v>m</v>
      </c>
      <c r="Q69" s="60" t="str">
        <f t="shared" ref="Q69" si="116">IF(N69="","",",")</f>
        <v>,</v>
      </c>
      <c r="R69" s="61">
        <f t="shared" ref="R69" si="117">IF(N69="Do",10,IF(N69="Re",22,IF(N69="Mi",20,IF(N69="Fa",20,IF(N69="Sol",14,IF(N69="La",20,IF(N69="Si",20,IF(N69="Do#",14,IF(N69="Fa#",15,IF(N69="Sol#",20,""))))))))))</f>
        <v>20</v>
      </c>
      <c r="S69" s="56" t="str">
        <f t="shared" ref="S69" si="118">IF(N69="","",")")</f>
        <v>)</v>
      </c>
      <c r="T69" s="62" t="str">
        <f t="shared" ref="T69" si="119">IF(U69="","","(")</f>
        <v/>
      </c>
      <c r="U69" s="63" t="str">
        <f t="shared" ref="U69" si="120">IF(F69="","",F69)</f>
        <v/>
      </c>
      <c r="V69" s="64" t="str">
        <f t="shared" ref="V69" si="121">IF(U69="","",",")</f>
        <v/>
      </c>
      <c r="W69" s="65" t="str">
        <f t="shared" ref="W69" si="122">IF(G69="","",G69)</f>
        <v/>
      </c>
      <c r="X69" s="64" t="str">
        <f t="shared" ref="X69" si="123">IF(U69="","",",")</f>
        <v/>
      </c>
      <c r="Y69" s="64" t="str">
        <f t="shared" ref="Y69" si="124">IF(U69="","",250)</f>
        <v/>
      </c>
      <c r="Z69" s="56" t="str">
        <f t="shared" ref="Z69" si="125">IF(U69="","",")")</f>
        <v/>
      </c>
      <c r="AA69" s="66" t="str">
        <f t="shared" ref="AA69" si="126">IF(AB69="","","(")</f>
        <v/>
      </c>
      <c r="AB69" s="57" t="str">
        <f t="shared" ref="AB69" si="127">IF(H69="","",H69)</f>
        <v/>
      </c>
      <c r="AC69" s="67" t="str">
        <f t="shared" ref="AC69" si="128">IF(AB69="","",",")</f>
        <v/>
      </c>
      <c r="AD69" s="59" t="str">
        <f t="shared" ref="AD69" si="129">IF(I69="","",I69)</f>
        <v/>
      </c>
      <c r="AE69" s="68" t="str">
        <f t="shared" ref="AE69" si="130">IF(AB69="","",",")</f>
        <v/>
      </c>
      <c r="AF69" s="61" t="str">
        <f t="shared" ref="AF69" si="131">IF(AB69="","",350)</f>
        <v/>
      </c>
      <c r="AG69" s="61" t="str">
        <f t="shared" ref="AG69" si="132">IF(AB69="","",")")</f>
        <v/>
      </c>
      <c r="AH69" s="69" t="str">
        <f t="shared" ref="AH69" si="133">IF(AI69="","","(")</f>
        <v/>
      </c>
      <c r="AI69" s="70" t="str">
        <f t="shared" ref="AI69" si="134">IF(J69="","",J69)</f>
        <v/>
      </c>
      <c r="AJ69" s="64" t="str">
        <f t="shared" ref="AJ69" si="135">IF(AI69="","",",")</f>
        <v/>
      </c>
      <c r="AK69" s="64" t="str">
        <f t="shared" ref="AK69" si="136">IF(K69="","",K69)</f>
        <v/>
      </c>
      <c r="AL69" s="64" t="str">
        <f t="shared" ref="AL69" si="137">IF(AI69="","",",")</f>
        <v/>
      </c>
      <c r="AM69" s="64" t="str">
        <f t="shared" ref="AM69" si="138">IF(AI69="","",450)</f>
        <v/>
      </c>
      <c r="AN69" s="64" t="str">
        <f t="shared" ref="AN69" si="139">IF(AI69="","",")")</f>
        <v/>
      </c>
    </row>
    <row r="70" spans="1:40" ht="27.75" thickTop="1" thickBot="1" x14ac:dyDescent="0.4">
      <c r="A70" s="73"/>
      <c r="B70" s="73"/>
      <c r="C70" s="73"/>
      <c r="D70" s="74"/>
      <c r="E70" s="74"/>
      <c r="F70" s="74"/>
      <c r="G70" s="74"/>
      <c r="H70" s="74"/>
      <c r="I70" s="74"/>
      <c r="J70" s="74"/>
      <c r="K70" s="74"/>
      <c r="L70" s="75" t="s">
        <v>993</v>
      </c>
      <c r="M70" s="56"/>
      <c r="N70" s="57"/>
      <c r="O70" s="58"/>
      <c r="P70" s="59"/>
      <c r="Q70" s="60"/>
      <c r="R70" s="61" t="str">
        <f t="shared" si="28"/>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thickTop="1" thickBot="1" x14ac:dyDescent="0.4">
      <c r="C71" s="79" t="s">
        <v>995</v>
      </c>
      <c r="D71" s="80"/>
      <c r="E71" s="80"/>
      <c r="F71" s="80"/>
      <c r="G71" s="80"/>
      <c r="H71" s="80"/>
      <c r="I71" s="80"/>
      <c r="J71" s="80"/>
      <c r="K71" s="80"/>
      <c r="L71" s="81" t="s">
        <v>996</v>
      </c>
      <c r="M71" s="56" t="str">
        <f t="shared" ref="M71:M73" si="140">IF(N71="","","(")</f>
        <v/>
      </c>
      <c r="N71" s="57" t="str">
        <f t="shared" ref="N71:N73" si="141">IF(D71="","",D71)</f>
        <v/>
      </c>
      <c r="O71" s="58" t="str">
        <f t="shared" ref="O71:O73" si="142">IF(N71="","",",")</f>
        <v/>
      </c>
      <c r="P71" s="59" t="str">
        <f t="shared" ref="P71:P73" si="143">IF(E71="","",E71)</f>
        <v/>
      </c>
      <c r="Q71" s="60" t="str">
        <f t="shared" ref="Q71:Q73" si="144">IF(N71="","",",")</f>
        <v/>
      </c>
      <c r="R71" s="61" t="str">
        <f t="shared" si="28"/>
        <v/>
      </c>
      <c r="S71" s="56" t="str">
        <f t="shared" ref="S71:S73" si="145">IF(N71="","",")")</f>
        <v/>
      </c>
      <c r="T71" s="62" t="str">
        <f t="shared" ref="T71:T73" si="146">IF(U71="","","(")</f>
        <v/>
      </c>
      <c r="U71" s="63" t="str">
        <f t="shared" ref="U71:U73" si="147">IF(F71="","",F71)</f>
        <v/>
      </c>
      <c r="V71" s="64" t="str">
        <f t="shared" ref="V71:V73" si="148">IF(U71="","",",")</f>
        <v/>
      </c>
      <c r="W71" s="65" t="str">
        <f t="shared" ref="W71:W73" si="149">IF(G71="","",G71)</f>
        <v/>
      </c>
      <c r="X71" s="64" t="str">
        <f t="shared" ref="X71:X73" si="150">IF(U71="","",",")</f>
        <v/>
      </c>
      <c r="Y71" s="64" t="str">
        <f t="shared" ref="Y71:Y73" si="151">IF(U71="","",250)</f>
        <v/>
      </c>
      <c r="Z71" s="56" t="str">
        <f t="shared" ref="Z71:Z73" si="152">IF(U71="","",")")</f>
        <v/>
      </c>
      <c r="AA71" s="66" t="str">
        <f t="shared" ref="AA71:AA73" si="153">IF(AB71="","","(")</f>
        <v/>
      </c>
      <c r="AB71" s="57" t="str">
        <f t="shared" ref="AB71:AB73" si="154">IF(H71="","",H71)</f>
        <v/>
      </c>
      <c r="AC71" s="67" t="str">
        <f t="shared" ref="AC71:AC73" si="155">IF(AB71="","",",")</f>
        <v/>
      </c>
      <c r="AD71" s="59" t="str">
        <f t="shared" ref="AD71:AD73" si="156">IF(I71="","",I71)</f>
        <v/>
      </c>
      <c r="AE71" s="68" t="str">
        <f t="shared" ref="AE71:AE73" si="157">IF(AB71="","",",")</f>
        <v/>
      </c>
      <c r="AF71" s="61" t="str">
        <f t="shared" ref="AF71:AF73" si="158">IF(AB71="","",350)</f>
        <v/>
      </c>
      <c r="AG71" s="61" t="str">
        <f t="shared" ref="AG71:AG73" si="159">IF(AB71="","",")")</f>
        <v/>
      </c>
      <c r="AH71" s="69" t="str">
        <f t="shared" ref="AH71:AH73" si="160">IF(AI71="","","(")</f>
        <v/>
      </c>
      <c r="AI71" s="70" t="str">
        <f t="shared" ref="AI71:AI73" si="161">IF(J71="","",J71)</f>
        <v/>
      </c>
      <c r="AJ71" s="64" t="str">
        <f t="shared" ref="AJ71:AJ73" si="162">IF(AI71="","",",")</f>
        <v/>
      </c>
      <c r="AK71" s="64" t="str">
        <f t="shared" ref="AK71:AK73" si="163">IF(K71="","",K71)</f>
        <v/>
      </c>
      <c r="AL71" s="64" t="str">
        <f t="shared" ref="AL71:AL73" si="164">IF(AI71="","",",")</f>
        <v/>
      </c>
      <c r="AM71" s="64" t="str">
        <f t="shared" ref="AM71:AM73" si="165">IF(AI71="","",450)</f>
        <v/>
      </c>
      <c r="AN71" s="64" t="str">
        <f t="shared" ref="AN71:AN73" si="166">IF(AI71="","",")")</f>
        <v/>
      </c>
    </row>
    <row r="72" spans="1:40" ht="25.5" thickTop="1" thickBot="1" x14ac:dyDescent="0.4">
      <c r="B72" t="s">
        <v>997</v>
      </c>
      <c r="C72" s="82" t="s">
        <v>1051</v>
      </c>
      <c r="D72" s="83" t="s">
        <v>1013</v>
      </c>
      <c r="E72" s="83" t="s">
        <v>1012</v>
      </c>
      <c r="F72" s="83"/>
      <c r="G72" s="83"/>
      <c r="H72" s="83"/>
      <c r="I72" s="83"/>
      <c r="J72" s="83"/>
      <c r="K72" s="83"/>
      <c r="L72" s="84" t="str">
        <f>IF(C72="","",_xlfn.CONCAT("       triggerLine: ","""",C72,", ",M72:AN72,""", sC: ","""",B72,""", lines: ["))</f>
        <v xml:space="preserve">       triggerLine: "«ID Y ANUNCIAD A MIS HERMANOS, (La,m,20)", sC: "ta as", lines: [</v>
      </c>
      <c r="M72" s="56" t="str">
        <f t="shared" si="140"/>
        <v>(</v>
      </c>
      <c r="N72" s="57" t="str">
        <f t="shared" si="141"/>
        <v>La</v>
      </c>
      <c r="O72" s="58" t="str">
        <f t="shared" si="142"/>
        <v>,</v>
      </c>
      <c r="P72" s="59" t="str">
        <f t="shared" si="143"/>
        <v>m</v>
      </c>
      <c r="Q72" s="60" t="str">
        <f t="shared" si="144"/>
        <v>,</v>
      </c>
      <c r="R72" s="61">
        <f t="shared" si="28"/>
        <v>20</v>
      </c>
      <c r="S72" s="56" t="str">
        <f t="shared" si="145"/>
        <v>)</v>
      </c>
      <c r="T72" s="62" t="str">
        <f t="shared" si="146"/>
        <v/>
      </c>
      <c r="U72" s="63" t="str">
        <f t="shared" si="147"/>
        <v/>
      </c>
      <c r="V72" s="64" t="str">
        <f t="shared" si="148"/>
        <v/>
      </c>
      <c r="W72" s="65" t="str">
        <f t="shared" si="149"/>
        <v/>
      </c>
      <c r="X72" s="64" t="str">
        <f t="shared" si="150"/>
        <v/>
      </c>
      <c r="Y72" s="64" t="str">
        <f t="shared" si="151"/>
        <v/>
      </c>
      <c r="Z72" s="56" t="str">
        <f t="shared" si="152"/>
        <v/>
      </c>
      <c r="AA72" s="66" t="str">
        <f t="shared" si="153"/>
        <v/>
      </c>
      <c r="AB72" s="57" t="str">
        <f t="shared" si="154"/>
        <v/>
      </c>
      <c r="AC72" s="67" t="str">
        <f t="shared" si="155"/>
        <v/>
      </c>
      <c r="AD72" s="59" t="str">
        <f t="shared" si="156"/>
        <v/>
      </c>
      <c r="AE72" s="68" t="str">
        <f t="shared" si="157"/>
        <v/>
      </c>
      <c r="AF72" s="61" t="str">
        <f t="shared" si="158"/>
        <v/>
      </c>
      <c r="AG72" s="61" t="str">
        <f t="shared" si="159"/>
        <v/>
      </c>
      <c r="AH72" s="69" t="str">
        <f t="shared" si="160"/>
        <v/>
      </c>
      <c r="AI72" s="70" t="str">
        <f t="shared" si="161"/>
        <v/>
      </c>
      <c r="AJ72" s="64" t="str">
        <f t="shared" si="162"/>
        <v/>
      </c>
      <c r="AK72" s="64" t="str">
        <f t="shared" si="163"/>
        <v/>
      </c>
      <c r="AL72" s="64" t="str">
        <f t="shared" si="164"/>
        <v/>
      </c>
      <c r="AM72" s="64" t="str">
        <f t="shared" si="165"/>
        <v/>
      </c>
      <c r="AN72" s="64" t="str">
        <f t="shared" si="166"/>
        <v/>
      </c>
    </row>
    <row r="73" spans="1:40" ht="25.5" thickTop="1" thickBot="1" x14ac:dyDescent="0.4">
      <c r="B73" t="s">
        <v>1050</v>
      </c>
      <c r="C73" s="93" t="s">
        <v>1052</v>
      </c>
      <c r="D73" s="83" t="s">
        <v>1016</v>
      </c>
      <c r="E73" s="83"/>
      <c r="F73" s="83" t="s">
        <v>1013</v>
      </c>
      <c r="G73" s="83" t="s">
        <v>1012</v>
      </c>
      <c r="H73" s="83"/>
      <c r="I73" s="83"/>
      <c r="J73" s="83"/>
      <c r="K73" s="83"/>
      <c r="L73" s="94" t="str">
        <f>IF(C73="","",_xlfn.CONCAT("            { line: ","""",C73,", ",M73:AN73,""", sC: ","""",B73,"""},  ]},"))</f>
        <v xml:space="preserve">            { line: "QUE VAYAN A GALILEA., (Sol,,14)(La,m,250)", sC: "as r1"},  ]},</v>
      </c>
      <c r="M73" s="56" t="str">
        <f t="shared" si="140"/>
        <v>(</v>
      </c>
      <c r="N73" s="57" t="str">
        <f t="shared" si="141"/>
        <v>Sol</v>
      </c>
      <c r="O73" s="58" t="str">
        <f t="shared" si="142"/>
        <v>,</v>
      </c>
      <c r="P73" s="59" t="str">
        <f t="shared" si="143"/>
        <v/>
      </c>
      <c r="Q73" s="60" t="str">
        <f t="shared" si="144"/>
        <v>,</v>
      </c>
      <c r="R73" s="61">
        <f t="shared" si="28"/>
        <v>14</v>
      </c>
      <c r="S73" s="56" t="str">
        <f t="shared" si="145"/>
        <v>)</v>
      </c>
      <c r="T73" s="62" t="str">
        <f t="shared" si="146"/>
        <v>(</v>
      </c>
      <c r="U73" s="63" t="str">
        <f t="shared" si="147"/>
        <v>La</v>
      </c>
      <c r="V73" s="64" t="str">
        <f t="shared" si="148"/>
        <v>,</v>
      </c>
      <c r="W73" s="65" t="str">
        <f t="shared" si="149"/>
        <v>m</v>
      </c>
      <c r="X73" s="64" t="str">
        <f t="shared" si="150"/>
        <v>,</v>
      </c>
      <c r="Y73" s="64">
        <f t="shared" si="151"/>
        <v>250</v>
      </c>
      <c r="Z73" s="56" t="str">
        <f t="shared" si="152"/>
        <v>)</v>
      </c>
      <c r="AA73" s="66" t="str">
        <f t="shared" si="153"/>
        <v/>
      </c>
      <c r="AB73" s="57" t="str">
        <f t="shared" si="154"/>
        <v/>
      </c>
      <c r="AC73" s="67" t="str">
        <f t="shared" si="155"/>
        <v/>
      </c>
      <c r="AD73" s="59" t="str">
        <f t="shared" si="156"/>
        <v/>
      </c>
      <c r="AE73" s="68" t="str">
        <f t="shared" si="157"/>
        <v/>
      </c>
      <c r="AF73" s="61" t="str">
        <f t="shared" si="158"/>
        <v/>
      </c>
      <c r="AG73" s="61" t="str">
        <f t="shared" si="159"/>
        <v/>
      </c>
      <c r="AH73" s="69" t="str">
        <f t="shared" si="160"/>
        <v/>
      </c>
      <c r="AI73" s="70" t="str">
        <f t="shared" si="161"/>
        <v/>
      </c>
      <c r="AJ73" s="64" t="str">
        <f t="shared" si="162"/>
        <v/>
      </c>
      <c r="AK73" s="64" t="str">
        <f t="shared" si="163"/>
        <v/>
      </c>
      <c r="AL73" s="64" t="str">
        <f t="shared" si="164"/>
        <v/>
      </c>
      <c r="AM73" s="64" t="str">
        <f t="shared" si="165"/>
        <v/>
      </c>
      <c r="AN73" s="64" t="str">
        <f t="shared" si="166"/>
        <v/>
      </c>
    </row>
    <row r="74" spans="1:40" ht="27.75" thickTop="1" thickBot="1" x14ac:dyDescent="0.4">
      <c r="A74" s="73"/>
      <c r="B74" s="73"/>
      <c r="C74" s="73"/>
      <c r="D74" s="74"/>
      <c r="E74" s="74"/>
      <c r="F74" s="74"/>
      <c r="G74" s="74"/>
      <c r="H74" s="74"/>
      <c r="I74" s="74"/>
      <c r="J74" s="74"/>
      <c r="K74" s="74"/>
      <c r="L74" s="75" t="s">
        <v>993</v>
      </c>
      <c r="M74" s="56"/>
      <c r="N74" s="57"/>
      <c r="O74" s="58"/>
      <c r="P74" s="59"/>
      <c r="Q74" s="60"/>
      <c r="R74" s="61" t="str">
        <f t="shared" si="28"/>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 customHeight="1" thickTop="1" x14ac:dyDescent="0.4">
      <c r="A75" s="95"/>
      <c r="B75" s="95"/>
      <c r="C75" s="95"/>
      <c r="D75" s="95"/>
      <c r="E75" s="95"/>
      <c r="F75" s="95"/>
      <c r="G75" s="95"/>
      <c r="H75" s="95"/>
      <c r="I75" s="95"/>
      <c r="J75" s="95"/>
      <c r="K75" s="95"/>
      <c r="L75" s="99" t="str">
        <f>_xlfn.CONCAT("]}, // ULTIMA LINEA DEL CANTO: ",L1)</f>
        <v>]}, // ULTIMA LINEA DEL CANTO: ID Y ANUNCIAD A MIS HERMANOS</v>
      </c>
      <c r="M75" s="95"/>
    </row>
    <row r="76" spans="1:40" ht="20.25" x14ac:dyDescent="0.25">
      <c r="L76" s="100" t="s">
        <v>1008</v>
      </c>
      <c r="M76" s="101"/>
    </row>
    <row r="77" spans="1:40" x14ac:dyDescent="0.25">
      <c r="M7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4"/>
  <sheetViews>
    <sheetView zoomScale="85" zoomScaleNormal="85" workbookViewId="0">
      <pane xSplit="2" ySplit="1" topLeftCell="C25"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92</v>
      </c>
      <c r="E1" s="40"/>
      <c r="F1" s="40"/>
      <c r="G1" s="40"/>
      <c r="H1" s="40"/>
      <c r="I1" s="40"/>
      <c r="J1" s="40"/>
      <c r="K1" s="40"/>
      <c r="L1" s="41" t="str">
        <f>UPPER(VLOOKUP(C1,Table223[],3,FALSE))</f>
        <v>ID Y ANUNCIAD A MIS HERMANOS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ID Y ANUNCIAD A MIS HERMANOS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idyanunciadamishermanos</v>
      </c>
      <c r="L7" s="48" t="str">
        <f>_xlfn.CONCAT("        id: ","""",C7,"""",",")</f>
        <v xml:space="preserve">        id: "idyanunciadamishermanos",</v>
      </c>
    </row>
    <row r="8" spans="2:32" ht="23.25" x14ac:dyDescent="0.25">
      <c r="C8" t="str">
        <f>PROPER(L1)</f>
        <v>Id Y Anunciad A Mis Hermanos</v>
      </c>
      <c r="L8" s="48" t="str">
        <f>_xlfn.CONCAT("        tt: ","""",C8,"""",",")</f>
        <v xml:space="preserve">        tt: "Id Y Anunciad A Mis Hermanos",</v>
      </c>
    </row>
    <row r="9" spans="2:32" ht="23.25" x14ac:dyDescent="0.25">
      <c r="C9" t="str">
        <f>PROPER(L1)</f>
        <v>Id Y Anunciad A Mis Hermanos</v>
      </c>
      <c r="L9" s="48" t="str">
        <f>_xlfn.CONCAT("        title: ","""",C9,"""",",")</f>
        <v xml:space="preserve">        title: "Id Y Anunciad A Mis Hermanos",</v>
      </c>
    </row>
    <row r="10" spans="2:32" ht="23.25" x14ac:dyDescent="0.25">
      <c r="C10" t="str">
        <f>VLOOKUP(C1,Table223[],4,FALSE)</f>
        <v>Mateo 28,10.16-20</v>
      </c>
      <c r="L10" s="48" t="str">
        <f>_xlfn.CONCAT("        ","subtitle: ","""",C10,"""",",")</f>
        <v xml:space="preserve">        subtitle: "Mateo 28,10.16-20",</v>
      </c>
    </row>
    <row r="11" spans="2:32" ht="23.25" x14ac:dyDescent="0.25">
      <c r="C11" t="str">
        <f>_xlfn.CONCAT("category: [",VLOOKUP(C1,Table223[],16,FALSE),"],")</f>
        <v>category: ["Precatecumenado","Pascua","Pentecostés","Final","Nuevo Testamento"],</v>
      </c>
      <c r="L11" s="48" t="str">
        <f>_xlfn.CONCAT("        ",C11)</f>
        <v xml:space="preserve">        category: ["Precatecumenado","Pascua","Pentecostés","Final","Nuevo Testamento"],</v>
      </c>
    </row>
    <row r="12" spans="2:32" ht="23.25" x14ac:dyDescent="0.25">
      <c r="C12" t="str">
        <f>VLOOKUP(C1,Table223[],5,FALSE)</f>
        <v>Precatecumenado</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VLOOKUP(C1,Table223[],1,FALSE)</f>
        <v>92</v>
      </c>
      <c r="L16" s="48" t="str">
        <f>_xlfn.CONCAT("        dbno: ","""",C16,"""",",")</f>
        <v xml:space="preserve">        dbno: "92",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C7</f>
        <v>idyanunciadamishermanos</v>
      </c>
      <c r="L19" s="48" t="str">
        <f>_xlfn.CONCAT("        audioSrc: ","""/audio/",C19,".mp3""",",")</f>
        <v xml:space="preserve">        audioSrc: "/audio/idyanunciadamishermanos.mp3",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+C1-1</f>
        <v>91</v>
      </c>
      <c r="C26" t="str">
        <f>VLOOKUP(B26,Table4[],13,FALSE)</f>
        <v>"/resucito/src/index.html?canto=huyeamadomio"</v>
      </c>
      <c r="L26" s="48" t="str">
        <f>_xlfn.CONCAT("        ant: ",C26,",")</f>
        <v xml:space="preserve">        ant: "/resucito/src/index.html?canto=huyeamadomio",</v>
      </c>
    </row>
    <row r="27" spans="1:40" ht="23.25" x14ac:dyDescent="0.25">
      <c r="B27">
        <f>+C1+1</f>
        <v>93</v>
      </c>
      <c r="C27" t="str">
        <f>VLOOKUP(B27,Table4[],13,FALSE)</f>
        <v>"/resucito/src/index.html?canto=improperios"</v>
      </c>
      <c r="L27" s="48" t="str">
        <f>_xlfn.CONCAT("        sig: ",C27,",")</f>
        <v xml:space="preserve">        sig: "/resucito/src/index.html?canto=improperios",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113"/>
      <c r="D30" s="11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IF(N30="Do",10,IF(N30="Re",22,IF(N30="Mi",20,IF(N30="Fa",20,IF(N30="Sol",14,IF(N30="La",20,IF(N30="Si",20,IF(N30="Do#",14,IF(N30="Fa#",15,IF(N30="Sol#",20,""))))))))))</f>
        <v/>
      </c>
      <c r="S30" s="56" t="str">
        <f t="shared" ref="S30:S58" si="6">IF(N30="","",")")</f>
        <v/>
      </c>
      <c r="T30" s="62" t="str">
        <f t="shared" ref="T30:T58" si="7">IF(U30="","","(")</f>
        <v/>
      </c>
      <c r="U30" s="63" t="str">
        <f t="shared" ref="U30:U80" si="8">IF(F30="","",F30)</f>
        <v/>
      </c>
      <c r="V30" s="64" t="str">
        <f t="shared" ref="V30:V58" si="9">IF(U30="","",",")</f>
        <v/>
      </c>
      <c r="W30" s="65" t="str">
        <f t="shared" ref="W30:W80" si="10">IF(G30="","",G30)</f>
        <v/>
      </c>
      <c r="X30" s="64" t="str">
        <f t="shared" ref="X30:X58" si="11">IF(U30="","",",")</f>
        <v/>
      </c>
      <c r="Y30" s="64" t="str">
        <f t="shared" ref="Y30:Y58" si="12">IF(U30="","",250)</f>
        <v/>
      </c>
      <c r="Z30" s="56" t="str">
        <f t="shared" ref="Z30:Z58" si="13">IF(U30="","",")")</f>
        <v/>
      </c>
      <c r="AA30" s="66" t="str">
        <f t="shared" ref="AA30:AA58" si="14">IF(AB30="","","(")</f>
        <v/>
      </c>
      <c r="AB30" s="57" t="str">
        <f t="shared" ref="AB30:AB80" si="15">IF(H30="","",H30)</f>
        <v/>
      </c>
      <c r="AC30" s="67" t="str">
        <f t="shared" ref="AC30:AC58" si="16">IF(AB30="","",",")</f>
        <v/>
      </c>
      <c r="AD30" s="59" t="str">
        <f t="shared" ref="AD30:AD58" si="17">IF(I30="","",I30)</f>
        <v/>
      </c>
      <c r="AE30" s="68" t="str">
        <f t="shared" ref="AE30:AE58" si="18">IF(AB30="","",",")</f>
        <v/>
      </c>
      <c r="AF30" s="61" t="str">
        <f t="shared" ref="AF30:AF58" si="19">IF(AB30="","",350)</f>
        <v/>
      </c>
      <c r="AG30" s="61" t="str">
        <f t="shared" ref="AG30:AG58" si="20">IF(AB30="","",")")</f>
        <v/>
      </c>
      <c r="AH30" s="69" t="str">
        <f t="shared" ref="AH30:AH58" si="21">IF(AI30="","","(")</f>
        <v/>
      </c>
      <c r="AI30" s="70" t="str">
        <f t="shared" ref="AI30:AI80" si="22">IF(J30="","",J30)</f>
        <v/>
      </c>
      <c r="AJ30" s="64" t="str">
        <f t="shared" ref="AJ30:AJ58" si="23">IF(AI30="","",",")</f>
        <v/>
      </c>
      <c r="AK30" s="64" t="str">
        <f t="shared" ref="AK30:AK58" si="24">IF(K30="","",K30)</f>
        <v/>
      </c>
      <c r="AL30" s="64" t="str">
        <f t="shared" ref="AL30:AL58" si="25">IF(AI30="","",",")</f>
        <v/>
      </c>
      <c r="AM30" s="64" t="str">
        <f t="shared" ref="AM30:AM58" si="26">IF(AI30="","",450)</f>
        <v/>
      </c>
      <c r="AN30" s="64" t="str">
        <f t="shared" ref="AN30:AN58" si="27">IF(AI30="","",")")</f>
        <v/>
      </c>
    </row>
    <row r="31" spans="1:40" ht="25.5" thickTop="1" thickBot="1" x14ac:dyDescent="0.4">
      <c r="C31" s="113"/>
      <c r="D31" s="11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c r="D32" s="11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si="29"/>
        <v/>
      </c>
      <c r="M35" s="56" t="str">
        <f>IF(N35="","","(")</f>
        <v/>
      </c>
      <c r="N35" s="57" t="str">
        <f>IF(D35="","",D35)</f>
        <v/>
      </c>
      <c r="O35" s="58" t="str">
        <f>IF(N35="","",",")</f>
        <v/>
      </c>
      <c r="P35" s="59" t="str">
        <f>IF(E35="","",E35)</f>
        <v/>
      </c>
      <c r="Q35" s="60" t="str">
        <f>IF(N35="","",",")</f>
        <v/>
      </c>
      <c r="R35" s="61" t="str">
        <f t="shared" si="28"/>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29"/>
        <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113"/>
      <c r="D40" s="11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28"/>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3:40" ht="25.5" thickTop="1" thickBot="1" x14ac:dyDescent="0.4">
      <c r="C41" s="113"/>
      <c r="D41" s="11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5.5" thickTop="1" thickBot="1" x14ac:dyDescent="0.4">
      <c r="C42" s="113"/>
      <c r="D42" s="11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28"/>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3:40" ht="25.5" thickTop="1" thickBot="1" x14ac:dyDescent="0.4">
      <c r="C43" s="113"/>
      <c r="D43" s="11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3:40" ht="25.5" thickTop="1" thickBot="1" x14ac:dyDescent="0.4">
      <c r="C44" s="113"/>
      <c r="D44" s="11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28"/>
        <v/>
      </c>
      <c r="S44" s="56" t="str">
        <f t="shared" si="35"/>
        <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3:40" ht="25.5" thickTop="1" thickBot="1" x14ac:dyDescent="0.4">
      <c r="C45" s="113"/>
      <c r="D45" s="11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28"/>
        <v/>
      </c>
      <c r="S45" s="56" t="str">
        <f t="shared" si="6"/>
        <v/>
      </c>
      <c r="T45" s="62" t="str">
        <f t="shared" si="7"/>
        <v/>
      </c>
      <c r="U45" s="63" t="str">
        <f t="shared" si="8"/>
        <v/>
      </c>
      <c r="V45" s="64" t="str">
        <f t="shared" si="9"/>
        <v/>
      </c>
      <c r="W45" s="65" t="str">
        <f t="shared" si="10"/>
        <v/>
      </c>
      <c r="X45" s="64" t="str">
        <f t="shared" si="11"/>
        <v/>
      </c>
      <c r="Y45" s="64" t="str">
        <f t="shared" si="12"/>
        <v/>
      </c>
      <c r="Z45" s="56" t="str">
        <f t="shared" si="13"/>
        <v/>
      </c>
      <c r="AA45" s="66" t="str">
        <f t="shared" si="14"/>
        <v/>
      </c>
      <c r="AB45" s="57" t="str">
        <f t="shared" si="15"/>
        <v/>
      </c>
      <c r="AC45" s="67" t="str">
        <f t="shared" si="16"/>
        <v/>
      </c>
      <c r="AD45" s="59" t="str">
        <f t="shared" si="17"/>
        <v/>
      </c>
      <c r="AE45" s="68" t="str">
        <f t="shared" si="18"/>
        <v/>
      </c>
      <c r="AF45" s="61" t="str">
        <f t="shared" si="19"/>
        <v/>
      </c>
      <c r="AG45" s="61" t="str">
        <f t="shared" si="20"/>
        <v/>
      </c>
      <c r="AH45" s="69" t="str">
        <f t="shared" si="21"/>
        <v/>
      </c>
      <c r="AI45" s="70" t="str">
        <f t="shared" si="22"/>
        <v/>
      </c>
      <c r="AJ45" s="64" t="str">
        <f t="shared" si="23"/>
        <v/>
      </c>
      <c r="AK45" s="64" t="str">
        <f t="shared" si="24"/>
        <v/>
      </c>
      <c r="AL45" s="64" t="str">
        <f t="shared" si="25"/>
        <v/>
      </c>
      <c r="AM45" s="64" t="str">
        <f t="shared" si="26"/>
        <v/>
      </c>
      <c r="AN45" s="64" t="str">
        <f t="shared" si="27"/>
        <v/>
      </c>
    </row>
    <row r="46" spans="3:40" ht="25.5" thickTop="1" thickBot="1" x14ac:dyDescent="0.4">
      <c r="C46" s="113"/>
      <c r="D46" s="11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28"/>
        <v/>
      </c>
      <c r="S46" s="56" t="str">
        <f t="shared" si="6"/>
        <v/>
      </c>
      <c r="T46" s="62" t="str">
        <f t="shared" si="7"/>
        <v/>
      </c>
      <c r="U46" s="63" t="str">
        <f t="shared" si="8"/>
        <v/>
      </c>
      <c r="V46" s="64" t="str">
        <f t="shared" si="9"/>
        <v/>
      </c>
      <c r="W46" s="65" t="str">
        <f t="shared" si="10"/>
        <v/>
      </c>
      <c r="X46" s="64" t="str">
        <f t="shared" si="11"/>
        <v/>
      </c>
      <c r="Y46" s="64" t="str">
        <f t="shared" si="12"/>
        <v/>
      </c>
      <c r="Z46" s="56" t="str">
        <f t="shared" si="13"/>
        <v/>
      </c>
      <c r="AA46" s="66" t="str">
        <f t="shared" si="14"/>
        <v/>
      </c>
      <c r="AB46" s="57" t="str">
        <f t="shared" si="15"/>
        <v/>
      </c>
      <c r="AC46" s="67" t="str">
        <f t="shared" si="16"/>
        <v/>
      </c>
      <c r="AD46" s="59" t="str">
        <f t="shared" si="17"/>
        <v/>
      </c>
      <c r="AE46" s="68" t="str">
        <f t="shared" si="18"/>
        <v/>
      </c>
      <c r="AF46" s="61" t="str">
        <f t="shared" si="19"/>
        <v/>
      </c>
      <c r="AG46" s="61" t="str">
        <f t="shared" si="20"/>
        <v/>
      </c>
      <c r="AH46" s="69" t="str">
        <f t="shared" si="21"/>
        <v/>
      </c>
      <c r="AI46" s="70" t="str">
        <f t="shared" si="22"/>
        <v/>
      </c>
      <c r="AJ46" s="64" t="str">
        <f t="shared" si="23"/>
        <v/>
      </c>
      <c r="AK46" s="64" t="str">
        <f t="shared" si="24"/>
        <v/>
      </c>
      <c r="AL46" s="64" t="str">
        <f t="shared" si="25"/>
        <v/>
      </c>
      <c r="AM46" s="64" t="str">
        <f t="shared" si="26"/>
        <v/>
      </c>
      <c r="AN46" s="64" t="str">
        <f t="shared" si="27"/>
        <v/>
      </c>
    </row>
    <row r="47" spans="3:40" ht="25.5" thickTop="1" thickBot="1" x14ac:dyDescent="0.4">
      <c r="C47" s="113"/>
      <c r="D47" s="11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28"/>
        <v/>
      </c>
      <c r="S47" s="56" t="str">
        <f t="shared" si="6"/>
        <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3:40" ht="25.5" thickTop="1" thickBot="1" x14ac:dyDescent="0.4">
      <c r="C48" s="113"/>
      <c r="D48" s="112"/>
      <c r="E48" s="52"/>
      <c r="F48" s="53"/>
      <c r="G48" s="53"/>
      <c r="H48" s="52"/>
      <c r="I48" s="52"/>
      <c r="J48" s="54"/>
      <c r="K48" s="54"/>
      <c r="L48" s="55" t="str">
        <f t="shared" ref="L48:L59" si="57">IF(C48="","",_xlfn.CONCAT("            { line: ","""",C48,", ",M48:AN48,""", sC: ","""",B48,"""},"))</f>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c r="D49" s="112"/>
      <c r="E49" s="52"/>
      <c r="F49" s="53"/>
      <c r="G49" s="53"/>
      <c r="H49" s="52"/>
      <c r="I49" s="52"/>
      <c r="J49" s="54"/>
      <c r="K49" s="54"/>
      <c r="L49" s="55" t="str">
        <f t="shared" si="57"/>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113"/>
      <c r="D50" s="112"/>
      <c r="E50" s="52"/>
      <c r="F50" s="53"/>
      <c r="G50" s="53"/>
      <c r="H50" s="52"/>
      <c r="I50" s="52"/>
      <c r="J50" s="54"/>
      <c r="K50" s="54"/>
      <c r="L50" s="55" t="str">
        <f t="shared" si="57"/>
        <v/>
      </c>
      <c r="M50" s="56" t="str">
        <f>IF(N50="","","(")</f>
        <v/>
      </c>
      <c r="N50" s="57" t="str">
        <f>IF(D50="","",D50)</f>
        <v/>
      </c>
      <c r="O50" s="58" t="str">
        <f>IF(N50="","",",")</f>
        <v/>
      </c>
      <c r="P50" s="59" t="str">
        <f>IF(E50="","",E50)</f>
        <v/>
      </c>
      <c r="Q50" s="60" t="str">
        <f>IF(N50="","",",")</f>
        <v/>
      </c>
      <c r="R50" s="61" t="str">
        <f t="shared" si="28"/>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113"/>
      <c r="D51" s="112"/>
      <c r="E51" s="52"/>
      <c r="F51" s="53"/>
      <c r="G51" s="53"/>
      <c r="H51" s="52"/>
      <c r="I51" s="52"/>
      <c r="J51" s="54"/>
      <c r="K51" s="54"/>
      <c r="L51" s="55" t="str">
        <f t="shared" si="57"/>
        <v/>
      </c>
      <c r="M51" s="56" t="str">
        <f>IF(N51="","","(")</f>
        <v/>
      </c>
      <c r="N51" s="57" t="str">
        <f>IF(D51="","",D51)</f>
        <v/>
      </c>
      <c r="O51" s="58" t="str">
        <f>IF(N51="","",",")</f>
        <v/>
      </c>
      <c r="P51" s="59" t="str">
        <f>IF(E51="","",E51)</f>
        <v/>
      </c>
      <c r="Q51" s="60" t="str">
        <f>IF(N51="","",",")</f>
        <v/>
      </c>
      <c r="R51" s="61" t="str">
        <f t="shared" si="28"/>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c r="D52" s="112"/>
      <c r="E52" s="52"/>
      <c r="F52" s="53"/>
      <c r="G52" s="53"/>
      <c r="H52" s="52"/>
      <c r="I52" s="52"/>
      <c r="J52" s="54"/>
      <c r="K52" s="54"/>
      <c r="L52" s="55" t="str">
        <f t="shared" si="57"/>
        <v/>
      </c>
      <c r="M52" s="56" t="str">
        <f>IF(N52="","","(")</f>
        <v/>
      </c>
      <c r="N52" s="57" t="str">
        <f>IF(D52="","",D52)</f>
        <v/>
      </c>
      <c r="O52" s="58" t="str">
        <f>IF(N52="","",",")</f>
        <v/>
      </c>
      <c r="P52" s="59" t="str">
        <f>IF(E52="","",E52)</f>
        <v/>
      </c>
      <c r="Q52" s="60" t="str">
        <f>IF(N52="","",",")</f>
        <v/>
      </c>
      <c r="R52" s="61" t="str">
        <f t="shared" si="28"/>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113"/>
      <c r="D53" s="112"/>
      <c r="E53" s="52"/>
      <c r="F53" s="53"/>
      <c r="G53" s="53"/>
      <c r="H53" s="52"/>
      <c r="I53" s="52"/>
      <c r="J53" s="54"/>
      <c r="K53" s="54"/>
      <c r="L53" s="55" t="str">
        <f t="shared" si="57"/>
        <v/>
      </c>
      <c r="M53" s="56" t="str">
        <f>IF(N53="","","(")</f>
        <v/>
      </c>
      <c r="N53" s="57" t="str">
        <f>IF(D53="","",D53)</f>
        <v/>
      </c>
      <c r="O53" s="58" t="str">
        <f>IF(N53="","",",")</f>
        <v/>
      </c>
      <c r="P53" s="59" t="str">
        <f>IF(E53="","",E53)</f>
        <v/>
      </c>
      <c r="Q53" s="60" t="str">
        <f>IF(N53="","",",")</f>
        <v/>
      </c>
      <c r="R53" s="61" t="str">
        <f t="shared" si="28"/>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113"/>
      <c r="D54" s="112"/>
      <c r="E54" s="52"/>
      <c r="F54" s="53"/>
      <c r="G54" s="53"/>
      <c r="H54" s="52"/>
      <c r="I54" s="52"/>
      <c r="J54" s="54"/>
      <c r="K54" s="54"/>
      <c r="L54" s="55" t="str">
        <f t="shared" si="57"/>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5.5" thickTop="1" thickBot="1" x14ac:dyDescent="0.4">
      <c r="C55" s="113"/>
      <c r="D55" s="112"/>
      <c r="E55" s="52"/>
      <c r="F55" s="53"/>
      <c r="G55" s="53"/>
      <c r="H55" s="52"/>
      <c r="I55" s="52"/>
      <c r="J55" s="54"/>
      <c r="K55" s="54"/>
      <c r="L55" s="55" t="str">
        <f t="shared" si="57"/>
        <v/>
      </c>
      <c r="M55" s="56" t="str">
        <f t="shared" si="1"/>
        <v/>
      </c>
      <c r="N55" s="57" t="str">
        <f t="shared" si="2"/>
        <v/>
      </c>
      <c r="O55" s="58" t="str">
        <f t="shared" si="3"/>
        <v/>
      </c>
      <c r="P55" s="59" t="str">
        <f t="shared" si="4"/>
        <v/>
      </c>
      <c r="Q55" s="60" t="str">
        <f t="shared" si="5"/>
        <v/>
      </c>
      <c r="R55" s="61" t="str">
        <f t="shared" si="28"/>
        <v/>
      </c>
      <c r="S55" s="56" t="str">
        <f t="shared" si="6"/>
        <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5.5" thickTop="1" thickBot="1" x14ac:dyDescent="0.4">
      <c r="C56" s="113"/>
      <c r="D56" s="112"/>
      <c r="E56" s="52"/>
      <c r="F56" s="53"/>
      <c r="G56" s="53"/>
      <c r="H56" s="52"/>
      <c r="I56" s="52"/>
      <c r="J56" s="54"/>
      <c r="K56" s="54"/>
      <c r="L56" s="55" t="str">
        <f t="shared" si="57"/>
        <v/>
      </c>
      <c r="M56" s="56" t="str">
        <f t="shared" si="1"/>
        <v/>
      </c>
      <c r="N56" s="57" t="str">
        <f t="shared" si="2"/>
        <v/>
      </c>
      <c r="O56" s="58" t="str">
        <f t="shared" si="3"/>
        <v/>
      </c>
      <c r="P56" s="59" t="str">
        <f t="shared" si="4"/>
        <v/>
      </c>
      <c r="Q56" s="60" t="str">
        <f t="shared" si="5"/>
        <v/>
      </c>
      <c r="R56" s="61" t="str">
        <f t="shared" si="28"/>
        <v/>
      </c>
      <c r="S56" s="56" t="str">
        <f t="shared" si="6"/>
        <v/>
      </c>
      <c r="T56" s="62" t="str">
        <f t="shared" si="7"/>
        <v/>
      </c>
      <c r="U56" s="63" t="str">
        <f t="shared" si="8"/>
        <v/>
      </c>
      <c r="V56" s="64" t="str">
        <f t="shared" si="9"/>
        <v/>
      </c>
      <c r="W56" s="65" t="str">
        <f t="shared" si="10"/>
        <v/>
      </c>
      <c r="X56" s="64" t="str">
        <f t="shared" si="11"/>
        <v/>
      </c>
      <c r="Y56" s="64" t="str">
        <f t="shared" si="12"/>
        <v/>
      </c>
      <c r="Z56" s="56" t="str">
        <f t="shared" si="13"/>
        <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5.5" thickTop="1" thickBot="1" x14ac:dyDescent="0.4">
      <c r="C57" s="113"/>
      <c r="D57" s="112"/>
      <c r="E57" s="52"/>
      <c r="F57" s="53"/>
      <c r="G57" s="53"/>
      <c r="H57" s="52"/>
      <c r="I57" s="52"/>
      <c r="J57" s="54"/>
      <c r="K57" s="54"/>
      <c r="L57" s="55" t="str">
        <f t="shared" si="57"/>
        <v/>
      </c>
      <c r="M57" s="56" t="str">
        <f t="shared" si="1"/>
        <v/>
      </c>
      <c r="N57" s="57" t="str">
        <f t="shared" si="2"/>
        <v/>
      </c>
      <c r="O57" s="58" t="str">
        <f t="shared" si="3"/>
        <v/>
      </c>
      <c r="P57" s="59" t="str">
        <f t="shared" si="4"/>
        <v/>
      </c>
      <c r="Q57" s="60" t="str">
        <f t="shared" si="5"/>
        <v/>
      </c>
      <c r="R57" s="61" t="str">
        <f t="shared" si="28"/>
        <v/>
      </c>
      <c r="S57" s="56" t="str">
        <f t="shared" si="6"/>
        <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5.5" thickTop="1" thickBot="1" x14ac:dyDescent="0.4">
      <c r="C58" s="113"/>
      <c r="D58" s="112"/>
      <c r="E58" s="52"/>
      <c r="F58" s="53"/>
      <c r="G58" s="53"/>
      <c r="H58" s="52"/>
      <c r="I58" s="52"/>
      <c r="J58" s="54"/>
      <c r="K58" s="54"/>
      <c r="L58" s="55" t="str">
        <f t="shared" si="57"/>
        <v/>
      </c>
      <c r="M58" s="56" t="str">
        <f t="shared" si="1"/>
        <v/>
      </c>
      <c r="N58" s="57" t="str">
        <f t="shared" si="2"/>
        <v/>
      </c>
      <c r="O58" s="58" t="str">
        <f t="shared" si="3"/>
        <v/>
      </c>
      <c r="P58" s="59" t="str">
        <f t="shared" si="4"/>
        <v/>
      </c>
      <c r="Q58" s="60" t="str">
        <f t="shared" si="5"/>
        <v/>
      </c>
      <c r="R58" s="61" t="str">
        <f t="shared" si="28"/>
        <v/>
      </c>
      <c r="S58" s="56" t="str">
        <f t="shared" si="6"/>
        <v/>
      </c>
      <c r="T58" s="62" t="str">
        <f t="shared" si="7"/>
        <v/>
      </c>
      <c r="U58" s="63" t="str">
        <f t="shared" si="8"/>
        <v/>
      </c>
      <c r="V58" s="64" t="str">
        <f t="shared" si="9"/>
        <v/>
      </c>
      <c r="W58" s="65" t="str">
        <f t="shared" si="10"/>
        <v/>
      </c>
      <c r="X58" s="64" t="str">
        <f t="shared" si="11"/>
        <v/>
      </c>
      <c r="Y58" s="64" t="str">
        <f t="shared" si="12"/>
        <v/>
      </c>
      <c r="Z58" s="56" t="str">
        <f t="shared" si="13"/>
        <v/>
      </c>
      <c r="AA58" s="66" t="str">
        <f t="shared" si="14"/>
        <v/>
      </c>
      <c r="AB58" s="57" t="str">
        <f t="shared" si="15"/>
        <v/>
      </c>
      <c r="AC58" s="67" t="str">
        <f t="shared" si="16"/>
        <v/>
      </c>
      <c r="AD58" s="59" t="str">
        <f t="shared" si="17"/>
        <v/>
      </c>
      <c r="AE58" s="68" t="str">
        <f t="shared" si="18"/>
        <v/>
      </c>
      <c r="AF58" s="61" t="str">
        <f t="shared" si="19"/>
        <v/>
      </c>
      <c r="AG58" s="61" t="str">
        <f t="shared" si="20"/>
        <v/>
      </c>
      <c r="AH58" s="69" t="str">
        <f t="shared" si="21"/>
        <v/>
      </c>
      <c r="AI58" s="70" t="str">
        <f t="shared" si="22"/>
        <v/>
      </c>
      <c r="AJ58" s="64" t="str">
        <f t="shared" si="23"/>
        <v/>
      </c>
      <c r="AK58" s="64" t="str">
        <f t="shared" si="24"/>
        <v/>
      </c>
      <c r="AL58" s="64" t="str">
        <f t="shared" si="25"/>
        <v/>
      </c>
      <c r="AM58" s="64" t="str">
        <f t="shared" si="26"/>
        <v/>
      </c>
      <c r="AN58" s="64" t="str">
        <f t="shared" si="27"/>
        <v/>
      </c>
    </row>
    <row r="59" spans="1:40" ht="25.5" thickTop="1" thickBot="1" x14ac:dyDescent="0.4">
      <c r="C59" s="113"/>
      <c r="D59" s="112"/>
      <c r="E59" s="52"/>
      <c r="F59" s="71"/>
      <c r="G59" s="53"/>
      <c r="H59" s="52"/>
      <c r="I59" s="52"/>
      <c r="J59" s="72"/>
      <c r="K59" s="54"/>
      <c r="L59" s="55" t="str">
        <f t="shared" si="57"/>
        <v/>
      </c>
      <c r="M59" s="56" t="str">
        <f>IF(N59="","","(")</f>
        <v/>
      </c>
      <c r="N59" s="57" t="str">
        <f t="shared" si="2"/>
        <v/>
      </c>
      <c r="O59" s="58" t="str">
        <f>IF(N59="","",",")</f>
        <v/>
      </c>
      <c r="P59" s="59" t="str">
        <f t="shared" si="4"/>
        <v/>
      </c>
      <c r="Q59" s="60" t="str">
        <f>IF(N59="","",",")</f>
        <v/>
      </c>
      <c r="R59" s="61" t="str">
        <f t="shared" si="28"/>
        <v/>
      </c>
      <c r="S59" s="56" t="str">
        <f>IF(N59="","",")")</f>
        <v/>
      </c>
      <c r="T59" s="62" t="str">
        <f>IF(U59="","","(")</f>
        <v/>
      </c>
      <c r="U59" s="63" t="str">
        <f t="shared" si="8"/>
        <v/>
      </c>
      <c r="V59" s="64" t="str">
        <f>IF(U59="","",",")</f>
        <v/>
      </c>
      <c r="W59" s="65" t="str">
        <f t="shared" si="10"/>
        <v/>
      </c>
      <c r="X59" s="64" t="str">
        <f>IF(U59="","",",")</f>
        <v/>
      </c>
      <c r="Y59" s="64" t="str">
        <f>IF(U59="","",250)</f>
        <v/>
      </c>
      <c r="Z59" s="56" t="str">
        <f>IF(U59="","",")")</f>
        <v/>
      </c>
      <c r="AA59" s="66" t="str">
        <f>IF(AB59="","","(")</f>
        <v/>
      </c>
      <c r="AB59" s="57" t="str">
        <f t="shared" si="15"/>
        <v/>
      </c>
      <c r="AC59" s="67" t="str">
        <f>IF(AB59="","",",")</f>
        <v/>
      </c>
      <c r="AD59" s="59" t="str">
        <f>IF(I59="","",I59)</f>
        <v/>
      </c>
      <c r="AE59" s="68" t="str">
        <f>IF(AB59="","",",")</f>
        <v/>
      </c>
      <c r="AF59" s="61" t="str">
        <f>IF(AB59="","",350)</f>
        <v/>
      </c>
      <c r="AG59" s="61" t="str">
        <f>IF(AB59="","",")")</f>
        <v/>
      </c>
      <c r="AH59" s="69" t="str">
        <f>IF(AI59="","","(")</f>
        <v/>
      </c>
      <c r="AI59" s="70" t="str">
        <f t="shared" si="22"/>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c r="N61" s="57"/>
      <c r="O61" s="105"/>
      <c r="P61" s="59"/>
      <c r="Q61" s="106"/>
      <c r="R61" s="61" t="str">
        <f t="shared" si="28"/>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5.5" thickTop="1" thickBot="1" x14ac:dyDescent="0.4">
      <c r="C62" s="113"/>
      <c r="D62" s="112"/>
      <c r="E62" s="52"/>
      <c r="F62" s="53"/>
      <c r="G62" s="53"/>
      <c r="H62" s="52"/>
      <c r="I62" s="52"/>
      <c r="J62" s="54"/>
      <c r="K62" s="54"/>
      <c r="L62" s="55" t="str">
        <f t="shared" ref="L62:L79" si="58">IF(C62="","",_xlfn.CONCAT("            { line: ","""",C62,", ",M62:AN62,""", sC: ","""",B62,"""},"))</f>
        <v/>
      </c>
      <c r="M62" s="56" t="str">
        <f t="shared" ref="M62:M80" si="59">IF(N62="","","(")</f>
        <v/>
      </c>
      <c r="N62" s="57" t="str">
        <f t="shared" si="2"/>
        <v/>
      </c>
      <c r="O62" s="58" t="str">
        <f t="shared" ref="O62:O80" si="60">IF(N62="","",",")</f>
        <v/>
      </c>
      <c r="P62" s="59" t="str">
        <f t="shared" si="4"/>
        <v/>
      </c>
      <c r="Q62" s="60" t="str">
        <f t="shared" ref="Q62:Q80" si="61">IF(N62="","",",")</f>
        <v/>
      </c>
      <c r="R62" s="61" t="str">
        <f t="shared" si="28"/>
        <v/>
      </c>
      <c r="S62" s="56" t="str">
        <f t="shared" ref="S62:S80" si="62">IF(N62="","",")")</f>
        <v/>
      </c>
      <c r="T62" s="62" t="str">
        <f t="shared" ref="T62:T80" si="63">IF(U62="","","(")</f>
        <v/>
      </c>
      <c r="U62" s="63" t="str">
        <f t="shared" si="8"/>
        <v/>
      </c>
      <c r="V62" s="64" t="str">
        <f t="shared" ref="V62:V80" si="64">IF(U62="","",",")</f>
        <v/>
      </c>
      <c r="W62" s="65" t="str">
        <f t="shared" si="10"/>
        <v/>
      </c>
      <c r="X62" s="64" t="str">
        <f t="shared" ref="X62:X80" si="65">IF(U62="","",",")</f>
        <v/>
      </c>
      <c r="Y62" s="64" t="str">
        <f t="shared" ref="Y62:Y80" si="66">IF(U62="","",250)</f>
        <v/>
      </c>
      <c r="Z62" s="56" t="str">
        <f t="shared" ref="Z62:Z80" si="67">IF(U62="","",")")</f>
        <v/>
      </c>
      <c r="AA62" s="66" t="str">
        <f t="shared" ref="AA62:AA80" si="68">IF(AB62="","","(")</f>
        <v/>
      </c>
      <c r="AB62" s="57" t="str">
        <f t="shared" si="15"/>
        <v/>
      </c>
      <c r="AC62" s="67" t="str">
        <f t="shared" ref="AC62:AC80" si="69">IF(AB62="","",",")</f>
        <v/>
      </c>
      <c r="AD62" s="59" t="str">
        <f t="shared" ref="AD62:AD81" si="70">IF(I62="","",I62)</f>
        <v/>
      </c>
      <c r="AE62" s="68" t="str">
        <f t="shared" ref="AE62:AE80" si="71">IF(AB62="","",",")</f>
        <v/>
      </c>
      <c r="AF62" s="61" t="str">
        <f t="shared" ref="AF62:AF80" si="72">IF(AB62="","",350)</f>
        <v/>
      </c>
      <c r="AG62" s="61" t="str">
        <f t="shared" ref="AG62:AG80" si="73">IF(AB62="","",")")</f>
        <v/>
      </c>
      <c r="AH62" s="69" t="str">
        <f t="shared" ref="AH62:AH80" si="74">IF(AI62="","","(")</f>
        <v/>
      </c>
      <c r="AI62" s="70" t="str">
        <f t="shared" si="22"/>
        <v/>
      </c>
      <c r="AJ62" s="64" t="str">
        <f t="shared" ref="AJ62:AJ80" si="75">IF(AI62="","",",")</f>
        <v/>
      </c>
      <c r="AK62" s="64" t="str">
        <f t="shared" ref="AK62:AK81" si="76">IF(K62="","",K62)</f>
        <v/>
      </c>
      <c r="AL62" s="64" t="str">
        <f t="shared" ref="AL62:AL80" si="77">IF(AI62="","",",")</f>
        <v/>
      </c>
      <c r="AM62" s="64" t="str">
        <f t="shared" ref="AM62:AM80" si="78">IF(AI62="","",450)</f>
        <v/>
      </c>
      <c r="AN62" s="64" t="str">
        <f t="shared" ref="AN62:AN80" si="79">IF(AI62="","",")")</f>
        <v/>
      </c>
    </row>
    <row r="63" spans="1:40" ht="25.5" thickTop="1" thickBot="1" x14ac:dyDescent="0.4">
      <c r="C63" s="113"/>
      <c r="D63" s="112"/>
      <c r="E63" s="52"/>
      <c r="F63" s="53"/>
      <c r="G63" s="53"/>
      <c r="H63" s="52"/>
      <c r="I63" s="52"/>
      <c r="J63" s="54"/>
      <c r="K63" s="54"/>
      <c r="L63" s="55" t="str">
        <f t="shared" si="58"/>
        <v/>
      </c>
      <c r="M63" s="56" t="str">
        <f t="shared" si="59"/>
        <v/>
      </c>
      <c r="N63" s="57" t="str">
        <f t="shared" si="2"/>
        <v/>
      </c>
      <c r="O63" s="58" t="str">
        <f t="shared" si="60"/>
        <v/>
      </c>
      <c r="P63" s="59" t="str">
        <f t="shared" si="4"/>
        <v/>
      </c>
      <c r="Q63" s="60" t="str">
        <f t="shared" si="61"/>
        <v/>
      </c>
      <c r="R63" s="61" t="str">
        <f t="shared" si="28"/>
        <v/>
      </c>
      <c r="S63" s="56" t="str">
        <f t="shared" si="62"/>
        <v/>
      </c>
      <c r="T63" s="62" t="str">
        <f t="shared" si="63"/>
        <v/>
      </c>
      <c r="U63" s="63" t="str">
        <f t="shared" si="8"/>
        <v/>
      </c>
      <c r="V63" s="64" t="str">
        <f t="shared" si="64"/>
        <v/>
      </c>
      <c r="W63" s="65" t="str">
        <f t="shared" si="10"/>
        <v/>
      </c>
      <c r="X63" s="64" t="str">
        <f t="shared" si="65"/>
        <v/>
      </c>
      <c r="Y63" s="64" t="str">
        <f t="shared" si="66"/>
        <v/>
      </c>
      <c r="Z63" s="56" t="str">
        <f t="shared" si="67"/>
        <v/>
      </c>
      <c r="AA63" s="66" t="str">
        <f t="shared" si="68"/>
        <v/>
      </c>
      <c r="AB63" s="57" t="str">
        <f t="shared" si="15"/>
        <v/>
      </c>
      <c r="AC63" s="67" t="str">
        <f t="shared" si="69"/>
        <v/>
      </c>
      <c r="AD63" s="59" t="str">
        <f t="shared" si="70"/>
        <v/>
      </c>
      <c r="AE63" s="68" t="str">
        <f t="shared" si="71"/>
        <v/>
      </c>
      <c r="AF63" s="61" t="str">
        <f t="shared" si="72"/>
        <v/>
      </c>
      <c r="AG63" s="61" t="str">
        <f t="shared" si="73"/>
        <v/>
      </c>
      <c r="AH63" s="69" t="str">
        <f t="shared" si="74"/>
        <v/>
      </c>
      <c r="AI63" s="70" t="str">
        <f t="shared" si="22"/>
        <v/>
      </c>
      <c r="AJ63" s="64" t="str">
        <f t="shared" si="75"/>
        <v/>
      </c>
      <c r="AK63" s="64" t="str">
        <f t="shared" si="76"/>
        <v/>
      </c>
      <c r="AL63" s="64" t="str">
        <f t="shared" si="77"/>
        <v/>
      </c>
      <c r="AM63" s="64" t="str">
        <f t="shared" si="78"/>
        <v/>
      </c>
      <c r="AN63" s="64" t="str">
        <f t="shared" si="79"/>
        <v/>
      </c>
    </row>
    <row r="64" spans="1:40" ht="25.5" thickTop="1" thickBot="1" x14ac:dyDescent="0.4">
      <c r="C64" s="113"/>
      <c r="D64" s="112"/>
      <c r="E64" s="52"/>
      <c r="F64" s="53"/>
      <c r="G64" s="53"/>
      <c r="H64" s="52"/>
      <c r="I64" s="52"/>
      <c r="J64" s="54"/>
      <c r="K64" s="54"/>
      <c r="L64" s="55" t="str">
        <f t="shared" si="58"/>
        <v/>
      </c>
      <c r="M64" s="56" t="str">
        <f t="shared" si="59"/>
        <v/>
      </c>
      <c r="N64" s="57" t="str">
        <f t="shared" si="2"/>
        <v/>
      </c>
      <c r="O64" s="58" t="str">
        <f t="shared" si="60"/>
        <v/>
      </c>
      <c r="P64" s="59" t="str">
        <f t="shared" si="4"/>
        <v/>
      </c>
      <c r="Q64" s="60" t="str">
        <f t="shared" si="61"/>
        <v/>
      </c>
      <c r="R64" s="61" t="str">
        <f t="shared" si="28"/>
        <v/>
      </c>
      <c r="S64" s="56" t="str">
        <f t="shared" si="62"/>
        <v/>
      </c>
      <c r="T64" s="62" t="str">
        <f t="shared" si="63"/>
        <v/>
      </c>
      <c r="U64" s="63" t="str">
        <f t="shared" si="8"/>
        <v/>
      </c>
      <c r="V64" s="64" t="str">
        <f t="shared" si="64"/>
        <v/>
      </c>
      <c r="W64" s="65" t="str">
        <f t="shared" si="10"/>
        <v/>
      </c>
      <c r="X64" s="64" t="str">
        <f t="shared" si="65"/>
        <v/>
      </c>
      <c r="Y64" s="64" t="str">
        <f t="shared" si="66"/>
        <v/>
      </c>
      <c r="Z64" s="56" t="str">
        <f t="shared" si="67"/>
        <v/>
      </c>
      <c r="AA64" s="66" t="str">
        <f t="shared" si="68"/>
        <v/>
      </c>
      <c r="AB64" s="57" t="str">
        <f t="shared" si="15"/>
        <v/>
      </c>
      <c r="AC64" s="67" t="str">
        <f t="shared" si="69"/>
        <v/>
      </c>
      <c r="AD64" s="59" t="str">
        <f t="shared" si="70"/>
        <v/>
      </c>
      <c r="AE64" s="68" t="str">
        <f t="shared" si="71"/>
        <v/>
      </c>
      <c r="AF64" s="61" t="str">
        <f t="shared" si="72"/>
        <v/>
      </c>
      <c r="AG64" s="61" t="str">
        <f t="shared" si="73"/>
        <v/>
      </c>
      <c r="AH64" s="69" t="str">
        <f t="shared" si="74"/>
        <v/>
      </c>
      <c r="AI64" s="70" t="str">
        <f t="shared" si="22"/>
        <v/>
      </c>
      <c r="AJ64" s="64" t="str">
        <f t="shared" si="75"/>
        <v/>
      </c>
      <c r="AK64" s="64" t="str">
        <f t="shared" si="76"/>
        <v/>
      </c>
      <c r="AL64" s="64" t="str">
        <f t="shared" si="77"/>
        <v/>
      </c>
      <c r="AM64" s="64" t="str">
        <f t="shared" si="78"/>
        <v/>
      </c>
      <c r="AN64" s="64" t="str">
        <f t="shared" si="79"/>
        <v/>
      </c>
    </row>
    <row r="65" spans="3:40" ht="25.5" thickTop="1" thickBot="1" x14ac:dyDescent="0.4">
      <c r="C65" s="113"/>
      <c r="D65" s="112"/>
      <c r="E65" s="52"/>
      <c r="F65" s="53"/>
      <c r="G65" s="53"/>
      <c r="H65" s="52"/>
      <c r="I65" s="52"/>
      <c r="J65" s="54"/>
      <c r="K65" s="54"/>
      <c r="L65" s="55" t="str">
        <f t="shared" si="58"/>
        <v/>
      </c>
      <c r="M65" s="56" t="str">
        <f t="shared" si="59"/>
        <v/>
      </c>
      <c r="N65" s="57" t="str">
        <f t="shared" si="2"/>
        <v/>
      </c>
      <c r="O65" s="58" t="str">
        <f t="shared" si="60"/>
        <v/>
      </c>
      <c r="P65" s="59" t="str">
        <f t="shared" si="4"/>
        <v/>
      </c>
      <c r="Q65" s="60" t="str">
        <f t="shared" si="61"/>
        <v/>
      </c>
      <c r="R65" s="61" t="str">
        <f t="shared" si="28"/>
        <v/>
      </c>
      <c r="S65" s="56" t="str">
        <f t="shared" si="62"/>
        <v/>
      </c>
      <c r="T65" s="62" t="str">
        <f t="shared" si="63"/>
        <v/>
      </c>
      <c r="U65" s="63" t="str">
        <f t="shared" si="8"/>
        <v/>
      </c>
      <c r="V65" s="64" t="str">
        <f t="shared" si="64"/>
        <v/>
      </c>
      <c r="W65" s="65" t="str">
        <f t="shared" si="10"/>
        <v/>
      </c>
      <c r="X65" s="64" t="str">
        <f t="shared" si="65"/>
        <v/>
      </c>
      <c r="Y65" s="64" t="str">
        <f t="shared" si="66"/>
        <v/>
      </c>
      <c r="Z65" s="56" t="str">
        <f t="shared" si="67"/>
        <v/>
      </c>
      <c r="AA65" s="66" t="str">
        <f t="shared" si="68"/>
        <v/>
      </c>
      <c r="AB65" s="57" t="str">
        <f t="shared" si="15"/>
        <v/>
      </c>
      <c r="AC65" s="67" t="str">
        <f t="shared" si="69"/>
        <v/>
      </c>
      <c r="AD65" s="59" t="str">
        <f t="shared" si="70"/>
        <v/>
      </c>
      <c r="AE65" s="68" t="str">
        <f t="shared" si="71"/>
        <v/>
      </c>
      <c r="AF65" s="61" t="str">
        <f t="shared" si="72"/>
        <v/>
      </c>
      <c r="AG65" s="61" t="str">
        <f t="shared" si="73"/>
        <v/>
      </c>
      <c r="AH65" s="69" t="str">
        <f t="shared" si="74"/>
        <v/>
      </c>
      <c r="AI65" s="70" t="str">
        <f t="shared" si="22"/>
        <v/>
      </c>
      <c r="AJ65" s="64" t="str">
        <f t="shared" si="75"/>
        <v/>
      </c>
      <c r="AK65" s="64" t="str">
        <f t="shared" si="76"/>
        <v/>
      </c>
      <c r="AL65" s="64" t="str">
        <f t="shared" si="77"/>
        <v/>
      </c>
      <c r="AM65" s="64" t="str">
        <f t="shared" si="78"/>
        <v/>
      </c>
      <c r="AN65" s="64" t="str">
        <f t="shared" si="79"/>
        <v/>
      </c>
    </row>
    <row r="66" spans="3:40" ht="25.5" thickTop="1" thickBot="1" x14ac:dyDescent="0.4">
      <c r="C66" s="113"/>
      <c r="D66" s="112"/>
      <c r="E66" s="52"/>
      <c r="F66" s="53"/>
      <c r="G66" s="53"/>
      <c r="H66" s="52"/>
      <c r="I66" s="52"/>
      <c r="J66" s="54"/>
      <c r="K66" s="54"/>
      <c r="L66" s="55" t="str">
        <f t="shared" si="58"/>
        <v/>
      </c>
      <c r="M66" s="56" t="str">
        <f t="shared" si="59"/>
        <v/>
      </c>
      <c r="N66" s="57" t="str">
        <f t="shared" si="2"/>
        <v/>
      </c>
      <c r="O66" s="58" t="str">
        <f t="shared" si="60"/>
        <v/>
      </c>
      <c r="P66" s="59" t="str">
        <f t="shared" si="4"/>
        <v/>
      </c>
      <c r="Q66" s="60" t="str">
        <f t="shared" si="61"/>
        <v/>
      </c>
      <c r="R66" s="61" t="str">
        <f t="shared" si="28"/>
        <v/>
      </c>
      <c r="S66" s="56" t="str">
        <f t="shared" si="62"/>
        <v/>
      </c>
      <c r="T66" s="62" t="str">
        <f t="shared" si="63"/>
        <v/>
      </c>
      <c r="U66" s="63" t="str">
        <f t="shared" si="8"/>
        <v/>
      </c>
      <c r="V66" s="64" t="str">
        <f t="shared" si="64"/>
        <v/>
      </c>
      <c r="W66" s="65" t="str">
        <f t="shared" si="10"/>
        <v/>
      </c>
      <c r="X66" s="64" t="str">
        <f t="shared" si="65"/>
        <v/>
      </c>
      <c r="Y66" s="64" t="str">
        <f t="shared" si="66"/>
        <v/>
      </c>
      <c r="Z66" s="56" t="str">
        <f t="shared" si="67"/>
        <v/>
      </c>
      <c r="AA66" s="66" t="str">
        <f t="shared" si="68"/>
        <v/>
      </c>
      <c r="AB66" s="57" t="str">
        <f t="shared" si="15"/>
        <v/>
      </c>
      <c r="AC66" s="67" t="str">
        <f t="shared" si="69"/>
        <v/>
      </c>
      <c r="AD66" s="59" t="str">
        <f t="shared" si="70"/>
        <v/>
      </c>
      <c r="AE66" s="68" t="str">
        <f t="shared" si="71"/>
        <v/>
      </c>
      <c r="AF66" s="61" t="str">
        <f t="shared" si="72"/>
        <v/>
      </c>
      <c r="AG66" s="61" t="str">
        <f t="shared" si="73"/>
        <v/>
      </c>
      <c r="AH66" s="69" t="str">
        <f t="shared" si="74"/>
        <v/>
      </c>
      <c r="AI66" s="70" t="str">
        <f t="shared" si="22"/>
        <v/>
      </c>
      <c r="AJ66" s="64" t="str">
        <f t="shared" si="75"/>
        <v/>
      </c>
      <c r="AK66" s="64" t="str">
        <f t="shared" si="76"/>
        <v/>
      </c>
      <c r="AL66" s="64" t="str">
        <f t="shared" si="77"/>
        <v/>
      </c>
      <c r="AM66" s="64" t="str">
        <f t="shared" si="78"/>
        <v/>
      </c>
      <c r="AN66" s="64" t="str">
        <f t="shared" si="79"/>
        <v/>
      </c>
    </row>
    <row r="67" spans="3:40" ht="25.5" thickTop="1" thickBot="1" x14ac:dyDescent="0.4">
      <c r="C67" s="113"/>
      <c r="D67" s="112"/>
      <c r="E67" s="52"/>
      <c r="F67" s="53"/>
      <c r="G67" s="53"/>
      <c r="H67" s="52"/>
      <c r="I67" s="52"/>
      <c r="J67" s="54"/>
      <c r="K67" s="54"/>
      <c r="L67" s="78" t="str">
        <f t="shared" si="58"/>
        <v/>
      </c>
      <c r="M67" s="56" t="str">
        <f t="shared" si="59"/>
        <v/>
      </c>
      <c r="N67" s="57" t="str">
        <f t="shared" si="2"/>
        <v/>
      </c>
      <c r="O67" s="58" t="str">
        <f t="shared" si="60"/>
        <v/>
      </c>
      <c r="P67" s="59" t="str">
        <f t="shared" si="4"/>
        <v/>
      </c>
      <c r="Q67" s="60" t="str">
        <f t="shared" si="61"/>
        <v/>
      </c>
      <c r="R67" s="61" t="str">
        <f t="shared" si="28"/>
        <v/>
      </c>
      <c r="S67" s="56" t="str">
        <f t="shared" si="62"/>
        <v/>
      </c>
      <c r="T67" s="62" t="str">
        <f t="shared" si="63"/>
        <v/>
      </c>
      <c r="U67" s="63" t="str">
        <f t="shared" si="8"/>
        <v/>
      </c>
      <c r="V67" s="64" t="str">
        <f t="shared" si="64"/>
        <v/>
      </c>
      <c r="W67" s="65" t="str">
        <f t="shared" si="10"/>
        <v/>
      </c>
      <c r="X67" s="64" t="str">
        <f t="shared" si="65"/>
        <v/>
      </c>
      <c r="Y67" s="64" t="str">
        <f t="shared" si="66"/>
        <v/>
      </c>
      <c r="Z67" s="56" t="str">
        <f t="shared" si="67"/>
        <v/>
      </c>
      <c r="AA67" s="66" t="str">
        <f t="shared" si="68"/>
        <v/>
      </c>
      <c r="AB67" s="57" t="str">
        <f t="shared" si="15"/>
        <v/>
      </c>
      <c r="AC67" s="67" t="str">
        <f t="shared" si="69"/>
        <v/>
      </c>
      <c r="AD67" s="59" t="str">
        <f t="shared" si="70"/>
        <v/>
      </c>
      <c r="AE67" s="68" t="str">
        <f t="shared" si="71"/>
        <v/>
      </c>
      <c r="AF67" s="61" t="str">
        <f t="shared" si="72"/>
        <v/>
      </c>
      <c r="AG67" s="61" t="str">
        <f t="shared" si="73"/>
        <v/>
      </c>
      <c r="AH67" s="69" t="str">
        <f t="shared" si="74"/>
        <v/>
      </c>
      <c r="AI67" s="70" t="str">
        <f t="shared" si="22"/>
        <v/>
      </c>
      <c r="AJ67" s="64" t="str">
        <f t="shared" si="75"/>
        <v/>
      </c>
      <c r="AK67" s="64" t="str">
        <f t="shared" si="76"/>
        <v/>
      </c>
      <c r="AL67" s="64" t="str">
        <f t="shared" si="77"/>
        <v/>
      </c>
      <c r="AM67" s="64" t="str">
        <f t="shared" si="78"/>
        <v/>
      </c>
      <c r="AN67" s="64" t="str">
        <f t="shared" si="79"/>
        <v/>
      </c>
    </row>
    <row r="68" spans="3:40" ht="25.5" thickTop="1" thickBot="1" x14ac:dyDescent="0.4">
      <c r="C68" s="113"/>
      <c r="D68" s="112"/>
      <c r="E68" s="52"/>
      <c r="F68" s="53"/>
      <c r="G68" s="53"/>
      <c r="H68" s="52"/>
      <c r="I68" s="52"/>
      <c r="J68" s="54"/>
      <c r="K68" s="54"/>
      <c r="L68" s="78" t="str">
        <f t="shared" si="58"/>
        <v/>
      </c>
      <c r="M68" s="56" t="str">
        <f t="shared" si="59"/>
        <v/>
      </c>
      <c r="N68" s="57" t="str">
        <f t="shared" si="2"/>
        <v/>
      </c>
      <c r="O68" s="58" t="str">
        <f t="shared" si="60"/>
        <v/>
      </c>
      <c r="P68" s="59" t="str">
        <f t="shared" si="4"/>
        <v/>
      </c>
      <c r="Q68" s="60" t="str">
        <f t="shared" si="61"/>
        <v/>
      </c>
      <c r="R68" s="61" t="str">
        <f t="shared" si="28"/>
        <v/>
      </c>
      <c r="S68" s="56" t="str">
        <f t="shared" si="62"/>
        <v/>
      </c>
      <c r="T68" s="62" t="str">
        <f t="shared" si="63"/>
        <v/>
      </c>
      <c r="U68" s="63" t="str">
        <f t="shared" si="8"/>
        <v/>
      </c>
      <c r="V68" s="64" t="str">
        <f t="shared" si="64"/>
        <v/>
      </c>
      <c r="W68" s="65" t="str">
        <f t="shared" si="10"/>
        <v/>
      </c>
      <c r="X68" s="64" t="str">
        <f t="shared" si="65"/>
        <v/>
      </c>
      <c r="Y68" s="64" t="str">
        <f t="shared" si="66"/>
        <v/>
      </c>
      <c r="Z68" s="56" t="str">
        <f t="shared" si="67"/>
        <v/>
      </c>
      <c r="AA68" s="66" t="str">
        <f t="shared" si="68"/>
        <v/>
      </c>
      <c r="AB68" s="57" t="str">
        <f t="shared" si="15"/>
        <v/>
      </c>
      <c r="AC68" s="67" t="str">
        <f t="shared" si="69"/>
        <v/>
      </c>
      <c r="AD68" s="59" t="str">
        <f t="shared" si="70"/>
        <v/>
      </c>
      <c r="AE68" s="68" t="str">
        <f t="shared" si="71"/>
        <v/>
      </c>
      <c r="AF68" s="61" t="str">
        <f t="shared" si="72"/>
        <v/>
      </c>
      <c r="AG68" s="61" t="str">
        <f t="shared" si="73"/>
        <v/>
      </c>
      <c r="AH68" s="69" t="str">
        <f t="shared" si="74"/>
        <v/>
      </c>
      <c r="AI68" s="70" t="str">
        <f t="shared" si="22"/>
        <v/>
      </c>
      <c r="AJ68" s="64" t="str">
        <f t="shared" si="75"/>
        <v/>
      </c>
      <c r="AK68" s="64" t="str">
        <f t="shared" si="76"/>
        <v/>
      </c>
      <c r="AL68" s="64" t="str">
        <f t="shared" si="77"/>
        <v/>
      </c>
      <c r="AM68" s="64" t="str">
        <f t="shared" si="78"/>
        <v/>
      </c>
      <c r="AN68" s="64" t="str">
        <f t="shared" si="79"/>
        <v/>
      </c>
    </row>
    <row r="69" spans="3:40" ht="25.5" thickTop="1" thickBot="1" x14ac:dyDescent="0.4">
      <c r="C69" s="113"/>
      <c r="D69" s="112"/>
      <c r="E69" s="52"/>
      <c r="F69" s="53"/>
      <c r="G69" s="53"/>
      <c r="H69" s="52"/>
      <c r="I69" s="52"/>
      <c r="J69" s="54"/>
      <c r="K69" s="54"/>
      <c r="L69" s="78" t="str">
        <f t="shared" si="58"/>
        <v/>
      </c>
      <c r="M69" s="56" t="str">
        <f t="shared" si="59"/>
        <v/>
      </c>
      <c r="N69" s="57" t="str">
        <f t="shared" si="2"/>
        <v/>
      </c>
      <c r="O69" s="58" t="str">
        <f t="shared" si="60"/>
        <v/>
      </c>
      <c r="P69" s="59" t="str">
        <f t="shared" si="4"/>
        <v/>
      </c>
      <c r="Q69" s="60" t="str">
        <f t="shared" si="61"/>
        <v/>
      </c>
      <c r="R69" s="61" t="str">
        <f t="shared" si="28"/>
        <v/>
      </c>
      <c r="S69" s="56" t="str">
        <f t="shared" si="62"/>
        <v/>
      </c>
      <c r="T69" s="62" t="str">
        <f t="shared" si="63"/>
        <v/>
      </c>
      <c r="U69" s="63" t="str">
        <f t="shared" si="8"/>
        <v/>
      </c>
      <c r="V69" s="64" t="str">
        <f t="shared" si="64"/>
        <v/>
      </c>
      <c r="W69" s="65" t="str">
        <f t="shared" si="10"/>
        <v/>
      </c>
      <c r="X69" s="64" t="str">
        <f t="shared" si="65"/>
        <v/>
      </c>
      <c r="Y69" s="64" t="str">
        <f t="shared" si="66"/>
        <v/>
      </c>
      <c r="Z69" s="56" t="str">
        <f t="shared" si="67"/>
        <v/>
      </c>
      <c r="AA69" s="66" t="str">
        <f t="shared" si="68"/>
        <v/>
      </c>
      <c r="AB69" s="57" t="str">
        <f t="shared" si="15"/>
        <v/>
      </c>
      <c r="AC69" s="67" t="str">
        <f t="shared" si="69"/>
        <v/>
      </c>
      <c r="AD69" s="59" t="str">
        <f t="shared" si="70"/>
        <v/>
      </c>
      <c r="AE69" s="68" t="str">
        <f t="shared" si="71"/>
        <v/>
      </c>
      <c r="AF69" s="61" t="str">
        <f t="shared" si="72"/>
        <v/>
      </c>
      <c r="AG69" s="61" t="str">
        <f t="shared" si="73"/>
        <v/>
      </c>
      <c r="AH69" s="69" t="str">
        <f t="shared" si="74"/>
        <v/>
      </c>
      <c r="AI69" s="70" t="str">
        <f t="shared" si="22"/>
        <v/>
      </c>
      <c r="AJ69" s="64" t="str">
        <f t="shared" si="75"/>
        <v/>
      </c>
      <c r="AK69" s="64" t="str">
        <f t="shared" si="76"/>
        <v/>
      </c>
      <c r="AL69" s="64" t="str">
        <f t="shared" si="77"/>
        <v/>
      </c>
      <c r="AM69" s="64" t="str">
        <f t="shared" si="78"/>
        <v/>
      </c>
      <c r="AN69" s="64" t="str">
        <f t="shared" si="79"/>
        <v/>
      </c>
    </row>
    <row r="70" spans="3:40" ht="25.5" thickTop="1" thickBot="1" x14ac:dyDescent="0.4">
      <c r="C70" s="113"/>
      <c r="D70" s="112"/>
      <c r="E70" s="52"/>
      <c r="F70" s="53"/>
      <c r="G70" s="53"/>
      <c r="H70" s="52"/>
      <c r="I70" s="52"/>
      <c r="J70" s="54"/>
      <c r="K70" s="54"/>
      <c r="L70" s="55" t="str">
        <f t="shared" si="58"/>
        <v/>
      </c>
      <c r="M70" s="56" t="str">
        <f t="shared" si="59"/>
        <v/>
      </c>
      <c r="N70" s="57" t="str">
        <f t="shared" si="2"/>
        <v/>
      </c>
      <c r="O70" s="58" t="str">
        <f t="shared" si="60"/>
        <v/>
      </c>
      <c r="P70" s="59" t="str">
        <f t="shared" si="4"/>
        <v/>
      </c>
      <c r="Q70" s="60" t="str">
        <f t="shared" si="61"/>
        <v/>
      </c>
      <c r="R70" s="61" t="str">
        <f t="shared" si="28"/>
        <v/>
      </c>
      <c r="S70" s="56" t="str">
        <f t="shared" si="62"/>
        <v/>
      </c>
      <c r="T70" s="62" t="str">
        <f t="shared" si="63"/>
        <v/>
      </c>
      <c r="U70" s="63" t="str">
        <f t="shared" si="8"/>
        <v/>
      </c>
      <c r="V70" s="64" t="str">
        <f t="shared" si="64"/>
        <v/>
      </c>
      <c r="W70" s="65" t="str">
        <f t="shared" si="10"/>
        <v/>
      </c>
      <c r="X70" s="64" t="str">
        <f t="shared" si="65"/>
        <v/>
      </c>
      <c r="Y70" s="64" t="str">
        <f t="shared" si="66"/>
        <v/>
      </c>
      <c r="Z70" s="56" t="str">
        <f t="shared" si="67"/>
        <v/>
      </c>
      <c r="AA70" s="66" t="str">
        <f t="shared" si="68"/>
        <v/>
      </c>
      <c r="AB70" s="57" t="str">
        <f t="shared" si="15"/>
        <v/>
      </c>
      <c r="AC70" s="67" t="str">
        <f t="shared" si="69"/>
        <v/>
      </c>
      <c r="AD70" s="59" t="str">
        <f t="shared" si="70"/>
        <v/>
      </c>
      <c r="AE70" s="68" t="str">
        <f t="shared" si="71"/>
        <v/>
      </c>
      <c r="AF70" s="61" t="str">
        <f t="shared" si="72"/>
        <v/>
      </c>
      <c r="AG70" s="61" t="str">
        <f t="shared" si="73"/>
        <v/>
      </c>
      <c r="AH70" s="69" t="str">
        <f t="shared" si="74"/>
        <v/>
      </c>
      <c r="AI70" s="70" t="str">
        <f t="shared" si="22"/>
        <v/>
      </c>
      <c r="AJ70" s="64" t="str">
        <f t="shared" si="75"/>
        <v/>
      </c>
      <c r="AK70" s="64" t="str">
        <f t="shared" si="76"/>
        <v/>
      </c>
      <c r="AL70" s="64" t="str">
        <f t="shared" si="77"/>
        <v/>
      </c>
      <c r="AM70" s="64" t="str">
        <f t="shared" si="78"/>
        <v/>
      </c>
      <c r="AN70" s="64" t="str">
        <f t="shared" si="79"/>
        <v/>
      </c>
    </row>
    <row r="71" spans="3:40" ht="25.5" thickTop="1" thickBot="1" x14ac:dyDescent="0.4">
      <c r="C71" s="113"/>
      <c r="D71" s="112"/>
      <c r="E71" s="52"/>
      <c r="F71" s="53"/>
      <c r="G71" s="53"/>
      <c r="H71" s="52"/>
      <c r="I71" s="52"/>
      <c r="J71" s="54"/>
      <c r="K71" s="54"/>
      <c r="L71" s="55" t="str">
        <f t="shared" si="58"/>
        <v/>
      </c>
      <c r="M71" s="56" t="str">
        <f t="shared" si="59"/>
        <v/>
      </c>
      <c r="N71" s="57" t="str">
        <f t="shared" si="2"/>
        <v/>
      </c>
      <c r="O71" s="58" t="str">
        <f t="shared" si="60"/>
        <v/>
      </c>
      <c r="P71" s="59" t="str">
        <f t="shared" si="4"/>
        <v/>
      </c>
      <c r="Q71" s="60" t="str">
        <f t="shared" si="61"/>
        <v/>
      </c>
      <c r="R71" s="61" t="str">
        <f t="shared" si="28"/>
        <v/>
      </c>
      <c r="S71" s="56" t="str">
        <f t="shared" si="62"/>
        <v/>
      </c>
      <c r="T71" s="62" t="str">
        <f t="shared" si="63"/>
        <v/>
      </c>
      <c r="U71" s="63" t="str">
        <f t="shared" si="8"/>
        <v/>
      </c>
      <c r="V71" s="64" t="str">
        <f t="shared" si="64"/>
        <v/>
      </c>
      <c r="W71" s="65" t="str">
        <f t="shared" si="10"/>
        <v/>
      </c>
      <c r="X71" s="64" t="str">
        <f t="shared" si="65"/>
        <v/>
      </c>
      <c r="Y71" s="64" t="str">
        <f t="shared" si="66"/>
        <v/>
      </c>
      <c r="Z71" s="56" t="str">
        <f t="shared" si="67"/>
        <v/>
      </c>
      <c r="AA71" s="66" t="str">
        <f t="shared" si="68"/>
        <v/>
      </c>
      <c r="AB71" s="57" t="str">
        <f t="shared" si="15"/>
        <v/>
      </c>
      <c r="AC71" s="67" t="str">
        <f t="shared" si="69"/>
        <v/>
      </c>
      <c r="AD71" s="59" t="str">
        <f t="shared" si="70"/>
        <v/>
      </c>
      <c r="AE71" s="68" t="str">
        <f t="shared" si="71"/>
        <v/>
      </c>
      <c r="AF71" s="61" t="str">
        <f t="shared" si="72"/>
        <v/>
      </c>
      <c r="AG71" s="61" t="str">
        <f t="shared" si="73"/>
        <v/>
      </c>
      <c r="AH71" s="69" t="str">
        <f t="shared" si="74"/>
        <v/>
      </c>
      <c r="AI71" s="70" t="str">
        <f t="shared" si="22"/>
        <v/>
      </c>
      <c r="AJ71" s="64" t="str">
        <f t="shared" si="75"/>
        <v/>
      </c>
      <c r="AK71" s="64" t="str">
        <f t="shared" si="76"/>
        <v/>
      </c>
      <c r="AL71" s="64" t="str">
        <f t="shared" si="77"/>
        <v/>
      </c>
      <c r="AM71" s="64" t="str">
        <f t="shared" si="78"/>
        <v/>
      </c>
      <c r="AN71" s="64" t="str">
        <f t="shared" si="79"/>
        <v/>
      </c>
    </row>
    <row r="72" spans="3:40" ht="25.5" thickTop="1" thickBot="1" x14ac:dyDescent="0.4">
      <c r="C72" s="113"/>
      <c r="D72" s="112"/>
      <c r="E72" s="52"/>
      <c r="F72" s="53"/>
      <c r="G72" s="53"/>
      <c r="H72" s="52"/>
      <c r="I72" s="52"/>
      <c r="J72" s="54"/>
      <c r="K72" s="54"/>
      <c r="L72" s="55" t="str">
        <f t="shared" si="58"/>
        <v/>
      </c>
      <c r="M72" s="56" t="str">
        <f t="shared" si="59"/>
        <v/>
      </c>
      <c r="N72" s="57" t="str">
        <f t="shared" si="2"/>
        <v/>
      </c>
      <c r="O72" s="58" t="str">
        <f t="shared" si="60"/>
        <v/>
      </c>
      <c r="P72" s="59" t="str">
        <f t="shared" si="4"/>
        <v/>
      </c>
      <c r="Q72" s="60" t="str">
        <f t="shared" si="61"/>
        <v/>
      </c>
      <c r="R72" s="61" t="str">
        <f t="shared" si="28"/>
        <v/>
      </c>
      <c r="S72" s="56" t="str">
        <f t="shared" si="62"/>
        <v/>
      </c>
      <c r="T72" s="62" t="str">
        <f t="shared" si="63"/>
        <v/>
      </c>
      <c r="U72" s="63" t="str">
        <f t="shared" si="8"/>
        <v/>
      </c>
      <c r="V72" s="64" t="str">
        <f t="shared" si="64"/>
        <v/>
      </c>
      <c r="W72" s="65" t="str">
        <f t="shared" si="10"/>
        <v/>
      </c>
      <c r="X72" s="64" t="str">
        <f t="shared" si="65"/>
        <v/>
      </c>
      <c r="Y72" s="64" t="str">
        <f t="shared" si="66"/>
        <v/>
      </c>
      <c r="Z72" s="56" t="str">
        <f t="shared" si="67"/>
        <v/>
      </c>
      <c r="AA72" s="66" t="str">
        <f t="shared" si="68"/>
        <v/>
      </c>
      <c r="AB72" s="57" t="str">
        <f t="shared" si="15"/>
        <v/>
      </c>
      <c r="AC72" s="67" t="str">
        <f t="shared" si="69"/>
        <v/>
      </c>
      <c r="AD72" s="59" t="str">
        <f t="shared" si="70"/>
        <v/>
      </c>
      <c r="AE72" s="68" t="str">
        <f t="shared" si="71"/>
        <v/>
      </c>
      <c r="AF72" s="61" t="str">
        <f t="shared" si="72"/>
        <v/>
      </c>
      <c r="AG72" s="61" t="str">
        <f t="shared" si="73"/>
        <v/>
      </c>
      <c r="AH72" s="69" t="str">
        <f t="shared" si="74"/>
        <v/>
      </c>
      <c r="AI72" s="70" t="str">
        <f t="shared" si="22"/>
        <v/>
      </c>
      <c r="AJ72" s="64" t="str">
        <f t="shared" si="75"/>
        <v/>
      </c>
      <c r="AK72" s="64" t="str">
        <f t="shared" si="76"/>
        <v/>
      </c>
      <c r="AL72" s="64" t="str">
        <f t="shared" si="77"/>
        <v/>
      </c>
      <c r="AM72" s="64" t="str">
        <f t="shared" si="78"/>
        <v/>
      </c>
      <c r="AN72" s="64" t="str">
        <f t="shared" si="79"/>
        <v/>
      </c>
    </row>
    <row r="73" spans="3:40" ht="25.5" thickTop="1" thickBot="1" x14ac:dyDescent="0.4">
      <c r="C73" s="113"/>
      <c r="D73" s="112"/>
      <c r="E73" s="52"/>
      <c r="F73" s="53"/>
      <c r="G73" s="53"/>
      <c r="H73" s="52"/>
      <c r="I73" s="52"/>
      <c r="J73" s="54"/>
      <c r="K73" s="54"/>
      <c r="L73" s="55" t="str">
        <f t="shared" si="58"/>
        <v/>
      </c>
      <c r="M73" s="56" t="str">
        <f t="shared" si="59"/>
        <v/>
      </c>
      <c r="N73" s="57" t="str">
        <f t="shared" si="2"/>
        <v/>
      </c>
      <c r="O73" s="58" t="str">
        <f t="shared" si="60"/>
        <v/>
      </c>
      <c r="P73" s="59" t="str">
        <f t="shared" si="4"/>
        <v/>
      </c>
      <c r="Q73" s="60" t="str">
        <f t="shared" si="61"/>
        <v/>
      </c>
      <c r="R73" s="61" t="str">
        <f t="shared" si="28"/>
        <v/>
      </c>
      <c r="S73" s="56" t="str">
        <f t="shared" si="62"/>
        <v/>
      </c>
      <c r="T73" s="62" t="str">
        <f t="shared" si="63"/>
        <v/>
      </c>
      <c r="U73" s="63" t="str">
        <f t="shared" si="8"/>
        <v/>
      </c>
      <c r="V73" s="64" t="str">
        <f t="shared" si="64"/>
        <v/>
      </c>
      <c r="W73" s="65" t="str">
        <f t="shared" si="10"/>
        <v/>
      </c>
      <c r="X73" s="64" t="str">
        <f t="shared" si="65"/>
        <v/>
      </c>
      <c r="Y73" s="64" t="str">
        <f t="shared" si="66"/>
        <v/>
      </c>
      <c r="Z73" s="56" t="str">
        <f t="shared" si="67"/>
        <v/>
      </c>
      <c r="AA73" s="66" t="str">
        <f t="shared" si="68"/>
        <v/>
      </c>
      <c r="AB73" s="57" t="str">
        <f t="shared" si="15"/>
        <v/>
      </c>
      <c r="AC73" s="67" t="str">
        <f t="shared" si="69"/>
        <v/>
      </c>
      <c r="AD73" s="59" t="str">
        <f t="shared" si="70"/>
        <v/>
      </c>
      <c r="AE73" s="68" t="str">
        <f t="shared" si="71"/>
        <v/>
      </c>
      <c r="AF73" s="61" t="str">
        <f t="shared" si="72"/>
        <v/>
      </c>
      <c r="AG73" s="61" t="str">
        <f t="shared" si="73"/>
        <v/>
      </c>
      <c r="AH73" s="69" t="str">
        <f t="shared" si="74"/>
        <v/>
      </c>
      <c r="AI73" s="70" t="str">
        <f t="shared" si="22"/>
        <v/>
      </c>
      <c r="AJ73" s="64" t="str">
        <f t="shared" si="75"/>
        <v/>
      </c>
      <c r="AK73" s="64" t="str">
        <f t="shared" si="76"/>
        <v/>
      </c>
      <c r="AL73" s="64" t="str">
        <f t="shared" si="77"/>
        <v/>
      </c>
      <c r="AM73" s="64" t="str">
        <f t="shared" si="78"/>
        <v/>
      </c>
      <c r="AN73" s="64" t="str">
        <f t="shared" si="79"/>
        <v/>
      </c>
    </row>
    <row r="74" spans="3:40" ht="25.5" thickTop="1" thickBot="1" x14ac:dyDescent="0.4">
      <c r="C74" s="113"/>
      <c r="D74" s="112"/>
      <c r="E74" s="52"/>
      <c r="F74" s="53"/>
      <c r="G74" s="53"/>
      <c r="H74" s="52"/>
      <c r="I74" s="52"/>
      <c r="J74" s="54"/>
      <c r="K74" s="54"/>
      <c r="L74" s="55" t="str">
        <f t="shared" si="58"/>
        <v/>
      </c>
      <c r="M74" s="56" t="str">
        <f t="shared" si="59"/>
        <v/>
      </c>
      <c r="N74" s="57" t="str">
        <f t="shared" si="2"/>
        <v/>
      </c>
      <c r="O74" s="58" t="str">
        <f t="shared" si="60"/>
        <v/>
      </c>
      <c r="P74" s="59" t="str">
        <f t="shared" si="4"/>
        <v/>
      </c>
      <c r="Q74" s="60" t="str">
        <f t="shared" si="61"/>
        <v/>
      </c>
      <c r="R74" s="61" t="str">
        <f t="shared" si="28"/>
        <v/>
      </c>
      <c r="S74" s="56" t="str">
        <f t="shared" si="62"/>
        <v/>
      </c>
      <c r="T74" s="62" t="str">
        <f t="shared" si="63"/>
        <v/>
      </c>
      <c r="U74" s="63" t="str">
        <f t="shared" si="8"/>
        <v/>
      </c>
      <c r="V74" s="64" t="str">
        <f t="shared" si="64"/>
        <v/>
      </c>
      <c r="W74" s="65" t="str">
        <f t="shared" si="10"/>
        <v/>
      </c>
      <c r="X74" s="64" t="str">
        <f t="shared" si="65"/>
        <v/>
      </c>
      <c r="Y74" s="64" t="str">
        <f t="shared" si="66"/>
        <v/>
      </c>
      <c r="Z74" s="56" t="str">
        <f t="shared" si="67"/>
        <v/>
      </c>
      <c r="AA74" s="66" t="str">
        <f t="shared" si="68"/>
        <v/>
      </c>
      <c r="AB74" s="57" t="str">
        <f t="shared" si="15"/>
        <v/>
      </c>
      <c r="AC74" s="67" t="str">
        <f t="shared" si="69"/>
        <v/>
      </c>
      <c r="AD74" s="59" t="str">
        <f t="shared" si="70"/>
        <v/>
      </c>
      <c r="AE74" s="68" t="str">
        <f t="shared" si="71"/>
        <v/>
      </c>
      <c r="AF74" s="61" t="str">
        <f t="shared" si="72"/>
        <v/>
      </c>
      <c r="AG74" s="61" t="str">
        <f t="shared" si="73"/>
        <v/>
      </c>
      <c r="AH74" s="69" t="str">
        <f t="shared" si="74"/>
        <v/>
      </c>
      <c r="AI74" s="70" t="str">
        <f t="shared" si="22"/>
        <v/>
      </c>
      <c r="AJ74" s="64" t="str">
        <f t="shared" si="75"/>
        <v/>
      </c>
      <c r="AK74" s="64" t="str">
        <f t="shared" si="76"/>
        <v/>
      </c>
      <c r="AL74" s="64" t="str">
        <f t="shared" si="77"/>
        <v/>
      </c>
      <c r="AM74" s="64" t="str">
        <f t="shared" si="78"/>
        <v/>
      </c>
      <c r="AN74" s="64" t="str">
        <f t="shared" si="79"/>
        <v/>
      </c>
    </row>
    <row r="75" spans="3:40" ht="25.5" thickTop="1" thickBot="1" x14ac:dyDescent="0.4">
      <c r="C75" s="113"/>
      <c r="D75" s="112"/>
      <c r="E75" s="52"/>
      <c r="F75" s="53"/>
      <c r="G75" s="53"/>
      <c r="H75" s="52"/>
      <c r="I75" s="52"/>
      <c r="J75" s="54"/>
      <c r="K75" s="54"/>
      <c r="L75" s="78" t="str">
        <f t="shared" si="58"/>
        <v/>
      </c>
      <c r="M75" s="56" t="str">
        <f t="shared" si="59"/>
        <v/>
      </c>
      <c r="N75" s="57" t="str">
        <f t="shared" si="2"/>
        <v/>
      </c>
      <c r="O75" s="58" t="str">
        <f t="shared" si="60"/>
        <v/>
      </c>
      <c r="P75" s="59" t="str">
        <f t="shared" si="4"/>
        <v/>
      </c>
      <c r="Q75" s="60" t="str">
        <f t="shared" si="61"/>
        <v/>
      </c>
      <c r="R75" s="61" t="str">
        <f t="shared" si="28"/>
        <v/>
      </c>
      <c r="S75" s="56" t="str">
        <f t="shared" si="62"/>
        <v/>
      </c>
      <c r="T75" s="62" t="str">
        <f t="shared" si="63"/>
        <v/>
      </c>
      <c r="U75" s="63" t="str">
        <f t="shared" si="8"/>
        <v/>
      </c>
      <c r="V75" s="64" t="str">
        <f t="shared" si="64"/>
        <v/>
      </c>
      <c r="W75" s="65" t="str">
        <f t="shared" si="10"/>
        <v/>
      </c>
      <c r="X75" s="64" t="str">
        <f t="shared" si="65"/>
        <v/>
      </c>
      <c r="Y75" s="64" t="str">
        <f t="shared" si="66"/>
        <v/>
      </c>
      <c r="Z75" s="56" t="str">
        <f t="shared" si="67"/>
        <v/>
      </c>
      <c r="AA75" s="66" t="str">
        <f t="shared" si="68"/>
        <v/>
      </c>
      <c r="AB75" s="57" t="str">
        <f t="shared" si="15"/>
        <v/>
      </c>
      <c r="AC75" s="67" t="str">
        <f t="shared" si="69"/>
        <v/>
      </c>
      <c r="AD75" s="59" t="str">
        <f t="shared" si="70"/>
        <v/>
      </c>
      <c r="AE75" s="68" t="str">
        <f t="shared" si="71"/>
        <v/>
      </c>
      <c r="AF75" s="61" t="str">
        <f t="shared" si="72"/>
        <v/>
      </c>
      <c r="AG75" s="61" t="str">
        <f t="shared" si="73"/>
        <v/>
      </c>
      <c r="AH75" s="69" t="str">
        <f t="shared" si="74"/>
        <v/>
      </c>
      <c r="AI75" s="70" t="str">
        <f t="shared" si="22"/>
        <v/>
      </c>
      <c r="AJ75" s="64" t="str">
        <f t="shared" si="75"/>
        <v/>
      </c>
      <c r="AK75" s="64" t="str">
        <f t="shared" si="76"/>
        <v/>
      </c>
      <c r="AL75" s="64" t="str">
        <f t="shared" si="77"/>
        <v/>
      </c>
      <c r="AM75" s="64" t="str">
        <f t="shared" si="78"/>
        <v/>
      </c>
      <c r="AN75" s="64" t="str">
        <f t="shared" si="79"/>
        <v/>
      </c>
    </row>
    <row r="76" spans="3:40" ht="25.5" thickTop="1" thickBot="1" x14ac:dyDescent="0.4">
      <c r="C76" s="113"/>
      <c r="D76" s="112"/>
      <c r="E76" s="52"/>
      <c r="F76" s="53"/>
      <c r="G76" s="53"/>
      <c r="H76" s="52"/>
      <c r="I76" s="52"/>
      <c r="J76" s="54"/>
      <c r="K76" s="54"/>
      <c r="L76" s="78" t="str">
        <f t="shared" si="58"/>
        <v/>
      </c>
      <c r="M76" s="56" t="str">
        <f t="shared" si="59"/>
        <v/>
      </c>
      <c r="N76" s="57" t="str">
        <f t="shared" si="2"/>
        <v/>
      </c>
      <c r="O76" s="58" t="str">
        <f t="shared" si="60"/>
        <v/>
      </c>
      <c r="P76" s="59" t="str">
        <f t="shared" si="4"/>
        <v/>
      </c>
      <c r="Q76" s="60" t="str">
        <f t="shared" si="61"/>
        <v/>
      </c>
      <c r="R76" s="61" t="str">
        <f t="shared" si="28"/>
        <v/>
      </c>
      <c r="S76" s="56" t="str">
        <f t="shared" si="62"/>
        <v/>
      </c>
      <c r="T76" s="62" t="str">
        <f t="shared" si="63"/>
        <v/>
      </c>
      <c r="U76" s="63" t="str">
        <f t="shared" si="8"/>
        <v/>
      </c>
      <c r="V76" s="64" t="str">
        <f t="shared" si="64"/>
        <v/>
      </c>
      <c r="W76" s="65" t="str">
        <f t="shared" si="10"/>
        <v/>
      </c>
      <c r="X76" s="64" t="str">
        <f t="shared" si="65"/>
        <v/>
      </c>
      <c r="Y76" s="64" t="str">
        <f t="shared" si="66"/>
        <v/>
      </c>
      <c r="Z76" s="56" t="str">
        <f t="shared" si="67"/>
        <v/>
      </c>
      <c r="AA76" s="66" t="str">
        <f t="shared" si="68"/>
        <v/>
      </c>
      <c r="AB76" s="57" t="str">
        <f t="shared" si="15"/>
        <v/>
      </c>
      <c r="AC76" s="67" t="str">
        <f t="shared" si="69"/>
        <v/>
      </c>
      <c r="AD76" s="59" t="str">
        <f t="shared" si="70"/>
        <v/>
      </c>
      <c r="AE76" s="68" t="str">
        <f t="shared" si="71"/>
        <v/>
      </c>
      <c r="AF76" s="61" t="str">
        <f t="shared" si="72"/>
        <v/>
      </c>
      <c r="AG76" s="61" t="str">
        <f t="shared" si="73"/>
        <v/>
      </c>
      <c r="AH76" s="69" t="str">
        <f t="shared" si="74"/>
        <v/>
      </c>
      <c r="AI76" s="70" t="str">
        <f t="shared" si="22"/>
        <v/>
      </c>
      <c r="AJ76" s="64" t="str">
        <f t="shared" si="75"/>
        <v/>
      </c>
      <c r="AK76" s="64" t="str">
        <f t="shared" si="76"/>
        <v/>
      </c>
      <c r="AL76" s="64" t="str">
        <f t="shared" si="77"/>
        <v/>
      </c>
      <c r="AM76" s="64" t="str">
        <f t="shared" si="78"/>
        <v/>
      </c>
      <c r="AN76" s="64" t="str">
        <f t="shared" si="79"/>
        <v/>
      </c>
    </row>
    <row r="77" spans="3:40" ht="25.5" thickTop="1" thickBot="1" x14ac:dyDescent="0.4">
      <c r="C77" s="113"/>
      <c r="D77" s="112"/>
      <c r="E77" s="52"/>
      <c r="F77" s="53"/>
      <c r="G77" s="53"/>
      <c r="H77" s="52"/>
      <c r="I77" s="52"/>
      <c r="J77" s="54"/>
      <c r="K77" s="54"/>
      <c r="L77" s="78" t="str">
        <f t="shared" si="58"/>
        <v/>
      </c>
      <c r="M77" s="56" t="str">
        <f t="shared" si="59"/>
        <v/>
      </c>
      <c r="N77" s="57" t="str">
        <f t="shared" si="2"/>
        <v/>
      </c>
      <c r="O77" s="58" t="str">
        <f t="shared" si="60"/>
        <v/>
      </c>
      <c r="P77" s="59" t="str">
        <f t="shared" si="4"/>
        <v/>
      </c>
      <c r="Q77" s="60" t="str">
        <f t="shared" si="61"/>
        <v/>
      </c>
      <c r="R77" s="61" t="str">
        <f t="shared" si="28"/>
        <v/>
      </c>
      <c r="S77" s="56" t="str">
        <f t="shared" si="62"/>
        <v/>
      </c>
      <c r="T77" s="62" t="str">
        <f t="shared" si="63"/>
        <v/>
      </c>
      <c r="U77" s="63" t="str">
        <f t="shared" si="8"/>
        <v/>
      </c>
      <c r="V77" s="64" t="str">
        <f t="shared" si="64"/>
        <v/>
      </c>
      <c r="W77" s="65" t="str">
        <f t="shared" si="10"/>
        <v/>
      </c>
      <c r="X77" s="64" t="str">
        <f t="shared" si="65"/>
        <v/>
      </c>
      <c r="Y77" s="64" t="str">
        <f t="shared" si="66"/>
        <v/>
      </c>
      <c r="Z77" s="56" t="str">
        <f t="shared" si="67"/>
        <v/>
      </c>
      <c r="AA77" s="66" t="str">
        <f t="shared" si="68"/>
        <v/>
      </c>
      <c r="AB77" s="57" t="str">
        <f t="shared" si="15"/>
        <v/>
      </c>
      <c r="AC77" s="67" t="str">
        <f t="shared" si="69"/>
        <v/>
      </c>
      <c r="AD77" s="59" t="str">
        <f t="shared" si="70"/>
        <v/>
      </c>
      <c r="AE77" s="68" t="str">
        <f t="shared" si="71"/>
        <v/>
      </c>
      <c r="AF77" s="61" t="str">
        <f t="shared" si="72"/>
        <v/>
      </c>
      <c r="AG77" s="61" t="str">
        <f t="shared" si="73"/>
        <v/>
      </c>
      <c r="AH77" s="69" t="str">
        <f t="shared" si="74"/>
        <v/>
      </c>
      <c r="AI77" s="70" t="str">
        <f t="shared" si="22"/>
        <v/>
      </c>
      <c r="AJ77" s="64" t="str">
        <f t="shared" si="75"/>
        <v/>
      </c>
      <c r="AK77" s="64" t="str">
        <f t="shared" si="76"/>
        <v/>
      </c>
      <c r="AL77" s="64" t="str">
        <f t="shared" si="77"/>
        <v/>
      </c>
      <c r="AM77" s="64" t="str">
        <f t="shared" si="78"/>
        <v/>
      </c>
      <c r="AN77" s="64" t="str">
        <f t="shared" si="79"/>
        <v/>
      </c>
    </row>
    <row r="78" spans="3:40" ht="25.5" thickTop="1" thickBot="1" x14ac:dyDescent="0.4">
      <c r="C78" s="113"/>
      <c r="D78" s="112"/>
      <c r="E78" s="52"/>
      <c r="F78" s="53"/>
      <c r="G78" s="53"/>
      <c r="H78" s="52"/>
      <c r="I78" s="52"/>
      <c r="J78" s="54"/>
      <c r="K78" s="54"/>
      <c r="L78" s="78" t="str">
        <f t="shared" si="58"/>
        <v/>
      </c>
      <c r="M78" s="56" t="str">
        <f t="shared" si="59"/>
        <v/>
      </c>
      <c r="N78" s="57" t="str">
        <f t="shared" si="2"/>
        <v/>
      </c>
      <c r="O78" s="58" t="str">
        <f t="shared" si="60"/>
        <v/>
      </c>
      <c r="P78" s="59" t="str">
        <f t="shared" si="4"/>
        <v/>
      </c>
      <c r="Q78" s="60" t="str">
        <f t="shared" si="61"/>
        <v/>
      </c>
      <c r="R78" s="61" t="str">
        <f t="shared" si="28"/>
        <v/>
      </c>
      <c r="S78" s="56" t="str">
        <f t="shared" si="62"/>
        <v/>
      </c>
      <c r="T78" s="62" t="str">
        <f t="shared" si="63"/>
        <v/>
      </c>
      <c r="U78" s="63" t="str">
        <f t="shared" si="8"/>
        <v/>
      </c>
      <c r="V78" s="64" t="str">
        <f t="shared" si="64"/>
        <v/>
      </c>
      <c r="W78" s="65" t="str">
        <f t="shared" si="10"/>
        <v/>
      </c>
      <c r="X78" s="64" t="str">
        <f t="shared" si="65"/>
        <v/>
      </c>
      <c r="Y78" s="64" t="str">
        <f t="shared" si="66"/>
        <v/>
      </c>
      <c r="Z78" s="56" t="str">
        <f t="shared" si="67"/>
        <v/>
      </c>
      <c r="AA78" s="66" t="str">
        <f t="shared" si="68"/>
        <v/>
      </c>
      <c r="AB78" s="57" t="str">
        <f t="shared" si="15"/>
        <v/>
      </c>
      <c r="AC78" s="67" t="str">
        <f t="shared" si="69"/>
        <v/>
      </c>
      <c r="AD78" s="59" t="str">
        <f t="shared" si="70"/>
        <v/>
      </c>
      <c r="AE78" s="68" t="str">
        <f t="shared" si="71"/>
        <v/>
      </c>
      <c r="AF78" s="61" t="str">
        <f t="shared" si="72"/>
        <v/>
      </c>
      <c r="AG78" s="61" t="str">
        <f t="shared" si="73"/>
        <v/>
      </c>
      <c r="AH78" s="69" t="str">
        <f t="shared" si="74"/>
        <v/>
      </c>
      <c r="AI78" s="70" t="str">
        <f t="shared" si="22"/>
        <v/>
      </c>
      <c r="AJ78" s="64" t="str">
        <f t="shared" si="75"/>
        <v/>
      </c>
      <c r="AK78" s="64" t="str">
        <f t="shared" si="76"/>
        <v/>
      </c>
      <c r="AL78" s="64" t="str">
        <f t="shared" si="77"/>
        <v/>
      </c>
      <c r="AM78" s="64" t="str">
        <f t="shared" si="78"/>
        <v/>
      </c>
      <c r="AN78" s="64" t="str">
        <f t="shared" si="79"/>
        <v/>
      </c>
    </row>
    <row r="79" spans="3:40" ht="25.5" thickTop="1" thickBot="1" x14ac:dyDescent="0.4">
      <c r="C79" s="113"/>
      <c r="D79" s="112"/>
      <c r="E79" s="52"/>
      <c r="F79" s="53"/>
      <c r="G79" s="53"/>
      <c r="H79" s="52"/>
      <c r="I79" s="52"/>
      <c r="J79" s="54"/>
      <c r="K79" s="54"/>
      <c r="L79" s="78" t="str">
        <f t="shared" si="58"/>
        <v/>
      </c>
      <c r="M79" s="56" t="str">
        <f t="shared" si="59"/>
        <v/>
      </c>
      <c r="N79" s="57" t="str">
        <f t="shared" si="2"/>
        <v/>
      </c>
      <c r="O79" s="58" t="str">
        <f t="shared" si="60"/>
        <v/>
      </c>
      <c r="P79" s="59" t="str">
        <f t="shared" si="4"/>
        <v/>
      </c>
      <c r="Q79" s="60" t="str">
        <f t="shared" si="61"/>
        <v/>
      </c>
      <c r="R79" s="61" t="str">
        <f t="shared" si="28"/>
        <v/>
      </c>
      <c r="S79" s="56" t="str">
        <f t="shared" si="62"/>
        <v/>
      </c>
      <c r="T79" s="62" t="str">
        <f t="shared" si="63"/>
        <v/>
      </c>
      <c r="U79" s="63" t="str">
        <f t="shared" si="8"/>
        <v/>
      </c>
      <c r="V79" s="64" t="str">
        <f t="shared" si="64"/>
        <v/>
      </c>
      <c r="W79" s="65" t="str">
        <f t="shared" si="10"/>
        <v/>
      </c>
      <c r="X79" s="64" t="str">
        <f t="shared" si="65"/>
        <v/>
      </c>
      <c r="Y79" s="64" t="str">
        <f t="shared" si="66"/>
        <v/>
      </c>
      <c r="Z79" s="56" t="str">
        <f t="shared" si="67"/>
        <v/>
      </c>
      <c r="AA79" s="66" t="str">
        <f t="shared" si="68"/>
        <v/>
      </c>
      <c r="AB79" s="57" t="str">
        <f t="shared" si="15"/>
        <v/>
      </c>
      <c r="AC79" s="67" t="str">
        <f t="shared" si="69"/>
        <v/>
      </c>
      <c r="AD79" s="59" t="str">
        <f t="shared" si="70"/>
        <v/>
      </c>
      <c r="AE79" s="68" t="str">
        <f t="shared" si="71"/>
        <v/>
      </c>
      <c r="AF79" s="61" t="str">
        <f t="shared" si="72"/>
        <v/>
      </c>
      <c r="AG79" s="61" t="str">
        <f t="shared" si="73"/>
        <v/>
      </c>
      <c r="AH79" s="69" t="str">
        <f t="shared" si="74"/>
        <v/>
      </c>
      <c r="AI79" s="70" t="str">
        <f t="shared" si="22"/>
        <v/>
      </c>
      <c r="AJ79" s="64" t="str">
        <f t="shared" si="75"/>
        <v/>
      </c>
      <c r="AK79" s="64" t="str">
        <f t="shared" si="76"/>
        <v/>
      </c>
      <c r="AL79" s="64" t="str">
        <f t="shared" si="77"/>
        <v/>
      </c>
      <c r="AM79" s="64" t="str">
        <f t="shared" si="78"/>
        <v/>
      </c>
      <c r="AN79" s="64" t="str">
        <f t="shared" si="79"/>
        <v/>
      </c>
    </row>
    <row r="80" spans="3:40" ht="25.5" thickTop="1" thickBot="1" x14ac:dyDescent="0.4">
      <c r="C80" s="113"/>
      <c r="D80" s="11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28"/>
        <v/>
      </c>
      <c r="S80" s="56" t="str">
        <f t="shared" si="62"/>
        <v/>
      </c>
      <c r="T80" s="62" t="str">
        <f t="shared" si="63"/>
        <v/>
      </c>
      <c r="U80" s="63" t="str">
        <f t="shared" si="8"/>
        <v/>
      </c>
      <c r="V80" s="64" t="str">
        <f t="shared" si="64"/>
        <v/>
      </c>
      <c r="W80" s="65" t="str">
        <f t="shared" si="10"/>
        <v/>
      </c>
      <c r="X80" s="64" t="str">
        <f t="shared" si="65"/>
        <v/>
      </c>
      <c r="Y80" s="64" t="str">
        <f t="shared" si="66"/>
        <v/>
      </c>
      <c r="Z80" s="56" t="str">
        <f t="shared" si="67"/>
        <v/>
      </c>
      <c r="AA80" s="66" t="str">
        <f t="shared" si="68"/>
        <v/>
      </c>
      <c r="AB80" s="57" t="str">
        <f t="shared" si="15"/>
        <v/>
      </c>
      <c r="AC80" s="67" t="str">
        <f t="shared" si="69"/>
        <v/>
      </c>
      <c r="AD80" s="59" t="str">
        <f t="shared" si="70"/>
        <v/>
      </c>
      <c r="AE80" s="68" t="str">
        <f t="shared" si="71"/>
        <v/>
      </c>
      <c r="AF80" s="61" t="str">
        <f t="shared" si="72"/>
        <v/>
      </c>
      <c r="AG80" s="61" t="str">
        <f t="shared" si="73"/>
        <v/>
      </c>
      <c r="AH80" s="69" t="str">
        <f t="shared" si="74"/>
        <v/>
      </c>
      <c r="AI80" s="70" t="str">
        <f t="shared" si="22"/>
        <v/>
      </c>
      <c r="AJ80" s="64" t="str">
        <f t="shared" si="75"/>
        <v/>
      </c>
      <c r="AK80" s="64" t="str">
        <f t="shared" si="76"/>
        <v/>
      </c>
      <c r="AL80" s="64" t="str">
        <f t="shared" si="77"/>
        <v/>
      </c>
      <c r="AM80" s="64" t="str">
        <f t="shared" si="78"/>
        <v/>
      </c>
      <c r="AN80" s="64" t="str">
        <f t="shared" si="79"/>
        <v/>
      </c>
    </row>
    <row r="81" spans="1:40" ht="25.5" thickTop="1" thickBot="1" x14ac:dyDescent="0.4">
      <c r="C81" s="113"/>
      <c r="D81" s="112"/>
      <c r="E81" s="52"/>
      <c r="F81" s="53"/>
      <c r="G81" s="53"/>
      <c r="H81" s="52"/>
      <c r="I81" s="52"/>
      <c r="J81" s="54"/>
      <c r="K81" s="54"/>
      <c r="L81" s="55" t="str">
        <f t="shared" ref="L81" si="80">IF(C81="","",_xlfn.CONCAT("            { line: ","""",C81,", ",M81:AN81,""", sC: ","""",B81,"""},"))</f>
        <v/>
      </c>
      <c r="M81" s="56" t="str">
        <f t="shared" ref="M81" si="81">IF(N81="","","(")</f>
        <v/>
      </c>
      <c r="N81" s="57" t="str">
        <f t="shared" ref="N81" si="82">IF(D81="","",D81)</f>
        <v/>
      </c>
      <c r="O81" s="58" t="str">
        <f t="shared" ref="O81" si="83">IF(N81="","",",")</f>
        <v/>
      </c>
      <c r="P81" s="59" t="str">
        <f t="shared" ref="P81" si="84">IF(E81="","",E81)</f>
        <v/>
      </c>
      <c r="Q81" s="60" t="str">
        <f t="shared" ref="Q81" si="85">IF(N81="","",",")</f>
        <v/>
      </c>
      <c r="R81" s="61" t="str">
        <f t="shared" si="28"/>
        <v/>
      </c>
      <c r="S81" s="56" t="str">
        <f t="shared" ref="S81" si="86">IF(N81="","",")")</f>
        <v/>
      </c>
      <c r="T81" s="62" t="str">
        <f t="shared" ref="T81" si="87">IF(U81="","","(")</f>
        <v/>
      </c>
      <c r="U81" s="63" t="str">
        <f t="shared" ref="U81" si="88">IF(F81="","",F81)</f>
        <v/>
      </c>
      <c r="V81" s="64" t="str">
        <f t="shared" ref="V81" si="89">IF(U81="","",",")</f>
        <v/>
      </c>
      <c r="W81" s="65" t="str">
        <f t="shared" ref="W81" si="90">IF(G81="","",G81)</f>
        <v/>
      </c>
      <c r="X81" s="64" t="str">
        <f t="shared" ref="X81" si="91">IF(U81="","",",")</f>
        <v/>
      </c>
      <c r="Y81" s="64" t="str">
        <f t="shared" ref="Y81" si="92">IF(U81="","",250)</f>
        <v/>
      </c>
      <c r="Z81" s="56" t="str">
        <f t="shared" ref="Z81" si="93">IF(U81="","",")")</f>
        <v/>
      </c>
      <c r="AA81" s="66" t="str">
        <f t="shared" ref="AA81" si="94">IF(AB81="","","(")</f>
        <v/>
      </c>
      <c r="AB81" s="57" t="str">
        <f t="shared" ref="AB81" si="95">IF(H81="","",H81)</f>
        <v/>
      </c>
      <c r="AC81" s="67" t="str">
        <f t="shared" ref="AC81" si="96">IF(AB81="","",",")</f>
        <v/>
      </c>
      <c r="AD81" s="59" t="str">
        <f t="shared" si="70"/>
        <v/>
      </c>
      <c r="AE81" s="68" t="str">
        <f t="shared" ref="AE81" si="97">IF(AB81="","",",")</f>
        <v/>
      </c>
      <c r="AF81" s="61" t="str">
        <f t="shared" ref="AF81" si="98">IF(AB81="","",350)</f>
        <v/>
      </c>
      <c r="AG81" s="61" t="str">
        <f t="shared" ref="AG81" si="99">IF(AB81="","",")")</f>
        <v/>
      </c>
      <c r="AH81" s="69" t="str">
        <f t="shared" ref="AH81" si="100">IF(AI81="","","(")</f>
        <v/>
      </c>
      <c r="AI81" s="70" t="str">
        <f t="shared" ref="AI81" si="101">IF(J81="","",J81)</f>
        <v/>
      </c>
      <c r="AJ81" s="64" t="str">
        <f t="shared" ref="AJ81" si="102">IF(AI81="","",",")</f>
        <v/>
      </c>
      <c r="AK81" s="64" t="str">
        <f t="shared" si="76"/>
        <v/>
      </c>
      <c r="AL81" s="64" t="str">
        <f t="shared" ref="AL81" si="103">IF(AI81="","",",")</f>
        <v/>
      </c>
      <c r="AM81" s="64" t="str">
        <f t="shared" ref="AM81" si="104">IF(AI81="","",450)</f>
        <v/>
      </c>
      <c r="AN81" s="64" t="str">
        <f t="shared" ref="AN81" si="105">IF(AI81="","",")")</f>
        <v/>
      </c>
    </row>
    <row r="82" spans="1:40" ht="27.75" thickTop="1" thickBot="1" x14ac:dyDescent="0.4">
      <c r="A82" s="73"/>
      <c r="B82" s="73"/>
      <c r="C82" s="73"/>
      <c r="D82" s="74"/>
      <c r="E82" s="74"/>
      <c r="F82" s="74"/>
      <c r="G82" s="74"/>
      <c r="H82" s="74"/>
      <c r="I82" s="74"/>
      <c r="J82" s="74"/>
      <c r="K82" s="74"/>
      <c r="L82" s="75" t="s">
        <v>993</v>
      </c>
      <c r="M82" s="56"/>
      <c r="N82" s="57"/>
      <c r="O82" s="58"/>
      <c r="P82" s="59"/>
      <c r="Q82" s="60"/>
      <c r="R82" s="61" t="str">
        <f t="shared" si="28"/>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thickTop="1" thickBot="1" x14ac:dyDescent="0.4">
      <c r="C83" s="79" t="s">
        <v>995</v>
      </c>
      <c r="D83" s="80"/>
      <c r="E83" s="80"/>
      <c r="F83" s="80"/>
      <c r="G83" s="80"/>
      <c r="H83" s="80"/>
      <c r="I83" s="80"/>
      <c r="J83" s="80"/>
      <c r="K83" s="80"/>
      <c r="L83" s="81" t="s">
        <v>996</v>
      </c>
      <c r="M83" s="56" t="str">
        <f t="shared" ref="M83:M90" si="106">IF(N83="","","(")</f>
        <v/>
      </c>
      <c r="N83" s="57" t="str">
        <f t="shared" ref="N83:N90" si="107">IF(D83="","",D83)</f>
        <v/>
      </c>
      <c r="O83" s="58" t="str">
        <f t="shared" ref="O83:O90" si="108">IF(N83="","",",")</f>
        <v/>
      </c>
      <c r="P83" s="59" t="str">
        <f t="shared" ref="P83:P90" si="109">IF(E83="","",E83)</f>
        <v/>
      </c>
      <c r="Q83" s="60" t="str">
        <f t="shared" ref="Q83:Q90" si="110">IF(N83="","",",")</f>
        <v/>
      </c>
      <c r="R83" s="61" t="str">
        <f t="shared" si="28"/>
        <v/>
      </c>
      <c r="S83" s="56" t="str">
        <f t="shared" ref="S83:S90" si="111">IF(N83="","",")")</f>
        <v/>
      </c>
      <c r="T83" s="62" t="str">
        <f t="shared" ref="T83:T90" si="112">IF(U83="","","(")</f>
        <v/>
      </c>
      <c r="U83" s="63" t="str">
        <f t="shared" ref="U83:U90" si="113">IF(F83="","",F83)</f>
        <v/>
      </c>
      <c r="V83" s="64" t="str">
        <f t="shared" ref="V83:V90" si="114">IF(U83="","",",")</f>
        <v/>
      </c>
      <c r="W83" s="65" t="str">
        <f t="shared" ref="W83:W90" si="115">IF(G83="","",G83)</f>
        <v/>
      </c>
      <c r="X83" s="64" t="str">
        <f t="shared" ref="X83:X90" si="116">IF(U83="","",",")</f>
        <v/>
      </c>
      <c r="Y83" s="64" t="str">
        <f t="shared" ref="Y83:Y90" si="117">IF(U83="","",250)</f>
        <v/>
      </c>
      <c r="Z83" s="56" t="str">
        <f t="shared" ref="Z83:Z90" si="118">IF(U83="","",")")</f>
        <v/>
      </c>
      <c r="AA83" s="66" t="str">
        <f t="shared" ref="AA83:AA90" si="119">IF(AB83="","","(")</f>
        <v/>
      </c>
      <c r="AB83" s="57" t="str">
        <f t="shared" ref="AB83:AB90" si="120">IF(H83="","",H83)</f>
        <v/>
      </c>
      <c r="AC83" s="67" t="str">
        <f t="shared" ref="AC83:AC90" si="121">IF(AB83="","",",")</f>
        <v/>
      </c>
      <c r="AD83" s="59" t="str">
        <f t="shared" ref="AD83:AD90" si="122">IF(I83="","",I83)</f>
        <v/>
      </c>
      <c r="AE83" s="68" t="str">
        <f t="shared" ref="AE83:AE90" si="123">IF(AB83="","",",")</f>
        <v/>
      </c>
      <c r="AF83" s="61" t="str">
        <f t="shared" ref="AF83:AF90" si="124">IF(AB83="","",350)</f>
        <v/>
      </c>
      <c r="AG83" s="61" t="str">
        <f t="shared" ref="AG83:AG90" si="125">IF(AB83="","",")")</f>
        <v/>
      </c>
      <c r="AH83" s="69" t="str">
        <f t="shared" ref="AH83:AH90" si="126">IF(AI83="","","(")</f>
        <v/>
      </c>
      <c r="AI83" s="70" t="str">
        <f t="shared" ref="AI83:AI90" si="127">IF(J83="","",J83)</f>
        <v/>
      </c>
      <c r="AJ83" s="64" t="str">
        <f t="shared" ref="AJ83:AJ90" si="128">IF(AI83="","",",")</f>
        <v/>
      </c>
      <c r="AK83" s="64" t="str">
        <f t="shared" ref="AK83:AK90" si="129">IF(K83="","",K83)</f>
        <v/>
      </c>
      <c r="AL83" s="64" t="str">
        <f t="shared" ref="AL83:AL90" si="130">IF(AI83="","",",")</f>
        <v/>
      </c>
      <c r="AM83" s="64" t="str">
        <f t="shared" ref="AM83:AM90" si="131">IF(AI83="","",450)</f>
        <v/>
      </c>
      <c r="AN83" s="64" t="str">
        <f t="shared" ref="AN83:AN90" si="132">IF(AI83="","",")")</f>
        <v/>
      </c>
    </row>
    <row r="84" spans="1:40" ht="25.5"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06"/>
        <v/>
      </c>
      <c r="N84" s="57" t="str">
        <f t="shared" si="107"/>
        <v/>
      </c>
      <c r="O84" s="58" t="str">
        <f t="shared" si="108"/>
        <v/>
      </c>
      <c r="P84" s="59" t="str">
        <f t="shared" si="109"/>
        <v/>
      </c>
      <c r="Q84" s="60" t="str">
        <f t="shared" si="110"/>
        <v/>
      </c>
      <c r="R84" s="61" t="str">
        <f t="shared" si="28"/>
        <v/>
      </c>
      <c r="S84" s="56" t="str">
        <f t="shared" si="111"/>
        <v/>
      </c>
      <c r="T84" s="62" t="str">
        <f t="shared" si="112"/>
        <v/>
      </c>
      <c r="U84" s="63" t="str">
        <f t="shared" si="113"/>
        <v/>
      </c>
      <c r="V84" s="64" t="str">
        <f t="shared" si="114"/>
        <v/>
      </c>
      <c r="W84" s="65" t="str">
        <f t="shared" si="115"/>
        <v/>
      </c>
      <c r="X84" s="64" t="str">
        <f t="shared" si="116"/>
        <v/>
      </c>
      <c r="Y84" s="64" t="str">
        <f t="shared" si="117"/>
        <v/>
      </c>
      <c r="Z84" s="56" t="str">
        <f t="shared" si="118"/>
        <v/>
      </c>
      <c r="AA84" s="66" t="str">
        <f t="shared" si="119"/>
        <v/>
      </c>
      <c r="AB84" s="57" t="str">
        <f t="shared" si="120"/>
        <v/>
      </c>
      <c r="AC84" s="67" t="str">
        <f t="shared" si="121"/>
        <v/>
      </c>
      <c r="AD84" s="59" t="str">
        <f t="shared" si="122"/>
        <v/>
      </c>
      <c r="AE84" s="68" t="str">
        <f t="shared" si="123"/>
        <v/>
      </c>
      <c r="AF84" s="61" t="str">
        <f t="shared" si="124"/>
        <v/>
      </c>
      <c r="AG84" s="61" t="str">
        <f t="shared" si="125"/>
        <v/>
      </c>
      <c r="AH84" s="69" t="str">
        <f t="shared" si="126"/>
        <v/>
      </c>
      <c r="AI84" s="70" t="str">
        <f t="shared" si="127"/>
        <v/>
      </c>
      <c r="AJ84" s="64" t="str">
        <f t="shared" si="128"/>
        <v/>
      </c>
      <c r="AK84" s="64" t="str">
        <f t="shared" si="129"/>
        <v/>
      </c>
      <c r="AL84" s="64" t="str">
        <f t="shared" si="130"/>
        <v/>
      </c>
      <c r="AM84" s="64" t="str">
        <f t="shared" si="131"/>
        <v/>
      </c>
      <c r="AN84" s="64" t="str">
        <f t="shared" si="132"/>
        <v/>
      </c>
    </row>
    <row r="85" spans="1:40" ht="25.5"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106"/>
        <v/>
      </c>
      <c r="N85" s="57" t="str">
        <f t="shared" si="107"/>
        <v/>
      </c>
      <c r="O85" s="58" t="str">
        <f t="shared" si="108"/>
        <v/>
      </c>
      <c r="P85" s="59" t="str">
        <f t="shared" si="109"/>
        <v/>
      </c>
      <c r="Q85" s="60" t="str">
        <f t="shared" si="110"/>
        <v/>
      </c>
      <c r="R85" s="61" t="str">
        <f t="shared" si="28"/>
        <v/>
      </c>
      <c r="S85" s="56" t="str">
        <f t="shared" si="111"/>
        <v/>
      </c>
      <c r="T85" s="62" t="str">
        <f t="shared" si="112"/>
        <v/>
      </c>
      <c r="U85" s="63" t="str">
        <f t="shared" si="113"/>
        <v/>
      </c>
      <c r="V85" s="64" t="str">
        <f t="shared" si="114"/>
        <v/>
      </c>
      <c r="W85" s="65" t="str">
        <f t="shared" si="115"/>
        <v/>
      </c>
      <c r="X85" s="64" t="str">
        <f t="shared" si="116"/>
        <v/>
      </c>
      <c r="Y85" s="64" t="str">
        <f t="shared" si="117"/>
        <v/>
      </c>
      <c r="Z85" s="56" t="str">
        <f t="shared" si="118"/>
        <v/>
      </c>
      <c r="AA85" s="66" t="str">
        <f t="shared" si="119"/>
        <v/>
      </c>
      <c r="AB85" s="57" t="str">
        <f t="shared" si="120"/>
        <v/>
      </c>
      <c r="AC85" s="67" t="str">
        <f t="shared" si="121"/>
        <v/>
      </c>
      <c r="AD85" s="59" t="str">
        <f t="shared" si="122"/>
        <v/>
      </c>
      <c r="AE85" s="68" t="str">
        <f t="shared" si="123"/>
        <v/>
      </c>
      <c r="AF85" s="61" t="str">
        <f t="shared" si="124"/>
        <v/>
      </c>
      <c r="AG85" s="61" t="str">
        <f t="shared" si="125"/>
        <v/>
      </c>
      <c r="AH85" s="69" t="str">
        <f t="shared" si="126"/>
        <v/>
      </c>
      <c r="AI85" s="70" t="str">
        <f t="shared" si="127"/>
        <v/>
      </c>
      <c r="AJ85" s="64" t="str">
        <f t="shared" si="128"/>
        <v/>
      </c>
      <c r="AK85" s="64" t="str">
        <f t="shared" si="129"/>
        <v/>
      </c>
      <c r="AL85" s="64" t="str">
        <f t="shared" si="130"/>
        <v/>
      </c>
      <c r="AM85" s="64" t="str">
        <f t="shared" si="131"/>
        <v/>
      </c>
      <c r="AN85" s="64" t="str">
        <f t="shared" si="132"/>
        <v/>
      </c>
    </row>
    <row r="86" spans="1:40" ht="25.5"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106"/>
        <v/>
      </c>
      <c r="N86" s="57" t="str">
        <f t="shared" si="107"/>
        <v/>
      </c>
      <c r="O86" s="58" t="str">
        <f t="shared" si="108"/>
        <v/>
      </c>
      <c r="P86" s="59" t="str">
        <f t="shared" si="109"/>
        <v/>
      </c>
      <c r="Q86" s="60" t="str">
        <f t="shared" si="110"/>
        <v/>
      </c>
      <c r="R86" s="61" t="str">
        <f t="shared" si="28"/>
        <v/>
      </c>
      <c r="S86" s="56" t="str">
        <f t="shared" si="111"/>
        <v/>
      </c>
      <c r="T86" s="62" t="str">
        <f t="shared" si="112"/>
        <v/>
      </c>
      <c r="U86" s="63" t="str">
        <f t="shared" si="113"/>
        <v/>
      </c>
      <c r="V86" s="64" t="str">
        <f t="shared" si="114"/>
        <v/>
      </c>
      <c r="W86" s="65" t="str">
        <f t="shared" si="115"/>
        <v/>
      </c>
      <c r="X86" s="64" t="str">
        <f t="shared" si="116"/>
        <v/>
      </c>
      <c r="Y86" s="64" t="str">
        <f t="shared" si="117"/>
        <v/>
      </c>
      <c r="Z86" s="56" t="str">
        <f t="shared" si="118"/>
        <v/>
      </c>
      <c r="AA86" s="66" t="str">
        <f t="shared" si="119"/>
        <v/>
      </c>
      <c r="AB86" s="57" t="str">
        <f t="shared" si="120"/>
        <v/>
      </c>
      <c r="AC86" s="67" t="str">
        <f t="shared" si="121"/>
        <v/>
      </c>
      <c r="AD86" s="59" t="str">
        <f t="shared" si="122"/>
        <v/>
      </c>
      <c r="AE86" s="68" t="str">
        <f t="shared" si="123"/>
        <v/>
      </c>
      <c r="AF86" s="61" t="str">
        <f t="shared" si="124"/>
        <v/>
      </c>
      <c r="AG86" s="61" t="str">
        <f t="shared" si="125"/>
        <v/>
      </c>
      <c r="AH86" s="69" t="str">
        <f t="shared" si="126"/>
        <v/>
      </c>
      <c r="AI86" s="70" t="str">
        <f t="shared" si="127"/>
        <v/>
      </c>
      <c r="AJ86" s="64" t="str">
        <f t="shared" si="128"/>
        <v/>
      </c>
      <c r="AK86" s="64" t="str">
        <f t="shared" si="129"/>
        <v/>
      </c>
      <c r="AL86" s="64" t="str">
        <f t="shared" si="130"/>
        <v/>
      </c>
      <c r="AM86" s="64" t="str">
        <f t="shared" si="131"/>
        <v/>
      </c>
      <c r="AN86" s="64" t="str">
        <f t="shared" si="132"/>
        <v/>
      </c>
    </row>
    <row r="87" spans="1:40" ht="25.5"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106"/>
        <v/>
      </c>
      <c r="N87" s="57" t="str">
        <f t="shared" si="107"/>
        <v/>
      </c>
      <c r="O87" s="58" t="str">
        <f t="shared" si="108"/>
        <v/>
      </c>
      <c r="P87" s="59" t="str">
        <f t="shared" si="109"/>
        <v/>
      </c>
      <c r="Q87" s="60" t="str">
        <f t="shared" si="110"/>
        <v/>
      </c>
      <c r="R87" s="61" t="str">
        <f t="shared" si="28"/>
        <v/>
      </c>
      <c r="S87" s="56" t="str">
        <f t="shared" si="111"/>
        <v/>
      </c>
      <c r="T87" s="62" t="str">
        <f t="shared" si="112"/>
        <v/>
      </c>
      <c r="U87" s="63" t="str">
        <f t="shared" si="113"/>
        <v/>
      </c>
      <c r="V87" s="64" t="str">
        <f t="shared" si="114"/>
        <v/>
      </c>
      <c r="W87" s="65" t="str">
        <f t="shared" si="115"/>
        <v/>
      </c>
      <c r="X87" s="64" t="str">
        <f t="shared" si="116"/>
        <v/>
      </c>
      <c r="Y87" s="64" t="str">
        <f t="shared" si="117"/>
        <v/>
      </c>
      <c r="Z87" s="56" t="str">
        <f t="shared" si="118"/>
        <v/>
      </c>
      <c r="AA87" s="66" t="str">
        <f t="shared" si="119"/>
        <v/>
      </c>
      <c r="AB87" s="57" t="str">
        <f t="shared" si="120"/>
        <v/>
      </c>
      <c r="AC87" s="67" t="str">
        <f t="shared" si="121"/>
        <v/>
      </c>
      <c r="AD87" s="59" t="str">
        <f t="shared" si="122"/>
        <v/>
      </c>
      <c r="AE87" s="68" t="str">
        <f t="shared" si="123"/>
        <v/>
      </c>
      <c r="AF87" s="61" t="str">
        <f t="shared" si="124"/>
        <v/>
      </c>
      <c r="AG87" s="61" t="str">
        <f t="shared" si="125"/>
        <v/>
      </c>
      <c r="AH87" s="69" t="str">
        <f t="shared" si="126"/>
        <v/>
      </c>
      <c r="AI87" s="70" t="str">
        <f t="shared" si="127"/>
        <v/>
      </c>
      <c r="AJ87" s="64" t="str">
        <f t="shared" si="128"/>
        <v/>
      </c>
      <c r="AK87" s="64" t="str">
        <f t="shared" si="129"/>
        <v/>
      </c>
      <c r="AL87" s="64" t="str">
        <f t="shared" si="130"/>
        <v/>
      </c>
      <c r="AM87" s="64" t="str">
        <f t="shared" si="131"/>
        <v/>
      </c>
      <c r="AN87" s="64" t="str">
        <f t="shared" si="132"/>
        <v/>
      </c>
    </row>
    <row r="88" spans="1:40" ht="25.5"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106"/>
        <v/>
      </c>
      <c r="N88" s="57" t="str">
        <f t="shared" si="107"/>
        <v/>
      </c>
      <c r="O88" s="58" t="str">
        <f t="shared" si="108"/>
        <v/>
      </c>
      <c r="P88" s="59" t="str">
        <f t="shared" si="109"/>
        <v/>
      </c>
      <c r="Q88" s="60" t="str">
        <f t="shared" si="110"/>
        <v/>
      </c>
      <c r="R88" s="61" t="str">
        <f t="shared" si="28"/>
        <v/>
      </c>
      <c r="S88" s="56" t="str">
        <f t="shared" si="111"/>
        <v/>
      </c>
      <c r="T88" s="62" t="str">
        <f t="shared" si="112"/>
        <v/>
      </c>
      <c r="U88" s="63" t="str">
        <f t="shared" si="113"/>
        <v/>
      </c>
      <c r="V88" s="64" t="str">
        <f t="shared" si="114"/>
        <v/>
      </c>
      <c r="W88" s="65" t="str">
        <f t="shared" si="115"/>
        <v/>
      </c>
      <c r="X88" s="64" t="str">
        <f t="shared" si="116"/>
        <v/>
      </c>
      <c r="Y88" s="64" t="str">
        <f t="shared" si="117"/>
        <v/>
      </c>
      <c r="Z88" s="56" t="str">
        <f t="shared" si="118"/>
        <v/>
      </c>
      <c r="AA88" s="66" t="str">
        <f t="shared" si="119"/>
        <v/>
      </c>
      <c r="AB88" s="57" t="str">
        <f t="shared" si="120"/>
        <v/>
      </c>
      <c r="AC88" s="67" t="str">
        <f t="shared" si="121"/>
        <v/>
      </c>
      <c r="AD88" s="59" t="str">
        <f t="shared" si="122"/>
        <v/>
      </c>
      <c r="AE88" s="68" t="str">
        <f t="shared" si="123"/>
        <v/>
      </c>
      <c r="AF88" s="61" t="str">
        <f t="shared" si="124"/>
        <v/>
      </c>
      <c r="AG88" s="61" t="str">
        <f t="shared" si="125"/>
        <v/>
      </c>
      <c r="AH88" s="69" t="str">
        <f t="shared" si="126"/>
        <v/>
      </c>
      <c r="AI88" s="70" t="str">
        <f t="shared" si="127"/>
        <v/>
      </c>
      <c r="AJ88" s="64" t="str">
        <f t="shared" si="128"/>
        <v/>
      </c>
      <c r="AK88" s="64" t="str">
        <f t="shared" si="129"/>
        <v/>
      </c>
      <c r="AL88" s="64" t="str">
        <f t="shared" si="130"/>
        <v/>
      </c>
      <c r="AM88" s="64" t="str">
        <f t="shared" si="131"/>
        <v/>
      </c>
      <c r="AN88" s="64" t="str">
        <f t="shared" si="132"/>
        <v/>
      </c>
    </row>
    <row r="89" spans="1:40" ht="25.5"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106"/>
        <v/>
      </c>
      <c r="N89" s="57" t="str">
        <f t="shared" si="107"/>
        <v/>
      </c>
      <c r="O89" s="58" t="str">
        <f t="shared" si="108"/>
        <v/>
      </c>
      <c r="P89" s="59" t="str">
        <f t="shared" si="109"/>
        <v/>
      </c>
      <c r="Q89" s="60" t="str">
        <f t="shared" si="110"/>
        <v/>
      </c>
      <c r="R89" s="61" t="str">
        <f t="shared" si="28"/>
        <v/>
      </c>
      <c r="S89" s="56" t="str">
        <f t="shared" si="111"/>
        <v/>
      </c>
      <c r="T89" s="62" t="str">
        <f t="shared" si="112"/>
        <v/>
      </c>
      <c r="U89" s="63" t="str">
        <f t="shared" si="113"/>
        <v/>
      </c>
      <c r="V89" s="64" t="str">
        <f t="shared" si="114"/>
        <v/>
      </c>
      <c r="W89" s="65" t="str">
        <f t="shared" si="115"/>
        <v/>
      </c>
      <c r="X89" s="64" t="str">
        <f t="shared" si="116"/>
        <v/>
      </c>
      <c r="Y89" s="64" t="str">
        <f t="shared" si="117"/>
        <v/>
      </c>
      <c r="Z89" s="56" t="str">
        <f t="shared" si="118"/>
        <v/>
      </c>
      <c r="AA89" s="66" t="str">
        <f t="shared" si="119"/>
        <v/>
      </c>
      <c r="AB89" s="57" t="str">
        <f t="shared" si="120"/>
        <v/>
      </c>
      <c r="AC89" s="67" t="str">
        <f t="shared" si="121"/>
        <v/>
      </c>
      <c r="AD89" s="59" t="str">
        <f t="shared" si="122"/>
        <v/>
      </c>
      <c r="AE89" s="68" t="str">
        <f t="shared" si="123"/>
        <v/>
      </c>
      <c r="AF89" s="61" t="str">
        <f t="shared" si="124"/>
        <v/>
      </c>
      <c r="AG89" s="61" t="str">
        <f t="shared" si="125"/>
        <v/>
      </c>
      <c r="AH89" s="69" t="str">
        <f t="shared" si="126"/>
        <v/>
      </c>
      <c r="AI89" s="70" t="str">
        <f t="shared" si="127"/>
        <v/>
      </c>
      <c r="AJ89" s="64" t="str">
        <f t="shared" si="128"/>
        <v/>
      </c>
      <c r="AK89" s="64" t="str">
        <f t="shared" si="129"/>
        <v/>
      </c>
      <c r="AL89" s="64" t="str">
        <f t="shared" si="130"/>
        <v/>
      </c>
      <c r="AM89" s="64" t="str">
        <f t="shared" si="131"/>
        <v/>
      </c>
      <c r="AN89" s="64" t="str">
        <f t="shared" si="132"/>
        <v/>
      </c>
    </row>
    <row r="90" spans="1:40" ht="25.5"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106"/>
        <v/>
      </c>
      <c r="N90" s="57" t="str">
        <f t="shared" si="107"/>
        <v/>
      </c>
      <c r="O90" s="58" t="str">
        <f t="shared" si="108"/>
        <v/>
      </c>
      <c r="P90" s="59" t="str">
        <f t="shared" si="109"/>
        <v/>
      </c>
      <c r="Q90" s="60" t="str">
        <f t="shared" si="110"/>
        <v/>
      </c>
      <c r="R90" s="61" t="str">
        <f t="shared" si="28"/>
        <v/>
      </c>
      <c r="S90" s="56" t="str">
        <f t="shared" si="111"/>
        <v/>
      </c>
      <c r="T90" s="62" t="str">
        <f t="shared" si="112"/>
        <v/>
      </c>
      <c r="U90" s="63" t="str">
        <f t="shared" si="113"/>
        <v/>
      </c>
      <c r="V90" s="64" t="str">
        <f t="shared" si="114"/>
        <v/>
      </c>
      <c r="W90" s="65" t="str">
        <f t="shared" si="115"/>
        <v/>
      </c>
      <c r="X90" s="64" t="str">
        <f t="shared" si="116"/>
        <v/>
      </c>
      <c r="Y90" s="64" t="str">
        <f t="shared" si="117"/>
        <v/>
      </c>
      <c r="Z90" s="56" t="str">
        <f t="shared" si="118"/>
        <v/>
      </c>
      <c r="AA90" s="66" t="str">
        <f t="shared" si="119"/>
        <v/>
      </c>
      <c r="AB90" s="57" t="str">
        <f t="shared" si="120"/>
        <v/>
      </c>
      <c r="AC90" s="67" t="str">
        <f t="shared" si="121"/>
        <v/>
      </c>
      <c r="AD90" s="59" t="str">
        <f t="shared" si="122"/>
        <v/>
      </c>
      <c r="AE90" s="68" t="str">
        <f t="shared" si="123"/>
        <v/>
      </c>
      <c r="AF90" s="61" t="str">
        <f t="shared" si="124"/>
        <v/>
      </c>
      <c r="AG90" s="61" t="str">
        <f t="shared" si="125"/>
        <v/>
      </c>
      <c r="AH90" s="69" t="str">
        <f t="shared" si="126"/>
        <v/>
      </c>
      <c r="AI90" s="70" t="str">
        <f t="shared" si="127"/>
        <v/>
      </c>
      <c r="AJ90" s="64" t="str">
        <f t="shared" si="128"/>
        <v/>
      </c>
      <c r="AK90" s="64" t="str">
        <f t="shared" si="129"/>
        <v/>
      </c>
      <c r="AL90" s="64" t="str">
        <f t="shared" si="130"/>
        <v/>
      </c>
      <c r="AM90" s="64" t="str">
        <f t="shared" si="131"/>
        <v/>
      </c>
      <c r="AN90" s="64" t="str">
        <f t="shared" si="132"/>
        <v/>
      </c>
    </row>
    <row r="91" spans="1:40" ht="27.75" thickTop="1" thickBot="1" x14ac:dyDescent="0.4">
      <c r="A91" s="73"/>
      <c r="B91" s="73"/>
      <c r="C91" s="73"/>
      <c r="D91" s="74"/>
      <c r="E91" s="74"/>
      <c r="F91" s="74"/>
      <c r="G91" s="74"/>
      <c r="H91" s="74"/>
      <c r="I91" s="74"/>
      <c r="J91" s="74"/>
      <c r="K91" s="74"/>
      <c r="L91" s="75" t="s">
        <v>993</v>
      </c>
      <c r="M91" s="56"/>
      <c r="N91" s="57"/>
      <c r="O91" s="58"/>
      <c r="P91" s="59"/>
      <c r="Q91" s="60"/>
      <c r="R91" s="61" t="str">
        <f t="shared" si="28"/>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4">
      <c r="A92" s="95"/>
      <c r="B92" s="95"/>
      <c r="C92" s="95"/>
      <c r="D92" s="95"/>
      <c r="E92" s="95"/>
      <c r="F92" s="95"/>
      <c r="G92" s="95"/>
      <c r="H92" s="95"/>
      <c r="I92" s="95"/>
      <c r="J92" s="95"/>
      <c r="K92" s="95"/>
      <c r="L92" s="99" t="str">
        <f>_xlfn.CONCAT("]}, // ULTIMA LINEA DEL CANTO: ",L1)</f>
        <v>]}, // ULTIMA LINEA DEL CANTO: ID Y ANUNCIAD A MIS HERMANOS</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93</v>
      </c>
      <c r="E1" s="40"/>
      <c r="F1" s="40"/>
      <c r="G1" s="40"/>
      <c r="H1" s="40"/>
      <c r="I1" s="40"/>
      <c r="J1" s="40"/>
      <c r="K1" s="40"/>
      <c r="L1" s="41" t="str">
        <f ca="1">UPPER(VLOOKUP(C1,Table223[],3,FALSE))</f>
        <v>IMPROPERIOS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IMPROPERIOS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improperios</v>
      </c>
      <c r="L7" s="48" t="str">
        <f ca="1">_xlfn.CONCAT("        id: ","""",C7,"""",",")</f>
        <v xml:space="preserve">        id: "improperios",</v>
      </c>
    </row>
    <row r="8" spans="2:32" ht="23.25" x14ac:dyDescent="0.25">
      <c r="C8" t="str">
        <f ca="1">PROPER(L1)</f>
        <v>Improperios</v>
      </c>
      <c r="L8" s="48" t="str">
        <f ca="1">_xlfn.CONCAT("        tt: ","""",C8,"""",",")</f>
        <v xml:space="preserve">        tt: "Improperios",</v>
      </c>
    </row>
    <row r="9" spans="2:32" ht="23.25" x14ac:dyDescent="0.25">
      <c r="C9" t="str">
        <f ca="1">PROPER(L1)</f>
        <v>Improperios</v>
      </c>
      <c r="L9" s="48" t="str">
        <f ca="1">_xlfn.CONCAT("        title: ","""",C9,"""",",")</f>
        <v xml:space="preserve">        title: "Improperios",</v>
      </c>
    </row>
    <row r="10" spans="2:32" ht="23.25" x14ac:dyDescent="0.25">
      <c r="C10" t="str">
        <f ca="1">VLOOKUP(C1,Table223[],4,FALSE)</f>
        <v>Adoración de la santa Cruz el Viernes santo</v>
      </c>
      <c r="L10" s="48" t="str">
        <f ca="1">_xlfn.CONCAT("        ","subtitle: ","""",C10,"""",",")</f>
        <v xml:space="preserve">        subtitle: "Adoración de la santa Cruz el Viernes santo",</v>
      </c>
    </row>
    <row r="11" spans="2:32" ht="23.25" x14ac:dyDescent="0.25">
      <c r="C11" t="str">
        <f ca="1">_xlfn.CONCAT("category: [",VLOOKUP(C1,Table223[],16,FALSE),"],")</f>
        <v>category: ["Precatecumenado","Cuaresma","Penitencial","Fracción Del Pan"],</v>
      </c>
      <c r="L11" s="48" t="str">
        <f ca="1">_xlfn.CONCAT("        ",C11)</f>
        <v xml:space="preserve">        category: ["Precatecumenado","Cuaresma","Penitencial","Fracción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93</v>
      </c>
      <c r="L16" s="48" t="str">
        <f ca="1">_xlfn.CONCAT("        dbno: ","""",C16,"""",",")</f>
        <v xml:space="preserve">        dbno: "93",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improperios</v>
      </c>
      <c r="L19" s="48" t="str">
        <f ca="1">_xlfn.CONCAT("        audioSrc: ","""/audio/",C19,".mp3""",",")</f>
        <v xml:space="preserve">        audioSrc: "/audio/improperios.mp3",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92</v>
      </c>
      <c r="C26" t="str">
        <f ca="1">VLOOKUP(B26,Table4[],13,FALSE)</f>
        <v>"/resucito/src/index.html?canto=idyanunciadamishermanos"</v>
      </c>
      <c r="L26" s="48" t="str">
        <f ca="1">_xlfn.CONCAT("        ant: ",C26,",")</f>
        <v xml:space="preserve">        ant: "/resucito/src/index.html?canto=idyanunciadamishermanos",</v>
      </c>
    </row>
    <row r="27" spans="1:40" ht="23.25" x14ac:dyDescent="0.25">
      <c r="B27">
        <f ca="1">+C1+1</f>
        <v>94</v>
      </c>
      <c r="C27" t="str">
        <f ca="1">VLOOKUP(B27,Table4[],13,FALSE)</f>
        <v>"/resucito/src/index.html?canto=jerusalenreconstruida"</v>
      </c>
      <c r="L27" s="48" t="str">
        <f ca="1">_xlfn.CONCAT("        sig: ",C27,",")</f>
        <v xml:space="preserve">        sig: "/resucito/src/index.html?canto=jerusalenreconstruida",</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IMPROPERIOS</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code</vt:lpstr>
      <vt:lpstr>Indice</vt:lpstr>
      <vt:lpstr>Index</vt:lpstr>
      <vt:lpstr>Index Web</vt:lpstr>
      <vt:lpstr>cantosJS</vt:lpstr>
      <vt:lpstr>Find</vt:lpstr>
      <vt:lpstr>html</vt:lpstr>
      <vt:lpstr>ID Y ANUNCIAD A MIS HERMANOS</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2025-08-26T20:46:55Z</dcterms:modified>
</cp:coreProperties>
</file>