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2B7795C-C741-4B58-9059-BCFE50D2BED9}" xr6:coauthVersionLast="47" xr6:coauthVersionMax="47" xr10:uidLastSave="{00000000-0000-0000-0000-000000000000}"/>
  <bookViews>
    <workbookView xWindow="-110" yWindow="-110" windowWidth="25820" windowHeight="15500" tabRatio="693" firstSheet="1" activeTab="8" xr2:uid="{0D11F155-520B-4420-B62A-CF367B912470}"/>
  </bookViews>
  <sheets>
    <sheet name="code" sheetId="14" r:id="rId1"/>
    <sheet name="Indice" sheetId="6" r:id="rId2"/>
    <sheet name="Index" sheetId="1" r:id="rId3"/>
    <sheet name="Index Web" sheetId="3" r:id="rId4"/>
    <sheet name="cantosJS" sheetId="2" r:id="rId5"/>
    <sheet name="Find" sheetId="5" r:id="rId6"/>
    <sheet name="QUÉ ESTUPENDO, QUÉ ALEGRÍA " sheetId="103" r:id="rId7"/>
    <sheet name="html" sheetId="8" r:id="rId8"/>
    <sheet name="MARIA, MADRE MÍA (2)" sheetId="104" r:id="rId9"/>
    <sheet name="MARIA, MADRE MÍA" sheetId="7" r:id="rId10"/>
    <sheet name="boceto" sheetId="36" state="hidden" r:id="rId11"/>
  </sheets>
  <functionGroups builtInGroupCount="19"/>
  <externalReferences>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3" i="104" l="1"/>
  <c r="AI53" i="104"/>
  <c r="AN53" i="104" s="1"/>
  <c r="AH53" i="104"/>
  <c r="AD53" i="104"/>
  <c r="AB53" i="104"/>
  <c r="AG53" i="104" s="1"/>
  <c r="AA53" i="104"/>
  <c r="W53" i="104"/>
  <c r="U53" i="104"/>
  <c r="Z53" i="104" s="1"/>
  <c r="T53" i="104"/>
  <c r="P53" i="104"/>
  <c r="N53" i="104"/>
  <c r="S53" i="104" s="1"/>
  <c r="M53" i="104"/>
  <c r="AK52" i="104"/>
  <c r="AI52" i="104"/>
  <c r="AJ52" i="104" s="1"/>
  <c r="AH52" i="104"/>
  <c r="AD52" i="104"/>
  <c r="AB52" i="104"/>
  <c r="AF52" i="104" s="1"/>
  <c r="AA52" i="104"/>
  <c r="W52" i="104"/>
  <c r="U52" i="104"/>
  <c r="Z52" i="104" s="1"/>
  <c r="T52" i="104"/>
  <c r="P52" i="104"/>
  <c r="N52" i="104"/>
  <c r="S52" i="104" s="1"/>
  <c r="M52" i="104"/>
  <c r="AK51" i="104"/>
  <c r="AI51" i="104"/>
  <c r="AH51" i="104" s="1"/>
  <c r="AD51" i="104"/>
  <c r="AB51" i="104"/>
  <c r="AC51" i="104" s="1"/>
  <c r="AA51" i="104"/>
  <c r="W51" i="104"/>
  <c r="U51" i="104"/>
  <c r="V51" i="104" s="1"/>
  <c r="T51" i="104"/>
  <c r="P51" i="104"/>
  <c r="N51" i="104"/>
  <c r="O51" i="104" s="1"/>
  <c r="M51" i="104"/>
  <c r="AK50" i="104"/>
  <c r="AI50" i="104"/>
  <c r="AM50" i="104" s="1"/>
  <c r="AH50" i="104"/>
  <c r="AD50" i="104"/>
  <c r="AB50" i="104"/>
  <c r="AE50" i="104" s="1"/>
  <c r="AA50" i="104"/>
  <c r="W50" i="104"/>
  <c r="U50" i="104"/>
  <c r="Z50" i="104" s="1"/>
  <c r="P50" i="104"/>
  <c r="N50" i="104"/>
  <c r="S50" i="104" s="1"/>
  <c r="M50" i="104"/>
  <c r="R49" i="104"/>
  <c r="R44" i="104"/>
  <c r="AK43" i="104"/>
  <c r="AI43" i="104"/>
  <c r="AN43" i="104" s="1"/>
  <c r="AH43" i="104"/>
  <c r="AG43" i="104"/>
  <c r="AD43" i="104"/>
  <c r="AB43" i="104"/>
  <c r="AE43" i="104" s="1"/>
  <c r="AA43" i="104"/>
  <c r="W43" i="104"/>
  <c r="U43" i="104"/>
  <c r="Z43" i="104" s="1"/>
  <c r="T43" i="104"/>
  <c r="P43" i="104"/>
  <c r="N43" i="104"/>
  <c r="S43" i="104" s="1"/>
  <c r="M43" i="104"/>
  <c r="AK42" i="104"/>
  <c r="AI42" i="104"/>
  <c r="AJ42" i="104" s="1"/>
  <c r="AD42" i="104"/>
  <c r="AB42" i="104"/>
  <c r="AF42" i="104" s="1"/>
  <c r="AA42" i="104"/>
  <c r="W42" i="104"/>
  <c r="U42" i="104"/>
  <c r="V42" i="104" s="1"/>
  <c r="T42" i="104"/>
  <c r="P42" i="104"/>
  <c r="N42" i="104"/>
  <c r="Q42" i="104" s="1"/>
  <c r="M42" i="104"/>
  <c r="AK41" i="104"/>
  <c r="AI41" i="104"/>
  <c r="AH41" i="104" s="1"/>
  <c r="AD41" i="104"/>
  <c r="AB41" i="104"/>
  <c r="AF41" i="104" s="1"/>
  <c r="W41" i="104"/>
  <c r="U41" i="104"/>
  <c r="Y41" i="104" s="1"/>
  <c r="T41" i="104"/>
  <c r="P41" i="104"/>
  <c r="N41" i="104"/>
  <c r="S41" i="104" s="1"/>
  <c r="M41" i="104"/>
  <c r="AK40" i="104"/>
  <c r="AI40" i="104"/>
  <c r="AN40" i="104" s="1"/>
  <c r="AH40" i="104"/>
  <c r="AD40" i="104"/>
  <c r="AB40" i="104"/>
  <c r="AG40" i="104" s="1"/>
  <c r="AA40" i="104"/>
  <c r="W40" i="104"/>
  <c r="U40" i="104"/>
  <c r="V40" i="104" s="1"/>
  <c r="T40" i="104"/>
  <c r="P40" i="104"/>
  <c r="N40" i="104"/>
  <c r="O40" i="104" s="1"/>
  <c r="M40" i="104"/>
  <c r="R39" i="104"/>
  <c r="R103" i="104"/>
  <c r="AK102" i="104"/>
  <c r="AI102" i="104"/>
  <c r="AD102" i="104"/>
  <c r="AB102" i="104"/>
  <c r="AG102" i="104" s="1"/>
  <c r="W102" i="104"/>
  <c r="U102" i="104"/>
  <c r="Z102" i="104" s="1"/>
  <c r="P102" i="104"/>
  <c r="N102" i="104"/>
  <c r="M102" i="104" s="1"/>
  <c r="AK101" i="104"/>
  <c r="AI101" i="104"/>
  <c r="AD101" i="104"/>
  <c r="AB101" i="104"/>
  <c r="W101" i="104"/>
  <c r="U101" i="104"/>
  <c r="Z101" i="104" s="1"/>
  <c r="T101" i="104"/>
  <c r="P101" i="104"/>
  <c r="N101" i="104"/>
  <c r="Q101" i="104" s="1"/>
  <c r="M101" i="104"/>
  <c r="AK100" i="104"/>
  <c r="AI100" i="104"/>
  <c r="AH100" i="104" s="1"/>
  <c r="AD100" i="104"/>
  <c r="AB100" i="104"/>
  <c r="AF100" i="104" s="1"/>
  <c r="AA100" i="104"/>
  <c r="W100" i="104"/>
  <c r="U100" i="104"/>
  <c r="Y100" i="104" s="1"/>
  <c r="T100" i="104"/>
  <c r="P100" i="104"/>
  <c r="N100" i="104"/>
  <c r="M100" i="104"/>
  <c r="AK99" i="104"/>
  <c r="AI99" i="104"/>
  <c r="AL99" i="104" s="1"/>
  <c r="AD99" i="104"/>
  <c r="AB99" i="104"/>
  <c r="AF99" i="104" s="1"/>
  <c r="AA99" i="104"/>
  <c r="W99" i="104"/>
  <c r="U99" i="104"/>
  <c r="T99" i="104" s="1"/>
  <c r="P99" i="104"/>
  <c r="N99" i="104"/>
  <c r="O99" i="104" s="1"/>
  <c r="M99" i="104"/>
  <c r="AK98" i="104"/>
  <c r="AI98" i="104"/>
  <c r="AM98" i="104" s="1"/>
  <c r="AD98" i="104"/>
  <c r="AB98" i="104"/>
  <c r="AC98" i="104" s="1"/>
  <c r="AA98" i="104"/>
  <c r="W98" i="104"/>
  <c r="U98" i="104"/>
  <c r="Z98" i="104" s="1"/>
  <c r="T98" i="104"/>
  <c r="P98" i="104"/>
  <c r="N98" i="104"/>
  <c r="O98" i="104" s="1"/>
  <c r="M98" i="104"/>
  <c r="AK97" i="104"/>
  <c r="AI97" i="104"/>
  <c r="AM97" i="104" s="1"/>
  <c r="AH97" i="104"/>
  <c r="AD97" i="104"/>
  <c r="AB97" i="104"/>
  <c r="AF97" i="104" s="1"/>
  <c r="W97" i="104"/>
  <c r="U97" i="104"/>
  <c r="Z97" i="104" s="1"/>
  <c r="T97" i="104"/>
  <c r="P97" i="104"/>
  <c r="N97" i="104"/>
  <c r="M97" i="104" s="1"/>
  <c r="AK96" i="104"/>
  <c r="AI96" i="104"/>
  <c r="AJ96" i="104" s="1"/>
  <c r="AD96" i="104"/>
  <c r="AB96" i="104"/>
  <c r="AG96" i="104" s="1"/>
  <c r="W96" i="104"/>
  <c r="U96" i="104"/>
  <c r="T96" i="104" s="1"/>
  <c r="P96" i="104"/>
  <c r="N96" i="104"/>
  <c r="M96" i="104"/>
  <c r="AK95" i="104"/>
  <c r="AI95" i="104"/>
  <c r="AH95" i="104" s="1"/>
  <c r="AD95" i="104"/>
  <c r="AB95" i="104"/>
  <c r="W95" i="104"/>
  <c r="U95" i="104"/>
  <c r="T95" i="104" s="1"/>
  <c r="P95" i="104"/>
  <c r="N95" i="104"/>
  <c r="Q95" i="104" s="1"/>
  <c r="M95" i="104"/>
  <c r="R94" i="104"/>
  <c r="AK90" i="104"/>
  <c r="AI90" i="104"/>
  <c r="AD90" i="104"/>
  <c r="AB90" i="104"/>
  <c r="AE90" i="104" s="1"/>
  <c r="W90" i="104"/>
  <c r="U90" i="104"/>
  <c r="Y90" i="104" s="1"/>
  <c r="P90" i="104"/>
  <c r="N90" i="104"/>
  <c r="R90" i="104" s="1"/>
  <c r="M90" i="104"/>
  <c r="L90" i="104"/>
  <c r="AK89" i="104"/>
  <c r="AI89" i="104"/>
  <c r="AL89" i="104" s="1"/>
  <c r="AH89" i="104"/>
  <c r="AD89" i="104"/>
  <c r="AB89" i="104"/>
  <c r="AG89" i="104" s="1"/>
  <c r="AA89" i="104"/>
  <c r="W89" i="104"/>
  <c r="U89" i="104"/>
  <c r="X89" i="104" s="1"/>
  <c r="P89" i="104"/>
  <c r="N89" i="104"/>
  <c r="O89" i="104" s="1"/>
  <c r="M89" i="104"/>
  <c r="L89" i="104"/>
  <c r="AK88" i="104"/>
  <c r="AI88" i="104"/>
  <c r="AH88" i="104" s="1"/>
  <c r="AD88" i="104"/>
  <c r="AB88" i="104"/>
  <c r="AG88" i="104" s="1"/>
  <c r="AA88" i="104"/>
  <c r="W88" i="104"/>
  <c r="U88" i="104"/>
  <c r="Z88" i="104" s="1"/>
  <c r="T88" i="104"/>
  <c r="P88" i="104"/>
  <c r="N88" i="104"/>
  <c r="M88" i="104" s="1"/>
  <c r="L88" i="104"/>
  <c r="AK87" i="104"/>
  <c r="AI87" i="104"/>
  <c r="AH87" i="104"/>
  <c r="AD87" i="104"/>
  <c r="AB87" i="104"/>
  <c r="AG87" i="104" s="1"/>
  <c r="AA87" i="104"/>
  <c r="W87" i="104"/>
  <c r="U87" i="104"/>
  <c r="P87" i="104"/>
  <c r="N87" i="104"/>
  <c r="S87" i="104" s="1"/>
  <c r="M87" i="104"/>
  <c r="L87" i="104"/>
  <c r="AK86" i="104"/>
  <c r="AI86" i="104"/>
  <c r="AM86" i="104" s="1"/>
  <c r="AD86" i="104"/>
  <c r="AB86" i="104"/>
  <c r="W86" i="104"/>
  <c r="U86" i="104"/>
  <c r="V86" i="104" s="1"/>
  <c r="T86" i="104"/>
  <c r="P86" i="104"/>
  <c r="N86" i="104"/>
  <c r="R86" i="104" s="1"/>
  <c r="M86" i="104"/>
  <c r="L86" i="104"/>
  <c r="AK85" i="104"/>
  <c r="AI85" i="104"/>
  <c r="AH85" i="104" s="1"/>
  <c r="AD85" i="104"/>
  <c r="AB85" i="104"/>
  <c r="AF85" i="104" s="1"/>
  <c r="W85" i="104"/>
  <c r="U85" i="104"/>
  <c r="T85" i="104"/>
  <c r="P85" i="104"/>
  <c r="N85" i="104"/>
  <c r="S85" i="104" s="1"/>
  <c r="M85" i="104"/>
  <c r="L85" i="104"/>
  <c r="AK84" i="104"/>
  <c r="AI84" i="104"/>
  <c r="AD84" i="104"/>
  <c r="AB84" i="104"/>
  <c r="AF84" i="104" s="1"/>
  <c r="AA84" i="104"/>
  <c r="W84" i="104"/>
  <c r="U84" i="104"/>
  <c r="V84" i="104" s="1"/>
  <c r="T84" i="104"/>
  <c r="P84" i="104"/>
  <c r="N84" i="104"/>
  <c r="M84" i="104" s="1"/>
  <c r="L84" i="104"/>
  <c r="AK83" i="104"/>
  <c r="AI83" i="104"/>
  <c r="AH83" i="104"/>
  <c r="AD83" i="104"/>
  <c r="AB83" i="104"/>
  <c r="AA83" i="104"/>
  <c r="W83" i="104"/>
  <c r="U83" i="104"/>
  <c r="Z83" i="104" s="1"/>
  <c r="P83" i="104"/>
  <c r="N83" i="104"/>
  <c r="R83" i="104" s="1"/>
  <c r="L83" i="104"/>
  <c r="AK82" i="104"/>
  <c r="AI82" i="104"/>
  <c r="AH82" i="104"/>
  <c r="AD82" i="104"/>
  <c r="AB82" i="104"/>
  <c r="AA82" i="104"/>
  <c r="W82" i="104"/>
  <c r="U82" i="104"/>
  <c r="Z82" i="104" s="1"/>
  <c r="P82" i="104"/>
  <c r="N82" i="104"/>
  <c r="O82" i="104" s="1"/>
  <c r="M82" i="104"/>
  <c r="L82" i="104"/>
  <c r="AK81" i="104"/>
  <c r="AI81" i="104"/>
  <c r="AH81" i="104"/>
  <c r="AD81" i="104"/>
  <c r="AB81" i="104"/>
  <c r="W81" i="104"/>
  <c r="U81" i="104"/>
  <c r="T81" i="104"/>
  <c r="P81" i="104"/>
  <c r="N81" i="104"/>
  <c r="M81" i="104"/>
  <c r="L81" i="104"/>
  <c r="AK80" i="104"/>
  <c r="AI80" i="104"/>
  <c r="AH80" i="104" s="1"/>
  <c r="AD80" i="104"/>
  <c r="AB80" i="104"/>
  <c r="AC80" i="104" s="1"/>
  <c r="AA80" i="104"/>
  <c r="W80" i="104"/>
  <c r="U80" i="104"/>
  <c r="T80" i="104" s="1"/>
  <c r="P80" i="104"/>
  <c r="N80" i="104"/>
  <c r="M80" i="104"/>
  <c r="L80" i="104"/>
  <c r="AK79" i="104"/>
  <c r="AI79" i="104"/>
  <c r="AM79" i="104" s="1"/>
  <c r="AD79" i="104"/>
  <c r="AB79" i="104"/>
  <c r="AA79" i="104" s="1"/>
  <c r="W79" i="104"/>
  <c r="U79" i="104"/>
  <c r="T79" i="104"/>
  <c r="P79" i="104"/>
  <c r="N79" i="104"/>
  <c r="S79" i="104" s="1"/>
  <c r="L79" i="104"/>
  <c r="AK78" i="104"/>
  <c r="AI78" i="104"/>
  <c r="AH78" i="104"/>
  <c r="AD78" i="104"/>
  <c r="AB78" i="104"/>
  <c r="AC78" i="104" s="1"/>
  <c r="AA78" i="104"/>
  <c r="W78" i="104"/>
  <c r="U78" i="104"/>
  <c r="Y78" i="104" s="1"/>
  <c r="T78" i="104"/>
  <c r="P78" i="104"/>
  <c r="N78" i="104"/>
  <c r="M78" i="104" s="1"/>
  <c r="L78" i="104"/>
  <c r="AK77" i="104"/>
  <c r="AI77" i="104"/>
  <c r="AH77" i="104" s="1"/>
  <c r="AD77" i="104"/>
  <c r="AB77" i="104"/>
  <c r="AC77" i="104" s="1"/>
  <c r="W77" i="104"/>
  <c r="U77" i="104"/>
  <c r="V77" i="104" s="1"/>
  <c r="T77" i="104"/>
  <c r="P77" i="104"/>
  <c r="N77" i="104"/>
  <c r="O77" i="104" s="1"/>
  <c r="M77" i="104"/>
  <c r="L77" i="104"/>
  <c r="AK76" i="104"/>
  <c r="AI76" i="104"/>
  <c r="AN76" i="104" s="1"/>
  <c r="AH76" i="104"/>
  <c r="AD76" i="104"/>
  <c r="AB76" i="104"/>
  <c r="W76" i="104"/>
  <c r="U76" i="104"/>
  <c r="T76" i="104" s="1"/>
  <c r="P76" i="104"/>
  <c r="N76" i="104"/>
  <c r="O76" i="104" s="1"/>
  <c r="M76" i="104"/>
  <c r="L76" i="104"/>
  <c r="AK75" i="104"/>
  <c r="AI75" i="104"/>
  <c r="AJ75" i="104" s="1"/>
  <c r="AH75" i="104"/>
  <c r="AD75" i="104"/>
  <c r="AB75" i="104"/>
  <c r="W75" i="104"/>
  <c r="U75" i="104"/>
  <c r="X75" i="104" s="1"/>
  <c r="P75" i="104"/>
  <c r="N75" i="104"/>
  <c r="M75" i="104"/>
  <c r="L75" i="104"/>
  <c r="AK74" i="104"/>
  <c r="AI74" i="104"/>
  <c r="AN74" i="104" s="1"/>
  <c r="AD74" i="104"/>
  <c r="AB74" i="104"/>
  <c r="AA74" i="104" s="1"/>
  <c r="W74" i="104"/>
  <c r="U74" i="104"/>
  <c r="V74" i="104" s="1"/>
  <c r="T74" i="104"/>
  <c r="P74" i="104"/>
  <c r="N74" i="104"/>
  <c r="L74" i="104"/>
  <c r="AK73" i="104"/>
  <c r="AI73" i="104"/>
  <c r="AH73" i="104" s="1"/>
  <c r="AD73" i="104"/>
  <c r="AB73" i="104"/>
  <c r="AG73" i="104" s="1"/>
  <c r="W73" i="104"/>
  <c r="U73" i="104"/>
  <c r="Z73" i="104" s="1"/>
  <c r="T73" i="104"/>
  <c r="P73" i="104"/>
  <c r="N73" i="104"/>
  <c r="R73" i="104" s="1"/>
  <c r="M73" i="104"/>
  <c r="L73" i="104"/>
  <c r="AK72" i="104"/>
  <c r="AI72" i="104"/>
  <c r="AN72" i="104" s="1"/>
  <c r="AH72" i="104"/>
  <c r="AD72" i="104"/>
  <c r="AB72" i="104"/>
  <c r="W72" i="104"/>
  <c r="U72" i="104"/>
  <c r="V72" i="104" s="1"/>
  <c r="T72" i="104"/>
  <c r="P72" i="104"/>
  <c r="N72" i="104"/>
  <c r="S72" i="104" s="1"/>
  <c r="L72" i="104"/>
  <c r="AK71" i="104"/>
  <c r="AI71" i="104"/>
  <c r="AN71" i="104" s="1"/>
  <c r="AH71" i="104"/>
  <c r="AD71" i="104"/>
  <c r="AB71" i="104"/>
  <c r="AA71" i="104" s="1"/>
  <c r="W71" i="104"/>
  <c r="U71" i="104"/>
  <c r="T71" i="104"/>
  <c r="P71" i="104"/>
  <c r="N71" i="104"/>
  <c r="M71" i="104"/>
  <c r="L71" i="104"/>
  <c r="AK70" i="104"/>
  <c r="AI70" i="104"/>
  <c r="AM70" i="104" s="1"/>
  <c r="AH70" i="104"/>
  <c r="AD70" i="104"/>
  <c r="AB70" i="104"/>
  <c r="AF70" i="104" s="1"/>
  <c r="AA70" i="104"/>
  <c r="W70" i="104"/>
  <c r="U70" i="104"/>
  <c r="Y70" i="104" s="1"/>
  <c r="T70" i="104"/>
  <c r="P70" i="104"/>
  <c r="N70" i="104"/>
  <c r="O70" i="104" s="1"/>
  <c r="M70" i="104"/>
  <c r="L70" i="104"/>
  <c r="AK69" i="104"/>
  <c r="AI69" i="104"/>
  <c r="AL69" i="104" s="1"/>
  <c r="AD69" i="104"/>
  <c r="AB69" i="104"/>
  <c r="AA69" i="104" s="1"/>
  <c r="W69" i="104"/>
  <c r="U69" i="104"/>
  <c r="Z69" i="104" s="1"/>
  <c r="T69" i="104"/>
  <c r="P69" i="104"/>
  <c r="N69" i="104"/>
  <c r="M69" i="104"/>
  <c r="L69" i="104"/>
  <c r="AK68" i="104"/>
  <c r="AI68" i="104"/>
  <c r="AL68" i="104" s="1"/>
  <c r="AD68" i="104"/>
  <c r="AB68" i="104"/>
  <c r="AE68" i="104" s="1"/>
  <c r="AA68" i="104"/>
  <c r="W68" i="104"/>
  <c r="U68" i="104"/>
  <c r="X68" i="104" s="1"/>
  <c r="T68" i="104"/>
  <c r="P68" i="104"/>
  <c r="N68" i="104"/>
  <c r="M68" i="104"/>
  <c r="L68" i="104"/>
  <c r="AK67" i="104"/>
  <c r="AI67" i="104"/>
  <c r="AN67" i="104" s="1"/>
  <c r="AH67" i="104"/>
  <c r="AD67" i="104"/>
  <c r="AB67" i="104"/>
  <c r="AA67" i="104"/>
  <c r="W67" i="104"/>
  <c r="U67" i="104"/>
  <c r="T67" i="104" s="1"/>
  <c r="R67" i="104"/>
  <c r="P67" i="104"/>
  <c r="N67" i="104"/>
  <c r="Q67" i="104" s="1"/>
  <c r="L67" i="104"/>
  <c r="AK66" i="104"/>
  <c r="AI66" i="104"/>
  <c r="AM66" i="104" s="1"/>
  <c r="AH66" i="104"/>
  <c r="AD66" i="104"/>
  <c r="AB66" i="104"/>
  <c r="AG66" i="104" s="1"/>
  <c r="AA66" i="104"/>
  <c r="W66" i="104"/>
  <c r="U66" i="104"/>
  <c r="X66" i="104" s="1"/>
  <c r="P66" i="104"/>
  <c r="N66" i="104"/>
  <c r="L66" i="104"/>
  <c r="AK65" i="104"/>
  <c r="AI65" i="104"/>
  <c r="AM65" i="104" s="1"/>
  <c r="AH65" i="104"/>
  <c r="AD65" i="104"/>
  <c r="AB65" i="104"/>
  <c r="AA65" i="104"/>
  <c r="W65" i="104"/>
  <c r="U65" i="104"/>
  <c r="Z65" i="104" s="1"/>
  <c r="P65" i="104"/>
  <c r="N65" i="104"/>
  <c r="Q65" i="104" s="1"/>
  <c r="L65" i="104"/>
  <c r="AK64" i="104"/>
  <c r="AI64" i="104"/>
  <c r="AJ64" i="104" s="1"/>
  <c r="AH64" i="104"/>
  <c r="AD64" i="104"/>
  <c r="AB64" i="104"/>
  <c r="AC64" i="104" s="1"/>
  <c r="AA64" i="104"/>
  <c r="W64" i="104"/>
  <c r="U64" i="104"/>
  <c r="T64" i="104"/>
  <c r="P64" i="104"/>
  <c r="N64" i="104"/>
  <c r="R64" i="104" s="1"/>
  <c r="M64" i="104"/>
  <c r="L64" i="104"/>
  <c r="AK63" i="104"/>
  <c r="AI63" i="104"/>
  <c r="AH63" i="104"/>
  <c r="AD63" i="104"/>
  <c r="AB63" i="104"/>
  <c r="AG63" i="104" s="1"/>
  <c r="AA63" i="104"/>
  <c r="W63" i="104"/>
  <c r="U63" i="104"/>
  <c r="V63" i="104" s="1"/>
  <c r="T63" i="104"/>
  <c r="P63" i="104"/>
  <c r="N63" i="104"/>
  <c r="Q63" i="104" s="1"/>
  <c r="M63" i="104"/>
  <c r="L63" i="104"/>
  <c r="AK62" i="104"/>
  <c r="AI62" i="104"/>
  <c r="AH62" i="104" s="1"/>
  <c r="AD62" i="104"/>
  <c r="AB62" i="104"/>
  <c r="AC62" i="104" s="1"/>
  <c r="AA62" i="104"/>
  <c r="W62" i="104"/>
  <c r="U62" i="104"/>
  <c r="T62" i="104" s="1"/>
  <c r="P62" i="104"/>
  <c r="N62" i="104"/>
  <c r="O62" i="104" s="1"/>
  <c r="M62" i="104"/>
  <c r="L62" i="104"/>
  <c r="AK61" i="104"/>
  <c r="AI61" i="104"/>
  <c r="AJ61" i="104" s="1"/>
  <c r="AH61" i="104"/>
  <c r="AD61" i="104"/>
  <c r="AB61" i="104"/>
  <c r="AA61" i="104" s="1"/>
  <c r="W61" i="104"/>
  <c r="U61" i="104"/>
  <c r="T61" i="104"/>
  <c r="P61" i="104"/>
  <c r="N61" i="104"/>
  <c r="M61" i="104"/>
  <c r="L61" i="104"/>
  <c r="AK60" i="104"/>
  <c r="AI60" i="104"/>
  <c r="AH60" i="104" s="1"/>
  <c r="AD60" i="104"/>
  <c r="AB60" i="104"/>
  <c r="AC60" i="104" s="1"/>
  <c r="AA60" i="104"/>
  <c r="W60" i="104"/>
  <c r="U60" i="104"/>
  <c r="Z60" i="104" s="1"/>
  <c r="P60" i="104"/>
  <c r="N60" i="104"/>
  <c r="L60" i="104"/>
  <c r="AK59" i="104"/>
  <c r="AI59" i="104"/>
  <c r="AN59" i="104" s="1"/>
  <c r="AH59" i="104"/>
  <c r="AD59" i="104"/>
  <c r="AB59" i="104"/>
  <c r="AG59" i="104" s="1"/>
  <c r="W59" i="104"/>
  <c r="U59" i="104"/>
  <c r="T59" i="104" s="1"/>
  <c r="P59" i="104"/>
  <c r="N59" i="104"/>
  <c r="M59" i="104"/>
  <c r="L59" i="104"/>
  <c r="AK58" i="104"/>
  <c r="AI58" i="104"/>
  <c r="AD58" i="104"/>
  <c r="AB58" i="104"/>
  <c r="AE58" i="104" s="1"/>
  <c r="AA58" i="104"/>
  <c r="W58" i="104"/>
  <c r="U58" i="104"/>
  <c r="Y58" i="104" s="1"/>
  <c r="T58" i="104"/>
  <c r="P58" i="104"/>
  <c r="N58" i="104"/>
  <c r="R58" i="104" s="1"/>
  <c r="M58" i="104"/>
  <c r="L58" i="104"/>
  <c r="AK57" i="104"/>
  <c r="AI57" i="104"/>
  <c r="AJ57" i="104" s="1"/>
  <c r="AH57" i="104"/>
  <c r="AD57" i="104"/>
  <c r="AB57" i="104"/>
  <c r="AC57" i="104" s="1"/>
  <c r="AA57" i="104"/>
  <c r="W57" i="104"/>
  <c r="U57" i="104"/>
  <c r="Z57" i="104" s="1"/>
  <c r="T57" i="104"/>
  <c r="P57" i="104"/>
  <c r="N57" i="104"/>
  <c r="M57" i="104"/>
  <c r="L57" i="104"/>
  <c r="AK56" i="104"/>
  <c r="AI56" i="104"/>
  <c r="AH56" i="104"/>
  <c r="AD56" i="104"/>
  <c r="AB56" i="104"/>
  <c r="AE56" i="104" s="1"/>
  <c r="AA56" i="104"/>
  <c r="W56" i="104"/>
  <c r="U56" i="104"/>
  <c r="Z56" i="104" s="1"/>
  <c r="P56" i="104"/>
  <c r="N56" i="104"/>
  <c r="S56" i="104" s="1"/>
  <c r="M56" i="104"/>
  <c r="L56" i="104"/>
  <c r="AK55" i="104"/>
  <c r="AI55" i="104"/>
  <c r="AD55" i="104"/>
  <c r="AB55" i="104"/>
  <c r="AC55" i="104" s="1"/>
  <c r="AA55" i="104"/>
  <c r="W55" i="104"/>
  <c r="U55" i="104"/>
  <c r="Z55" i="104" s="1"/>
  <c r="T55" i="104"/>
  <c r="P55" i="104"/>
  <c r="N55" i="104"/>
  <c r="R55" i="104" s="1"/>
  <c r="M55" i="104"/>
  <c r="L55" i="104"/>
  <c r="R54" i="104"/>
  <c r="AK48" i="104"/>
  <c r="AI48" i="104"/>
  <c r="AJ48" i="104" s="1"/>
  <c r="AH48" i="104"/>
  <c r="AD48" i="104"/>
  <c r="AB48" i="104"/>
  <c r="W48" i="104"/>
  <c r="U48" i="104"/>
  <c r="T48" i="104" s="1"/>
  <c r="P48" i="104"/>
  <c r="N48" i="104"/>
  <c r="R48" i="104" s="1"/>
  <c r="M48" i="104"/>
  <c r="AK47" i="104"/>
  <c r="AI47" i="104"/>
  <c r="AN47" i="104" s="1"/>
  <c r="AH47" i="104"/>
  <c r="AD47" i="104"/>
  <c r="AB47" i="104"/>
  <c r="AG47" i="104" s="1"/>
  <c r="AA47" i="104"/>
  <c r="W47" i="104"/>
  <c r="U47" i="104"/>
  <c r="X47" i="104" s="1"/>
  <c r="T47" i="104"/>
  <c r="P47" i="104"/>
  <c r="N47" i="104"/>
  <c r="R47" i="104" s="1"/>
  <c r="AK46" i="104"/>
  <c r="AI46" i="104"/>
  <c r="AL46" i="104" s="1"/>
  <c r="AH46" i="104"/>
  <c r="AD46" i="104"/>
  <c r="AB46" i="104"/>
  <c r="AA46" i="104"/>
  <c r="W46" i="104"/>
  <c r="U46" i="104"/>
  <c r="Z46" i="104" s="1"/>
  <c r="T46" i="104"/>
  <c r="P46" i="104"/>
  <c r="N46" i="104"/>
  <c r="M46" i="104" s="1"/>
  <c r="AK45" i="104"/>
  <c r="AI45" i="104"/>
  <c r="AD45" i="104"/>
  <c r="AB45" i="104"/>
  <c r="AG45" i="104" s="1"/>
  <c r="W45" i="104"/>
  <c r="U45" i="104"/>
  <c r="T45" i="104" s="1"/>
  <c r="P45" i="104"/>
  <c r="N45" i="104"/>
  <c r="O45" i="104" s="1"/>
  <c r="M45" i="104"/>
  <c r="AK38" i="104"/>
  <c r="AI38" i="104"/>
  <c r="AJ38" i="104" s="1"/>
  <c r="AH38" i="104"/>
  <c r="AD38" i="104"/>
  <c r="AB38" i="104"/>
  <c r="AC38" i="104" s="1"/>
  <c r="AA38" i="104"/>
  <c r="W38" i="104"/>
  <c r="U38" i="104"/>
  <c r="V38" i="104" s="1"/>
  <c r="P38" i="104"/>
  <c r="N38" i="104"/>
  <c r="R38" i="104" s="1"/>
  <c r="AK37" i="104"/>
  <c r="AI37" i="104"/>
  <c r="AL37" i="104" s="1"/>
  <c r="AH37" i="104"/>
  <c r="AD37" i="104"/>
  <c r="AB37" i="104"/>
  <c r="AG37" i="104" s="1"/>
  <c r="W37" i="104"/>
  <c r="U37" i="104"/>
  <c r="Y37" i="104" s="1"/>
  <c r="T37" i="104"/>
  <c r="P37" i="104"/>
  <c r="N37" i="104"/>
  <c r="Q37" i="104" s="1"/>
  <c r="M37" i="104"/>
  <c r="AK36" i="104"/>
  <c r="AI36" i="104"/>
  <c r="AL36" i="104" s="1"/>
  <c r="AD36" i="104"/>
  <c r="AB36" i="104"/>
  <c r="AA36" i="104" s="1"/>
  <c r="W36" i="104"/>
  <c r="U36" i="104"/>
  <c r="V36" i="104" s="1"/>
  <c r="T36" i="104"/>
  <c r="P36" i="104"/>
  <c r="N36" i="104"/>
  <c r="O36" i="104" s="1"/>
  <c r="M36" i="104"/>
  <c r="AK35" i="104"/>
  <c r="AI35" i="104"/>
  <c r="AJ35" i="104" s="1"/>
  <c r="AH35" i="104"/>
  <c r="AD35" i="104"/>
  <c r="AB35" i="104"/>
  <c r="AF35" i="104" s="1"/>
  <c r="AA35" i="104"/>
  <c r="W35" i="104"/>
  <c r="U35" i="104"/>
  <c r="T35" i="104"/>
  <c r="P35" i="104"/>
  <c r="N35" i="104"/>
  <c r="M35" i="104" s="1"/>
  <c r="AK33" i="104"/>
  <c r="AI33" i="104"/>
  <c r="AN33" i="104" s="1"/>
  <c r="AD33" i="104"/>
  <c r="AB33" i="104"/>
  <c r="AG33" i="104" s="1"/>
  <c r="AA33" i="104"/>
  <c r="W33" i="104"/>
  <c r="U33" i="104"/>
  <c r="Y33" i="104" s="1"/>
  <c r="T33" i="104"/>
  <c r="P33" i="104"/>
  <c r="N33" i="104"/>
  <c r="Q33" i="104" s="1"/>
  <c r="M33" i="104"/>
  <c r="AK32" i="104"/>
  <c r="AI32" i="104"/>
  <c r="AM32" i="104" s="1"/>
  <c r="AH32" i="104"/>
  <c r="AD32" i="104"/>
  <c r="AB32" i="104"/>
  <c r="AG32" i="104" s="1"/>
  <c r="AA32" i="104"/>
  <c r="W32" i="104"/>
  <c r="U32" i="104"/>
  <c r="X32" i="104" s="1"/>
  <c r="P32" i="104"/>
  <c r="N32" i="104"/>
  <c r="S32" i="104" s="1"/>
  <c r="AK31" i="104"/>
  <c r="AI31" i="104"/>
  <c r="AH31" i="104"/>
  <c r="AD31" i="104"/>
  <c r="AB31" i="104"/>
  <c r="AF31" i="104" s="1"/>
  <c r="AA31" i="104"/>
  <c r="W31" i="104"/>
  <c r="U31" i="104"/>
  <c r="Z31" i="104" s="1"/>
  <c r="T31" i="104"/>
  <c r="P31" i="104"/>
  <c r="N31" i="104"/>
  <c r="M31" i="104" s="1"/>
  <c r="AK30" i="104"/>
  <c r="AI30" i="104"/>
  <c r="AN30" i="104" s="1"/>
  <c r="AH30" i="104"/>
  <c r="AD30" i="104"/>
  <c r="AB30" i="104"/>
  <c r="AA30" i="104"/>
  <c r="W30" i="104"/>
  <c r="U30" i="104"/>
  <c r="X30" i="104" s="1"/>
  <c r="T30" i="104"/>
  <c r="P30" i="104"/>
  <c r="N30" i="104"/>
  <c r="S30" i="104" s="1"/>
  <c r="M30" i="104"/>
  <c r="R34" i="104"/>
  <c r="L18" i="104"/>
  <c r="L17" i="104"/>
  <c r="L15" i="104"/>
  <c r="L14" i="104"/>
  <c r="L13" i="104"/>
  <c r="AK58" i="103"/>
  <c r="AI58" i="103"/>
  <c r="AH58" i="103" s="1"/>
  <c r="AD58" i="103"/>
  <c r="AB58" i="103"/>
  <c r="AA58" i="103"/>
  <c r="W58" i="103"/>
  <c r="U58" i="103"/>
  <c r="T58" i="103" s="1"/>
  <c r="P58" i="103"/>
  <c r="N58" i="103"/>
  <c r="M58" i="103" s="1"/>
  <c r="AK57" i="103"/>
  <c r="AI57" i="103"/>
  <c r="AH57" i="103"/>
  <c r="AD57" i="103"/>
  <c r="AB57" i="103"/>
  <c r="AA57" i="103"/>
  <c r="W57" i="103"/>
  <c r="U57" i="103"/>
  <c r="T57" i="103" s="1"/>
  <c r="P57" i="103"/>
  <c r="N57" i="103"/>
  <c r="M57" i="103"/>
  <c r="AK56" i="103"/>
  <c r="AI56" i="103"/>
  <c r="AH56" i="103"/>
  <c r="AD56" i="103"/>
  <c r="AB56" i="103"/>
  <c r="AA56" i="103"/>
  <c r="W56" i="103"/>
  <c r="U56" i="103"/>
  <c r="T56" i="103"/>
  <c r="P56" i="103"/>
  <c r="N56" i="103"/>
  <c r="M56" i="103" s="1"/>
  <c r="R55" i="103"/>
  <c r="R50" i="103"/>
  <c r="AK49" i="103"/>
  <c r="AI49" i="103"/>
  <c r="AH49" i="103" s="1"/>
  <c r="AD49" i="103"/>
  <c r="AB49" i="103"/>
  <c r="AA49" i="103"/>
  <c r="W49" i="103"/>
  <c r="U49" i="103"/>
  <c r="T49" i="103" s="1"/>
  <c r="P49" i="103"/>
  <c r="N49" i="103"/>
  <c r="M49" i="103"/>
  <c r="AK48" i="103"/>
  <c r="AI48" i="103"/>
  <c r="AH48" i="103" s="1"/>
  <c r="AD48" i="103"/>
  <c r="AB48" i="103"/>
  <c r="AA48" i="103"/>
  <c r="W48" i="103"/>
  <c r="U48" i="103"/>
  <c r="T48" i="103"/>
  <c r="P48" i="103"/>
  <c r="N48" i="103"/>
  <c r="M48" i="103"/>
  <c r="AK47" i="103"/>
  <c r="AI47" i="103"/>
  <c r="AH47" i="103"/>
  <c r="AD47" i="103"/>
  <c r="AB47" i="103"/>
  <c r="AA47" i="103"/>
  <c r="W47" i="103"/>
  <c r="U47" i="103"/>
  <c r="T47" i="103" s="1"/>
  <c r="P47" i="103"/>
  <c r="N47" i="103"/>
  <c r="M47" i="103" s="1"/>
  <c r="R46" i="103"/>
  <c r="R41" i="103"/>
  <c r="AK40" i="103"/>
  <c r="AI40" i="103"/>
  <c r="AD40" i="103"/>
  <c r="AB40" i="103"/>
  <c r="AA40" i="103" s="1"/>
  <c r="W40" i="103"/>
  <c r="U40" i="103"/>
  <c r="T40" i="103"/>
  <c r="P40" i="103"/>
  <c r="N40" i="103"/>
  <c r="AK39" i="103"/>
  <c r="AI39" i="103"/>
  <c r="AH39" i="103" s="1"/>
  <c r="AD39" i="103"/>
  <c r="AB39" i="103"/>
  <c r="W39" i="103"/>
  <c r="U39" i="103"/>
  <c r="P39" i="103"/>
  <c r="N39" i="103"/>
  <c r="AK38" i="103"/>
  <c r="AI38" i="103"/>
  <c r="AD38" i="103"/>
  <c r="AB38" i="103"/>
  <c r="W38" i="103"/>
  <c r="U38" i="103"/>
  <c r="P38" i="103"/>
  <c r="N38" i="103"/>
  <c r="R37" i="103"/>
  <c r="R108" i="103"/>
  <c r="AK107" i="103"/>
  <c r="AI107" i="103"/>
  <c r="AH107" i="103" s="1"/>
  <c r="AD107" i="103"/>
  <c r="AB107" i="103"/>
  <c r="AA107" i="103" s="1"/>
  <c r="W107" i="103"/>
  <c r="U107" i="103"/>
  <c r="T107" i="103"/>
  <c r="P107" i="103"/>
  <c r="N107" i="103"/>
  <c r="S107" i="103" s="1"/>
  <c r="AK106" i="103"/>
  <c r="AI106" i="103"/>
  <c r="AH106" i="103" s="1"/>
  <c r="AD106" i="103"/>
  <c r="AB106" i="103"/>
  <c r="AA106" i="103" s="1"/>
  <c r="W106" i="103"/>
  <c r="U106" i="103"/>
  <c r="P106" i="103"/>
  <c r="N106" i="103"/>
  <c r="AK105" i="103"/>
  <c r="AI105" i="103"/>
  <c r="AH105" i="103" s="1"/>
  <c r="AD105" i="103"/>
  <c r="AB105" i="103"/>
  <c r="W105" i="103"/>
  <c r="U105" i="103"/>
  <c r="T105" i="103" s="1"/>
  <c r="P105" i="103"/>
  <c r="N105" i="103"/>
  <c r="AK104" i="103"/>
  <c r="AI104" i="103"/>
  <c r="AD104" i="103"/>
  <c r="AB104" i="103"/>
  <c r="W104" i="103"/>
  <c r="U104" i="103"/>
  <c r="P104" i="103"/>
  <c r="N104" i="103"/>
  <c r="AK103" i="103"/>
  <c r="AI103" i="103"/>
  <c r="AD103" i="103"/>
  <c r="AB103" i="103"/>
  <c r="W103" i="103"/>
  <c r="U103" i="103"/>
  <c r="T103" i="103" s="1"/>
  <c r="P103" i="103"/>
  <c r="N103" i="103"/>
  <c r="S103" i="103" s="1"/>
  <c r="AK102" i="103"/>
  <c r="AI102" i="103"/>
  <c r="AD102" i="103"/>
  <c r="AB102" i="103"/>
  <c r="W102" i="103"/>
  <c r="U102" i="103"/>
  <c r="P102" i="103"/>
  <c r="N102" i="103"/>
  <c r="AK101" i="103"/>
  <c r="AI101" i="103"/>
  <c r="AD101" i="103"/>
  <c r="AB101" i="103"/>
  <c r="W101" i="103"/>
  <c r="U101" i="103"/>
  <c r="P101" i="103"/>
  <c r="N101" i="103"/>
  <c r="AK100" i="103"/>
  <c r="AI100" i="103"/>
  <c r="AH100" i="103" s="1"/>
  <c r="AD100" i="103"/>
  <c r="AB100" i="103"/>
  <c r="W100" i="103"/>
  <c r="U100" i="103"/>
  <c r="T100" i="103" s="1"/>
  <c r="P100" i="103"/>
  <c r="N100" i="103"/>
  <c r="O100" i="103" s="1"/>
  <c r="R99" i="103"/>
  <c r="AK95" i="103"/>
  <c r="AI95" i="103"/>
  <c r="AD95" i="103"/>
  <c r="AB95" i="103"/>
  <c r="W95" i="103"/>
  <c r="U95" i="103"/>
  <c r="P95" i="103"/>
  <c r="N95" i="103"/>
  <c r="L95" i="103"/>
  <c r="AK94" i="103"/>
  <c r="AI94" i="103"/>
  <c r="AD94" i="103"/>
  <c r="AB94" i="103"/>
  <c r="W94" i="103"/>
  <c r="U94" i="103"/>
  <c r="P94" i="103"/>
  <c r="N94" i="103"/>
  <c r="L94" i="103"/>
  <c r="AK93" i="103"/>
  <c r="AI93" i="103"/>
  <c r="AD93" i="103"/>
  <c r="AB93" i="103"/>
  <c r="W93" i="103"/>
  <c r="U93" i="103"/>
  <c r="P93" i="103"/>
  <c r="N93" i="103"/>
  <c r="L93" i="103"/>
  <c r="AK92" i="103"/>
  <c r="AI92" i="103"/>
  <c r="AD92" i="103"/>
  <c r="AB92" i="103"/>
  <c r="W92" i="103"/>
  <c r="U92" i="103"/>
  <c r="P92" i="103"/>
  <c r="N92" i="103"/>
  <c r="L92" i="103"/>
  <c r="AK91" i="103"/>
  <c r="AI91" i="103"/>
  <c r="AD91" i="103"/>
  <c r="AB91" i="103"/>
  <c r="W91" i="103"/>
  <c r="U91" i="103"/>
  <c r="P91" i="103"/>
  <c r="N91" i="103"/>
  <c r="L91" i="103"/>
  <c r="AK90" i="103"/>
  <c r="AI90" i="103"/>
  <c r="AD90" i="103"/>
  <c r="AB90" i="103"/>
  <c r="W90" i="103"/>
  <c r="U90" i="103"/>
  <c r="P90" i="103"/>
  <c r="N90" i="103"/>
  <c r="L90" i="103"/>
  <c r="AK89" i="103"/>
  <c r="AI89" i="103"/>
  <c r="AD89" i="103"/>
  <c r="AB89" i="103"/>
  <c r="W89" i="103"/>
  <c r="U89" i="103"/>
  <c r="P89" i="103"/>
  <c r="N89" i="103"/>
  <c r="M89" i="103" s="1"/>
  <c r="L89" i="103"/>
  <c r="AK88" i="103"/>
  <c r="AI88" i="103"/>
  <c r="AH88" i="103" s="1"/>
  <c r="AD88" i="103"/>
  <c r="AB88" i="103"/>
  <c r="AA88" i="103" s="1"/>
  <c r="W88" i="103"/>
  <c r="U88" i="103"/>
  <c r="T88" i="103" s="1"/>
  <c r="P88" i="103"/>
  <c r="N88" i="103"/>
  <c r="M88" i="103" s="1"/>
  <c r="L88" i="103"/>
  <c r="AK87" i="103"/>
  <c r="AI87" i="103"/>
  <c r="AH87" i="103" s="1"/>
  <c r="AD87" i="103"/>
  <c r="AB87" i="103"/>
  <c r="AA87" i="103" s="1"/>
  <c r="W87" i="103"/>
  <c r="U87" i="103"/>
  <c r="T87" i="103" s="1"/>
  <c r="P87" i="103"/>
  <c r="N87" i="103"/>
  <c r="M87" i="103" s="1"/>
  <c r="L87" i="103"/>
  <c r="AK86" i="103"/>
  <c r="AI86" i="103"/>
  <c r="AH86" i="103" s="1"/>
  <c r="AD86" i="103"/>
  <c r="AB86" i="103"/>
  <c r="AA86" i="103" s="1"/>
  <c r="W86" i="103"/>
  <c r="U86" i="103"/>
  <c r="T86" i="103" s="1"/>
  <c r="P86" i="103"/>
  <c r="N86" i="103"/>
  <c r="M86" i="103"/>
  <c r="L86" i="103"/>
  <c r="AK85" i="103"/>
  <c r="AI85" i="103"/>
  <c r="AH85" i="103" s="1"/>
  <c r="AD85" i="103"/>
  <c r="AB85" i="103"/>
  <c r="AA85" i="103"/>
  <c r="W85" i="103"/>
  <c r="U85" i="103"/>
  <c r="T85" i="103" s="1"/>
  <c r="P85" i="103"/>
  <c r="N85" i="103"/>
  <c r="M85" i="103" s="1"/>
  <c r="L85" i="103"/>
  <c r="AK84" i="103"/>
  <c r="AI84" i="103"/>
  <c r="AH84" i="103" s="1"/>
  <c r="AD84" i="103"/>
  <c r="AB84" i="103"/>
  <c r="AA84" i="103" s="1"/>
  <c r="W84" i="103"/>
  <c r="U84" i="103"/>
  <c r="T84" i="103" s="1"/>
  <c r="P84" i="103"/>
  <c r="N84" i="103"/>
  <c r="M84" i="103" s="1"/>
  <c r="L84" i="103"/>
  <c r="AK83" i="103"/>
  <c r="AI83" i="103"/>
  <c r="AH83" i="103" s="1"/>
  <c r="AD83" i="103"/>
  <c r="AB83" i="103"/>
  <c r="AA83" i="103" s="1"/>
  <c r="W83" i="103"/>
  <c r="U83" i="103"/>
  <c r="T83" i="103" s="1"/>
  <c r="P83" i="103"/>
  <c r="N83" i="103"/>
  <c r="M83" i="103" s="1"/>
  <c r="L83" i="103"/>
  <c r="AK82" i="103"/>
  <c r="AI82" i="103"/>
  <c r="AH82" i="103" s="1"/>
  <c r="AD82" i="103"/>
  <c r="AB82" i="103"/>
  <c r="AA82" i="103" s="1"/>
  <c r="W82" i="103"/>
  <c r="U82" i="103"/>
  <c r="T82" i="103" s="1"/>
  <c r="P82" i="103"/>
  <c r="N82" i="103"/>
  <c r="M82" i="103" s="1"/>
  <c r="L82" i="103"/>
  <c r="AK81" i="103"/>
  <c r="AI81" i="103"/>
  <c r="AH81" i="103" s="1"/>
  <c r="AD81" i="103"/>
  <c r="AB81" i="103"/>
  <c r="AA81" i="103" s="1"/>
  <c r="W81" i="103"/>
  <c r="U81" i="103"/>
  <c r="T81" i="103" s="1"/>
  <c r="P81" i="103"/>
  <c r="N81" i="103"/>
  <c r="M81" i="103" s="1"/>
  <c r="L81" i="103"/>
  <c r="AK80" i="103"/>
  <c r="AI80" i="103"/>
  <c r="AH80" i="103" s="1"/>
  <c r="AD80" i="103"/>
  <c r="AB80" i="103"/>
  <c r="AA80" i="103" s="1"/>
  <c r="W80" i="103"/>
  <c r="U80" i="103"/>
  <c r="T80" i="103" s="1"/>
  <c r="P80" i="103"/>
  <c r="N80" i="103"/>
  <c r="M80" i="103" s="1"/>
  <c r="L80" i="103"/>
  <c r="AK79" i="103"/>
  <c r="AI79" i="103"/>
  <c r="AH79" i="103" s="1"/>
  <c r="AD79" i="103"/>
  <c r="AB79" i="103"/>
  <c r="AA79" i="103" s="1"/>
  <c r="W79" i="103"/>
  <c r="U79" i="103"/>
  <c r="T79" i="103" s="1"/>
  <c r="P79" i="103"/>
  <c r="N79" i="103"/>
  <c r="M79" i="103" s="1"/>
  <c r="L79" i="103"/>
  <c r="AK78" i="103"/>
  <c r="AI78" i="103"/>
  <c r="AH78" i="103" s="1"/>
  <c r="AD78" i="103"/>
  <c r="AB78" i="103"/>
  <c r="W78" i="103"/>
  <c r="U78" i="103"/>
  <c r="P78" i="103"/>
  <c r="N78" i="103"/>
  <c r="L78" i="103"/>
  <c r="AK77" i="103"/>
  <c r="AI77" i="103"/>
  <c r="AD77" i="103"/>
  <c r="AB77" i="103"/>
  <c r="W77" i="103"/>
  <c r="U77" i="103"/>
  <c r="P77" i="103"/>
  <c r="N77" i="103"/>
  <c r="L77" i="103"/>
  <c r="AK76" i="103"/>
  <c r="AI76" i="103"/>
  <c r="AD76" i="103"/>
  <c r="AB76" i="103"/>
  <c r="W76" i="103"/>
  <c r="U76" i="103"/>
  <c r="P76" i="103"/>
  <c r="N76" i="103"/>
  <c r="M76" i="103" s="1"/>
  <c r="L76" i="103"/>
  <c r="AK75" i="103"/>
  <c r="AI75" i="103"/>
  <c r="AD75" i="103"/>
  <c r="AB75" i="103"/>
  <c r="AA75" i="103" s="1"/>
  <c r="W75" i="103"/>
  <c r="U75" i="103"/>
  <c r="P75" i="103"/>
  <c r="N75" i="103"/>
  <c r="L75" i="103"/>
  <c r="AK74" i="103"/>
  <c r="AI74" i="103"/>
  <c r="AD74" i="103"/>
  <c r="AB74" i="103"/>
  <c r="W74" i="103"/>
  <c r="U74" i="103"/>
  <c r="P74" i="103"/>
  <c r="N74" i="103"/>
  <c r="M74" i="103" s="1"/>
  <c r="L74" i="103"/>
  <c r="AK73" i="103"/>
  <c r="AI73" i="103"/>
  <c r="AH73" i="103" s="1"/>
  <c r="AD73" i="103"/>
  <c r="AB73" i="103"/>
  <c r="AA73" i="103" s="1"/>
  <c r="W73" i="103"/>
  <c r="U73" i="103"/>
  <c r="T73" i="103" s="1"/>
  <c r="P73" i="103"/>
  <c r="N73" i="103"/>
  <c r="M73" i="103" s="1"/>
  <c r="L73" i="103"/>
  <c r="AK72" i="103"/>
  <c r="AI72" i="103"/>
  <c r="AH72" i="103"/>
  <c r="AD72" i="103"/>
  <c r="AB72" i="103"/>
  <c r="AA72" i="103" s="1"/>
  <c r="W72" i="103"/>
  <c r="U72" i="103"/>
  <c r="T72" i="103" s="1"/>
  <c r="P72" i="103"/>
  <c r="N72" i="103"/>
  <c r="M72" i="103" s="1"/>
  <c r="L72" i="103"/>
  <c r="AK71" i="103"/>
  <c r="AI71" i="103"/>
  <c r="AH71" i="103" s="1"/>
  <c r="AD71" i="103"/>
  <c r="AB71" i="103"/>
  <c r="AA71" i="103" s="1"/>
  <c r="W71" i="103"/>
  <c r="U71" i="103"/>
  <c r="T71" i="103" s="1"/>
  <c r="P71" i="103"/>
  <c r="N71" i="103"/>
  <c r="M71" i="103" s="1"/>
  <c r="L71" i="103"/>
  <c r="AK70" i="103"/>
  <c r="AI70" i="103"/>
  <c r="AH70" i="103" s="1"/>
  <c r="AD70" i="103"/>
  <c r="AB70" i="103"/>
  <c r="AA70" i="103" s="1"/>
  <c r="W70" i="103"/>
  <c r="U70" i="103"/>
  <c r="T70" i="103" s="1"/>
  <c r="P70" i="103"/>
  <c r="N70" i="103"/>
  <c r="M70" i="103" s="1"/>
  <c r="L70" i="103"/>
  <c r="AK69" i="103"/>
  <c r="AI69" i="103"/>
  <c r="AH69" i="103" s="1"/>
  <c r="AD69" i="103"/>
  <c r="AB69" i="103"/>
  <c r="AA69" i="103" s="1"/>
  <c r="W69" i="103"/>
  <c r="U69" i="103"/>
  <c r="T69" i="103" s="1"/>
  <c r="P69" i="103"/>
  <c r="N69" i="103"/>
  <c r="M69" i="103" s="1"/>
  <c r="L69" i="103"/>
  <c r="AK68" i="103"/>
  <c r="AI68" i="103"/>
  <c r="AH68" i="103" s="1"/>
  <c r="AD68" i="103"/>
  <c r="AB68" i="103"/>
  <c r="AA68" i="103" s="1"/>
  <c r="W68" i="103"/>
  <c r="U68" i="103"/>
  <c r="T68" i="103" s="1"/>
  <c r="P68" i="103"/>
  <c r="N68" i="103"/>
  <c r="M68" i="103" s="1"/>
  <c r="L68" i="103"/>
  <c r="AK67" i="103"/>
  <c r="AI67" i="103"/>
  <c r="AH67" i="103" s="1"/>
  <c r="AD67" i="103"/>
  <c r="AB67" i="103"/>
  <c r="AA67" i="103" s="1"/>
  <c r="W67" i="103"/>
  <c r="U67" i="103"/>
  <c r="T67" i="103" s="1"/>
  <c r="P67" i="103"/>
  <c r="N67" i="103"/>
  <c r="M67" i="103" s="1"/>
  <c r="L67" i="103"/>
  <c r="AK66" i="103"/>
  <c r="AI66" i="103"/>
  <c r="AH66" i="103" s="1"/>
  <c r="AD66" i="103"/>
  <c r="AB66" i="103"/>
  <c r="AA66" i="103" s="1"/>
  <c r="W66" i="103"/>
  <c r="U66" i="103"/>
  <c r="T66" i="103" s="1"/>
  <c r="P66" i="103"/>
  <c r="N66" i="103"/>
  <c r="M66" i="103" s="1"/>
  <c r="L66" i="103"/>
  <c r="AK65" i="103"/>
  <c r="AI65" i="103"/>
  <c r="AH65" i="103" s="1"/>
  <c r="AD65" i="103"/>
  <c r="AB65" i="103"/>
  <c r="AA65" i="103" s="1"/>
  <c r="W65" i="103"/>
  <c r="U65" i="103"/>
  <c r="T65" i="103" s="1"/>
  <c r="P65" i="103"/>
  <c r="N65" i="103"/>
  <c r="M65" i="103" s="1"/>
  <c r="L65" i="103"/>
  <c r="AK64" i="103"/>
  <c r="AI64" i="103"/>
  <c r="AH64" i="103" s="1"/>
  <c r="AD64" i="103"/>
  <c r="AB64" i="103"/>
  <c r="AA64" i="103" s="1"/>
  <c r="W64" i="103"/>
  <c r="U64" i="103"/>
  <c r="T64" i="103" s="1"/>
  <c r="P64" i="103"/>
  <c r="N64" i="103"/>
  <c r="M64" i="103" s="1"/>
  <c r="L64" i="103"/>
  <c r="AK63" i="103"/>
  <c r="AI63" i="103"/>
  <c r="AH63" i="103" s="1"/>
  <c r="AD63" i="103"/>
  <c r="AB63" i="103"/>
  <c r="AF63" i="103" s="1"/>
  <c r="W63" i="103"/>
  <c r="U63" i="103"/>
  <c r="P63" i="103"/>
  <c r="N63" i="103"/>
  <c r="L63" i="103"/>
  <c r="AK62" i="103"/>
  <c r="AI62" i="103"/>
  <c r="AD62" i="103"/>
  <c r="AB62" i="103"/>
  <c r="W62" i="103"/>
  <c r="U62" i="103"/>
  <c r="T62" i="103" s="1"/>
  <c r="P62" i="103"/>
  <c r="N62" i="103"/>
  <c r="L62" i="103"/>
  <c r="AK61" i="103"/>
  <c r="AI61" i="103"/>
  <c r="AM61" i="103" s="1"/>
  <c r="AD61" i="103"/>
  <c r="AB61" i="103"/>
  <c r="W61" i="103"/>
  <c r="U61" i="103"/>
  <c r="P61" i="103"/>
  <c r="N61" i="103"/>
  <c r="L61" i="103"/>
  <c r="AK60" i="103"/>
  <c r="AI60" i="103"/>
  <c r="AD60" i="103"/>
  <c r="AB60" i="103"/>
  <c r="W60" i="103"/>
  <c r="U60" i="103"/>
  <c r="P60" i="103"/>
  <c r="N60" i="103"/>
  <c r="L60" i="103"/>
  <c r="R59" i="103"/>
  <c r="AK54" i="103"/>
  <c r="AI54" i="103"/>
  <c r="AH54" i="103" s="1"/>
  <c r="AD54" i="103"/>
  <c r="AB54" i="103"/>
  <c r="AA54" i="103" s="1"/>
  <c r="W54" i="103"/>
  <c r="U54" i="103"/>
  <c r="T54" i="103" s="1"/>
  <c r="P54" i="103"/>
  <c r="N54" i="103"/>
  <c r="M54" i="103" s="1"/>
  <c r="AK53" i="103"/>
  <c r="AI53" i="103"/>
  <c r="AH53" i="103" s="1"/>
  <c r="AD53" i="103"/>
  <c r="AB53" i="103"/>
  <c r="AA53" i="103" s="1"/>
  <c r="W53" i="103"/>
  <c r="U53" i="103"/>
  <c r="T53" i="103" s="1"/>
  <c r="P53" i="103"/>
  <c r="N53" i="103"/>
  <c r="M53" i="103" s="1"/>
  <c r="AK52" i="103"/>
  <c r="AI52" i="103"/>
  <c r="AH52" i="103" s="1"/>
  <c r="AD52" i="103"/>
  <c r="AB52" i="103"/>
  <c r="AA52" i="103" s="1"/>
  <c r="W52" i="103"/>
  <c r="U52" i="103"/>
  <c r="T52" i="103" s="1"/>
  <c r="P52" i="103"/>
  <c r="N52" i="103"/>
  <c r="M52" i="103" s="1"/>
  <c r="AK51" i="103"/>
  <c r="AI51" i="103"/>
  <c r="AH51" i="103" s="1"/>
  <c r="AD51" i="103"/>
  <c r="AB51" i="103"/>
  <c r="AA51" i="103" s="1"/>
  <c r="W51" i="103"/>
  <c r="U51" i="103"/>
  <c r="T51" i="103" s="1"/>
  <c r="P51" i="103"/>
  <c r="N51" i="103"/>
  <c r="M51" i="103" s="1"/>
  <c r="AK45" i="103"/>
  <c r="AI45" i="103"/>
  <c r="AH45" i="103"/>
  <c r="AD45" i="103"/>
  <c r="AB45" i="103"/>
  <c r="AA45" i="103" s="1"/>
  <c r="W45" i="103"/>
  <c r="U45" i="103"/>
  <c r="T45" i="103" s="1"/>
  <c r="P45" i="103"/>
  <c r="N45" i="103"/>
  <c r="AK44" i="103"/>
  <c r="AI44" i="103"/>
  <c r="AD44" i="103"/>
  <c r="AB44" i="103"/>
  <c r="AA44" i="103"/>
  <c r="W44" i="103"/>
  <c r="U44" i="103"/>
  <c r="P44" i="103"/>
  <c r="N44" i="103"/>
  <c r="AK43" i="103"/>
  <c r="AI43" i="103"/>
  <c r="AD43" i="103"/>
  <c r="AB43" i="103"/>
  <c r="W43" i="103"/>
  <c r="U43" i="103"/>
  <c r="P43" i="103"/>
  <c r="N43" i="103"/>
  <c r="AK42" i="103"/>
  <c r="AI42" i="103"/>
  <c r="AD42" i="103"/>
  <c r="AB42" i="103"/>
  <c r="W42" i="103"/>
  <c r="U42" i="103"/>
  <c r="P42" i="103"/>
  <c r="N42" i="103"/>
  <c r="AK36" i="103"/>
  <c r="AI36" i="103"/>
  <c r="AD36" i="103"/>
  <c r="AB36" i="103"/>
  <c r="W36" i="103"/>
  <c r="U36" i="103"/>
  <c r="P36" i="103"/>
  <c r="N36" i="103"/>
  <c r="Q36" i="103" s="1"/>
  <c r="AK35" i="103"/>
  <c r="AI35" i="103"/>
  <c r="AD35" i="103"/>
  <c r="AB35" i="103"/>
  <c r="W35" i="103"/>
  <c r="U35" i="103"/>
  <c r="T35" i="103" s="1"/>
  <c r="P35" i="103"/>
  <c r="N35" i="103"/>
  <c r="M35" i="103" s="1"/>
  <c r="AK34" i="103"/>
  <c r="AI34" i="103"/>
  <c r="AH34" i="103" s="1"/>
  <c r="AD34" i="103"/>
  <c r="AB34" i="103"/>
  <c r="AA34" i="103" s="1"/>
  <c r="W34" i="103"/>
  <c r="U34" i="103"/>
  <c r="T34" i="103" s="1"/>
  <c r="P34" i="103"/>
  <c r="N34" i="103"/>
  <c r="M34" i="103" s="1"/>
  <c r="AK33" i="103"/>
  <c r="AI33" i="103"/>
  <c r="AH33" i="103" s="1"/>
  <c r="AD33" i="103"/>
  <c r="AB33" i="103"/>
  <c r="AA33" i="103" s="1"/>
  <c r="W33" i="103"/>
  <c r="U33" i="103"/>
  <c r="T33" i="103" s="1"/>
  <c r="P33" i="103"/>
  <c r="N33" i="103"/>
  <c r="M33" i="103" s="1"/>
  <c r="AK31" i="103"/>
  <c r="AI31" i="103"/>
  <c r="AH31" i="103" s="1"/>
  <c r="AD31" i="103"/>
  <c r="AB31" i="103"/>
  <c r="AA31" i="103" s="1"/>
  <c r="W31" i="103"/>
  <c r="U31" i="103"/>
  <c r="T31" i="103" s="1"/>
  <c r="P31" i="103"/>
  <c r="N31" i="103"/>
  <c r="M31" i="103" s="1"/>
  <c r="AK30" i="103"/>
  <c r="AI30" i="103"/>
  <c r="AH30" i="103" s="1"/>
  <c r="AD30" i="103"/>
  <c r="AB30" i="103"/>
  <c r="AA30" i="103" s="1"/>
  <c r="W30" i="103"/>
  <c r="U30" i="103"/>
  <c r="T30" i="103" s="1"/>
  <c r="P30" i="103"/>
  <c r="N30" i="103"/>
  <c r="M30" i="103" s="1"/>
  <c r="R32" i="103"/>
  <c r="L18" i="103"/>
  <c r="L17" i="103"/>
  <c r="L15" i="103"/>
  <c r="L14" i="103"/>
  <c r="L13" i="103"/>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AK87" i="7"/>
  <c r="AI87" i="7"/>
  <c r="AD87" i="7"/>
  <c r="AB87" i="7"/>
  <c r="AA87" i="7"/>
  <c r="W87" i="7"/>
  <c r="U87" i="7"/>
  <c r="P87" i="7"/>
  <c r="N87" i="7"/>
  <c r="M87" i="7"/>
  <c r="L87" i="7"/>
  <c r="AK86" i="7"/>
  <c r="AI86" i="7"/>
  <c r="AD86" i="7"/>
  <c r="AB86" i="7"/>
  <c r="W86" i="7"/>
  <c r="U86" i="7"/>
  <c r="T86" i="7"/>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c r="L81" i="7"/>
  <c r="AK80" i="7"/>
  <c r="AI80" i="7"/>
  <c r="AH80" i="7"/>
  <c r="AD80" i="7"/>
  <c r="AB80" i="7"/>
  <c r="W80" i="7"/>
  <c r="U80" i="7"/>
  <c r="Z80" i="7" s="1"/>
  <c r="P80" i="7"/>
  <c r="N80" i="7"/>
  <c r="M80" i="7"/>
  <c r="L80" i="7"/>
  <c r="AK79" i="7"/>
  <c r="AI79" i="7"/>
  <c r="AN79" i="7" s="1"/>
  <c r="AH79" i="7"/>
  <c r="AD79" i="7"/>
  <c r="AB79" i="7"/>
  <c r="AA79" i="7"/>
  <c r="W79" i="7"/>
  <c r="U79" i="7"/>
  <c r="P79" i="7"/>
  <c r="N79" i="7"/>
  <c r="L79" i="7"/>
  <c r="R115" i="7"/>
  <c r="R106"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J73" i="7" s="1"/>
  <c r="AH73" i="7"/>
  <c r="AD73" i="7"/>
  <c r="AB73" i="7"/>
  <c r="AC73" i="7" s="1"/>
  <c r="W73" i="7"/>
  <c r="U73" i="7"/>
  <c r="X73" i="7" s="1"/>
  <c r="P73" i="7"/>
  <c r="N73" i="7"/>
  <c r="L73" i="7"/>
  <c r="AK72" i="7"/>
  <c r="AI72" i="7"/>
  <c r="AH72" i="7" s="1"/>
  <c r="AD72" i="7"/>
  <c r="AB72" i="7"/>
  <c r="AG72" i="7" s="1"/>
  <c r="AA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L39" i="7"/>
  <c r="AK38" i="7"/>
  <c r="AI38" i="7"/>
  <c r="AM38" i="7" s="1"/>
  <c r="AD38" i="7"/>
  <c r="AB38" i="7"/>
  <c r="AE38" i="7" s="1"/>
  <c r="W38" i="7"/>
  <c r="U38" i="7"/>
  <c r="T38" i="7" s="1"/>
  <c r="P38" i="7"/>
  <c r="N38" i="7"/>
  <c r="O38" i="7" s="1"/>
  <c r="L38" i="7"/>
  <c r="AK37" i="7"/>
  <c r="AI37" i="7"/>
  <c r="AJ37" i="7" s="1"/>
  <c r="AD37" i="7"/>
  <c r="AB37" i="7"/>
  <c r="AG37" i="7" s="1"/>
  <c r="W37" i="7"/>
  <c r="U37" i="7"/>
  <c r="T37" i="7" s="1"/>
  <c r="P37" i="7"/>
  <c r="N37" i="7"/>
  <c r="S37" i="7" s="1"/>
  <c r="L37" i="7"/>
  <c r="C1" i="104" a="1"/>
  <c r="AH98" i="104" l="1"/>
  <c r="T102" i="104"/>
  <c r="AH96" i="104"/>
  <c r="AH99" i="104"/>
  <c r="AN64" i="104"/>
  <c r="S65" i="104"/>
  <c r="X40" i="104"/>
  <c r="AC42" i="104"/>
  <c r="AE57" i="104"/>
  <c r="R65" i="104"/>
  <c r="AN85" i="104"/>
  <c r="S98" i="104"/>
  <c r="Z70" i="104"/>
  <c r="S78" i="104"/>
  <c r="AM72" i="104"/>
  <c r="AE55" i="104"/>
  <c r="AN100" i="104"/>
  <c r="AM52" i="104"/>
  <c r="AG50" i="104"/>
  <c r="AG70" i="104"/>
  <c r="AG42" i="104"/>
  <c r="Z38" i="104"/>
  <c r="AJ98" i="104"/>
  <c r="AF68" i="104"/>
  <c r="AN86" i="104"/>
  <c r="AC53" i="104"/>
  <c r="X51" i="104"/>
  <c r="AE53" i="104"/>
  <c r="AF53" i="104"/>
  <c r="AE69" i="104"/>
  <c r="AG62" i="104"/>
  <c r="Q98" i="104"/>
  <c r="Y75" i="104"/>
  <c r="R78" i="104"/>
  <c r="AL72" i="104"/>
  <c r="AL100" i="104"/>
  <c r="AE42" i="104"/>
  <c r="Z63" i="104"/>
  <c r="S58" i="104"/>
  <c r="AC68" i="104"/>
  <c r="AE78" i="104"/>
  <c r="AF40" i="104"/>
  <c r="AL42" i="104"/>
  <c r="AM42" i="104"/>
  <c r="AN42" i="104"/>
  <c r="Y51" i="104"/>
  <c r="Z51" i="104"/>
  <c r="T90" i="104"/>
  <c r="AA102" i="104"/>
  <c r="Z41" i="104"/>
  <c r="AN79" i="104"/>
  <c r="R98" i="104"/>
  <c r="AJ72" i="104"/>
  <c r="Q78" i="104"/>
  <c r="Y40" i="104"/>
  <c r="AM100" i="104"/>
  <c r="Z40" i="104"/>
  <c r="AL52" i="104"/>
  <c r="O58" i="104"/>
  <c r="AN80" i="104"/>
  <c r="AF50" i="104"/>
  <c r="AN52" i="104"/>
  <c r="AC40" i="104"/>
  <c r="AE40" i="104"/>
  <c r="AG68" i="104"/>
  <c r="AN98" i="104"/>
  <c r="AN61" i="104"/>
  <c r="S77" i="104"/>
  <c r="AH79" i="104"/>
  <c r="T82" i="104"/>
  <c r="AA41" i="104"/>
  <c r="AF43" i="104"/>
  <c r="AL47" i="104"/>
  <c r="AM47" i="104"/>
  <c r="AJ51" i="104"/>
  <c r="AM51" i="104"/>
  <c r="O53" i="104"/>
  <c r="Q53" i="104"/>
  <c r="O52" i="104"/>
  <c r="Q52" i="104"/>
  <c r="V53" i="104"/>
  <c r="Q51" i="104"/>
  <c r="O50" i="104"/>
  <c r="R51" i="104"/>
  <c r="X53" i="104"/>
  <c r="S51" i="104"/>
  <c r="Y53" i="104"/>
  <c r="Q50" i="104"/>
  <c r="R50" i="104"/>
  <c r="Y52" i="104"/>
  <c r="R53" i="104"/>
  <c r="R52" i="104"/>
  <c r="V52" i="104"/>
  <c r="X52" i="104"/>
  <c r="T50" i="104"/>
  <c r="AJ50" i="104"/>
  <c r="V50" i="104"/>
  <c r="AC52" i="104"/>
  <c r="AG52" i="104"/>
  <c r="AE51" i="104"/>
  <c r="AC50" i="104"/>
  <c r="AF51" i="104"/>
  <c r="AL53" i="104"/>
  <c r="AN50" i="104"/>
  <c r="AE52" i="104"/>
  <c r="AG51" i="104"/>
  <c r="AM53" i="104"/>
  <c r="AL51" i="104"/>
  <c r="AN51" i="104"/>
  <c r="AL50" i="104"/>
  <c r="X50" i="104"/>
  <c r="Y50" i="104"/>
  <c r="AJ53" i="104"/>
  <c r="AJ41" i="104"/>
  <c r="AJ40" i="104"/>
  <c r="R42" i="104"/>
  <c r="V43" i="104"/>
  <c r="X43" i="104"/>
  <c r="Y43" i="104"/>
  <c r="Q40" i="104"/>
  <c r="R40" i="104"/>
  <c r="X42" i="104"/>
  <c r="S40" i="104"/>
  <c r="V41" i="104"/>
  <c r="Y42" i="104"/>
  <c r="Z42" i="104"/>
  <c r="AC43" i="104"/>
  <c r="X41" i="104"/>
  <c r="AL41" i="104"/>
  <c r="O43" i="104"/>
  <c r="AM40" i="104"/>
  <c r="O42" i="104"/>
  <c r="S42" i="104"/>
  <c r="Q41" i="104"/>
  <c r="R41" i="104"/>
  <c r="AC41" i="104"/>
  <c r="AJ43" i="104"/>
  <c r="AE41" i="104"/>
  <c r="AH42" i="104"/>
  <c r="AM41" i="104"/>
  <c r="AN41" i="104"/>
  <c r="AL40" i="104"/>
  <c r="Q43" i="104"/>
  <c r="R43" i="104"/>
  <c r="O41" i="104"/>
  <c r="AG41" i="104"/>
  <c r="AL43" i="104"/>
  <c r="AM43" i="104"/>
  <c r="AC48" i="104"/>
  <c r="AF48" i="104"/>
  <c r="AG48" i="104"/>
  <c r="AA48" i="104"/>
  <c r="R46" i="104"/>
  <c r="AL58" i="104"/>
  <c r="AN58" i="104"/>
  <c r="AM58" i="104"/>
  <c r="AH58" i="104"/>
  <c r="AA72" i="104"/>
  <c r="AG72" i="104"/>
  <c r="AF72" i="104"/>
  <c r="AE72" i="104"/>
  <c r="AC72" i="104"/>
  <c r="S46" i="104"/>
  <c r="AE48" i="104"/>
  <c r="AJ58" i="104"/>
  <c r="AE63" i="104"/>
  <c r="V96" i="104"/>
  <c r="Y96" i="104"/>
  <c r="Z96" i="104"/>
  <c r="X96" i="104"/>
  <c r="O101" i="104"/>
  <c r="AN63" i="104"/>
  <c r="AM63" i="104"/>
  <c r="AL63" i="104"/>
  <c r="AC70" i="104"/>
  <c r="X77" i="104"/>
  <c r="AJ63" i="104"/>
  <c r="Y77" i="104"/>
  <c r="T87" i="104"/>
  <c r="Z87" i="104"/>
  <c r="Y87" i="104"/>
  <c r="AE70" i="104"/>
  <c r="Z77" i="104"/>
  <c r="AA77" i="104"/>
  <c r="AN84" i="104"/>
  <c r="AH84" i="104"/>
  <c r="X87" i="104"/>
  <c r="O72" i="104"/>
  <c r="M72" i="104"/>
  <c r="AE74" i="104"/>
  <c r="R89" i="104"/>
  <c r="Q46" i="104"/>
  <c r="AC75" i="104"/>
  <c r="AA75" i="104"/>
  <c r="Q62" i="104"/>
  <c r="AM68" i="104"/>
  <c r="Z64" i="104"/>
  <c r="Y64" i="104"/>
  <c r="X64" i="104"/>
  <c r="AN68" i="104"/>
  <c r="S62" i="104"/>
  <c r="V64" i="104"/>
  <c r="AL75" i="104"/>
  <c r="X97" i="104"/>
  <c r="Q102" i="104"/>
  <c r="S69" i="104"/>
  <c r="Q69" i="104"/>
  <c r="AM75" i="104"/>
  <c r="AE97" i="104"/>
  <c r="AG97" i="104"/>
  <c r="V81" i="104"/>
  <c r="Z81" i="104"/>
  <c r="Y81" i="104"/>
  <c r="X81" i="104"/>
  <c r="AG83" i="104"/>
  <c r="AF83" i="104"/>
  <c r="AE83" i="104"/>
  <c r="AC83" i="104"/>
  <c r="O68" i="104"/>
  <c r="Q68" i="104"/>
  <c r="S68" i="104"/>
  <c r="R68" i="104"/>
  <c r="S89" i="104"/>
  <c r="R60" i="104"/>
  <c r="Q60" i="104"/>
  <c r="AN75" i="104"/>
  <c r="R100" i="104"/>
  <c r="S100" i="104"/>
  <c r="T83" i="104"/>
  <c r="O100" i="104"/>
  <c r="R72" i="104"/>
  <c r="AJ31" i="104"/>
  <c r="AN31" i="104"/>
  <c r="Q89" i="104"/>
  <c r="Q72" i="104"/>
  <c r="O46" i="104"/>
  <c r="O57" i="104"/>
  <c r="S57" i="104"/>
  <c r="R57" i="104"/>
  <c r="Q57" i="104"/>
  <c r="R62" i="104"/>
  <c r="AN90" i="104"/>
  <c r="AH90" i="104"/>
  <c r="O74" i="104"/>
  <c r="S74" i="104"/>
  <c r="R74" i="104"/>
  <c r="Q74" i="104"/>
  <c r="S88" i="104"/>
  <c r="O88" i="104"/>
  <c r="R88" i="104"/>
  <c r="Q88" i="104"/>
  <c r="O60" i="104"/>
  <c r="Y71" i="104"/>
  <c r="V71" i="104"/>
  <c r="Z71" i="104"/>
  <c r="V83" i="104"/>
  <c r="AF67" i="104"/>
  <c r="AG67" i="104"/>
  <c r="AC67" i="104"/>
  <c r="M74" i="104"/>
  <c r="AE76" i="104"/>
  <c r="AG76" i="104"/>
  <c r="AF76" i="104"/>
  <c r="AJ70" i="104"/>
  <c r="AC99" i="104"/>
  <c r="AF56" i="104"/>
  <c r="X48" i="104"/>
  <c r="AG56" i="104"/>
  <c r="AN70" i="104"/>
  <c r="Q76" i="104"/>
  <c r="AJ85" i="104"/>
  <c r="AN95" i="104"/>
  <c r="AG99" i="104"/>
  <c r="Y48" i="104"/>
  <c r="AJ65" i="104"/>
  <c r="R76" i="104"/>
  <c r="Z48" i="104"/>
  <c r="AE62" i="104"/>
  <c r="S76" i="104"/>
  <c r="O78" i="104"/>
  <c r="AL85" i="104"/>
  <c r="AF62" i="104"/>
  <c r="AN65" i="104"/>
  <c r="AM85" i="104"/>
  <c r="O55" i="104"/>
  <c r="O86" i="104"/>
  <c r="Y66" i="104"/>
  <c r="AM74" i="104"/>
  <c r="V78" i="104"/>
  <c r="V102" i="104"/>
  <c r="O47" i="104"/>
  <c r="S55" i="104"/>
  <c r="Q86" i="104"/>
  <c r="S90" i="104"/>
  <c r="X78" i="104"/>
  <c r="X84" i="104"/>
  <c r="Q45" i="104"/>
  <c r="Z78" i="104"/>
  <c r="Z100" i="104"/>
  <c r="S45" i="104"/>
  <c r="S63" i="104"/>
  <c r="AG64" i="104"/>
  <c r="Z68" i="104"/>
  <c r="V59" i="104"/>
  <c r="AE80" i="104"/>
  <c r="Z90" i="104"/>
  <c r="AE98" i="104"/>
  <c r="Z66" i="104"/>
  <c r="V100" i="104"/>
  <c r="Y102" i="104"/>
  <c r="S47" i="104"/>
  <c r="R63" i="104"/>
  <c r="Y68" i="104"/>
  <c r="AL76" i="104"/>
  <c r="V90" i="104"/>
  <c r="AJ71" i="104"/>
  <c r="AJ66" i="104"/>
  <c r="V70" i="104"/>
  <c r="AL71" i="104"/>
  <c r="V73" i="104"/>
  <c r="AC84" i="104"/>
  <c r="AA90" i="104"/>
  <c r="AL96" i="104"/>
  <c r="AF98" i="104"/>
  <c r="V98" i="104"/>
  <c r="O63" i="104"/>
  <c r="X82" i="104"/>
  <c r="S86" i="104"/>
  <c r="X102" i="104"/>
  <c r="Y84" i="104"/>
  <c r="X59" i="104"/>
  <c r="AM96" i="104"/>
  <c r="AG98" i="104"/>
  <c r="O90" i="104"/>
  <c r="AF96" i="104"/>
  <c r="Z84" i="104"/>
  <c r="AF55" i="104"/>
  <c r="AF57" i="104"/>
  <c r="Y59" i="104"/>
  <c r="AL61" i="104"/>
  <c r="X63" i="104"/>
  <c r="AL64" i="104"/>
  <c r="X70" i="104"/>
  <c r="X73" i="104"/>
  <c r="Z75" i="104"/>
  <c r="Q77" i="104"/>
  <c r="AF78" i="104"/>
  <c r="AL80" i="104"/>
  <c r="AG84" i="104"/>
  <c r="AN96" i="104"/>
  <c r="AJ100" i="104"/>
  <c r="R45" i="104"/>
  <c r="AM71" i="104"/>
  <c r="AF45" i="104"/>
  <c r="AG55" i="104"/>
  <c r="AG57" i="104"/>
  <c r="Z59" i="104"/>
  <c r="AM61" i="104"/>
  <c r="Y63" i="104"/>
  <c r="AM64" i="104"/>
  <c r="Y73" i="104"/>
  <c r="R77" i="104"/>
  <c r="AG78" i="104"/>
  <c r="AM80" i="104"/>
  <c r="AM36" i="104"/>
  <c r="AN36" i="104"/>
  <c r="AA37" i="104"/>
  <c r="AL38" i="104"/>
  <c r="AM38" i="104"/>
  <c r="AJ32" i="104"/>
  <c r="AN38" i="104"/>
  <c r="AN32" i="104"/>
  <c r="AL31" i="104"/>
  <c r="AM31" i="104"/>
  <c r="T38" i="104"/>
  <c r="M32" i="104"/>
  <c r="AG38" i="104"/>
  <c r="R30" i="104"/>
  <c r="Q35" i="104"/>
  <c r="R35" i="104"/>
  <c r="Y32" i="104"/>
  <c r="S35" i="104"/>
  <c r="V30" i="104"/>
  <c r="Z32" i="104"/>
  <c r="V37" i="104"/>
  <c r="AC35" i="104"/>
  <c r="Z37" i="104"/>
  <c r="AG35" i="104"/>
  <c r="Q36" i="104"/>
  <c r="V33" i="104"/>
  <c r="AC31" i="104"/>
  <c r="Z33" i="104"/>
  <c r="S38" i="104"/>
  <c r="X36" i="104"/>
  <c r="Z36" i="104"/>
  <c r="AE33" i="104"/>
  <c r="X38" i="104"/>
  <c r="Y36" i="104"/>
  <c r="AF33" i="104"/>
  <c r="Y38" i="104"/>
  <c r="C1" i="104"/>
  <c r="AC81" i="104"/>
  <c r="AG81" i="104"/>
  <c r="AF81" i="104"/>
  <c r="AE81" i="104"/>
  <c r="S75" i="104"/>
  <c r="R75" i="104"/>
  <c r="Q75" i="104"/>
  <c r="AM45" i="104"/>
  <c r="AL45" i="104"/>
  <c r="AH45" i="104"/>
  <c r="O75" i="104"/>
  <c r="V47" i="104"/>
  <c r="AJ67" i="104"/>
  <c r="AC32" i="104"/>
  <c r="AL84" i="104"/>
  <c r="AJ99" i="104"/>
  <c r="AG101" i="104"/>
  <c r="AE101" i="104"/>
  <c r="AC101" i="104"/>
  <c r="AA101" i="104"/>
  <c r="AF32" i="104"/>
  <c r="Z47" i="104"/>
  <c r="X69" i="104"/>
  <c r="X95" i="104"/>
  <c r="V31" i="104"/>
  <c r="Y95" i="104"/>
  <c r="AL101" i="104"/>
  <c r="AJ101" i="104"/>
  <c r="AH101" i="104"/>
  <c r="X31" i="104"/>
  <c r="AC47" i="104"/>
  <c r="Y56" i="104"/>
  <c r="AL57" i="104"/>
  <c r="AJ60" i="104"/>
  <c r="AC66" i="104"/>
  <c r="Q82" i="104"/>
  <c r="AN89" i="104"/>
  <c r="AE95" i="104"/>
  <c r="AC95" i="104"/>
  <c r="AA95" i="104"/>
  <c r="AG95" i="104"/>
  <c r="AF95" i="104"/>
  <c r="Q97" i="104"/>
  <c r="Y31" i="104"/>
  <c r="Y35" i="104"/>
  <c r="Z35" i="104"/>
  <c r="AM57" i="104"/>
  <c r="Z62" i="104"/>
  <c r="Y62" i="104"/>
  <c r="V62" i="104"/>
  <c r="X62" i="104"/>
  <c r="R82" i="104"/>
  <c r="R97" i="104"/>
  <c r="AM101" i="104"/>
  <c r="V35" i="104"/>
  <c r="AN57" i="104"/>
  <c r="AL60" i="104"/>
  <c r="AE66" i="104"/>
  <c r="R71" i="104"/>
  <c r="S71" i="104"/>
  <c r="Q71" i="104"/>
  <c r="S82" i="104"/>
  <c r="AN83" i="104"/>
  <c r="AM83" i="104"/>
  <c r="AL83" i="104"/>
  <c r="AC88" i="104"/>
  <c r="S97" i="104"/>
  <c r="AN101" i="104"/>
  <c r="AM60" i="104"/>
  <c r="AF66" i="104"/>
  <c r="O71" i="104"/>
  <c r="AJ78" i="104"/>
  <c r="AN78" i="104"/>
  <c r="AM78" i="104"/>
  <c r="AL78" i="104"/>
  <c r="AJ83" i="104"/>
  <c r="Z85" i="104"/>
  <c r="Y85" i="104"/>
  <c r="AJ95" i="104"/>
  <c r="O30" i="104"/>
  <c r="X35" i="104"/>
  <c r="X46" i="104"/>
  <c r="V46" i="104"/>
  <c r="AC56" i="104"/>
  <c r="AN60" i="104"/>
  <c r="AH69" i="104"/>
  <c r="AM69" i="104"/>
  <c r="AN69" i="104"/>
  <c r="V85" i="104"/>
  <c r="AE88" i="104"/>
  <c r="S33" i="104"/>
  <c r="R33" i="104"/>
  <c r="AE38" i="104"/>
  <c r="AJ47" i="104"/>
  <c r="AJ69" i="104"/>
  <c r="AJ80" i="104"/>
  <c r="AF88" i="104"/>
  <c r="AL95" i="104"/>
  <c r="S102" i="104"/>
  <c r="R102" i="104"/>
  <c r="Q30" i="104"/>
  <c r="O33" i="104"/>
  <c r="S37" i="104"/>
  <c r="R37" i="104"/>
  <c r="O37" i="104"/>
  <c r="AF38" i="104"/>
  <c r="Y46" i="104"/>
  <c r="AA59" i="104"/>
  <c r="T65" i="104"/>
  <c r="AN66" i="104"/>
  <c r="AL66" i="104"/>
  <c r="X85" i="104"/>
  <c r="V87" i="104"/>
  <c r="AM95" i="104"/>
  <c r="O102" i="104"/>
  <c r="Q31" i="104"/>
  <c r="AJ45" i="104"/>
  <c r="AG86" i="104"/>
  <c r="AF86" i="104"/>
  <c r="AE86" i="104"/>
  <c r="AC86" i="104"/>
  <c r="AA86" i="104"/>
  <c r="S59" i="104"/>
  <c r="Q59" i="104"/>
  <c r="X56" i="104"/>
  <c r="T56" i="104"/>
  <c r="O97" i="104"/>
  <c r="AM89" i="104"/>
  <c r="AG46" i="104"/>
  <c r="AF46" i="104"/>
  <c r="AJ62" i="104"/>
  <c r="AC100" i="104"/>
  <c r="V58" i="104"/>
  <c r="O64" i="104"/>
  <c r="AL33" i="104"/>
  <c r="AM33" i="104"/>
  <c r="AN55" i="104"/>
  <c r="AM55" i="104"/>
  <c r="AJ55" i="104"/>
  <c r="X60" i="104"/>
  <c r="V60" i="104"/>
  <c r="T60" i="104"/>
  <c r="O31" i="104"/>
  <c r="AJ33" i="104"/>
  <c r="AM67" i="104"/>
  <c r="AJ89" i="104"/>
  <c r="AG36" i="104"/>
  <c r="AF36" i="104"/>
  <c r="AE36" i="104"/>
  <c r="AC36" i="104"/>
  <c r="AE60" i="104"/>
  <c r="AF101" i="104"/>
  <c r="R59" i="104"/>
  <c r="AN73" i="104"/>
  <c r="AM73" i="104"/>
  <c r="AL73" i="104"/>
  <c r="AJ73" i="104"/>
  <c r="R85" i="104"/>
  <c r="Q85" i="104"/>
  <c r="O85" i="104"/>
  <c r="Z95" i="104"/>
  <c r="R84" i="104"/>
  <c r="S84" i="104"/>
  <c r="AC59" i="104"/>
  <c r="V65" i="104"/>
  <c r="AF82" i="104"/>
  <c r="AE82" i="104"/>
  <c r="O84" i="104"/>
  <c r="AN88" i="104"/>
  <c r="AM88" i="104"/>
  <c r="AG77" i="104"/>
  <c r="AF77" i="104"/>
  <c r="AE77" i="104"/>
  <c r="AC82" i="104"/>
  <c r="AJ88" i="104"/>
  <c r="AG100" i="104"/>
  <c r="AE100" i="104"/>
  <c r="V55" i="104"/>
  <c r="X65" i="104"/>
  <c r="Z79" i="104"/>
  <c r="Y79" i="104"/>
  <c r="Q84" i="104"/>
  <c r="Y55" i="104"/>
  <c r="AC61" i="104"/>
  <c r="AM62" i="104"/>
  <c r="Q64" i="104"/>
  <c r="AE71" i="104"/>
  <c r="X79" i="104"/>
  <c r="AM82" i="104"/>
  <c r="AN82" i="104"/>
  <c r="AC87" i="104"/>
  <c r="AG30" i="104"/>
  <c r="AF30" i="104"/>
  <c r="AC30" i="104"/>
  <c r="AL35" i="104"/>
  <c r="AN62" i="104"/>
  <c r="AG65" i="104"/>
  <c r="AF65" i="104"/>
  <c r="AF71" i="104"/>
  <c r="AN45" i="104"/>
  <c r="AM48" i="104"/>
  <c r="AL48" i="104"/>
  <c r="AL67" i="104"/>
  <c r="S80" i="104"/>
  <c r="R80" i="104"/>
  <c r="O80" i="104"/>
  <c r="Q80" i="104"/>
  <c r="AM84" i="104"/>
  <c r="V95" i="104"/>
  <c r="AE32" i="104"/>
  <c r="Y47" i="104"/>
  <c r="O59" i="104"/>
  <c r="AN48" i="104"/>
  <c r="V56" i="104"/>
  <c r="Y69" i="104"/>
  <c r="Z72" i="104"/>
  <c r="X72" i="104"/>
  <c r="Y72" i="104"/>
  <c r="AG75" i="104"/>
  <c r="AF75" i="104"/>
  <c r="AE75" i="104"/>
  <c r="AC46" i="104"/>
  <c r="AN56" i="104"/>
  <c r="AM56" i="104"/>
  <c r="AL56" i="104"/>
  <c r="AJ56" i="104"/>
  <c r="AM35" i="104"/>
  <c r="AE37" i="104"/>
  <c r="AC37" i="104"/>
  <c r="Z58" i="104"/>
  <c r="AE61" i="104"/>
  <c r="S64" i="104"/>
  <c r="AC65" i="104"/>
  <c r="AG71" i="104"/>
  <c r="AC79" i="104"/>
  <c r="AE87" i="104"/>
  <c r="AL97" i="104"/>
  <c r="V99" i="104"/>
  <c r="AE30" i="104"/>
  <c r="AC33" i="104"/>
  <c r="AN35" i="104"/>
  <c r="AF61" i="104"/>
  <c r="V67" i="104"/>
  <c r="Y67" i="104"/>
  <c r="X67" i="104"/>
  <c r="Z67" i="104"/>
  <c r="S73" i="104"/>
  <c r="Q73" i="104"/>
  <c r="X76" i="104"/>
  <c r="Z76" i="104"/>
  <c r="Y76" i="104"/>
  <c r="AL82" i="104"/>
  <c r="AF87" i="104"/>
  <c r="AN97" i="104"/>
  <c r="T32" i="104"/>
  <c r="AF37" i="104"/>
  <c r="S60" i="104"/>
  <c r="M60" i="104"/>
  <c r="AG61" i="104"/>
  <c r="AE65" i="104"/>
  <c r="O73" i="104"/>
  <c r="AH74" i="104"/>
  <c r="AL74" i="104"/>
  <c r="AJ74" i="104"/>
  <c r="V76" i="104"/>
  <c r="AE79" i="104"/>
  <c r="AA96" i="104"/>
  <c r="X99" i="104"/>
  <c r="R95" i="104"/>
  <c r="S95" i="104"/>
  <c r="O95" i="104"/>
  <c r="AL55" i="104"/>
  <c r="Y60" i="104"/>
  <c r="Q66" i="104"/>
  <c r="M66" i="104"/>
  <c r="O66" i="104"/>
  <c r="S66" i="104"/>
  <c r="R66" i="104"/>
  <c r="AJ84" i="104"/>
  <c r="Z86" i="104"/>
  <c r="Y86" i="104"/>
  <c r="X86" i="104"/>
  <c r="R31" i="104"/>
  <c r="AE73" i="104"/>
  <c r="AC73" i="104"/>
  <c r="AA73" i="104"/>
  <c r="AM99" i="104"/>
  <c r="AN99" i="104"/>
  <c r="S31" i="104"/>
  <c r="AG60" i="104"/>
  <c r="AF60" i="104"/>
  <c r="V69" i="104"/>
  <c r="AF73" i="104"/>
  <c r="AF47" i="104"/>
  <c r="AE47" i="104"/>
  <c r="Z74" i="104"/>
  <c r="X74" i="104"/>
  <c r="AE59" i="104"/>
  <c r="S99" i="104"/>
  <c r="R99" i="104"/>
  <c r="AF59" i="104"/>
  <c r="Y65" i="104"/>
  <c r="AC71" i="104"/>
  <c r="V79" i="104"/>
  <c r="AG82" i="104"/>
  <c r="AL88" i="104"/>
  <c r="AE46" i="104"/>
  <c r="X55" i="104"/>
  <c r="AL62" i="104"/>
  <c r="Y74" i="104"/>
  <c r="S81" i="104"/>
  <c r="R81" i="104"/>
  <c r="Q81" i="104"/>
  <c r="X58" i="104"/>
  <c r="O81" i="104"/>
  <c r="AF90" i="104"/>
  <c r="AG90" i="104"/>
  <c r="AJ97" i="104"/>
  <c r="Q99" i="104"/>
  <c r="AJ82" i="104"/>
  <c r="AC90" i="104"/>
  <c r="X45" i="104"/>
  <c r="Z45" i="104"/>
  <c r="Y45" i="104"/>
  <c r="AF79" i="104"/>
  <c r="Y99" i="104"/>
  <c r="V32" i="104"/>
  <c r="V45" i="104"/>
  <c r="AG79" i="104"/>
  <c r="T89" i="104"/>
  <c r="Y89" i="104"/>
  <c r="Z89" i="104"/>
  <c r="AC96" i="104"/>
  <c r="Z99" i="104"/>
  <c r="AN37" i="104"/>
  <c r="AM37" i="104"/>
  <c r="V89" i="104"/>
  <c r="AH33" i="104"/>
  <c r="AJ37" i="104"/>
  <c r="AH55" i="104"/>
  <c r="AL79" i="104"/>
  <c r="AJ79" i="104"/>
  <c r="AA81" i="104"/>
  <c r="AE96" i="104"/>
  <c r="S101" i="104"/>
  <c r="R101" i="104"/>
  <c r="AM87" i="104"/>
  <c r="AN87" i="104"/>
  <c r="AJ87" i="104"/>
  <c r="M67" i="104"/>
  <c r="S67" i="104"/>
  <c r="AG69" i="104"/>
  <c r="AF69" i="104"/>
  <c r="Z30" i="104"/>
  <c r="Y30" i="104"/>
  <c r="AF64" i="104"/>
  <c r="AE64" i="104"/>
  <c r="O67" i="104"/>
  <c r="V68" i="104"/>
  <c r="AC69" i="104"/>
  <c r="AL87" i="104"/>
  <c r="Y98" i="104"/>
  <c r="X98" i="104"/>
  <c r="AC85" i="104"/>
  <c r="AC102" i="104"/>
  <c r="S61" i="104"/>
  <c r="R61" i="104"/>
  <c r="O61" i="104"/>
  <c r="V80" i="104"/>
  <c r="S96" i="104"/>
  <c r="R96" i="104"/>
  <c r="AJ30" i="104"/>
  <c r="V57" i="104"/>
  <c r="AC58" i="104"/>
  <c r="AJ59" i="104"/>
  <c r="Q83" i="104"/>
  <c r="O83" i="104"/>
  <c r="M83" i="104"/>
  <c r="O87" i="104"/>
  <c r="O96" i="104"/>
  <c r="AE102" i="104"/>
  <c r="O32" i="104"/>
  <c r="AH36" i="104"/>
  <c r="M38" i="104"/>
  <c r="AA45" i="104"/>
  <c r="AN46" i="104"/>
  <c r="AM46" i="104"/>
  <c r="AJ46" i="104"/>
  <c r="S48" i="104"/>
  <c r="O48" i="104"/>
  <c r="Q48" i="104"/>
  <c r="O56" i="104"/>
  <c r="Q61" i="104"/>
  <c r="M65" i="104"/>
  <c r="T66" i="104"/>
  <c r="AH68" i="104"/>
  <c r="R70" i="104"/>
  <c r="Q70" i="104"/>
  <c r="T75" i="104"/>
  <c r="AA76" i="104"/>
  <c r="X80" i="104"/>
  <c r="V88" i="104"/>
  <c r="AC89" i="104"/>
  <c r="AJ90" i="104"/>
  <c r="AA97" i="104"/>
  <c r="V101" i="104"/>
  <c r="AF102" i="104"/>
  <c r="AG85" i="104"/>
  <c r="AE85" i="104"/>
  <c r="AA85" i="104"/>
  <c r="AL30" i="104"/>
  <c r="X57" i="104"/>
  <c r="AF58" i="104"/>
  <c r="AL59" i="104"/>
  <c r="AM77" i="104"/>
  <c r="AL77" i="104"/>
  <c r="Y80" i="104"/>
  <c r="Q87" i="104"/>
  <c r="Q96" i="104"/>
  <c r="AM30" i="104"/>
  <c r="Q32" i="104"/>
  <c r="AJ36" i="104"/>
  <c r="O38" i="104"/>
  <c r="AC45" i="104"/>
  <c r="Q56" i="104"/>
  <c r="Y57" i="104"/>
  <c r="AG58" i="104"/>
  <c r="AM59" i="104"/>
  <c r="Z61" i="104"/>
  <c r="Y61" i="104"/>
  <c r="V61" i="104"/>
  <c r="O65" i="104"/>
  <c r="V66" i="104"/>
  <c r="AJ68" i="104"/>
  <c r="V75" i="104"/>
  <c r="AC76" i="104"/>
  <c r="AJ77" i="104"/>
  <c r="Q79" i="104"/>
  <c r="O79" i="104"/>
  <c r="M79" i="104"/>
  <c r="Z80" i="104"/>
  <c r="AN81" i="104"/>
  <c r="AM81" i="104"/>
  <c r="AL81" i="104"/>
  <c r="AJ81" i="104"/>
  <c r="S83" i="104"/>
  <c r="R87" i="104"/>
  <c r="X88" i="104"/>
  <c r="AE89" i="104"/>
  <c r="AL90" i="104"/>
  <c r="AC97" i="104"/>
  <c r="X101" i="104"/>
  <c r="AN102" i="104"/>
  <c r="AM102" i="104"/>
  <c r="AJ102" i="104"/>
  <c r="AL102" i="104"/>
  <c r="AH102" i="104"/>
  <c r="R32" i="104"/>
  <c r="X33" i="104"/>
  <c r="AE35" i="104"/>
  <c r="R56" i="104"/>
  <c r="AE67" i="104"/>
  <c r="S70" i="104"/>
  <c r="Y88" i="104"/>
  <c r="AF89" i="104"/>
  <c r="AM90" i="104"/>
  <c r="AL98" i="104"/>
  <c r="Q100" i="104"/>
  <c r="Y101" i="104"/>
  <c r="Q38" i="104"/>
  <c r="AE45" i="104"/>
  <c r="Q47" i="104"/>
  <c r="M47" i="104"/>
  <c r="V48" i="104"/>
  <c r="X61" i="104"/>
  <c r="AN77" i="104"/>
  <c r="R79" i="104"/>
  <c r="AG80" i="104"/>
  <c r="AF80" i="104"/>
  <c r="Y83" i="104"/>
  <c r="X83" i="104"/>
  <c r="AE31" i="104"/>
  <c r="R36" i="104"/>
  <c r="X37" i="104"/>
  <c r="Q55" i="104"/>
  <c r="AL70" i="104"/>
  <c r="X90" i="104"/>
  <c r="X100" i="104"/>
  <c r="AG31" i="104"/>
  <c r="O35" i="104"/>
  <c r="S36" i="104"/>
  <c r="AG74" i="104"/>
  <c r="AF74" i="104"/>
  <c r="AC74" i="104"/>
  <c r="AL86" i="104"/>
  <c r="AJ86" i="104"/>
  <c r="AH86" i="104"/>
  <c r="AC63" i="104"/>
  <c r="O69" i="104"/>
  <c r="AJ76" i="104"/>
  <c r="V82" i="104"/>
  <c r="V97" i="104"/>
  <c r="AL32" i="104"/>
  <c r="Q58" i="104"/>
  <c r="AF63" i="104"/>
  <c r="AL65" i="104"/>
  <c r="R69" i="104"/>
  <c r="X71" i="104"/>
  <c r="AM76" i="104"/>
  <c r="Y82" i="104"/>
  <c r="AE84" i="104"/>
  <c r="Q90" i="104"/>
  <c r="Y97" i="104"/>
  <c r="AE99" i="104"/>
  <c r="AN58" i="103"/>
  <c r="AM58" i="103"/>
  <c r="AL58" i="103"/>
  <c r="AJ58" i="103"/>
  <c r="AG58" i="103"/>
  <c r="AF58" i="103"/>
  <c r="AE58" i="103"/>
  <c r="AC58" i="103"/>
  <c r="Z58" i="103"/>
  <c r="Y58" i="103"/>
  <c r="X58" i="103"/>
  <c r="V58" i="103"/>
  <c r="S58" i="103"/>
  <c r="R58" i="103"/>
  <c r="Q58" i="103"/>
  <c r="O58" i="103"/>
  <c r="L58" i="103" s="1"/>
  <c r="AN57" i="103"/>
  <c r="AM57" i="103"/>
  <c r="AL57" i="103"/>
  <c r="AJ57" i="103"/>
  <c r="AG57" i="103"/>
  <c r="AF57" i="103"/>
  <c r="AE57" i="103"/>
  <c r="AC57" i="103"/>
  <c r="Z57" i="103"/>
  <c r="Y57" i="103"/>
  <c r="X57" i="103"/>
  <c r="V57" i="103"/>
  <c r="S57" i="103"/>
  <c r="R57" i="103"/>
  <c r="Q57" i="103"/>
  <c r="O57" i="103"/>
  <c r="L57" i="103" s="1"/>
  <c r="AN56" i="103"/>
  <c r="AM56" i="103"/>
  <c r="AL56" i="103"/>
  <c r="AJ56" i="103"/>
  <c r="AG56" i="103"/>
  <c r="AF56" i="103"/>
  <c r="AE56" i="103"/>
  <c r="AC56" i="103"/>
  <c r="Z56" i="103"/>
  <c r="Y56" i="103"/>
  <c r="X56" i="103"/>
  <c r="V56" i="103"/>
  <c r="S56" i="103"/>
  <c r="R56" i="103"/>
  <c r="Q56" i="103"/>
  <c r="O56" i="103"/>
  <c r="AN49" i="103"/>
  <c r="AM49" i="103"/>
  <c r="AL49" i="103"/>
  <c r="AJ49" i="103"/>
  <c r="AG49" i="103"/>
  <c r="AF49" i="103"/>
  <c r="AE49" i="103"/>
  <c r="AC49" i="103"/>
  <c r="Z49" i="103"/>
  <c r="Y49" i="103"/>
  <c r="X49" i="103"/>
  <c r="V49" i="103"/>
  <c r="S49" i="103"/>
  <c r="R49" i="103"/>
  <c r="Q49" i="103"/>
  <c r="O49" i="103"/>
  <c r="L49" i="103" s="1"/>
  <c r="AN48" i="103"/>
  <c r="AM48" i="103"/>
  <c r="AL48" i="103"/>
  <c r="AJ48" i="103"/>
  <c r="AG48" i="103"/>
  <c r="AF48" i="103"/>
  <c r="AE48" i="103"/>
  <c r="AC48" i="103"/>
  <c r="Z48" i="103"/>
  <c r="Y48" i="103"/>
  <c r="X48" i="103"/>
  <c r="V48" i="103"/>
  <c r="S48" i="103"/>
  <c r="R48" i="103"/>
  <c r="Q48" i="103"/>
  <c r="O48" i="103"/>
  <c r="L48" i="103" s="1"/>
  <c r="AN47" i="103"/>
  <c r="AM47" i="103"/>
  <c r="AL47" i="103"/>
  <c r="AJ47" i="103"/>
  <c r="AG47" i="103"/>
  <c r="AF47" i="103"/>
  <c r="AE47" i="103"/>
  <c r="AC47" i="103"/>
  <c r="Z47" i="103"/>
  <c r="Y47" i="103"/>
  <c r="X47" i="103"/>
  <c r="V47" i="103"/>
  <c r="S47" i="103"/>
  <c r="R47" i="103"/>
  <c r="Q47" i="103"/>
  <c r="O47" i="103"/>
  <c r="AG35" i="103"/>
  <c r="AA35" i="103"/>
  <c r="AJ40" i="103"/>
  <c r="AH40" i="103"/>
  <c r="AL40" i="103"/>
  <c r="AM40" i="103"/>
  <c r="AN40" i="103"/>
  <c r="AE40" i="103"/>
  <c r="AG40" i="103"/>
  <c r="AF40" i="103"/>
  <c r="AC40" i="103"/>
  <c r="Z40" i="103"/>
  <c r="V40" i="103"/>
  <c r="Y40" i="103"/>
  <c r="X40" i="103"/>
  <c r="O40" i="103"/>
  <c r="R40" i="103"/>
  <c r="S40" i="103"/>
  <c r="Q40" i="103"/>
  <c r="M40" i="103"/>
  <c r="L40" i="103" s="1"/>
  <c r="AM39" i="103"/>
  <c r="AN39" i="103"/>
  <c r="AJ39" i="103"/>
  <c r="AL39" i="103"/>
  <c r="AG39" i="103"/>
  <c r="AE39" i="103"/>
  <c r="AA39" i="103"/>
  <c r="AF39" i="103"/>
  <c r="AC39" i="103"/>
  <c r="T39" i="103"/>
  <c r="Z39" i="103"/>
  <c r="Y39" i="103"/>
  <c r="V39" i="103"/>
  <c r="X39" i="103"/>
  <c r="S39" i="103"/>
  <c r="Q39" i="103"/>
  <c r="R39" i="103"/>
  <c r="O39" i="103"/>
  <c r="M39" i="103"/>
  <c r="L39" i="103" s="1"/>
  <c r="AN38" i="103"/>
  <c r="AJ38" i="103"/>
  <c r="AH38" i="103"/>
  <c r="AM38" i="103"/>
  <c r="AL38" i="103"/>
  <c r="AC38" i="103"/>
  <c r="AG38" i="103"/>
  <c r="AE38" i="103"/>
  <c r="AF38" i="103"/>
  <c r="AA38" i="103"/>
  <c r="T38" i="103"/>
  <c r="Z38" i="103"/>
  <c r="V38" i="103"/>
  <c r="X38" i="103"/>
  <c r="Y38" i="103"/>
  <c r="R38" i="103"/>
  <c r="O38" i="103"/>
  <c r="M38" i="103"/>
  <c r="S38" i="103"/>
  <c r="Q38" i="103"/>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S89" i="103"/>
  <c r="R89" i="103"/>
  <c r="AC76" i="103"/>
  <c r="AA76" i="103"/>
  <c r="AM107" i="103"/>
  <c r="AJ107" i="103"/>
  <c r="AN107" i="103"/>
  <c r="AL107" i="103"/>
  <c r="AG107" i="103"/>
  <c r="AF107" i="103"/>
  <c r="AE107" i="103"/>
  <c r="AC107" i="103"/>
  <c r="V107" i="103"/>
  <c r="Z107" i="103"/>
  <c r="Y107" i="103"/>
  <c r="X107" i="103"/>
  <c r="R107" i="103"/>
  <c r="Q107" i="103"/>
  <c r="O107" i="103"/>
  <c r="M107" i="103"/>
  <c r="AL106" i="103"/>
  <c r="AN106" i="103"/>
  <c r="AJ106" i="103"/>
  <c r="AM106" i="103"/>
  <c r="AG106" i="103"/>
  <c r="AC106" i="103"/>
  <c r="AE106" i="103"/>
  <c r="AF106" i="103"/>
  <c r="T106" i="103"/>
  <c r="X106" i="103"/>
  <c r="Y106" i="103"/>
  <c r="Z106" i="103"/>
  <c r="V106" i="103"/>
  <c r="R106" i="103"/>
  <c r="M106" i="103"/>
  <c r="Q106" i="103"/>
  <c r="S106" i="103"/>
  <c r="O106" i="103"/>
  <c r="AL105" i="103"/>
  <c r="AN105" i="103"/>
  <c r="AM105" i="103"/>
  <c r="AJ105" i="103"/>
  <c r="AF105" i="103"/>
  <c r="AG105" i="103"/>
  <c r="AA105" i="103"/>
  <c r="AC105" i="103"/>
  <c r="AE105" i="103"/>
  <c r="Z105" i="103"/>
  <c r="X105" i="103"/>
  <c r="Y105" i="103"/>
  <c r="V105" i="103"/>
  <c r="R105" i="103"/>
  <c r="Q105" i="103"/>
  <c r="M105" i="103"/>
  <c r="S105" i="103"/>
  <c r="O105" i="103"/>
  <c r="AL104" i="103"/>
  <c r="AH104" i="103"/>
  <c r="AM104" i="103"/>
  <c r="AJ104" i="103"/>
  <c r="AN104" i="103"/>
  <c r="AG104" i="103"/>
  <c r="AF104" i="103"/>
  <c r="AC104" i="103"/>
  <c r="AA104" i="103"/>
  <c r="AE104" i="103"/>
  <c r="X104" i="103"/>
  <c r="Y104" i="103"/>
  <c r="V104" i="103"/>
  <c r="Z104" i="103"/>
  <c r="T104" i="103"/>
  <c r="R104" i="103"/>
  <c r="Q104" i="103"/>
  <c r="M104" i="103"/>
  <c r="O104" i="103"/>
  <c r="S104" i="103"/>
  <c r="AN103" i="103"/>
  <c r="AM103" i="103"/>
  <c r="AJ103" i="103"/>
  <c r="AH103" i="103"/>
  <c r="AL103" i="103"/>
  <c r="AG103" i="103"/>
  <c r="AF103" i="103"/>
  <c r="AC103" i="103"/>
  <c r="AE103" i="103"/>
  <c r="AA103" i="103"/>
  <c r="Z103" i="103"/>
  <c r="Y103" i="103"/>
  <c r="X103" i="103"/>
  <c r="V103" i="103"/>
  <c r="M103" i="103"/>
  <c r="R103" i="103"/>
  <c r="Q103" i="103"/>
  <c r="O103" i="103"/>
  <c r="AN102" i="103"/>
  <c r="AJ102" i="103"/>
  <c r="AL102" i="103"/>
  <c r="AM102" i="103"/>
  <c r="AH102" i="103"/>
  <c r="AC102" i="103"/>
  <c r="AG102" i="103"/>
  <c r="AF102" i="103"/>
  <c r="AA102" i="103"/>
  <c r="AE102" i="103"/>
  <c r="Z102" i="103"/>
  <c r="X102" i="103"/>
  <c r="T102" i="103"/>
  <c r="V102" i="103"/>
  <c r="Y102" i="103"/>
  <c r="M102" i="103"/>
  <c r="O102" i="103"/>
  <c r="S102" i="103"/>
  <c r="Q102" i="103"/>
  <c r="R102" i="103"/>
  <c r="AL101" i="103"/>
  <c r="AM101" i="103"/>
  <c r="AN101" i="103"/>
  <c r="AJ101" i="103"/>
  <c r="AH101" i="103"/>
  <c r="AC101" i="103"/>
  <c r="AF101" i="103"/>
  <c r="AA101" i="103"/>
  <c r="AG101" i="103"/>
  <c r="AE101" i="103"/>
  <c r="T101" i="103"/>
  <c r="Y101" i="103"/>
  <c r="V101" i="103"/>
  <c r="X101" i="103"/>
  <c r="Z101" i="103"/>
  <c r="S101" i="103"/>
  <c r="O101" i="103"/>
  <c r="Q101" i="103"/>
  <c r="M101" i="103"/>
  <c r="R101" i="103"/>
  <c r="AL100" i="103"/>
  <c r="AJ100" i="103"/>
  <c r="AN100" i="103"/>
  <c r="AM100" i="103"/>
  <c r="AC100" i="103"/>
  <c r="AF100" i="103"/>
  <c r="AA100" i="103"/>
  <c r="AE100" i="103"/>
  <c r="AG100" i="103"/>
  <c r="Y100" i="103"/>
  <c r="V100" i="103"/>
  <c r="X100" i="103"/>
  <c r="Z100" i="103"/>
  <c r="R100" i="103"/>
  <c r="S100" i="103"/>
  <c r="Q100" i="103"/>
  <c r="M100" i="103"/>
  <c r="AJ95" i="103"/>
  <c r="AN95" i="103"/>
  <c r="AL95" i="103"/>
  <c r="AM95" i="103"/>
  <c r="AH95" i="103"/>
  <c r="AE95" i="103"/>
  <c r="AA95" i="103"/>
  <c r="AC95" i="103"/>
  <c r="AG95" i="103"/>
  <c r="AF95" i="103"/>
  <c r="V95" i="103"/>
  <c r="T95" i="103"/>
  <c r="X95" i="103"/>
  <c r="Z95" i="103"/>
  <c r="Y95" i="103"/>
  <c r="Q95" i="103"/>
  <c r="O95" i="103"/>
  <c r="S95" i="103"/>
  <c r="M95" i="103"/>
  <c r="R95" i="103"/>
  <c r="AH94" i="103"/>
  <c r="AL94" i="103"/>
  <c r="AM94" i="103"/>
  <c r="AN94" i="103"/>
  <c r="AJ94" i="103"/>
  <c r="AC94" i="103"/>
  <c r="AA94" i="103"/>
  <c r="AF94" i="103"/>
  <c r="AE94" i="103"/>
  <c r="AG94" i="103"/>
  <c r="Z94" i="103"/>
  <c r="T94" i="103"/>
  <c r="Y94" i="103"/>
  <c r="X94" i="103"/>
  <c r="V94" i="103"/>
  <c r="S94" i="103"/>
  <c r="O94" i="103"/>
  <c r="Q94" i="103"/>
  <c r="R94" i="103"/>
  <c r="M94" i="103"/>
  <c r="AM93" i="103"/>
  <c r="AL93" i="103"/>
  <c r="AN93" i="103"/>
  <c r="AJ93" i="103"/>
  <c r="AH93" i="103"/>
  <c r="AC93" i="103"/>
  <c r="AF93" i="103"/>
  <c r="AE93" i="103"/>
  <c r="AA93" i="103"/>
  <c r="AG93" i="103"/>
  <c r="Z93" i="103"/>
  <c r="V93" i="103"/>
  <c r="T93" i="103"/>
  <c r="Y93" i="103"/>
  <c r="X93" i="103"/>
  <c r="M93" i="103"/>
  <c r="O93" i="103"/>
  <c r="Q93" i="103"/>
  <c r="S93" i="103"/>
  <c r="R93" i="103"/>
  <c r="AM92" i="103"/>
  <c r="AJ92" i="103"/>
  <c r="AL92" i="103"/>
  <c r="AH92" i="103"/>
  <c r="AN92" i="103"/>
  <c r="AE92" i="103"/>
  <c r="AA92" i="103"/>
  <c r="AF92" i="103"/>
  <c r="AG92" i="103"/>
  <c r="AC92" i="103"/>
  <c r="Z92" i="103"/>
  <c r="V92" i="103"/>
  <c r="T92" i="103"/>
  <c r="X92" i="103"/>
  <c r="Y92" i="103"/>
  <c r="R92" i="103"/>
  <c r="S92" i="103"/>
  <c r="M92" i="103"/>
  <c r="O92" i="103"/>
  <c r="Q92" i="103"/>
  <c r="AL91" i="103"/>
  <c r="AN91" i="103"/>
  <c r="AM91" i="103"/>
  <c r="AJ91" i="103"/>
  <c r="AH91" i="103"/>
  <c r="AF91" i="103"/>
  <c r="AE91" i="103"/>
  <c r="AA91" i="103"/>
  <c r="AG91" i="103"/>
  <c r="AC91" i="103"/>
  <c r="V91" i="103"/>
  <c r="Z91" i="103"/>
  <c r="Y91" i="103"/>
  <c r="X91" i="103"/>
  <c r="T91" i="103"/>
  <c r="M91" i="103"/>
  <c r="R91" i="103"/>
  <c r="S91" i="103"/>
  <c r="Q91" i="103"/>
  <c r="O91" i="103"/>
  <c r="AH90" i="103"/>
  <c r="AN90" i="103"/>
  <c r="AJ90" i="103"/>
  <c r="AM90" i="103"/>
  <c r="AL90" i="103"/>
  <c r="AE90" i="103"/>
  <c r="AA90" i="103"/>
  <c r="AG90" i="103"/>
  <c r="AC90" i="103"/>
  <c r="AF90" i="103"/>
  <c r="Y90" i="103"/>
  <c r="X90" i="103"/>
  <c r="Z90" i="103"/>
  <c r="T90" i="103"/>
  <c r="V90" i="103"/>
  <c r="O90" i="103"/>
  <c r="Q90" i="103"/>
  <c r="S90" i="103"/>
  <c r="M90" i="103"/>
  <c r="R90" i="103"/>
  <c r="AL89" i="103"/>
  <c r="AN89" i="103"/>
  <c r="AM89" i="103"/>
  <c r="AJ89" i="103"/>
  <c r="AH89" i="103"/>
  <c r="AE89" i="103"/>
  <c r="AC89" i="103"/>
  <c r="AA89" i="103"/>
  <c r="AF89" i="103"/>
  <c r="AG89" i="103"/>
  <c r="Y89" i="103"/>
  <c r="V89" i="103"/>
  <c r="X89" i="103"/>
  <c r="Z89" i="103"/>
  <c r="T89" i="103"/>
  <c r="O89" i="103"/>
  <c r="Q89" i="103"/>
  <c r="AJ88" i="103"/>
  <c r="AL88" i="103"/>
  <c r="AM88" i="103"/>
  <c r="AN88" i="103"/>
  <c r="AC88" i="103"/>
  <c r="AE88" i="103"/>
  <c r="AF88" i="103"/>
  <c r="AG88" i="103"/>
  <c r="V88" i="103"/>
  <c r="X88" i="103"/>
  <c r="Y88" i="103"/>
  <c r="Z88" i="103"/>
  <c r="O88" i="103"/>
  <c r="Q88" i="103"/>
  <c r="R88" i="103"/>
  <c r="S88" i="103"/>
  <c r="AN87" i="103"/>
  <c r="AM87" i="103"/>
  <c r="AJ87" i="103"/>
  <c r="AL87" i="103"/>
  <c r="AG87" i="103"/>
  <c r="AF87" i="103"/>
  <c r="AE87" i="103"/>
  <c r="AC87" i="103"/>
  <c r="Z87" i="103"/>
  <c r="Y87" i="103"/>
  <c r="X87" i="103"/>
  <c r="V87" i="103"/>
  <c r="S87" i="103"/>
  <c r="R87" i="103"/>
  <c r="Q87" i="103"/>
  <c r="O87" i="103"/>
  <c r="AN86" i="103"/>
  <c r="AM86" i="103"/>
  <c r="AL86" i="103"/>
  <c r="AJ86" i="103"/>
  <c r="AG86" i="103"/>
  <c r="AF86" i="103"/>
  <c r="AE86" i="103"/>
  <c r="AC86" i="103"/>
  <c r="Z86" i="103"/>
  <c r="Y86" i="103"/>
  <c r="X86" i="103"/>
  <c r="V86" i="103"/>
  <c r="Q86" i="103"/>
  <c r="S86" i="103"/>
  <c r="R86" i="103"/>
  <c r="O86" i="103"/>
  <c r="AN85" i="103"/>
  <c r="AM85" i="103"/>
  <c r="AL85" i="103"/>
  <c r="AJ85" i="103"/>
  <c r="AG85" i="103"/>
  <c r="AF85" i="103"/>
  <c r="AE85" i="103"/>
  <c r="AC85" i="103"/>
  <c r="Z85" i="103"/>
  <c r="Y85" i="103"/>
  <c r="X85" i="103"/>
  <c r="V85" i="103"/>
  <c r="S85" i="103"/>
  <c r="R85" i="103"/>
  <c r="Q85" i="103"/>
  <c r="O85" i="103"/>
  <c r="AL84" i="103"/>
  <c r="AJ84" i="103"/>
  <c r="AM84" i="103"/>
  <c r="AN84" i="103"/>
  <c r="AG84" i="103"/>
  <c r="AC84" i="103"/>
  <c r="AE84" i="103"/>
  <c r="AF84" i="103"/>
  <c r="V84" i="103"/>
  <c r="X84" i="103"/>
  <c r="Y84" i="103"/>
  <c r="Z84" i="103"/>
  <c r="O84" i="103"/>
  <c r="R84" i="103"/>
  <c r="S84" i="103"/>
  <c r="Q84" i="103"/>
  <c r="AN83" i="103"/>
  <c r="AM83" i="103"/>
  <c r="AL83" i="103"/>
  <c r="AJ83" i="103"/>
  <c r="AF83" i="103"/>
  <c r="AE83" i="103"/>
  <c r="AC83" i="103"/>
  <c r="AG83" i="103"/>
  <c r="Y83" i="103"/>
  <c r="X83" i="103"/>
  <c r="V83" i="103"/>
  <c r="Z83" i="103"/>
  <c r="Q83" i="103"/>
  <c r="S83" i="103"/>
  <c r="R83" i="103"/>
  <c r="O83" i="103"/>
  <c r="AN82" i="103"/>
  <c r="AM82" i="103"/>
  <c r="AL82" i="103"/>
  <c r="AJ82" i="103"/>
  <c r="AE82" i="103"/>
  <c r="AF82" i="103"/>
  <c r="AG82" i="103"/>
  <c r="AC82" i="103"/>
  <c r="Y82" i="103"/>
  <c r="V82" i="103"/>
  <c r="Z82" i="103"/>
  <c r="X82" i="103"/>
  <c r="Q82" i="103"/>
  <c r="R82" i="103"/>
  <c r="S82" i="103"/>
  <c r="O82" i="103"/>
  <c r="AJ81" i="103"/>
  <c r="AM81" i="103"/>
  <c r="AL81" i="103"/>
  <c r="AN81" i="103"/>
  <c r="AC81" i="103"/>
  <c r="AF81" i="103"/>
  <c r="AG81" i="103"/>
  <c r="AE81" i="103"/>
  <c r="V81" i="103"/>
  <c r="X81" i="103"/>
  <c r="Y81" i="103"/>
  <c r="Z81" i="103"/>
  <c r="O81" i="103"/>
  <c r="S81" i="103"/>
  <c r="R81" i="103"/>
  <c r="Q81" i="103"/>
  <c r="AN80" i="103"/>
  <c r="AM80" i="103"/>
  <c r="AL80" i="103"/>
  <c r="AJ80" i="103"/>
  <c r="AE80" i="103"/>
  <c r="AG80" i="103"/>
  <c r="AF80" i="103"/>
  <c r="AC80" i="103"/>
  <c r="Z80" i="103"/>
  <c r="Y80" i="103"/>
  <c r="X80" i="103"/>
  <c r="V80" i="103"/>
  <c r="O80" i="103"/>
  <c r="Q80" i="103"/>
  <c r="S80" i="103"/>
  <c r="R80" i="103"/>
  <c r="AJ79" i="103"/>
  <c r="AL79" i="103"/>
  <c r="AM79" i="103"/>
  <c r="AN79" i="103"/>
  <c r="AC79" i="103"/>
  <c r="AE79" i="103"/>
  <c r="AF79" i="103"/>
  <c r="AG79" i="103"/>
  <c r="X79" i="103"/>
  <c r="Y79" i="103"/>
  <c r="Z79" i="103"/>
  <c r="V79" i="103"/>
  <c r="S79" i="103"/>
  <c r="O79" i="103"/>
  <c r="Q79" i="103"/>
  <c r="R79" i="103"/>
  <c r="AM78" i="103"/>
  <c r="AL78" i="103"/>
  <c r="AJ78" i="103"/>
  <c r="AN78" i="103"/>
  <c r="AG78" i="103"/>
  <c r="AF78" i="103"/>
  <c r="AE78" i="103"/>
  <c r="AC78" i="103"/>
  <c r="AA78" i="103"/>
  <c r="X78" i="103"/>
  <c r="V78" i="103"/>
  <c r="Y78" i="103"/>
  <c r="T78" i="103"/>
  <c r="Z78" i="103"/>
  <c r="Q78" i="103"/>
  <c r="O78" i="103"/>
  <c r="R78" i="103"/>
  <c r="S78" i="103"/>
  <c r="M78" i="103"/>
  <c r="AM77" i="103"/>
  <c r="AN77" i="103"/>
  <c r="AL77" i="103"/>
  <c r="AJ77" i="103"/>
  <c r="AH77" i="103"/>
  <c r="AA77" i="103"/>
  <c r="AC77" i="103"/>
  <c r="AE77" i="103"/>
  <c r="AG77" i="103"/>
  <c r="AF77" i="103"/>
  <c r="X77" i="103"/>
  <c r="Y77" i="103"/>
  <c r="T77" i="103"/>
  <c r="V77" i="103"/>
  <c r="Z77" i="103"/>
  <c r="R77" i="103"/>
  <c r="O77" i="103"/>
  <c r="S77" i="103"/>
  <c r="Q77" i="103"/>
  <c r="M77" i="103"/>
  <c r="AH76" i="103"/>
  <c r="AM76" i="103"/>
  <c r="AN76" i="103"/>
  <c r="AL76" i="103"/>
  <c r="AJ76" i="103"/>
  <c r="AG76" i="103"/>
  <c r="AF76" i="103"/>
  <c r="AE76" i="103"/>
  <c r="Z76" i="103"/>
  <c r="T76" i="103"/>
  <c r="V76" i="103"/>
  <c r="Y76" i="103"/>
  <c r="X76" i="103"/>
  <c r="S76" i="103"/>
  <c r="R76" i="103"/>
  <c r="Q76" i="103"/>
  <c r="O76" i="103"/>
  <c r="AM75" i="103"/>
  <c r="AH75" i="103"/>
  <c r="AJ75" i="103"/>
  <c r="AL75" i="103"/>
  <c r="AN75" i="103"/>
  <c r="AG75" i="103"/>
  <c r="AF75" i="103"/>
  <c r="AE75" i="103"/>
  <c r="AC75" i="103"/>
  <c r="V75" i="103"/>
  <c r="Z75" i="103"/>
  <c r="X75" i="103"/>
  <c r="Y75" i="103"/>
  <c r="T75" i="103"/>
  <c r="S75" i="103"/>
  <c r="R75" i="103"/>
  <c r="M75" i="103"/>
  <c r="O75" i="103"/>
  <c r="Q75" i="103"/>
  <c r="AM74" i="103"/>
  <c r="AH74" i="103"/>
  <c r="AJ74" i="103"/>
  <c r="AN74" i="103"/>
  <c r="AL74" i="103"/>
  <c r="AF74" i="103"/>
  <c r="AC74" i="103"/>
  <c r="AA74" i="103"/>
  <c r="AG74" i="103"/>
  <c r="AE74" i="103"/>
  <c r="T74" i="103"/>
  <c r="V74" i="103"/>
  <c r="Y74" i="103"/>
  <c r="Z74" i="103"/>
  <c r="X74" i="103"/>
  <c r="Q74" i="103"/>
  <c r="O74" i="103"/>
  <c r="R74" i="103"/>
  <c r="S74" i="103"/>
  <c r="AJ73" i="103"/>
  <c r="AL73" i="103"/>
  <c r="AM73" i="103"/>
  <c r="AN73" i="103"/>
  <c r="AC73" i="103"/>
  <c r="AE73" i="103"/>
  <c r="AF73" i="103"/>
  <c r="AG73" i="103"/>
  <c r="Z73" i="103"/>
  <c r="X73" i="103"/>
  <c r="Y73" i="103"/>
  <c r="V73" i="103"/>
  <c r="R73" i="103"/>
  <c r="Q73" i="103"/>
  <c r="O73" i="103"/>
  <c r="S73" i="103"/>
  <c r="AN72" i="103"/>
  <c r="AM72" i="103"/>
  <c r="AL72" i="103"/>
  <c r="AJ72" i="103"/>
  <c r="AG72" i="103"/>
  <c r="AF72" i="103"/>
  <c r="AE72" i="103"/>
  <c r="AC72" i="103"/>
  <c r="Z72" i="103"/>
  <c r="Y72" i="103"/>
  <c r="X72" i="103"/>
  <c r="V72" i="103"/>
  <c r="S72" i="103"/>
  <c r="R72" i="103"/>
  <c r="Q72" i="103"/>
  <c r="O72" i="103"/>
  <c r="AN71" i="103"/>
  <c r="AM71" i="103"/>
  <c r="AL71" i="103"/>
  <c r="AJ71" i="103"/>
  <c r="AG71" i="103"/>
  <c r="AF71" i="103"/>
  <c r="AE71" i="103"/>
  <c r="AC71" i="103"/>
  <c r="Z71" i="103"/>
  <c r="Y71" i="103"/>
  <c r="X71" i="103"/>
  <c r="V71" i="103"/>
  <c r="S71" i="103"/>
  <c r="R71" i="103"/>
  <c r="Q71" i="103"/>
  <c r="O71" i="103"/>
  <c r="AN70" i="103"/>
  <c r="AM70" i="103"/>
  <c r="AL70" i="103"/>
  <c r="AJ70" i="103"/>
  <c r="AC70" i="103"/>
  <c r="AF70" i="103"/>
  <c r="AE70" i="103"/>
  <c r="AG70" i="103"/>
  <c r="X70" i="103"/>
  <c r="V70" i="103"/>
  <c r="Y70" i="103"/>
  <c r="Z70" i="103"/>
  <c r="O70" i="103"/>
  <c r="R70" i="103"/>
  <c r="S70" i="103"/>
  <c r="Q70" i="103"/>
  <c r="AN69" i="103"/>
  <c r="AM69" i="103"/>
  <c r="AL69" i="103"/>
  <c r="AJ69" i="103"/>
  <c r="AC69" i="103"/>
  <c r="AE69" i="103"/>
  <c r="AF69" i="103"/>
  <c r="AG69" i="103"/>
  <c r="Y69" i="103"/>
  <c r="V69" i="103"/>
  <c r="X69" i="103"/>
  <c r="Z69" i="103"/>
  <c r="S69" i="103"/>
  <c r="R69" i="103"/>
  <c r="Q69" i="103"/>
  <c r="O69" i="103"/>
  <c r="AN68" i="103"/>
  <c r="AM68" i="103"/>
  <c r="AL68" i="103"/>
  <c r="AJ68" i="103"/>
  <c r="AE68" i="103"/>
  <c r="AG68" i="103"/>
  <c r="AC68" i="103"/>
  <c r="AF68" i="103"/>
  <c r="V68" i="103"/>
  <c r="Y68" i="103"/>
  <c r="Z68" i="103"/>
  <c r="X68" i="103"/>
  <c r="O68" i="103"/>
  <c r="Q68" i="103"/>
  <c r="R68" i="103"/>
  <c r="S68" i="103"/>
  <c r="AJ67" i="103"/>
  <c r="AL67" i="103"/>
  <c r="AM67" i="103"/>
  <c r="AN67" i="103"/>
  <c r="AC67" i="103"/>
  <c r="AF67" i="103"/>
  <c r="AG67" i="103"/>
  <c r="AE67" i="103"/>
  <c r="Y67" i="103"/>
  <c r="X67" i="103"/>
  <c r="V67" i="103"/>
  <c r="Z67" i="103"/>
  <c r="S67" i="103"/>
  <c r="R67" i="103"/>
  <c r="Q67" i="103"/>
  <c r="O67" i="103"/>
  <c r="AN66" i="103"/>
  <c r="AM66" i="103"/>
  <c r="AL66" i="103"/>
  <c r="AJ66" i="103"/>
  <c r="AE66" i="103"/>
  <c r="AF66" i="103"/>
  <c r="AG66" i="103"/>
  <c r="AC66" i="103"/>
  <c r="V66" i="103"/>
  <c r="X66" i="103"/>
  <c r="Y66" i="103"/>
  <c r="Z66" i="103"/>
  <c r="O66" i="103"/>
  <c r="Q66" i="103"/>
  <c r="R66" i="103"/>
  <c r="S66" i="103"/>
  <c r="AN65" i="103"/>
  <c r="AJ65" i="103"/>
  <c r="AL65" i="103"/>
  <c r="AM65" i="103"/>
  <c r="AC65" i="103"/>
  <c r="AE65" i="103"/>
  <c r="AF65" i="103"/>
  <c r="AG65" i="103"/>
  <c r="X65" i="103"/>
  <c r="V65" i="103"/>
  <c r="Y65" i="103"/>
  <c r="Z65" i="103"/>
  <c r="Q65" i="103"/>
  <c r="O65" i="103"/>
  <c r="R65" i="103"/>
  <c r="S65" i="103"/>
  <c r="AN64" i="103"/>
  <c r="AM64" i="103"/>
  <c r="AJ64" i="103"/>
  <c r="AL64" i="103"/>
  <c r="AF64" i="103"/>
  <c r="AE64" i="103"/>
  <c r="AC64" i="103"/>
  <c r="AG64" i="103"/>
  <c r="X64" i="103"/>
  <c r="V64" i="103"/>
  <c r="Z64" i="103"/>
  <c r="Y64" i="103"/>
  <c r="S64" i="103"/>
  <c r="O64" i="103"/>
  <c r="R64" i="103"/>
  <c r="Q64" i="103"/>
  <c r="AL63" i="103"/>
  <c r="AJ63" i="103"/>
  <c r="AN63" i="103"/>
  <c r="AM63" i="103"/>
  <c r="AC63" i="103"/>
  <c r="AG63" i="103"/>
  <c r="AA63" i="103"/>
  <c r="AE63" i="103"/>
  <c r="T63" i="103"/>
  <c r="Y63" i="103"/>
  <c r="X63" i="103"/>
  <c r="Z63" i="103"/>
  <c r="V63" i="103"/>
  <c r="O63" i="103"/>
  <c r="S63" i="103"/>
  <c r="Q63" i="103"/>
  <c r="R63" i="103"/>
  <c r="M63" i="103"/>
  <c r="AL62" i="103"/>
  <c r="AN62" i="103"/>
  <c r="AH62" i="103"/>
  <c r="AJ62" i="103"/>
  <c r="AM62" i="103"/>
  <c r="AF62" i="103"/>
  <c r="AA62" i="103"/>
  <c r="AE62" i="103"/>
  <c r="AG62" i="103"/>
  <c r="AC62" i="103"/>
  <c r="Z62" i="103"/>
  <c r="X62" i="103"/>
  <c r="V62" i="103"/>
  <c r="Y62" i="103"/>
  <c r="S62" i="103"/>
  <c r="Q62" i="103"/>
  <c r="R62" i="103"/>
  <c r="O62" i="103"/>
  <c r="M62" i="103"/>
  <c r="AH61" i="103"/>
  <c r="AJ61" i="103"/>
  <c r="AN61" i="103"/>
  <c r="AL61" i="103"/>
  <c r="AC61" i="103"/>
  <c r="AA61" i="103"/>
  <c r="AF61" i="103"/>
  <c r="AG61" i="103"/>
  <c r="AE61" i="103"/>
  <c r="Z61" i="103"/>
  <c r="T61" i="103"/>
  <c r="V61" i="103"/>
  <c r="Y61" i="103"/>
  <c r="X61" i="103"/>
  <c r="Q61" i="103"/>
  <c r="S61" i="103"/>
  <c r="R61" i="103"/>
  <c r="M61" i="103"/>
  <c r="O61" i="103"/>
  <c r="AL60" i="103"/>
  <c r="AH60" i="103"/>
  <c r="AM60" i="103"/>
  <c r="AN60" i="103"/>
  <c r="AJ60" i="103"/>
  <c r="AF60" i="103"/>
  <c r="AC60" i="103"/>
  <c r="AE60" i="103"/>
  <c r="AA60" i="103"/>
  <c r="AG60" i="103"/>
  <c r="Z60" i="103"/>
  <c r="T60" i="103"/>
  <c r="V60" i="103"/>
  <c r="X60" i="103"/>
  <c r="Y60" i="103"/>
  <c r="R60" i="103"/>
  <c r="M60" i="103"/>
  <c r="S60" i="103"/>
  <c r="Q60" i="103"/>
  <c r="O60" i="103"/>
  <c r="AN54" i="103"/>
  <c r="AJ54" i="103"/>
  <c r="AL54" i="103"/>
  <c r="AM54" i="103"/>
  <c r="AE54" i="103"/>
  <c r="AF54" i="103"/>
  <c r="AG54" i="103"/>
  <c r="AC54" i="103"/>
  <c r="Z54" i="103"/>
  <c r="Y54" i="103"/>
  <c r="X54" i="103"/>
  <c r="V54" i="103"/>
  <c r="S54" i="103"/>
  <c r="R54" i="103"/>
  <c r="Q54" i="103"/>
  <c r="O54" i="103"/>
  <c r="AN53" i="103"/>
  <c r="AM53" i="103"/>
  <c r="AL53" i="103"/>
  <c r="AJ53" i="103"/>
  <c r="AC53" i="103"/>
  <c r="AE53" i="103"/>
  <c r="AF53" i="103"/>
  <c r="AG53" i="103"/>
  <c r="Z53" i="103"/>
  <c r="V53" i="103"/>
  <c r="Y53" i="103"/>
  <c r="X53" i="103"/>
  <c r="S53" i="103"/>
  <c r="O53" i="103"/>
  <c r="Q53" i="103"/>
  <c r="R53" i="103"/>
  <c r="AM52" i="103"/>
  <c r="AN52" i="103"/>
  <c r="AL52" i="103"/>
  <c r="AJ52" i="103"/>
  <c r="AG52" i="103"/>
  <c r="AF52" i="103"/>
  <c r="AE52" i="103"/>
  <c r="AC52" i="103"/>
  <c r="V52" i="103"/>
  <c r="X52" i="103"/>
  <c r="Y52" i="103"/>
  <c r="Z52" i="103"/>
  <c r="O52" i="103"/>
  <c r="Q52" i="103"/>
  <c r="S52" i="103"/>
  <c r="R52" i="103"/>
  <c r="AJ51" i="103"/>
  <c r="AL51" i="103"/>
  <c r="AM51" i="103"/>
  <c r="AN51" i="103"/>
  <c r="AC51" i="103"/>
  <c r="AG51" i="103"/>
  <c r="AF51" i="103"/>
  <c r="AE51" i="103"/>
  <c r="X51" i="103"/>
  <c r="Z51" i="103"/>
  <c r="Y51" i="103"/>
  <c r="V51" i="103"/>
  <c r="S51" i="103"/>
  <c r="O51" i="103"/>
  <c r="Q51" i="103"/>
  <c r="R51" i="103"/>
  <c r="AJ45" i="103"/>
  <c r="AL45" i="103"/>
  <c r="AM45" i="103"/>
  <c r="AN45" i="103"/>
  <c r="AC45" i="103"/>
  <c r="AF45" i="103"/>
  <c r="AE45" i="103"/>
  <c r="AG45" i="103"/>
  <c r="X45" i="103"/>
  <c r="V45" i="103"/>
  <c r="Y45" i="103"/>
  <c r="Z45" i="103"/>
  <c r="O45" i="103"/>
  <c r="Q45" i="103"/>
  <c r="M45" i="103"/>
  <c r="L45" i="103" s="1"/>
  <c r="R45" i="103"/>
  <c r="S45" i="103"/>
  <c r="AH44" i="103"/>
  <c r="AN44" i="103"/>
  <c r="AM44" i="103"/>
  <c r="AJ44" i="103"/>
  <c r="AL44" i="103"/>
  <c r="AF44" i="103"/>
  <c r="AG44" i="103"/>
  <c r="AE44" i="103"/>
  <c r="AC44" i="103"/>
  <c r="T44" i="103"/>
  <c r="V44" i="103"/>
  <c r="Y44" i="103"/>
  <c r="X44" i="103"/>
  <c r="Z44" i="103"/>
  <c r="M44" i="103"/>
  <c r="R44" i="103"/>
  <c r="S44" i="103"/>
  <c r="O44" i="103"/>
  <c r="Q44" i="103"/>
  <c r="AH43" i="103"/>
  <c r="AN43" i="103"/>
  <c r="AJ43" i="103"/>
  <c r="AL43" i="103"/>
  <c r="AM43" i="103"/>
  <c r="AE43" i="103"/>
  <c r="AG43" i="103"/>
  <c r="AC43" i="103"/>
  <c r="AA43" i="103"/>
  <c r="AF43" i="103"/>
  <c r="Z43" i="103"/>
  <c r="V43" i="103"/>
  <c r="Y43" i="103"/>
  <c r="T43" i="103"/>
  <c r="X43" i="103"/>
  <c r="O43" i="103"/>
  <c r="M43" i="103"/>
  <c r="Q43" i="103"/>
  <c r="R43" i="103"/>
  <c r="S43" i="103"/>
  <c r="AH42" i="103"/>
  <c r="AN42" i="103"/>
  <c r="AJ42" i="103"/>
  <c r="AM42" i="103"/>
  <c r="AL42" i="103"/>
  <c r="AC42" i="103"/>
  <c r="AE42" i="103"/>
  <c r="AA42" i="103"/>
  <c r="AG42" i="103"/>
  <c r="AF42" i="103"/>
  <c r="Y42" i="103"/>
  <c r="T42" i="103"/>
  <c r="V42" i="103"/>
  <c r="X42" i="103"/>
  <c r="Z42" i="103"/>
  <c r="R42" i="103"/>
  <c r="M42" i="103"/>
  <c r="S42" i="103"/>
  <c r="O42" i="103"/>
  <c r="Q42" i="103"/>
  <c r="AN36" i="103"/>
  <c r="AJ36" i="103"/>
  <c r="AL36" i="103"/>
  <c r="AM36" i="103"/>
  <c r="AH36" i="103"/>
  <c r="AC36" i="103"/>
  <c r="AF36" i="103"/>
  <c r="AA36" i="103"/>
  <c r="AE36" i="103"/>
  <c r="AG36" i="103"/>
  <c r="Z36" i="103"/>
  <c r="X36" i="103"/>
  <c r="Y36" i="103"/>
  <c r="T36" i="103"/>
  <c r="V36" i="103"/>
  <c r="O36" i="103"/>
  <c r="R36" i="103"/>
  <c r="M36" i="103"/>
  <c r="S36" i="103"/>
  <c r="AM35" i="103"/>
  <c r="AJ35" i="103"/>
  <c r="AN35" i="103"/>
  <c r="AH35" i="103"/>
  <c r="AL35" i="103"/>
  <c r="AC35" i="103"/>
  <c r="AF35" i="103"/>
  <c r="AE35" i="103"/>
  <c r="V35" i="103"/>
  <c r="X35" i="103"/>
  <c r="Y35" i="103"/>
  <c r="Z35" i="103"/>
  <c r="O35" i="103"/>
  <c r="Q35" i="103"/>
  <c r="R35" i="103"/>
  <c r="S35" i="103"/>
  <c r="AJ34" i="103"/>
  <c r="AN34" i="103"/>
  <c r="AL34" i="103"/>
  <c r="AM34" i="103"/>
  <c r="AE34" i="103"/>
  <c r="AF34" i="103"/>
  <c r="AG34" i="103"/>
  <c r="AC34" i="103"/>
  <c r="Z34" i="103"/>
  <c r="V34" i="103"/>
  <c r="X34" i="103"/>
  <c r="Y34" i="103"/>
  <c r="R34" i="103"/>
  <c r="S34" i="103"/>
  <c r="O34" i="103"/>
  <c r="Q34" i="103"/>
  <c r="AJ33" i="103"/>
  <c r="AL33" i="103"/>
  <c r="AM33" i="103"/>
  <c r="AN33" i="103"/>
  <c r="AC33" i="103"/>
  <c r="AE33" i="103"/>
  <c r="AF33" i="103"/>
  <c r="AG33" i="103"/>
  <c r="Z33" i="103"/>
  <c r="X33" i="103"/>
  <c r="Y33" i="103"/>
  <c r="V33" i="103"/>
  <c r="S33" i="103"/>
  <c r="O33" i="103"/>
  <c r="R33" i="103"/>
  <c r="Q33" i="103"/>
  <c r="AN31" i="103"/>
  <c r="AM31" i="103"/>
  <c r="AL31" i="103"/>
  <c r="AJ31" i="103"/>
  <c r="AE31" i="103"/>
  <c r="AF31" i="103"/>
  <c r="AG31" i="103"/>
  <c r="AC31" i="103"/>
  <c r="X31" i="103"/>
  <c r="Y31" i="103"/>
  <c r="V31" i="103"/>
  <c r="Z31" i="103"/>
  <c r="R31" i="103"/>
  <c r="Q31" i="103"/>
  <c r="S31" i="103"/>
  <c r="O31" i="103"/>
  <c r="L31" i="103" s="1"/>
  <c r="AJ30" i="103"/>
  <c r="AN30" i="103"/>
  <c r="AM30" i="103"/>
  <c r="AL30" i="103"/>
  <c r="AC30" i="103"/>
  <c r="AE30" i="103"/>
  <c r="AG30" i="103"/>
  <c r="AF30" i="103"/>
  <c r="X30" i="103"/>
  <c r="V30" i="103"/>
  <c r="Y30" i="103"/>
  <c r="Z30" i="103"/>
  <c r="Q30" i="103"/>
  <c r="S30" i="103"/>
  <c r="R30" i="103"/>
  <c r="O30" i="103"/>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T72" i="7"/>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40" i="104" l="1"/>
  <c r="L48" i="104"/>
  <c r="L51" i="104"/>
  <c r="L47" i="104"/>
  <c r="L46" i="104"/>
  <c r="L45" i="104"/>
  <c r="L53" i="104"/>
  <c r="L50" i="104"/>
  <c r="L52" i="104"/>
  <c r="L42" i="104"/>
  <c r="L43" i="104"/>
  <c r="L41" i="104"/>
  <c r="L101" i="104"/>
  <c r="L97" i="104"/>
  <c r="L99" i="104"/>
  <c r="L98" i="104"/>
  <c r="L35" i="104"/>
  <c r="L37" i="104"/>
  <c r="L33" i="104"/>
  <c r="L30" i="104"/>
  <c r="L31" i="104"/>
  <c r="L36" i="104"/>
  <c r="L38" i="104"/>
  <c r="L32" i="104"/>
  <c r="L96" i="104"/>
  <c r="L100" i="104"/>
  <c r="L102" i="104"/>
  <c r="C11" i="104"/>
  <c r="L11" i="104" s="1"/>
  <c r="C16" i="104"/>
  <c r="L16" i="104" s="1"/>
  <c r="C12" i="104"/>
  <c r="L12" i="104" s="1"/>
  <c r="L1" i="104"/>
  <c r="B27" i="104"/>
  <c r="C27" i="104" s="1"/>
  <c r="L27" i="104" s="1"/>
  <c r="C10" i="104"/>
  <c r="L10" i="104" s="1"/>
  <c r="B26" i="104"/>
  <c r="C26" i="104" s="1"/>
  <c r="L26" i="104" s="1"/>
  <c r="L104" i="103"/>
  <c r="L107" i="103"/>
  <c r="L33" i="103"/>
  <c r="L51" i="103"/>
  <c r="L36" i="103"/>
  <c r="L34" i="103"/>
  <c r="L101" i="103"/>
  <c r="L106" i="103"/>
  <c r="L43" i="103"/>
  <c r="L105" i="103"/>
  <c r="L42" i="103"/>
  <c r="L35" i="103"/>
  <c r="L102" i="103"/>
  <c r="L54" i="103"/>
  <c r="L53" i="103"/>
  <c r="L44" i="103"/>
  <c r="L30" i="103"/>
  <c r="L52" i="103"/>
  <c r="L103" i="103"/>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8" i="104" l="1"/>
  <c r="L8" i="104" s="1"/>
  <c r="L91" i="104"/>
  <c r="L4" i="104"/>
  <c r="C9" i="104"/>
  <c r="L9" i="104" s="1"/>
  <c r="C7" i="104" a="1"/>
  <c r="C7" i="104" s="1"/>
  <c r="L96" i="36"/>
  <c r="L86" i="36"/>
  <c r="L91" i="36"/>
  <c r="L99" i="36"/>
  <c r="L90" i="36"/>
  <c r="L100" i="36"/>
  <c r="C19" i="104" l="1"/>
  <c r="L19" i="104" s="1"/>
  <c r="L7" i="104"/>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L65" i="7"/>
  <c r="AK64" i="7"/>
  <c r="AI64" i="7"/>
  <c r="AD64" i="7"/>
  <c r="AB64" i="7"/>
  <c r="AF64" i="7" s="1"/>
  <c r="W64" i="7"/>
  <c r="U64" i="7"/>
  <c r="Y64" i="7" s="1"/>
  <c r="P64" i="7"/>
  <c r="N64" i="7"/>
  <c r="L64" i="7"/>
  <c r="AK63" i="7"/>
  <c r="AI63" i="7"/>
  <c r="AH63" i="7" s="1"/>
  <c r="AD63" i="7"/>
  <c r="AB63" i="7"/>
  <c r="W63" i="7"/>
  <c r="U63" i="7"/>
  <c r="T63" i="7" s="1"/>
  <c r="P63" i="7"/>
  <c r="N63" i="7"/>
  <c r="L63" i="7"/>
  <c r="AK62" i="7"/>
  <c r="AI62" i="7"/>
  <c r="AM62" i="7" s="1"/>
  <c r="AD62" i="7"/>
  <c r="AB62" i="7"/>
  <c r="AF62" i="7" s="1"/>
  <c r="W62" i="7"/>
  <c r="U62" i="7"/>
  <c r="Y62" i="7" s="1"/>
  <c r="P62" i="7"/>
  <c r="N62" i="7"/>
  <c r="L62" i="7"/>
  <c r="AK61" i="7"/>
  <c r="AI61" i="7"/>
  <c r="AM61" i="7" s="1"/>
  <c r="AD61" i="7"/>
  <c r="AB61" i="7"/>
  <c r="AA61" i="7" s="1"/>
  <c r="W61" i="7"/>
  <c r="U61" i="7"/>
  <c r="Z61" i="7" s="1"/>
  <c r="P61" i="7"/>
  <c r="N61" i="7"/>
  <c r="L61" i="7"/>
  <c r="AK60" i="7"/>
  <c r="AI60" i="7"/>
  <c r="AN60" i="7" s="1"/>
  <c r="AD60" i="7"/>
  <c r="AB60" i="7"/>
  <c r="AA60" i="7" s="1"/>
  <c r="W60" i="7"/>
  <c r="U60" i="7"/>
  <c r="Y60" i="7" s="1"/>
  <c r="P60" i="7"/>
  <c r="N60" i="7"/>
  <c r="L60" i="7"/>
  <c r="AK59" i="7"/>
  <c r="AI59" i="7"/>
  <c r="AM59" i="7" s="1"/>
  <c r="AD59" i="7"/>
  <c r="AB59" i="7"/>
  <c r="AF59" i="7" s="1"/>
  <c r="W59" i="7"/>
  <c r="U59" i="7"/>
  <c r="Y59" i="7" s="1"/>
  <c r="P59" i="7"/>
  <c r="N59" i="7"/>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L56" i="7"/>
  <c r="AK55" i="7"/>
  <c r="AI55" i="7"/>
  <c r="AM55" i="7" s="1"/>
  <c r="AD55" i="7"/>
  <c r="AB55" i="7"/>
  <c r="AF55" i="7" s="1"/>
  <c r="W55" i="7"/>
  <c r="U55" i="7"/>
  <c r="Z55" i="7" s="1"/>
  <c r="P55" i="7"/>
  <c r="N55" i="7"/>
  <c r="L55" i="7"/>
  <c r="AK54" i="7"/>
  <c r="AI54" i="7"/>
  <c r="AM54" i="7" s="1"/>
  <c r="AD54" i="7"/>
  <c r="AB54" i="7"/>
  <c r="AF54" i="7" s="1"/>
  <c r="W54" i="7"/>
  <c r="U54" i="7"/>
  <c r="Y54" i="7" s="1"/>
  <c r="P54" i="7"/>
  <c r="N54" i="7"/>
  <c r="L54" i="7"/>
  <c r="AK53" i="7"/>
  <c r="AI53" i="7"/>
  <c r="AM53" i="7" s="1"/>
  <c r="AD53" i="7"/>
  <c r="AB53" i="7"/>
  <c r="AF53" i="7" s="1"/>
  <c r="W53" i="7"/>
  <c r="U53" i="7"/>
  <c r="Y53" i="7" s="1"/>
  <c r="P53" i="7"/>
  <c r="N53" i="7"/>
  <c r="L53" i="7"/>
  <c r="AK52" i="7"/>
  <c r="AI52" i="7"/>
  <c r="AN52" i="7" s="1"/>
  <c r="AD52" i="7"/>
  <c r="AB52" i="7"/>
  <c r="AA52" i="7" s="1"/>
  <c r="W52" i="7"/>
  <c r="U52" i="7"/>
  <c r="Y52" i="7" s="1"/>
  <c r="P52" i="7"/>
  <c r="N52" i="7"/>
  <c r="L52" i="7"/>
  <c r="AK51" i="7"/>
  <c r="AI51" i="7"/>
  <c r="AM51" i="7" s="1"/>
  <c r="AD51" i="7"/>
  <c r="AB51" i="7"/>
  <c r="AF51" i="7" s="1"/>
  <c r="W51" i="7"/>
  <c r="U51" i="7"/>
  <c r="V51" i="7" s="1"/>
  <c r="P51" i="7"/>
  <c r="N51" i="7"/>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L48" i="7"/>
  <c r="AK47" i="7"/>
  <c r="AI47" i="7"/>
  <c r="AM47" i="7" s="1"/>
  <c r="AD47" i="7"/>
  <c r="AB47" i="7"/>
  <c r="AG47" i="7" s="1"/>
  <c r="W47" i="7"/>
  <c r="U47" i="7"/>
  <c r="T47" i="7" s="1"/>
  <c r="P47" i="7"/>
  <c r="N47" i="7"/>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R31" i="7" s="1"/>
  <c r="L18" i="7"/>
  <c r="L17" i="7"/>
  <c r="L15" i="7"/>
  <c r="L14" i="7"/>
  <c r="L13" i="7"/>
  <c r="R108" i="7" l="1"/>
  <c r="R109" i="7"/>
  <c r="R110" i="7"/>
  <c r="R111" i="7"/>
  <c r="R112" i="7"/>
  <c r="R113" i="7"/>
  <c r="R114" i="7"/>
  <c r="AH112" i="7"/>
  <c r="M113" i="7"/>
  <c r="M90" i="7"/>
  <c r="AA100" i="7"/>
  <c r="T61" i="7"/>
  <c r="AH89" i="7"/>
  <c r="T91" i="7"/>
  <c r="T111" i="7"/>
  <c r="AH35" i="7"/>
  <c r="AH46" i="7"/>
  <c r="AA113" i="7"/>
  <c r="T53" i="7"/>
  <c r="AA58" i="7"/>
  <c r="T112" i="7"/>
  <c r="M96" i="7"/>
  <c r="O31" i="7"/>
  <c r="Q42" i="7"/>
  <c r="S90" i="7"/>
  <c r="M97" i="7"/>
  <c r="O108" i="7"/>
  <c r="M109" i="7"/>
  <c r="T114" i="7"/>
  <c r="M76" i="7"/>
  <c r="M33" i="7"/>
  <c r="M50" i="7"/>
  <c r="O57" i="7"/>
  <c r="S77" i="7"/>
  <c r="M98" i="7"/>
  <c r="S112" i="7"/>
  <c r="O43" i="7"/>
  <c r="S91" i="7"/>
  <c r="O44" i="7"/>
  <c r="S58" i="7"/>
  <c r="M64" i="7"/>
  <c r="M78" i="7"/>
  <c r="M32" i="7"/>
  <c r="T33" i="7"/>
  <c r="O34" i="7"/>
  <c r="S45" i="7"/>
  <c r="Q88" i="7"/>
  <c r="S61" i="7"/>
  <c r="M35" i="7"/>
  <c r="AA43" i="7"/>
  <c r="M46" i="7"/>
  <c r="S53" i="7"/>
  <c r="M89" i="7"/>
  <c r="M100" i="7"/>
  <c r="O113" i="7"/>
  <c r="S49" i="7"/>
  <c r="T65" i="7"/>
  <c r="M67" i="7"/>
  <c r="O95" i="7"/>
  <c r="AH97" i="7"/>
  <c r="Q114" i="7"/>
  <c r="AF91" i="7"/>
  <c r="T55" i="7"/>
  <c r="AN108" i="7"/>
  <c r="AL108" i="7"/>
  <c r="V63" i="7"/>
  <c r="AG50" i="7"/>
  <c r="AG64" i="7"/>
  <c r="AG51" i="7"/>
  <c r="Q111" i="7"/>
  <c r="AM78" i="7"/>
  <c r="V108" i="7"/>
  <c r="O52" i="7"/>
  <c r="X108" i="7"/>
  <c r="V95" i="7"/>
  <c r="AM31" i="7"/>
  <c r="V77" i="7"/>
  <c r="O36" i="7"/>
  <c r="AL47" i="7"/>
  <c r="AC51" i="7"/>
  <c r="AA88" i="7"/>
  <c r="AL31" i="7"/>
  <c r="X95" i="7"/>
  <c r="AE50" i="7"/>
  <c r="AL95" i="7"/>
  <c r="AM95" i="7"/>
  <c r="S113" i="7"/>
  <c r="AE90" i="7"/>
  <c r="O111" i="7"/>
  <c r="Y75" i="7"/>
  <c r="AF90" i="7"/>
  <c r="S111" i="7"/>
  <c r="Z108" i="7"/>
  <c r="AE67" i="7"/>
  <c r="AL77" i="7"/>
  <c r="AM42" i="7"/>
  <c r="AC48" i="7"/>
  <c r="AM77" i="7"/>
  <c r="Q92" i="7"/>
  <c r="X35" i="7"/>
  <c r="AN42" i="7"/>
  <c r="Q60" i="7"/>
  <c r="Y35" i="7"/>
  <c r="AE48" i="7"/>
  <c r="S60" i="7"/>
  <c r="V75" i="7"/>
  <c r="AE32" i="7"/>
  <c r="M43" i="7"/>
  <c r="AF48" i="7"/>
  <c r="Q113" i="7"/>
  <c r="AG42" i="7"/>
  <c r="AC60" i="7"/>
  <c r="AE54" i="7"/>
  <c r="AN35" i="7"/>
  <c r="AC90" i="7"/>
  <c r="AJ95" i="7"/>
  <c r="AE113" i="7"/>
  <c r="AJ59" i="7"/>
  <c r="AJ77" i="7"/>
  <c r="AL112" i="7"/>
  <c r="Q32" i="7"/>
  <c r="O92" i="7"/>
  <c r="V101" i="7"/>
  <c r="AJ35" i="7"/>
  <c r="AL92" i="7"/>
  <c r="X101" i="7"/>
  <c r="AC78" i="7"/>
  <c r="AJ63" i="7"/>
  <c r="AG43" i="7"/>
  <c r="X49" i="7"/>
  <c r="O76" i="7"/>
  <c r="AH101" i="7"/>
  <c r="AG113" i="7"/>
  <c r="AL34" i="7"/>
  <c r="AM50" i="7"/>
  <c r="O48" i="7"/>
  <c r="AE42" i="7"/>
  <c r="S48" i="7"/>
  <c r="AN112" i="7"/>
  <c r="AM112" i="7"/>
  <c r="Y76" i="7"/>
  <c r="AM111" i="7"/>
  <c r="AC52" i="7"/>
  <c r="Y61" i="7"/>
  <c r="Z93" i="7"/>
  <c r="S109" i="7"/>
  <c r="Y88" i="7"/>
  <c r="X31" i="7"/>
  <c r="V34" i="7"/>
  <c r="X44" i="7"/>
  <c r="AF52" i="7"/>
  <c r="AF61" i="7"/>
  <c r="AG93" i="7"/>
  <c r="AF99" i="7"/>
  <c r="AA109" i="7"/>
  <c r="AF42" i="7"/>
  <c r="V110" i="7"/>
  <c r="V45" i="7"/>
  <c r="AC89" i="7"/>
  <c r="X110" i="7"/>
  <c r="AJ56" i="7"/>
  <c r="O64" i="7"/>
  <c r="V93" i="7"/>
  <c r="X93" i="7"/>
  <c r="V44" i="7"/>
  <c r="AE52" i="7"/>
  <c r="AA50" i="7"/>
  <c r="AL55" i="7"/>
  <c r="AC64" i="7"/>
  <c r="X112" i="7"/>
  <c r="S64" i="7"/>
  <c r="Q64" i="7"/>
  <c r="Y93" i="7"/>
  <c r="Y34" i="7"/>
  <c r="AN55" i="7"/>
  <c r="Y112" i="7"/>
  <c r="AC50" i="7"/>
  <c r="AE64" i="7"/>
  <c r="AM102" i="7"/>
  <c r="Z112" i="7"/>
  <c r="X61" i="7"/>
  <c r="M48" i="7"/>
  <c r="AA67" i="7"/>
  <c r="AM96" i="7"/>
  <c r="M107" i="7"/>
  <c r="V59" i="7"/>
  <c r="AF32" i="7"/>
  <c r="O35" i="7"/>
  <c r="Z35" i="7"/>
  <c r="V42" i="7"/>
  <c r="AM44" i="7"/>
  <c r="X45" i="7"/>
  <c r="X47" i="7"/>
  <c r="X48" i="7"/>
  <c r="AM48" i="7"/>
  <c r="Z49" i="7"/>
  <c r="X51" i="7"/>
  <c r="Q52" i="7"/>
  <c r="AG54" i="7"/>
  <c r="AL59" i="7"/>
  <c r="X63" i="7"/>
  <c r="AL63" i="7"/>
  <c r="Q76" i="7"/>
  <c r="X77" i="7"/>
  <c r="O89" i="7"/>
  <c r="AE89" i="7"/>
  <c r="AC92" i="7"/>
  <c r="AE98" i="7"/>
  <c r="S99" i="7"/>
  <c r="Y102" i="7"/>
  <c r="AF114" i="7"/>
  <c r="X32" i="7"/>
  <c r="AG32" i="7"/>
  <c r="V33" i="7"/>
  <c r="AH42" i="7"/>
  <c r="AL46" i="7"/>
  <c r="AL51" i="7"/>
  <c r="S52" i="7"/>
  <c r="AG52" i="7"/>
  <c r="Q54" i="7"/>
  <c r="O56" i="7"/>
  <c r="M58" i="7"/>
  <c r="Z59" i="7"/>
  <c r="AN59" i="7"/>
  <c r="Q62" i="7"/>
  <c r="Y63" i="7"/>
  <c r="AM63" i="7"/>
  <c r="AJ75" i="7"/>
  <c r="AM76" i="7"/>
  <c r="Z77" i="7"/>
  <c r="AG90" i="7"/>
  <c r="O94" i="7"/>
  <c r="Z95" i="7"/>
  <c r="Y96" i="7"/>
  <c r="AJ97" i="7"/>
  <c r="Q98" i="7"/>
  <c r="AF98" i="7"/>
  <c r="T99" i="7"/>
  <c r="AA102" i="7"/>
  <c r="AA108" i="7"/>
  <c r="Y111" i="7"/>
  <c r="AH114" i="7"/>
  <c r="AN51" i="7"/>
  <c r="S54" i="7"/>
  <c r="Z63" i="7"/>
  <c r="AN63" i="7"/>
  <c r="AE92" i="7"/>
  <c r="S98" i="7"/>
  <c r="AG98" i="7"/>
  <c r="AE100" i="7"/>
  <c r="AE109" i="7"/>
  <c r="V32" i="7"/>
  <c r="AJ51" i="7"/>
  <c r="X42" i="7"/>
  <c r="AJ31" i="7"/>
  <c r="Z32" i="7"/>
  <c r="Z33" i="7"/>
  <c r="AJ34" i="7"/>
  <c r="T35" i="7"/>
  <c r="AM36" i="7"/>
  <c r="Y42" i="7"/>
  <c r="Q43" i="7"/>
  <c r="AE45" i="7"/>
  <c r="Q56" i="7"/>
  <c r="Q67" i="7"/>
  <c r="AG67" i="7"/>
  <c r="AL75" i="7"/>
  <c r="O78" i="7"/>
  <c r="AJ88" i="7"/>
  <c r="AF92" i="7"/>
  <c r="Q94" i="7"/>
  <c r="O96" i="7"/>
  <c r="AL97" i="7"/>
  <c r="AG100" i="7"/>
  <c r="T108" i="7"/>
  <c r="Q109" i="7"/>
  <c r="AF109" i="7"/>
  <c r="Y32" i="7"/>
  <c r="Q35" i="7"/>
  <c r="S32" i="7"/>
  <c r="AA32" i="7"/>
  <c r="AA33" i="7"/>
  <c r="S36" i="7"/>
  <c r="AL42" i="7"/>
  <c r="S43" i="7"/>
  <c r="AF45" i="7"/>
  <c r="AJ47" i="7"/>
  <c r="Q48" i="7"/>
  <c r="M52" i="7"/>
  <c r="S56" i="7"/>
  <c r="AH59" i="7"/>
  <c r="AE60" i="7"/>
  <c r="V61" i="7"/>
  <c r="AH65" i="7"/>
  <c r="S67" i="7"/>
  <c r="X75" i="7"/>
  <c r="AA76" i="7"/>
  <c r="AE78" i="7"/>
  <c r="V88" i="7"/>
  <c r="Z97" i="7"/>
  <c r="AN97" i="7"/>
  <c r="Q100" i="7"/>
  <c r="AA107" i="7"/>
  <c r="AG109" i="7"/>
  <c r="O62" i="7"/>
  <c r="AH57" i="7"/>
  <c r="Q78" i="7"/>
  <c r="AM88" i="7"/>
  <c r="Q96" i="7"/>
  <c r="AA98" i="7"/>
  <c r="AH113" i="7"/>
  <c r="AC44" i="7"/>
  <c r="AC46" i="7"/>
  <c r="AC97" i="7"/>
  <c r="V53" i="7"/>
  <c r="O58" i="7"/>
  <c r="AJ101" i="7"/>
  <c r="Y109" i="7"/>
  <c r="AE111"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88" i="7"/>
  <c r="AM90" i="7"/>
  <c r="AN91" i="7"/>
  <c r="AN93" i="7"/>
  <c r="AG94" i="7"/>
  <c r="T95" i="7"/>
  <c r="AG96" i="7"/>
  <c r="X99" i="7"/>
  <c r="AL99" i="7"/>
  <c r="Z101" i="7"/>
  <c r="AL101" i="7"/>
  <c r="S102" i="7"/>
  <c r="AE102" i="7"/>
  <c r="Z110" i="7"/>
  <c r="AN110" i="7"/>
  <c r="AM113" i="7"/>
  <c r="X114" i="7"/>
  <c r="AJ53" i="7"/>
  <c r="V57" i="7"/>
  <c r="AC62" i="7"/>
  <c r="AC94" i="7"/>
  <c r="AG34" i="7"/>
  <c r="AG44" i="7"/>
  <c r="AF49" i="7"/>
  <c r="AA64" i="7"/>
  <c r="X65" i="7"/>
  <c r="AL65" i="7"/>
  <c r="AG76" i="7"/>
  <c r="T77" i="7"/>
  <c r="AE88" i="7"/>
  <c r="AL89" i="7"/>
  <c r="Q90" i="7"/>
  <c r="X91" i="7"/>
  <c r="O98" i="7"/>
  <c r="Z99" i="7"/>
  <c r="AC100" i="7"/>
  <c r="AN101" i="7"/>
  <c r="T102" i="7"/>
  <c r="AG102" i="7"/>
  <c r="Q107" i="7"/>
  <c r="AE107" i="7"/>
  <c r="AF108" i="7"/>
  <c r="M111" i="7"/>
  <c r="AC113" i="7"/>
  <c r="M114" i="7"/>
  <c r="Z114" i="7"/>
  <c r="AL114" i="7"/>
  <c r="AJ61" i="7"/>
  <c r="O102" i="7"/>
  <c r="AJ57" i="7"/>
  <c r="AM58" i="7"/>
  <c r="X55" i="7"/>
  <c r="AM57" i="7"/>
  <c r="AE58" i="7"/>
  <c r="O32" i="7"/>
  <c r="AJ36" i="7"/>
  <c r="T45" i="7"/>
  <c r="V47" i="7"/>
  <c r="AH47" i="7"/>
  <c r="V49" i="7"/>
  <c r="O54" i="7"/>
  <c r="AC54" i="7"/>
  <c r="Y55" i="7"/>
  <c r="AJ55" i="7"/>
  <c r="AF58" i="7"/>
  <c r="O60" i="7"/>
  <c r="M62" i="7"/>
  <c r="Z65" i="7"/>
  <c r="AM65" i="7"/>
  <c r="AM89" i="7"/>
  <c r="Z91" i="7"/>
  <c r="M92" i="7"/>
  <c r="M94" i="7"/>
  <c r="AA99" i="7"/>
  <c r="S107" i="7"/>
  <c r="AF107" i="7"/>
  <c r="AH108" i="7"/>
  <c r="AM114" i="7"/>
  <c r="AJ93" i="7"/>
  <c r="AC76" i="7"/>
  <c r="V99" i="7"/>
  <c r="AF31" i="7"/>
  <c r="Z53" i="7"/>
  <c r="AL33" i="7"/>
  <c r="AA46" i="7"/>
  <c r="T57" i="7"/>
  <c r="AH61" i="7"/>
  <c r="AA62" i="7"/>
  <c r="AH93" i="7"/>
  <c r="AA94" i="7"/>
  <c r="AA96" i="7"/>
  <c r="M102" i="7"/>
  <c r="AH110" i="7"/>
  <c r="AA111"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107" i="7"/>
  <c r="Z107" i="7"/>
  <c r="Y107" i="7"/>
  <c r="X107" i="7"/>
  <c r="V107"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98" i="7"/>
  <c r="Z98" i="7"/>
  <c r="Y98" i="7"/>
  <c r="V98" i="7"/>
  <c r="X98" i="7"/>
  <c r="Z100" i="7"/>
  <c r="X100" i="7"/>
  <c r="T100" i="7"/>
  <c r="Y100" i="7"/>
  <c r="V100"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L31" i="7" l="1"/>
  <c r="L111" i="7"/>
  <c r="L109" i="7"/>
  <c r="L112" i="7"/>
  <c r="L108" i="7"/>
  <c r="L113" i="7"/>
  <c r="L98" i="8"/>
  <c r="L94" i="8"/>
  <c r="L102" i="8"/>
  <c r="C9" i="8"/>
  <c r="L9" i="8" s="1"/>
  <c r="C8" i="8"/>
  <c r="L8" i="8" s="1"/>
  <c r="L4" i="8"/>
  <c r="C7" i="8" a="1"/>
  <c r="C7" i="8" s="1"/>
  <c r="L110" i="7"/>
  <c r="L114"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03" a="1"/>
  <c r="C1" i="103" l="1"/>
  <c r="L1" i="103" s="1"/>
  <c r="C1" i="7" a="1"/>
  <c r="B27" i="103" l="1"/>
  <c r="C27" i="103" s="1"/>
  <c r="L27" i="103" s="1"/>
  <c r="C11" i="103"/>
  <c r="L11" i="103" s="1"/>
  <c r="C10" i="103"/>
  <c r="L10" i="103" s="1"/>
  <c r="B26" i="103"/>
  <c r="C26" i="103" s="1"/>
  <c r="L26" i="103" s="1"/>
  <c r="C16" i="103"/>
  <c r="L16" i="103" s="1"/>
  <c r="C12" i="103"/>
  <c r="L12" i="103" s="1"/>
  <c r="C1" i="7"/>
  <c r="L4" i="103"/>
  <c r="C7" i="103" a="1"/>
  <c r="C7" i="103" s="1"/>
  <c r="C8" i="103"/>
  <c r="L8" i="103" s="1"/>
  <c r="C9" i="103"/>
  <c r="L9" i="103" s="1"/>
  <c r="L96" i="103"/>
  <c r="C1" i="36" a="1"/>
  <c r="C1" i="36" l="1"/>
  <c r="B26" i="7"/>
  <c r="C26" i="7" s="1"/>
  <c r="L26" i="7" s="1"/>
  <c r="C10" i="7"/>
  <c r="L10" i="7" s="1"/>
  <c r="B27" i="7"/>
  <c r="C27" i="7" s="1"/>
  <c r="L27" i="7" s="1"/>
  <c r="L1" i="7"/>
  <c r="C12" i="7"/>
  <c r="L12" i="7" s="1"/>
  <c r="C16" i="7"/>
  <c r="L16" i="7" s="1"/>
  <c r="C11" i="7"/>
  <c r="L11" i="7" s="1"/>
  <c r="L7" i="103"/>
  <c r="C19" i="103"/>
  <c r="L19" i="103" s="1"/>
  <c r="C7" i="7" l="1" a="1"/>
  <c r="C7" i="7" s="1"/>
  <c r="L103" i="7"/>
  <c r="L4" i="7"/>
  <c r="C8" i="7"/>
  <c r="L8" i="7" s="1"/>
  <c r="C9" i="7"/>
  <c r="L9" i="7" s="1"/>
  <c r="B27" i="36"/>
  <c r="C27" i="36" s="1"/>
  <c r="L27" i="36" s="1"/>
  <c r="C12" i="36"/>
  <c r="L12" i="36" s="1"/>
  <c r="C10" i="36"/>
  <c r="L10" i="36" s="1"/>
  <c r="C11" i="36"/>
  <c r="L11" i="36" s="1"/>
  <c r="L1" i="36"/>
  <c r="C16" i="36"/>
  <c r="L16" i="36" s="1"/>
  <c r="B26" i="36"/>
  <c r="C26" i="36" s="1"/>
  <c r="L26" i="36" s="1"/>
  <c r="C7" i="36" l="1" a="1"/>
  <c r="C7" i="36" s="1"/>
  <c r="C8" i="36"/>
  <c r="L8" i="36" s="1"/>
  <c r="L102" i="36"/>
  <c r="L4" i="36"/>
  <c r="C9" i="36"/>
  <c r="L9" i="36" s="1"/>
  <c r="L7" i="7"/>
  <c r="C19" i="7"/>
  <c r="L19" i="7" s="1"/>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38A145-CF8C-4550-99A2-A02AA2654299}">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656180-A7E0-4EE2-8D06-17877079486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<sst xmlns="http://schemas.openxmlformats.org/spreadsheetml/2006/main" count="4809" uniqueCount="1067">
  <si>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</si>
  <si>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</si>
  <si>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</si>
  <si>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</si>
  <si>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</si>
  <si>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</si>
  <si>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</si>
  <si>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</si>
  <si>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</si>
  <si>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</si>
  <si>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</si>
  <si>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</si>
  <si>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</si>
  <si>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</si>
  <si>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</si>
  <si>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</si>
  <si>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</si>
  <si>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</si>
  <si>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</si>
  <si>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</si>
  <si>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</si>
  <si>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</si>
  <si>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</si>
  <si>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</si>
  <si>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</si>
  <si>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</si>
  <si>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</si>
  <si>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</si>
  <si>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</si>
  <si>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</si>
  <si>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</si>
  <si>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</si>
  <si>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</si>
  <si>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</si>
  <si>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</si>
  <si>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</si>
  <si>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</si>
  <si>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</si>
  <si>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</si>
  <si>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</si>
  <si>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</si>
  <si>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</si>
  <si>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</si>
  <si>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</si>
  <si>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</si>
  <si>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</si>
  <si>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</si>
  <si>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</si>
  <si>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</si>
  <si>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</si>
  <si>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</si>
  <si>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</si>
  <si>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</si>
  <si>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</si>
  <si>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</si>
  <si>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</si>
  <si>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</si>
  <si>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</si>
  <si>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</si>
  <si>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</si>
  <si>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</si>
  <si>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</si>
  <si>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</si>
  <si>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</si>
  <si>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</si>
  <si>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</si>
  <si>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</si>
  <si>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</si>
  <si>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</si>
  <si>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</si>
  <si>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</si>
  <si>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</si>
  <si>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</si>
  <si>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</si>
  <si>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</si>
  <si>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</si>
  <si>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</si>
  <si>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</si>
  <si>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</si>
  <si>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</si>
  <si>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</si>
  <si>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</si>
  <si>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</si>
  <si>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</si>
  <si>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</si>
  <si>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</si>
  <si>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</si>
  <si>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</si>
  <si>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</si>
  <si>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</si>
  <si>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</si>
  <si>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</si>
  <si>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</si>
  <si>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</si>
  <si>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</si>
  <si>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</si>
  <si>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</si>
  <si>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</si>
  <si>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</si>
  <si>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</si>
  <si>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</si>
  <si>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</si>
  <si>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</si>
  <si>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</si>
  <si>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</si>
  <si>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</si>
  <si>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</si>
  <si>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</si>
  <si>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</si>
  <si>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</si>
  <si>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</si>
  <si>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</si>
  <si>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</si>
  <si>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</si>
  <si>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</si>
  <si>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</si>
  <si>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</si>
  <si>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</si>
  <si>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</si>
  <si>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</si>
  <si>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</si>
  <si>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</si>
  <si>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</si>
  <si>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</si>
  <si>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</si>
  <si>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</si>
  <si>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</si>
  <si>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</si>
  <si>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</si>
  <si>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</si>
  <si>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</si>
  <si>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</si>
  <si>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</si>
  <si>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</si>
  <si>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</si>
  <si>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</si>
  <si>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</si>
  <si>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</si>
  <si>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</si>
  <si>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</si>
  <si>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</si>
  <si>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</si>
  <si>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</si>
  <si>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</si>
  <si>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</si>
  <si>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</si>
  <si>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</si>
  <si>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</si>
  <si>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</si>
  <si>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</si>
  <si>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</si>
  <si>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</si>
  <si>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</si>
  <si>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</si>
  <si>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</si>
  <si>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</si>
  <si>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</si>
  <si>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</si>
  <si>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</si>
  <si>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</si>
  <si>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</si>
  <si>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</si>
  <si>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</si>
  <si>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</si>
  <si>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</si>
  <si>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</si>
  <si>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</si>
  <si>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</si>
  <si>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</si>
  <si>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</si>
  <si>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</si>
  <si>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</si>
  <si>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</si>
  <si>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</si>
  <si>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</si>
  <si>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</si>
  <si>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</si>
  <si>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</si>
  <si>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</si>
  <si>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</si>
  <si>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</si>
  <si>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</si>
  <si>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</si>
  <si>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</si>
  <si>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</si>
  <si>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</si>
  <si>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</si>
  <si>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</si>
  <si>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</si>
  <si>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</si>
  <si>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</si>
  <si>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</si>
  <si>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</si>
  <si>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</si>
  <si>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</si>
  <si>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</si>
  <si>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</si>
  <si>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</si>
  <si>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</si>
  <si>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</si>
  <si>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</si>
  <si>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</si>
  <si>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</si>
  <si>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</si>
  <si>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</si>
  <si>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</si>
  <si>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</si>
  <si>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</si>
  <si>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</si>
  <si>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</si>
  <si>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</si>
  <si>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</si>
  <si>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</si>
  <si>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</si>
  <si>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</si>
  <si>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</si>
  <si>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</si>
  <si>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</si>
  <si>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</si>
  <si>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</si>
  <si>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</si>
  <si>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</si>
  <si>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</si>
  <si>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</si>
  <si>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</si>
  <si>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</si>
  <si>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</si>
  <si>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</si>
  <si>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</si>
  <si>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</si>
  <si>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</si>
  <si>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</si>
  <si>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</si>
  <si>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</si>
  <si>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</si>
  <si>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</si>
  <si>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</si>
  <si>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</si>
  <si>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</si>
  <si>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</si>
  <si>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</si>
  <si>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</si>
  <si>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</si>
  <si>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</si>
  <si>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</si>
  <si>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</si>
  <si>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</si>
  <si>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</si>
  <si>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</si>
  <si>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</si>
  <si>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</si>
  <si>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</si>
  <si>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</si>
  <si>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</si>
  <si>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</si>
  <si>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</si>
  <si>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</si>
  <si>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</si>
  <si>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</si>
  <si>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</si>
  <si>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</si>
  <si>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</si>
  <si>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</si>
  <si>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</si>
  <si>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</si>
  <si>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</si>
  <si>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</si>
  <si>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</si>
  <si>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</si>
  <si>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</si>
  <si>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</si>
  <si>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</si>
  <si>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</si>
  <si>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</si>
  <si>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</si>
  <si>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</si>
  <si>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</si>
  <si>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</si>
  <si>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</si>
  <si>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</si>
  <si>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</si>
  <si>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</si>
  <si>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</si>
  <si>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</si>
  <si>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</si>
  <si>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</si>
  <si>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</si>
  <si>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</si>
  <si>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</si>
  <si>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</si>
  <si>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</si>
  <si>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</si>
  <si>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</si>
  <si>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</si>
  <si>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</si>
  <si>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</si>
  <si>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</si>
  <si>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</si>
  <si>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</si>
  <si>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</si>
  <si>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</si>
  <si>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</si>
  <si>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</si>
  <si>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</si>
  <si>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</si>
  <si>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</si>
  <si>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</si>
  <si>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</si>
  <si>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</si>
  <si>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</si>
  <si>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</si>
  <si>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</si>
  <si>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</si>
  <si>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</si>
  <si>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</si>
  <si>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</si>
  <si>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</si>
  <si>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</si>
  <si>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</si>
  <si>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</si>
  <si>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</si>
  <si>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</si>
  <si>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</si>
  <si>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</si>
  <si>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</si>
  <si>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</si>
  <si>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</si>
  <si>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</si>
  <si>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</si>
  <si>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</si>
  <si>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</si>
  <si>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</si>
  <si>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</si>
  <si>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</si>
  <si>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</si>
  <si>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</si>
  <si>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</si>
  <si>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</si>
  <si>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</si>
  <si>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</si>
  <si>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</si>
  <si>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</si>
  <si>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</si>
  <si>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</si>
  <si>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</si>
  <si>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</si>
  <si>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</si>
  <si>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</si>
  <si>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</si>
  <si>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</si>
  <si>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</si>
  <si>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</si>
  <si>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</si>
  <si>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</si>
  <si>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</si>
  <si>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</si>
  <si>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</si>
  <si>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</si>
  <si>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</si>
  <si>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</si>
  <si>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</si>
  <si>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</si>
  <si>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</si>
  <si>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</si>
  <si>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</si>
  <si>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</si>
  <si>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</si>
  <si>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</si>
  <si>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</si>
  <si>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</si>
  <si>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</si>
  <si>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</si>
  <si>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</si>
  <si>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</si>
  <si>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</si>
  <si>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</si>
  <si>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</si>
  <si>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</si>
  <si>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</si>
  <si>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</si>
  <si>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</si>
  <si>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</si>
  <si>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</si>
  <si>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</si>
  <si>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</si>
  <si>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</si>
  <si>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</si>
  <si>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</si>
  <si>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</si>
  <si>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</si>
  <si>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</si>
  <si>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</si>
  <si>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</si>
  <si>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</si>
  <si>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</si>
  <si>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</si>
  <si>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</si>
  <si>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</si>
  <si>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</si>
  <si>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</si>
  <si>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</si>
  <si>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</si>
  <si>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</si>
  <si>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</si>
  <si>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</si>
  <si>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</si>
  <si>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</si>
  <si>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</si>
  <si>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</si>
  <si>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</si>
  <si>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</si>
  <si>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</si>
  <si>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</si>
  <si>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</si>
  <si>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</si>
  <si>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</si>
  <si>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</si>
  <si>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</si>
  <si>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</si>
  <si>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</si>
  <si>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</si>
  <si>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</si>
  <si>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</si>
  <si>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</si>
  <si>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</si>
  <si>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</si>
  <si>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</si>
  <si>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</si>
  <si>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</si>
  <si>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</si>
  <si>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</si>
  <si>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</si>
  <si>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</si>
  <si>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</si>
  <si>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</si>
  <si>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</si>
  <si>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</si>
  <si>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</si>
  <si>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</si>
  <si>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</si>
  <si>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</si>
  <si>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</si>
  <si>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</si>
  <si>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</si>
  <si>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</si>
  <si>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</si>
  <si>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</si>
  <si>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</si>
  <si>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</si>
  <si>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</si>
  <si>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</si>
  <si>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</si>
  <si>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</si>
  <si>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</si>
  <si>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</si>
  <si>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</si>
  <si>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</si>
  <si>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</si>
  <si>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</si>
  <si>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</si>
  <si>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</si>
  <si>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</si>
  <si>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</si>
  <si>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</si>
  <si>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</si>
  <si>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</si>
  <si>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</si>
  <si>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</si>
  <si>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</si>
  <si>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</si>
  <si>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</si>
  <si>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</si>
  <si>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</si>
  <si>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</si>
  <si>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</si>
  <si>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</si>
  <si>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</si>
  <si>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</si>
  <si>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</si>
  <si>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</si>
  <si>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</si>
  <si>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</si>
  <si>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</si>
  <si>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</si>
  <si>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</si>
  <si>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</si>
  <si>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</si>
  <si>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</si>
  <si>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</si>
  <si>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</si>
  <si>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</si>
  <si>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</si>
  <si>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</si>
  <si>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</si>
  <si>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</si>
  <si>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</si>
  <si>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</si>
  <si>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</si>
  <si>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</si>
  <si>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</si>
  <si>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</si>
  <si>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</si>
  <si>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</si>
  <si>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</si>
  <si>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</si>
  <si>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</si>
  <si>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</si>
  <si>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</si>
  <si>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</si>
  <si>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</si>
  <si>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</si>
  <si>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</si>
  <si>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</si>
  <si>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</si>
  <si>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</si>
  <si>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</si>
  <si>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</si>
  <si>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</si>
  <si>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</si>
  <si>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</si>
  <si>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</si>
  <si>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</si>
  <si>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</si>
  <si>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</si>
  <si>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</si>
  <si>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</si>
  <si>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</si>
  <si>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</si>
  <si>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</si>
  <si>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</si>
  <si>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</si>
  <si>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</si>
  <si>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</si>
  <si>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</si>
  <si>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</si>
  <si>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</si>
  <si>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</si>
  <si>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</si>
  <si>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</si>
  <si>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</si>
  <si>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</si>
  <si>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</si>
  <si>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</si>
  <si>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</si>
  <si>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</si>
  <si>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</si>
  <si>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</si>
  <si>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</si>
  <si>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</si>
  <si>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</si>
  <si>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</si>
  <si>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</si>
  <si>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</si>
  <si>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</si>
  <si>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</si>
  <si>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</si>
  <si>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</si>
  <si>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</si>
  <si>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</si>
  <si>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</si>
  <si>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</si>
  <si>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</si>
  <si>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</si>
  <si>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</si>
  <si>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</si>
  <si>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</si>
  <si>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</si>
  <si>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</si>
  <si>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</si>
  <si>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</si>
  <si>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</si>
  <si>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</si>
  <si>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</si>
  <si>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</si>
  <si>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</si>
  <si>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</si>
  <si>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</si>
  <si>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</si>
  <si>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</si>
  <si>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</si>
  <si>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</si>
  <si>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</si>
  <si>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</si>
  <si>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</si>
  <si>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</si>
  <si>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</si>
  <si>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</si>
  <si>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</si>
  <si>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</si>
  <si>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</si>
  <si>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</si>
  <si>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</si>
  <si>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</si>
  <si>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</si>
  <si>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</si>
  <si>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</si>
  <si>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</si>
  <si>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</si>
  <si>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</si>
  <si>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</si>
  <si>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</si>
  <si>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</si>
  <si>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</si>
  <si>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</si>
  <si>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</si>
  <si>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</si>
  <si>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</si>
  <si>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</si>
  <si>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</si>
  <si>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</si>
  <si>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</si>
  <si>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</si>
  <si>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</si>
  <si>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</si>
  <si>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</si>
  <si>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</si>
  <si>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</si>
  <si>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</si>
  <si>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</si>
  <si>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</si>
  <si>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</si>
  <si>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</si>
  <si>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</si>
  <si>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</si>
  <si>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</si>
  <si>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</si>
  <si>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</si>
  <si>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</si>
  <si>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</si>
  <si>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</si>
  <si>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</si>
  <si>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</si>
  <si>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</si>
  <si>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</si>
  <si>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</si>
  <si>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</si>
  <si>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</si>
  <si>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</si>
  <si>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</si>
  <si>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</si>
  <si>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</si>
  <si>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</si>
  <si>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</si>
  <si>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</si>
  <si>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</si>
  <si>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</si>
  <si>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</si>
  <si>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</si>
  <si>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</si>
  <si>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</si>
  <si>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</si>
  <si>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</si>
  <si>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</si>
  <si>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</si>
  <si>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</si>
  <si>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</si>
  <si>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</si>
  <si>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</si>
  <si>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</si>
  <si>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</si>
  <si>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</si>
  <si>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</si>
  <si>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</si>
  <si>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</si>
  <si>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</si>
  <si>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</si>
  <si>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</si>
  <si>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</si>
  <si>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</si>
  <si>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</si>
  <si>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</si>
  <si>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</si>
  <si>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</si>
  <si>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</si>
  <si>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</si>
  <si>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</si>
  <si>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</si>
  <si>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</si>
  <si>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</si>
  <si>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</si>
  <si>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</si>
  <si>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</si>
  <si>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</si>
  <si>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</si>
  <si>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</si>
  <si>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</si>
  <si>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</si>
  <si>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</si>
  <si>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</si>
  <si>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</si>
  <si>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</si>
  <si>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</si>
  <si>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</si>
  <si>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</si>
  <si>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</si>
  <si>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</si>
  <si>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</si>
  <si>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</si>
  <si>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</si>
  <si>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</si>
  <si>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</si>
  <si>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</si>
  <si>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</si>
  <si>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</si>
  <si>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</si>
  <si>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</si>
  <si>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</si>
  <si>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</si>
  <si>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</si>
  <si>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</si>
  <si>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</si>
  <si>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</si>
  <si>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</si>
  <si>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</si>
  <si>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</si>
  <si>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</si>
  <si>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</si>
  <si>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</si>
  <si>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</si>
  <si>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</si>
  <si>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</si>
  <si>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</si>
  <si>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</si>
  <si>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</si>
  <si>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</si>
  <si>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</si>
  <si>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</si>
  <si>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</si>
  <si>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</si>
  <si>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</si>
  <si>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</si>
  <si>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</si>
  <si>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</si>
  <si>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</si>
  <si>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</si>
  <si>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</si>
  <si>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</si>
  <si>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</si>
  <si>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</si>
  <si>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</si>
  <si>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</si>
  <si>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</si>
  <si>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</si>
  <si>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</si>
  <si>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</si>
  <si>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</si>
  <si>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</si>
  <si>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</si>
  <si>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</si>
  <si>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</si>
  <si>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</si>
  <si>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</si>
  <si>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</si>
  <si>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</si>
  <si>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</si>
  <si>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</si>
  <si>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</si>
  <si>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</si>
  <si>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</si>
  <si>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</si>
  <si>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</si>
  <si>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</si>
  <si>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</si>
  <si>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</si>
  <si>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</si>
  <si>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</si>
  <si>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</si>
  <si>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</si>
  <si>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</si>
  <si>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</si>
  <si>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</si>
  <si>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</si>
  <si>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</si>
  <si>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</si>
  <si>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</si>
  <si>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</si>
  <si>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</si>
  <si>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</si>
  <si>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</si>
  <si>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</si>
  <si>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</si>
  <si>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</si>
  <si>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</si>
  <si>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</si>
  <si>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</si>
  <si>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</si>
  <si>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</si>
  <si>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</si>
  <si>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</si>
  <si>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</si>
  <si>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</si>
  <si>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</si>
  <si>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</si>
  <si>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</si>
  <si>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</si>
  <si>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</si>
  <si>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</si>
  <si>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</si>
  <si>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</si>
  <si>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</si>
  <si>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</si>
  <si>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</si>
  <si>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</si>
  <si>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</si>
  <si>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</si>
  <si>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</si>
  <si>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</si>
  <si>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</si>
  <si>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</si>
  <si>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</si>
  <si>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</si>
  <si>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</si>
  <si>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</si>
  <si>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</si>
  <si>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</si>
  <si>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</si>
  <si>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</si>
  <si>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</si>
  <si>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</si>
  <si>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</si>
  <si>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</si>
  <si>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</si>
  <si>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</si>
  <si>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</si>
  <si>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</si>
  <si>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</si>
  <si>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</si>
  <si>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</si>
  <si>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</si>
  <si>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</si>
  <si>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</si>
  <si>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</si>
  <si>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</si>
  <si>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</si>
  <si>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</si>
  <si>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</si>
  <si>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</si>
  <si>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</si>
  <si>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</si>
  <si>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</si>
  <si>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</si>
  <si>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</si>
  <si>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</si>
  <si>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</si>
  <si>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</si>
  <si>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</si>
  <si>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</si>
  <si>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</si>
  <si>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</si>
  <si>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</si>
  <si>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</si>
  <si>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</si>
  <si>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</si>
  <si>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</si>
  <si>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</si>
  <si>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</si>
  <si>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</si>
  <si>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</si>
  <si>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</si>
  <si>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</si>
  <si>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</si>
  <si>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</si>
  <si>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</si>
  <si>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</si>
  <si>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</si>
  <si>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</si>
  <si>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</si>
  <si>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</si>
  <si>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</si>
  <si>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</si>
  <si>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</si>
  <si>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</si>
  <si>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</si>
  <si>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</si>
  <si>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</si>
  <si>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</si>
  <si>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</si>
  <si>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</si>
  <si>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</si>
  <si>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</si>
  <si>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</si>
  <si>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</si>
  <si>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</si>
  <si>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</si>
  <si>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</si>
  <si>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</si>
  <si>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</si>
  <si>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</si>
  <si>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</si>
  <si>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</si>
  <si>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</si>
  <si>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</si>
  <si>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</si>
  <si>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</si>
  <si>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</si>
  <si>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</si>
  <si>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</si>
  <si>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</si>
  <si>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</si>
  <si>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</si>
  <si>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</si>
  <si>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</si>
  <si>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</si>
  <si>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</si>
  <si>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</si>
  <si>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</si>
  <si>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</si>
  <si>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</si>
  <si>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</si>
  <si>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</si>
  <si>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</si>
  <si>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</si>
  <si>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</si>
  <si>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</si>
  <si>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</si>
  <si>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</si>
  <si>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</si>
  <si>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</si>
  <si>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</si>
  <si>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</si>
  <si>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</si>
  <si>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</si>
  <si>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</si>
  <si>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</si>
  <si>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</si>
  <si>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</si>
  <si>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</si>
  <si>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</si>
  <si>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</si>
  <si>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</si>
  <si>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</si>
  <si>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</si>
  <si>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</si>
  <si>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</si>
  <si>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</si>
  <si>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</si>
  <si>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</si>
  <si>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</si>
  <si>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</si>
  <si>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</si>
  <si>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</si>
  <si>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</si>
  <si>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</si>
  <si>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</si>
  <si>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</si>
  <si>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</si>
  <si>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</si>
  <si>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</si>
  <si>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</si>
  <si>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</si>
  <si>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</si>
  <si>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</si>
  <si>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</si>
  <si>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</si>
  <si>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</si>
  <si>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</si>
  <si>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</si>
  <si>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</si>
  <si>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</si>
  <si>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</si>
  <si>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</si>
  <si>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</si>
  <si>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</si>
  <si>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</si>
  <si>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</si>
  <si>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</si>
  <si>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</si>
  <si>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</si>
  <si>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</si>
  <si>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</si>
  <si>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</si>
  <si>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</si>
  <si>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</si>
  <si>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</si>
  <si>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</si>
  <si>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</si>
  <si>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</si>
  <si>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</si>
  <si>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</si>
  <si>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</si>
  <si>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</si>
  <si>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</si>
  <si>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</si>
  <si>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</si>
  <si>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</si>
  <si>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</si>
  <si>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</si>
  <si>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</si>
  <si>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</si>
  <si>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</si>
  <si>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</si>
  <si>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</si>
  <si>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</si>
  <si>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</si>
  <si>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</si>
  <si>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</si>
  <si>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</si>
  <si>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</si>
  <si>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</si>
  <si>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</si>
  <si>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</si>
  <si>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</si>
  <si>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</si>
  <si>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</si>
  <si>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</si>
  <si>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</si>
  <si>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</si>
  <si>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</si>
  <si>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</si>
  <si>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</si>
  <si>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</si>
  <si>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</si>
  <si>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</si>
  <si>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</si>
  <si>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</si>
  <si>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</si>
  <si>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</si>
  <si>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</si>
  <si>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</si>
  <si>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</si>
  <si>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</si>
  <si>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</si>
  <si>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</si>
  <si>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</si>
  <si>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</si>
  <si>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</si>
  <si>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</si>
  <si>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</si>
  <si>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</si>
  <si>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</si>
  <si>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</si>
  <si>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</si>
  <si>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MARÍA DE JASNA GÓRA</t>
  </si>
  <si>
    <t>Fa</t>
  </si>
  <si>
    <t>MAGNIFICAT</t>
  </si>
  <si>
    <t>MARÍA, CASA DE BENDICIÓN</t>
  </si>
  <si>
    <t>MARÍA, MADRE DE LA IGLESIA</t>
  </si>
  <si>
    <t>MARÍA, MADRE DEL CAMINO ARDIENT</t>
  </si>
  <si>
    <t>MARÍA, PEQUEÑA MARÍA</t>
  </si>
  <si>
    <t>ME ENSEÑARÁS EL CAMINO DE LA VI</t>
  </si>
  <si>
    <t>¡QUÉ ESTUPENDO, QUÉ ALEGRÍA!</t>
  </si>
  <si>
    <t>¡LOS HERMANOS SIEMPRE UNIDOS!</t>
  </si>
  <si>
    <t>Es como ungüento que desciende por la barba,</t>
  </si>
  <si>
    <t>por la barba de Aarón.</t>
  </si>
  <si>
    <t>POR LA BARBA DE AARÓN.</t>
  </si>
  <si>
    <t>¡QUÉ ESTUPENDO, QUÉ ALEGRÍA!...</t>
  </si>
  <si>
    <t>Como rocío que desciende del Hermón</t>
  </si>
  <si>
    <t>sobre el monte de Sión,</t>
  </si>
  <si>
    <t>SOBRE EL MONTE DE SIÓN.</t>
  </si>
  <si>
    <t>Nos bendice el Señor desde lo alto,</t>
  </si>
  <si>
    <t>la vida nos da eternamente,</t>
  </si>
  <si>
    <t>LA VIDA NOS DA ETERNAMENTE.</t>
  </si>
  <si>
    <t>ES COMO UNGÜENTO QUE DESCIENDE POR LA BARBA,</t>
  </si>
  <si>
    <t>COMO ROCÍO QUE DESCIENDE DEL HERMÓN</t>
  </si>
  <si>
    <t>NOS BENDICE EL SEÑOR DESDE LO ALTO,</t>
  </si>
  <si>
    <t>Qué detalle, Señor, has tenido conmigo</t>
  </si>
  <si>
    <t>cuando me llamaste, cuando me elegiste,</t>
  </si>
  <si>
    <t>cuando me dijiste que tú eras mi amigo.Sol</t>
  </si>
  <si>
    <t>qué detalle, Señor, has tenido conmigo.</t>
  </si>
  <si>
    <t>Te acercaste a mi puerta y pronunciaste mi nombre.</t>
  </si>
  <si>
    <t>Yo temblando te dije: aquí estoy, Señor.</t>
  </si>
  <si>
    <t>Tú me hablaste de un Reino, de un tesoro escondido,</t>
  </si>
  <si>
    <t>de un mensaje fraterno que encendió mi ilusión.</t>
  </si>
  <si>
    <t>Yo deje casa y pueblo por vivir tu aventura</t>
  </si>
  <si>
    <t>Codo a codo contigo comencé a caminar</t>
  </si>
  <si>
    <t>Han pasado los años y aunque apriete el cansancio</t>
  </si>
  <si>
    <t>Paso a paso te sigo sin mirar hacia atrás.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</si>
</sst>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31" fillId="0" borderId="9" xfId="0" applyFont="1" applyBorder="1" applyAlignment="1">
      <alignment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B3A2A44-54AA-48EA-B86D-84934A8CA9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CCC74C-EEC7-4288-8F99-1D2B3EA8AB0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0600-000001D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94A224-3769-491C-9345-126F81C1DD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EC6C89-9188-4348-9ED9-5BDEC318F5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4141829E-86F5-4E02-A709-E1CD1EEB2059}"/>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8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9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1034</v>
      </c>
      <c r="B8" s="37"/>
      <c r="C8" s="37"/>
      <c r="D8" s="37"/>
      <c r="E8" s="37"/>
      <c r="F8" s="38"/>
      <c r="G8" s="38"/>
      <c r="H8" s="38"/>
    </row>
    <row r="9" spans="1:8" ht="26.15" customHeight="1" x14ac:dyDescent="0.7">
      <c r="A9" s="37" t="s">
        <v>1035</v>
      </c>
      <c r="B9" s="37"/>
      <c r="C9" s="37"/>
      <c r="D9" s="37"/>
      <c r="E9" s="37"/>
      <c r="F9" s="38"/>
      <c r="G9" s="38"/>
      <c r="H9" s="38"/>
    </row>
    <row r="10" spans="1:8" ht="26.15" customHeight="1" x14ac:dyDescent="0.7">
      <c r="A10" s="37" t="s">
        <v>1032</v>
      </c>
      <c r="B10" s="37"/>
      <c r="C10" s="37"/>
      <c r="D10" s="37"/>
      <c r="E10" s="38"/>
      <c r="F10" s="38"/>
      <c r="G10" s="38"/>
      <c r="H10" s="38"/>
    </row>
    <row r="11" spans="1:8" ht="26.15" customHeight="1" x14ac:dyDescent="0.7">
      <c r="A11" s="37" t="s">
        <v>1036</v>
      </c>
      <c r="B11" s="37"/>
      <c r="C11" s="37"/>
      <c r="D11" s="37"/>
      <c r="E11" s="38"/>
      <c r="F11" s="38"/>
      <c r="G11" s="38"/>
      <c r="H11" s="38"/>
    </row>
    <row r="12" spans="1:8" ht="26.15" customHeight="1" x14ac:dyDescent="0.7">
      <c r="A12" s="37" t="s">
        <v>1037</v>
      </c>
      <c r="B12" s="37"/>
      <c r="C12" s="37"/>
      <c r="D12" s="37"/>
      <c r="E12" s="38"/>
      <c r="F12" s="38"/>
      <c r="G12" s="38"/>
      <c r="H12" s="38"/>
    </row>
    <row r="13" spans="1:8" ht="26.15" customHeight="1" x14ac:dyDescent="0.7">
      <c r="A13" s="37" t="s">
        <v>1038</v>
      </c>
      <c r="B13" s="37"/>
      <c r="C13" s="37"/>
      <c r="D13" s="37"/>
      <c r="E13" s="38"/>
      <c r="F13" s="38"/>
      <c r="G13" s="38"/>
      <c r="H13" s="38"/>
    </row>
    <row r="14" spans="1:8" ht="26.15" customHeight="1" x14ac:dyDescent="0.7">
      <c r="A14" s="37" t="s">
        <v>1039</v>
      </c>
      <c r="B14" s="37"/>
      <c r="C14" s="37"/>
      <c r="D14" s="37"/>
      <c r="E14" s="38"/>
      <c r="F14" s="38"/>
      <c r="G14" s="38"/>
      <c r="H14" s="38"/>
    </row>
    <row r="15" spans="1:8" ht="26.15" customHeight="1" x14ac:dyDescent="0.7">
      <c r="A15" s="37" t="s">
        <v>1017</v>
      </c>
      <c r="B15" s="37"/>
      <c r="C15" s="37"/>
      <c r="D15" s="37"/>
      <c r="E15" s="38"/>
      <c r="F15" s="38"/>
      <c r="G15" s="38"/>
      <c r="H15" s="38"/>
    </row>
    <row r="16" spans="1:8" ht="26.15" customHeight="1" x14ac:dyDescent="0.7">
      <c r="A16" s="37" t="s">
        <v>1026</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0E05D-05AA-40AE-9F3D-95E34D4C8F8D}">
  <sheetPr codeName="Sheet86">
    <tabColor rgb="FF00B0F0"/>
  </sheetPr>
  <dimension ref="A1:AN109"/>
  <sheetViews>
    <sheetView zoomScale="85" zoomScaleNormal="85" workbookViewId="0">
      <pane xSplit="2" ySplit="1" topLeftCell="H37" activePane="bottomRight" state="frozen"/>
      <selection pane="topRight" activeCell="C1" sqref="C1"/>
      <selection pane="bottomLeft" activeCell="A2" sqref="A2"/>
      <selection pane="bottomRight" activeCell="C54" sqref="C5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v>
      </c>
      <c r="E1" s="40"/>
      <c r="F1" s="40"/>
      <c r="G1" s="40"/>
      <c r="H1" s="40"/>
      <c r="I1" s="40"/>
      <c r="J1" s="40"/>
      <c r="K1" s="40"/>
      <c r="L1" s="41" t="str">
        <f ca="1">UPPER(VLOOKUP(C1,Table223[],3,FALSE))</f>
        <v>A LA VÍCTIMA PASCUAL</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A LA VÍCTIMA PASCUAL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L7" s="48" t="str">
        <f ca="1">_xlfn.CONCAT("        id: ","""",C7,"""",",")</f>
        <v xml:space="preserve">        id: "alavictimapascual",</v>
      </c>
    </row>
    <row r="8" spans="2:32" ht="23" x14ac:dyDescent="0.35">
      <c r="C8" t="str">
        <f ca="1">PROPER(L1)</f>
        <v>A La Víctima Pascual</v>
      </c>
      <c r="L8" s="48" t="str">
        <f ca="1">_xlfn.CONCAT("        tt: ","""",C8,"""",",")</f>
        <v xml:space="preserve">        tt: "A La Víctima Pascual",</v>
      </c>
    </row>
    <row r="9" spans="2:32" ht="23" x14ac:dyDescent="0.35">
      <c r="C9" t="str">
        <f ca="1">PROPER(L1)</f>
        <v>A La Víctima Pascual</v>
      </c>
      <c r="L9" s="48" t="str">
        <f ca="1">_xlfn.CONCAT("        title: ","""",C9,"""",",")</f>
        <v xml:space="preserve">        title: "A La Víctima Pascual",</v>
      </c>
    </row>
    <row r="10" spans="2:32" ht="23" x14ac:dyDescent="0.35">
      <c r="C10" t="str">
        <f ca="1">VLOOKUP(C1,Table223[],4,FALSE)</f>
        <v xml:space="preserve">Secuencia de Pascua - Himno lat. «Victimae paschall laudes» </v>
      </c>
      <c r="L10" s="48" t="str">
        <f ca="1">_xlfn.CONCAT("        ","subtitle: ","""",C10,"""",",")</f>
        <v xml:space="preserve">        subtitle: "Secuencia de Pascua - Himno lat. «Victimae paschall laudes» ",</v>
      </c>
    </row>
    <row r="11" spans="2:32" ht="23" x14ac:dyDescent="0.35">
      <c r="C11" t="str">
        <f ca="1">_xlfn.CONCAT("category: [",VLOOKUP(C1,Table223[],16,FALSE),"],")</f>
        <v>category: ["Precatecumenado","Pascua","Pentecostés","Comunión"],</v>
      </c>
      <c r="L11" s="48" t="str">
        <f ca="1">_xlfn.CONCAT("        ",C11)</f>
        <v xml:space="preserve">        category: ["Precatecumenado","Pascua","Pentecostés","Comunión"],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v>
      </c>
      <c r="L16" s="48" t="str">
        <f ca="1">_xlfn.CONCAT("        dbno: ","""",C16,"""",",")</f>
        <v xml:space="preserve">        dbno: "1",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alavictimapascual</v>
      </c>
      <c r="L19" s="48" t="str">
        <f ca="1">_xlfn.CONCAT("        audioSrc: ","""https://audio.resucito.do/",C19,".mp3""",",")</f>
        <v xml:space="preserve">        audioSrc: "https://audio.resucito.do/alavictimapascual.mp3",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0</v>
      </c>
      <c r="C26" t="e">
        <f ca="1">VLOOKUP(B26,Table4[],13,FALSE)</f>
        <v>#N/A</v>
      </c>
      <c r="L26" s="48" t="e">
        <f ca="1">_xlfn.CONCAT("        ant: ",C26,",")</f>
        <v>#N/A</v>
      </c>
    </row>
    <row r="27" spans="1:40" ht="23" x14ac:dyDescent="0.35">
      <c r="B27">
        <f ca="1">+C1+1</f>
        <v>2</v>
      </c>
      <c r="C27" t="str">
        <f ca="1">VLOOKUP(B27,Table4[],13,FALSE)</f>
        <v>"/src/index.html?canto=anadiedemosocasiondetropiezo"</v>
      </c>
      <c r="L27" s="48" t="str">
        <f ca="1">_xlfn.CONCAT("        sig: ",C27,",")</f>
        <v xml:space="preserve">        sig: "/src/index.html?canto=anadiedemosocasiondetropiezo",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1040</v>
      </c>
      <c r="D30" s="112" t="s">
        <v>1013</v>
      </c>
      <c r="E30" s="52" t="s">
        <v>1012</v>
      </c>
      <c r="F30" s="53" t="s">
        <v>1029</v>
      </c>
      <c r="G30" s="53" t="s">
        <v>1012</v>
      </c>
      <c r="H30" s="52" t="s">
        <v>1013</v>
      </c>
      <c r="I30" s="52" t="s">
        <v>1012</v>
      </c>
      <c r="J30" s="54" t="s">
        <v>1011</v>
      </c>
      <c r="K30" s="54"/>
      <c r="L30" s="55" t="str">
        <f t="shared" ref="L30:L31" si="0">IF(C30="","",_xlfn.CONCAT("            { line: ","""",C30,", ",M30:AN30,""", sC: ","""",B30,"""},"))</f>
        <v xml:space="preserve">            { line: "¡QUÉ ESTUPENDO, QUÉ ALEGRÍA!, (La,m,20)(Re,m,250)(La,m,350)(Mi,,450)", sC: "ta as"},</v>
      </c>
      <c r="M30" s="56" t="str">
        <f t="shared" ref="M30:M35" si="1">IF(N30="","","(")</f>
        <v>(</v>
      </c>
      <c r="N30" s="57" t="str">
        <f t="shared" ref="N30:N94" si="2">IF(D30="","",D30)</f>
        <v>La</v>
      </c>
      <c r="O30" s="58" t="str">
        <f t="shared" ref="O30:O35" si="3">IF(N30="","",",")</f>
        <v>,</v>
      </c>
      <c r="P30" s="59" t="str">
        <f t="shared" ref="P30:P94" si="4">IF(E30="","",E30)</f>
        <v>m</v>
      </c>
      <c r="Q30" s="60" t="str">
        <f t="shared" ref="Q30:Q35" si="5">IF(N30="","",",")</f>
        <v>,</v>
      </c>
      <c r="R30" s="61">
        <f t="shared" ref="R30:R86" si="6">IF(N30="Do",10,IF(N30="Re",22,IF(N30="Mi",20,IF(N30="Fa",20,IF(N30="Sol",14,IF(N30="La",20,IF(N30="Si",20,IF(N30="Do#",14,IF(N30="Fa#",15,IF(N30="Sol#",20,IF(N30="Si♭",17,"")))))))))))</f>
        <v>20</v>
      </c>
      <c r="S30" s="56" t="str">
        <f t="shared" ref="S30:S35" si="7">IF(N30="","",")")</f>
        <v>)</v>
      </c>
      <c r="T30" s="62" t="str">
        <f t="shared" ref="T30:T35" si="8">IF(U30="","","(")</f>
        <v>(</v>
      </c>
      <c r="U30" s="63" t="str">
        <f t="shared" ref="U30:U94" si="9">IF(F30="","",F30)</f>
        <v>Re</v>
      </c>
      <c r="V30" s="64" t="str">
        <f t="shared" ref="V30:V35" si="10">IF(U30="","",",")</f>
        <v>,</v>
      </c>
      <c r="W30" s="65" t="str">
        <f t="shared" ref="W30:W94" si="11">IF(G30="","",G30)</f>
        <v>m</v>
      </c>
      <c r="X30" s="64" t="str">
        <f t="shared" ref="X30:X35" si="12">IF(U30="","",",")</f>
        <v>,</v>
      </c>
      <c r="Y30" s="64">
        <f t="shared" ref="Y30:Y35" si="13">IF(U30="","",250)</f>
        <v>250</v>
      </c>
      <c r="Z30" s="56" t="str">
        <f t="shared" ref="Z30:Z35" si="14">IF(U30="","",")")</f>
        <v>)</v>
      </c>
      <c r="AA30" s="66" t="str">
        <f t="shared" ref="AA30:AA35" si="15">IF(AB30="","","(")</f>
        <v>(</v>
      </c>
      <c r="AB30" s="57" t="str">
        <f t="shared" ref="AB30:AB94"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v>
      </c>
      <c r="AI30" s="70" t="str">
        <f t="shared" ref="AI30:AI94" si="23">IF(J30="","",J30)</f>
        <v>Mi</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4.5" thickTop="1" thickBot="1" x14ac:dyDescent="0.55000000000000004">
      <c r="B31" t="s">
        <v>999</v>
      </c>
      <c r="C31" s="113" t="s">
        <v>1041</v>
      </c>
      <c r="D31" s="112" t="s">
        <v>1013</v>
      </c>
      <c r="E31" s="52" t="s">
        <v>1012</v>
      </c>
      <c r="F31" s="53" t="s">
        <v>1029</v>
      </c>
      <c r="G31" s="53" t="s">
        <v>1012</v>
      </c>
      <c r="H31" s="52" t="s">
        <v>1011</v>
      </c>
      <c r="I31" s="52"/>
      <c r="J31" s="54" t="s">
        <v>1013</v>
      </c>
      <c r="K31" s="54" t="s">
        <v>1012</v>
      </c>
      <c r="L31" s="55" t="str">
        <f t="shared" si="0"/>
        <v xml:space="preserve">            { line: "¡LOS HERMANOS SIEMPRE UNIDOS!, (La,m,20)(Re,m,250)(Mi,,350)(La,m,450)",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v>
      </c>
      <c r="U31" s="63" t="str">
        <f t="shared" si="9"/>
        <v>Re</v>
      </c>
      <c r="V31" s="64" t="str">
        <f t="shared" si="10"/>
        <v>,</v>
      </c>
      <c r="W31" s="65" t="str">
        <f t="shared" si="11"/>
        <v>m</v>
      </c>
      <c r="X31" s="64" t="str">
        <f t="shared" si="12"/>
        <v>,</v>
      </c>
      <c r="Y31" s="64">
        <f t="shared" si="13"/>
        <v>250</v>
      </c>
      <c r="Z31" s="56" t="str">
        <f t="shared" si="14"/>
        <v>)</v>
      </c>
      <c r="AA31" s="66" t="str">
        <f t="shared" si="15"/>
        <v>(</v>
      </c>
      <c r="AB31" s="57" t="str">
        <f t="shared" si="16"/>
        <v>Mi</v>
      </c>
      <c r="AC31" s="67" t="str">
        <f t="shared" si="17"/>
        <v>,</v>
      </c>
      <c r="AD31" s="59" t="str">
        <f t="shared" si="18"/>
        <v/>
      </c>
      <c r="AE31" s="68" t="str">
        <f t="shared" si="19"/>
        <v>,</v>
      </c>
      <c r="AF31" s="61">
        <f t="shared" si="20"/>
        <v>350</v>
      </c>
      <c r="AG31" s="61" t="str">
        <f t="shared" si="21"/>
        <v>)</v>
      </c>
      <c r="AH31" s="69" t="str">
        <f t="shared" si="22"/>
        <v>(</v>
      </c>
      <c r="AI31" s="70" t="str">
        <f t="shared" si="23"/>
        <v>La</v>
      </c>
      <c r="AJ31" s="64" t="str">
        <f t="shared" si="24"/>
        <v>,</v>
      </c>
      <c r="AK31" s="64" t="str">
        <f t="shared" si="25"/>
        <v>m</v>
      </c>
      <c r="AL31" s="64" t="str">
        <f t="shared" si="26"/>
        <v>,</v>
      </c>
      <c r="AM31" s="64">
        <f t="shared" si="27"/>
        <v>450</v>
      </c>
      <c r="AN31" s="64" t="str">
        <f t="shared" si="28"/>
        <v>)</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1042</v>
      </c>
      <c r="D33" s="112" t="s">
        <v>1015</v>
      </c>
      <c r="E33" s="52"/>
      <c r="F33" s="53"/>
      <c r="G33" s="53"/>
      <c r="H33" s="52"/>
      <c r="I33" s="52"/>
      <c r="J33" s="54"/>
      <c r="K33" s="54"/>
      <c r="L33" s="55" t="str">
        <f>IF(C33="","",_xlfn.CONCAT("            { line: ","""",C33,", ",M33:AN33,""", sC: ","""",B33,"""},"))</f>
        <v xml:space="preserve">            { line: "Es como ungüento que desciende por la barba,, (Sol,,14)", sC: "tc"},</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1043</v>
      </c>
      <c r="D34" s="112" t="s">
        <v>1033</v>
      </c>
      <c r="E34" s="52"/>
      <c r="F34" s="53" t="s">
        <v>1011</v>
      </c>
      <c r="G34" s="53"/>
      <c r="H34" s="52"/>
      <c r="I34" s="52"/>
      <c r="J34" s="54"/>
      <c r="K34" s="54"/>
      <c r="L34" s="55" t="str">
        <f>IF(C34="","",_xlfn.CONCAT("            { line: ","""",C34,", ",M34:AN34,""", sC: ","""",B34,"""},"))</f>
        <v xml:space="preserve">            { line: "por la barba de Aarón., (Fa,,20)(Mi,,250)", sC: ""},</v>
      </c>
      <c r="M34" s="56" t="str">
        <f t="shared" si="1"/>
        <v>(</v>
      </c>
      <c r="N34" s="57" t="str">
        <f t="shared" si="2"/>
        <v>Fa</v>
      </c>
      <c r="O34" s="58" t="str">
        <f t="shared" si="3"/>
        <v>,</v>
      </c>
      <c r="P34" s="59" t="str">
        <f t="shared" si="4"/>
        <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997</v>
      </c>
      <c r="C35" s="113" t="s">
        <v>1052</v>
      </c>
      <c r="D35" s="112" t="s">
        <v>1015</v>
      </c>
      <c r="E35" s="52"/>
      <c r="F35" s="53"/>
      <c r="G35" s="53"/>
      <c r="H35" s="52"/>
      <c r="I35" s="52"/>
      <c r="J35" s="54"/>
      <c r="K35" s="54"/>
      <c r="L35" s="55" t="str">
        <f t="shared" ref="L35:L54" si="29">IF(C35="","",_xlfn.CONCAT("            { line: ","""",C35,", ",M35:AN35,""", sC: ","""",B35,"""},"))</f>
        <v xml:space="preserve">            { line: "ES COMO UNGÜENTO QUE DESCIENDE POR LA BARBA,, (Sol,,14)", sC: "ta as"},</v>
      </c>
      <c r="M35" s="56" t="str">
        <f t="shared" si="1"/>
        <v>(</v>
      </c>
      <c r="N35" s="57" t="str">
        <f t="shared" si="2"/>
        <v>Sol</v>
      </c>
      <c r="O35" s="58" t="str">
        <f t="shared" si="3"/>
        <v>,</v>
      </c>
      <c r="P35" s="59" t="str">
        <f t="shared" si="4"/>
        <v/>
      </c>
      <c r="Q35" s="60" t="str">
        <f t="shared" si="5"/>
        <v>,</v>
      </c>
      <c r="R35" s="61">
        <f t="shared" si="6"/>
        <v>14</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1044</v>
      </c>
      <c r="D36" s="112" t="s">
        <v>1033</v>
      </c>
      <c r="E36" s="52"/>
      <c r="F36" s="53" t="s">
        <v>1011</v>
      </c>
      <c r="G36" s="53"/>
      <c r="H36" s="52"/>
      <c r="I36" s="52"/>
      <c r="J36" s="54"/>
      <c r="K36" s="54"/>
      <c r="L36" s="55" t="str">
        <f t="shared" si="29"/>
        <v xml:space="preserve">            { line: "POR LA BARBA DE AARÓN.,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outlineLevel="1" thickTop="1" thickBot="1" x14ac:dyDescent="0.55000000000000004">
      <c r="A37" s="73"/>
      <c r="B37" s="73"/>
      <c r="C37" s="73"/>
      <c r="D37" s="74"/>
      <c r="E37" s="74"/>
      <c r="F37" s="74"/>
      <c r="G37" s="74"/>
      <c r="H37" s="74"/>
      <c r="I37" s="74"/>
      <c r="J37" s="74"/>
      <c r="K37" s="74"/>
      <c r="L37" s="75" t="s">
        <v>993</v>
      </c>
      <c r="M37" s="56"/>
      <c r="N37" s="57"/>
      <c r="O37" s="58"/>
      <c r="P37" s="59"/>
      <c r="Q37" s="60"/>
      <c r="R37" s="61" t="str">
        <f t="shared" ref="R37:R41" si="30">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outlineLevel="1" thickTop="1" thickBot="1" x14ac:dyDescent="0.55000000000000004">
      <c r="C38" s="79" t="s">
        <v>995</v>
      </c>
      <c r="D38" s="80"/>
      <c r="E38" s="80"/>
      <c r="F38" s="80"/>
      <c r="G38" s="80"/>
      <c r="H38" s="80"/>
      <c r="I38" s="80"/>
      <c r="J38" s="80"/>
      <c r="K38" s="80"/>
      <c r="L38" s="81" t="s">
        <v>996</v>
      </c>
      <c r="M38" s="56" t="str">
        <f t="shared" ref="M38:M40" si="31">IF(N38="","","(")</f>
        <v/>
      </c>
      <c r="N38" s="57" t="str">
        <f t="shared" ref="N38:N40" si="32">IF(D38="","",D38)</f>
        <v/>
      </c>
      <c r="O38" s="58" t="str">
        <f t="shared" ref="O38:O40" si="33">IF(N38="","",",")</f>
        <v/>
      </c>
      <c r="P38" s="59" t="str">
        <f t="shared" ref="P38:P40" si="34">IF(E38="","",E38)</f>
        <v/>
      </c>
      <c r="Q38" s="60" t="str">
        <f t="shared" ref="Q38:Q40" si="35">IF(N38="","",",")</f>
        <v/>
      </c>
      <c r="R38" s="61" t="str">
        <f t="shared" si="30"/>
        <v/>
      </c>
      <c r="S38" s="56" t="str">
        <f t="shared" ref="S38:S40" si="36">IF(N38="","",")")</f>
        <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4.5" outlineLevel="1" thickTop="1" thickBot="1" x14ac:dyDescent="0.55000000000000004">
      <c r="B39" t="s">
        <v>997</v>
      </c>
      <c r="C39" s="82" t="s">
        <v>1045</v>
      </c>
      <c r="D39" s="83" t="s">
        <v>1013</v>
      </c>
      <c r="E39" s="83" t="s">
        <v>1012</v>
      </c>
      <c r="F39" s="83" t="s">
        <v>1029</v>
      </c>
      <c r="G39" s="83" t="s">
        <v>1012</v>
      </c>
      <c r="H39" s="83" t="s">
        <v>1013</v>
      </c>
      <c r="I39" s="83" t="s">
        <v>1012</v>
      </c>
      <c r="J39" s="83" t="s">
        <v>1011</v>
      </c>
      <c r="K39" s="83"/>
      <c r="L39" s="84" t="str">
        <f>IF(C39="","",_xlfn.CONCAT("       triggerLine: ","""",C39,", ",M39:AN39,""", sC: ","""",B39,""", lines: ["))</f>
        <v xml:space="preserve">       triggerLine: "¡QUÉ ESTUPENDO, QUÉ ALEGRÍA!..., (La,m,20)(Re,m,250)(La,m,350)(Mi,,450)", sC: "ta as", lines: [</v>
      </c>
      <c r="M39" s="56" t="str">
        <f t="shared" si="31"/>
        <v>(</v>
      </c>
      <c r="N39" s="57" t="str">
        <f t="shared" si="32"/>
        <v>La</v>
      </c>
      <c r="O39" s="58" t="str">
        <f t="shared" si="33"/>
        <v>,</v>
      </c>
      <c r="P39" s="59" t="str">
        <f t="shared" si="34"/>
        <v>m</v>
      </c>
      <c r="Q39" s="60" t="str">
        <f t="shared" si="35"/>
        <v>,</v>
      </c>
      <c r="R39" s="61">
        <f t="shared" si="30"/>
        <v>20</v>
      </c>
      <c r="S39" s="56" t="str">
        <f t="shared" si="36"/>
        <v>)</v>
      </c>
      <c r="T39" s="62" t="str">
        <f t="shared" si="37"/>
        <v>(</v>
      </c>
      <c r="U39" s="63" t="str">
        <f t="shared" si="38"/>
        <v>Re</v>
      </c>
      <c r="V39" s="64" t="str">
        <f t="shared" si="39"/>
        <v>,</v>
      </c>
      <c r="W39" s="65" t="str">
        <f t="shared" si="40"/>
        <v>m</v>
      </c>
      <c r="X39" s="64" t="str">
        <f t="shared" si="41"/>
        <v>,</v>
      </c>
      <c r="Y39" s="64">
        <f t="shared" si="42"/>
        <v>250</v>
      </c>
      <c r="Z39" s="56" t="str">
        <f t="shared" si="43"/>
        <v>)</v>
      </c>
      <c r="AA39" s="66" t="str">
        <f t="shared" si="44"/>
        <v>(</v>
      </c>
      <c r="AB39" s="57" t="str">
        <f t="shared" si="45"/>
        <v>La</v>
      </c>
      <c r="AC39" s="67" t="str">
        <f t="shared" si="46"/>
        <v>,</v>
      </c>
      <c r="AD39" s="59" t="str">
        <f t="shared" si="47"/>
        <v>m</v>
      </c>
      <c r="AE39" s="68" t="str">
        <f t="shared" si="48"/>
        <v>,</v>
      </c>
      <c r="AF39" s="61">
        <f t="shared" si="49"/>
        <v>350</v>
      </c>
      <c r="AG39" s="61" t="str">
        <f t="shared" si="50"/>
        <v>)</v>
      </c>
      <c r="AH39" s="69" t="str">
        <f t="shared" si="51"/>
        <v>(</v>
      </c>
      <c r="AI39" s="70" t="str">
        <f t="shared" si="52"/>
        <v>Mi</v>
      </c>
      <c r="AJ39" s="64" t="str">
        <f t="shared" si="53"/>
        <v>,</v>
      </c>
      <c r="AK39" s="64" t="str">
        <f t="shared" si="54"/>
        <v/>
      </c>
      <c r="AL39" s="64" t="str">
        <f t="shared" si="55"/>
        <v>,</v>
      </c>
      <c r="AM39" s="64">
        <f t="shared" si="56"/>
        <v>450</v>
      </c>
      <c r="AN39" s="64" t="str">
        <f t="shared" si="57"/>
        <v>)</v>
      </c>
    </row>
    <row r="40" spans="1:40" ht="24.5" outlineLevel="1" thickTop="1" thickBot="1" x14ac:dyDescent="0.55000000000000004">
      <c r="B40" t="s">
        <v>999</v>
      </c>
      <c r="C40" s="93" t="s">
        <v>1041</v>
      </c>
      <c r="D40" s="83" t="s">
        <v>1013</v>
      </c>
      <c r="E40" s="83" t="s">
        <v>1012</v>
      </c>
      <c r="F40" s="83" t="s">
        <v>1029</v>
      </c>
      <c r="G40" s="83" t="s">
        <v>1012</v>
      </c>
      <c r="H40" s="83" t="s">
        <v>1011</v>
      </c>
      <c r="I40" s="83"/>
      <c r="J40" s="83" t="s">
        <v>1013</v>
      </c>
      <c r="K40" s="83" t="s">
        <v>1012</v>
      </c>
      <c r="L40" s="94" t="str">
        <f>IF(C40="","",_xlfn.CONCAT("            { line: ","""",C40,", ",M40:AN40,""", sC: ","""",B40,"""},  ]},"))</f>
        <v xml:space="preserve">            { line: "¡LOS HERMANOS SIEMPRE UNIDOS!, (La,m,20)(Re,m,250)(Mi,,350)(La,m,450)", sC: "as"},  ]},</v>
      </c>
      <c r="M40" s="56" t="str">
        <f t="shared" si="31"/>
        <v>(</v>
      </c>
      <c r="N40" s="57" t="str">
        <f t="shared" si="32"/>
        <v>La</v>
      </c>
      <c r="O40" s="58" t="str">
        <f t="shared" si="33"/>
        <v>,</v>
      </c>
      <c r="P40" s="59" t="str">
        <f t="shared" si="34"/>
        <v>m</v>
      </c>
      <c r="Q40" s="60" t="str">
        <f t="shared" si="35"/>
        <v>,</v>
      </c>
      <c r="R40" s="61">
        <f t="shared" si="30"/>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v>
      </c>
      <c r="AB40" s="57" t="str">
        <f t="shared" si="45"/>
        <v>Mi</v>
      </c>
      <c r="AC40" s="67" t="str">
        <f t="shared" si="46"/>
        <v>,</v>
      </c>
      <c r="AD40" s="59" t="str">
        <f t="shared" si="47"/>
        <v/>
      </c>
      <c r="AE40" s="68" t="str">
        <f t="shared" si="48"/>
        <v>,</v>
      </c>
      <c r="AF40" s="61">
        <f t="shared" si="49"/>
        <v>350</v>
      </c>
      <c r="AG40" s="61" t="str">
        <f t="shared" si="50"/>
        <v>)</v>
      </c>
      <c r="AH40" s="69" t="str">
        <f t="shared" si="51"/>
        <v>(</v>
      </c>
      <c r="AI40" s="70" t="str">
        <f t="shared" si="52"/>
        <v>La</v>
      </c>
      <c r="AJ40" s="64" t="str">
        <f t="shared" si="53"/>
        <v>,</v>
      </c>
      <c r="AK40" s="64" t="str">
        <f t="shared" si="54"/>
        <v>m</v>
      </c>
      <c r="AL40" s="64" t="str">
        <f t="shared" si="55"/>
        <v>,</v>
      </c>
      <c r="AM40" s="64">
        <f t="shared" si="56"/>
        <v>450</v>
      </c>
      <c r="AN40" s="64" t="str">
        <f t="shared" si="57"/>
        <v>)</v>
      </c>
    </row>
    <row r="41" spans="1:40" ht="26.5" outlineLevel="1"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30"/>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1046</v>
      </c>
      <c r="D42" s="112" t="s">
        <v>1015</v>
      </c>
      <c r="E42" s="52"/>
      <c r="F42" s="53"/>
      <c r="G42" s="53"/>
      <c r="H42" s="52"/>
      <c r="I42" s="52"/>
      <c r="J42" s="54"/>
      <c r="K42" s="54"/>
      <c r="L42" s="55" t="str">
        <f t="shared" si="29"/>
        <v xml:space="preserve">            { line: "Como rocío que desciende del Hermón, (Sol,,14)", sC: "tc"},</v>
      </c>
      <c r="M42" s="56" t="str">
        <f t="shared" ref="M42:M44" si="58">IF(N42="","","(")</f>
        <v>(</v>
      </c>
      <c r="N42" s="57" t="str">
        <f t="shared" ref="N42:N44" si="59">IF(D42="","",D42)</f>
        <v>Sol</v>
      </c>
      <c r="O42" s="58" t="str">
        <f t="shared" ref="O42:O44" si="60">IF(N42="","",",")</f>
        <v>,</v>
      </c>
      <c r="P42" s="59" t="str">
        <f t="shared" ref="P42:P44" si="61">IF(E42="","",E42)</f>
        <v/>
      </c>
      <c r="Q42" s="60" t="str">
        <f t="shared" ref="Q42:Q44" si="62">IF(N42="","",",")</f>
        <v>,</v>
      </c>
      <c r="R42" s="61">
        <f t="shared" si="6"/>
        <v>14</v>
      </c>
      <c r="S42" s="56" t="str">
        <f t="shared" ref="S42:S44" si="63">IF(N42="","",")")</f>
        <v>)</v>
      </c>
      <c r="T42" s="62" t="str">
        <f t="shared" ref="T42:T44" si="64">IF(U42="","","(")</f>
        <v/>
      </c>
      <c r="U42" s="63" t="str">
        <f t="shared" ref="U42:U44" si="65">IF(F42="","",F42)</f>
        <v/>
      </c>
      <c r="V42" s="64" t="str">
        <f t="shared" ref="V42:V44" si="66">IF(U42="","",",")</f>
        <v/>
      </c>
      <c r="W42" s="65" t="str">
        <f t="shared" ref="W42:W44" si="67">IF(G42="","",G42)</f>
        <v/>
      </c>
      <c r="X42" s="64" t="str">
        <f t="shared" ref="X42:X44" si="68">IF(U42="","",",")</f>
        <v/>
      </c>
      <c r="Y42" s="64" t="str">
        <f t="shared" ref="Y42:Y44" si="69">IF(U42="","",250)</f>
        <v/>
      </c>
      <c r="Z42" s="56" t="str">
        <f t="shared" ref="Z42:Z44" si="70">IF(U42="","",")")</f>
        <v/>
      </c>
      <c r="AA42" s="66" t="str">
        <f t="shared" ref="AA42:AA44" si="71">IF(AB42="","","(")</f>
        <v/>
      </c>
      <c r="AB42" s="57" t="str">
        <f t="shared" ref="AB42:AB44" si="72">IF(H42="","",H42)</f>
        <v/>
      </c>
      <c r="AC42" s="67" t="str">
        <f t="shared" ref="AC42:AC44" si="73">IF(AB42="","",",")</f>
        <v/>
      </c>
      <c r="AD42" s="59" t="str">
        <f t="shared" ref="AD42:AD44" si="74">IF(I42="","",I42)</f>
        <v/>
      </c>
      <c r="AE42" s="68" t="str">
        <f t="shared" ref="AE42:AE44" si="75">IF(AB42="","",",")</f>
        <v/>
      </c>
      <c r="AF42" s="61" t="str">
        <f t="shared" ref="AF42:AF44" si="76">IF(AB42="","",350)</f>
        <v/>
      </c>
      <c r="AG42" s="61" t="str">
        <f t="shared" ref="AG42:AG44" si="77">IF(AB42="","",")")</f>
        <v/>
      </c>
      <c r="AH42" s="69" t="str">
        <f t="shared" ref="AH42:AH44" si="78">IF(AI42="","","(")</f>
        <v/>
      </c>
      <c r="AI42" s="70" t="str">
        <f t="shared" ref="AI42:AI44" si="79">IF(J42="","",J42)</f>
        <v/>
      </c>
      <c r="AJ42" s="64" t="str">
        <f t="shared" ref="AJ42:AJ44" si="80">IF(AI42="","",",")</f>
        <v/>
      </c>
      <c r="AK42" s="64" t="str">
        <f t="shared" ref="AK42:AK44" si="81">IF(K42="","",K42)</f>
        <v/>
      </c>
      <c r="AL42" s="64" t="str">
        <f t="shared" ref="AL42:AL44" si="82">IF(AI42="","",",")</f>
        <v/>
      </c>
      <c r="AM42" s="64" t="str">
        <f t="shared" ref="AM42:AM44" si="83">IF(AI42="","",450)</f>
        <v/>
      </c>
      <c r="AN42" s="64" t="str">
        <f t="shared" ref="AN42:AN44" si="84">IF(AI42="","",")")</f>
        <v/>
      </c>
    </row>
    <row r="43" spans="1:40" ht="24.5" thickTop="1" thickBot="1" x14ac:dyDescent="0.55000000000000004">
      <c r="C43" s="113" t="s">
        <v>1047</v>
      </c>
      <c r="D43" s="112" t="s">
        <v>1033</v>
      </c>
      <c r="E43" s="52"/>
      <c r="F43" s="53" t="s">
        <v>1011</v>
      </c>
      <c r="G43" s="53"/>
      <c r="H43" s="52"/>
      <c r="I43" s="52"/>
      <c r="J43" s="54"/>
      <c r="K43" s="54"/>
      <c r="L43" s="55" t="str">
        <f t="shared" si="29"/>
        <v xml:space="preserve">            { line: "sobre el monte de Sión,, (Fa,,20)(Mi,,250)", sC: ""},</v>
      </c>
      <c r="M43" s="56" t="str">
        <f t="shared" si="58"/>
        <v>(</v>
      </c>
      <c r="N43" s="57" t="str">
        <f t="shared" si="59"/>
        <v>Fa</v>
      </c>
      <c r="O43" s="58" t="str">
        <f t="shared" si="60"/>
        <v>,</v>
      </c>
      <c r="P43" s="59" t="str">
        <f t="shared" si="61"/>
        <v/>
      </c>
      <c r="Q43" s="60" t="str">
        <f t="shared" si="62"/>
        <v>,</v>
      </c>
      <c r="R43" s="61">
        <f t="shared" si="6"/>
        <v>20</v>
      </c>
      <c r="S43" s="56" t="str">
        <f t="shared" si="63"/>
        <v>)</v>
      </c>
      <c r="T43" s="62" t="str">
        <f t="shared" si="64"/>
        <v>(</v>
      </c>
      <c r="U43" s="63" t="str">
        <f t="shared" si="65"/>
        <v>Mi</v>
      </c>
      <c r="V43" s="64" t="str">
        <f t="shared" si="66"/>
        <v>,</v>
      </c>
      <c r="W43" s="65" t="str">
        <f t="shared" si="67"/>
        <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4.5" thickTop="1" thickBot="1" x14ac:dyDescent="0.55000000000000004">
      <c r="B44" t="s">
        <v>997</v>
      </c>
      <c r="C44" s="113" t="s">
        <v>1053</v>
      </c>
      <c r="D44" s="112" t="s">
        <v>1015</v>
      </c>
      <c r="E44" s="52"/>
      <c r="F44" s="53"/>
      <c r="G44" s="53"/>
      <c r="H44" s="52"/>
      <c r="I44" s="52"/>
      <c r="J44" s="54"/>
      <c r="K44" s="54"/>
      <c r="L44" s="55" t="str">
        <f t="shared" si="29"/>
        <v xml:space="preserve">            { line: "COMO ROCÍO QUE DESCIENDE DEL HERMÓN, (Sol,,14)", sC: "ta as"},</v>
      </c>
      <c r="M44" s="56" t="str">
        <f t="shared" si="58"/>
        <v>(</v>
      </c>
      <c r="N44" s="57" t="str">
        <f t="shared" si="59"/>
        <v>Sol</v>
      </c>
      <c r="O44" s="58" t="str">
        <f t="shared" si="60"/>
        <v>,</v>
      </c>
      <c r="P44" s="59" t="str">
        <f t="shared" si="61"/>
        <v/>
      </c>
      <c r="Q44" s="60" t="str">
        <f t="shared" si="62"/>
        <v>,</v>
      </c>
      <c r="R44" s="61">
        <f t="shared" si="6"/>
        <v>14</v>
      </c>
      <c r="S44" s="56" t="str">
        <f t="shared" si="63"/>
        <v>)</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4.5" thickTop="1" thickBot="1" x14ac:dyDescent="0.55000000000000004">
      <c r="B45" t="s">
        <v>999</v>
      </c>
      <c r="C45" s="113" t="s">
        <v>1048</v>
      </c>
      <c r="D45" s="112" t="s">
        <v>1033</v>
      </c>
      <c r="E45" s="52"/>
      <c r="F45" s="53" t="s">
        <v>1011</v>
      </c>
      <c r="G45" s="53"/>
      <c r="H45" s="52"/>
      <c r="I45" s="52"/>
      <c r="J45" s="54"/>
      <c r="K45" s="54"/>
      <c r="L45" s="55" t="str">
        <f t="shared" si="29"/>
        <v xml:space="preserve">            { line: "SOBRE EL MONTE DE SIÓN., (Fa,,20)(Mi,,250)", sC: "as"},</v>
      </c>
      <c r="M45" s="56" t="str">
        <f>IF(N45="","","(")</f>
        <v>(</v>
      </c>
      <c r="N45" s="57" t="str">
        <f>IF(D45="","",D45)</f>
        <v>Fa</v>
      </c>
      <c r="O45" s="58" t="str">
        <f>IF(N45="","",",")</f>
        <v>,</v>
      </c>
      <c r="P45" s="59" t="str">
        <f>IF(E45="","",E45)</f>
        <v/>
      </c>
      <c r="Q45" s="60" t="str">
        <f>IF(N45="","",",")</f>
        <v>,</v>
      </c>
      <c r="R45" s="61">
        <f t="shared" si="6"/>
        <v>20</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outlineLevel="1"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outlineLevel="1" thickTop="1" thickBot="1" x14ac:dyDescent="0.55000000000000004">
      <c r="C47" s="79" t="s">
        <v>995</v>
      </c>
      <c r="D47" s="80"/>
      <c r="E47" s="80"/>
      <c r="F47" s="80"/>
      <c r="G47" s="80"/>
      <c r="H47" s="80"/>
      <c r="I47" s="80"/>
      <c r="J47" s="80"/>
      <c r="K47" s="80"/>
      <c r="L47" s="81" t="s">
        <v>996</v>
      </c>
      <c r="M47" s="56" t="str">
        <f t="shared" ref="M47:M49" si="85">IF(N47="","","(")</f>
        <v/>
      </c>
      <c r="N47" s="57" t="str">
        <f t="shared" ref="N47:N49" si="86">IF(D47="","",D47)</f>
        <v/>
      </c>
      <c r="O47" s="58" t="str">
        <f t="shared" ref="O47:O49" si="87">IF(N47="","",",")</f>
        <v/>
      </c>
      <c r="P47" s="59" t="str">
        <f t="shared" ref="P47:P49" si="88">IF(E47="","",E47)</f>
        <v/>
      </c>
      <c r="Q47" s="60" t="str">
        <f t="shared" ref="Q47:Q49" si="89">IF(N47="","",",")</f>
        <v/>
      </c>
      <c r="R47" s="61" t="str">
        <f t="shared" si="6"/>
        <v/>
      </c>
      <c r="S47" s="56" t="str">
        <f t="shared" ref="S47:S49" si="90">IF(N47="","",")")</f>
        <v/>
      </c>
      <c r="T47" s="62" t="str">
        <f t="shared" ref="T47:T49" si="91">IF(U47="","","(")</f>
        <v/>
      </c>
      <c r="U47" s="63" t="str">
        <f t="shared" ref="U47:U49" si="92">IF(F47="","",F47)</f>
        <v/>
      </c>
      <c r="V47" s="64" t="str">
        <f t="shared" ref="V47:V49" si="93">IF(U47="","",",")</f>
        <v/>
      </c>
      <c r="W47" s="65" t="str">
        <f t="shared" ref="W47:W49" si="94">IF(G47="","",G47)</f>
        <v/>
      </c>
      <c r="X47" s="64" t="str">
        <f t="shared" ref="X47:X49" si="95">IF(U47="","",",")</f>
        <v/>
      </c>
      <c r="Y47" s="64" t="str">
        <f t="shared" ref="Y47:Y49" si="96">IF(U47="","",250)</f>
        <v/>
      </c>
      <c r="Z47" s="56" t="str">
        <f t="shared" ref="Z47:Z49" si="97">IF(U47="","",")")</f>
        <v/>
      </c>
      <c r="AA47" s="66" t="str">
        <f t="shared" ref="AA47:AA49" si="98">IF(AB47="","","(")</f>
        <v/>
      </c>
      <c r="AB47" s="57" t="str">
        <f t="shared" ref="AB47:AB49" si="99">IF(H47="","",H47)</f>
        <v/>
      </c>
      <c r="AC47" s="67" t="str">
        <f t="shared" ref="AC47:AC49" si="100">IF(AB47="","",",")</f>
        <v/>
      </c>
      <c r="AD47" s="59" t="str">
        <f t="shared" ref="AD47:AD49" si="101">IF(I47="","",I47)</f>
        <v/>
      </c>
      <c r="AE47" s="68" t="str">
        <f t="shared" ref="AE47:AE49" si="102">IF(AB47="","",",")</f>
        <v/>
      </c>
      <c r="AF47" s="61" t="str">
        <f t="shared" ref="AF47:AF49" si="103">IF(AB47="","",350)</f>
        <v/>
      </c>
      <c r="AG47" s="61" t="str">
        <f t="shared" ref="AG47:AG49" si="104">IF(AB47="","",")")</f>
        <v/>
      </c>
      <c r="AH47" s="69" t="str">
        <f t="shared" ref="AH47:AH49" si="105">IF(AI47="","","(")</f>
        <v/>
      </c>
      <c r="AI47" s="70" t="str">
        <f t="shared" ref="AI47:AI49" si="106">IF(J47="","",J47)</f>
        <v/>
      </c>
      <c r="AJ47" s="64" t="str">
        <f t="shared" ref="AJ47:AJ49" si="107">IF(AI47="","",",")</f>
        <v/>
      </c>
      <c r="AK47" s="64" t="str">
        <f t="shared" ref="AK47:AK49" si="108">IF(K47="","",K47)</f>
        <v/>
      </c>
      <c r="AL47" s="64" t="str">
        <f t="shared" ref="AL47:AL49" si="109">IF(AI47="","",",")</f>
        <v/>
      </c>
      <c r="AM47" s="64" t="str">
        <f t="shared" ref="AM47:AM49" si="110">IF(AI47="","",450)</f>
        <v/>
      </c>
      <c r="AN47" s="64" t="str">
        <f t="shared" ref="AN47:AN49" si="111">IF(AI47="","",")")</f>
        <v/>
      </c>
    </row>
    <row r="48" spans="1:40" ht="24.5" outlineLevel="1" thickTop="1" thickBot="1" x14ac:dyDescent="0.55000000000000004">
      <c r="B48" t="s">
        <v>997</v>
      </c>
      <c r="C48" s="82" t="s">
        <v>1045</v>
      </c>
      <c r="D48" s="83" t="s">
        <v>1013</v>
      </c>
      <c r="E48" s="83" t="s">
        <v>1012</v>
      </c>
      <c r="F48" s="83" t="s">
        <v>1029</v>
      </c>
      <c r="G48" s="83" t="s">
        <v>1012</v>
      </c>
      <c r="H48" s="83" t="s">
        <v>1013</v>
      </c>
      <c r="I48" s="83" t="s">
        <v>1012</v>
      </c>
      <c r="J48" s="83" t="s">
        <v>1011</v>
      </c>
      <c r="K48" s="83"/>
      <c r="L48" s="84" t="str">
        <f>IF(C48="","",_xlfn.CONCAT("       triggerLine: ","""",C48,", ",M48:AN48,""", sC: ","""",B48,""", lines: ["))</f>
        <v xml:space="preserve">       triggerLine: "¡QUÉ ESTUPENDO, QUÉ ALEGRÍA!..., (La,m,20)(Re,m,250)(La,m,350)(Mi,,450)", sC: "ta as", lines: [</v>
      </c>
      <c r="M48" s="56" t="str">
        <f t="shared" si="85"/>
        <v>(</v>
      </c>
      <c r="N48" s="57" t="str">
        <f t="shared" si="86"/>
        <v>La</v>
      </c>
      <c r="O48" s="58" t="str">
        <f t="shared" si="87"/>
        <v>,</v>
      </c>
      <c r="P48" s="59" t="str">
        <f t="shared" si="88"/>
        <v>m</v>
      </c>
      <c r="Q48" s="60" t="str">
        <f t="shared" si="89"/>
        <v>,</v>
      </c>
      <c r="R48" s="61">
        <f t="shared" si="6"/>
        <v>20</v>
      </c>
      <c r="S48" s="56" t="str">
        <f t="shared" si="90"/>
        <v>)</v>
      </c>
      <c r="T48" s="62" t="str">
        <f t="shared" si="91"/>
        <v>(</v>
      </c>
      <c r="U48" s="63" t="str">
        <f t="shared" si="92"/>
        <v>Re</v>
      </c>
      <c r="V48" s="64" t="str">
        <f t="shared" si="93"/>
        <v>,</v>
      </c>
      <c r="W48" s="65" t="str">
        <f t="shared" si="94"/>
        <v>m</v>
      </c>
      <c r="X48" s="64" t="str">
        <f t="shared" si="95"/>
        <v>,</v>
      </c>
      <c r="Y48" s="64">
        <f t="shared" si="96"/>
        <v>250</v>
      </c>
      <c r="Z48" s="56" t="str">
        <f t="shared" si="97"/>
        <v>)</v>
      </c>
      <c r="AA48" s="66" t="str">
        <f t="shared" si="98"/>
        <v>(</v>
      </c>
      <c r="AB48" s="57" t="str">
        <f t="shared" si="99"/>
        <v>La</v>
      </c>
      <c r="AC48" s="67" t="str">
        <f t="shared" si="100"/>
        <v>,</v>
      </c>
      <c r="AD48" s="59" t="str">
        <f t="shared" si="101"/>
        <v>m</v>
      </c>
      <c r="AE48" s="68" t="str">
        <f t="shared" si="102"/>
        <v>,</v>
      </c>
      <c r="AF48" s="61">
        <f t="shared" si="103"/>
        <v>350</v>
      </c>
      <c r="AG48" s="61" t="str">
        <f t="shared" si="104"/>
        <v>)</v>
      </c>
      <c r="AH48" s="69" t="str">
        <f t="shared" si="105"/>
        <v>(</v>
      </c>
      <c r="AI48" s="70" t="str">
        <f t="shared" si="106"/>
        <v>Mi</v>
      </c>
      <c r="AJ48" s="64" t="str">
        <f t="shared" si="107"/>
        <v>,</v>
      </c>
      <c r="AK48" s="64" t="str">
        <f t="shared" si="108"/>
        <v/>
      </c>
      <c r="AL48" s="64" t="str">
        <f t="shared" si="109"/>
        <v>,</v>
      </c>
      <c r="AM48" s="64">
        <f t="shared" si="110"/>
        <v>450</v>
      </c>
      <c r="AN48" s="64" t="str">
        <f t="shared" si="111"/>
        <v>)</v>
      </c>
    </row>
    <row r="49" spans="1:40" ht="24.5" outlineLevel="1" thickTop="1" thickBot="1" x14ac:dyDescent="0.55000000000000004">
      <c r="B49" t="s">
        <v>999</v>
      </c>
      <c r="C49" s="93" t="s">
        <v>1041</v>
      </c>
      <c r="D49" s="83" t="s">
        <v>1013</v>
      </c>
      <c r="E49" s="83" t="s">
        <v>1012</v>
      </c>
      <c r="F49" s="83" t="s">
        <v>1029</v>
      </c>
      <c r="G49" s="83" t="s">
        <v>1012</v>
      </c>
      <c r="H49" s="83" t="s">
        <v>1011</v>
      </c>
      <c r="I49" s="83"/>
      <c r="J49" s="83" t="s">
        <v>1013</v>
      </c>
      <c r="K49" s="83" t="s">
        <v>1012</v>
      </c>
      <c r="L49" s="94" t="str">
        <f>IF(C49="","",_xlfn.CONCAT("            { line: ","""",C49,", ",M49:AN49,""", sC: ","""",B49,"""},  ]},"))</f>
        <v xml:space="preserve">            { line: "¡LOS HERMANOS SIEMPRE UNIDOS!, (La,m,20)(Re,m,250)(Mi,,350)(La,m,450)", sC: "as"},  ]},</v>
      </c>
      <c r="M49" s="56" t="str">
        <f t="shared" si="85"/>
        <v>(</v>
      </c>
      <c r="N49" s="57" t="str">
        <f t="shared" si="86"/>
        <v>La</v>
      </c>
      <c r="O49" s="58" t="str">
        <f t="shared" si="87"/>
        <v>,</v>
      </c>
      <c r="P49" s="59" t="str">
        <f t="shared" si="88"/>
        <v>m</v>
      </c>
      <c r="Q49" s="60" t="str">
        <f t="shared" si="89"/>
        <v>,</v>
      </c>
      <c r="R49" s="61">
        <f t="shared" si="6"/>
        <v>20</v>
      </c>
      <c r="S49" s="56" t="str">
        <f t="shared" si="90"/>
        <v>)</v>
      </c>
      <c r="T49" s="62" t="str">
        <f t="shared" si="91"/>
        <v>(</v>
      </c>
      <c r="U49" s="63" t="str">
        <f t="shared" si="92"/>
        <v>Re</v>
      </c>
      <c r="V49" s="64" t="str">
        <f t="shared" si="93"/>
        <v>,</v>
      </c>
      <c r="W49" s="65" t="str">
        <f t="shared" si="94"/>
        <v>m</v>
      </c>
      <c r="X49" s="64" t="str">
        <f t="shared" si="95"/>
        <v>,</v>
      </c>
      <c r="Y49" s="64">
        <f t="shared" si="96"/>
        <v>250</v>
      </c>
      <c r="Z49" s="56" t="str">
        <f t="shared" si="97"/>
        <v>)</v>
      </c>
      <c r="AA49" s="66" t="str">
        <f t="shared" si="98"/>
        <v>(</v>
      </c>
      <c r="AB49" s="57" t="str">
        <f t="shared" si="99"/>
        <v>Mi</v>
      </c>
      <c r="AC49" s="67" t="str">
        <f t="shared" si="100"/>
        <v>,</v>
      </c>
      <c r="AD49" s="59" t="str">
        <f t="shared" si="101"/>
        <v/>
      </c>
      <c r="AE49" s="68" t="str">
        <f t="shared" si="102"/>
        <v>,</v>
      </c>
      <c r="AF49" s="61">
        <f t="shared" si="103"/>
        <v>350</v>
      </c>
      <c r="AG49" s="61" t="str">
        <f t="shared" si="104"/>
        <v>)</v>
      </c>
      <c r="AH49" s="69" t="str">
        <f t="shared" si="105"/>
        <v>(</v>
      </c>
      <c r="AI49" s="70" t="str">
        <f t="shared" si="106"/>
        <v>La</v>
      </c>
      <c r="AJ49" s="64" t="str">
        <f t="shared" si="107"/>
        <v>,</v>
      </c>
      <c r="AK49" s="64" t="str">
        <f t="shared" si="108"/>
        <v>m</v>
      </c>
      <c r="AL49" s="64" t="str">
        <f t="shared" si="109"/>
        <v>,</v>
      </c>
      <c r="AM49" s="64">
        <f t="shared" si="110"/>
        <v>450</v>
      </c>
      <c r="AN49" s="64" t="str">
        <f t="shared" si="111"/>
        <v>)</v>
      </c>
    </row>
    <row r="50" spans="1:40" ht="26.5" outlineLevel="1"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B51" t="s">
        <v>1014</v>
      </c>
      <c r="C51" s="113" t="s">
        <v>1049</v>
      </c>
      <c r="D51" s="112" t="s">
        <v>1015</v>
      </c>
      <c r="E51" s="52"/>
      <c r="F51" s="53"/>
      <c r="G51" s="53"/>
      <c r="H51" s="52"/>
      <c r="I51" s="52"/>
      <c r="J51" s="54"/>
      <c r="K51" s="54"/>
      <c r="L51" s="55" t="str">
        <f t="shared" si="29"/>
        <v xml:space="preserve">            { line: "Nos bendice el Señor desde lo alto,, (Sol,,14)", sC: "tc"},</v>
      </c>
      <c r="M51" s="56" t="str">
        <f>IF(N51="","","(")</f>
        <v>(</v>
      </c>
      <c r="N51" s="57" t="str">
        <f>IF(D51="","",D51)</f>
        <v>Sol</v>
      </c>
      <c r="O51" s="58" t="str">
        <f>IF(N51="","",",")</f>
        <v>,</v>
      </c>
      <c r="P51" s="59" t="str">
        <f>IF(E51="","",E51)</f>
        <v/>
      </c>
      <c r="Q51" s="60" t="str">
        <f>IF(N51="","",",")</f>
        <v>,</v>
      </c>
      <c r="R51" s="61">
        <f t="shared" si="6"/>
        <v>14</v>
      </c>
      <c r="S51" s="56" t="str">
        <f>IF(N51="","",")")</f>
        <v>)</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t="s">
        <v>1050</v>
      </c>
      <c r="D52" s="112" t="s">
        <v>1033</v>
      </c>
      <c r="E52" s="52"/>
      <c r="F52" s="53" t="s">
        <v>1011</v>
      </c>
      <c r="G52" s="53"/>
      <c r="H52" s="52"/>
      <c r="I52" s="52"/>
      <c r="J52" s="54"/>
      <c r="K52" s="54"/>
      <c r="L52" s="55" t="str">
        <f t="shared" si="29"/>
        <v xml:space="preserve">            { line: "la vida nos da eternamente,, (Fa,,20)(Mi,,250)", sC: ""},</v>
      </c>
      <c r="M52" s="56" t="str">
        <f t="shared" ref="M52:M54" si="112">IF(N52="","","(")</f>
        <v>(</v>
      </c>
      <c r="N52" s="57" t="str">
        <f t="shared" ref="N52:N54" si="113">IF(D52="","",D52)</f>
        <v>Fa</v>
      </c>
      <c r="O52" s="58" t="str">
        <f t="shared" ref="O52:O54" si="114">IF(N52="","",",")</f>
        <v>,</v>
      </c>
      <c r="P52" s="59" t="str">
        <f t="shared" ref="P52:P54" si="115">IF(E52="","",E52)</f>
        <v/>
      </c>
      <c r="Q52" s="60" t="str">
        <f t="shared" ref="Q52:Q54" si="116">IF(N52="","",",")</f>
        <v>,</v>
      </c>
      <c r="R52" s="61">
        <f t="shared" si="6"/>
        <v>20</v>
      </c>
      <c r="S52" s="56" t="str">
        <f t="shared" ref="S52:S54" si="117">IF(N52="","",")")</f>
        <v>)</v>
      </c>
      <c r="T52" s="62" t="str">
        <f t="shared" ref="T52:T54" si="118">IF(U52="","","(")</f>
        <v>(</v>
      </c>
      <c r="U52" s="63" t="str">
        <f t="shared" ref="U52:U54" si="119">IF(F52="","",F52)</f>
        <v>Mi</v>
      </c>
      <c r="V52" s="64" t="str">
        <f t="shared" ref="V52:V54" si="120">IF(U52="","",",")</f>
        <v>,</v>
      </c>
      <c r="W52" s="65" t="str">
        <f t="shared" ref="W52:W54" si="121">IF(G52="","",G52)</f>
        <v/>
      </c>
      <c r="X52" s="64" t="str">
        <f t="shared" ref="X52:X54" si="122">IF(U52="","",",")</f>
        <v>,</v>
      </c>
      <c r="Y52" s="64">
        <f t="shared" ref="Y52:Y54" si="123">IF(U52="","",250)</f>
        <v>250</v>
      </c>
      <c r="Z52" s="56" t="str">
        <f t="shared" ref="Z52:Z54" si="124">IF(U52="","",")")</f>
        <v>)</v>
      </c>
      <c r="AA52" s="66" t="str">
        <f t="shared" ref="AA52:AA54" si="125">IF(AB52="","","(")</f>
        <v/>
      </c>
      <c r="AB52" s="57" t="str">
        <f t="shared" ref="AB52:AB54" si="126">IF(H52="","",H52)</f>
        <v/>
      </c>
      <c r="AC52" s="67" t="str">
        <f t="shared" ref="AC52:AC54" si="127">IF(AB52="","",",")</f>
        <v/>
      </c>
      <c r="AD52" s="59" t="str">
        <f t="shared" ref="AD52:AD54" si="128">IF(I52="","",I52)</f>
        <v/>
      </c>
      <c r="AE52" s="68" t="str">
        <f t="shared" ref="AE52:AE54" si="129">IF(AB52="","",",")</f>
        <v/>
      </c>
      <c r="AF52" s="61" t="str">
        <f t="shared" ref="AF52:AF54" si="130">IF(AB52="","",350)</f>
        <v/>
      </c>
      <c r="AG52" s="61" t="str">
        <f t="shared" ref="AG52:AG54" si="131">IF(AB52="","",")")</f>
        <v/>
      </c>
      <c r="AH52" s="69" t="str">
        <f t="shared" ref="AH52:AH54" si="132">IF(AI52="","","(")</f>
        <v/>
      </c>
      <c r="AI52" s="70" t="str">
        <f t="shared" ref="AI52:AI54" si="133">IF(J52="","",J52)</f>
        <v/>
      </c>
      <c r="AJ52" s="64" t="str">
        <f t="shared" ref="AJ52:AJ54" si="134">IF(AI52="","",",")</f>
        <v/>
      </c>
      <c r="AK52" s="64" t="str">
        <f t="shared" ref="AK52:AK54" si="135">IF(K52="","",K52)</f>
        <v/>
      </c>
      <c r="AL52" s="64" t="str">
        <f t="shared" ref="AL52:AL54" si="136">IF(AI52="","",",")</f>
        <v/>
      </c>
      <c r="AM52" s="64" t="str">
        <f t="shared" ref="AM52:AM54" si="137">IF(AI52="","",450)</f>
        <v/>
      </c>
      <c r="AN52" s="64" t="str">
        <f t="shared" ref="AN52:AN54" si="138">IF(AI52="","",")")</f>
        <v/>
      </c>
    </row>
    <row r="53" spans="1:40" ht="24.5" thickTop="1" thickBot="1" x14ac:dyDescent="0.55000000000000004">
      <c r="B53" t="s">
        <v>997</v>
      </c>
      <c r="C53" s="113" t="s">
        <v>1054</v>
      </c>
      <c r="D53" s="112" t="s">
        <v>1015</v>
      </c>
      <c r="E53" s="52"/>
      <c r="F53" s="53"/>
      <c r="G53" s="53"/>
      <c r="H53" s="52"/>
      <c r="I53" s="52"/>
      <c r="J53" s="54"/>
      <c r="K53" s="54"/>
      <c r="L53" s="55" t="str">
        <f t="shared" si="29"/>
        <v xml:space="preserve">            { line: "NOS BENDICE EL SEÑOR DESDE LO ALTO,, (Sol,,14)", sC: "ta as"},</v>
      </c>
      <c r="M53" s="56" t="str">
        <f t="shared" si="112"/>
        <v>(</v>
      </c>
      <c r="N53" s="57" t="str">
        <f t="shared" si="113"/>
        <v>Sol</v>
      </c>
      <c r="O53" s="58" t="str">
        <f t="shared" si="114"/>
        <v>,</v>
      </c>
      <c r="P53" s="59" t="str">
        <f t="shared" si="115"/>
        <v/>
      </c>
      <c r="Q53" s="60" t="str">
        <f t="shared" si="116"/>
        <v>,</v>
      </c>
      <c r="R53" s="61">
        <f t="shared" si="6"/>
        <v>14</v>
      </c>
      <c r="S53" s="56" t="str">
        <f t="shared" si="117"/>
        <v>)</v>
      </c>
      <c r="T53" s="62" t="str">
        <f t="shared" si="118"/>
        <v/>
      </c>
      <c r="U53" s="63" t="str">
        <f t="shared" si="119"/>
        <v/>
      </c>
      <c r="V53" s="64" t="str">
        <f t="shared" si="120"/>
        <v/>
      </c>
      <c r="W53" s="65" t="str">
        <f t="shared" si="121"/>
        <v/>
      </c>
      <c r="X53" s="64" t="str">
        <f t="shared" si="122"/>
        <v/>
      </c>
      <c r="Y53" s="64" t="str">
        <f t="shared" si="123"/>
        <v/>
      </c>
      <c r="Z53" s="56" t="str">
        <f t="shared" si="124"/>
        <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4.5" thickTop="1" thickBot="1" x14ac:dyDescent="0.55000000000000004">
      <c r="B54" t="s">
        <v>999</v>
      </c>
      <c r="C54" s="113" t="s">
        <v>1051</v>
      </c>
      <c r="D54" s="112" t="s">
        <v>1033</v>
      </c>
      <c r="E54" s="52"/>
      <c r="F54" s="53" t="s">
        <v>1011</v>
      </c>
      <c r="G54" s="53"/>
      <c r="H54" s="52"/>
      <c r="I54" s="52"/>
      <c r="J54" s="54"/>
      <c r="K54" s="54"/>
      <c r="L54" s="55" t="str">
        <f t="shared" si="29"/>
        <v xml:space="preserve">            { line: "LA VIDA NOS DA ETERNAMENTE., (Fa,,20)(Mi,,250)", sC: "as"},</v>
      </c>
      <c r="M54" s="56" t="str">
        <f t="shared" si="112"/>
        <v>(</v>
      </c>
      <c r="N54" s="57" t="str">
        <f t="shared" si="113"/>
        <v>Fa</v>
      </c>
      <c r="O54" s="58" t="str">
        <f t="shared" si="114"/>
        <v>,</v>
      </c>
      <c r="P54" s="59" t="str">
        <f t="shared" si="115"/>
        <v/>
      </c>
      <c r="Q54" s="60" t="str">
        <f t="shared" si="116"/>
        <v>,</v>
      </c>
      <c r="R54" s="61">
        <f t="shared" si="6"/>
        <v>20</v>
      </c>
      <c r="S54" s="56" t="str">
        <f t="shared" si="117"/>
        <v>)</v>
      </c>
      <c r="T54" s="62" t="str">
        <f t="shared" si="118"/>
        <v>(</v>
      </c>
      <c r="U54" s="63" t="str">
        <f t="shared" si="119"/>
        <v>Mi</v>
      </c>
      <c r="V54" s="64" t="str">
        <f t="shared" si="120"/>
        <v>,</v>
      </c>
      <c r="W54" s="65" t="str">
        <f t="shared" si="121"/>
        <v/>
      </c>
      <c r="X54" s="64" t="str">
        <f t="shared" si="122"/>
        <v>,</v>
      </c>
      <c r="Y54" s="64">
        <f t="shared" si="123"/>
        <v>250</v>
      </c>
      <c r="Z54" s="56" t="str">
        <f t="shared" si="124"/>
        <v>)</v>
      </c>
      <c r="AA54" s="66" t="str">
        <f t="shared" si="125"/>
        <v/>
      </c>
      <c r="AB54" s="57" t="str">
        <f t="shared" si="126"/>
        <v/>
      </c>
      <c r="AC54" s="67" t="str">
        <f t="shared" si="127"/>
        <v/>
      </c>
      <c r="AD54" s="59" t="str">
        <f t="shared" si="128"/>
        <v/>
      </c>
      <c r="AE54" s="68" t="str">
        <f t="shared" si="129"/>
        <v/>
      </c>
      <c r="AF54" s="61" t="str">
        <f t="shared" si="130"/>
        <v/>
      </c>
      <c r="AG54" s="61" t="str">
        <f t="shared" si="131"/>
        <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6.5" outlineLevel="1"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R58" si="139">IF(N55="Do",10,IF(N55="Re",22,IF(N55="Mi",20,IF(N55="Fa",20,IF(N55="Sol",14,IF(N55="La",20,IF(N55="Si",20,IF(N55="Do#",14,IF(N55="Fa#",15,IF(N55="Sol#",20,IF(N55="Si♭",17,"")))))))))))</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outlineLevel="1" thickTop="1" thickBot="1" x14ac:dyDescent="0.55000000000000004">
      <c r="C56" s="79" t="s">
        <v>995</v>
      </c>
      <c r="D56" s="80"/>
      <c r="E56" s="80"/>
      <c r="F56" s="80"/>
      <c r="G56" s="80"/>
      <c r="H56" s="80"/>
      <c r="I56" s="80"/>
      <c r="J56" s="80"/>
      <c r="K56" s="80"/>
      <c r="L56" s="81"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139"/>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4.5" outlineLevel="1" thickTop="1" thickBot="1" x14ac:dyDescent="0.55000000000000004">
      <c r="B57" t="s">
        <v>997</v>
      </c>
      <c r="C57" s="82" t="s">
        <v>1045</v>
      </c>
      <c r="D57" s="83" t="s">
        <v>1013</v>
      </c>
      <c r="E57" s="83" t="s">
        <v>1012</v>
      </c>
      <c r="F57" s="83" t="s">
        <v>1029</v>
      </c>
      <c r="G57" s="83" t="s">
        <v>1012</v>
      </c>
      <c r="H57" s="83" t="s">
        <v>1013</v>
      </c>
      <c r="I57" s="83" t="s">
        <v>1012</v>
      </c>
      <c r="J57" s="83" t="s">
        <v>1011</v>
      </c>
      <c r="K57" s="83"/>
      <c r="L57" s="84" t="str">
        <f>IF(C57="","",_xlfn.CONCAT("       triggerLine: ","""",C57,", ",M57:AN57,""", sC: ","""",B57,""", lines: ["))</f>
        <v xml:space="preserve">       triggerLine: "¡QUÉ ESTUPENDO, QUÉ ALEGRÍA!..., (La,m,20)(Re,m,250)(La,m,350)(Mi,,450)", sC: "ta as", lines: [</v>
      </c>
      <c r="M57" s="56" t="str">
        <f t="shared" si="140"/>
        <v>(</v>
      </c>
      <c r="N57" s="57" t="str">
        <f t="shared" si="141"/>
        <v>La</v>
      </c>
      <c r="O57" s="58" t="str">
        <f t="shared" si="142"/>
        <v>,</v>
      </c>
      <c r="P57" s="59" t="str">
        <f t="shared" si="143"/>
        <v>m</v>
      </c>
      <c r="Q57" s="60" t="str">
        <f t="shared" si="144"/>
        <v>,</v>
      </c>
      <c r="R57" s="61">
        <f t="shared" si="139"/>
        <v>20</v>
      </c>
      <c r="S57" s="56" t="str">
        <f t="shared" si="145"/>
        <v>)</v>
      </c>
      <c r="T57" s="62" t="str">
        <f t="shared" si="146"/>
        <v>(</v>
      </c>
      <c r="U57" s="63" t="str">
        <f t="shared" si="147"/>
        <v>Re</v>
      </c>
      <c r="V57" s="64" t="str">
        <f t="shared" si="148"/>
        <v>,</v>
      </c>
      <c r="W57" s="65" t="str">
        <f t="shared" si="149"/>
        <v>m</v>
      </c>
      <c r="X57" s="64" t="str">
        <f t="shared" si="150"/>
        <v>,</v>
      </c>
      <c r="Y57" s="64">
        <f t="shared" si="151"/>
        <v>250</v>
      </c>
      <c r="Z57" s="56" t="str">
        <f t="shared" si="152"/>
        <v>)</v>
      </c>
      <c r="AA57" s="66" t="str">
        <f t="shared" si="153"/>
        <v>(</v>
      </c>
      <c r="AB57" s="57" t="str">
        <f t="shared" si="154"/>
        <v>La</v>
      </c>
      <c r="AC57" s="67" t="str">
        <f t="shared" si="155"/>
        <v>,</v>
      </c>
      <c r="AD57" s="59" t="str">
        <f t="shared" si="156"/>
        <v>m</v>
      </c>
      <c r="AE57" s="68" t="str">
        <f t="shared" si="157"/>
        <v>,</v>
      </c>
      <c r="AF57" s="61">
        <f t="shared" si="158"/>
        <v>350</v>
      </c>
      <c r="AG57" s="61" t="str">
        <f t="shared" si="159"/>
        <v>)</v>
      </c>
      <c r="AH57" s="69" t="str">
        <f t="shared" si="160"/>
        <v>(</v>
      </c>
      <c r="AI57" s="70" t="str">
        <f t="shared" si="161"/>
        <v>Mi</v>
      </c>
      <c r="AJ57" s="64" t="str">
        <f t="shared" si="162"/>
        <v>,</v>
      </c>
      <c r="AK57" s="64" t="str">
        <f t="shared" si="163"/>
        <v/>
      </c>
      <c r="AL57" s="64" t="str">
        <f t="shared" si="164"/>
        <v>,</v>
      </c>
      <c r="AM57" s="64">
        <f t="shared" si="165"/>
        <v>450</v>
      </c>
      <c r="AN57" s="64" t="str">
        <f t="shared" si="166"/>
        <v>)</v>
      </c>
    </row>
    <row r="58" spans="1:40" ht="24.5" outlineLevel="1" thickTop="1" thickBot="1" x14ac:dyDescent="0.55000000000000004">
      <c r="B58" t="s">
        <v>999</v>
      </c>
      <c r="C58" s="93" t="s">
        <v>1041</v>
      </c>
      <c r="D58" s="83" t="s">
        <v>1013</v>
      </c>
      <c r="E58" s="83" t="s">
        <v>1012</v>
      </c>
      <c r="F58" s="83" t="s">
        <v>1029</v>
      </c>
      <c r="G58" s="83" t="s">
        <v>1012</v>
      </c>
      <c r="H58" s="83" t="s">
        <v>1011</v>
      </c>
      <c r="I58" s="83"/>
      <c r="J58" s="83" t="s">
        <v>1013</v>
      </c>
      <c r="K58" s="83" t="s">
        <v>1012</v>
      </c>
      <c r="L58" s="94" t="str">
        <f>IF(C58="","",_xlfn.CONCAT("            { line: ","""",C58,", ",M58:AN58,""", sC: ","""",B58,"""},  ]},"))</f>
        <v xml:space="preserve">            { line: "¡LOS HERMANOS SIEMPRE UNIDOS!, (La,m,20)(Re,m,250)(Mi,,350)(La,m,450)", sC: "as"},  ]},</v>
      </c>
      <c r="M58" s="56" t="str">
        <f t="shared" si="140"/>
        <v>(</v>
      </c>
      <c r="N58" s="57" t="str">
        <f t="shared" si="141"/>
        <v>La</v>
      </c>
      <c r="O58" s="58" t="str">
        <f t="shared" si="142"/>
        <v>,</v>
      </c>
      <c r="P58" s="59" t="str">
        <f t="shared" si="143"/>
        <v>m</v>
      </c>
      <c r="Q58" s="60" t="str">
        <f t="shared" si="144"/>
        <v>,</v>
      </c>
      <c r="R58" s="61">
        <f t="shared" si="139"/>
        <v>20</v>
      </c>
      <c r="S58" s="56" t="str">
        <f t="shared" si="145"/>
        <v>)</v>
      </c>
      <c r="T58" s="62" t="str">
        <f t="shared" si="146"/>
        <v>(</v>
      </c>
      <c r="U58" s="63" t="str">
        <f t="shared" si="147"/>
        <v>Re</v>
      </c>
      <c r="V58" s="64" t="str">
        <f t="shared" si="148"/>
        <v>,</v>
      </c>
      <c r="W58" s="65" t="str">
        <f t="shared" si="149"/>
        <v>m</v>
      </c>
      <c r="X58" s="64" t="str">
        <f t="shared" si="150"/>
        <v>,</v>
      </c>
      <c r="Y58" s="64">
        <f t="shared" si="151"/>
        <v>250</v>
      </c>
      <c r="Z58" s="56" t="str">
        <f t="shared" si="152"/>
        <v>)</v>
      </c>
      <c r="AA58" s="66" t="str">
        <f t="shared" si="153"/>
        <v>(</v>
      </c>
      <c r="AB58" s="57" t="str">
        <f t="shared" si="154"/>
        <v>Mi</v>
      </c>
      <c r="AC58" s="67" t="str">
        <f t="shared" si="155"/>
        <v>,</v>
      </c>
      <c r="AD58" s="59" t="str">
        <f t="shared" si="156"/>
        <v/>
      </c>
      <c r="AE58" s="68" t="str">
        <f t="shared" si="157"/>
        <v>,</v>
      </c>
      <c r="AF58" s="61">
        <f t="shared" si="158"/>
        <v>350</v>
      </c>
      <c r="AG58" s="61" t="str">
        <f t="shared" si="159"/>
        <v>)</v>
      </c>
      <c r="AH58" s="69" t="str">
        <f t="shared" si="160"/>
        <v>(</v>
      </c>
      <c r="AI58" s="70" t="str">
        <f t="shared" si="161"/>
        <v>La</v>
      </c>
      <c r="AJ58" s="64" t="str">
        <f t="shared" si="162"/>
        <v>,</v>
      </c>
      <c r="AK58" s="64" t="str">
        <f t="shared" si="163"/>
        <v>m</v>
      </c>
      <c r="AL58" s="64" t="str">
        <f t="shared" si="164"/>
        <v>,</v>
      </c>
      <c r="AM58" s="64">
        <f t="shared" si="165"/>
        <v>450</v>
      </c>
      <c r="AN58" s="64" t="str">
        <f t="shared" si="166"/>
        <v>)</v>
      </c>
    </row>
    <row r="59" spans="1:40" ht="36.5" thickTop="1" thickBot="1" x14ac:dyDescent="0.55000000000000004">
      <c r="A59" s="76"/>
      <c r="B59" s="76"/>
      <c r="C59" s="76" t="s">
        <v>1031</v>
      </c>
      <c r="D59" s="77"/>
      <c r="E59" s="77"/>
      <c r="F59" s="77"/>
      <c r="G59" s="77"/>
      <c r="H59" s="77"/>
      <c r="I59" s="77"/>
      <c r="J59" s="77"/>
      <c r="K59" s="77"/>
      <c r="L59" s="50"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5" hidden="1" outlineLevel="1" thickTop="1" thickBot="1" x14ac:dyDescent="0.55000000000000004">
      <c r="C60" s="113"/>
      <c r="D60" s="112"/>
      <c r="E60" s="52"/>
      <c r="F60" s="53"/>
      <c r="G60" s="53"/>
      <c r="H60" s="52"/>
      <c r="I60" s="52"/>
      <c r="J60" s="54"/>
      <c r="K60" s="54"/>
      <c r="L60" s="55" t="str">
        <f t="shared" ref="L60:L93" si="167">IF(C60="","",_xlfn.CONCAT("            { line: ","""",C60,", ",M60:AN60,""", sC: ","""",B60,"""},"))</f>
        <v/>
      </c>
      <c r="M60" s="56" t="str">
        <f t="shared" ref="M60:M95" si="168">IF(N60="","","(")</f>
        <v/>
      </c>
      <c r="N60" s="57" t="str">
        <f t="shared" si="2"/>
        <v/>
      </c>
      <c r="O60" s="58" t="str">
        <f t="shared" ref="O60:O95" si="169">IF(N60="","",",")</f>
        <v/>
      </c>
      <c r="P60" s="59" t="str">
        <f t="shared" si="4"/>
        <v/>
      </c>
      <c r="Q60" s="60" t="str">
        <f t="shared" ref="Q60:Q95" si="170">IF(N60="","",",")</f>
        <v/>
      </c>
      <c r="R60" s="61" t="str">
        <f t="shared" si="6"/>
        <v/>
      </c>
      <c r="S60" s="56" t="str">
        <f t="shared" ref="S60:S95" si="171">IF(N60="","",")")</f>
        <v/>
      </c>
      <c r="T60" s="62" t="str">
        <f t="shared" ref="T60:T95" si="172">IF(U60="","","(")</f>
        <v/>
      </c>
      <c r="U60" s="63" t="str">
        <f t="shared" si="9"/>
        <v/>
      </c>
      <c r="V60" s="64" t="str">
        <f t="shared" ref="V60:V95" si="173">IF(U60="","",",")</f>
        <v/>
      </c>
      <c r="W60" s="65" t="str">
        <f t="shared" si="11"/>
        <v/>
      </c>
      <c r="X60" s="64" t="str">
        <f t="shared" ref="X60:X95" si="174">IF(U60="","",",")</f>
        <v/>
      </c>
      <c r="Y60" s="64" t="str">
        <f t="shared" ref="Y60:Y95" si="175">IF(U60="","",250)</f>
        <v/>
      </c>
      <c r="Z60" s="56" t="str">
        <f t="shared" ref="Z60:Z95" si="176">IF(U60="","",")")</f>
        <v/>
      </c>
      <c r="AA60" s="66" t="str">
        <f t="shared" ref="AA60:AA95" si="177">IF(AB60="","","(")</f>
        <v/>
      </c>
      <c r="AB60" s="57" t="str">
        <f t="shared" si="16"/>
        <v/>
      </c>
      <c r="AC60" s="67" t="str">
        <f t="shared" ref="AC60:AC95" si="178">IF(AB60="","",",")</f>
        <v/>
      </c>
      <c r="AD60" s="59" t="str">
        <f t="shared" ref="AD60:AD95" si="179">IF(I60="","",I60)</f>
        <v/>
      </c>
      <c r="AE60" s="68" t="str">
        <f t="shared" ref="AE60:AE95" si="180">IF(AB60="","",",")</f>
        <v/>
      </c>
      <c r="AF60" s="61" t="str">
        <f t="shared" ref="AF60:AF95" si="181">IF(AB60="","",350)</f>
        <v/>
      </c>
      <c r="AG60" s="61" t="str">
        <f t="shared" ref="AG60:AG95" si="182">IF(AB60="","",")")</f>
        <v/>
      </c>
      <c r="AH60" s="69" t="str">
        <f t="shared" ref="AH60:AH95" si="183">IF(AI60="","","(")</f>
        <v/>
      </c>
      <c r="AI60" s="70" t="str">
        <f t="shared" si="23"/>
        <v/>
      </c>
      <c r="AJ60" s="64" t="str">
        <f t="shared" ref="AJ60:AJ95" si="184">IF(AI60="","",",")</f>
        <v/>
      </c>
      <c r="AK60" s="64" t="str">
        <f t="shared" ref="AK60:AK95" si="185">IF(K60="","",K60)</f>
        <v/>
      </c>
      <c r="AL60" s="64" t="str">
        <f t="shared" ref="AL60:AL95" si="186">IF(AI60="","",",")</f>
        <v/>
      </c>
      <c r="AM60" s="64" t="str">
        <f t="shared" ref="AM60:AM95" si="187">IF(AI60="","",450)</f>
        <v/>
      </c>
      <c r="AN60" s="64" t="str">
        <f t="shared" ref="AN60:AN95" si="188">IF(AI60="","",")")</f>
        <v/>
      </c>
    </row>
    <row r="61" spans="1:40" ht="24.5" hidden="1" outlineLevel="1" thickTop="1" thickBot="1" x14ac:dyDescent="0.55000000000000004">
      <c r="C61" s="113"/>
      <c r="D61" s="112"/>
      <c r="E61" s="52"/>
      <c r="F61" s="53"/>
      <c r="G61" s="53"/>
      <c r="H61" s="52"/>
      <c r="I61" s="52"/>
      <c r="J61" s="54"/>
      <c r="K61" s="54"/>
      <c r="L61" s="55" t="str">
        <f t="shared" si="167"/>
        <v/>
      </c>
      <c r="M61" s="56" t="str">
        <f t="shared" si="168"/>
        <v/>
      </c>
      <c r="N61" s="57" t="str">
        <f t="shared" si="2"/>
        <v/>
      </c>
      <c r="O61" s="58" t="str">
        <f t="shared" si="169"/>
        <v/>
      </c>
      <c r="P61" s="59" t="str">
        <f t="shared" si="4"/>
        <v/>
      </c>
      <c r="Q61" s="60" t="str">
        <f t="shared" si="170"/>
        <v/>
      </c>
      <c r="R61" s="61" t="str">
        <f t="shared" si="6"/>
        <v/>
      </c>
      <c r="S61" s="56" t="str">
        <f t="shared" si="171"/>
        <v/>
      </c>
      <c r="T61" s="62" t="str">
        <f t="shared" si="172"/>
        <v/>
      </c>
      <c r="U61" s="63" t="str">
        <f t="shared" si="9"/>
        <v/>
      </c>
      <c r="V61" s="64" t="str">
        <f t="shared" si="173"/>
        <v/>
      </c>
      <c r="W61" s="65" t="str">
        <f t="shared" si="11"/>
        <v/>
      </c>
      <c r="X61" s="64" t="str">
        <f t="shared" si="174"/>
        <v/>
      </c>
      <c r="Y61" s="64" t="str">
        <f t="shared" si="175"/>
        <v/>
      </c>
      <c r="Z61" s="56" t="str">
        <f t="shared" si="176"/>
        <v/>
      </c>
      <c r="AA61" s="66" t="str">
        <f t="shared" si="177"/>
        <v/>
      </c>
      <c r="AB61" s="57" t="str">
        <f t="shared" si="16"/>
        <v/>
      </c>
      <c r="AC61" s="67" t="str">
        <f t="shared" si="178"/>
        <v/>
      </c>
      <c r="AD61" s="59" t="str">
        <f t="shared" si="179"/>
        <v/>
      </c>
      <c r="AE61" s="68" t="str">
        <f t="shared" si="180"/>
        <v/>
      </c>
      <c r="AF61" s="61" t="str">
        <f t="shared" si="181"/>
        <v/>
      </c>
      <c r="AG61" s="61" t="str">
        <f t="shared" si="182"/>
        <v/>
      </c>
      <c r="AH61" s="69" t="str">
        <f t="shared" si="183"/>
        <v/>
      </c>
      <c r="AI61" s="70" t="str">
        <f t="shared" si="23"/>
        <v/>
      </c>
      <c r="AJ61" s="64" t="str">
        <f t="shared" si="184"/>
        <v/>
      </c>
      <c r="AK61" s="64" t="str">
        <f t="shared" si="185"/>
        <v/>
      </c>
      <c r="AL61" s="64" t="str">
        <f t="shared" si="186"/>
        <v/>
      </c>
      <c r="AM61" s="64" t="str">
        <f t="shared" si="187"/>
        <v/>
      </c>
      <c r="AN61" s="64" t="str">
        <f t="shared" si="188"/>
        <v/>
      </c>
    </row>
    <row r="62" spans="1:40" ht="24.5" hidden="1" outlineLevel="1" thickTop="1" thickBot="1" x14ac:dyDescent="0.55000000000000004">
      <c r="C62" s="113"/>
      <c r="D62" s="112"/>
      <c r="E62" s="52"/>
      <c r="F62" s="53"/>
      <c r="G62" s="53"/>
      <c r="H62" s="52"/>
      <c r="I62" s="52"/>
      <c r="J62" s="54"/>
      <c r="K62" s="54"/>
      <c r="L62" s="55" t="str">
        <f t="shared" si="167"/>
        <v/>
      </c>
      <c r="M62" s="56" t="str">
        <f t="shared" si="168"/>
        <v/>
      </c>
      <c r="N62" s="57" t="str">
        <f t="shared" si="2"/>
        <v/>
      </c>
      <c r="O62" s="58" t="str">
        <f t="shared" si="169"/>
        <v/>
      </c>
      <c r="P62" s="59" t="str">
        <f t="shared" si="4"/>
        <v/>
      </c>
      <c r="Q62" s="60" t="str">
        <f t="shared" si="170"/>
        <v/>
      </c>
      <c r="R62" s="61" t="str">
        <f t="shared" si="6"/>
        <v/>
      </c>
      <c r="S62" s="56" t="str">
        <f t="shared" si="171"/>
        <v/>
      </c>
      <c r="T62" s="62" t="str">
        <f t="shared" si="172"/>
        <v/>
      </c>
      <c r="U62" s="63" t="str">
        <f t="shared" si="9"/>
        <v/>
      </c>
      <c r="V62" s="64" t="str">
        <f t="shared" si="173"/>
        <v/>
      </c>
      <c r="W62" s="65" t="str">
        <f t="shared" si="11"/>
        <v/>
      </c>
      <c r="X62" s="64" t="str">
        <f t="shared" si="174"/>
        <v/>
      </c>
      <c r="Y62" s="64" t="str">
        <f t="shared" si="175"/>
        <v/>
      </c>
      <c r="Z62" s="56" t="str">
        <f t="shared" si="176"/>
        <v/>
      </c>
      <c r="AA62" s="66" t="str">
        <f t="shared" si="177"/>
        <v/>
      </c>
      <c r="AB62" s="57" t="str">
        <f t="shared" si="16"/>
        <v/>
      </c>
      <c r="AC62" s="67" t="str">
        <f t="shared" si="178"/>
        <v/>
      </c>
      <c r="AD62" s="59" t="str">
        <f t="shared" si="179"/>
        <v/>
      </c>
      <c r="AE62" s="68" t="str">
        <f t="shared" si="180"/>
        <v/>
      </c>
      <c r="AF62" s="61" t="str">
        <f t="shared" si="181"/>
        <v/>
      </c>
      <c r="AG62" s="61" t="str">
        <f t="shared" si="182"/>
        <v/>
      </c>
      <c r="AH62" s="69" t="str">
        <f t="shared" si="183"/>
        <v/>
      </c>
      <c r="AI62" s="70" t="str">
        <f t="shared" si="23"/>
        <v/>
      </c>
      <c r="AJ62" s="64" t="str">
        <f t="shared" si="184"/>
        <v/>
      </c>
      <c r="AK62" s="64" t="str">
        <f t="shared" si="185"/>
        <v/>
      </c>
      <c r="AL62" s="64" t="str">
        <f t="shared" si="186"/>
        <v/>
      </c>
      <c r="AM62" s="64" t="str">
        <f t="shared" si="187"/>
        <v/>
      </c>
      <c r="AN62" s="64" t="str">
        <f t="shared" si="188"/>
        <v/>
      </c>
    </row>
    <row r="63" spans="1:40" ht="24.5" hidden="1" outlineLevel="1" thickTop="1" thickBot="1" x14ac:dyDescent="0.55000000000000004">
      <c r="C63" s="113"/>
      <c r="D63" s="112"/>
      <c r="E63" s="52"/>
      <c r="F63" s="53"/>
      <c r="G63" s="53"/>
      <c r="H63" s="52"/>
      <c r="I63" s="52"/>
      <c r="J63" s="54"/>
      <c r="K63" s="54"/>
      <c r="L63" s="55" t="str">
        <f t="shared" si="167"/>
        <v/>
      </c>
      <c r="M63" s="56" t="str">
        <f t="shared" si="168"/>
        <v/>
      </c>
      <c r="N63" s="57" t="str">
        <f t="shared" si="2"/>
        <v/>
      </c>
      <c r="O63" s="58" t="str">
        <f t="shared" si="169"/>
        <v/>
      </c>
      <c r="P63" s="59" t="str">
        <f t="shared" si="4"/>
        <v/>
      </c>
      <c r="Q63" s="60" t="str">
        <f t="shared" si="170"/>
        <v/>
      </c>
      <c r="R63" s="61" t="str">
        <f t="shared" si="6"/>
        <v/>
      </c>
      <c r="S63" s="56" t="str">
        <f t="shared" si="171"/>
        <v/>
      </c>
      <c r="T63" s="62" t="str">
        <f t="shared" si="172"/>
        <v/>
      </c>
      <c r="U63" s="63" t="str">
        <f t="shared" si="9"/>
        <v/>
      </c>
      <c r="V63" s="64" t="str">
        <f t="shared" si="173"/>
        <v/>
      </c>
      <c r="W63" s="65" t="str">
        <f t="shared" si="11"/>
        <v/>
      </c>
      <c r="X63" s="64" t="str">
        <f t="shared" si="174"/>
        <v/>
      </c>
      <c r="Y63" s="64" t="str">
        <f t="shared" si="175"/>
        <v/>
      </c>
      <c r="Z63" s="56" t="str">
        <f t="shared" si="176"/>
        <v/>
      </c>
      <c r="AA63" s="66" t="str">
        <f t="shared" si="177"/>
        <v/>
      </c>
      <c r="AB63" s="57" t="str">
        <f t="shared" si="16"/>
        <v/>
      </c>
      <c r="AC63" s="67" t="str">
        <f t="shared" si="178"/>
        <v/>
      </c>
      <c r="AD63" s="59" t="str">
        <f t="shared" si="179"/>
        <v/>
      </c>
      <c r="AE63" s="68" t="str">
        <f t="shared" si="180"/>
        <v/>
      </c>
      <c r="AF63" s="61" t="str">
        <f t="shared" si="181"/>
        <v/>
      </c>
      <c r="AG63" s="61" t="str">
        <f t="shared" si="182"/>
        <v/>
      </c>
      <c r="AH63" s="69" t="str">
        <f t="shared" si="183"/>
        <v/>
      </c>
      <c r="AI63" s="70" t="str">
        <f t="shared" si="23"/>
        <v/>
      </c>
      <c r="AJ63" s="64" t="str">
        <f t="shared" si="184"/>
        <v/>
      </c>
      <c r="AK63" s="64" t="str">
        <f t="shared" si="185"/>
        <v/>
      </c>
      <c r="AL63" s="64" t="str">
        <f t="shared" si="186"/>
        <v/>
      </c>
      <c r="AM63" s="64" t="str">
        <f t="shared" si="187"/>
        <v/>
      </c>
      <c r="AN63" s="64" t="str">
        <f t="shared" si="188"/>
        <v/>
      </c>
    </row>
    <row r="64" spans="1:40" ht="24.5" hidden="1" outlineLevel="1" thickTop="1" thickBot="1" x14ac:dyDescent="0.55000000000000004">
      <c r="C64" s="113"/>
      <c r="D64" s="112"/>
      <c r="E64" s="52"/>
      <c r="F64" s="53"/>
      <c r="G64" s="53"/>
      <c r="H64" s="52"/>
      <c r="I64" s="52"/>
      <c r="J64" s="54"/>
      <c r="K64" s="54"/>
      <c r="L64" s="78" t="str">
        <f t="shared" si="167"/>
        <v/>
      </c>
      <c r="M64" s="56" t="str">
        <f t="shared" si="168"/>
        <v/>
      </c>
      <c r="N64" s="57" t="str">
        <f t="shared" si="2"/>
        <v/>
      </c>
      <c r="O64" s="58" t="str">
        <f t="shared" si="169"/>
        <v/>
      </c>
      <c r="P64" s="59" t="str">
        <f t="shared" si="4"/>
        <v/>
      </c>
      <c r="Q64" s="60" t="str">
        <f t="shared" si="170"/>
        <v/>
      </c>
      <c r="R64" s="61" t="str">
        <f t="shared" si="6"/>
        <v/>
      </c>
      <c r="S64" s="56" t="str">
        <f t="shared" si="171"/>
        <v/>
      </c>
      <c r="T64" s="62" t="str">
        <f t="shared" si="172"/>
        <v/>
      </c>
      <c r="U64" s="63" t="str">
        <f t="shared" si="9"/>
        <v/>
      </c>
      <c r="V64" s="64" t="str">
        <f t="shared" si="173"/>
        <v/>
      </c>
      <c r="W64" s="65" t="str">
        <f t="shared" si="11"/>
        <v/>
      </c>
      <c r="X64" s="64" t="str">
        <f t="shared" si="174"/>
        <v/>
      </c>
      <c r="Y64" s="64" t="str">
        <f t="shared" si="175"/>
        <v/>
      </c>
      <c r="Z64" s="56" t="str">
        <f t="shared" si="176"/>
        <v/>
      </c>
      <c r="AA64" s="66" t="str">
        <f t="shared" si="177"/>
        <v/>
      </c>
      <c r="AB64" s="57" t="str">
        <f t="shared" si="16"/>
        <v/>
      </c>
      <c r="AC64" s="67" t="str">
        <f t="shared" si="178"/>
        <v/>
      </c>
      <c r="AD64" s="59" t="str">
        <f t="shared" si="179"/>
        <v/>
      </c>
      <c r="AE64" s="68" t="str">
        <f t="shared" si="180"/>
        <v/>
      </c>
      <c r="AF64" s="61" t="str">
        <f t="shared" si="181"/>
        <v/>
      </c>
      <c r="AG64" s="61" t="str">
        <f t="shared" si="182"/>
        <v/>
      </c>
      <c r="AH64" s="69" t="str">
        <f t="shared" si="183"/>
        <v/>
      </c>
      <c r="AI64" s="70" t="str">
        <f t="shared" si="23"/>
        <v/>
      </c>
      <c r="AJ64" s="64" t="str">
        <f t="shared" si="184"/>
        <v/>
      </c>
      <c r="AK64" s="64" t="str">
        <f t="shared" si="185"/>
        <v/>
      </c>
      <c r="AL64" s="64" t="str">
        <f t="shared" si="186"/>
        <v/>
      </c>
      <c r="AM64" s="64" t="str">
        <f t="shared" si="187"/>
        <v/>
      </c>
      <c r="AN64" s="64" t="str">
        <f t="shared" si="188"/>
        <v/>
      </c>
    </row>
    <row r="65" spans="3:40" ht="24.5" hidden="1" outlineLevel="1" thickTop="1" thickBot="1" x14ac:dyDescent="0.55000000000000004">
      <c r="C65" s="113"/>
      <c r="D65" s="112"/>
      <c r="E65" s="52"/>
      <c r="F65" s="53"/>
      <c r="G65" s="53"/>
      <c r="H65" s="52"/>
      <c r="I65" s="52"/>
      <c r="J65" s="54"/>
      <c r="K65" s="54"/>
      <c r="L65" s="78" t="str">
        <f t="shared" si="167"/>
        <v/>
      </c>
      <c r="M65" s="56" t="str">
        <f t="shared" si="168"/>
        <v/>
      </c>
      <c r="N65" s="57" t="str">
        <f t="shared" si="2"/>
        <v/>
      </c>
      <c r="O65" s="58" t="str">
        <f t="shared" si="169"/>
        <v/>
      </c>
      <c r="P65" s="59" t="str">
        <f t="shared" si="4"/>
        <v/>
      </c>
      <c r="Q65" s="60" t="str">
        <f t="shared" si="170"/>
        <v/>
      </c>
      <c r="R65" s="61" t="str">
        <f t="shared" si="6"/>
        <v/>
      </c>
      <c r="S65" s="56" t="str">
        <f t="shared" si="171"/>
        <v/>
      </c>
      <c r="T65" s="62" t="str">
        <f t="shared" si="172"/>
        <v/>
      </c>
      <c r="U65" s="63" t="str">
        <f t="shared" si="9"/>
        <v/>
      </c>
      <c r="V65" s="64" t="str">
        <f t="shared" si="173"/>
        <v/>
      </c>
      <c r="W65" s="65" t="str">
        <f t="shared" si="11"/>
        <v/>
      </c>
      <c r="X65" s="64" t="str">
        <f t="shared" si="174"/>
        <v/>
      </c>
      <c r="Y65" s="64" t="str">
        <f t="shared" si="175"/>
        <v/>
      </c>
      <c r="Z65" s="56" t="str">
        <f t="shared" si="176"/>
        <v/>
      </c>
      <c r="AA65" s="66" t="str">
        <f t="shared" si="177"/>
        <v/>
      </c>
      <c r="AB65" s="57" t="str">
        <f t="shared" si="16"/>
        <v/>
      </c>
      <c r="AC65" s="67" t="str">
        <f t="shared" si="178"/>
        <v/>
      </c>
      <c r="AD65" s="59" t="str">
        <f t="shared" si="179"/>
        <v/>
      </c>
      <c r="AE65" s="68" t="str">
        <f t="shared" si="180"/>
        <v/>
      </c>
      <c r="AF65" s="61" t="str">
        <f t="shared" si="181"/>
        <v/>
      </c>
      <c r="AG65" s="61" t="str">
        <f t="shared" si="182"/>
        <v/>
      </c>
      <c r="AH65" s="69" t="str">
        <f t="shared" si="183"/>
        <v/>
      </c>
      <c r="AI65" s="70" t="str">
        <f t="shared" si="23"/>
        <v/>
      </c>
      <c r="AJ65" s="64" t="str">
        <f t="shared" si="184"/>
        <v/>
      </c>
      <c r="AK65" s="64" t="str">
        <f t="shared" si="185"/>
        <v/>
      </c>
      <c r="AL65" s="64" t="str">
        <f t="shared" si="186"/>
        <v/>
      </c>
      <c r="AM65" s="64" t="str">
        <f t="shared" si="187"/>
        <v/>
      </c>
      <c r="AN65" s="64" t="str">
        <f t="shared" si="188"/>
        <v/>
      </c>
    </row>
    <row r="66" spans="3:40" ht="24.5" hidden="1" outlineLevel="1" thickTop="1" thickBot="1" x14ac:dyDescent="0.55000000000000004">
      <c r="C66" s="113"/>
      <c r="D66" s="112"/>
      <c r="E66" s="52"/>
      <c r="F66" s="53"/>
      <c r="G66" s="53"/>
      <c r="H66" s="52"/>
      <c r="I66" s="52"/>
      <c r="J66" s="54"/>
      <c r="K66" s="54"/>
      <c r="L66" s="78" t="str">
        <f t="shared" si="167"/>
        <v/>
      </c>
      <c r="M66" s="56" t="str">
        <f t="shared" si="168"/>
        <v/>
      </c>
      <c r="N66" s="57" t="str">
        <f t="shared" si="2"/>
        <v/>
      </c>
      <c r="O66" s="58" t="str">
        <f t="shared" si="169"/>
        <v/>
      </c>
      <c r="P66" s="59" t="str">
        <f t="shared" si="4"/>
        <v/>
      </c>
      <c r="Q66" s="60" t="str">
        <f t="shared" si="170"/>
        <v/>
      </c>
      <c r="R66" s="61" t="str">
        <f t="shared" si="6"/>
        <v/>
      </c>
      <c r="S66" s="56" t="str">
        <f t="shared" si="171"/>
        <v/>
      </c>
      <c r="T66" s="62" t="str">
        <f t="shared" si="172"/>
        <v/>
      </c>
      <c r="U66" s="63" t="str">
        <f t="shared" si="9"/>
        <v/>
      </c>
      <c r="V66" s="64" t="str">
        <f t="shared" si="173"/>
        <v/>
      </c>
      <c r="W66" s="65" t="str">
        <f t="shared" si="11"/>
        <v/>
      </c>
      <c r="X66" s="64" t="str">
        <f t="shared" si="174"/>
        <v/>
      </c>
      <c r="Y66" s="64" t="str">
        <f t="shared" si="175"/>
        <v/>
      </c>
      <c r="Z66" s="56" t="str">
        <f t="shared" si="176"/>
        <v/>
      </c>
      <c r="AA66" s="66" t="str">
        <f t="shared" si="177"/>
        <v/>
      </c>
      <c r="AB66" s="57" t="str">
        <f t="shared" si="16"/>
        <v/>
      </c>
      <c r="AC66" s="67" t="str">
        <f t="shared" si="178"/>
        <v/>
      </c>
      <c r="AD66" s="59" t="str">
        <f t="shared" si="179"/>
        <v/>
      </c>
      <c r="AE66" s="68" t="str">
        <f t="shared" si="180"/>
        <v/>
      </c>
      <c r="AF66" s="61" t="str">
        <f t="shared" si="181"/>
        <v/>
      </c>
      <c r="AG66" s="61" t="str">
        <f t="shared" si="182"/>
        <v/>
      </c>
      <c r="AH66" s="69" t="str">
        <f t="shared" si="183"/>
        <v/>
      </c>
      <c r="AI66" s="70" t="str">
        <f t="shared" si="23"/>
        <v/>
      </c>
      <c r="AJ66" s="64" t="str">
        <f t="shared" si="184"/>
        <v/>
      </c>
      <c r="AK66" s="64" t="str">
        <f t="shared" si="185"/>
        <v/>
      </c>
      <c r="AL66" s="64" t="str">
        <f t="shared" si="186"/>
        <v/>
      </c>
      <c r="AM66" s="64" t="str">
        <f t="shared" si="187"/>
        <v/>
      </c>
      <c r="AN66" s="64" t="str">
        <f t="shared" si="188"/>
        <v/>
      </c>
    </row>
    <row r="67" spans="3:40" ht="24.5" hidden="1" outlineLevel="1" thickTop="1" thickBot="1" x14ac:dyDescent="0.55000000000000004">
      <c r="C67" s="113"/>
      <c r="D67" s="112"/>
      <c r="E67" s="52"/>
      <c r="F67" s="53"/>
      <c r="G67" s="53"/>
      <c r="H67" s="52"/>
      <c r="I67" s="52"/>
      <c r="J67" s="54"/>
      <c r="K67" s="54"/>
      <c r="L67" s="55" t="str">
        <f t="shared" si="167"/>
        <v/>
      </c>
      <c r="M67" s="56" t="str">
        <f t="shared" si="168"/>
        <v/>
      </c>
      <c r="N67" s="57" t="str">
        <f t="shared" si="2"/>
        <v/>
      </c>
      <c r="O67" s="58" t="str">
        <f t="shared" si="169"/>
        <v/>
      </c>
      <c r="P67" s="59" t="str">
        <f t="shared" si="4"/>
        <v/>
      </c>
      <c r="Q67" s="60" t="str">
        <f t="shared" si="170"/>
        <v/>
      </c>
      <c r="R67" s="61" t="str">
        <f t="shared" si="6"/>
        <v/>
      </c>
      <c r="S67" s="56" t="str">
        <f t="shared" si="171"/>
        <v/>
      </c>
      <c r="T67" s="62" t="str">
        <f t="shared" si="172"/>
        <v/>
      </c>
      <c r="U67" s="63" t="str">
        <f t="shared" si="9"/>
        <v/>
      </c>
      <c r="V67" s="64" t="str">
        <f t="shared" si="173"/>
        <v/>
      </c>
      <c r="W67" s="65" t="str">
        <f t="shared" si="11"/>
        <v/>
      </c>
      <c r="X67" s="64" t="str">
        <f t="shared" si="174"/>
        <v/>
      </c>
      <c r="Y67" s="64" t="str">
        <f t="shared" si="175"/>
        <v/>
      </c>
      <c r="Z67" s="56" t="str">
        <f t="shared" si="176"/>
        <v/>
      </c>
      <c r="AA67" s="66" t="str">
        <f t="shared" si="177"/>
        <v/>
      </c>
      <c r="AB67" s="57" t="str">
        <f t="shared" si="16"/>
        <v/>
      </c>
      <c r="AC67" s="67" t="str">
        <f t="shared" si="178"/>
        <v/>
      </c>
      <c r="AD67" s="59" t="str">
        <f t="shared" si="179"/>
        <v/>
      </c>
      <c r="AE67" s="68" t="str">
        <f t="shared" si="180"/>
        <v/>
      </c>
      <c r="AF67" s="61" t="str">
        <f t="shared" si="181"/>
        <v/>
      </c>
      <c r="AG67" s="61" t="str">
        <f t="shared" si="182"/>
        <v/>
      </c>
      <c r="AH67" s="69" t="str">
        <f t="shared" si="183"/>
        <v/>
      </c>
      <c r="AI67" s="70" t="str">
        <f t="shared" si="23"/>
        <v/>
      </c>
      <c r="AJ67" s="64" t="str">
        <f t="shared" si="184"/>
        <v/>
      </c>
      <c r="AK67" s="64" t="str">
        <f t="shared" si="185"/>
        <v/>
      </c>
      <c r="AL67" s="64" t="str">
        <f t="shared" si="186"/>
        <v/>
      </c>
      <c r="AM67" s="64" t="str">
        <f t="shared" si="187"/>
        <v/>
      </c>
      <c r="AN67" s="64" t="str">
        <f t="shared" si="188"/>
        <v/>
      </c>
    </row>
    <row r="68" spans="3:40" ht="24.5" hidden="1" outlineLevel="1" thickTop="1" thickBot="1" x14ac:dyDescent="0.55000000000000004">
      <c r="C68" s="113"/>
      <c r="D68" s="112"/>
      <c r="E68" s="52"/>
      <c r="F68" s="53"/>
      <c r="G68" s="53"/>
      <c r="H68" s="52"/>
      <c r="I68" s="52"/>
      <c r="J68" s="54"/>
      <c r="K68" s="54"/>
      <c r="L68" s="55" t="str">
        <f t="shared" si="167"/>
        <v/>
      </c>
      <c r="M68" s="56" t="str">
        <f t="shared" si="168"/>
        <v/>
      </c>
      <c r="N68" s="57" t="str">
        <f t="shared" si="2"/>
        <v/>
      </c>
      <c r="O68" s="58" t="str">
        <f t="shared" si="169"/>
        <v/>
      </c>
      <c r="P68" s="59" t="str">
        <f t="shared" si="4"/>
        <v/>
      </c>
      <c r="Q68" s="60" t="str">
        <f t="shared" si="170"/>
        <v/>
      </c>
      <c r="R68" s="61" t="str">
        <f t="shared" si="6"/>
        <v/>
      </c>
      <c r="S68" s="56" t="str">
        <f t="shared" si="171"/>
        <v/>
      </c>
      <c r="T68" s="62" t="str">
        <f t="shared" si="172"/>
        <v/>
      </c>
      <c r="U68" s="63" t="str">
        <f t="shared" si="9"/>
        <v/>
      </c>
      <c r="V68" s="64" t="str">
        <f t="shared" si="173"/>
        <v/>
      </c>
      <c r="W68" s="65" t="str">
        <f t="shared" si="11"/>
        <v/>
      </c>
      <c r="X68" s="64" t="str">
        <f t="shared" si="174"/>
        <v/>
      </c>
      <c r="Y68" s="64" t="str">
        <f t="shared" si="175"/>
        <v/>
      </c>
      <c r="Z68" s="56" t="str">
        <f t="shared" si="176"/>
        <v/>
      </c>
      <c r="AA68" s="66" t="str">
        <f t="shared" si="177"/>
        <v/>
      </c>
      <c r="AB68" s="57" t="str">
        <f t="shared" si="16"/>
        <v/>
      </c>
      <c r="AC68" s="67" t="str">
        <f t="shared" si="178"/>
        <v/>
      </c>
      <c r="AD68" s="59" t="str">
        <f t="shared" si="179"/>
        <v/>
      </c>
      <c r="AE68" s="68" t="str">
        <f t="shared" si="180"/>
        <v/>
      </c>
      <c r="AF68" s="61" t="str">
        <f t="shared" si="181"/>
        <v/>
      </c>
      <c r="AG68" s="61" t="str">
        <f t="shared" si="182"/>
        <v/>
      </c>
      <c r="AH68" s="69" t="str">
        <f t="shared" si="183"/>
        <v/>
      </c>
      <c r="AI68" s="70" t="str">
        <f t="shared" si="23"/>
        <v/>
      </c>
      <c r="AJ68" s="64" t="str">
        <f t="shared" si="184"/>
        <v/>
      </c>
      <c r="AK68" s="64" t="str">
        <f t="shared" si="185"/>
        <v/>
      </c>
      <c r="AL68" s="64" t="str">
        <f t="shared" si="186"/>
        <v/>
      </c>
      <c r="AM68" s="64" t="str">
        <f t="shared" si="187"/>
        <v/>
      </c>
      <c r="AN68" s="64" t="str">
        <f t="shared" si="188"/>
        <v/>
      </c>
    </row>
    <row r="69" spans="3:40" ht="24.5" hidden="1" outlineLevel="1" thickTop="1" thickBot="1" x14ac:dyDescent="0.55000000000000004">
      <c r="C69" s="113"/>
      <c r="D69" s="112"/>
      <c r="E69" s="52"/>
      <c r="F69" s="53"/>
      <c r="G69" s="53"/>
      <c r="H69" s="52"/>
      <c r="I69" s="52"/>
      <c r="J69" s="54"/>
      <c r="K69" s="54"/>
      <c r="L69" s="55" t="str">
        <f t="shared" si="167"/>
        <v/>
      </c>
      <c r="M69" s="56" t="str">
        <f t="shared" si="168"/>
        <v/>
      </c>
      <c r="N69" s="57" t="str">
        <f t="shared" si="2"/>
        <v/>
      </c>
      <c r="O69" s="58" t="str">
        <f t="shared" si="169"/>
        <v/>
      </c>
      <c r="P69" s="59" t="str">
        <f t="shared" si="4"/>
        <v/>
      </c>
      <c r="Q69" s="60" t="str">
        <f t="shared" si="170"/>
        <v/>
      </c>
      <c r="R69" s="61" t="str">
        <f t="shared" si="6"/>
        <v/>
      </c>
      <c r="S69" s="56" t="str">
        <f t="shared" si="171"/>
        <v/>
      </c>
      <c r="T69" s="62" t="str">
        <f t="shared" si="172"/>
        <v/>
      </c>
      <c r="U69" s="63" t="str">
        <f t="shared" si="9"/>
        <v/>
      </c>
      <c r="V69" s="64" t="str">
        <f t="shared" si="173"/>
        <v/>
      </c>
      <c r="W69" s="65" t="str">
        <f t="shared" si="11"/>
        <v/>
      </c>
      <c r="X69" s="64" t="str">
        <f t="shared" si="174"/>
        <v/>
      </c>
      <c r="Y69" s="64" t="str">
        <f t="shared" si="175"/>
        <v/>
      </c>
      <c r="Z69" s="56" t="str">
        <f t="shared" si="176"/>
        <v/>
      </c>
      <c r="AA69" s="66" t="str">
        <f t="shared" si="177"/>
        <v/>
      </c>
      <c r="AB69" s="57" t="str">
        <f t="shared" si="16"/>
        <v/>
      </c>
      <c r="AC69" s="67" t="str">
        <f t="shared" si="178"/>
        <v/>
      </c>
      <c r="AD69" s="59" t="str">
        <f t="shared" si="179"/>
        <v/>
      </c>
      <c r="AE69" s="68" t="str">
        <f t="shared" si="180"/>
        <v/>
      </c>
      <c r="AF69" s="61" t="str">
        <f t="shared" si="181"/>
        <v/>
      </c>
      <c r="AG69" s="61" t="str">
        <f t="shared" si="182"/>
        <v/>
      </c>
      <c r="AH69" s="69" t="str">
        <f t="shared" si="183"/>
        <v/>
      </c>
      <c r="AI69" s="70" t="str">
        <f t="shared" si="23"/>
        <v/>
      </c>
      <c r="AJ69" s="64" t="str">
        <f t="shared" si="184"/>
        <v/>
      </c>
      <c r="AK69" s="64" t="str">
        <f t="shared" si="185"/>
        <v/>
      </c>
      <c r="AL69" s="64" t="str">
        <f t="shared" si="186"/>
        <v/>
      </c>
      <c r="AM69" s="64" t="str">
        <f t="shared" si="187"/>
        <v/>
      </c>
      <c r="AN69" s="64" t="str">
        <f t="shared" si="188"/>
        <v/>
      </c>
    </row>
    <row r="70" spans="3:40" ht="24.5" hidden="1" outlineLevel="1" thickTop="1" thickBot="1" x14ac:dyDescent="0.55000000000000004">
      <c r="C70" s="113"/>
      <c r="D70" s="112"/>
      <c r="E70" s="52"/>
      <c r="F70" s="53"/>
      <c r="G70" s="53"/>
      <c r="H70" s="52"/>
      <c r="I70" s="52"/>
      <c r="J70" s="54"/>
      <c r="K70" s="54"/>
      <c r="L70" s="55" t="str">
        <f t="shared" si="167"/>
        <v/>
      </c>
      <c r="M70" s="56" t="str">
        <f t="shared" si="168"/>
        <v/>
      </c>
      <c r="N70" s="57" t="str">
        <f t="shared" si="2"/>
        <v/>
      </c>
      <c r="O70" s="58" t="str">
        <f t="shared" si="169"/>
        <v/>
      </c>
      <c r="P70" s="59" t="str">
        <f t="shared" si="4"/>
        <v/>
      </c>
      <c r="Q70" s="60" t="str">
        <f t="shared" si="170"/>
        <v/>
      </c>
      <c r="R70" s="61" t="str">
        <f t="shared" si="6"/>
        <v/>
      </c>
      <c r="S70" s="56" t="str">
        <f t="shared" si="171"/>
        <v/>
      </c>
      <c r="T70" s="62" t="str">
        <f t="shared" si="172"/>
        <v/>
      </c>
      <c r="U70" s="63" t="str">
        <f t="shared" si="9"/>
        <v/>
      </c>
      <c r="V70" s="64" t="str">
        <f t="shared" si="173"/>
        <v/>
      </c>
      <c r="W70" s="65" t="str">
        <f t="shared" si="11"/>
        <v/>
      </c>
      <c r="X70" s="64" t="str">
        <f t="shared" si="174"/>
        <v/>
      </c>
      <c r="Y70" s="64" t="str">
        <f t="shared" si="175"/>
        <v/>
      </c>
      <c r="Z70" s="56" t="str">
        <f t="shared" si="176"/>
        <v/>
      </c>
      <c r="AA70" s="66" t="str">
        <f t="shared" si="177"/>
        <v/>
      </c>
      <c r="AB70" s="57" t="str">
        <f t="shared" si="16"/>
        <v/>
      </c>
      <c r="AC70" s="67" t="str">
        <f t="shared" si="178"/>
        <v/>
      </c>
      <c r="AD70" s="59" t="str">
        <f t="shared" si="179"/>
        <v/>
      </c>
      <c r="AE70" s="68" t="str">
        <f t="shared" si="180"/>
        <v/>
      </c>
      <c r="AF70" s="61" t="str">
        <f t="shared" si="181"/>
        <v/>
      </c>
      <c r="AG70" s="61" t="str">
        <f t="shared" si="182"/>
        <v/>
      </c>
      <c r="AH70" s="69" t="str">
        <f t="shared" si="183"/>
        <v/>
      </c>
      <c r="AI70" s="70" t="str">
        <f t="shared" si="23"/>
        <v/>
      </c>
      <c r="AJ70" s="64" t="str">
        <f t="shared" si="184"/>
        <v/>
      </c>
      <c r="AK70" s="64" t="str">
        <f t="shared" si="185"/>
        <v/>
      </c>
      <c r="AL70" s="64" t="str">
        <f t="shared" si="186"/>
        <v/>
      </c>
      <c r="AM70" s="64" t="str">
        <f t="shared" si="187"/>
        <v/>
      </c>
      <c r="AN70" s="64" t="str">
        <f t="shared" si="188"/>
        <v/>
      </c>
    </row>
    <row r="71" spans="3:40" ht="24.5" hidden="1" outlineLevel="1" thickTop="1" thickBot="1" x14ac:dyDescent="0.55000000000000004">
      <c r="C71" s="113"/>
      <c r="D71" s="112"/>
      <c r="E71" s="52"/>
      <c r="F71" s="53"/>
      <c r="G71" s="53"/>
      <c r="H71" s="52"/>
      <c r="I71" s="52"/>
      <c r="J71" s="54"/>
      <c r="K71" s="54"/>
      <c r="L71" s="55" t="str">
        <f t="shared" si="167"/>
        <v/>
      </c>
      <c r="M71" s="56" t="str">
        <f t="shared" si="168"/>
        <v/>
      </c>
      <c r="N71" s="57" t="str">
        <f t="shared" si="2"/>
        <v/>
      </c>
      <c r="O71" s="58" t="str">
        <f t="shared" si="169"/>
        <v/>
      </c>
      <c r="P71" s="59" t="str">
        <f t="shared" si="4"/>
        <v/>
      </c>
      <c r="Q71" s="60" t="str">
        <f t="shared" si="170"/>
        <v/>
      </c>
      <c r="R71" s="61" t="str">
        <f t="shared" si="6"/>
        <v/>
      </c>
      <c r="S71" s="56" t="str">
        <f t="shared" si="171"/>
        <v/>
      </c>
      <c r="T71" s="62" t="str">
        <f t="shared" si="172"/>
        <v/>
      </c>
      <c r="U71" s="63" t="str">
        <f t="shared" si="9"/>
        <v/>
      </c>
      <c r="V71" s="64" t="str">
        <f t="shared" si="173"/>
        <v/>
      </c>
      <c r="W71" s="65" t="str">
        <f t="shared" si="11"/>
        <v/>
      </c>
      <c r="X71" s="64" t="str">
        <f t="shared" si="174"/>
        <v/>
      </c>
      <c r="Y71" s="64" t="str">
        <f t="shared" si="175"/>
        <v/>
      </c>
      <c r="Z71" s="56" t="str">
        <f t="shared" si="176"/>
        <v/>
      </c>
      <c r="AA71" s="66" t="str">
        <f t="shared" si="177"/>
        <v/>
      </c>
      <c r="AB71" s="57" t="str">
        <f t="shared" si="16"/>
        <v/>
      </c>
      <c r="AC71" s="67" t="str">
        <f t="shared" si="178"/>
        <v/>
      </c>
      <c r="AD71" s="59" t="str">
        <f t="shared" si="179"/>
        <v/>
      </c>
      <c r="AE71" s="68" t="str">
        <f t="shared" si="180"/>
        <v/>
      </c>
      <c r="AF71" s="61" t="str">
        <f t="shared" si="181"/>
        <v/>
      </c>
      <c r="AG71" s="61" t="str">
        <f t="shared" si="182"/>
        <v/>
      </c>
      <c r="AH71" s="69" t="str">
        <f t="shared" si="183"/>
        <v/>
      </c>
      <c r="AI71" s="70" t="str">
        <f t="shared" si="23"/>
        <v/>
      </c>
      <c r="AJ71" s="64" t="str">
        <f t="shared" si="184"/>
        <v/>
      </c>
      <c r="AK71" s="64" t="str">
        <f t="shared" si="185"/>
        <v/>
      </c>
      <c r="AL71" s="64" t="str">
        <f t="shared" si="186"/>
        <v/>
      </c>
      <c r="AM71" s="64" t="str">
        <f t="shared" si="187"/>
        <v/>
      </c>
      <c r="AN71" s="64" t="str">
        <f t="shared" si="188"/>
        <v/>
      </c>
    </row>
    <row r="72" spans="3:40" ht="24.5" hidden="1" outlineLevel="1" thickTop="1" thickBot="1" x14ac:dyDescent="0.55000000000000004">
      <c r="C72" s="113"/>
      <c r="D72" s="112"/>
      <c r="E72" s="52"/>
      <c r="F72" s="53"/>
      <c r="G72" s="53"/>
      <c r="H72" s="52"/>
      <c r="I72" s="52"/>
      <c r="J72" s="54"/>
      <c r="K72" s="54"/>
      <c r="L72" s="55" t="str">
        <f t="shared" si="167"/>
        <v/>
      </c>
      <c r="M72" s="56" t="str">
        <f t="shared" si="168"/>
        <v/>
      </c>
      <c r="N72" s="57" t="str">
        <f t="shared" si="2"/>
        <v/>
      </c>
      <c r="O72" s="58" t="str">
        <f t="shared" si="169"/>
        <v/>
      </c>
      <c r="P72" s="59" t="str">
        <f t="shared" si="4"/>
        <v/>
      </c>
      <c r="Q72" s="60" t="str">
        <f t="shared" si="170"/>
        <v/>
      </c>
      <c r="R72" s="61" t="str">
        <f t="shared" si="6"/>
        <v/>
      </c>
      <c r="S72" s="56" t="str">
        <f t="shared" si="171"/>
        <v/>
      </c>
      <c r="T72" s="62" t="str">
        <f t="shared" si="172"/>
        <v/>
      </c>
      <c r="U72" s="63" t="str">
        <f t="shared" si="9"/>
        <v/>
      </c>
      <c r="V72" s="64" t="str">
        <f t="shared" si="173"/>
        <v/>
      </c>
      <c r="W72" s="65" t="str">
        <f t="shared" si="11"/>
        <v/>
      </c>
      <c r="X72" s="64" t="str">
        <f t="shared" si="174"/>
        <v/>
      </c>
      <c r="Y72" s="64" t="str">
        <f t="shared" si="175"/>
        <v/>
      </c>
      <c r="Z72" s="56" t="str">
        <f t="shared" si="176"/>
        <v/>
      </c>
      <c r="AA72" s="66" t="str">
        <f t="shared" si="177"/>
        <v/>
      </c>
      <c r="AB72" s="57" t="str">
        <f t="shared" si="16"/>
        <v/>
      </c>
      <c r="AC72" s="67" t="str">
        <f t="shared" si="178"/>
        <v/>
      </c>
      <c r="AD72" s="59" t="str">
        <f t="shared" si="179"/>
        <v/>
      </c>
      <c r="AE72" s="68" t="str">
        <f t="shared" si="180"/>
        <v/>
      </c>
      <c r="AF72" s="61" t="str">
        <f t="shared" si="181"/>
        <v/>
      </c>
      <c r="AG72" s="61" t="str">
        <f t="shared" si="182"/>
        <v/>
      </c>
      <c r="AH72" s="69" t="str">
        <f t="shared" si="183"/>
        <v/>
      </c>
      <c r="AI72" s="70" t="str">
        <f t="shared" si="23"/>
        <v/>
      </c>
      <c r="AJ72" s="64" t="str">
        <f t="shared" si="184"/>
        <v/>
      </c>
      <c r="AK72" s="64" t="str">
        <f t="shared" si="185"/>
        <v/>
      </c>
      <c r="AL72" s="64" t="str">
        <f t="shared" si="186"/>
        <v/>
      </c>
      <c r="AM72" s="64" t="str">
        <f t="shared" si="187"/>
        <v/>
      </c>
      <c r="AN72" s="64" t="str">
        <f t="shared" si="188"/>
        <v/>
      </c>
    </row>
    <row r="73" spans="3:40" ht="24.5" hidden="1" outlineLevel="1" thickTop="1" thickBot="1" x14ac:dyDescent="0.55000000000000004">
      <c r="C73" s="113"/>
      <c r="D73" s="112"/>
      <c r="E73" s="52"/>
      <c r="F73" s="53"/>
      <c r="G73" s="53"/>
      <c r="H73" s="52"/>
      <c r="I73" s="52"/>
      <c r="J73" s="54"/>
      <c r="K73" s="54"/>
      <c r="L73" s="78" t="str">
        <f t="shared" si="167"/>
        <v/>
      </c>
      <c r="M73" s="56" t="str">
        <f t="shared" si="168"/>
        <v/>
      </c>
      <c r="N73" s="57" t="str">
        <f t="shared" si="2"/>
        <v/>
      </c>
      <c r="O73" s="58" t="str">
        <f t="shared" si="169"/>
        <v/>
      </c>
      <c r="P73" s="59" t="str">
        <f t="shared" si="4"/>
        <v/>
      </c>
      <c r="Q73" s="60" t="str">
        <f t="shared" si="170"/>
        <v/>
      </c>
      <c r="R73" s="61" t="str">
        <f t="shared" si="6"/>
        <v/>
      </c>
      <c r="S73" s="56" t="str">
        <f t="shared" si="171"/>
        <v/>
      </c>
      <c r="T73" s="62" t="str">
        <f t="shared" si="172"/>
        <v/>
      </c>
      <c r="U73" s="63" t="str">
        <f t="shared" si="9"/>
        <v/>
      </c>
      <c r="V73" s="64" t="str">
        <f t="shared" si="173"/>
        <v/>
      </c>
      <c r="W73" s="65" t="str">
        <f t="shared" si="11"/>
        <v/>
      </c>
      <c r="X73" s="64" t="str">
        <f t="shared" si="174"/>
        <v/>
      </c>
      <c r="Y73" s="64" t="str">
        <f t="shared" si="175"/>
        <v/>
      </c>
      <c r="Z73" s="56" t="str">
        <f t="shared" si="176"/>
        <v/>
      </c>
      <c r="AA73" s="66" t="str">
        <f t="shared" si="177"/>
        <v/>
      </c>
      <c r="AB73" s="57" t="str">
        <f t="shared" si="16"/>
        <v/>
      </c>
      <c r="AC73" s="67" t="str">
        <f t="shared" si="178"/>
        <v/>
      </c>
      <c r="AD73" s="59" t="str">
        <f t="shared" si="179"/>
        <v/>
      </c>
      <c r="AE73" s="68" t="str">
        <f t="shared" si="180"/>
        <v/>
      </c>
      <c r="AF73" s="61" t="str">
        <f t="shared" si="181"/>
        <v/>
      </c>
      <c r="AG73" s="61" t="str">
        <f t="shared" si="182"/>
        <v/>
      </c>
      <c r="AH73" s="69" t="str">
        <f t="shared" si="183"/>
        <v/>
      </c>
      <c r="AI73" s="70" t="str">
        <f t="shared" si="23"/>
        <v/>
      </c>
      <c r="AJ73" s="64" t="str">
        <f t="shared" si="184"/>
        <v/>
      </c>
      <c r="AK73" s="64" t="str">
        <f t="shared" si="185"/>
        <v/>
      </c>
      <c r="AL73" s="64" t="str">
        <f t="shared" si="186"/>
        <v/>
      </c>
      <c r="AM73" s="64" t="str">
        <f t="shared" si="187"/>
        <v/>
      </c>
      <c r="AN73" s="64" t="str">
        <f t="shared" si="188"/>
        <v/>
      </c>
    </row>
    <row r="74" spans="3:40" ht="24.5" hidden="1" outlineLevel="1" thickTop="1" thickBot="1" x14ac:dyDescent="0.55000000000000004">
      <c r="C74" s="113"/>
      <c r="D74" s="112"/>
      <c r="E74" s="52"/>
      <c r="F74" s="53"/>
      <c r="G74" s="53"/>
      <c r="H74" s="52"/>
      <c r="I74" s="52"/>
      <c r="J74" s="54"/>
      <c r="K74" s="54"/>
      <c r="L74" s="78" t="str">
        <f t="shared" si="167"/>
        <v/>
      </c>
      <c r="M74" s="56" t="str">
        <f t="shared" si="168"/>
        <v/>
      </c>
      <c r="N74" s="57" t="str">
        <f t="shared" si="2"/>
        <v/>
      </c>
      <c r="O74" s="58" t="str">
        <f t="shared" si="169"/>
        <v/>
      </c>
      <c r="P74" s="59" t="str">
        <f t="shared" si="4"/>
        <v/>
      </c>
      <c r="Q74" s="60" t="str">
        <f t="shared" si="170"/>
        <v/>
      </c>
      <c r="R74" s="61" t="str">
        <f t="shared" si="6"/>
        <v/>
      </c>
      <c r="S74" s="56" t="str">
        <f t="shared" si="171"/>
        <v/>
      </c>
      <c r="T74" s="62" t="str">
        <f t="shared" si="172"/>
        <v/>
      </c>
      <c r="U74" s="63" t="str">
        <f t="shared" si="9"/>
        <v/>
      </c>
      <c r="V74" s="64" t="str">
        <f t="shared" si="173"/>
        <v/>
      </c>
      <c r="W74" s="65" t="str">
        <f t="shared" si="11"/>
        <v/>
      </c>
      <c r="X74" s="64" t="str">
        <f t="shared" si="174"/>
        <v/>
      </c>
      <c r="Y74" s="64" t="str">
        <f t="shared" si="175"/>
        <v/>
      </c>
      <c r="Z74" s="56" t="str">
        <f t="shared" si="176"/>
        <v/>
      </c>
      <c r="AA74" s="66" t="str">
        <f t="shared" si="177"/>
        <v/>
      </c>
      <c r="AB74" s="57" t="str">
        <f t="shared" si="16"/>
        <v/>
      </c>
      <c r="AC74" s="67" t="str">
        <f t="shared" si="178"/>
        <v/>
      </c>
      <c r="AD74" s="59" t="str">
        <f t="shared" si="179"/>
        <v/>
      </c>
      <c r="AE74" s="68" t="str">
        <f t="shared" si="180"/>
        <v/>
      </c>
      <c r="AF74" s="61" t="str">
        <f t="shared" si="181"/>
        <v/>
      </c>
      <c r="AG74" s="61" t="str">
        <f t="shared" si="182"/>
        <v/>
      </c>
      <c r="AH74" s="69" t="str">
        <f t="shared" si="183"/>
        <v/>
      </c>
      <c r="AI74" s="70" t="str">
        <f t="shared" si="23"/>
        <v/>
      </c>
      <c r="AJ74" s="64" t="str">
        <f t="shared" si="184"/>
        <v/>
      </c>
      <c r="AK74" s="64" t="str">
        <f t="shared" si="185"/>
        <v/>
      </c>
      <c r="AL74" s="64" t="str">
        <f t="shared" si="186"/>
        <v/>
      </c>
      <c r="AM74" s="64" t="str">
        <f t="shared" si="187"/>
        <v/>
      </c>
      <c r="AN74" s="64" t="str">
        <f t="shared" si="188"/>
        <v/>
      </c>
    </row>
    <row r="75" spans="3:40" ht="24.5" hidden="1" outlineLevel="1" thickTop="1" thickBot="1" x14ac:dyDescent="0.55000000000000004">
      <c r="C75" s="113"/>
      <c r="D75" s="112"/>
      <c r="E75" s="52"/>
      <c r="F75" s="53"/>
      <c r="G75" s="53"/>
      <c r="H75" s="52"/>
      <c r="I75" s="52"/>
      <c r="J75" s="54"/>
      <c r="K75" s="54"/>
      <c r="L75" s="78" t="str">
        <f t="shared" si="167"/>
        <v/>
      </c>
      <c r="M75" s="56" t="str">
        <f t="shared" si="168"/>
        <v/>
      </c>
      <c r="N75" s="57" t="str">
        <f t="shared" si="2"/>
        <v/>
      </c>
      <c r="O75" s="58" t="str">
        <f t="shared" si="169"/>
        <v/>
      </c>
      <c r="P75" s="59" t="str">
        <f t="shared" si="4"/>
        <v/>
      </c>
      <c r="Q75" s="60" t="str">
        <f t="shared" si="170"/>
        <v/>
      </c>
      <c r="R75" s="61" t="str">
        <f t="shared" si="6"/>
        <v/>
      </c>
      <c r="S75" s="56" t="str">
        <f t="shared" si="171"/>
        <v/>
      </c>
      <c r="T75" s="62" t="str">
        <f t="shared" si="172"/>
        <v/>
      </c>
      <c r="U75" s="63" t="str">
        <f t="shared" si="9"/>
        <v/>
      </c>
      <c r="V75" s="64" t="str">
        <f t="shared" si="173"/>
        <v/>
      </c>
      <c r="W75" s="65" t="str">
        <f t="shared" si="11"/>
        <v/>
      </c>
      <c r="X75" s="64" t="str">
        <f t="shared" si="174"/>
        <v/>
      </c>
      <c r="Y75" s="64" t="str">
        <f t="shared" si="175"/>
        <v/>
      </c>
      <c r="Z75" s="56" t="str">
        <f t="shared" si="176"/>
        <v/>
      </c>
      <c r="AA75" s="66" t="str">
        <f t="shared" si="177"/>
        <v/>
      </c>
      <c r="AB75" s="57" t="str">
        <f t="shared" si="16"/>
        <v/>
      </c>
      <c r="AC75" s="67" t="str">
        <f t="shared" si="178"/>
        <v/>
      </c>
      <c r="AD75" s="59" t="str">
        <f t="shared" si="179"/>
        <v/>
      </c>
      <c r="AE75" s="68" t="str">
        <f t="shared" si="180"/>
        <v/>
      </c>
      <c r="AF75" s="61" t="str">
        <f t="shared" si="181"/>
        <v/>
      </c>
      <c r="AG75" s="61" t="str">
        <f t="shared" si="182"/>
        <v/>
      </c>
      <c r="AH75" s="69" t="str">
        <f t="shared" si="183"/>
        <v/>
      </c>
      <c r="AI75" s="70" t="str">
        <f t="shared" si="23"/>
        <v/>
      </c>
      <c r="AJ75" s="64" t="str">
        <f t="shared" si="184"/>
        <v/>
      </c>
      <c r="AK75" s="64" t="str">
        <f t="shared" si="185"/>
        <v/>
      </c>
      <c r="AL75" s="64" t="str">
        <f t="shared" si="186"/>
        <v/>
      </c>
      <c r="AM75" s="64" t="str">
        <f t="shared" si="187"/>
        <v/>
      </c>
      <c r="AN75" s="64" t="str">
        <f t="shared" si="188"/>
        <v/>
      </c>
    </row>
    <row r="76" spans="3:40" ht="24.5" hidden="1" outlineLevel="1" thickTop="1" thickBot="1" x14ac:dyDescent="0.55000000000000004">
      <c r="C76" s="113"/>
      <c r="D76" s="112"/>
      <c r="E76" s="52"/>
      <c r="F76" s="53"/>
      <c r="G76" s="53"/>
      <c r="H76" s="52"/>
      <c r="I76" s="52"/>
      <c r="J76" s="54"/>
      <c r="K76" s="54"/>
      <c r="L76" s="55" t="str">
        <f t="shared" si="167"/>
        <v/>
      </c>
      <c r="M76" s="56" t="str">
        <f t="shared" si="168"/>
        <v/>
      </c>
      <c r="N76" s="57" t="str">
        <f t="shared" si="2"/>
        <v/>
      </c>
      <c r="O76" s="58" t="str">
        <f t="shared" si="169"/>
        <v/>
      </c>
      <c r="P76" s="59" t="str">
        <f t="shared" si="4"/>
        <v/>
      </c>
      <c r="Q76" s="60" t="str">
        <f t="shared" si="170"/>
        <v/>
      </c>
      <c r="R76" s="61" t="str">
        <f t="shared" si="6"/>
        <v/>
      </c>
      <c r="S76" s="56" t="str">
        <f t="shared" si="171"/>
        <v/>
      </c>
      <c r="T76" s="62" t="str">
        <f t="shared" si="172"/>
        <v/>
      </c>
      <c r="U76" s="63" t="str">
        <f t="shared" si="9"/>
        <v/>
      </c>
      <c r="V76" s="64" t="str">
        <f t="shared" si="173"/>
        <v/>
      </c>
      <c r="W76" s="65" t="str">
        <f t="shared" si="11"/>
        <v/>
      </c>
      <c r="X76" s="64" t="str">
        <f t="shared" si="174"/>
        <v/>
      </c>
      <c r="Y76" s="64" t="str">
        <f t="shared" si="175"/>
        <v/>
      </c>
      <c r="Z76" s="56" t="str">
        <f t="shared" si="176"/>
        <v/>
      </c>
      <c r="AA76" s="66" t="str">
        <f t="shared" si="177"/>
        <v/>
      </c>
      <c r="AB76" s="57" t="str">
        <f t="shared" si="16"/>
        <v/>
      </c>
      <c r="AC76" s="67" t="str">
        <f t="shared" si="178"/>
        <v/>
      </c>
      <c r="AD76" s="59" t="str">
        <f t="shared" si="179"/>
        <v/>
      </c>
      <c r="AE76" s="68" t="str">
        <f t="shared" si="180"/>
        <v/>
      </c>
      <c r="AF76" s="61" t="str">
        <f t="shared" si="181"/>
        <v/>
      </c>
      <c r="AG76" s="61" t="str">
        <f t="shared" si="182"/>
        <v/>
      </c>
      <c r="AH76" s="69" t="str">
        <f t="shared" si="183"/>
        <v/>
      </c>
      <c r="AI76" s="70" t="str">
        <f t="shared" si="23"/>
        <v/>
      </c>
      <c r="AJ76" s="64" t="str">
        <f t="shared" si="184"/>
        <v/>
      </c>
      <c r="AK76" s="64" t="str">
        <f t="shared" si="185"/>
        <v/>
      </c>
      <c r="AL76" s="64" t="str">
        <f t="shared" si="186"/>
        <v/>
      </c>
      <c r="AM76" s="64" t="str">
        <f t="shared" si="187"/>
        <v/>
      </c>
      <c r="AN76" s="64" t="str">
        <f t="shared" si="188"/>
        <v/>
      </c>
    </row>
    <row r="77" spans="3:40" ht="24.5" hidden="1" outlineLevel="1" thickTop="1" thickBot="1" x14ac:dyDescent="0.55000000000000004">
      <c r="C77" s="113"/>
      <c r="D77" s="112"/>
      <c r="E77" s="52"/>
      <c r="F77" s="53"/>
      <c r="G77" s="53"/>
      <c r="H77" s="52"/>
      <c r="I77" s="52"/>
      <c r="J77" s="54"/>
      <c r="K77" s="54"/>
      <c r="L77" s="55" t="str">
        <f t="shared" si="167"/>
        <v/>
      </c>
      <c r="M77" s="56" t="str">
        <f t="shared" si="168"/>
        <v/>
      </c>
      <c r="N77" s="57" t="str">
        <f t="shared" si="2"/>
        <v/>
      </c>
      <c r="O77" s="58" t="str">
        <f t="shared" si="169"/>
        <v/>
      </c>
      <c r="P77" s="59" t="str">
        <f t="shared" si="4"/>
        <v/>
      </c>
      <c r="Q77" s="60" t="str">
        <f t="shared" si="170"/>
        <v/>
      </c>
      <c r="R77" s="61" t="str">
        <f t="shared" si="6"/>
        <v/>
      </c>
      <c r="S77" s="56" t="str">
        <f t="shared" si="171"/>
        <v/>
      </c>
      <c r="T77" s="62" t="str">
        <f t="shared" si="172"/>
        <v/>
      </c>
      <c r="U77" s="63" t="str">
        <f t="shared" si="9"/>
        <v/>
      </c>
      <c r="V77" s="64" t="str">
        <f t="shared" si="173"/>
        <v/>
      </c>
      <c r="W77" s="65" t="str">
        <f t="shared" si="11"/>
        <v/>
      </c>
      <c r="X77" s="64" t="str">
        <f t="shared" si="174"/>
        <v/>
      </c>
      <c r="Y77" s="64" t="str">
        <f t="shared" si="175"/>
        <v/>
      </c>
      <c r="Z77" s="56" t="str">
        <f t="shared" si="176"/>
        <v/>
      </c>
      <c r="AA77" s="66" t="str">
        <f t="shared" si="177"/>
        <v/>
      </c>
      <c r="AB77" s="57" t="str">
        <f t="shared" si="16"/>
        <v/>
      </c>
      <c r="AC77" s="67" t="str">
        <f t="shared" si="178"/>
        <v/>
      </c>
      <c r="AD77" s="59" t="str">
        <f t="shared" si="179"/>
        <v/>
      </c>
      <c r="AE77" s="68" t="str">
        <f t="shared" si="180"/>
        <v/>
      </c>
      <c r="AF77" s="61" t="str">
        <f t="shared" si="181"/>
        <v/>
      </c>
      <c r="AG77" s="61" t="str">
        <f t="shared" si="182"/>
        <v/>
      </c>
      <c r="AH77" s="69" t="str">
        <f t="shared" si="183"/>
        <v/>
      </c>
      <c r="AI77" s="70" t="str">
        <f t="shared" si="23"/>
        <v/>
      </c>
      <c r="AJ77" s="64" t="str">
        <f t="shared" si="184"/>
        <v/>
      </c>
      <c r="AK77" s="64" t="str">
        <f t="shared" si="185"/>
        <v/>
      </c>
      <c r="AL77" s="64" t="str">
        <f t="shared" si="186"/>
        <v/>
      </c>
      <c r="AM77" s="64" t="str">
        <f t="shared" si="187"/>
        <v/>
      </c>
      <c r="AN77" s="64" t="str">
        <f t="shared" si="188"/>
        <v/>
      </c>
    </row>
    <row r="78" spans="3:40" ht="24.5" hidden="1" outlineLevel="1" thickTop="1" thickBot="1" x14ac:dyDescent="0.55000000000000004">
      <c r="C78" s="113"/>
      <c r="D78" s="112"/>
      <c r="E78" s="52"/>
      <c r="F78" s="53"/>
      <c r="G78" s="53"/>
      <c r="H78" s="52"/>
      <c r="I78" s="52"/>
      <c r="J78" s="54"/>
      <c r="K78" s="54"/>
      <c r="L78" s="55" t="str">
        <f t="shared" si="167"/>
        <v/>
      </c>
      <c r="M78" s="56" t="str">
        <f t="shared" si="168"/>
        <v/>
      </c>
      <c r="N78" s="57" t="str">
        <f t="shared" si="2"/>
        <v/>
      </c>
      <c r="O78" s="58" t="str">
        <f t="shared" si="169"/>
        <v/>
      </c>
      <c r="P78" s="59" t="str">
        <f t="shared" si="4"/>
        <v/>
      </c>
      <c r="Q78" s="60" t="str">
        <f t="shared" si="170"/>
        <v/>
      </c>
      <c r="R78" s="61" t="str">
        <f t="shared" si="6"/>
        <v/>
      </c>
      <c r="S78" s="56" t="str">
        <f t="shared" si="171"/>
        <v/>
      </c>
      <c r="T78" s="62" t="str">
        <f t="shared" si="172"/>
        <v/>
      </c>
      <c r="U78" s="63" t="str">
        <f t="shared" si="9"/>
        <v/>
      </c>
      <c r="V78" s="64" t="str">
        <f t="shared" si="173"/>
        <v/>
      </c>
      <c r="W78" s="65" t="str">
        <f t="shared" si="11"/>
        <v/>
      </c>
      <c r="X78" s="64" t="str">
        <f t="shared" si="174"/>
        <v/>
      </c>
      <c r="Y78" s="64" t="str">
        <f t="shared" si="175"/>
        <v/>
      </c>
      <c r="Z78" s="56" t="str">
        <f t="shared" si="176"/>
        <v/>
      </c>
      <c r="AA78" s="66" t="str">
        <f t="shared" si="177"/>
        <v/>
      </c>
      <c r="AB78" s="57" t="str">
        <f t="shared" si="16"/>
        <v/>
      </c>
      <c r="AC78" s="67" t="str">
        <f t="shared" si="178"/>
        <v/>
      </c>
      <c r="AD78" s="59" t="str">
        <f t="shared" si="179"/>
        <v/>
      </c>
      <c r="AE78" s="68" t="str">
        <f t="shared" si="180"/>
        <v/>
      </c>
      <c r="AF78" s="61" t="str">
        <f t="shared" si="181"/>
        <v/>
      </c>
      <c r="AG78" s="61" t="str">
        <f t="shared" si="182"/>
        <v/>
      </c>
      <c r="AH78" s="69" t="str">
        <f t="shared" si="183"/>
        <v/>
      </c>
      <c r="AI78" s="70" t="str">
        <f t="shared" si="23"/>
        <v/>
      </c>
      <c r="AJ78" s="64" t="str">
        <f t="shared" si="184"/>
        <v/>
      </c>
      <c r="AK78" s="64" t="str">
        <f t="shared" si="185"/>
        <v/>
      </c>
      <c r="AL78" s="64" t="str">
        <f t="shared" si="186"/>
        <v/>
      </c>
      <c r="AM78" s="64" t="str">
        <f t="shared" si="187"/>
        <v/>
      </c>
      <c r="AN78" s="64" t="str">
        <f t="shared" si="188"/>
        <v/>
      </c>
    </row>
    <row r="79" spans="3:40" ht="24.5" hidden="1" outlineLevel="1" thickTop="1" thickBot="1" x14ac:dyDescent="0.55000000000000004">
      <c r="C79" s="113"/>
      <c r="D79" s="112"/>
      <c r="E79" s="52"/>
      <c r="F79" s="53"/>
      <c r="G79" s="53"/>
      <c r="H79" s="52"/>
      <c r="I79" s="52"/>
      <c r="J79" s="54"/>
      <c r="K79" s="54"/>
      <c r="L79" s="55" t="str">
        <f t="shared" si="167"/>
        <v/>
      </c>
      <c r="M79" s="56" t="str">
        <f t="shared" si="168"/>
        <v/>
      </c>
      <c r="N79" s="57" t="str">
        <f t="shared" si="2"/>
        <v/>
      </c>
      <c r="O79" s="58" t="str">
        <f t="shared" si="169"/>
        <v/>
      </c>
      <c r="P79" s="59" t="str">
        <f t="shared" si="4"/>
        <v/>
      </c>
      <c r="Q79" s="60" t="str">
        <f t="shared" si="170"/>
        <v/>
      </c>
      <c r="R79" s="61" t="str">
        <f t="shared" si="6"/>
        <v/>
      </c>
      <c r="S79" s="56" t="str">
        <f t="shared" si="171"/>
        <v/>
      </c>
      <c r="T79" s="62" t="str">
        <f t="shared" si="172"/>
        <v/>
      </c>
      <c r="U79" s="63" t="str">
        <f t="shared" si="9"/>
        <v/>
      </c>
      <c r="V79" s="64" t="str">
        <f t="shared" si="173"/>
        <v/>
      </c>
      <c r="W79" s="65" t="str">
        <f t="shared" si="11"/>
        <v/>
      </c>
      <c r="X79" s="64" t="str">
        <f t="shared" si="174"/>
        <v/>
      </c>
      <c r="Y79" s="64" t="str">
        <f t="shared" si="175"/>
        <v/>
      </c>
      <c r="Z79" s="56" t="str">
        <f t="shared" si="176"/>
        <v/>
      </c>
      <c r="AA79" s="66" t="str">
        <f t="shared" si="177"/>
        <v/>
      </c>
      <c r="AB79" s="57" t="str">
        <f t="shared" si="16"/>
        <v/>
      </c>
      <c r="AC79" s="67" t="str">
        <f t="shared" si="178"/>
        <v/>
      </c>
      <c r="AD79" s="59" t="str">
        <f t="shared" si="179"/>
        <v/>
      </c>
      <c r="AE79" s="68" t="str">
        <f t="shared" si="180"/>
        <v/>
      </c>
      <c r="AF79" s="61" t="str">
        <f t="shared" si="181"/>
        <v/>
      </c>
      <c r="AG79" s="61" t="str">
        <f t="shared" si="182"/>
        <v/>
      </c>
      <c r="AH79" s="69" t="str">
        <f t="shared" si="183"/>
        <v/>
      </c>
      <c r="AI79" s="70" t="str">
        <f t="shared" si="23"/>
        <v/>
      </c>
      <c r="AJ79" s="64" t="str">
        <f t="shared" si="184"/>
        <v/>
      </c>
      <c r="AK79" s="64" t="str">
        <f t="shared" si="185"/>
        <v/>
      </c>
      <c r="AL79" s="64" t="str">
        <f t="shared" si="186"/>
        <v/>
      </c>
      <c r="AM79" s="64" t="str">
        <f t="shared" si="187"/>
        <v/>
      </c>
      <c r="AN79" s="64" t="str">
        <f t="shared" si="188"/>
        <v/>
      </c>
    </row>
    <row r="80" spans="3:40" ht="24.5" hidden="1" outlineLevel="1" thickTop="1" thickBot="1" x14ac:dyDescent="0.55000000000000004">
      <c r="C80" s="113"/>
      <c r="D80" s="112"/>
      <c r="E80" s="52"/>
      <c r="F80" s="53"/>
      <c r="G80" s="53"/>
      <c r="H80" s="52"/>
      <c r="I80" s="52"/>
      <c r="J80" s="54"/>
      <c r="K80" s="54"/>
      <c r="L80" s="55" t="str">
        <f t="shared" si="167"/>
        <v/>
      </c>
      <c r="M80" s="56" t="str">
        <f t="shared" si="168"/>
        <v/>
      </c>
      <c r="N80" s="57" t="str">
        <f t="shared" si="2"/>
        <v/>
      </c>
      <c r="O80" s="58" t="str">
        <f t="shared" si="169"/>
        <v/>
      </c>
      <c r="P80" s="59" t="str">
        <f t="shared" si="4"/>
        <v/>
      </c>
      <c r="Q80" s="60" t="str">
        <f t="shared" si="170"/>
        <v/>
      </c>
      <c r="R80" s="61" t="str">
        <f t="shared" si="6"/>
        <v/>
      </c>
      <c r="S80" s="56" t="str">
        <f t="shared" si="171"/>
        <v/>
      </c>
      <c r="T80" s="62" t="str">
        <f t="shared" si="172"/>
        <v/>
      </c>
      <c r="U80" s="63" t="str">
        <f t="shared" si="9"/>
        <v/>
      </c>
      <c r="V80" s="64" t="str">
        <f t="shared" si="173"/>
        <v/>
      </c>
      <c r="W80" s="65" t="str">
        <f t="shared" si="11"/>
        <v/>
      </c>
      <c r="X80" s="64" t="str">
        <f t="shared" si="174"/>
        <v/>
      </c>
      <c r="Y80" s="64" t="str">
        <f t="shared" si="175"/>
        <v/>
      </c>
      <c r="Z80" s="56" t="str">
        <f t="shared" si="176"/>
        <v/>
      </c>
      <c r="AA80" s="66" t="str">
        <f t="shared" si="177"/>
        <v/>
      </c>
      <c r="AB80" s="57" t="str">
        <f t="shared" si="16"/>
        <v/>
      </c>
      <c r="AC80" s="67" t="str">
        <f t="shared" si="178"/>
        <v/>
      </c>
      <c r="AD80" s="59" t="str">
        <f t="shared" si="179"/>
        <v/>
      </c>
      <c r="AE80" s="68" t="str">
        <f t="shared" si="180"/>
        <v/>
      </c>
      <c r="AF80" s="61" t="str">
        <f t="shared" si="181"/>
        <v/>
      </c>
      <c r="AG80" s="61" t="str">
        <f t="shared" si="182"/>
        <v/>
      </c>
      <c r="AH80" s="69" t="str">
        <f t="shared" si="183"/>
        <v/>
      </c>
      <c r="AI80" s="70" t="str">
        <f t="shared" si="23"/>
        <v/>
      </c>
      <c r="AJ80" s="64" t="str">
        <f t="shared" si="184"/>
        <v/>
      </c>
      <c r="AK80" s="64" t="str">
        <f t="shared" si="185"/>
        <v/>
      </c>
      <c r="AL80" s="64" t="str">
        <f t="shared" si="186"/>
        <v/>
      </c>
      <c r="AM80" s="64" t="str">
        <f t="shared" si="187"/>
        <v/>
      </c>
      <c r="AN80" s="64" t="str">
        <f t="shared" si="188"/>
        <v/>
      </c>
    </row>
    <row r="81" spans="1:40" ht="24.5" hidden="1" outlineLevel="1" thickTop="1" thickBot="1" x14ac:dyDescent="0.55000000000000004">
      <c r="C81" s="113"/>
      <c r="D81" s="112"/>
      <c r="E81" s="52"/>
      <c r="F81" s="53"/>
      <c r="G81" s="53"/>
      <c r="H81" s="52"/>
      <c r="I81" s="52"/>
      <c r="J81" s="54"/>
      <c r="K81" s="54"/>
      <c r="L81" s="78" t="str">
        <f t="shared" si="167"/>
        <v/>
      </c>
      <c r="M81" s="56" t="str">
        <f t="shared" si="168"/>
        <v/>
      </c>
      <c r="N81" s="57" t="str">
        <f t="shared" si="2"/>
        <v/>
      </c>
      <c r="O81" s="58" t="str">
        <f t="shared" si="169"/>
        <v/>
      </c>
      <c r="P81" s="59" t="str">
        <f t="shared" si="4"/>
        <v/>
      </c>
      <c r="Q81" s="60" t="str">
        <f t="shared" si="170"/>
        <v/>
      </c>
      <c r="R81" s="61" t="str">
        <f t="shared" si="6"/>
        <v/>
      </c>
      <c r="S81" s="56" t="str">
        <f t="shared" si="171"/>
        <v/>
      </c>
      <c r="T81" s="62" t="str">
        <f t="shared" si="172"/>
        <v/>
      </c>
      <c r="U81" s="63" t="str">
        <f t="shared" si="9"/>
        <v/>
      </c>
      <c r="V81" s="64" t="str">
        <f t="shared" si="173"/>
        <v/>
      </c>
      <c r="W81" s="65" t="str">
        <f t="shared" si="11"/>
        <v/>
      </c>
      <c r="X81" s="64" t="str">
        <f t="shared" si="174"/>
        <v/>
      </c>
      <c r="Y81" s="64" t="str">
        <f t="shared" si="175"/>
        <v/>
      </c>
      <c r="Z81" s="56" t="str">
        <f t="shared" si="176"/>
        <v/>
      </c>
      <c r="AA81" s="66" t="str">
        <f t="shared" si="177"/>
        <v/>
      </c>
      <c r="AB81" s="57" t="str">
        <f t="shared" si="16"/>
        <v/>
      </c>
      <c r="AC81" s="67" t="str">
        <f t="shared" si="178"/>
        <v/>
      </c>
      <c r="AD81" s="59" t="str">
        <f t="shared" si="179"/>
        <v/>
      </c>
      <c r="AE81" s="68" t="str">
        <f t="shared" si="180"/>
        <v/>
      </c>
      <c r="AF81" s="61" t="str">
        <f t="shared" si="181"/>
        <v/>
      </c>
      <c r="AG81" s="61" t="str">
        <f t="shared" si="182"/>
        <v/>
      </c>
      <c r="AH81" s="69" t="str">
        <f t="shared" si="183"/>
        <v/>
      </c>
      <c r="AI81" s="70" t="str">
        <f t="shared" si="23"/>
        <v/>
      </c>
      <c r="AJ81" s="64" t="str">
        <f t="shared" si="184"/>
        <v/>
      </c>
      <c r="AK81" s="64" t="str">
        <f t="shared" si="185"/>
        <v/>
      </c>
      <c r="AL81" s="64" t="str">
        <f t="shared" si="186"/>
        <v/>
      </c>
      <c r="AM81" s="64" t="str">
        <f t="shared" si="187"/>
        <v/>
      </c>
      <c r="AN81" s="64" t="str">
        <f t="shared" si="188"/>
        <v/>
      </c>
    </row>
    <row r="82" spans="1:40" ht="24.5" hidden="1" outlineLevel="1" thickTop="1" thickBot="1" x14ac:dyDescent="0.55000000000000004">
      <c r="C82" s="113"/>
      <c r="D82" s="112"/>
      <c r="E82" s="52"/>
      <c r="F82" s="53"/>
      <c r="G82" s="53"/>
      <c r="H82" s="52"/>
      <c r="I82" s="52"/>
      <c r="J82" s="54"/>
      <c r="K82" s="54"/>
      <c r="L82" s="78" t="str">
        <f t="shared" si="167"/>
        <v/>
      </c>
      <c r="M82" s="56" t="str">
        <f t="shared" si="168"/>
        <v/>
      </c>
      <c r="N82" s="57" t="str">
        <f t="shared" si="2"/>
        <v/>
      </c>
      <c r="O82" s="58" t="str">
        <f t="shared" si="169"/>
        <v/>
      </c>
      <c r="P82" s="59" t="str">
        <f t="shared" si="4"/>
        <v/>
      </c>
      <c r="Q82" s="60" t="str">
        <f t="shared" si="170"/>
        <v/>
      </c>
      <c r="R82" s="61" t="str">
        <f t="shared" si="6"/>
        <v/>
      </c>
      <c r="S82" s="56" t="str">
        <f t="shared" si="171"/>
        <v/>
      </c>
      <c r="T82" s="62" t="str">
        <f t="shared" si="172"/>
        <v/>
      </c>
      <c r="U82" s="63" t="str">
        <f t="shared" si="9"/>
        <v/>
      </c>
      <c r="V82" s="64" t="str">
        <f t="shared" si="173"/>
        <v/>
      </c>
      <c r="W82" s="65" t="str">
        <f t="shared" si="11"/>
        <v/>
      </c>
      <c r="X82" s="64" t="str">
        <f t="shared" si="174"/>
        <v/>
      </c>
      <c r="Y82" s="64" t="str">
        <f t="shared" si="175"/>
        <v/>
      </c>
      <c r="Z82" s="56" t="str">
        <f t="shared" si="176"/>
        <v/>
      </c>
      <c r="AA82" s="66" t="str">
        <f t="shared" si="177"/>
        <v/>
      </c>
      <c r="AB82" s="57" t="str">
        <f t="shared" si="16"/>
        <v/>
      </c>
      <c r="AC82" s="67" t="str">
        <f t="shared" si="178"/>
        <v/>
      </c>
      <c r="AD82" s="59" t="str">
        <f t="shared" si="179"/>
        <v/>
      </c>
      <c r="AE82" s="68" t="str">
        <f t="shared" si="180"/>
        <v/>
      </c>
      <c r="AF82" s="61" t="str">
        <f t="shared" si="181"/>
        <v/>
      </c>
      <c r="AG82" s="61" t="str">
        <f t="shared" si="182"/>
        <v/>
      </c>
      <c r="AH82" s="69" t="str">
        <f t="shared" si="183"/>
        <v/>
      </c>
      <c r="AI82" s="70" t="str">
        <f t="shared" si="23"/>
        <v/>
      </c>
      <c r="AJ82" s="64" t="str">
        <f t="shared" si="184"/>
        <v/>
      </c>
      <c r="AK82" s="64" t="str">
        <f t="shared" si="185"/>
        <v/>
      </c>
      <c r="AL82" s="64" t="str">
        <f t="shared" si="186"/>
        <v/>
      </c>
      <c r="AM82" s="64" t="str">
        <f t="shared" si="187"/>
        <v/>
      </c>
      <c r="AN82" s="64" t="str">
        <f t="shared" si="188"/>
        <v/>
      </c>
    </row>
    <row r="83" spans="1:40" ht="24.5" hidden="1" outlineLevel="1" thickTop="1" thickBot="1" x14ac:dyDescent="0.55000000000000004">
      <c r="C83" s="113"/>
      <c r="D83" s="112"/>
      <c r="E83" s="52"/>
      <c r="F83" s="53"/>
      <c r="G83" s="53"/>
      <c r="H83" s="52"/>
      <c r="I83" s="52"/>
      <c r="J83" s="54"/>
      <c r="K83" s="54"/>
      <c r="L83" s="78" t="str">
        <f t="shared" si="167"/>
        <v/>
      </c>
      <c r="M83" s="56" t="str">
        <f t="shared" si="168"/>
        <v/>
      </c>
      <c r="N83" s="57" t="str">
        <f t="shared" si="2"/>
        <v/>
      </c>
      <c r="O83" s="58" t="str">
        <f t="shared" si="169"/>
        <v/>
      </c>
      <c r="P83" s="59" t="str">
        <f t="shared" si="4"/>
        <v/>
      </c>
      <c r="Q83" s="60" t="str">
        <f t="shared" si="170"/>
        <v/>
      </c>
      <c r="R83" s="61" t="str">
        <f t="shared" si="6"/>
        <v/>
      </c>
      <c r="S83" s="56" t="str">
        <f t="shared" si="171"/>
        <v/>
      </c>
      <c r="T83" s="62" t="str">
        <f t="shared" si="172"/>
        <v/>
      </c>
      <c r="U83" s="63" t="str">
        <f t="shared" si="9"/>
        <v/>
      </c>
      <c r="V83" s="64" t="str">
        <f t="shared" si="173"/>
        <v/>
      </c>
      <c r="W83" s="65" t="str">
        <f t="shared" si="11"/>
        <v/>
      </c>
      <c r="X83" s="64" t="str">
        <f t="shared" si="174"/>
        <v/>
      </c>
      <c r="Y83" s="64" t="str">
        <f t="shared" si="175"/>
        <v/>
      </c>
      <c r="Z83" s="56" t="str">
        <f t="shared" si="176"/>
        <v/>
      </c>
      <c r="AA83" s="66" t="str">
        <f t="shared" si="177"/>
        <v/>
      </c>
      <c r="AB83" s="57" t="str">
        <f t="shared" si="16"/>
        <v/>
      </c>
      <c r="AC83" s="67" t="str">
        <f t="shared" si="178"/>
        <v/>
      </c>
      <c r="AD83" s="59" t="str">
        <f t="shared" si="179"/>
        <v/>
      </c>
      <c r="AE83" s="68" t="str">
        <f t="shared" si="180"/>
        <v/>
      </c>
      <c r="AF83" s="61" t="str">
        <f t="shared" si="181"/>
        <v/>
      </c>
      <c r="AG83" s="61" t="str">
        <f t="shared" si="182"/>
        <v/>
      </c>
      <c r="AH83" s="69" t="str">
        <f t="shared" si="183"/>
        <v/>
      </c>
      <c r="AI83" s="70" t="str">
        <f t="shared" si="23"/>
        <v/>
      </c>
      <c r="AJ83" s="64" t="str">
        <f t="shared" si="184"/>
        <v/>
      </c>
      <c r="AK83" s="64" t="str">
        <f t="shared" si="185"/>
        <v/>
      </c>
      <c r="AL83" s="64" t="str">
        <f t="shared" si="186"/>
        <v/>
      </c>
      <c r="AM83" s="64" t="str">
        <f t="shared" si="187"/>
        <v/>
      </c>
      <c r="AN83" s="64" t="str">
        <f t="shared" si="188"/>
        <v/>
      </c>
    </row>
    <row r="84" spans="1:40" ht="24.5" hidden="1" outlineLevel="1" thickTop="1" thickBot="1" x14ac:dyDescent="0.55000000000000004">
      <c r="C84" s="113"/>
      <c r="D84" s="112"/>
      <c r="E84" s="52"/>
      <c r="F84" s="53"/>
      <c r="G84" s="53"/>
      <c r="H84" s="52"/>
      <c r="I84" s="52"/>
      <c r="J84" s="54"/>
      <c r="K84" s="54"/>
      <c r="L84" s="55" t="str">
        <f t="shared" si="167"/>
        <v/>
      </c>
      <c r="M84" s="56" t="str">
        <f t="shared" si="168"/>
        <v/>
      </c>
      <c r="N84" s="57" t="str">
        <f t="shared" si="2"/>
        <v/>
      </c>
      <c r="O84" s="58" t="str">
        <f t="shared" si="169"/>
        <v/>
      </c>
      <c r="P84" s="59" t="str">
        <f t="shared" si="4"/>
        <v/>
      </c>
      <c r="Q84" s="60" t="str">
        <f t="shared" si="170"/>
        <v/>
      </c>
      <c r="R84" s="61" t="str">
        <f t="shared" si="6"/>
        <v/>
      </c>
      <c r="S84" s="56" t="str">
        <f t="shared" si="171"/>
        <v/>
      </c>
      <c r="T84" s="62" t="str">
        <f t="shared" si="172"/>
        <v/>
      </c>
      <c r="U84" s="63" t="str">
        <f t="shared" si="9"/>
        <v/>
      </c>
      <c r="V84" s="64" t="str">
        <f t="shared" si="173"/>
        <v/>
      </c>
      <c r="W84" s="65" t="str">
        <f t="shared" si="11"/>
        <v/>
      </c>
      <c r="X84" s="64" t="str">
        <f t="shared" si="174"/>
        <v/>
      </c>
      <c r="Y84" s="64" t="str">
        <f t="shared" si="175"/>
        <v/>
      </c>
      <c r="Z84" s="56" t="str">
        <f t="shared" si="176"/>
        <v/>
      </c>
      <c r="AA84" s="66" t="str">
        <f t="shared" si="177"/>
        <v/>
      </c>
      <c r="AB84" s="57" t="str">
        <f t="shared" si="16"/>
        <v/>
      </c>
      <c r="AC84" s="67" t="str">
        <f t="shared" si="178"/>
        <v/>
      </c>
      <c r="AD84" s="59" t="str">
        <f t="shared" si="179"/>
        <v/>
      </c>
      <c r="AE84" s="68" t="str">
        <f t="shared" si="180"/>
        <v/>
      </c>
      <c r="AF84" s="61" t="str">
        <f t="shared" si="181"/>
        <v/>
      </c>
      <c r="AG84" s="61" t="str">
        <f t="shared" si="182"/>
        <v/>
      </c>
      <c r="AH84" s="69" t="str">
        <f t="shared" si="183"/>
        <v/>
      </c>
      <c r="AI84" s="70" t="str">
        <f t="shared" si="23"/>
        <v/>
      </c>
      <c r="AJ84" s="64" t="str">
        <f t="shared" si="184"/>
        <v/>
      </c>
      <c r="AK84" s="64" t="str">
        <f t="shared" si="185"/>
        <v/>
      </c>
      <c r="AL84" s="64" t="str">
        <f t="shared" si="186"/>
        <v/>
      </c>
      <c r="AM84" s="64" t="str">
        <f t="shared" si="187"/>
        <v/>
      </c>
      <c r="AN84" s="64" t="str">
        <f t="shared" si="188"/>
        <v/>
      </c>
    </row>
    <row r="85" spans="1:40" ht="24.5" hidden="1" outlineLevel="1" thickTop="1" thickBot="1" x14ac:dyDescent="0.55000000000000004">
      <c r="C85" s="113"/>
      <c r="D85" s="112"/>
      <c r="E85" s="52"/>
      <c r="F85" s="53"/>
      <c r="G85" s="53"/>
      <c r="H85" s="52"/>
      <c r="I85" s="52"/>
      <c r="J85" s="54"/>
      <c r="K85" s="54"/>
      <c r="L85" s="55" t="str">
        <f t="shared" si="167"/>
        <v/>
      </c>
      <c r="M85" s="56" t="str">
        <f t="shared" si="168"/>
        <v/>
      </c>
      <c r="N85" s="57" t="str">
        <f t="shared" si="2"/>
        <v/>
      </c>
      <c r="O85" s="58" t="str">
        <f t="shared" si="169"/>
        <v/>
      </c>
      <c r="P85" s="59" t="str">
        <f t="shared" si="4"/>
        <v/>
      </c>
      <c r="Q85" s="60" t="str">
        <f t="shared" si="170"/>
        <v/>
      </c>
      <c r="R85" s="61" t="str">
        <f t="shared" si="6"/>
        <v/>
      </c>
      <c r="S85" s="56" t="str">
        <f t="shared" si="171"/>
        <v/>
      </c>
      <c r="T85" s="62" t="str">
        <f t="shared" si="172"/>
        <v/>
      </c>
      <c r="U85" s="63" t="str">
        <f t="shared" si="9"/>
        <v/>
      </c>
      <c r="V85" s="64" t="str">
        <f t="shared" si="173"/>
        <v/>
      </c>
      <c r="W85" s="65" t="str">
        <f t="shared" si="11"/>
        <v/>
      </c>
      <c r="X85" s="64" t="str">
        <f t="shared" si="174"/>
        <v/>
      </c>
      <c r="Y85" s="64" t="str">
        <f t="shared" si="175"/>
        <v/>
      </c>
      <c r="Z85" s="56" t="str">
        <f t="shared" si="176"/>
        <v/>
      </c>
      <c r="AA85" s="66" t="str">
        <f t="shared" si="177"/>
        <v/>
      </c>
      <c r="AB85" s="57" t="str">
        <f t="shared" si="16"/>
        <v/>
      </c>
      <c r="AC85" s="67" t="str">
        <f t="shared" si="178"/>
        <v/>
      </c>
      <c r="AD85" s="59" t="str">
        <f t="shared" si="179"/>
        <v/>
      </c>
      <c r="AE85" s="68" t="str">
        <f t="shared" si="180"/>
        <v/>
      </c>
      <c r="AF85" s="61" t="str">
        <f t="shared" si="181"/>
        <v/>
      </c>
      <c r="AG85" s="61" t="str">
        <f t="shared" si="182"/>
        <v/>
      </c>
      <c r="AH85" s="69" t="str">
        <f t="shared" si="183"/>
        <v/>
      </c>
      <c r="AI85" s="70" t="str">
        <f t="shared" si="23"/>
        <v/>
      </c>
      <c r="AJ85" s="64" t="str">
        <f t="shared" si="184"/>
        <v/>
      </c>
      <c r="AK85" s="64" t="str">
        <f t="shared" si="185"/>
        <v/>
      </c>
      <c r="AL85" s="64" t="str">
        <f t="shared" si="186"/>
        <v/>
      </c>
      <c r="AM85" s="64" t="str">
        <f t="shared" si="187"/>
        <v/>
      </c>
      <c r="AN85" s="64" t="str">
        <f t="shared" si="188"/>
        <v/>
      </c>
    </row>
    <row r="86" spans="1:40" ht="24.5" hidden="1" outlineLevel="1" thickTop="1" thickBot="1" x14ac:dyDescent="0.55000000000000004">
      <c r="C86" s="113"/>
      <c r="D86" s="112"/>
      <c r="E86" s="52"/>
      <c r="F86" s="53"/>
      <c r="G86" s="53"/>
      <c r="H86" s="52"/>
      <c r="I86" s="52"/>
      <c r="J86" s="54"/>
      <c r="K86" s="54"/>
      <c r="L86" s="55" t="str">
        <f t="shared" si="167"/>
        <v/>
      </c>
      <c r="M86" s="56" t="str">
        <f t="shared" si="168"/>
        <v/>
      </c>
      <c r="N86" s="57" t="str">
        <f t="shared" si="2"/>
        <v/>
      </c>
      <c r="O86" s="58" t="str">
        <f t="shared" si="169"/>
        <v/>
      </c>
      <c r="P86" s="59" t="str">
        <f t="shared" si="4"/>
        <v/>
      </c>
      <c r="Q86" s="60" t="str">
        <f t="shared" si="170"/>
        <v/>
      </c>
      <c r="R86" s="61" t="str">
        <f t="shared" si="6"/>
        <v/>
      </c>
      <c r="S86" s="56" t="str">
        <f t="shared" si="171"/>
        <v/>
      </c>
      <c r="T86" s="62" t="str">
        <f t="shared" si="172"/>
        <v/>
      </c>
      <c r="U86" s="63" t="str">
        <f t="shared" si="9"/>
        <v/>
      </c>
      <c r="V86" s="64" t="str">
        <f t="shared" si="173"/>
        <v/>
      </c>
      <c r="W86" s="65" t="str">
        <f t="shared" si="11"/>
        <v/>
      </c>
      <c r="X86" s="64" t="str">
        <f t="shared" si="174"/>
        <v/>
      </c>
      <c r="Y86" s="64" t="str">
        <f t="shared" si="175"/>
        <v/>
      </c>
      <c r="Z86" s="56" t="str">
        <f t="shared" si="176"/>
        <v/>
      </c>
      <c r="AA86" s="66" t="str">
        <f t="shared" si="177"/>
        <v/>
      </c>
      <c r="AB86" s="57" t="str">
        <f t="shared" si="16"/>
        <v/>
      </c>
      <c r="AC86" s="67" t="str">
        <f t="shared" si="178"/>
        <v/>
      </c>
      <c r="AD86" s="59" t="str">
        <f t="shared" si="179"/>
        <v/>
      </c>
      <c r="AE86" s="68" t="str">
        <f t="shared" si="180"/>
        <v/>
      </c>
      <c r="AF86" s="61" t="str">
        <f t="shared" si="181"/>
        <v/>
      </c>
      <c r="AG86" s="61" t="str">
        <f t="shared" si="182"/>
        <v/>
      </c>
      <c r="AH86" s="69" t="str">
        <f t="shared" si="183"/>
        <v/>
      </c>
      <c r="AI86" s="70" t="str">
        <f t="shared" si="23"/>
        <v/>
      </c>
      <c r="AJ86" s="64" t="str">
        <f t="shared" si="184"/>
        <v/>
      </c>
      <c r="AK86" s="64" t="str">
        <f t="shared" si="185"/>
        <v/>
      </c>
      <c r="AL86" s="64" t="str">
        <f t="shared" si="186"/>
        <v/>
      </c>
      <c r="AM86" s="64" t="str">
        <f t="shared" si="187"/>
        <v/>
      </c>
      <c r="AN86" s="64" t="str">
        <f t="shared" si="188"/>
        <v/>
      </c>
    </row>
    <row r="87" spans="1:40" ht="24.5" hidden="1" outlineLevel="1" thickTop="1" thickBot="1" x14ac:dyDescent="0.55000000000000004">
      <c r="C87" s="113"/>
      <c r="D87" s="112"/>
      <c r="E87" s="52"/>
      <c r="F87" s="53"/>
      <c r="G87" s="53"/>
      <c r="H87" s="52"/>
      <c r="I87" s="52"/>
      <c r="J87" s="54"/>
      <c r="K87" s="54"/>
      <c r="L87" s="55" t="str">
        <f t="shared" si="167"/>
        <v/>
      </c>
      <c r="M87" s="56" t="str">
        <f t="shared" si="168"/>
        <v/>
      </c>
      <c r="N87" s="57" t="str">
        <f t="shared" si="2"/>
        <v/>
      </c>
      <c r="O87" s="58" t="str">
        <f t="shared" si="169"/>
        <v/>
      </c>
      <c r="P87" s="59" t="str">
        <f t="shared" si="4"/>
        <v/>
      </c>
      <c r="Q87" s="60" t="str">
        <f t="shared" si="170"/>
        <v/>
      </c>
      <c r="R87" s="61" t="str">
        <f t="shared" ref="R87:R95" si="189">IF(N87="Do",10,IF(N87="Re",22,IF(N87="Mi",20,IF(N87="Fa",20,IF(N87="Sol",14,IF(N87="La",20,IF(N87="Si",20,IF(N87="Do#",14,IF(N87="Fa#",15,IF(N87="Sol#",20,IF(N87="Si♭",17,"")))))))))))</f>
        <v/>
      </c>
      <c r="S87" s="56" t="str">
        <f t="shared" si="171"/>
        <v/>
      </c>
      <c r="T87" s="62" t="str">
        <f t="shared" si="172"/>
        <v/>
      </c>
      <c r="U87" s="63" t="str">
        <f t="shared" si="9"/>
        <v/>
      </c>
      <c r="V87" s="64" t="str">
        <f t="shared" si="173"/>
        <v/>
      </c>
      <c r="W87" s="65" t="str">
        <f t="shared" si="11"/>
        <v/>
      </c>
      <c r="X87" s="64" t="str">
        <f t="shared" si="174"/>
        <v/>
      </c>
      <c r="Y87" s="64" t="str">
        <f t="shared" si="175"/>
        <v/>
      </c>
      <c r="Z87" s="56" t="str">
        <f t="shared" si="176"/>
        <v/>
      </c>
      <c r="AA87" s="66" t="str">
        <f t="shared" si="177"/>
        <v/>
      </c>
      <c r="AB87" s="57" t="str">
        <f t="shared" si="16"/>
        <v/>
      </c>
      <c r="AC87" s="67" t="str">
        <f t="shared" si="178"/>
        <v/>
      </c>
      <c r="AD87" s="59" t="str">
        <f t="shared" si="179"/>
        <v/>
      </c>
      <c r="AE87" s="68" t="str">
        <f t="shared" si="180"/>
        <v/>
      </c>
      <c r="AF87" s="61" t="str">
        <f t="shared" si="181"/>
        <v/>
      </c>
      <c r="AG87" s="61" t="str">
        <f t="shared" si="182"/>
        <v/>
      </c>
      <c r="AH87" s="69" t="str">
        <f t="shared" si="183"/>
        <v/>
      </c>
      <c r="AI87" s="70" t="str">
        <f t="shared" si="23"/>
        <v/>
      </c>
      <c r="AJ87" s="64" t="str">
        <f t="shared" si="184"/>
        <v/>
      </c>
      <c r="AK87" s="64" t="str">
        <f t="shared" si="185"/>
        <v/>
      </c>
      <c r="AL87" s="64" t="str">
        <f t="shared" si="186"/>
        <v/>
      </c>
      <c r="AM87" s="64" t="str">
        <f t="shared" si="187"/>
        <v/>
      </c>
      <c r="AN87" s="64" t="str">
        <f t="shared" si="188"/>
        <v/>
      </c>
    </row>
    <row r="88" spans="1:40" ht="24.5" hidden="1" outlineLevel="1" thickTop="1" thickBot="1" x14ac:dyDescent="0.55000000000000004">
      <c r="C88" s="113"/>
      <c r="D88" s="112"/>
      <c r="E88" s="52"/>
      <c r="F88" s="53"/>
      <c r="G88" s="53"/>
      <c r="H88" s="52"/>
      <c r="I88" s="52"/>
      <c r="J88" s="54"/>
      <c r="K88" s="54"/>
      <c r="L88" s="55" t="str">
        <f t="shared" si="167"/>
        <v/>
      </c>
      <c r="M88" s="56" t="str">
        <f t="shared" si="168"/>
        <v/>
      </c>
      <c r="N88" s="57" t="str">
        <f t="shared" si="2"/>
        <v/>
      </c>
      <c r="O88" s="58" t="str">
        <f t="shared" si="169"/>
        <v/>
      </c>
      <c r="P88" s="59" t="str">
        <f t="shared" si="4"/>
        <v/>
      </c>
      <c r="Q88" s="60" t="str">
        <f t="shared" si="170"/>
        <v/>
      </c>
      <c r="R88" s="61" t="str">
        <f t="shared" si="189"/>
        <v/>
      </c>
      <c r="S88" s="56" t="str">
        <f t="shared" si="171"/>
        <v/>
      </c>
      <c r="T88" s="62" t="str">
        <f t="shared" si="172"/>
        <v/>
      </c>
      <c r="U88" s="63" t="str">
        <f t="shared" si="9"/>
        <v/>
      </c>
      <c r="V88" s="64" t="str">
        <f t="shared" si="173"/>
        <v/>
      </c>
      <c r="W88" s="65" t="str">
        <f t="shared" si="11"/>
        <v/>
      </c>
      <c r="X88" s="64" t="str">
        <f t="shared" si="174"/>
        <v/>
      </c>
      <c r="Y88" s="64" t="str">
        <f t="shared" si="175"/>
        <v/>
      </c>
      <c r="Z88" s="56" t="str">
        <f t="shared" si="176"/>
        <v/>
      </c>
      <c r="AA88" s="66" t="str">
        <f t="shared" si="177"/>
        <v/>
      </c>
      <c r="AB88" s="57" t="str">
        <f t="shared" si="16"/>
        <v/>
      </c>
      <c r="AC88" s="67" t="str">
        <f t="shared" si="178"/>
        <v/>
      </c>
      <c r="AD88" s="59" t="str">
        <f t="shared" si="179"/>
        <v/>
      </c>
      <c r="AE88" s="68" t="str">
        <f t="shared" si="180"/>
        <v/>
      </c>
      <c r="AF88" s="61" t="str">
        <f t="shared" si="181"/>
        <v/>
      </c>
      <c r="AG88" s="61" t="str">
        <f t="shared" si="182"/>
        <v/>
      </c>
      <c r="AH88" s="69" t="str">
        <f t="shared" si="183"/>
        <v/>
      </c>
      <c r="AI88" s="70" t="str">
        <f t="shared" si="23"/>
        <v/>
      </c>
      <c r="AJ88" s="64" t="str">
        <f t="shared" si="184"/>
        <v/>
      </c>
      <c r="AK88" s="64" t="str">
        <f t="shared" si="185"/>
        <v/>
      </c>
      <c r="AL88" s="64" t="str">
        <f t="shared" si="186"/>
        <v/>
      </c>
      <c r="AM88" s="64" t="str">
        <f t="shared" si="187"/>
        <v/>
      </c>
      <c r="AN88" s="64" t="str">
        <f t="shared" si="188"/>
        <v/>
      </c>
    </row>
    <row r="89" spans="1:40" ht="24.5" hidden="1" outlineLevel="1" thickTop="1" thickBot="1" x14ac:dyDescent="0.55000000000000004">
      <c r="C89" s="113"/>
      <c r="D89" s="112"/>
      <c r="E89" s="52"/>
      <c r="F89" s="53"/>
      <c r="G89" s="53"/>
      <c r="H89" s="52"/>
      <c r="I89" s="52"/>
      <c r="J89" s="54"/>
      <c r="K89" s="54"/>
      <c r="L89" s="78" t="str">
        <f t="shared" si="167"/>
        <v/>
      </c>
      <c r="M89" s="56" t="str">
        <f t="shared" si="168"/>
        <v/>
      </c>
      <c r="N89" s="57" t="str">
        <f t="shared" si="2"/>
        <v/>
      </c>
      <c r="O89" s="58" t="str">
        <f t="shared" si="169"/>
        <v/>
      </c>
      <c r="P89" s="59" t="str">
        <f t="shared" si="4"/>
        <v/>
      </c>
      <c r="Q89" s="60" t="str">
        <f t="shared" si="170"/>
        <v/>
      </c>
      <c r="R89" s="61" t="str">
        <f t="shared" si="189"/>
        <v/>
      </c>
      <c r="S89" s="56" t="str">
        <f t="shared" si="171"/>
        <v/>
      </c>
      <c r="T89" s="62" t="str">
        <f t="shared" si="172"/>
        <v/>
      </c>
      <c r="U89" s="63" t="str">
        <f t="shared" si="9"/>
        <v/>
      </c>
      <c r="V89" s="64" t="str">
        <f t="shared" si="173"/>
        <v/>
      </c>
      <c r="W89" s="65" t="str">
        <f t="shared" si="11"/>
        <v/>
      </c>
      <c r="X89" s="64" t="str">
        <f t="shared" si="174"/>
        <v/>
      </c>
      <c r="Y89" s="64" t="str">
        <f t="shared" si="175"/>
        <v/>
      </c>
      <c r="Z89" s="56" t="str">
        <f t="shared" si="176"/>
        <v/>
      </c>
      <c r="AA89" s="66" t="str">
        <f t="shared" si="177"/>
        <v/>
      </c>
      <c r="AB89" s="57" t="str">
        <f t="shared" si="16"/>
        <v/>
      </c>
      <c r="AC89" s="67" t="str">
        <f t="shared" si="178"/>
        <v/>
      </c>
      <c r="AD89" s="59" t="str">
        <f t="shared" si="179"/>
        <v/>
      </c>
      <c r="AE89" s="68" t="str">
        <f t="shared" si="180"/>
        <v/>
      </c>
      <c r="AF89" s="61" t="str">
        <f t="shared" si="181"/>
        <v/>
      </c>
      <c r="AG89" s="61" t="str">
        <f t="shared" si="182"/>
        <v/>
      </c>
      <c r="AH89" s="69" t="str">
        <f t="shared" si="183"/>
        <v/>
      </c>
      <c r="AI89" s="70" t="str">
        <f t="shared" si="23"/>
        <v/>
      </c>
      <c r="AJ89" s="64" t="str">
        <f t="shared" si="184"/>
        <v/>
      </c>
      <c r="AK89" s="64" t="str">
        <f t="shared" si="185"/>
        <v/>
      </c>
      <c r="AL89" s="64" t="str">
        <f t="shared" si="186"/>
        <v/>
      </c>
      <c r="AM89" s="64" t="str">
        <f t="shared" si="187"/>
        <v/>
      </c>
      <c r="AN89" s="64" t="str">
        <f t="shared" si="188"/>
        <v/>
      </c>
    </row>
    <row r="90" spans="1:40" ht="24.5" hidden="1" outlineLevel="1" thickTop="1" thickBot="1" x14ac:dyDescent="0.55000000000000004">
      <c r="C90" s="113"/>
      <c r="D90" s="112"/>
      <c r="E90" s="52"/>
      <c r="F90" s="53"/>
      <c r="G90" s="53"/>
      <c r="H90" s="52"/>
      <c r="I90" s="52"/>
      <c r="J90" s="54"/>
      <c r="K90" s="54"/>
      <c r="L90" s="78" t="str">
        <f t="shared" si="167"/>
        <v/>
      </c>
      <c r="M90" s="56" t="str">
        <f t="shared" si="168"/>
        <v/>
      </c>
      <c r="N90" s="57" t="str">
        <f t="shared" si="2"/>
        <v/>
      </c>
      <c r="O90" s="58" t="str">
        <f t="shared" si="169"/>
        <v/>
      </c>
      <c r="P90" s="59" t="str">
        <f t="shared" si="4"/>
        <v/>
      </c>
      <c r="Q90" s="60" t="str">
        <f t="shared" si="170"/>
        <v/>
      </c>
      <c r="R90" s="61" t="str">
        <f t="shared" si="189"/>
        <v/>
      </c>
      <c r="S90" s="56" t="str">
        <f t="shared" si="171"/>
        <v/>
      </c>
      <c r="T90" s="62" t="str">
        <f t="shared" si="172"/>
        <v/>
      </c>
      <c r="U90" s="63" t="str">
        <f t="shared" si="9"/>
        <v/>
      </c>
      <c r="V90" s="64" t="str">
        <f t="shared" si="173"/>
        <v/>
      </c>
      <c r="W90" s="65" t="str">
        <f t="shared" si="11"/>
        <v/>
      </c>
      <c r="X90" s="64" t="str">
        <f t="shared" si="174"/>
        <v/>
      </c>
      <c r="Y90" s="64" t="str">
        <f t="shared" si="175"/>
        <v/>
      </c>
      <c r="Z90" s="56" t="str">
        <f t="shared" si="176"/>
        <v/>
      </c>
      <c r="AA90" s="66" t="str">
        <f t="shared" si="177"/>
        <v/>
      </c>
      <c r="AB90" s="57" t="str">
        <f t="shared" si="16"/>
        <v/>
      </c>
      <c r="AC90" s="67" t="str">
        <f t="shared" si="178"/>
        <v/>
      </c>
      <c r="AD90" s="59" t="str">
        <f t="shared" si="179"/>
        <v/>
      </c>
      <c r="AE90" s="68" t="str">
        <f t="shared" si="180"/>
        <v/>
      </c>
      <c r="AF90" s="61" t="str">
        <f t="shared" si="181"/>
        <v/>
      </c>
      <c r="AG90" s="61" t="str">
        <f t="shared" si="182"/>
        <v/>
      </c>
      <c r="AH90" s="69" t="str">
        <f t="shared" si="183"/>
        <v/>
      </c>
      <c r="AI90" s="70" t="str">
        <f t="shared" si="23"/>
        <v/>
      </c>
      <c r="AJ90" s="64" t="str">
        <f t="shared" si="184"/>
        <v/>
      </c>
      <c r="AK90" s="64" t="str">
        <f t="shared" si="185"/>
        <v/>
      </c>
      <c r="AL90" s="64" t="str">
        <f t="shared" si="186"/>
        <v/>
      </c>
      <c r="AM90" s="64" t="str">
        <f t="shared" si="187"/>
        <v/>
      </c>
      <c r="AN90" s="64" t="str">
        <f t="shared" si="188"/>
        <v/>
      </c>
    </row>
    <row r="91" spans="1:40" ht="24.5" hidden="1" outlineLevel="1" thickTop="1" thickBot="1" x14ac:dyDescent="0.55000000000000004">
      <c r="C91" s="113"/>
      <c r="D91" s="112"/>
      <c r="E91" s="52"/>
      <c r="F91" s="53"/>
      <c r="G91" s="53"/>
      <c r="H91" s="52"/>
      <c r="I91" s="52"/>
      <c r="J91" s="54"/>
      <c r="K91" s="54"/>
      <c r="L91" s="78" t="str">
        <f t="shared" si="167"/>
        <v/>
      </c>
      <c r="M91" s="56" t="str">
        <f t="shared" si="168"/>
        <v/>
      </c>
      <c r="N91" s="57" t="str">
        <f t="shared" si="2"/>
        <v/>
      </c>
      <c r="O91" s="58" t="str">
        <f t="shared" si="169"/>
        <v/>
      </c>
      <c r="P91" s="59" t="str">
        <f t="shared" si="4"/>
        <v/>
      </c>
      <c r="Q91" s="60" t="str">
        <f t="shared" si="170"/>
        <v/>
      </c>
      <c r="R91" s="61" t="str">
        <f t="shared" si="189"/>
        <v/>
      </c>
      <c r="S91" s="56" t="str">
        <f t="shared" si="171"/>
        <v/>
      </c>
      <c r="T91" s="62" t="str">
        <f t="shared" si="172"/>
        <v/>
      </c>
      <c r="U91" s="63" t="str">
        <f t="shared" si="9"/>
        <v/>
      </c>
      <c r="V91" s="64" t="str">
        <f t="shared" si="173"/>
        <v/>
      </c>
      <c r="W91" s="65" t="str">
        <f t="shared" si="11"/>
        <v/>
      </c>
      <c r="X91" s="64" t="str">
        <f t="shared" si="174"/>
        <v/>
      </c>
      <c r="Y91" s="64" t="str">
        <f t="shared" si="175"/>
        <v/>
      </c>
      <c r="Z91" s="56" t="str">
        <f t="shared" si="176"/>
        <v/>
      </c>
      <c r="AA91" s="66" t="str">
        <f t="shared" si="177"/>
        <v/>
      </c>
      <c r="AB91" s="57" t="str">
        <f t="shared" si="16"/>
        <v/>
      </c>
      <c r="AC91" s="67" t="str">
        <f t="shared" si="178"/>
        <v/>
      </c>
      <c r="AD91" s="59" t="str">
        <f t="shared" si="179"/>
        <v/>
      </c>
      <c r="AE91" s="68" t="str">
        <f t="shared" si="180"/>
        <v/>
      </c>
      <c r="AF91" s="61" t="str">
        <f t="shared" si="181"/>
        <v/>
      </c>
      <c r="AG91" s="61" t="str">
        <f t="shared" si="182"/>
        <v/>
      </c>
      <c r="AH91" s="69" t="str">
        <f t="shared" si="183"/>
        <v/>
      </c>
      <c r="AI91" s="70" t="str">
        <f t="shared" si="23"/>
        <v/>
      </c>
      <c r="AJ91" s="64" t="str">
        <f t="shared" si="184"/>
        <v/>
      </c>
      <c r="AK91" s="64" t="str">
        <f t="shared" si="185"/>
        <v/>
      </c>
      <c r="AL91" s="64" t="str">
        <f t="shared" si="186"/>
        <v/>
      </c>
      <c r="AM91" s="64" t="str">
        <f t="shared" si="187"/>
        <v/>
      </c>
      <c r="AN91" s="64" t="str">
        <f t="shared" si="188"/>
        <v/>
      </c>
    </row>
    <row r="92" spans="1:40" ht="24.5" hidden="1" outlineLevel="1" thickTop="1" thickBot="1" x14ac:dyDescent="0.55000000000000004">
      <c r="C92" s="113"/>
      <c r="D92" s="112"/>
      <c r="E92" s="52"/>
      <c r="F92" s="53"/>
      <c r="G92" s="53"/>
      <c r="H92" s="52"/>
      <c r="I92" s="52"/>
      <c r="J92" s="54"/>
      <c r="K92" s="54"/>
      <c r="L92" s="78" t="str">
        <f t="shared" si="167"/>
        <v/>
      </c>
      <c r="M92" s="56" t="str">
        <f t="shared" si="168"/>
        <v/>
      </c>
      <c r="N92" s="57" t="str">
        <f t="shared" si="2"/>
        <v/>
      </c>
      <c r="O92" s="58" t="str">
        <f t="shared" si="169"/>
        <v/>
      </c>
      <c r="P92" s="59" t="str">
        <f t="shared" si="4"/>
        <v/>
      </c>
      <c r="Q92" s="60" t="str">
        <f t="shared" si="170"/>
        <v/>
      </c>
      <c r="R92" s="61" t="str">
        <f t="shared" si="189"/>
        <v/>
      </c>
      <c r="S92" s="56" t="str">
        <f t="shared" si="171"/>
        <v/>
      </c>
      <c r="T92" s="62" t="str">
        <f t="shared" si="172"/>
        <v/>
      </c>
      <c r="U92" s="63" t="str">
        <f t="shared" si="9"/>
        <v/>
      </c>
      <c r="V92" s="64" t="str">
        <f t="shared" si="173"/>
        <v/>
      </c>
      <c r="W92" s="65" t="str">
        <f t="shared" si="11"/>
        <v/>
      </c>
      <c r="X92" s="64" t="str">
        <f t="shared" si="174"/>
        <v/>
      </c>
      <c r="Y92" s="64" t="str">
        <f t="shared" si="175"/>
        <v/>
      </c>
      <c r="Z92" s="56" t="str">
        <f t="shared" si="176"/>
        <v/>
      </c>
      <c r="AA92" s="66" t="str">
        <f t="shared" si="177"/>
        <v/>
      </c>
      <c r="AB92" s="57" t="str">
        <f t="shared" si="16"/>
        <v/>
      </c>
      <c r="AC92" s="67" t="str">
        <f t="shared" si="178"/>
        <v/>
      </c>
      <c r="AD92" s="59" t="str">
        <f t="shared" si="179"/>
        <v/>
      </c>
      <c r="AE92" s="68" t="str">
        <f t="shared" si="180"/>
        <v/>
      </c>
      <c r="AF92" s="61" t="str">
        <f t="shared" si="181"/>
        <v/>
      </c>
      <c r="AG92" s="61" t="str">
        <f t="shared" si="182"/>
        <v/>
      </c>
      <c r="AH92" s="69" t="str">
        <f t="shared" si="183"/>
        <v/>
      </c>
      <c r="AI92" s="70" t="str">
        <f t="shared" si="23"/>
        <v/>
      </c>
      <c r="AJ92" s="64" t="str">
        <f t="shared" si="184"/>
        <v/>
      </c>
      <c r="AK92" s="64" t="str">
        <f t="shared" si="185"/>
        <v/>
      </c>
      <c r="AL92" s="64" t="str">
        <f t="shared" si="186"/>
        <v/>
      </c>
      <c r="AM92" s="64" t="str">
        <f t="shared" si="187"/>
        <v/>
      </c>
      <c r="AN92" s="64" t="str">
        <f t="shared" si="188"/>
        <v/>
      </c>
    </row>
    <row r="93" spans="1:40" ht="24.5" hidden="1" outlineLevel="1" thickTop="1" thickBot="1" x14ac:dyDescent="0.55000000000000004">
      <c r="C93" s="113"/>
      <c r="D93" s="112"/>
      <c r="E93" s="52"/>
      <c r="F93" s="53"/>
      <c r="G93" s="53"/>
      <c r="H93" s="52"/>
      <c r="I93" s="52"/>
      <c r="J93" s="54"/>
      <c r="K93" s="54"/>
      <c r="L93" s="78" t="str">
        <f t="shared" si="167"/>
        <v/>
      </c>
      <c r="M93" s="56" t="str">
        <f t="shared" si="168"/>
        <v/>
      </c>
      <c r="N93" s="57" t="str">
        <f t="shared" si="2"/>
        <v/>
      </c>
      <c r="O93" s="58" t="str">
        <f t="shared" si="169"/>
        <v/>
      </c>
      <c r="P93" s="59" t="str">
        <f t="shared" si="4"/>
        <v/>
      </c>
      <c r="Q93" s="60" t="str">
        <f t="shared" si="170"/>
        <v/>
      </c>
      <c r="R93" s="61" t="str">
        <f t="shared" si="189"/>
        <v/>
      </c>
      <c r="S93" s="56" t="str">
        <f t="shared" si="171"/>
        <v/>
      </c>
      <c r="T93" s="62" t="str">
        <f t="shared" si="172"/>
        <v/>
      </c>
      <c r="U93" s="63" t="str">
        <f t="shared" si="9"/>
        <v/>
      </c>
      <c r="V93" s="64" t="str">
        <f t="shared" si="173"/>
        <v/>
      </c>
      <c r="W93" s="65" t="str">
        <f t="shared" si="11"/>
        <v/>
      </c>
      <c r="X93" s="64" t="str">
        <f t="shared" si="174"/>
        <v/>
      </c>
      <c r="Y93" s="64" t="str">
        <f t="shared" si="175"/>
        <v/>
      </c>
      <c r="Z93" s="56" t="str">
        <f t="shared" si="176"/>
        <v/>
      </c>
      <c r="AA93" s="66" t="str">
        <f t="shared" si="177"/>
        <v/>
      </c>
      <c r="AB93" s="57" t="str">
        <f t="shared" si="16"/>
        <v/>
      </c>
      <c r="AC93" s="67" t="str">
        <f t="shared" si="178"/>
        <v/>
      </c>
      <c r="AD93" s="59" t="str">
        <f t="shared" si="179"/>
        <v/>
      </c>
      <c r="AE93" s="68" t="str">
        <f t="shared" si="180"/>
        <v/>
      </c>
      <c r="AF93" s="61" t="str">
        <f t="shared" si="181"/>
        <v/>
      </c>
      <c r="AG93" s="61" t="str">
        <f t="shared" si="182"/>
        <v/>
      </c>
      <c r="AH93" s="69" t="str">
        <f t="shared" si="183"/>
        <v/>
      </c>
      <c r="AI93" s="70" t="str">
        <f t="shared" si="23"/>
        <v/>
      </c>
      <c r="AJ93" s="64" t="str">
        <f t="shared" si="184"/>
        <v/>
      </c>
      <c r="AK93" s="64" t="str">
        <f t="shared" si="185"/>
        <v/>
      </c>
      <c r="AL93" s="64" t="str">
        <f t="shared" si="186"/>
        <v/>
      </c>
      <c r="AM93" s="64" t="str">
        <f t="shared" si="187"/>
        <v/>
      </c>
      <c r="AN93" s="64" t="str">
        <f t="shared" si="188"/>
        <v/>
      </c>
    </row>
    <row r="94" spans="1:40" ht="24.5" hidden="1" outlineLevel="1" thickTop="1" thickBot="1" x14ac:dyDescent="0.55000000000000004">
      <c r="C94" s="113"/>
      <c r="D94" s="112"/>
      <c r="E94" s="52"/>
      <c r="F94" s="53"/>
      <c r="G94" s="53"/>
      <c r="H94" s="52"/>
      <c r="I94" s="52"/>
      <c r="J94" s="54"/>
      <c r="K94" s="54"/>
      <c r="L94" s="55" t="str">
        <f>IF(C94="","",_xlfn.CONCAT("            { line: ","""",C94,", ",M94:AN94,""", sC: ","""",B94,"""},"))</f>
        <v/>
      </c>
      <c r="M94" s="56" t="str">
        <f t="shared" si="168"/>
        <v/>
      </c>
      <c r="N94" s="57" t="str">
        <f t="shared" si="2"/>
        <v/>
      </c>
      <c r="O94" s="58" t="str">
        <f t="shared" si="169"/>
        <v/>
      </c>
      <c r="P94" s="59" t="str">
        <f t="shared" si="4"/>
        <v/>
      </c>
      <c r="Q94" s="60" t="str">
        <f t="shared" si="170"/>
        <v/>
      </c>
      <c r="R94" s="61" t="str">
        <f t="shared" si="189"/>
        <v/>
      </c>
      <c r="S94" s="56" t="str">
        <f t="shared" si="171"/>
        <v/>
      </c>
      <c r="T94" s="62" t="str">
        <f t="shared" si="172"/>
        <v/>
      </c>
      <c r="U94" s="63" t="str">
        <f t="shared" si="9"/>
        <v/>
      </c>
      <c r="V94" s="64" t="str">
        <f t="shared" si="173"/>
        <v/>
      </c>
      <c r="W94" s="65" t="str">
        <f t="shared" si="11"/>
        <v/>
      </c>
      <c r="X94" s="64" t="str">
        <f t="shared" si="174"/>
        <v/>
      </c>
      <c r="Y94" s="64" t="str">
        <f t="shared" si="175"/>
        <v/>
      </c>
      <c r="Z94" s="56" t="str">
        <f t="shared" si="176"/>
        <v/>
      </c>
      <c r="AA94" s="66" t="str">
        <f t="shared" si="177"/>
        <v/>
      </c>
      <c r="AB94" s="57" t="str">
        <f t="shared" si="16"/>
        <v/>
      </c>
      <c r="AC94" s="67" t="str">
        <f t="shared" si="178"/>
        <v/>
      </c>
      <c r="AD94" s="59" t="str">
        <f t="shared" si="179"/>
        <v/>
      </c>
      <c r="AE94" s="68" t="str">
        <f t="shared" si="180"/>
        <v/>
      </c>
      <c r="AF94" s="61" t="str">
        <f t="shared" si="181"/>
        <v/>
      </c>
      <c r="AG94" s="61" t="str">
        <f t="shared" si="182"/>
        <v/>
      </c>
      <c r="AH94" s="69" t="str">
        <f t="shared" si="183"/>
        <v/>
      </c>
      <c r="AI94" s="70" t="str">
        <f t="shared" si="23"/>
        <v/>
      </c>
      <c r="AJ94" s="64" t="str">
        <f t="shared" si="184"/>
        <v/>
      </c>
      <c r="AK94" s="64" t="str">
        <f t="shared" si="185"/>
        <v/>
      </c>
      <c r="AL94" s="64" t="str">
        <f t="shared" si="186"/>
        <v/>
      </c>
      <c r="AM94" s="64" t="str">
        <f t="shared" si="187"/>
        <v/>
      </c>
      <c r="AN94" s="64" t="str">
        <f t="shared" si="188"/>
        <v/>
      </c>
    </row>
    <row r="95" spans="1:40" ht="24.5" hidden="1" outlineLevel="1" thickTop="1" thickBot="1" x14ac:dyDescent="0.55000000000000004">
      <c r="C95" s="113"/>
      <c r="D95" s="112"/>
      <c r="E95" s="52"/>
      <c r="F95" s="53"/>
      <c r="G95" s="53"/>
      <c r="H95" s="52"/>
      <c r="I95" s="52"/>
      <c r="J95" s="54"/>
      <c r="K95" s="54"/>
      <c r="L95" s="55" t="str">
        <f t="shared" ref="L95" si="190">IF(C95="","",_xlfn.CONCAT("            { line: ","""",C95,", ",M95:AN95,""", sC: ","""",B95,"""},"))</f>
        <v/>
      </c>
      <c r="M95" s="56" t="str">
        <f t="shared" si="168"/>
        <v/>
      </c>
      <c r="N95" s="57" t="str">
        <f t="shared" ref="N95" si="191">IF(D95="","",D95)</f>
        <v/>
      </c>
      <c r="O95" s="58" t="str">
        <f t="shared" si="169"/>
        <v/>
      </c>
      <c r="P95" s="59" t="str">
        <f t="shared" ref="P95" si="192">IF(E95="","",E95)</f>
        <v/>
      </c>
      <c r="Q95" s="60" t="str">
        <f t="shared" si="170"/>
        <v/>
      </c>
      <c r="R95" s="61" t="str">
        <f t="shared" si="189"/>
        <v/>
      </c>
      <c r="S95" s="56" t="str">
        <f t="shared" si="171"/>
        <v/>
      </c>
      <c r="T95" s="62" t="str">
        <f t="shared" si="172"/>
        <v/>
      </c>
      <c r="U95" s="63" t="str">
        <f t="shared" ref="U95" si="193">IF(F95="","",F95)</f>
        <v/>
      </c>
      <c r="V95" s="64" t="str">
        <f t="shared" si="173"/>
        <v/>
      </c>
      <c r="W95" s="65" t="str">
        <f t="shared" ref="W95" si="194">IF(G95="","",G95)</f>
        <v/>
      </c>
      <c r="X95" s="64" t="str">
        <f t="shared" si="174"/>
        <v/>
      </c>
      <c r="Y95" s="64" t="str">
        <f t="shared" si="175"/>
        <v/>
      </c>
      <c r="Z95" s="56" t="str">
        <f t="shared" si="176"/>
        <v/>
      </c>
      <c r="AA95" s="66" t="str">
        <f t="shared" si="177"/>
        <v/>
      </c>
      <c r="AB95" s="57" t="str">
        <f t="shared" ref="AB95" si="195">IF(H95="","",H95)</f>
        <v/>
      </c>
      <c r="AC95" s="67" t="str">
        <f t="shared" si="178"/>
        <v/>
      </c>
      <c r="AD95" s="59" t="str">
        <f t="shared" si="179"/>
        <v/>
      </c>
      <c r="AE95" s="68" t="str">
        <f t="shared" si="180"/>
        <v/>
      </c>
      <c r="AF95" s="61" t="str">
        <f t="shared" si="181"/>
        <v/>
      </c>
      <c r="AG95" s="61" t="str">
        <f t="shared" si="182"/>
        <v/>
      </c>
      <c r="AH95" s="69" t="str">
        <f t="shared" si="183"/>
        <v/>
      </c>
      <c r="AI95" s="70" t="str">
        <f t="shared" ref="AI95" si="196">IF(J95="","",J95)</f>
        <v/>
      </c>
      <c r="AJ95" s="64" t="str">
        <f t="shared" si="184"/>
        <v/>
      </c>
      <c r="AK95" s="64" t="str">
        <f t="shared" si="185"/>
        <v/>
      </c>
      <c r="AL95" s="64" t="str">
        <f t="shared" si="186"/>
        <v/>
      </c>
      <c r="AM95" s="64" t="str">
        <f t="shared" si="187"/>
        <v/>
      </c>
      <c r="AN95" s="64" t="str">
        <f t="shared" si="188"/>
        <v/>
      </c>
    </row>
    <row r="96" spans="1:40" ht="24" customHeight="1" collapsed="1" thickTop="1" x14ac:dyDescent="0.6">
      <c r="A96" s="95"/>
      <c r="B96" s="95"/>
      <c r="C96" s="95"/>
      <c r="D96" s="95"/>
      <c r="E96" s="95"/>
      <c r="F96" s="95"/>
      <c r="G96" s="95"/>
      <c r="H96" s="95"/>
      <c r="I96" s="95"/>
      <c r="J96" s="95"/>
      <c r="K96" s="95"/>
      <c r="L96" s="99" t="str">
        <f ca="1">_xlfn.CONCAT("]}, // ULTIMA LINEA DEL CANTO: ",L1)</f>
        <v>]}, // ULTIMA LINEA DEL CANTO: A LA VÍCTIMA PASCUAL</v>
      </c>
      <c r="M96" s="95"/>
    </row>
    <row r="97" spans="1:40" ht="20.5" x14ac:dyDescent="0.35">
      <c r="L97" s="100" t="s">
        <v>1008</v>
      </c>
      <c r="M97" s="101"/>
    </row>
    <row r="98" spans="1:40" ht="15" hidden="1" outlineLevel="1" thickBot="1" x14ac:dyDescent="0.4">
      <c r="M98" s="101"/>
    </row>
    <row r="99" spans="1:40" ht="26.5" hidden="1" outlineLevel="1" thickTop="1" thickBot="1" x14ac:dyDescent="0.55000000000000004">
      <c r="A99" s="73"/>
      <c r="B99" s="73"/>
      <c r="C99" s="73"/>
      <c r="D99" s="74"/>
      <c r="E99" s="74"/>
      <c r="F99" s="74"/>
      <c r="G99" s="74"/>
      <c r="H99" s="74"/>
      <c r="I99" s="74"/>
      <c r="J99" s="74"/>
      <c r="K99" s="74"/>
      <c r="L99" s="75" t="s">
        <v>993</v>
      </c>
      <c r="M99" s="56"/>
      <c r="N99" s="57"/>
      <c r="O99" s="58"/>
      <c r="P99" s="59"/>
      <c r="Q99" s="60"/>
      <c r="R99" s="61" t="str">
        <f t="shared" ref="R99:R108" si="197">IF(N99="Do",10,IF(N99="Re",22,IF(N99="Mi",20,IF(N99="Fa",20,IF(N99="Sol",14,IF(N99="La",20,IF(N99="Si",20,IF(N99="Do#",14,IF(N99="Fa#",15,IF(N99="Sol#",20,IF(N99="Si♭",17,"")))))))))))</f>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ht="24.5" hidden="1" outlineLevel="1" thickTop="1" thickBot="1" x14ac:dyDescent="0.55000000000000004">
      <c r="C100" s="79" t="s">
        <v>995</v>
      </c>
      <c r="D100" s="80"/>
      <c r="E100" s="80"/>
      <c r="F100" s="80"/>
      <c r="G100" s="80"/>
      <c r="H100" s="80"/>
      <c r="I100" s="80"/>
      <c r="J100" s="80"/>
      <c r="K100" s="80"/>
      <c r="L100" s="81" t="s">
        <v>996</v>
      </c>
      <c r="M100" s="56" t="str">
        <f t="shared" ref="M100:M107" si="198">IF(N100="","","(")</f>
        <v/>
      </c>
      <c r="N100" s="57" t="str">
        <f t="shared" ref="N100:N107" si="199">IF(D100="","",D100)</f>
        <v/>
      </c>
      <c r="O100" s="58" t="str">
        <f t="shared" ref="O100:O107" si="200">IF(N100="","",",")</f>
        <v/>
      </c>
      <c r="P100" s="59" t="str">
        <f t="shared" ref="P100:P107" si="201">IF(E100="","",E100)</f>
        <v/>
      </c>
      <c r="Q100" s="60" t="str">
        <f t="shared" ref="Q100:Q107" si="202">IF(N100="","",",")</f>
        <v/>
      </c>
      <c r="R100" s="61" t="str">
        <f t="shared" si="197"/>
        <v/>
      </c>
      <c r="S100" s="56" t="str">
        <f t="shared" ref="S100:S107" si="203">IF(N100="","",")")</f>
        <v/>
      </c>
      <c r="T100" s="62" t="str">
        <f t="shared" ref="T100:T107" si="204">IF(U100="","","(")</f>
        <v/>
      </c>
      <c r="U100" s="63" t="str">
        <f t="shared" ref="U100:U107" si="205">IF(F100="","",F100)</f>
        <v/>
      </c>
      <c r="V100" s="64" t="str">
        <f t="shared" ref="V100:V107" si="206">IF(U100="","",",")</f>
        <v/>
      </c>
      <c r="W100" s="65" t="str">
        <f t="shared" ref="W100:W107" si="207">IF(G100="","",G100)</f>
        <v/>
      </c>
      <c r="X100" s="64" t="str">
        <f t="shared" ref="X100:X107" si="208">IF(U100="","",",")</f>
        <v/>
      </c>
      <c r="Y100" s="64" t="str">
        <f t="shared" ref="Y100:Y107" si="209">IF(U100="","",250)</f>
        <v/>
      </c>
      <c r="Z100" s="56" t="str">
        <f t="shared" ref="Z100:Z107" si="210">IF(U100="","",")")</f>
        <v/>
      </c>
      <c r="AA100" s="66" t="str">
        <f t="shared" ref="AA100:AA107" si="211">IF(AB100="","","(")</f>
        <v/>
      </c>
      <c r="AB100" s="57" t="str">
        <f t="shared" ref="AB100:AB107" si="212">IF(H100="","",H100)</f>
        <v/>
      </c>
      <c r="AC100" s="67" t="str">
        <f t="shared" ref="AC100:AC107" si="213">IF(AB100="","",",")</f>
        <v/>
      </c>
      <c r="AD100" s="59" t="str">
        <f t="shared" ref="AD100:AD107" si="214">IF(I100="","",I100)</f>
        <v/>
      </c>
      <c r="AE100" s="68" t="str">
        <f t="shared" ref="AE100:AE107" si="215">IF(AB100="","",",")</f>
        <v/>
      </c>
      <c r="AF100" s="61" t="str">
        <f t="shared" ref="AF100:AF107" si="216">IF(AB100="","",350)</f>
        <v/>
      </c>
      <c r="AG100" s="61" t="str">
        <f t="shared" ref="AG100:AG107" si="217">IF(AB100="","",")")</f>
        <v/>
      </c>
      <c r="AH100" s="69" t="str">
        <f t="shared" ref="AH100:AH107" si="218">IF(AI100="","","(")</f>
        <v/>
      </c>
      <c r="AI100" s="70" t="str">
        <f t="shared" ref="AI100:AI107" si="219">IF(J100="","",J100)</f>
        <v/>
      </c>
      <c r="AJ100" s="64" t="str">
        <f t="shared" ref="AJ100:AJ107" si="220">IF(AI100="","",",")</f>
        <v/>
      </c>
      <c r="AK100" s="64" t="str">
        <f t="shared" ref="AK100:AK107" si="221">IF(K100="","",K100)</f>
        <v/>
      </c>
      <c r="AL100" s="64" t="str">
        <f t="shared" ref="AL100:AL107" si="222">IF(AI100="","",",")</f>
        <v/>
      </c>
      <c r="AM100" s="64" t="str">
        <f t="shared" ref="AM100:AM107" si="223">IF(AI100="","",450)</f>
        <v/>
      </c>
      <c r="AN100" s="64" t="str">
        <f t="shared" ref="AN100:AN107" si="224">IF(AI100="","",")")</f>
        <v/>
      </c>
    </row>
    <row r="101" spans="1:40" ht="24.5" hidden="1" outlineLevel="1" thickTop="1" thickBot="1" x14ac:dyDescent="0.55000000000000004">
      <c r="B101" t="s">
        <v>997</v>
      </c>
      <c r="C101" s="82" t="s">
        <v>998</v>
      </c>
      <c r="D101" s="83"/>
      <c r="E101" s="83"/>
      <c r="F101" s="83"/>
      <c r="G101" s="83"/>
      <c r="H101" s="83"/>
      <c r="I101" s="83"/>
      <c r="J101" s="83"/>
      <c r="K101" s="83"/>
      <c r="L101" s="84" t="str">
        <f>IF(C101="","",_xlfn.CONCAT("       triggerLine: ","""",C101,", ",M101:AN101,""", sC: ","""",B101,""", lines: ["))</f>
        <v xml:space="preserve">       triggerLine: "ASAMBLEA UNO, ", sC: "ta as", lines: [</v>
      </c>
      <c r="M101" s="56" t="str">
        <f t="shared" si="198"/>
        <v/>
      </c>
      <c r="N101" s="57" t="str">
        <f t="shared" si="199"/>
        <v/>
      </c>
      <c r="O101" s="58" t="str">
        <f t="shared" si="200"/>
        <v/>
      </c>
      <c r="P101" s="59" t="str">
        <f t="shared" si="201"/>
        <v/>
      </c>
      <c r="Q101" s="60" t="str">
        <f t="shared" si="202"/>
        <v/>
      </c>
      <c r="R101" s="61" t="str">
        <f t="shared" si="197"/>
        <v/>
      </c>
      <c r="S101" s="56" t="str">
        <f t="shared" si="203"/>
        <v/>
      </c>
      <c r="T101" s="62" t="str">
        <f t="shared" si="204"/>
        <v/>
      </c>
      <c r="U101" s="63" t="str">
        <f t="shared" si="205"/>
        <v/>
      </c>
      <c r="V101" s="64" t="str">
        <f t="shared" si="206"/>
        <v/>
      </c>
      <c r="W101" s="65" t="str">
        <f t="shared" si="207"/>
        <v/>
      </c>
      <c r="X101" s="64" t="str">
        <f t="shared" si="208"/>
        <v/>
      </c>
      <c r="Y101" s="64" t="str">
        <f t="shared" si="209"/>
        <v/>
      </c>
      <c r="Z101" s="56" t="str">
        <f t="shared" si="210"/>
        <v/>
      </c>
      <c r="AA101" s="66" t="str">
        <f t="shared" si="211"/>
        <v/>
      </c>
      <c r="AB101" s="57" t="str">
        <f t="shared" si="212"/>
        <v/>
      </c>
      <c r="AC101" s="67" t="str">
        <f t="shared" si="213"/>
        <v/>
      </c>
      <c r="AD101" s="59" t="str">
        <f t="shared" si="214"/>
        <v/>
      </c>
      <c r="AE101" s="68" t="str">
        <f t="shared" si="215"/>
        <v/>
      </c>
      <c r="AF101" s="61" t="str">
        <f t="shared" si="216"/>
        <v/>
      </c>
      <c r="AG101" s="61" t="str">
        <f t="shared" si="217"/>
        <v/>
      </c>
      <c r="AH101" s="69" t="str">
        <f t="shared" si="218"/>
        <v/>
      </c>
      <c r="AI101" s="70" t="str">
        <f t="shared" si="219"/>
        <v/>
      </c>
      <c r="AJ101" s="64" t="str">
        <f t="shared" si="220"/>
        <v/>
      </c>
      <c r="AK101" s="64" t="str">
        <f t="shared" si="221"/>
        <v/>
      </c>
      <c r="AL101" s="64" t="str">
        <f t="shared" si="222"/>
        <v/>
      </c>
      <c r="AM101" s="64" t="str">
        <f t="shared" si="223"/>
        <v/>
      </c>
      <c r="AN101" s="64" t="str">
        <f t="shared" si="224"/>
        <v/>
      </c>
    </row>
    <row r="102" spans="1:40" ht="24.5" hidden="1" outlineLevel="1" thickTop="1" thickBot="1" x14ac:dyDescent="0.55000000000000004">
      <c r="B102" t="s">
        <v>999</v>
      </c>
      <c r="C102" s="85" t="s">
        <v>1000</v>
      </c>
      <c r="D102" s="86"/>
      <c r="E102" s="86"/>
      <c r="F102" s="86"/>
      <c r="G102" s="86"/>
      <c r="H102" s="87"/>
      <c r="I102" s="87"/>
      <c r="J102" s="87"/>
      <c r="K102" s="87"/>
      <c r="L102" s="88" t="str">
        <f>IF(C102="","",_xlfn.CONCAT("            { line: ","""",C102,", ",M102:AN102,""", sC: ","""",B102,"""},"))</f>
        <v xml:space="preserve">            { line: "ASAMBLEA DOS, ", sC: "as"},</v>
      </c>
      <c r="M102" s="56" t="str">
        <f t="shared" si="198"/>
        <v/>
      </c>
      <c r="N102" s="57" t="str">
        <f t="shared" si="199"/>
        <v/>
      </c>
      <c r="O102" s="58" t="str">
        <f t="shared" si="200"/>
        <v/>
      </c>
      <c r="P102" s="59" t="str">
        <f t="shared" si="201"/>
        <v/>
      </c>
      <c r="Q102" s="60" t="str">
        <f t="shared" si="202"/>
        <v/>
      </c>
      <c r="R102" s="61" t="str">
        <f t="shared" si="197"/>
        <v/>
      </c>
      <c r="S102" s="56" t="str">
        <f t="shared" si="203"/>
        <v/>
      </c>
      <c r="T102" s="62" t="str">
        <f t="shared" si="204"/>
        <v/>
      </c>
      <c r="U102" s="63" t="str">
        <f t="shared" si="205"/>
        <v/>
      </c>
      <c r="V102" s="64" t="str">
        <f t="shared" si="206"/>
        <v/>
      </c>
      <c r="W102" s="65" t="str">
        <f t="shared" si="207"/>
        <v/>
      </c>
      <c r="X102" s="64" t="str">
        <f t="shared" si="208"/>
        <v/>
      </c>
      <c r="Y102" s="64" t="str">
        <f t="shared" si="209"/>
        <v/>
      </c>
      <c r="Z102" s="56" t="str">
        <f t="shared" si="210"/>
        <v/>
      </c>
      <c r="AA102" s="66" t="str">
        <f t="shared" si="211"/>
        <v/>
      </c>
      <c r="AB102" s="57" t="str">
        <f t="shared" si="212"/>
        <v/>
      </c>
      <c r="AC102" s="67" t="str">
        <f t="shared" si="213"/>
        <v/>
      </c>
      <c r="AD102" s="59" t="str">
        <f t="shared" si="214"/>
        <v/>
      </c>
      <c r="AE102" s="68" t="str">
        <f t="shared" si="215"/>
        <v/>
      </c>
      <c r="AF102" s="61" t="str">
        <f t="shared" si="216"/>
        <v/>
      </c>
      <c r="AG102" s="61" t="str">
        <f t="shared" si="217"/>
        <v/>
      </c>
      <c r="AH102" s="69" t="str">
        <f t="shared" si="218"/>
        <v/>
      </c>
      <c r="AI102" s="70" t="str">
        <f t="shared" si="219"/>
        <v/>
      </c>
      <c r="AJ102" s="64" t="str">
        <f t="shared" si="220"/>
        <v/>
      </c>
      <c r="AK102" s="64" t="str">
        <f t="shared" si="221"/>
        <v/>
      </c>
      <c r="AL102" s="64" t="str">
        <f t="shared" si="222"/>
        <v/>
      </c>
      <c r="AM102" s="64" t="str">
        <f t="shared" si="223"/>
        <v/>
      </c>
      <c r="AN102" s="64" t="str">
        <f t="shared" si="224"/>
        <v/>
      </c>
    </row>
    <row r="103" spans="1:40" ht="24.5" hidden="1" outlineLevel="1" thickTop="1" thickBot="1" x14ac:dyDescent="0.55000000000000004">
      <c r="B103" t="s">
        <v>999</v>
      </c>
      <c r="C103" s="85" t="s">
        <v>1001</v>
      </c>
      <c r="D103" s="89"/>
      <c r="E103" s="89"/>
      <c r="F103" s="89"/>
      <c r="G103" s="89"/>
      <c r="H103" s="90"/>
      <c r="I103" s="90"/>
      <c r="J103" s="90"/>
      <c r="K103" s="90"/>
      <c r="L103" s="88" t="str">
        <f>IF(C103="","",_xlfn.CONCAT("            { line: ","""",C103,", ",M103:AN103,""", sC: ","""",B103,"""},"))</f>
        <v xml:space="preserve">            { line: "ASAMBLEA TRES, ", sC: "as"},</v>
      </c>
      <c r="M103" s="56" t="str">
        <f t="shared" si="198"/>
        <v/>
      </c>
      <c r="N103" s="57" t="str">
        <f t="shared" si="199"/>
        <v/>
      </c>
      <c r="O103" s="58" t="str">
        <f t="shared" si="200"/>
        <v/>
      </c>
      <c r="P103" s="59" t="str">
        <f t="shared" si="201"/>
        <v/>
      </c>
      <c r="Q103" s="60" t="str">
        <f t="shared" si="202"/>
        <v/>
      </c>
      <c r="R103" s="61" t="str">
        <f t="shared" si="197"/>
        <v/>
      </c>
      <c r="S103" s="56" t="str">
        <f t="shared" si="203"/>
        <v/>
      </c>
      <c r="T103" s="62" t="str">
        <f t="shared" si="204"/>
        <v/>
      </c>
      <c r="U103" s="63" t="str">
        <f t="shared" si="205"/>
        <v/>
      </c>
      <c r="V103" s="64" t="str">
        <f t="shared" si="206"/>
        <v/>
      </c>
      <c r="W103" s="65" t="str">
        <f t="shared" si="207"/>
        <v/>
      </c>
      <c r="X103" s="64" t="str">
        <f t="shared" si="208"/>
        <v/>
      </c>
      <c r="Y103" s="64" t="str">
        <f t="shared" si="209"/>
        <v/>
      </c>
      <c r="Z103" s="56" t="str">
        <f t="shared" si="210"/>
        <v/>
      </c>
      <c r="AA103" s="66" t="str">
        <f t="shared" si="211"/>
        <v/>
      </c>
      <c r="AB103" s="57" t="str">
        <f t="shared" si="212"/>
        <v/>
      </c>
      <c r="AC103" s="67" t="str">
        <f t="shared" si="213"/>
        <v/>
      </c>
      <c r="AD103" s="59" t="str">
        <f t="shared" si="214"/>
        <v/>
      </c>
      <c r="AE103" s="68" t="str">
        <f t="shared" si="215"/>
        <v/>
      </c>
      <c r="AF103" s="61" t="str">
        <f t="shared" si="216"/>
        <v/>
      </c>
      <c r="AG103" s="61" t="str">
        <f t="shared" si="217"/>
        <v/>
      </c>
      <c r="AH103" s="69" t="str">
        <f t="shared" si="218"/>
        <v/>
      </c>
      <c r="AI103" s="70" t="str">
        <f t="shared" si="219"/>
        <v/>
      </c>
      <c r="AJ103" s="64" t="str">
        <f t="shared" si="220"/>
        <v/>
      </c>
      <c r="AK103" s="64" t="str">
        <f t="shared" si="221"/>
        <v/>
      </c>
      <c r="AL103" s="64" t="str">
        <f t="shared" si="222"/>
        <v/>
      </c>
      <c r="AM103" s="64" t="str">
        <f t="shared" si="223"/>
        <v/>
      </c>
      <c r="AN103" s="64" t="str">
        <f t="shared" si="224"/>
        <v/>
      </c>
    </row>
    <row r="104" spans="1:40" ht="24.5" hidden="1" outlineLevel="1" thickTop="1" thickBot="1" x14ac:dyDescent="0.55000000000000004">
      <c r="B104" t="s">
        <v>999</v>
      </c>
      <c r="C104" s="85" t="s">
        <v>1002</v>
      </c>
      <c r="D104" s="86"/>
      <c r="E104" s="86"/>
      <c r="F104" s="86"/>
      <c r="G104" s="86"/>
      <c r="H104" s="87"/>
      <c r="I104" s="87"/>
      <c r="J104" s="87"/>
      <c r="K104" s="87"/>
      <c r="L104" s="88" t="str">
        <f>IF(C104="","",_xlfn.CONCAT("            { line: ","""",C104,", ",M104:AN104,""", sC: ","""",B104,"""},"))</f>
        <v xml:space="preserve">            { line: "ASAMBLEA CUATRO, ", sC: "as"},</v>
      </c>
      <c r="M104" s="56" t="str">
        <f t="shared" si="198"/>
        <v/>
      </c>
      <c r="N104" s="57" t="str">
        <f t="shared" si="199"/>
        <v/>
      </c>
      <c r="O104" s="58" t="str">
        <f t="shared" si="200"/>
        <v/>
      </c>
      <c r="P104" s="59" t="str">
        <f t="shared" si="201"/>
        <v/>
      </c>
      <c r="Q104" s="60" t="str">
        <f t="shared" si="202"/>
        <v/>
      </c>
      <c r="R104" s="61" t="str">
        <f t="shared" si="197"/>
        <v/>
      </c>
      <c r="S104" s="56" t="str">
        <f t="shared" si="203"/>
        <v/>
      </c>
      <c r="T104" s="62" t="str">
        <f t="shared" si="204"/>
        <v/>
      </c>
      <c r="U104" s="63" t="str">
        <f t="shared" si="205"/>
        <v/>
      </c>
      <c r="V104" s="64" t="str">
        <f t="shared" si="206"/>
        <v/>
      </c>
      <c r="W104" s="65" t="str">
        <f t="shared" si="207"/>
        <v/>
      </c>
      <c r="X104" s="64" t="str">
        <f t="shared" si="208"/>
        <v/>
      </c>
      <c r="Y104" s="64" t="str">
        <f t="shared" si="209"/>
        <v/>
      </c>
      <c r="Z104" s="56" t="str">
        <f t="shared" si="210"/>
        <v/>
      </c>
      <c r="AA104" s="66" t="str">
        <f t="shared" si="211"/>
        <v/>
      </c>
      <c r="AB104" s="57" t="str">
        <f t="shared" si="212"/>
        <v/>
      </c>
      <c r="AC104" s="67" t="str">
        <f t="shared" si="213"/>
        <v/>
      </c>
      <c r="AD104" s="59" t="str">
        <f t="shared" si="214"/>
        <v/>
      </c>
      <c r="AE104" s="68" t="str">
        <f t="shared" si="215"/>
        <v/>
      </c>
      <c r="AF104" s="61" t="str">
        <f t="shared" si="216"/>
        <v/>
      </c>
      <c r="AG104" s="61" t="str">
        <f t="shared" si="217"/>
        <v/>
      </c>
      <c r="AH104" s="69" t="str">
        <f t="shared" si="218"/>
        <v/>
      </c>
      <c r="AI104" s="70" t="str">
        <f t="shared" si="219"/>
        <v/>
      </c>
      <c r="AJ104" s="64" t="str">
        <f t="shared" si="220"/>
        <v/>
      </c>
      <c r="AK104" s="64" t="str">
        <f t="shared" si="221"/>
        <v/>
      </c>
      <c r="AL104" s="64" t="str">
        <f t="shared" si="222"/>
        <v/>
      </c>
      <c r="AM104" s="64" t="str">
        <f t="shared" si="223"/>
        <v/>
      </c>
      <c r="AN104" s="64" t="str">
        <f t="shared" si="224"/>
        <v/>
      </c>
    </row>
    <row r="105" spans="1:40" ht="24.5" hidden="1" outlineLevel="1" thickTop="1" thickBot="1" x14ac:dyDescent="0.55000000000000004">
      <c r="B105" t="s">
        <v>999</v>
      </c>
      <c r="C105" s="85" t="s">
        <v>1003</v>
      </c>
      <c r="D105" s="89"/>
      <c r="E105" s="89"/>
      <c r="F105" s="89"/>
      <c r="G105" s="89"/>
      <c r="H105" s="90"/>
      <c r="I105" s="90"/>
      <c r="J105" s="90"/>
      <c r="K105" s="90"/>
      <c r="L105" s="88" t="str">
        <f>IF(C105="","",_xlfn.CONCAT("            { line: ","""",C105,", ",M105:AN105,""", sC: ","""",B105,"""},"))</f>
        <v xml:space="preserve">            { line: "ASAMBLEA CISCO, ", sC: "as"},</v>
      </c>
      <c r="M105" s="56" t="str">
        <f t="shared" si="198"/>
        <v/>
      </c>
      <c r="N105" s="57" t="str">
        <f t="shared" si="199"/>
        <v/>
      </c>
      <c r="O105" s="58" t="str">
        <f t="shared" si="200"/>
        <v/>
      </c>
      <c r="P105" s="59" t="str">
        <f t="shared" si="201"/>
        <v/>
      </c>
      <c r="Q105" s="60" t="str">
        <f t="shared" si="202"/>
        <v/>
      </c>
      <c r="R105" s="61" t="str">
        <f t="shared" si="197"/>
        <v/>
      </c>
      <c r="S105" s="56" t="str">
        <f t="shared" si="203"/>
        <v/>
      </c>
      <c r="T105" s="62" t="str">
        <f t="shared" si="204"/>
        <v/>
      </c>
      <c r="U105" s="63" t="str">
        <f t="shared" si="205"/>
        <v/>
      </c>
      <c r="V105" s="64" t="str">
        <f t="shared" si="206"/>
        <v/>
      </c>
      <c r="W105" s="65" t="str">
        <f t="shared" si="207"/>
        <v/>
      </c>
      <c r="X105" s="64" t="str">
        <f t="shared" si="208"/>
        <v/>
      </c>
      <c r="Y105" s="64" t="str">
        <f t="shared" si="209"/>
        <v/>
      </c>
      <c r="Z105" s="56" t="str">
        <f t="shared" si="210"/>
        <v/>
      </c>
      <c r="AA105" s="66" t="str">
        <f t="shared" si="211"/>
        <v/>
      </c>
      <c r="AB105" s="57" t="str">
        <f t="shared" si="212"/>
        <v/>
      </c>
      <c r="AC105" s="67" t="str">
        <f t="shared" si="213"/>
        <v/>
      </c>
      <c r="AD105" s="59" t="str">
        <f t="shared" si="214"/>
        <v/>
      </c>
      <c r="AE105" s="68" t="str">
        <f t="shared" si="215"/>
        <v/>
      </c>
      <c r="AF105" s="61" t="str">
        <f t="shared" si="216"/>
        <v/>
      </c>
      <c r="AG105" s="61" t="str">
        <f t="shared" si="217"/>
        <v/>
      </c>
      <c r="AH105" s="69" t="str">
        <f t="shared" si="218"/>
        <v/>
      </c>
      <c r="AI105" s="70" t="str">
        <f t="shared" si="219"/>
        <v/>
      </c>
      <c r="AJ105" s="64" t="str">
        <f t="shared" si="220"/>
        <v/>
      </c>
      <c r="AK105" s="64" t="str">
        <f t="shared" si="221"/>
        <v/>
      </c>
      <c r="AL105" s="64" t="str">
        <f t="shared" si="222"/>
        <v/>
      </c>
      <c r="AM105" s="64" t="str">
        <f t="shared" si="223"/>
        <v/>
      </c>
      <c r="AN105" s="64" t="str">
        <f t="shared" si="224"/>
        <v/>
      </c>
    </row>
    <row r="106" spans="1:40" ht="24.5" hidden="1" outlineLevel="1" thickTop="1" thickBot="1" x14ac:dyDescent="0.55000000000000004">
      <c r="B106" t="s">
        <v>999</v>
      </c>
      <c r="C106" s="85" t="s">
        <v>1004</v>
      </c>
      <c r="D106" s="91"/>
      <c r="E106" s="91"/>
      <c r="F106" s="91"/>
      <c r="G106" s="91"/>
      <c r="H106" s="92"/>
      <c r="I106" s="92"/>
      <c r="J106" s="92"/>
      <c r="K106" s="92"/>
      <c r="L106" s="88" t="str">
        <f>IF(C106="","",_xlfn.CONCAT("            { line: ","""",C106,", ",M106:AN106,""", sC: ","""",B106,"""},"))</f>
        <v xml:space="preserve">            { line: "ASAMBLEA SEIS, ", sC: "as"},</v>
      </c>
      <c r="M106" s="56" t="str">
        <f t="shared" si="198"/>
        <v/>
      </c>
      <c r="N106" s="57" t="str">
        <f t="shared" si="199"/>
        <v/>
      </c>
      <c r="O106" s="58" t="str">
        <f t="shared" si="200"/>
        <v/>
      </c>
      <c r="P106" s="59" t="str">
        <f t="shared" si="201"/>
        <v/>
      </c>
      <c r="Q106" s="60" t="str">
        <f t="shared" si="202"/>
        <v/>
      </c>
      <c r="R106" s="61" t="str">
        <f t="shared" si="197"/>
        <v/>
      </c>
      <c r="S106" s="56" t="str">
        <f t="shared" si="203"/>
        <v/>
      </c>
      <c r="T106" s="62" t="str">
        <f t="shared" si="204"/>
        <v/>
      </c>
      <c r="U106" s="63" t="str">
        <f t="shared" si="205"/>
        <v/>
      </c>
      <c r="V106" s="64" t="str">
        <f t="shared" si="206"/>
        <v/>
      </c>
      <c r="W106" s="65" t="str">
        <f t="shared" si="207"/>
        <v/>
      </c>
      <c r="X106" s="64" t="str">
        <f t="shared" si="208"/>
        <v/>
      </c>
      <c r="Y106" s="64" t="str">
        <f t="shared" si="209"/>
        <v/>
      </c>
      <c r="Z106" s="56" t="str">
        <f t="shared" si="210"/>
        <v/>
      </c>
      <c r="AA106" s="66" t="str">
        <f t="shared" si="211"/>
        <v/>
      </c>
      <c r="AB106" s="57" t="str">
        <f t="shared" si="212"/>
        <v/>
      </c>
      <c r="AC106" s="67" t="str">
        <f t="shared" si="213"/>
        <v/>
      </c>
      <c r="AD106" s="59" t="str">
        <f t="shared" si="214"/>
        <v/>
      </c>
      <c r="AE106" s="68" t="str">
        <f t="shared" si="215"/>
        <v/>
      </c>
      <c r="AF106" s="61" t="str">
        <f t="shared" si="216"/>
        <v/>
      </c>
      <c r="AG106" s="61" t="str">
        <f t="shared" si="217"/>
        <v/>
      </c>
      <c r="AH106" s="69" t="str">
        <f t="shared" si="218"/>
        <v/>
      </c>
      <c r="AI106" s="70" t="str">
        <f t="shared" si="219"/>
        <v/>
      </c>
      <c r="AJ106" s="64" t="str">
        <f t="shared" si="220"/>
        <v/>
      </c>
      <c r="AK106" s="64" t="str">
        <f t="shared" si="221"/>
        <v/>
      </c>
      <c r="AL106" s="64" t="str">
        <f t="shared" si="222"/>
        <v/>
      </c>
      <c r="AM106" s="64" t="str">
        <f t="shared" si="223"/>
        <v/>
      </c>
      <c r="AN106" s="64" t="str">
        <f t="shared" si="224"/>
        <v/>
      </c>
    </row>
    <row r="107" spans="1:40" ht="24.5" hidden="1" outlineLevel="1" thickTop="1" thickBot="1" x14ac:dyDescent="0.55000000000000004">
      <c r="B107" t="s">
        <v>999</v>
      </c>
      <c r="C107" s="93" t="s">
        <v>1005</v>
      </c>
      <c r="D107" s="83"/>
      <c r="E107" s="83"/>
      <c r="F107" s="83"/>
      <c r="G107" s="83"/>
      <c r="H107" s="83"/>
      <c r="I107" s="83"/>
      <c r="J107" s="83"/>
      <c r="K107" s="83"/>
      <c r="L107" s="94" t="str">
        <f>IF(C107="","",_xlfn.CONCAT("            { line: ","""",C107,", ",M107:AN107,""", sC: ","""",B107,"""},  ]},"))</f>
        <v xml:space="preserve">            { line: "ASAMBLEA CIERRE, ", sC: "as"},  ]},</v>
      </c>
      <c r="M107" s="56" t="str">
        <f t="shared" si="198"/>
        <v/>
      </c>
      <c r="N107" s="57" t="str">
        <f t="shared" si="199"/>
        <v/>
      </c>
      <c r="O107" s="58" t="str">
        <f t="shared" si="200"/>
        <v/>
      </c>
      <c r="P107" s="59" t="str">
        <f t="shared" si="201"/>
        <v/>
      </c>
      <c r="Q107" s="60" t="str">
        <f t="shared" si="202"/>
        <v/>
      </c>
      <c r="R107" s="61" t="str">
        <f t="shared" si="197"/>
        <v/>
      </c>
      <c r="S107" s="56" t="str">
        <f t="shared" si="203"/>
        <v/>
      </c>
      <c r="T107" s="62" t="str">
        <f t="shared" si="204"/>
        <v/>
      </c>
      <c r="U107" s="63" t="str">
        <f t="shared" si="205"/>
        <v/>
      </c>
      <c r="V107" s="64" t="str">
        <f t="shared" si="206"/>
        <v/>
      </c>
      <c r="W107" s="65" t="str">
        <f t="shared" si="207"/>
        <v/>
      </c>
      <c r="X107" s="64" t="str">
        <f t="shared" si="208"/>
        <v/>
      </c>
      <c r="Y107" s="64" t="str">
        <f t="shared" si="209"/>
        <v/>
      </c>
      <c r="Z107" s="56" t="str">
        <f t="shared" si="210"/>
        <v/>
      </c>
      <c r="AA107" s="66" t="str">
        <f t="shared" si="211"/>
        <v/>
      </c>
      <c r="AB107" s="57" t="str">
        <f t="shared" si="212"/>
        <v/>
      </c>
      <c r="AC107" s="67" t="str">
        <f t="shared" si="213"/>
        <v/>
      </c>
      <c r="AD107" s="59" t="str">
        <f t="shared" si="214"/>
        <v/>
      </c>
      <c r="AE107" s="68" t="str">
        <f t="shared" si="215"/>
        <v/>
      </c>
      <c r="AF107" s="61" t="str">
        <f t="shared" si="216"/>
        <v/>
      </c>
      <c r="AG107" s="61" t="str">
        <f t="shared" si="217"/>
        <v/>
      </c>
      <c r="AH107" s="69" t="str">
        <f t="shared" si="218"/>
        <v/>
      </c>
      <c r="AI107" s="70" t="str">
        <f t="shared" si="219"/>
        <v/>
      </c>
      <c r="AJ107" s="64" t="str">
        <f t="shared" si="220"/>
        <v/>
      </c>
      <c r="AK107" s="64" t="str">
        <f t="shared" si="221"/>
        <v/>
      </c>
      <c r="AL107" s="64" t="str">
        <f t="shared" si="222"/>
        <v/>
      </c>
      <c r="AM107" s="64" t="str">
        <f t="shared" si="223"/>
        <v/>
      </c>
      <c r="AN107" s="64" t="str">
        <f t="shared" si="224"/>
        <v/>
      </c>
    </row>
    <row r="108" spans="1:40" ht="26.5" hidden="1" outlineLevel="1" thickTop="1" thickBot="1" x14ac:dyDescent="0.55000000000000004">
      <c r="A108" s="73"/>
      <c r="B108" s="73"/>
      <c r="C108" s="73"/>
      <c r="D108" s="74"/>
      <c r="E108" s="74"/>
      <c r="F108" s="74"/>
      <c r="G108" s="74"/>
      <c r="H108" s="74"/>
      <c r="I108" s="74"/>
      <c r="J108" s="74"/>
      <c r="K108" s="74"/>
      <c r="L108" s="75" t="s">
        <v>993</v>
      </c>
      <c r="M108" s="56"/>
      <c r="N108" s="57"/>
      <c r="O108" s="58"/>
      <c r="P108" s="59"/>
      <c r="Q108" s="60"/>
      <c r="R108" s="61" t="str">
        <f t="shared" si="197"/>
        <v/>
      </c>
      <c r="S108" s="56"/>
      <c r="T108" s="62"/>
      <c r="U108" s="63"/>
      <c r="V108" s="64"/>
      <c r="W108" s="65"/>
      <c r="X108" s="64"/>
      <c r="Y108" s="64"/>
      <c r="Z108" s="56"/>
      <c r="AA108" s="66"/>
      <c r="AB108" s="57"/>
      <c r="AC108" s="67"/>
      <c r="AD108" s="59"/>
      <c r="AE108" s="68"/>
      <c r="AF108" s="61"/>
      <c r="AG108" s="61"/>
      <c r="AH108" s="69"/>
      <c r="AI108" s="70"/>
      <c r="AJ108" s="64"/>
      <c r="AK108" s="64"/>
      <c r="AL108" s="64"/>
      <c r="AM108" s="64"/>
      <c r="AN108" s="64"/>
    </row>
    <row r="10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119</v>
      </c>
      <c r="E1" s="40"/>
      <c r="F1" s="40"/>
      <c r="G1" s="40"/>
      <c r="H1" s="40"/>
      <c r="I1" s="40"/>
      <c r="J1" s="40"/>
      <c r="K1" s="40"/>
      <c r="L1" s="41" t="str">
        <f>VLOOKUP(C1,'[1]Codigo Canto'!A3:AQ236,38,FALSE)</f>
        <v>MUCHO ME HAN PERSEGUIDO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MUCHO ME HAN PERSEGUIDO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_xlfn.CONCAT("        id: ","""",C7,"""",",")</f>
        <v xml:space="preserve">        id: "muchomehanperseguido",</v>
      </c>
    </row>
    <row r="8" spans="2:32" ht="23" x14ac:dyDescent="0.35">
      <c r="C8" t="str">
        <f>PROPER(L1)</f>
        <v>Mucho Me Han Perseguido</v>
      </c>
      <c r="L8" s="48" t="str">
        <f>_xlfn.CONCAT("        tt: ","""",C8,"""",",")</f>
        <v xml:space="preserve">        tt: "Mucho Me Han Perseguido",</v>
      </c>
    </row>
    <row r="9" spans="2:32" ht="23" x14ac:dyDescent="0.35">
      <c r="C9" t="str">
        <f>PROPER(L1)</f>
        <v>Mucho Me Han Perseguido</v>
      </c>
      <c r="L9" s="48" t="str">
        <f>_xlfn.CONCAT("        title: ","""",C9,"""",",")</f>
        <v xml:space="preserve">        title: "Mucho Me Han Perseguido",</v>
      </c>
    </row>
    <row r="10" spans="2:32" ht="23" x14ac:dyDescent="0.35">
      <c r="C10" t="str">
        <f>VLOOKUP(C1,'[1]Codigo Canto'!A3:AQ236,12,FALSE)</f>
        <v>Sal 129 (128)</v>
      </c>
      <c r="L10" s="48" t="str">
        <f>_xlfn.CONCAT("        ","subtitle: ","""",C10,"""",",")</f>
        <v xml:space="preserve">        subtitle: "Sal 129 (128)",</v>
      </c>
    </row>
    <row r="11" spans="2:32" ht="23" x14ac:dyDescent="0.35">
      <c r="C11" t="str">
        <f>_xlfn.CONCAT("category: [",VLOOKUP(C1,Table223[],16,FALSE),"],")</f>
        <v>category: ["Precatecumenado","Antiguo Testamento"],</v>
      </c>
      <c r="L11" s="48" t="str">
        <f>_xlfn.CONCAT("        ",C11)</f>
        <v xml:space="preserve">        category: ["Precatecumenado","Antiguo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119</v>
      </c>
      <c r="L16" s="48" t="str">
        <f>_xlfn.CONCAT("        dbno: ","""",C16,"""",",")</f>
        <v xml:space="preserve">        dbno: "119",</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muchomehanperseguido</v>
      </c>
      <c r="L19" s="48" t="str">
        <f>_xlfn.CONCAT("        audioSrc: ","""/audio/",C19,".mp3""",",")</f>
        <v xml:space="preserve">        audioSrc: "/audio/muchomehanperseguido.mp3",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118</v>
      </c>
      <c r="C26" t="str">
        <f>VLOOKUP(B26,[1]Buscador!A3:AP240,31,FALSE)</f>
        <v>/resucito/src/index.html?canto=misericordiamiamisericordia</v>
      </c>
      <c r="L26" s="48" t="str">
        <f>_xlfn.CONCAT("        ant: ","""",C26,"""",",")</f>
        <v xml:space="preserve">        ant: "/resucito/src/index.html?canto=misericordiamiamisericordia",</v>
      </c>
    </row>
    <row r="27" spans="2:40" ht="23" x14ac:dyDescent="0.35">
      <c r="B27">
        <f>+C1+1</f>
        <v>120</v>
      </c>
      <c r="C27" t="str">
        <f>VLOOKUP(B27,[1]Buscador!A3:AP240,31,FALSE)</f>
        <v>/resucito/src/index.html?canto=noestaaquiresucito</v>
      </c>
      <c r="L27" s="48" t="str">
        <f>_xlfn.CONCAT("        sig: ","""",C27,"""",",")</f>
        <v xml:space="preserve">        sig: "/resucito/src/index.html?canto=noestaaquiresucito",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MUCHO ME HAN PERSEGUIDO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0012F-1DC7-45E2-8125-03B2F085FCF9}">
  <sheetPr codeName="Sheet69">
    <tabColor rgb="FF00B0F0"/>
  </sheetPr>
  <dimension ref="A1:AN104"/>
  <sheetViews>
    <sheetView tabSelected="1" zoomScale="85" zoomScaleNormal="85" workbookViewId="0">
      <pane xSplit="2" ySplit="1" topLeftCell="C44" activePane="bottomRight" state="frozen"/>
      <selection activeCell="B72" sqref="B72"/>
      <selection pane="topRight" activeCell="B72" sqref="B72"/>
      <selection pane="bottomLeft" activeCell="B72" sqref="B72"/>
      <selection pane="bottomRight" activeCell="C51" sqref="C5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ESTÁ AQUÍ, RESUCITÓ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 x14ac:dyDescent="0.35">
      <c r="C8" t="str">
        <f ca="1">PROPER(L1)</f>
        <v>No Está Aquí, Resucitó</v>
      </c>
      <c r="L8" s="48" t="str">
        <f ca="1">_xlfn.CONCAT("        tt: ","""",C8,"""",",")</f>
        <v xml:space="preserve">        tt: "No Está Aquí, Resucitó",</v>
      </c>
    </row>
    <row r="9" spans="2:32" ht="23" x14ac:dyDescent="0.35">
      <c r="C9" t="str">
        <f ca="1">PROPER(L1)</f>
        <v>No Está Aquí, Resucitó</v>
      </c>
      <c r="L9" s="48" t="str">
        <f ca="1">_xlfn.CONCAT("        title: ","""",C9,"""",",")</f>
        <v xml:space="preserve">        title: "No Está Aquí, Resucitó",</v>
      </c>
    </row>
    <row r="10" spans="2:32" ht="23" x14ac:dyDescent="0.35">
      <c r="C10" t="str">
        <f ca="1">VLOOKUP(C1,Table223[],4,FALSE)</f>
        <v>Mateo 28,1-8</v>
      </c>
      <c r="L10" s="48" t="str">
        <f ca="1">_xlfn.CONCAT("        ","subtitle: ","""",C10,"""",",")</f>
        <v xml:space="preserve">        subtitle: "Mateo 28,1-8",</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120</v>
      </c>
      <c r="L16" s="48" t="str">
        <f ca="1">_xlfn.CONCAT("        dbno: ","""",C16,"""",",")</f>
        <v xml:space="preserve">        dbno: "120",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noestaaquiresucito</v>
      </c>
      <c r="L19" s="48" t="str">
        <f ca="1">_xlfn.CONCAT("        audioSrc: ","""https://audio.resucito.do/",C19,".mp3""",",")</f>
        <v xml:space="preserve">        audioSrc: "https://audio.resucito.do/noestaaquiresucito.mp3",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119</v>
      </c>
      <c r="C26" t="str">
        <f ca="1">VLOOKUP(B26,Table4[],13,FALSE)</f>
        <v>"/src/index.html?canto=muchomehanperseguido"</v>
      </c>
      <c r="L26" s="48" t="str">
        <f ca="1">_xlfn.CONCAT("        ant: ",C26,",")</f>
        <v xml:space="preserve">        ant: "/src/index.html?canto=muchomehanperseguido",</v>
      </c>
    </row>
    <row r="27" spans="1:40" ht="23" x14ac:dyDescent="0.35">
      <c r="B27">
        <f ca="1">+C1+1</f>
        <v>121</v>
      </c>
      <c r="C27" t="str">
        <f ca="1">VLOOKUP(B27,Table4[],13,FALSE)</f>
        <v>"/src/index.html?canto=nohayenelparecer"</v>
      </c>
      <c r="L27" s="48" t="str">
        <f ca="1">_xlfn.CONCAT("        sig: ",C27,",")</f>
        <v xml:space="preserve">        sig: "/src/index.html?canto=nohayenelparecer",</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C30" s="113" t="s">
        <v>1055</v>
      </c>
      <c r="D30" s="112" t="s">
        <v>1015</v>
      </c>
      <c r="E30" s="52"/>
      <c r="F30" s="53" t="s">
        <v>1029</v>
      </c>
      <c r="G30" s="53">
        <v>7</v>
      </c>
      <c r="H30" s="52" t="s">
        <v>1015</v>
      </c>
      <c r="I30" s="52"/>
      <c r="J30" s="54"/>
      <c r="K30" s="54"/>
      <c r="L30" s="55" t="str">
        <f t="shared" ref="L30:L31" si="0">IF(C30="","",_xlfn.CONCAT("            { line: ","""",C30,", ",M30:AN30,""", sC: ","""",B30,"""},"))</f>
        <v xml:space="preserve">            { line: "Qué detalle, Señor, has tenido conmigo, (Sol,,14)(Re,7,250)(Sol,,350)", sC: ""},</v>
      </c>
      <c r="M30" s="56" t="str">
        <f t="shared" ref="M30:M35" si="1">IF(N30="","","(")</f>
        <v>(</v>
      </c>
      <c r="N30" s="57" t="str">
        <f t="shared" ref="N30:N89" si="2">IF(D30="","",D30)</f>
        <v>Sol</v>
      </c>
      <c r="O30" s="58" t="str">
        <f t="shared" ref="O30:O35" si="3">IF(N30="","",",")</f>
        <v>,</v>
      </c>
      <c r="P30" s="59" t="str">
        <f t="shared" ref="P30:P89" si="4">IF(E30="","",E30)</f>
        <v/>
      </c>
      <c r="Q30" s="60" t="str">
        <f t="shared" ref="Q30:Q35" si="5">IF(N30="","",",")</f>
        <v>,</v>
      </c>
      <c r="R30" s="61">
        <f t="shared" ref="R30:R81" si="6">IF(N30="Do",10,IF(N30="Re",22,IF(N30="Mi",20,IF(N30="Fa",20,IF(N30="Sol",14,IF(N30="La",20,IF(N30="Si",20,IF(N30="Do#",14,IF(N30="Fa#",15,IF(N30="Sol#",20,IF(N30="Si♭",17,"")))))))))))</f>
        <v>14</v>
      </c>
      <c r="S30" s="56" t="str">
        <f t="shared" ref="S30:S35" si="7">IF(N30="","",")")</f>
        <v>)</v>
      </c>
      <c r="T30" s="62" t="str">
        <f t="shared" ref="T30:T35" si="8">IF(U30="","","(")</f>
        <v>(</v>
      </c>
      <c r="U30" s="63" t="str">
        <f t="shared" ref="U30:U89" si="9">IF(F30="","",F30)</f>
        <v>Re</v>
      </c>
      <c r="V30" s="64" t="str">
        <f t="shared" ref="V30:V35" si="10">IF(U30="","",",")</f>
        <v>,</v>
      </c>
      <c r="W30" s="65">
        <f t="shared" ref="W30:W89" si="11">IF(G30="","",G30)</f>
        <v>7</v>
      </c>
      <c r="X30" s="64" t="str">
        <f t="shared" ref="X30:X35" si="12">IF(U30="","",",")</f>
        <v>,</v>
      </c>
      <c r="Y30" s="64">
        <f t="shared" ref="Y30:Y35" si="13">IF(U30="","",250)</f>
        <v>250</v>
      </c>
      <c r="Z30" s="56" t="str">
        <f t="shared" ref="Z30:Z35" si="14">IF(U30="","",")")</f>
        <v>)</v>
      </c>
      <c r="AA30" s="66" t="str">
        <f t="shared" ref="AA30:AA35" si="15">IF(AB30="","","(")</f>
        <v>(</v>
      </c>
      <c r="AB30" s="57" t="str">
        <f t="shared" ref="AB30:AB89" si="16">IF(H30="","",H30)</f>
        <v>Sol</v>
      </c>
      <c r="AC30" s="67" t="str">
        <f t="shared" ref="AC30:AC35" si="17">IF(AB30="","",",")</f>
        <v>,</v>
      </c>
      <c r="AD30" s="59" t="str">
        <f t="shared" ref="AD30:AD35" si="18">IF(I30="","",I30)</f>
        <v/>
      </c>
      <c r="AE30" s="68" t="str">
        <f t="shared" ref="AE30:AE35" si="19">IF(AB30="","",",")</f>
        <v>,</v>
      </c>
      <c r="AF30" s="61">
        <f t="shared" ref="AF30:AF35" si="20">IF(AB30="","",350)</f>
        <v>350</v>
      </c>
      <c r="AG30" s="61" t="str">
        <f t="shared" ref="AG30:AG35" si="21">IF(AB30="","",")")</f>
        <v>)</v>
      </c>
      <c r="AH30" s="69" t="str">
        <f t="shared" ref="AH30:AH35" si="22">IF(AI30="","","(")</f>
        <v/>
      </c>
      <c r="AI30" s="70" t="str">
        <f t="shared" ref="AI30:AI8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1056</v>
      </c>
      <c r="D31" s="112" t="s">
        <v>1015</v>
      </c>
      <c r="E31" s="52"/>
      <c r="F31" s="53" t="s">
        <v>1029</v>
      </c>
      <c r="G31" s="53">
        <v>7</v>
      </c>
      <c r="H31" s="52" t="s">
        <v>1015</v>
      </c>
      <c r="I31" s="52"/>
      <c r="J31" s="54"/>
      <c r="K31" s="54"/>
      <c r="L31" s="55" t="str">
        <f t="shared" si="0"/>
        <v xml:space="preserve">            { line: "cuando me llamaste, cuando me elegiste,, (Sol,,14)(Re,7,250)(Sol,,350)",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Re</v>
      </c>
      <c r="V31" s="64" t="str">
        <f t="shared" si="10"/>
        <v>,</v>
      </c>
      <c r="W31" s="65">
        <f t="shared" si="11"/>
        <v>7</v>
      </c>
      <c r="X31" s="64" t="str">
        <f t="shared" si="12"/>
        <v>,</v>
      </c>
      <c r="Y31" s="64">
        <f t="shared" si="13"/>
        <v>250</v>
      </c>
      <c r="Z31" s="56" t="str">
        <f t="shared" si="14"/>
        <v>)</v>
      </c>
      <c r="AA31" s="66" t="str">
        <f t="shared" si="15"/>
        <v>(</v>
      </c>
      <c r="AB31" s="57" t="str">
        <f t="shared" si="16"/>
        <v>Sol</v>
      </c>
      <c r="AC31" s="67" t="str">
        <f t="shared" si="17"/>
        <v>,</v>
      </c>
      <c r="AD31" s="59" t="str">
        <f t="shared" si="18"/>
        <v/>
      </c>
      <c r="AE31" s="68" t="str">
        <f t="shared" si="19"/>
        <v>,</v>
      </c>
      <c r="AF31" s="61">
        <f t="shared" si="20"/>
        <v>350</v>
      </c>
      <c r="AG31" s="61" t="str">
        <f t="shared" si="21"/>
        <v>)</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1057</v>
      </c>
      <c r="D32" s="112" t="s">
        <v>1030</v>
      </c>
      <c r="E32" s="52"/>
      <c r="F32" s="53" t="s">
        <v>1015</v>
      </c>
      <c r="G32" s="53"/>
      <c r="H32" s="52"/>
      <c r="I32" s="52"/>
      <c r="J32" s="54"/>
      <c r="K32" s="54"/>
      <c r="L32" s="55" t="str">
        <f>IF(C32="","",_xlfn.CONCAT("            { line: ","""",C32,", ",M32:AN32,""", sC: ","""",B32,"""},"))</f>
        <v xml:space="preserve">            { line: "cuando me dijiste que tú eras mi amigo.Sol, (Do,,10)(Sol,,250)", sC: ""},</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1058</v>
      </c>
      <c r="D33" s="112" t="s">
        <v>1029</v>
      </c>
      <c r="E33" s="52">
        <v>7</v>
      </c>
      <c r="F33" s="53" t="s">
        <v>1015</v>
      </c>
      <c r="G33" s="53"/>
      <c r="H33" s="52"/>
      <c r="I33" s="52"/>
      <c r="J33" s="54"/>
      <c r="K33" s="54"/>
      <c r="L33" s="55" t="str">
        <f>IF(C33="","",_xlfn.CONCAT("            { line: ","""",C33,", ",M33:AN33,""", sC: ","""",B33,"""},"))</f>
        <v xml:space="preserve">            { line: "qué detalle, Señor, has tenido conmigo., (Re,7,22)(Sol,,250)", sC: ""},</v>
      </c>
      <c r="M33" s="56" t="str">
        <f t="shared" si="1"/>
        <v>(</v>
      </c>
      <c r="N33" s="57" t="str">
        <f t="shared" si="2"/>
        <v>Re</v>
      </c>
      <c r="O33" s="58" t="str">
        <f t="shared" si="3"/>
        <v>,</v>
      </c>
      <c r="P33" s="59">
        <f t="shared" si="4"/>
        <v>7</v>
      </c>
      <c r="Q33" s="60" t="str">
        <f t="shared" si="5"/>
        <v>,</v>
      </c>
      <c r="R33" s="61">
        <f t="shared" si="6"/>
        <v>22</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1059</v>
      </c>
      <c r="D35" s="112" t="s">
        <v>1015</v>
      </c>
      <c r="E35" s="52"/>
      <c r="F35" s="53" t="s">
        <v>1030</v>
      </c>
      <c r="G35" s="53"/>
      <c r="H35" s="52" t="s">
        <v>1013</v>
      </c>
      <c r="I35" s="52">
        <v>7</v>
      </c>
      <c r="J35" s="54" t="s">
        <v>1029</v>
      </c>
      <c r="K35" s="54">
        <v>7</v>
      </c>
      <c r="L35" s="55" t="str">
        <f t="shared" ref="L35:L48" si="29">IF(C35="","",_xlfn.CONCAT("            { line: ","""",C35,", ",M35:AN35,""", sC: ","""",B35,"""},"))</f>
        <v xml:space="preserve">            { line: "Te acercaste a mi puerta y pronunciaste mi nombre., (Sol,,14)(Do,,250)(La,7,350)(Re,7,450)", sC: ""},</v>
      </c>
      <c r="M35" s="56" t="str">
        <f t="shared" si="1"/>
        <v>(</v>
      </c>
      <c r="N35" s="57" t="str">
        <f t="shared" si="2"/>
        <v>Sol</v>
      </c>
      <c r="O35" s="58" t="str">
        <f t="shared" si="3"/>
        <v>,</v>
      </c>
      <c r="P35" s="59" t="str">
        <f t="shared" si="4"/>
        <v/>
      </c>
      <c r="Q35" s="60" t="str">
        <f t="shared" si="5"/>
        <v>,</v>
      </c>
      <c r="R35" s="61">
        <f t="shared" si="6"/>
        <v>14</v>
      </c>
      <c r="S35" s="56" t="str">
        <f t="shared" si="7"/>
        <v>)</v>
      </c>
      <c r="T35" s="62" t="str">
        <f t="shared" si="8"/>
        <v>(</v>
      </c>
      <c r="U35" s="63" t="str">
        <f t="shared" si="9"/>
        <v>Do</v>
      </c>
      <c r="V35" s="64" t="str">
        <f t="shared" si="10"/>
        <v>,</v>
      </c>
      <c r="W35" s="65" t="str">
        <f t="shared" si="11"/>
        <v/>
      </c>
      <c r="X35" s="64" t="str">
        <f t="shared" si="12"/>
        <v>,</v>
      </c>
      <c r="Y35" s="64">
        <f t="shared" si="13"/>
        <v>250</v>
      </c>
      <c r="Z35" s="56" t="str">
        <f t="shared" si="14"/>
        <v>)</v>
      </c>
      <c r="AA35" s="66" t="str">
        <f t="shared" si="15"/>
        <v>(</v>
      </c>
      <c r="AB35" s="57" t="str">
        <f t="shared" si="16"/>
        <v>La</v>
      </c>
      <c r="AC35" s="67" t="str">
        <f t="shared" si="17"/>
        <v>,</v>
      </c>
      <c r="AD35" s="59">
        <f t="shared" si="18"/>
        <v>7</v>
      </c>
      <c r="AE35" s="68" t="str">
        <f t="shared" si="19"/>
        <v>,</v>
      </c>
      <c r="AF35" s="61">
        <f t="shared" si="20"/>
        <v>350</v>
      </c>
      <c r="AG35" s="61" t="str">
        <f t="shared" si="21"/>
        <v>)</v>
      </c>
      <c r="AH35" s="69" t="str">
        <f t="shared" si="22"/>
        <v>(</v>
      </c>
      <c r="AI35" s="70" t="str">
        <f t="shared" si="23"/>
        <v>Re</v>
      </c>
      <c r="AJ35" s="64" t="str">
        <f t="shared" si="24"/>
        <v>,</v>
      </c>
      <c r="AK35" s="64">
        <f t="shared" si="25"/>
        <v>7</v>
      </c>
      <c r="AL35" s="64" t="str">
        <f t="shared" si="26"/>
        <v>,</v>
      </c>
      <c r="AM35" s="64">
        <f t="shared" si="27"/>
        <v>450</v>
      </c>
      <c r="AN35" s="64" t="str">
        <f t="shared" si="28"/>
        <v>)</v>
      </c>
    </row>
    <row r="36" spans="1:40" ht="24.5" thickTop="1" thickBot="1" x14ac:dyDescent="0.55000000000000004">
      <c r="C36" s="113" t="s">
        <v>1060</v>
      </c>
      <c r="D36" s="112" t="s">
        <v>1029</v>
      </c>
      <c r="E36" s="52">
        <v>7</v>
      </c>
      <c r="F36" s="53" t="s">
        <v>1015</v>
      </c>
      <c r="G36" s="53"/>
      <c r="H36" s="52"/>
      <c r="I36" s="52"/>
      <c r="J36" s="54"/>
      <c r="K36" s="54"/>
      <c r="L36" s="55" t="str">
        <f t="shared" si="29"/>
        <v xml:space="preserve">            { line: "Yo temblando te dije: aquí estoy, Señor., (Re,7,22)(Sol,,250)", sC: ""},</v>
      </c>
      <c r="M36" s="56" t="str">
        <f>IF(N36="","","(")</f>
        <v>(</v>
      </c>
      <c r="N36" s="57" t="str">
        <f>IF(D36="","",D36)</f>
        <v>Re</v>
      </c>
      <c r="O36" s="58" t="str">
        <f>IF(N36="","",",")</f>
        <v>,</v>
      </c>
      <c r="P36" s="59">
        <f>IF(E36="","",E36)</f>
        <v>7</v>
      </c>
      <c r="Q36" s="60" t="str">
        <f>IF(N36="","",",")</f>
        <v>,</v>
      </c>
      <c r="R36" s="61">
        <f t="shared" si="6"/>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1061</v>
      </c>
      <c r="D37" s="112" t="s">
        <v>1015</v>
      </c>
      <c r="E37" s="52"/>
      <c r="F37" s="53" t="s">
        <v>1030</v>
      </c>
      <c r="G37" s="53"/>
      <c r="H37" s="52" t="s">
        <v>1013</v>
      </c>
      <c r="I37" s="52">
        <v>7</v>
      </c>
      <c r="J37" s="54" t="s">
        <v>1029</v>
      </c>
      <c r="K37" s="54">
        <v>7</v>
      </c>
      <c r="L37" s="55" t="str">
        <f t="shared" si="29"/>
        <v xml:space="preserve">            { line: "Tú me hablaste de un Reino, de un tesoro escondido,, (Sol,,14)(Do,,250)(La,7,350)(Re,7,450)", sC: ""},</v>
      </c>
      <c r="M37" s="56" t="str">
        <f>IF(N37="","","(")</f>
        <v>(</v>
      </c>
      <c r="N37" s="57" t="str">
        <f>IF(D37="","",D37)</f>
        <v>Sol</v>
      </c>
      <c r="O37" s="58" t="str">
        <f>IF(N37="","",",")</f>
        <v>,</v>
      </c>
      <c r="P37" s="59" t="str">
        <f>IF(E37="","",E37)</f>
        <v/>
      </c>
      <c r="Q37" s="60" t="str">
        <f>IF(N37="","",",")</f>
        <v>,</v>
      </c>
      <c r="R37" s="61">
        <f t="shared" si="6"/>
        <v>14</v>
      </c>
      <c r="S37" s="56" t="str">
        <f>IF(N37="","",")")</f>
        <v>)</v>
      </c>
      <c r="T37" s="62" t="str">
        <f>IF(U37="","","(")</f>
        <v>(</v>
      </c>
      <c r="U37" s="63" t="str">
        <f>IF(F37="","",F37)</f>
        <v>Do</v>
      </c>
      <c r="V37" s="64" t="str">
        <f>IF(U37="","",",")</f>
        <v>,</v>
      </c>
      <c r="W37" s="65" t="str">
        <f>IF(G37="","",G37)</f>
        <v/>
      </c>
      <c r="X37" s="64" t="str">
        <f>IF(U37="","",",")</f>
        <v>,</v>
      </c>
      <c r="Y37" s="64">
        <f>IF(U37="","",250)</f>
        <v>250</v>
      </c>
      <c r="Z37" s="56" t="str">
        <f>IF(U37="","",")")</f>
        <v>)</v>
      </c>
      <c r="AA37" s="66" t="str">
        <f>IF(AB37="","","(")</f>
        <v>(</v>
      </c>
      <c r="AB37" s="57" t="str">
        <f>IF(H37="","",H37)</f>
        <v>La</v>
      </c>
      <c r="AC37" s="67" t="str">
        <f>IF(AB37="","",",")</f>
        <v>,</v>
      </c>
      <c r="AD37" s="59">
        <f>IF(I37="","",I37)</f>
        <v>7</v>
      </c>
      <c r="AE37" s="68" t="str">
        <f>IF(AB37="","",",")</f>
        <v>,</v>
      </c>
      <c r="AF37" s="61">
        <f>IF(AB37="","",350)</f>
        <v>350</v>
      </c>
      <c r="AG37" s="61" t="str">
        <f>IF(AB37="","",")")</f>
        <v>)</v>
      </c>
      <c r="AH37" s="69" t="str">
        <f>IF(AI37="","","(")</f>
        <v>(</v>
      </c>
      <c r="AI37" s="70" t="str">
        <f>IF(J37="","",J37)</f>
        <v>Re</v>
      </c>
      <c r="AJ37" s="64" t="str">
        <f>IF(AI37="","",",")</f>
        <v>,</v>
      </c>
      <c r="AK37" s="64">
        <f>IF(K37="","",K37)</f>
        <v>7</v>
      </c>
      <c r="AL37" s="64" t="str">
        <f>IF(AI37="","",",")</f>
        <v>,</v>
      </c>
      <c r="AM37" s="64">
        <f>IF(AI37="","",450)</f>
        <v>450</v>
      </c>
      <c r="AN37" s="64" t="str">
        <f>IF(AI37="","",")")</f>
        <v>)</v>
      </c>
    </row>
    <row r="38" spans="1:40" ht="24.5" thickTop="1" thickBot="1" x14ac:dyDescent="0.55000000000000004">
      <c r="C38" s="113" t="s">
        <v>1062</v>
      </c>
      <c r="D38" s="112" t="s">
        <v>1029</v>
      </c>
      <c r="E38" s="52">
        <v>7</v>
      </c>
      <c r="F38" s="53" t="s">
        <v>1030</v>
      </c>
      <c r="G38" s="53"/>
      <c r="H38" s="52" t="s">
        <v>1029</v>
      </c>
      <c r="I38" s="52">
        <v>7</v>
      </c>
      <c r="J38" s="54" t="s">
        <v>1015</v>
      </c>
      <c r="K38" s="54"/>
      <c r="L38" s="55" t="str">
        <f t="shared" si="29"/>
        <v xml:space="preserve">            { line: "de un mensaje fraterno que encendió mi ilusión., (Re,7,22)(Do,,250)(Re,7,350)(Sol,,450)", sC: ""},</v>
      </c>
      <c r="M38" s="56" t="str">
        <f>IF(N38="","","(")</f>
        <v>(</v>
      </c>
      <c r="N38" s="57" t="str">
        <f>IF(D38="","",D38)</f>
        <v>Re</v>
      </c>
      <c r="O38" s="58" t="str">
        <f>IF(N38="","",",")</f>
        <v>,</v>
      </c>
      <c r="P38" s="59">
        <f>IF(E38="","",E38)</f>
        <v>7</v>
      </c>
      <c r="Q38" s="60" t="str">
        <f>IF(N38="","",",")</f>
        <v>,</v>
      </c>
      <c r="R38" s="61">
        <f t="shared" si="6"/>
        <v>22</v>
      </c>
      <c r="S38" s="56" t="str">
        <f>IF(N38="","",")")</f>
        <v>)</v>
      </c>
      <c r="T38" s="62" t="str">
        <f>IF(U38="","","(")</f>
        <v>(</v>
      </c>
      <c r="U38" s="63" t="str">
        <f>IF(F38="","",F38)</f>
        <v>Do</v>
      </c>
      <c r="V38" s="64" t="str">
        <f>IF(U38="","",",")</f>
        <v>,</v>
      </c>
      <c r="W38" s="65" t="str">
        <f>IF(G38="","",G38)</f>
        <v/>
      </c>
      <c r="X38" s="64" t="str">
        <f>IF(U38="","",",")</f>
        <v>,</v>
      </c>
      <c r="Y38" s="64">
        <f>IF(U38="","",250)</f>
        <v>250</v>
      </c>
      <c r="Z38" s="56" t="str">
        <f>IF(U38="","",")")</f>
        <v>)</v>
      </c>
      <c r="AA38" s="66" t="str">
        <f>IF(AB38="","","(")</f>
        <v>(</v>
      </c>
      <c r="AB38" s="57" t="str">
        <f>IF(H38="","",H38)</f>
        <v>Re</v>
      </c>
      <c r="AC38" s="67" t="str">
        <f>IF(AB38="","",",")</f>
        <v>,</v>
      </c>
      <c r="AD38" s="59">
        <f>IF(I38="","",I38)</f>
        <v>7</v>
      </c>
      <c r="AE38" s="68" t="str">
        <f>IF(AB38="","",",")</f>
        <v>,</v>
      </c>
      <c r="AF38" s="61">
        <f>IF(AB38="","",350)</f>
        <v>350</v>
      </c>
      <c r="AG38" s="61" t="str">
        <f>IF(AB38="","",")")</f>
        <v>)</v>
      </c>
      <c r="AH38" s="69" t="str">
        <f>IF(AI38="","","(")</f>
        <v>(</v>
      </c>
      <c r="AI38" s="70" t="str">
        <f>IF(J38="","",J38)</f>
        <v>Sol</v>
      </c>
      <c r="AJ38" s="64" t="str">
        <f>IF(AI38="","",",")</f>
        <v>,</v>
      </c>
      <c r="AK38" s="64" t="str">
        <f>IF(K38="","",K38)</f>
        <v/>
      </c>
      <c r="AL38" s="64" t="str">
        <f>IF(AI38="","",",")</f>
        <v>,</v>
      </c>
      <c r="AM38" s="64">
        <f>IF(AI38="","",450)</f>
        <v>450</v>
      </c>
      <c r="AN38" s="64" t="str">
        <f>IF(AI38="","",")")</f>
        <v>)</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113" t="s">
        <v>1055</v>
      </c>
      <c r="D40" s="112" t="s">
        <v>1015</v>
      </c>
      <c r="E40" s="52"/>
      <c r="F40" s="53" t="s">
        <v>1029</v>
      </c>
      <c r="G40" s="53">
        <v>7</v>
      </c>
      <c r="H40" s="52" t="s">
        <v>1015</v>
      </c>
      <c r="I40" s="52"/>
      <c r="J40" s="54"/>
      <c r="K40" s="54"/>
      <c r="L40" s="55" t="str">
        <f t="shared" ref="L40:L41" si="30">IF(C40="","",_xlfn.CONCAT("            { line: ","""",C40,", ",M40:AN40,""", sC: ","""",B40,"""},"))</f>
        <v xml:space="preserve">            { line: "Qué detalle, Señor, has tenido conmigo, (Sol,,14)(Re,7,250)(Sol,,350)", sC: ""},</v>
      </c>
      <c r="M40" s="56" t="str">
        <f t="shared" ref="M40:M43" si="31">IF(N40="","","(")</f>
        <v>(</v>
      </c>
      <c r="N40" s="57" t="str">
        <f t="shared" ref="N40:N43" si="32">IF(D40="","",D40)</f>
        <v>Sol</v>
      </c>
      <c r="O40" s="58" t="str">
        <f t="shared" ref="O40:O43" si="33">IF(N40="","",",")</f>
        <v>,</v>
      </c>
      <c r="P40" s="59" t="str">
        <f t="shared" ref="P40:P43" si="34">IF(E40="","",E40)</f>
        <v/>
      </c>
      <c r="Q40" s="60" t="str">
        <f t="shared" ref="Q40:Q43" si="35">IF(N40="","",",")</f>
        <v>,</v>
      </c>
      <c r="R40" s="61">
        <f t="shared" ref="R40:R43" si="36">IF(N40="Do",10,IF(N40="Re",22,IF(N40="Mi",20,IF(N40="Fa",20,IF(N40="Sol",14,IF(N40="La",20,IF(N40="Si",20,IF(N40="Do#",14,IF(N40="Fa#",15,IF(N40="Sol#",20,IF(N40="Si♭",17,"")))))))))))</f>
        <v>14</v>
      </c>
      <c r="S40" s="56" t="str">
        <f t="shared" ref="S40:S43" si="37">IF(N40="","",")")</f>
        <v>)</v>
      </c>
      <c r="T40" s="62" t="str">
        <f t="shared" ref="T40:T43" si="38">IF(U40="","","(")</f>
        <v>(</v>
      </c>
      <c r="U40" s="63" t="str">
        <f t="shared" ref="U40:U43" si="39">IF(F40="","",F40)</f>
        <v>Re</v>
      </c>
      <c r="V40" s="64" t="str">
        <f t="shared" ref="V40:V43" si="40">IF(U40="","",",")</f>
        <v>,</v>
      </c>
      <c r="W40" s="65">
        <f t="shared" ref="W40:W43" si="41">IF(G40="","",G40)</f>
        <v>7</v>
      </c>
      <c r="X40" s="64" t="str">
        <f t="shared" ref="X40:X43" si="42">IF(U40="","",",")</f>
        <v>,</v>
      </c>
      <c r="Y40" s="64">
        <f t="shared" ref="Y40:Y43" si="43">IF(U40="","",250)</f>
        <v>250</v>
      </c>
      <c r="Z40" s="56" t="str">
        <f t="shared" ref="Z40:Z43" si="44">IF(U40="","",")")</f>
        <v>)</v>
      </c>
      <c r="AA40" s="66" t="str">
        <f t="shared" ref="AA40:AA43" si="45">IF(AB40="","","(")</f>
        <v>(</v>
      </c>
      <c r="AB40" s="57" t="str">
        <f t="shared" ref="AB40:AB43" si="46">IF(H40="","",H40)</f>
        <v>Sol</v>
      </c>
      <c r="AC40" s="67" t="str">
        <f t="shared" ref="AC40:AC43" si="47">IF(AB40="","",",")</f>
        <v>,</v>
      </c>
      <c r="AD40" s="59" t="str">
        <f t="shared" ref="AD40:AD43" si="48">IF(I40="","",I40)</f>
        <v/>
      </c>
      <c r="AE40" s="68" t="str">
        <f t="shared" ref="AE40:AE43" si="49">IF(AB40="","",",")</f>
        <v>,</v>
      </c>
      <c r="AF40" s="61">
        <f t="shared" ref="AF40:AF43" si="50">IF(AB40="","",350)</f>
        <v>350</v>
      </c>
      <c r="AG40" s="61" t="str">
        <f t="shared" ref="AG40:AG43" si="51">IF(AB40="","",")")</f>
        <v>)</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4.5" thickTop="1" thickBot="1" x14ac:dyDescent="0.55000000000000004">
      <c r="C41" s="113" t="s">
        <v>1056</v>
      </c>
      <c r="D41" s="112" t="s">
        <v>1015</v>
      </c>
      <c r="E41" s="52"/>
      <c r="F41" s="53" t="s">
        <v>1029</v>
      </c>
      <c r="G41" s="53">
        <v>7</v>
      </c>
      <c r="H41" s="52" t="s">
        <v>1015</v>
      </c>
      <c r="I41" s="52"/>
      <c r="J41" s="54"/>
      <c r="K41" s="54"/>
      <c r="L41" s="55" t="str">
        <f t="shared" si="30"/>
        <v xml:space="preserve">            { line: "cuando me llamaste, cuando me elegiste,, (Sol,,14)(Re,7,250)(Sol,,350)", sC: ""},</v>
      </c>
      <c r="M41" s="56" t="str">
        <f t="shared" si="31"/>
        <v>(</v>
      </c>
      <c r="N41" s="57" t="str">
        <f t="shared" si="32"/>
        <v>Sol</v>
      </c>
      <c r="O41" s="58" t="str">
        <f t="shared" si="33"/>
        <v>,</v>
      </c>
      <c r="P41" s="59" t="str">
        <f t="shared" si="34"/>
        <v/>
      </c>
      <c r="Q41" s="60" t="str">
        <f t="shared" si="35"/>
        <v>,</v>
      </c>
      <c r="R41" s="61">
        <f t="shared" si="36"/>
        <v>14</v>
      </c>
      <c r="S41" s="56" t="str">
        <f t="shared" si="37"/>
        <v>)</v>
      </c>
      <c r="T41" s="62" t="str">
        <f t="shared" si="38"/>
        <v>(</v>
      </c>
      <c r="U41" s="63" t="str">
        <f t="shared" si="39"/>
        <v>Re</v>
      </c>
      <c r="V41" s="64" t="str">
        <f t="shared" si="40"/>
        <v>,</v>
      </c>
      <c r="W41" s="65">
        <f t="shared" si="41"/>
        <v>7</v>
      </c>
      <c r="X41" s="64" t="str">
        <f t="shared" si="42"/>
        <v>,</v>
      </c>
      <c r="Y41" s="64">
        <f t="shared" si="43"/>
        <v>250</v>
      </c>
      <c r="Z41" s="56" t="str">
        <f t="shared" si="44"/>
        <v>)</v>
      </c>
      <c r="AA41" s="66" t="str">
        <f t="shared" si="45"/>
        <v>(</v>
      </c>
      <c r="AB41" s="57" t="str">
        <f t="shared" si="46"/>
        <v>Sol</v>
      </c>
      <c r="AC41" s="67" t="str">
        <f t="shared" si="47"/>
        <v>,</v>
      </c>
      <c r="AD41" s="59" t="str">
        <f t="shared" si="48"/>
        <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4.5" thickTop="1" thickBot="1" x14ac:dyDescent="0.55000000000000004">
      <c r="C42" s="113" t="s">
        <v>1057</v>
      </c>
      <c r="D42" s="112" t="s">
        <v>1030</v>
      </c>
      <c r="E42" s="52"/>
      <c r="F42" s="53" t="s">
        <v>1015</v>
      </c>
      <c r="G42" s="53"/>
      <c r="H42" s="52"/>
      <c r="I42" s="52"/>
      <c r="J42" s="54"/>
      <c r="K42" s="54"/>
      <c r="L42" s="55" t="str">
        <f>IF(C42="","",_xlfn.CONCAT("            { line: ","""",C42,", ",M42:AN42,""", sC: ","""",B42,"""},"))</f>
        <v xml:space="preserve">            { line: "cuando me dijiste que tú eras mi amigo.Sol, (Do,,10)(Sol,,250)", sC: ""},</v>
      </c>
      <c r="M42" s="56" t="str">
        <f t="shared" si="31"/>
        <v>(</v>
      </c>
      <c r="N42" s="57" t="str">
        <f t="shared" si="32"/>
        <v>Do</v>
      </c>
      <c r="O42" s="58" t="str">
        <f t="shared" si="33"/>
        <v>,</v>
      </c>
      <c r="P42" s="59" t="str">
        <f t="shared" si="34"/>
        <v/>
      </c>
      <c r="Q42" s="60" t="str">
        <f t="shared" si="35"/>
        <v>,</v>
      </c>
      <c r="R42" s="61">
        <f t="shared" si="36"/>
        <v>10</v>
      </c>
      <c r="S42" s="56" t="str">
        <f t="shared" si="37"/>
        <v>)</v>
      </c>
      <c r="T42" s="62" t="str">
        <f t="shared" si="38"/>
        <v>(</v>
      </c>
      <c r="U42" s="63" t="str">
        <f t="shared" si="39"/>
        <v>Sol</v>
      </c>
      <c r="V42" s="64" t="str">
        <f t="shared" si="40"/>
        <v>,</v>
      </c>
      <c r="W42" s="65" t="str">
        <f t="shared" si="41"/>
        <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4.5" thickTop="1" thickBot="1" x14ac:dyDescent="0.55000000000000004">
      <c r="C43" s="113" t="s">
        <v>1058</v>
      </c>
      <c r="D43" s="112" t="s">
        <v>1029</v>
      </c>
      <c r="E43" s="52">
        <v>7</v>
      </c>
      <c r="F43" s="53" t="s">
        <v>1015</v>
      </c>
      <c r="G43" s="53"/>
      <c r="H43" s="52"/>
      <c r="I43" s="52"/>
      <c r="J43" s="54"/>
      <c r="K43" s="54"/>
      <c r="L43" s="55" t="str">
        <f>IF(C43="","",_xlfn.CONCAT("            { line: ","""",C43,", ",M43:AN43,""", sC: ","""",B43,"""},"))</f>
        <v xml:space="preserve">            { line: "qué detalle, Señor, has tenido conmigo., (Re,7,22)(Sol,,250)", sC: ""},</v>
      </c>
      <c r="M43" s="56" t="str">
        <f t="shared" si="31"/>
        <v>(</v>
      </c>
      <c r="N43" s="57" t="str">
        <f t="shared" si="32"/>
        <v>Re</v>
      </c>
      <c r="O43" s="58" t="str">
        <f t="shared" si="33"/>
        <v>,</v>
      </c>
      <c r="P43" s="59">
        <f t="shared" si="34"/>
        <v>7</v>
      </c>
      <c r="Q43" s="60" t="str">
        <f t="shared" si="35"/>
        <v>,</v>
      </c>
      <c r="R43" s="61">
        <f t="shared" si="36"/>
        <v>22</v>
      </c>
      <c r="S43" s="56" t="str">
        <f t="shared" si="37"/>
        <v>)</v>
      </c>
      <c r="T43" s="62" t="str">
        <f t="shared" si="38"/>
        <v>(</v>
      </c>
      <c r="U43" s="63" t="str">
        <f t="shared" si="39"/>
        <v>Sol</v>
      </c>
      <c r="V43" s="64" t="str">
        <f t="shared" si="40"/>
        <v>,</v>
      </c>
      <c r="W43" s="65" t="str">
        <f t="shared" si="41"/>
        <v/>
      </c>
      <c r="X43" s="64" t="str">
        <f t="shared" si="42"/>
        <v>,</v>
      </c>
      <c r="Y43" s="64">
        <f t="shared" si="43"/>
        <v>250</v>
      </c>
      <c r="Z43" s="56" t="str">
        <f t="shared" si="44"/>
        <v>)</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113" t="s">
        <v>1063</v>
      </c>
      <c r="D45" s="112" t="s">
        <v>1015</v>
      </c>
      <c r="E45" s="52"/>
      <c r="F45" s="53" t="s">
        <v>1030</v>
      </c>
      <c r="G45" s="53"/>
      <c r="H45" s="52" t="s">
        <v>1013</v>
      </c>
      <c r="I45" s="52">
        <v>7</v>
      </c>
      <c r="J45" s="54" t="s">
        <v>1029</v>
      </c>
      <c r="K45" s="54">
        <v>7</v>
      </c>
      <c r="L45" s="55" t="str">
        <f t="shared" si="29"/>
        <v xml:space="preserve">            { line: "Yo deje casa y pueblo por vivir tu aventura, (Sol,,14)(Do,,250)(La,7,350)(Re,7,450)",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Do</v>
      </c>
      <c r="V45" s="64" t="str">
        <f>IF(U45="","",",")</f>
        <v>,</v>
      </c>
      <c r="W45" s="65" t="str">
        <f>IF(G45="","",G45)</f>
        <v/>
      </c>
      <c r="X45" s="64" t="str">
        <f>IF(U45="","",",")</f>
        <v>,</v>
      </c>
      <c r="Y45" s="64">
        <f>IF(U45="","",250)</f>
        <v>250</v>
      </c>
      <c r="Z45" s="56" t="str">
        <f>IF(U45="","",")")</f>
        <v>)</v>
      </c>
      <c r="AA45" s="66" t="str">
        <f>IF(AB45="","","(")</f>
        <v>(</v>
      </c>
      <c r="AB45" s="57" t="str">
        <f>IF(H45="","",H45)</f>
        <v>La</v>
      </c>
      <c r="AC45" s="67" t="str">
        <f>IF(AB45="","",",")</f>
        <v>,</v>
      </c>
      <c r="AD45" s="59">
        <f>IF(I45="","",I45)</f>
        <v>7</v>
      </c>
      <c r="AE45" s="68" t="str">
        <f>IF(AB45="","",",")</f>
        <v>,</v>
      </c>
      <c r="AF45" s="61">
        <f>IF(AB45="","",350)</f>
        <v>350</v>
      </c>
      <c r="AG45" s="61" t="str">
        <f>IF(AB45="","",")")</f>
        <v>)</v>
      </c>
      <c r="AH45" s="69" t="str">
        <f>IF(AI45="","","(")</f>
        <v>(</v>
      </c>
      <c r="AI45" s="70" t="str">
        <f>IF(J45="","",J45)</f>
        <v>Re</v>
      </c>
      <c r="AJ45" s="64" t="str">
        <f>IF(AI45="","",",")</f>
        <v>,</v>
      </c>
      <c r="AK45" s="64">
        <f>IF(K45="","",K45)</f>
        <v>7</v>
      </c>
      <c r="AL45" s="64" t="str">
        <f>IF(AI45="","",",")</f>
        <v>,</v>
      </c>
      <c r="AM45" s="64">
        <f>IF(AI45="","",450)</f>
        <v>450</v>
      </c>
      <c r="AN45" s="64" t="str">
        <f>IF(AI45="","",")")</f>
        <v>)</v>
      </c>
    </row>
    <row r="46" spans="1:40" ht="24.5" thickTop="1" thickBot="1" x14ac:dyDescent="0.55000000000000004">
      <c r="C46" s="113" t="s">
        <v>1064</v>
      </c>
      <c r="D46" s="112" t="s">
        <v>1029</v>
      </c>
      <c r="E46" s="52">
        <v>7</v>
      </c>
      <c r="F46" s="53" t="s">
        <v>1015</v>
      </c>
      <c r="G46" s="53"/>
      <c r="H46" s="52"/>
      <c r="I46" s="52"/>
      <c r="J46" s="54"/>
      <c r="K46" s="54"/>
      <c r="L46" s="55" t="str">
        <f t="shared" si="29"/>
        <v xml:space="preserve">            { line: "Codo a codo contigo comencé a caminar, (Re,7,22)(Sol,,250)", sC: ""},</v>
      </c>
      <c r="M46" s="56" t="str">
        <f t="shared" ref="M46:M48" si="59">IF(N46="","","(")</f>
        <v>(</v>
      </c>
      <c r="N46" s="57" t="str">
        <f t="shared" ref="N46:N48" si="60">IF(D46="","",D46)</f>
        <v>Re</v>
      </c>
      <c r="O46" s="58" t="str">
        <f t="shared" ref="O46:O48" si="61">IF(N46="","",",")</f>
        <v>,</v>
      </c>
      <c r="P46" s="59">
        <f t="shared" ref="P46:P48" si="62">IF(E46="","",E46)</f>
        <v>7</v>
      </c>
      <c r="Q46" s="60" t="str">
        <f t="shared" ref="Q46:Q48" si="63">IF(N46="","",",")</f>
        <v>,</v>
      </c>
      <c r="R46" s="61">
        <f t="shared" si="6"/>
        <v>22</v>
      </c>
      <c r="S46" s="56" t="str">
        <f t="shared" ref="S46:S48" si="64">IF(N46="","",")")</f>
        <v>)</v>
      </c>
      <c r="T46" s="62" t="str">
        <f t="shared" ref="T46:T48" si="65">IF(U46="","","(")</f>
        <v>(</v>
      </c>
      <c r="U46" s="63" t="str">
        <f t="shared" ref="U46:U48" si="66">IF(F46="","",F46)</f>
        <v>Sol</v>
      </c>
      <c r="V46" s="64" t="str">
        <f t="shared" ref="V46:V48" si="67">IF(U46="","",",")</f>
        <v>,</v>
      </c>
      <c r="W46" s="65" t="str">
        <f t="shared" ref="W46:W48" si="68">IF(G46="","",G46)</f>
        <v/>
      </c>
      <c r="X46" s="64" t="str">
        <f t="shared" ref="X46:X48" si="69">IF(U46="","",",")</f>
        <v>,</v>
      </c>
      <c r="Y46" s="64">
        <f t="shared" ref="Y46:Y48" si="70">IF(U46="","",250)</f>
        <v>250</v>
      </c>
      <c r="Z46" s="56" t="str">
        <f t="shared" ref="Z46:Z48" si="71">IF(U46="","",")")</f>
        <v>)</v>
      </c>
      <c r="AA46" s="66" t="str">
        <f t="shared" ref="AA46:AA48" si="72">IF(AB46="","","(")</f>
        <v/>
      </c>
      <c r="AB46" s="57" t="str">
        <f t="shared" ref="AB46:AB48" si="73">IF(H46="","",H46)</f>
        <v/>
      </c>
      <c r="AC46" s="67" t="str">
        <f t="shared" ref="AC46:AC48" si="74">IF(AB46="","",",")</f>
        <v/>
      </c>
      <c r="AD46" s="59" t="str">
        <f t="shared" ref="AD46:AD48" si="75">IF(I46="","",I46)</f>
        <v/>
      </c>
      <c r="AE46" s="68" t="str">
        <f t="shared" ref="AE46:AE48" si="76">IF(AB46="","",",")</f>
        <v/>
      </c>
      <c r="AF46" s="61" t="str">
        <f t="shared" ref="AF46:AF48" si="77">IF(AB46="","",350)</f>
        <v/>
      </c>
      <c r="AG46" s="61" t="str">
        <f t="shared" ref="AG46:AG48" si="78">IF(AB46="","",")")</f>
        <v/>
      </c>
      <c r="AH46" s="69" t="str">
        <f t="shared" ref="AH46:AH48" si="79">IF(AI46="","","(")</f>
        <v/>
      </c>
      <c r="AI46" s="70" t="str">
        <f t="shared" ref="AI46:AI48" si="80">IF(J46="","",J46)</f>
        <v/>
      </c>
      <c r="AJ46" s="64" t="str">
        <f t="shared" ref="AJ46:AJ48" si="81">IF(AI46="","",",")</f>
        <v/>
      </c>
      <c r="AK46" s="64" t="str">
        <f t="shared" ref="AK46:AK48" si="82">IF(K46="","",K46)</f>
        <v/>
      </c>
      <c r="AL46" s="64" t="str">
        <f t="shared" ref="AL46:AL48" si="83">IF(AI46="","",",")</f>
        <v/>
      </c>
      <c r="AM46" s="64" t="str">
        <f t="shared" ref="AM46:AM48" si="84">IF(AI46="","",450)</f>
        <v/>
      </c>
      <c r="AN46" s="64" t="str">
        <f t="shared" ref="AN46:AN48" si="85">IF(AI46="","",")")</f>
        <v/>
      </c>
    </row>
    <row r="47" spans="1:40" ht="24.5" thickTop="1" thickBot="1" x14ac:dyDescent="0.55000000000000004">
      <c r="C47" s="113" t="s">
        <v>1065</v>
      </c>
      <c r="D47" s="112" t="s">
        <v>1015</v>
      </c>
      <c r="E47" s="52"/>
      <c r="F47" s="53" t="s">
        <v>1030</v>
      </c>
      <c r="G47" s="53"/>
      <c r="H47" s="52" t="s">
        <v>1013</v>
      </c>
      <c r="I47" s="52">
        <v>7</v>
      </c>
      <c r="J47" s="54" t="s">
        <v>1029</v>
      </c>
      <c r="K47" s="54">
        <v>7</v>
      </c>
      <c r="L47" s="55" t="str">
        <f t="shared" si="29"/>
        <v xml:space="preserve">            { line: "Han pasado los años y aunque apriete el cansancio, (Sol,,14)(Do,,250)(La,7,350)(Re,7,450)", sC: ""},</v>
      </c>
      <c r="M47" s="56" t="str">
        <f t="shared" si="59"/>
        <v>(</v>
      </c>
      <c r="N47" s="57" t="str">
        <f t="shared" si="60"/>
        <v>Sol</v>
      </c>
      <c r="O47" s="58" t="str">
        <f t="shared" si="61"/>
        <v>,</v>
      </c>
      <c r="P47" s="59" t="str">
        <f t="shared" si="62"/>
        <v/>
      </c>
      <c r="Q47" s="60" t="str">
        <f t="shared" si="63"/>
        <v>,</v>
      </c>
      <c r="R47" s="61">
        <f t="shared" si="6"/>
        <v>14</v>
      </c>
      <c r="S47" s="56" t="str">
        <f t="shared" si="64"/>
        <v>)</v>
      </c>
      <c r="T47" s="62" t="str">
        <f t="shared" si="65"/>
        <v>(</v>
      </c>
      <c r="U47" s="63" t="str">
        <f t="shared" si="66"/>
        <v>Do</v>
      </c>
      <c r="V47" s="64" t="str">
        <f t="shared" si="67"/>
        <v>,</v>
      </c>
      <c r="W47" s="65" t="str">
        <f t="shared" si="68"/>
        <v/>
      </c>
      <c r="X47" s="64" t="str">
        <f t="shared" si="69"/>
        <v>,</v>
      </c>
      <c r="Y47" s="64">
        <f t="shared" si="70"/>
        <v>250</v>
      </c>
      <c r="Z47" s="56" t="str">
        <f t="shared" si="71"/>
        <v>)</v>
      </c>
      <c r="AA47" s="66" t="str">
        <f t="shared" si="72"/>
        <v>(</v>
      </c>
      <c r="AB47" s="57" t="str">
        <f t="shared" si="73"/>
        <v>La</v>
      </c>
      <c r="AC47" s="67" t="str">
        <f t="shared" si="74"/>
        <v>,</v>
      </c>
      <c r="AD47" s="59">
        <f t="shared" si="75"/>
        <v>7</v>
      </c>
      <c r="AE47" s="68" t="str">
        <f t="shared" si="76"/>
        <v>,</v>
      </c>
      <c r="AF47" s="61">
        <f t="shared" si="77"/>
        <v>350</v>
      </c>
      <c r="AG47" s="61" t="str">
        <f t="shared" si="78"/>
        <v>)</v>
      </c>
      <c r="AH47" s="69" t="str">
        <f t="shared" si="79"/>
        <v>(</v>
      </c>
      <c r="AI47" s="70" t="str">
        <f t="shared" si="80"/>
        <v>Re</v>
      </c>
      <c r="AJ47" s="64" t="str">
        <f t="shared" si="81"/>
        <v>,</v>
      </c>
      <c r="AK47" s="64">
        <f t="shared" si="82"/>
        <v>7</v>
      </c>
      <c r="AL47" s="64" t="str">
        <f t="shared" si="83"/>
        <v>,</v>
      </c>
      <c r="AM47" s="64">
        <f t="shared" si="84"/>
        <v>450</v>
      </c>
      <c r="AN47" s="64" t="str">
        <f t="shared" si="85"/>
        <v>)</v>
      </c>
    </row>
    <row r="48" spans="1:40" ht="24.5" thickTop="1" thickBot="1" x14ac:dyDescent="0.55000000000000004">
      <c r="C48" s="117" t="s">
        <v>1066</v>
      </c>
      <c r="D48" s="112" t="s">
        <v>1029</v>
      </c>
      <c r="E48" s="52">
        <v>7</v>
      </c>
      <c r="F48" s="53" t="s">
        <v>1030</v>
      </c>
      <c r="G48" s="53"/>
      <c r="H48" s="52" t="s">
        <v>1029</v>
      </c>
      <c r="I48" s="52">
        <v>7</v>
      </c>
      <c r="J48" s="54" t="s">
        <v>1015</v>
      </c>
      <c r="K48" s="54"/>
      <c r="L48" s="55" t="str">
        <f t="shared" si="29"/>
        <v xml:space="preserve">            { line: "Paso a paso te sigo sin mirar hacia atrás., (Re,7,22)(Do,,250)(Re,7,350)(Sol,,450)", sC: ""},</v>
      </c>
      <c r="M48" s="56" t="str">
        <f t="shared" si="59"/>
        <v>(</v>
      </c>
      <c r="N48" s="57" t="str">
        <f t="shared" si="60"/>
        <v>Re</v>
      </c>
      <c r="O48" s="58" t="str">
        <f t="shared" si="61"/>
        <v>,</v>
      </c>
      <c r="P48" s="59">
        <f t="shared" si="62"/>
        <v>7</v>
      </c>
      <c r="Q48" s="60" t="str">
        <f t="shared" si="63"/>
        <v>,</v>
      </c>
      <c r="R48" s="61">
        <f t="shared" si="6"/>
        <v>22</v>
      </c>
      <c r="S48" s="56" t="str">
        <f t="shared" si="64"/>
        <v>)</v>
      </c>
      <c r="T48" s="62" t="str">
        <f t="shared" si="65"/>
        <v>(</v>
      </c>
      <c r="U48" s="63" t="str">
        <f t="shared" si="66"/>
        <v>Do</v>
      </c>
      <c r="V48" s="64" t="str">
        <f t="shared" si="67"/>
        <v>,</v>
      </c>
      <c r="W48" s="65" t="str">
        <f t="shared" si="68"/>
        <v/>
      </c>
      <c r="X48" s="64" t="str">
        <f t="shared" si="69"/>
        <v>,</v>
      </c>
      <c r="Y48" s="64">
        <f t="shared" si="70"/>
        <v>250</v>
      </c>
      <c r="Z48" s="56" t="str">
        <f t="shared" si="71"/>
        <v>)</v>
      </c>
      <c r="AA48" s="66" t="str">
        <f t="shared" si="72"/>
        <v>(</v>
      </c>
      <c r="AB48" s="57" t="str">
        <f t="shared" si="73"/>
        <v>Re</v>
      </c>
      <c r="AC48" s="67" t="str">
        <f t="shared" si="74"/>
        <v>,</v>
      </c>
      <c r="AD48" s="59">
        <f t="shared" si="75"/>
        <v>7</v>
      </c>
      <c r="AE48" s="68" t="str">
        <f t="shared" si="76"/>
        <v>,</v>
      </c>
      <c r="AF48" s="61">
        <f t="shared" si="77"/>
        <v>350</v>
      </c>
      <c r="AG48" s="61" t="str">
        <f t="shared" si="78"/>
        <v>)</v>
      </c>
      <c r="AH48" s="69" t="str">
        <f t="shared" si="79"/>
        <v>(</v>
      </c>
      <c r="AI48" s="70" t="str">
        <f t="shared" si="80"/>
        <v>Sol</v>
      </c>
      <c r="AJ48" s="64" t="str">
        <f t="shared" si="81"/>
        <v>,</v>
      </c>
      <c r="AK48" s="64" t="str">
        <f t="shared" si="82"/>
        <v/>
      </c>
      <c r="AL48" s="64" t="str">
        <f t="shared" si="83"/>
        <v>,</v>
      </c>
      <c r="AM48" s="64">
        <f t="shared" si="84"/>
        <v>450</v>
      </c>
      <c r="AN48" s="64" t="str">
        <f t="shared" si="85"/>
        <v>)</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113" t="s">
        <v>1055</v>
      </c>
      <c r="D50" s="112" t="s">
        <v>1015</v>
      </c>
      <c r="E50" s="52"/>
      <c r="F50" s="53" t="s">
        <v>1029</v>
      </c>
      <c r="G50" s="53">
        <v>7</v>
      </c>
      <c r="H50" s="52" t="s">
        <v>1015</v>
      </c>
      <c r="I50" s="52"/>
      <c r="J50" s="54"/>
      <c r="K50" s="54"/>
      <c r="L50" s="55" t="str">
        <f t="shared" ref="L50:L51" si="86">IF(C50="","",_xlfn.CONCAT("            { line: ","""",C50,", ",M50:AN50,""", sC: ","""",B50,"""},"))</f>
        <v xml:space="preserve">            { line: "Qué detalle, Señor, has tenido conmigo, (Sol,,14)(Re,7,250)(Sol,,350)", sC: ""},</v>
      </c>
      <c r="M50" s="56" t="str">
        <f t="shared" ref="M50:M53" si="87">IF(N50="","","(")</f>
        <v>(</v>
      </c>
      <c r="N50" s="57" t="str">
        <f t="shared" ref="N50:N53" si="88">IF(D50="","",D50)</f>
        <v>Sol</v>
      </c>
      <c r="O50" s="58" t="str">
        <f t="shared" ref="O50:O53" si="89">IF(N50="","",",")</f>
        <v>,</v>
      </c>
      <c r="P50" s="59" t="str">
        <f t="shared" ref="P50:P53" si="90">IF(E50="","",E50)</f>
        <v/>
      </c>
      <c r="Q50" s="60" t="str">
        <f t="shared" ref="Q50:Q53" si="91">IF(N50="","",",")</f>
        <v>,</v>
      </c>
      <c r="R50" s="61">
        <f t="shared" ref="R50:R53" si="92">IF(N50="Do",10,IF(N50="Re",22,IF(N50="Mi",20,IF(N50="Fa",20,IF(N50="Sol",14,IF(N50="La",20,IF(N50="Si",20,IF(N50="Do#",14,IF(N50="Fa#",15,IF(N50="Sol#",20,IF(N50="Si♭",17,"")))))))))))</f>
        <v>14</v>
      </c>
      <c r="S50" s="56" t="str">
        <f t="shared" ref="S50:S53" si="93">IF(N50="","",")")</f>
        <v>)</v>
      </c>
      <c r="T50" s="62" t="str">
        <f t="shared" ref="T50:T53" si="94">IF(U50="","","(")</f>
        <v>(</v>
      </c>
      <c r="U50" s="63" t="str">
        <f t="shared" ref="U50:U53" si="95">IF(F50="","",F50)</f>
        <v>Re</v>
      </c>
      <c r="V50" s="64" t="str">
        <f t="shared" ref="V50:V53" si="96">IF(U50="","",",")</f>
        <v>,</v>
      </c>
      <c r="W50" s="65">
        <f t="shared" ref="W50:W53" si="97">IF(G50="","",G50)</f>
        <v>7</v>
      </c>
      <c r="X50" s="64" t="str">
        <f t="shared" ref="X50:X53" si="98">IF(U50="","",",")</f>
        <v>,</v>
      </c>
      <c r="Y50" s="64">
        <f t="shared" ref="Y50:Y53" si="99">IF(U50="","",250)</f>
        <v>250</v>
      </c>
      <c r="Z50" s="56" t="str">
        <f t="shared" ref="Z50:Z53" si="100">IF(U50="","",")")</f>
        <v>)</v>
      </c>
      <c r="AA50" s="66" t="str">
        <f t="shared" ref="AA50:AA53" si="101">IF(AB50="","","(")</f>
        <v>(</v>
      </c>
      <c r="AB50" s="57" t="str">
        <f t="shared" ref="AB50:AB53" si="102">IF(H50="","",H50)</f>
        <v>Sol</v>
      </c>
      <c r="AC50" s="67" t="str">
        <f t="shared" ref="AC50:AC53" si="103">IF(AB50="","",",")</f>
        <v>,</v>
      </c>
      <c r="AD50" s="59" t="str">
        <f t="shared" ref="AD50:AD53" si="104">IF(I50="","",I50)</f>
        <v/>
      </c>
      <c r="AE50" s="68" t="str">
        <f t="shared" ref="AE50:AE53" si="105">IF(AB50="","",",")</f>
        <v>,</v>
      </c>
      <c r="AF50" s="61">
        <f t="shared" ref="AF50:AF53" si="106">IF(AB50="","",350)</f>
        <v>350</v>
      </c>
      <c r="AG50" s="61" t="str">
        <f t="shared" ref="AG50:AG53" si="107">IF(AB50="","",")")</f>
        <v>)</v>
      </c>
      <c r="AH50" s="69" t="str">
        <f t="shared" ref="AH50:AH53" si="108">IF(AI50="","","(")</f>
        <v/>
      </c>
      <c r="AI50" s="70" t="str">
        <f t="shared" ref="AI50:AI53" si="109">IF(J50="","",J50)</f>
        <v/>
      </c>
      <c r="AJ50" s="64" t="str">
        <f t="shared" ref="AJ50:AJ53" si="110">IF(AI50="","",",")</f>
        <v/>
      </c>
      <c r="AK50" s="64" t="str">
        <f t="shared" ref="AK50:AK53" si="111">IF(K50="","",K50)</f>
        <v/>
      </c>
      <c r="AL50" s="64" t="str">
        <f t="shared" ref="AL50:AL53" si="112">IF(AI50="","",",")</f>
        <v/>
      </c>
      <c r="AM50" s="64" t="str">
        <f t="shared" ref="AM50:AM53" si="113">IF(AI50="","",450)</f>
        <v/>
      </c>
      <c r="AN50" s="64" t="str">
        <f t="shared" ref="AN50:AN53" si="114">IF(AI50="","",")")</f>
        <v/>
      </c>
    </row>
    <row r="51" spans="1:40" ht="24.5" thickTop="1" thickBot="1" x14ac:dyDescent="0.55000000000000004">
      <c r="C51" s="113" t="s">
        <v>1056</v>
      </c>
      <c r="D51" s="112" t="s">
        <v>1015</v>
      </c>
      <c r="E51" s="52"/>
      <c r="F51" s="53" t="s">
        <v>1029</v>
      </c>
      <c r="G51" s="53">
        <v>7</v>
      </c>
      <c r="H51" s="52" t="s">
        <v>1015</v>
      </c>
      <c r="I51" s="52"/>
      <c r="J51" s="54"/>
      <c r="K51" s="54"/>
      <c r="L51" s="55" t="str">
        <f t="shared" si="86"/>
        <v xml:space="preserve">            { line: "cuando me llamaste, cuando me elegiste,, (Sol,,14)(Re,7,250)(Sol,,350)", sC: ""},</v>
      </c>
      <c r="M51" s="56" t="str">
        <f t="shared" si="87"/>
        <v>(</v>
      </c>
      <c r="N51" s="57" t="str">
        <f t="shared" si="88"/>
        <v>Sol</v>
      </c>
      <c r="O51" s="58" t="str">
        <f t="shared" si="89"/>
        <v>,</v>
      </c>
      <c r="P51" s="59" t="str">
        <f t="shared" si="90"/>
        <v/>
      </c>
      <c r="Q51" s="60" t="str">
        <f t="shared" si="91"/>
        <v>,</v>
      </c>
      <c r="R51" s="61">
        <f t="shared" si="92"/>
        <v>14</v>
      </c>
      <c r="S51" s="56" t="str">
        <f t="shared" si="93"/>
        <v>)</v>
      </c>
      <c r="T51" s="62" t="str">
        <f t="shared" si="94"/>
        <v>(</v>
      </c>
      <c r="U51" s="63" t="str">
        <f t="shared" si="95"/>
        <v>Re</v>
      </c>
      <c r="V51" s="64" t="str">
        <f t="shared" si="96"/>
        <v>,</v>
      </c>
      <c r="W51" s="65">
        <f t="shared" si="97"/>
        <v>7</v>
      </c>
      <c r="X51" s="64" t="str">
        <f t="shared" si="98"/>
        <v>,</v>
      </c>
      <c r="Y51" s="64">
        <f t="shared" si="99"/>
        <v>250</v>
      </c>
      <c r="Z51" s="56" t="str">
        <f t="shared" si="100"/>
        <v>)</v>
      </c>
      <c r="AA51" s="66" t="str">
        <f t="shared" si="101"/>
        <v>(</v>
      </c>
      <c r="AB51" s="57" t="str">
        <f t="shared" si="102"/>
        <v>Sol</v>
      </c>
      <c r="AC51" s="67" t="str">
        <f t="shared" si="103"/>
        <v>,</v>
      </c>
      <c r="AD51" s="59" t="str">
        <f t="shared" si="104"/>
        <v/>
      </c>
      <c r="AE51" s="68" t="str">
        <f t="shared" si="105"/>
        <v>,</v>
      </c>
      <c r="AF51" s="61">
        <f t="shared" si="106"/>
        <v>350</v>
      </c>
      <c r="AG51" s="61" t="str">
        <f t="shared" si="107"/>
        <v>)</v>
      </c>
      <c r="AH51" s="69" t="str">
        <f t="shared" si="108"/>
        <v/>
      </c>
      <c r="AI51" s="70" t="str">
        <f t="shared" si="109"/>
        <v/>
      </c>
      <c r="AJ51" s="64" t="str">
        <f t="shared" si="110"/>
        <v/>
      </c>
      <c r="AK51" s="64" t="str">
        <f t="shared" si="111"/>
        <v/>
      </c>
      <c r="AL51" s="64" t="str">
        <f t="shared" si="112"/>
        <v/>
      </c>
      <c r="AM51" s="64" t="str">
        <f t="shared" si="113"/>
        <v/>
      </c>
      <c r="AN51" s="64" t="str">
        <f t="shared" si="114"/>
        <v/>
      </c>
    </row>
    <row r="52" spans="1:40" ht="24.5" thickTop="1" thickBot="1" x14ac:dyDescent="0.55000000000000004">
      <c r="C52" s="113" t="s">
        <v>1057</v>
      </c>
      <c r="D52" s="112" t="s">
        <v>1030</v>
      </c>
      <c r="E52" s="52"/>
      <c r="F52" s="53" t="s">
        <v>1015</v>
      </c>
      <c r="G52" s="53"/>
      <c r="H52" s="52"/>
      <c r="I52" s="52"/>
      <c r="J52" s="54"/>
      <c r="K52" s="54"/>
      <c r="L52" s="55" t="str">
        <f>IF(C52="","",_xlfn.CONCAT("            { line: ","""",C52,", ",M52:AN52,""", sC: ","""",B52,"""},"))</f>
        <v xml:space="preserve">            { line: "cuando me dijiste que tú eras mi amigo.Sol, (Do,,10)(Sol,,250)", sC: ""},</v>
      </c>
      <c r="M52" s="56" t="str">
        <f t="shared" si="87"/>
        <v>(</v>
      </c>
      <c r="N52" s="57" t="str">
        <f t="shared" si="88"/>
        <v>Do</v>
      </c>
      <c r="O52" s="58" t="str">
        <f t="shared" si="89"/>
        <v>,</v>
      </c>
      <c r="P52" s="59" t="str">
        <f t="shared" si="90"/>
        <v/>
      </c>
      <c r="Q52" s="60" t="str">
        <f t="shared" si="91"/>
        <v>,</v>
      </c>
      <c r="R52" s="61">
        <f t="shared" si="92"/>
        <v>10</v>
      </c>
      <c r="S52" s="56" t="str">
        <f t="shared" si="93"/>
        <v>)</v>
      </c>
      <c r="T52" s="62" t="str">
        <f t="shared" si="94"/>
        <v>(</v>
      </c>
      <c r="U52" s="63" t="str">
        <f t="shared" si="95"/>
        <v>Sol</v>
      </c>
      <c r="V52" s="64" t="str">
        <f t="shared" si="96"/>
        <v>,</v>
      </c>
      <c r="W52" s="65" t="str">
        <f t="shared" si="97"/>
        <v/>
      </c>
      <c r="X52" s="64" t="str">
        <f t="shared" si="98"/>
        <v>,</v>
      </c>
      <c r="Y52" s="64">
        <f t="shared" si="99"/>
        <v>250</v>
      </c>
      <c r="Z52" s="56" t="str">
        <f t="shared" si="100"/>
        <v>)</v>
      </c>
      <c r="AA52" s="66" t="str">
        <f t="shared" si="101"/>
        <v/>
      </c>
      <c r="AB52" s="57" t="str">
        <f t="shared" si="102"/>
        <v/>
      </c>
      <c r="AC52" s="67" t="str">
        <f t="shared" si="103"/>
        <v/>
      </c>
      <c r="AD52" s="59" t="str">
        <f t="shared" si="104"/>
        <v/>
      </c>
      <c r="AE52" s="68" t="str">
        <f t="shared" si="105"/>
        <v/>
      </c>
      <c r="AF52" s="61" t="str">
        <f t="shared" si="106"/>
        <v/>
      </c>
      <c r="AG52" s="61" t="str">
        <f t="shared" si="107"/>
        <v/>
      </c>
      <c r="AH52" s="69" t="str">
        <f t="shared" si="108"/>
        <v/>
      </c>
      <c r="AI52" s="70" t="str">
        <f t="shared" si="109"/>
        <v/>
      </c>
      <c r="AJ52" s="64" t="str">
        <f t="shared" si="110"/>
        <v/>
      </c>
      <c r="AK52" s="64" t="str">
        <f t="shared" si="111"/>
        <v/>
      </c>
      <c r="AL52" s="64" t="str">
        <f t="shared" si="112"/>
        <v/>
      </c>
      <c r="AM52" s="64" t="str">
        <f t="shared" si="113"/>
        <v/>
      </c>
      <c r="AN52" s="64" t="str">
        <f t="shared" si="114"/>
        <v/>
      </c>
    </row>
    <row r="53" spans="1:40" ht="24.5" thickTop="1" thickBot="1" x14ac:dyDescent="0.55000000000000004">
      <c r="C53" s="113" t="s">
        <v>1058</v>
      </c>
      <c r="D53" s="112" t="s">
        <v>1029</v>
      </c>
      <c r="E53" s="52">
        <v>7</v>
      </c>
      <c r="F53" s="53" t="s">
        <v>1015</v>
      </c>
      <c r="G53" s="53"/>
      <c r="H53" s="52"/>
      <c r="I53" s="52"/>
      <c r="J53" s="54"/>
      <c r="K53" s="54"/>
      <c r="L53" s="55" t="str">
        <f>IF(C53="","",_xlfn.CONCAT("            { line: ","""",C53,", ",M53:AN53,""", sC: ","""",B53,"""},"))</f>
        <v xml:space="preserve">            { line: "qué detalle, Señor, has tenido conmigo., (Re,7,22)(Sol,,250)", sC: ""},</v>
      </c>
      <c r="M53" s="56" t="str">
        <f t="shared" si="87"/>
        <v>(</v>
      </c>
      <c r="N53" s="57" t="str">
        <f t="shared" si="88"/>
        <v>Re</v>
      </c>
      <c r="O53" s="58" t="str">
        <f t="shared" si="89"/>
        <v>,</v>
      </c>
      <c r="P53" s="59">
        <f t="shared" si="90"/>
        <v>7</v>
      </c>
      <c r="Q53" s="60" t="str">
        <f t="shared" si="91"/>
        <v>,</v>
      </c>
      <c r="R53" s="61">
        <f t="shared" si="92"/>
        <v>22</v>
      </c>
      <c r="S53" s="56" t="str">
        <f t="shared" si="93"/>
        <v>)</v>
      </c>
      <c r="T53" s="62" t="str">
        <f t="shared" si="94"/>
        <v>(</v>
      </c>
      <c r="U53" s="63" t="str">
        <f t="shared" si="95"/>
        <v>Sol</v>
      </c>
      <c r="V53" s="64" t="str">
        <f t="shared" si="96"/>
        <v>,</v>
      </c>
      <c r="W53" s="65" t="str">
        <f t="shared" si="97"/>
        <v/>
      </c>
      <c r="X53" s="64" t="str">
        <f t="shared" si="98"/>
        <v>,</v>
      </c>
      <c r="Y53" s="64">
        <f t="shared" si="99"/>
        <v>250</v>
      </c>
      <c r="Z53" s="56" t="str">
        <f t="shared" si="100"/>
        <v>)</v>
      </c>
      <c r="AA53" s="66" t="str">
        <f t="shared" si="101"/>
        <v/>
      </c>
      <c r="AB53" s="57" t="str">
        <f t="shared" si="102"/>
        <v/>
      </c>
      <c r="AC53" s="67" t="str">
        <f t="shared" si="103"/>
        <v/>
      </c>
      <c r="AD53" s="59" t="str">
        <f t="shared" si="104"/>
        <v/>
      </c>
      <c r="AE53" s="68" t="str">
        <f t="shared" si="105"/>
        <v/>
      </c>
      <c r="AF53" s="61" t="str">
        <f t="shared" si="106"/>
        <v/>
      </c>
      <c r="AG53" s="61" t="str">
        <f t="shared" si="107"/>
        <v/>
      </c>
      <c r="AH53" s="69" t="str">
        <f t="shared" si="108"/>
        <v/>
      </c>
      <c r="AI53" s="70" t="str">
        <f t="shared" si="109"/>
        <v/>
      </c>
      <c r="AJ53" s="64" t="str">
        <f t="shared" si="110"/>
        <v/>
      </c>
      <c r="AK53" s="64" t="str">
        <f t="shared" si="111"/>
        <v/>
      </c>
      <c r="AL53" s="64" t="str">
        <f t="shared" si="112"/>
        <v/>
      </c>
      <c r="AM53" s="64" t="str">
        <f t="shared" si="113"/>
        <v/>
      </c>
      <c r="AN53" s="64" t="str">
        <f t="shared" si="114"/>
        <v/>
      </c>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hidden="1" outlineLevel="1" thickTop="1" thickBot="1" x14ac:dyDescent="0.55000000000000004">
      <c r="C55" s="113"/>
      <c r="D55" s="112"/>
      <c r="E55" s="52"/>
      <c r="F55" s="53"/>
      <c r="G55" s="53"/>
      <c r="H55" s="52"/>
      <c r="I55" s="52"/>
      <c r="J55" s="54"/>
      <c r="K55" s="54"/>
      <c r="L55" s="55" t="str">
        <f t="shared" ref="L55:L88" si="115">IF(C55="","",_xlfn.CONCAT("            { line: ","""",C55,", ",M55:AN55,""", sC: ","""",B55,"""},"))</f>
        <v/>
      </c>
      <c r="M55" s="56" t="str">
        <f t="shared" ref="M55:M90" si="116">IF(N55="","","(")</f>
        <v/>
      </c>
      <c r="N55" s="57" t="str">
        <f t="shared" si="2"/>
        <v/>
      </c>
      <c r="O55" s="58" t="str">
        <f t="shared" ref="O55:O90" si="117">IF(N55="","",",")</f>
        <v/>
      </c>
      <c r="P55" s="59" t="str">
        <f t="shared" si="4"/>
        <v/>
      </c>
      <c r="Q55" s="60" t="str">
        <f t="shared" ref="Q55:Q90" si="118">IF(N55="","",",")</f>
        <v/>
      </c>
      <c r="R55" s="61" t="str">
        <f t="shared" si="6"/>
        <v/>
      </c>
      <c r="S55" s="56" t="str">
        <f t="shared" ref="S55:S90" si="119">IF(N55="","",")")</f>
        <v/>
      </c>
      <c r="T55" s="62" t="str">
        <f t="shared" ref="T55:T90" si="120">IF(U55="","","(")</f>
        <v/>
      </c>
      <c r="U55" s="63" t="str">
        <f t="shared" si="9"/>
        <v/>
      </c>
      <c r="V55" s="64" t="str">
        <f t="shared" ref="V55:V90" si="121">IF(U55="","",",")</f>
        <v/>
      </c>
      <c r="W55" s="65" t="str">
        <f t="shared" si="11"/>
        <v/>
      </c>
      <c r="X55" s="64" t="str">
        <f t="shared" ref="X55:X90" si="122">IF(U55="","",",")</f>
        <v/>
      </c>
      <c r="Y55" s="64" t="str">
        <f t="shared" ref="Y55:Y90" si="123">IF(U55="","",250)</f>
        <v/>
      </c>
      <c r="Z55" s="56" t="str">
        <f t="shared" ref="Z55:Z90" si="124">IF(U55="","",")")</f>
        <v/>
      </c>
      <c r="AA55" s="66" t="str">
        <f t="shared" ref="AA55:AA90" si="125">IF(AB55="","","(")</f>
        <v/>
      </c>
      <c r="AB55" s="57" t="str">
        <f t="shared" si="16"/>
        <v/>
      </c>
      <c r="AC55" s="67" t="str">
        <f t="shared" ref="AC55:AC90" si="126">IF(AB55="","",",")</f>
        <v/>
      </c>
      <c r="AD55" s="59" t="str">
        <f t="shared" ref="AD55:AD90" si="127">IF(I55="","",I55)</f>
        <v/>
      </c>
      <c r="AE55" s="68" t="str">
        <f t="shared" ref="AE55:AE90" si="128">IF(AB55="","",",")</f>
        <v/>
      </c>
      <c r="AF55" s="61" t="str">
        <f t="shared" ref="AF55:AF90" si="129">IF(AB55="","",350)</f>
        <v/>
      </c>
      <c r="AG55" s="61" t="str">
        <f t="shared" ref="AG55:AG90" si="130">IF(AB55="","",")")</f>
        <v/>
      </c>
      <c r="AH55" s="69" t="str">
        <f t="shared" ref="AH55:AH90" si="131">IF(AI55="","","(")</f>
        <v/>
      </c>
      <c r="AI55" s="70" t="str">
        <f t="shared" si="23"/>
        <v/>
      </c>
      <c r="AJ55" s="64" t="str">
        <f t="shared" ref="AJ55:AJ90" si="132">IF(AI55="","",",")</f>
        <v/>
      </c>
      <c r="AK55" s="64" t="str">
        <f t="shared" ref="AK55:AK90" si="133">IF(K55="","",K55)</f>
        <v/>
      </c>
      <c r="AL55" s="64" t="str">
        <f t="shared" ref="AL55:AL90" si="134">IF(AI55="","",",")</f>
        <v/>
      </c>
      <c r="AM55" s="64" t="str">
        <f t="shared" ref="AM55:AM90" si="135">IF(AI55="","",450)</f>
        <v/>
      </c>
      <c r="AN55" s="64" t="str">
        <f t="shared" ref="AN55:AN90" si="136">IF(AI55="","",")")</f>
        <v/>
      </c>
    </row>
    <row r="56" spans="1:40" ht="24.5" hidden="1" outlineLevel="1" thickTop="1" thickBot="1" x14ac:dyDescent="0.55000000000000004">
      <c r="C56" s="113"/>
      <c r="D56" s="112"/>
      <c r="E56" s="52"/>
      <c r="F56" s="53"/>
      <c r="G56" s="53"/>
      <c r="H56" s="52"/>
      <c r="I56" s="52"/>
      <c r="J56" s="54"/>
      <c r="K56" s="54"/>
      <c r="L56" s="55" t="str">
        <f t="shared" si="115"/>
        <v/>
      </c>
      <c r="M56" s="56" t="str">
        <f t="shared" si="116"/>
        <v/>
      </c>
      <c r="N56" s="57" t="str">
        <f t="shared" si="2"/>
        <v/>
      </c>
      <c r="O56" s="58" t="str">
        <f t="shared" si="117"/>
        <v/>
      </c>
      <c r="P56" s="59" t="str">
        <f t="shared" si="4"/>
        <v/>
      </c>
      <c r="Q56" s="60" t="str">
        <f t="shared" si="118"/>
        <v/>
      </c>
      <c r="R56" s="61" t="str">
        <f t="shared" si="6"/>
        <v/>
      </c>
      <c r="S56" s="56" t="str">
        <f t="shared" si="119"/>
        <v/>
      </c>
      <c r="T56" s="62" t="str">
        <f t="shared" si="120"/>
        <v/>
      </c>
      <c r="U56" s="63" t="str">
        <f t="shared" si="9"/>
        <v/>
      </c>
      <c r="V56" s="64" t="str">
        <f t="shared" si="121"/>
        <v/>
      </c>
      <c r="W56" s="65" t="str">
        <f t="shared" si="11"/>
        <v/>
      </c>
      <c r="X56" s="64" t="str">
        <f t="shared" si="122"/>
        <v/>
      </c>
      <c r="Y56" s="64" t="str">
        <f t="shared" si="123"/>
        <v/>
      </c>
      <c r="Z56" s="56" t="str">
        <f t="shared" si="124"/>
        <v/>
      </c>
      <c r="AA56" s="66" t="str">
        <f t="shared" si="125"/>
        <v/>
      </c>
      <c r="AB56" s="57" t="str">
        <f t="shared" si="16"/>
        <v/>
      </c>
      <c r="AC56" s="67" t="str">
        <f t="shared" si="126"/>
        <v/>
      </c>
      <c r="AD56" s="59" t="str">
        <f t="shared" si="127"/>
        <v/>
      </c>
      <c r="AE56" s="68" t="str">
        <f t="shared" si="128"/>
        <v/>
      </c>
      <c r="AF56" s="61" t="str">
        <f t="shared" si="129"/>
        <v/>
      </c>
      <c r="AG56" s="61" t="str">
        <f t="shared" si="130"/>
        <v/>
      </c>
      <c r="AH56" s="69" t="str">
        <f t="shared" si="131"/>
        <v/>
      </c>
      <c r="AI56" s="70" t="str">
        <f t="shared" si="23"/>
        <v/>
      </c>
      <c r="AJ56" s="64" t="str">
        <f t="shared" si="132"/>
        <v/>
      </c>
      <c r="AK56" s="64" t="str">
        <f t="shared" si="133"/>
        <v/>
      </c>
      <c r="AL56" s="64" t="str">
        <f t="shared" si="134"/>
        <v/>
      </c>
      <c r="AM56" s="64" t="str">
        <f t="shared" si="135"/>
        <v/>
      </c>
      <c r="AN56" s="64" t="str">
        <f t="shared" si="136"/>
        <v/>
      </c>
    </row>
    <row r="57" spans="1:40" ht="24.5" hidden="1" outlineLevel="1" thickTop="1" thickBot="1" x14ac:dyDescent="0.55000000000000004">
      <c r="C57" s="113"/>
      <c r="D57" s="112"/>
      <c r="E57" s="52"/>
      <c r="F57" s="53"/>
      <c r="G57" s="53"/>
      <c r="H57" s="52"/>
      <c r="I57" s="52"/>
      <c r="J57" s="54"/>
      <c r="K57" s="54"/>
      <c r="L57" s="55" t="str">
        <f t="shared" si="115"/>
        <v/>
      </c>
      <c r="M57" s="56" t="str">
        <f t="shared" si="116"/>
        <v/>
      </c>
      <c r="N57" s="57" t="str">
        <f t="shared" si="2"/>
        <v/>
      </c>
      <c r="O57" s="58" t="str">
        <f t="shared" si="117"/>
        <v/>
      </c>
      <c r="P57" s="59" t="str">
        <f t="shared" si="4"/>
        <v/>
      </c>
      <c r="Q57" s="60" t="str">
        <f t="shared" si="118"/>
        <v/>
      </c>
      <c r="R57" s="61" t="str">
        <f t="shared" si="6"/>
        <v/>
      </c>
      <c r="S57" s="56" t="str">
        <f t="shared" si="119"/>
        <v/>
      </c>
      <c r="T57" s="62" t="str">
        <f t="shared" si="120"/>
        <v/>
      </c>
      <c r="U57" s="63" t="str">
        <f t="shared" si="9"/>
        <v/>
      </c>
      <c r="V57" s="64" t="str">
        <f t="shared" si="121"/>
        <v/>
      </c>
      <c r="W57" s="65" t="str">
        <f t="shared" si="11"/>
        <v/>
      </c>
      <c r="X57" s="64" t="str">
        <f t="shared" si="122"/>
        <v/>
      </c>
      <c r="Y57" s="64" t="str">
        <f t="shared" si="123"/>
        <v/>
      </c>
      <c r="Z57" s="56" t="str">
        <f t="shared" si="124"/>
        <v/>
      </c>
      <c r="AA57" s="66" t="str">
        <f t="shared" si="125"/>
        <v/>
      </c>
      <c r="AB57" s="57" t="str">
        <f t="shared" si="16"/>
        <v/>
      </c>
      <c r="AC57" s="67" t="str">
        <f t="shared" si="126"/>
        <v/>
      </c>
      <c r="AD57" s="59" t="str">
        <f t="shared" si="127"/>
        <v/>
      </c>
      <c r="AE57" s="68" t="str">
        <f t="shared" si="128"/>
        <v/>
      </c>
      <c r="AF57" s="61" t="str">
        <f t="shared" si="129"/>
        <v/>
      </c>
      <c r="AG57" s="61" t="str">
        <f t="shared" si="130"/>
        <v/>
      </c>
      <c r="AH57" s="69" t="str">
        <f t="shared" si="131"/>
        <v/>
      </c>
      <c r="AI57" s="70" t="str">
        <f t="shared" si="23"/>
        <v/>
      </c>
      <c r="AJ57" s="64" t="str">
        <f t="shared" si="132"/>
        <v/>
      </c>
      <c r="AK57" s="64" t="str">
        <f t="shared" si="133"/>
        <v/>
      </c>
      <c r="AL57" s="64" t="str">
        <f t="shared" si="134"/>
        <v/>
      </c>
      <c r="AM57" s="64" t="str">
        <f t="shared" si="135"/>
        <v/>
      </c>
      <c r="AN57" s="64" t="str">
        <f t="shared" si="136"/>
        <v/>
      </c>
    </row>
    <row r="58" spans="1:40" ht="24.5" hidden="1" outlineLevel="1" thickTop="1" thickBot="1" x14ac:dyDescent="0.55000000000000004">
      <c r="C58" s="113"/>
      <c r="D58" s="112"/>
      <c r="E58" s="52"/>
      <c r="F58" s="53"/>
      <c r="G58" s="53"/>
      <c r="H58" s="52"/>
      <c r="I58" s="52"/>
      <c r="J58" s="54"/>
      <c r="K58" s="54"/>
      <c r="L58" s="55" t="str">
        <f t="shared" si="115"/>
        <v/>
      </c>
      <c r="M58" s="56" t="str">
        <f t="shared" si="116"/>
        <v/>
      </c>
      <c r="N58" s="57" t="str">
        <f t="shared" si="2"/>
        <v/>
      </c>
      <c r="O58" s="58" t="str">
        <f t="shared" si="117"/>
        <v/>
      </c>
      <c r="P58" s="59" t="str">
        <f t="shared" si="4"/>
        <v/>
      </c>
      <c r="Q58" s="60" t="str">
        <f t="shared" si="118"/>
        <v/>
      </c>
      <c r="R58" s="61" t="str">
        <f t="shared" si="6"/>
        <v/>
      </c>
      <c r="S58" s="56" t="str">
        <f t="shared" si="119"/>
        <v/>
      </c>
      <c r="T58" s="62" t="str">
        <f t="shared" si="120"/>
        <v/>
      </c>
      <c r="U58" s="63" t="str">
        <f t="shared" si="9"/>
        <v/>
      </c>
      <c r="V58" s="64" t="str">
        <f t="shared" si="121"/>
        <v/>
      </c>
      <c r="W58" s="65" t="str">
        <f t="shared" si="11"/>
        <v/>
      </c>
      <c r="X58" s="64" t="str">
        <f t="shared" si="122"/>
        <v/>
      </c>
      <c r="Y58" s="64" t="str">
        <f t="shared" si="123"/>
        <v/>
      </c>
      <c r="Z58" s="56" t="str">
        <f t="shared" si="124"/>
        <v/>
      </c>
      <c r="AA58" s="66" t="str">
        <f t="shared" si="125"/>
        <v/>
      </c>
      <c r="AB58" s="57" t="str">
        <f t="shared" si="16"/>
        <v/>
      </c>
      <c r="AC58" s="67" t="str">
        <f t="shared" si="126"/>
        <v/>
      </c>
      <c r="AD58" s="59" t="str">
        <f t="shared" si="127"/>
        <v/>
      </c>
      <c r="AE58" s="68" t="str">
        <f t="shared" si="128"/>
        <v/>
      </c>
      <c r="AF58" s="61" t="str">
        <f t="shared" si="129"/>
        <v/>
      </c>
      <c r="AG58" s="61" t="str">
        <f t="shared" si="130"/>
        <v/>
      </c>
      <c r="AH58" s="69" t="str">
        <f t="shared" si="131"/>
        <v/>
      </c>
      <c r="AI58" s="70" t="str">
        <f t="shared" si="23"/>
        <v/>
      </c>
      <c r="AJ58" s="64" t="str">
        <f t="shared" si="132"/>
        <v/>
      </c>
      <c r="AK58" s="64" t="str">
        <f t="shared" si="133"/>
        <v/>
      </c>
      <c r="AL58" s="64" t="str">
        <f t="shared" si="134"/>
        <v/>
      </c>
      <c r="AM58" s="64" t="str">
        <f t="shared" si="135"/>
        <v/>
      </c>
      <c r="AN58" s="64" t="str">
        <f t="shared" si="136"/>
        <v/>
      </c>
    </row>
    <row r="59" spans="1:40" ht="24.5" hidden="1" outlineLevel="1" thickTop="1" thickBot="1" x14ac:dyDescent="0.55000000000000004">
      <c r="C59" s="113"/>
      <c r="D59" s="112"/>
      <c r="E59" s="52"/>
      <c r="F59" s="53"/>
      <c r="G59" s="53"/>
      <c r="H59" s="52"/>
      <c r="I59" s="52"/>
      <c r="J59" s="54"/>
      <c r="K59" s="54"/>
      <c r="L59" s="78" t="str">
        <f t="shared" si="115"/>
        <v/>
      </c>
      <c r="M59" s="56" t="str">
        <f t="shared" si="116"/>
        <v/>
      </c>
      <c r="N59" s="57" t="str">
        <f t="shared" si="2"/>
        <v/>
      </c>
      <c r="O59" s="58" t="str">
        <f t="shared" si="117"/>
        <v/>
      </c>
      <c r="P59" s="59" t="str">
        <f t="shared" si="4"/>
        <v/>
      </c>
      <c r="Q59" s="60" t="str">
        <f t="shared" si="118"/>
        <v/>
      </c>
      <c r="R59" s="61" t="str">
        <f t="shared" si="6"/>
        <v/>
      </c>
      <c r="S59" s="56" t="str">
        <f t="shared" si="119"/>
        <v/>
      </c>
      <c r="T59" s="62" t="str">
        <f t="shared" si="120"/>
        <v/>
      </c>
      <c r="U59" s="63" t="str">
        <f t="shared" si="9"/>
        <v/>
      </c>
      <c r="V59" s="64" t="str">
        <f t="shared" si="121"/>
        <v/>
      </c>
      <c r="W59" s="65" t="str">
        <f t="shared" si="11"/>
        <v/>
      </c>
      <c r="X59" s="64" t="str">
        <f t="shared" si="122"/>
        <v/>
      </c>
      <c r="Y59" s="64" t="str">
        <f t="shared" si="123"/>
        <v/>
      </c>
      <c r="Z59" s="56" t="str">
        <f t="shared" si="124"/>
        <v/>
      </c>
      <c r="AA59" s="66" t="str">
        <f t="shared" si="125"/>
        <v/>
      </c>
      <c r="AB59" s="57" t="str">
        <f t="shared" si="16"/>
        <v/>
      </c>
      <c r="AC59" s="67" t="str">
        <f t="shared" si="126"/>
        <v/>
      </c>
      <c r="AD59" s="59" t="str">
        <f t="shared" si="127"/>
        <v/>
      </c>
      <c r="AE59" s="68" t="str">
        <f t="shared" si="128"/>
        <v/>
      </c>
      <c r="AF59" s="61" t="str">
        <f t="shared" si="129"/>
        <v/>
      </c>
      <c r="AG59" s="61" t="str">
        <f t="shared" si="130"/>
        <v/>
      </c>
      <c r="AH59" s="69" t="str">
        <f t="shared" si="131"/>
        <v/>
      </c>
      <c r="AI59" s="70" t="str">
        <f t="shared" si="23"/>
        <v/>
      </c>
      <c r="AJ59" s="64" t="str">
        <f t="shared" si="132"/>
        <v/>
      </c>
      <c r="AK59" s="64" t="str">
        <f t="shared" si="133"/>
        <v/>
      </c>
      <c r="AL59" s="64" t="str">
        <f t="shared" si="134"/>
        <v/>
      </c>
      <c r="AM59" s="64" t="str">
        <f t="shared" si="135"/>
        <v/>
      </c>
      <c r="AN59" s="64" t="str">
        <f t="shared" si="136"/>
        <v/>
      </c>
    </row>
    <row r="60" spans="1:40" ht="24.5" hidden="1" outlineLevel="1" thickTop="1" thickBot="1" x14ac:dyDescent="0.55000000000000004">
      <c r="C60" s="113"/>
      <c r="D60" s="112"/>
      <c r="E60" s="52"/>
      <c r="F60" s="53"/>
      <c r="G60" s="53"/>
      <c r="H60" s="52"/>
      <c r="I60" s="52"/>
      <c r="J60" s="54"/>
      <c r="K60" s="54"/>
      <c r="L60" s="78" t="str">
        <f t="shared" si="115"/>
        <v/>
      </c>
      <c r="M60" s="56" t="str">
        <f t="shared" si="116"/>
        <v/>
      </c>
      <c r="N60" s="57" t="str">
        <f t="shared" si="2"/>
        <v/>
      </c>
      <c r="O60" s="58" t="str">
        <f t="shared" si="117"/>
        <v/>
      </c>
      <c r="P60" s="59" t="str">
        <f t="shared" si="4"/>
        <v/>
      </c>
      <c r="Q60" s="60" t="str">
        <f t="shared" si="118"/>
        <v/>
      </c>
      <c r="R60" s="61" t="str">
        <f t="shared" si="6"/>
        <v/>
      </c>
      <c r="S60" s="56" t="str">
        <f t="shared" si="119"/>
        <v/>
      </c>
      <c r="T60" s="62" t="str">
        <f t="shared" si="120"/>
        <v/>
      </c>
      <c r="U60" s="63" t="str">
        <f t="shared" si="9"/>
        <v/>
      </c>
      <c r="V60" s="64" t="str">
        <f t="shared" si="121"/>
        <v/>
      </c>
      <c r="W60" s="65" t="str">
        <f t="shared" si="11"/>
        <v/>
      </c>
      <c r="X60" s="64" t="str">
        <f t="shared" si="122"/>
        <v/>
      </c>
      <c r="Y60" s="64" t="str">
        <f t="shared" si="123"/>
        <v/>
      </c>
      <c r="Z60" s="56" t="str">
        <f t="shared" si="124"/>
        <v/>
      </c>
      <c r="AA60" s="66" t="str">
        <f t="shared" si="125"/>
        <v/>
      </c>
      <c r="AB60" s="57" t="str">
        <f t="shared" si="16"/>
        <v/>
      </c>
      <c r="AC60" s="67" t="str">
        <f t="shared" si="126"/>
        <v/>
      </c>
      <c r="AD60" s="59" t="str">
        <f t="shared" si="127"/>
        <v/>
      </c>
      <c r="AE60" s="68" t="str">
        <f t="shared" si="128"/>
        <v/>
      </c>
      <c r="AF60" s="61" t="str">
        <f t="shared" si="129"/>
        <v/>
      </c>
      <c r="AG60" s="61" t="str">
        <f t="shared" si="130"/>
        <v/>
      </c>
      <c r="AH60" s="69" t="str">
        <f t="shared" si="131"/>
        <v/>
      </c>
      <c r="AI60" s="70" t="str">
        <f t="shared" si="23"/>
        <v/>
      </c>
      <c r="AJ60" s="64" t="str">
        <f t="shared" si="132"/>
        <v/>
      </c>
      <c r="AK60" s="64" t="str">
        <f t="shared" si="133"/>
        <v/>
      </c>
      <c r="AL60" s="64" t="str">
        <f t="shared" si="134"/>
        <v/>
      </c>
      <c r="AM60" s="64" t="str">
        <f t="shared" si="135"/>
        <v/>
      </c>
      <c r="AN60" s="64" t="str">
        <f t="shared" si="136"/>
        <v/>
      </c>
    </row>
    <row r="61" spans="1:40" ht="24.5" hidden="1" outlineLevel="1" thickTop="1" thickBot="1" x14ac:dyDescent="0.55000000000000004">
      <c r="C61" s="113"/>
      <c r="D61" s="112"/>
      <c r="E61" s="52"/>
      <c r="F61" s="53"/>
      <c r="G61" s="53"/>
      <c r="H61" s="52"/>
      <c r="I61" s="52"/>
      <c r="J61" s="54"/>
      <c r="K61" s="54"/>
      <c r="L61" s="78" t="str">
        <f t="shared" si="115"/>
        <v/>
      </c>
      <c r="M61" s="56" t="str">
        <f t="shared" si="116"/>
        <v/>
      </c>
      <c r="N61" s="57" t="str">
        <f t="shared" si="2"/>
        <v/>
      </c>
      <c r="O61" s="58" t="str">
        <f t="shared" si="117"/>
        <v/>
      </c>
      <c r="P61" s="59" t="str">
        <f t="shared" si="4"/>
        <v/>
      </c>
      <c r="Q61" s="60" t="str">
        <f t="shared" si="118"/>
        <v/>
      </c>
      <c r="R61" s="61" t="str">
        <f t="shared" si="6"/>
        <v/>
      </c>
      <c r="S61" s="56" t="str">
        <f t="shared" si="119"/>
        <v/>
      </c>
      <c r="T61" s="62" t="str">
        <f t="shared" si="120"/>
        <v/>
      </c>
      <c r="U61" s="63" t="str">
        <f t="shared" si="9"/>
        <v/>
      </c>
      <c r="V61" s="64" t="str">
        <f t="shared" si="121"/>
        <v/>
      </c>
      <c r="W61" s="65" t="str">
        <f t="shared" si="11"/>
        <v/>
      </c>
      <c r="X61" s="64" t="str">
        <f t="shared" si="122"/>
        <v/>
      </c>
      <c r="Y61" s="64" t="str">
        <f t="shared" si="123"/>
        <v/>
      </c>
      <c r="Z61" s="56" t="str">
        <f t="shared" si="124"/>
        <v/>
      </c>
      <c r="AA61" s="66" t="str">
        <f t="shared" si="125"/>
        <v/>
      </c>
      <c r="AB61" s="57" t="str">
        <f t="shared" si="16"/>
        <v/>
      </c>
      <c r="AC61" s="67" t="str">
        <f t="shared" si="126"/>
        <v/>
      </c>
      <c r="AD61" s="59" t="str">
        <f t="shared" si="127"/>
        <v/>
      </c>
      <c r="AE61" s="68" t="str">
        <f t="shared" si="128"/>
        <v/>
      </c>
      <c r="AF61" s="61" t="str">
        <f t="shared" si="129"/>
        <v/>
      </c>
      <c r="AG61" s="61" t="str">
        <f t="shared" si="130"/>
        <v/>
      </c>
      <c r="AH61" s="69" t="str">
        <f t="shared" si="131"/>
        <v/>
      </c>
      <c r="AI61" s="70" t="str">
        <f t="shared" si="23"/>
        <v/>
      </c>
      <c r="AJ61" s="64" t="str">
        <f t="shared" si="132"/>
        <v/>
      </c>
      <c r="AK61" s="64" t="str">
        <f t="shared" si="133"/>
        <v/>
      </c>
      <c r="AL61" s="64" t="str">
        <f t="shared" si="134"/>
        <v/>
      </c>
      <c r="AM61" s="64" t="str">
        <f t="shared" si="135"/>
        <v/>
      </c>
      <c r="AN61" s="64" t="str">
        <f t="shared" si="136"/>
        <v/>
      </c>
    </row>
    <row r="62" spans="1:40" ht="24.5" hidden="1" outlineLevel="1" thickTop="1" thickBot="1" x14ac:dyDescent="0.55000000000000004">
      <c r="C62" s="113"/>
      <c r="D62" s="112"/>
      <c r="E62" s="52"/>
      <c r="F62" s="53"/>
      <c r="G62" s="53"/>
      <c r="H62" s="52"/>
      <c r="I62" s="52"/>
      <c r="J62" s="54"/>
      <c r="K62" s="54"/>
      <c r="L62" s="55" t="str">
        <f t="shared" si="115"/>
        <v/>
      </c>
      <c r="M62" s="56" t="str">
        <f t="shared" si="116"/>
        <v/>
      </c>
      <c r="N62" s="57" t="str">
        <f t="shared" si="2"/>
        <v/>
      </c>
      <c r="O62" s="58" t="str">
        <f t="shared" si="117"/>
        <v/>
      </c>
      <c r="P62" s="59" t="str">
        <f t="shared" si="4"/>
        <v/>
      </c>
      <c r="Q62" s="60" t="str">
        <f t="shared" si="118"/>
        <v/>
      </c>
      <c r="R62" s="61" t="str">
        <f t="shared" si="6"/>
        <v/>
      </c>
      <c r="S62" s="56" t="str">
        <f t="shared" si="119"/>
        <v/>
      </c>
      <c r="T62" s="62" t="str">
        <f t="shared" si="120"/>
        <v/>
      </c>
      <c r="U62" s="63" t="str">
        <f t="shared" si="9"/>
        <v/>
      </c>
      <c r="V62" s="64" t="str">
        <f t="shared" si="121"/>
        <v/>
      </c>
      <c r="W62" s="65" t="str">
        <f t="shared" si="11"/>
        <v/>
      </c>
      <c r="X62" s="64" t="str">
        <f t="shared" si="122"/>
        <v/>
      </c>
      <c r="Y62" s="64" t="str">
        <f t="shared" si="123"/>
        <v/>
      </c>
      <c r="Z62" s="56" t="str">
        <f t="shared" si="124"/>
        <v/>
      </c>
      <c r="AA62" s="66" t="str">
        <f t="shared" si="125"/>
        <v/>
      </c>
      <c r="AB62" s="57" t="str">
        <f t="shared" si="16"/>
        <v/>
      </c>
      <c r="AC62" s="67" t="str">
        <f t="shared" si="126"/>
        <v/>
      </c>
      <c r="AD62" s="59" t="str">
        <f t="shared" si="127"/>
        <v/>
      </c>
      <c r="AE62" s="68" t="str">
        <f t="shared" si="128"/>
        <v/>
      </c>
      <c r="AF62" s="61" t="str">
        <f t="shared" si="129"/>
        <v/>
      </c>
      <c r="AG62" s="61" t="str">
        <f t="shared" si="130"/>
        <v/>
      </c>
      <c r="AH62" s="69" t="str">
        <f t="shared" si="131"/>
        <v/>
      </c>
      <c r="AI62" s="70" t="str">
        <f t="shared" si="23"/>
        <v/>
      </c>
      <c r="AJ62" s="64" t="str">
        <f t="shared" si="132"/>
        <v/>
      </c>
      <c r="AK62" s="64" t="str">
        <f t="shared" si="133"/>
        <v/>
      </c>
      <c r="AL62" s="64" t="str">
        <f t="shared" si="134"/>
        <v/>
      </c>
      <c r="AM62" s="64" t="str">
        <f t="shared" si="135"/>
        <v/>
      </c>
      <c r="AN62" s="64" t="str">
        <f t="shared" si="136"/>
        <v/>
      </c>
    </row>
    <row r="63" spans="1:40" ht="24.5" hidden="1" outlineLevel="1" thickTop="1" thickBot="1" x14ac:dyDescent="0.55000000000000004">
      <c r="C63" s="113"/>
      <c r="D63" s="112"/>
      <c r="E63" s="52"/>
      <c r="F63" s="53"/>
      <c r="G63" s="53"/>
      <c r="H63" s="52"/>
      <c r="I63" s="52"/>
      <c r="J63" s="54"/>
      <c r="K63" s="54"/>
      <c r="L63" s="55" t="str">
        <f t="shared" si="115"/>
        <v/>
      </c>
      <c r="M63" s="56" t="str">
        <f t="shared" si="116"/>
        <v/>
      </c>
      <c r="N63" s="57" t="str">
        <f t="shared" si="2"/>
        <v/>
      </c>
      <c r="O63" s="58" t="str">
        <f t="shared" si="117"/>
        <v/>
      </c>
      <c r="P63" s="59" t="str">
        <f t="shared" si="4"/>
        <v/>
      </c>
      <c r="Q63" s="60" t="str">
        <f t="shared" si="118"/>
        <v/>
      </c>
      <c r="R63" s="61" t="str">
        <f t="shared" si="6"/>
        <v/>
      </c>
      <c r="S63" s="56" t="str">
        <f t="shared" si="119"/>
        <v/>
      </c>
      <c r="T63" s="62" t="str">
        <f t="shared" si="120"/>
        <v/>
      </c>
      <c r="U63" s="63" t="str">
        <f t="shared" si="9"/>
        <v/>
      </c>
      <c r="V63" s="64" t="str">
        <f t="shared" si="121"/>
        <v/>
      </c>
      <c r="W63" s="65" t="str">
        <f t="shared" si="11"/>
        <v/>
      </c>
      <c r="X63" s="64" t="str">
        <f t="shared" si="122"/>
        <v/>
      </c>
      <c r="Y63" s="64" t="str">
        <f t="shared" si="123"/>
        <v/>
      </c>
      <c r="Z63" s="56" t="str">
        <f t="shared" si="124"/>
        <v/>
      </c>
      <c r="AA63" s="66" t="str">
        <f t="shared" si="125"/>
        <v/>
      </c>
      <c r="AB63" s="57" t="str">
        <f t="shared" si="16"/>
        <v/>
      </c>
      <c r="AC63" s="67" t="str">
        <f t="shared" si="126"/>
        <v/>
      </c>
      <c r="AD63" s="59" t="str">
        <f t="shared" si="127"/>
        <v/>
      </c>
      <c r="AE63" s="68" t="str">
        <f t="shared" si="128"/>
        <v/>
      </c>
      <c r="AF63" s="61" t="str">
        <f t="shared" si="129"/>
        <v/>
      </c>
      <c r="AG63" s="61" t="str">
        <f t="shared" si="130"/>
        <v/>
      </c>
      <c r="AH63" s="69" t="str">
        <f t="shared" si="131"/>
        <v/>
      </c>
      <c r="AI63" s="70" t="str">
        <f t="shared" si="23"/>
        <v/>
      </c>
      <c r="AJ63" s="64" t="str">
        <f t="shared" si="132"/>
        <v/>
      </c>
      <c r="AK63" s="64" t="str">
        <f t="shared" si="133"/>
        <v/>
      </c>
      <c r="AL63" s="64" t="str">
        <f t="shared" si="134"/>
        <v/>
      </c>
      <c r="AM63" s="64" t="str">
        <f t="shared" si="135"/>
        <v/>
      </c>
      <c r="AN63" s="64" t="str">
        <f t="shared" si="136"/>
        <v/>
      </c>
    </row>
    <row r="64" spans="1:40" ht="24.5" hidden="1" outlineLevel="1" thickTop="1" thickBot="1" x14ac:dyDescent="0.55000000000000004">
      <c r="C64" s="113"/>
      <c r="D64" s="112"/>
      <c r="E64" s="52"/>
      <c r="F64" s="53"/>
      <c r="G64" s="53"/>
      <c r="H64" s="52"/>
      <c r="I64" s="52"/>
      <c r="J64" s="54"/>
      <c r="K64" s="54"/>
      <c r="L64" s="55" t="str">
        <f t="shared" si="115"/>
        <v/>
      </c>
      <c r="M64" s="56" t="str">
        <f t="shared" si="116"/>
        <v/>
      </c>
      <c r="N64" s="57" t="str">
        <f t="shared" si="2"/>
        <v/>
      </c>
      <c r="O64" s="58" t="str">
        <f t="shared" si="117"/>
        <v/>
      </c>
      <c r="P64" s="59" t="str">
        <f t="shared" si="4"/>
        <v/>
      </c>
      <c r="Q64" s="60" t="str">
        <f t="shared" si="118"/>
        <v/>
      </c>
      <c r="R64" s="61" t="str">
        <f t="shared" si="6"/>
        <v/>
      </c>
      <c r="S64" s="56" t="str">
        <f t="shared" si="119"/>
        <v/>
      </c>
      <c r="T64" s="62" t="str">
        <f t="shared" si="120"/>
        <v/>
      </c>
      <c r="U64" s="63" t="str">
        <f t="shared" si="9"/>
        <v/>
      </c>
      <c r="V64" s="64" t="str">
        <f t="shared" si="121"/>
        <v/>
      </c>
      <c r="W64" s="65" t="str">
        <f t="shared" si="11"/>
        <v/>
      </c>
      <c r="X64" s="64" t="str">
        <f t="shared" si="122"/>
        <v/>
      </c>
      <c r="Y64" s="64" t="str">
        <f t="shared" si="123"/>
        <v/>
      </c>
      <c r="Z64" s="56" t="str">
        <f t="shared" si="124"/>
        <v/>
      </c>
      <c r="AA64" s="66" t="str">
        <f t="shared" si="125"/>
        <v/>
      </c>
      <c r="AB64" s="57" t="str">
        <f t="shared" si="16"/>
        <v/>
      </c>
      <c r="AC64" s="67" t="str">
        <f t="shared" si="126"/>
        <v/>
      </c>
      <c r="AD64" s="59" t="str">
        <f t="shared" si="127"/>
        <v/>
      </c>
      <c r="AE64" s="68" t="str">
        <f t="shared" si="128"/>
        <v/>
      </c>
      <c r="AF64" s="61" t="str">
        <f t="shared" si="129"/>
        <v/>
      </c>
      <c r="AG64" s="61" t="str">
        <f t="shared" si="130"/>
        <v/>
      </c>
      <c r="AH64" s="69" t="str">
        <f t="shared" si="131"/>
        <v/>
      </c>
      <c r="AI64" s="70" t="str">
        <f t="shared" si="23"/>
        <v/>
      </c>
      <c r="AJ64" s="64" t="str">
        <f t="shared" si="132"/>
        <v/>
      </c>
      <c r="AK64" s="64" t="str">
        <f t="shared" si="133"/>
        <v/>
      </c>
      <c r="AL64" s="64" t="str">
        <f t="shared" si="134"/>
        <v/>
      </c>
      <c r="AM64" s="64" t="str">
        <f t="shared" si="135"/>
        <v/>
      </c>
      <c r="AN64" s="64" t="str">
        <f t="shared" si="136"/>
        <v/>
      </c>
    </row>
    <row r="65" spans="3:40" ht="24.5" hidden="1" outlineLevel="1" thickTop="1" thickBot="1" x14ac:dyDescent="0.55000000000000004">
      <c r="C65" s="113"/>
      <c r="D65" s="112"/>
      <c r="E65" s="52"/>
      <c r="F65" s="53"/>
      <c r="G65" s="53"/>
      <c r="H65" s="52"/>
      <c r="I65" s="52"/>
      <c r="J65" s="54"/>
      <c r="K65" s="54"/>
      <c r="L65" s="55" t="str">
        <f t="shared" si="115"/>
        <v/>
      </c>
      <c r="M65" s="56" t="str">
        <f t="shared" si="116"/>
        <v/>
      </c>
      <c r="N65" s="57" t="str">
        <f t="shared" si="2"/>
        <v/>
      </c>
      <c r="O65" s="58" t="str">
        <f t="shared" si="117"/>
        <v/>
      </c>
      <c r="P65" s="59" t="str">
        <f t="shared" si="4"/>
        <v/>
      </c>
      <c r="Q65" s="60" t="str">
        <f t="shared" si="118"/>
        <v/>
      </c>
      <c r="R65" s="61" t="str">
        <f t="shared" si="6"/>
        <v/>
      </c>
      <c r="S65" s="56" t="str">
        <f t="shared" si="119"/>
        <v/>
      </c>
      <c r="T65" s="62" t="str">
        <f t="shared" si="120"/>
        <v/>
      </c>
      <c r="U65" s="63" t="str">
        <f t="shared" si="9"/>
        <v/>
      </c>
      <c r="V65" s="64" t="str">
        <f t="shared" si="121"/>
        <v/>
      </c>
      <c r="W65" s="65" t="str">
        <f t="shared" si="11"/>
        <v/>
      </c>
      <c r="X65" s="64" t="str">
        <f t="shared" si="122"/>
        <v/>
      </c>
      <c r="Y65" s="64" t="str">
        <f t="shared" si="123"/>
        <v/>
      </c>
      <c r="Z65" s="56" t="str">
        <f t="shared" si="124"/>
        <v/>
      </c>
      <c r="AA65" s="66" t="str">
        <f t="shared" si="125"/>
        <v/>
      </c>
      <c r="AB65" s="57" t="str">
        <f t="shared" si="16"/>
        <v/>
      </c>
      <c r="AC65" s="67" t="str">
        <f t="shared" si="126"/>
        <v/>
      </c>
      <c r="AD65" s="59" t="str">
        <f t="shared" si="127"/>
        <v/>
      </c>
      <c r="AE65" s="68" t="str">
        <f t="shared" si="128"/>
        <v/>
      </c>
      <c r="AF65" s="61" t="str">
        <f t="shared" si="129"/>
        <v/>
      </c>
      <c r="AG65" s="61" t="str">
        <f t="shared" si="130"/>
        <v/>
      </c>
      <c r="AH65" s="69" t="str">
        <f t="shared" si="131"/>
        <v/>
      </c>
      <c r="AI65" s="70" t="str">
        <f t="shared" si="23"/>
        <v/>
      </c>
      <c r="AJ65" s="64" t="str">
        <f t="shared" si="132"/>
        <v/>
      </c>
      <c r="AK65" s="64" t="str">
        <f t="shared" si="133"/>
        <v/>
      </c>
      <c r="AL65" s="64" t="str">
        <f t="shared" si="134"/>
        <v/>
      </c>
      <c r="AM65" s="64" t="str">
        <f t="shared" si="135"/>
        <v/>
      </c>
      <c r="AN65" s="64" t="str">
        <f t="shared" si="136"/>
        <v/>
      </c>
    </row>
    <row r="66" spans="3:40" ht="24.5" hidden="1" outlineLevel="1" thickTop="1" thickBot="1" x14ac:dyDescent="0.55000000000000004">
      <c r="C66" s="113"/>
      <c r="D66" s="112"/>
      <c r="E66" s="52"/>
      <c r="F66" s="53"/>
      <c r="G66" s="53"/>
      <c r="H66" s="52"/>
      <c r="I66" s="52"/>
      <c r="J66" s="54"/>
      <c r="K66" s="54"/>
      <c r="L66" s="55" t="str">
        <f t="shared" si="115"/>
        <v/>
      </c>
      <c r="M66" s="56" t="str">
        <f t="shared" si="116"/>
        <v/>
      </c>
      <c r="N66" s="57" t="str">
        <f t="shared" si="2"/>
        <v/>
      </c>
      <c r="O66" s="58" t="str">
        <f t="shared" si="117"/>
        <v/>
      </c>
      <c r="P66" s="59" t="str">
        <f t="shared" si="4"/>
        <v/>
      </c>
      <c r="Q66" s="60" t="str">
        <f t="shared" si="118"/>
        <v/>
      </c>
      <c r="R66" s="61" t="str">
        <f t="shared" si="6"/>
        <v/>
      </c>
      <c r="S66" s="56" t="str">
        <f t="shared" si="119"/>
        <v/>
      </c>
      <c r="T66" s="62" t="str">
        <f t="shared" si="120"/>
        <v/>
      </c>
      <c r="U66" s="63" t="str">
        <f t="shared" si="9"/>
        <v/>
      </c>
      <c r="V66" s="64" t="str">
        <f t="shared" si="121"/>
        <v/>
      </c>
      <c r="W66" s="65" t="str">
        <f t="shared" si="11"/>
        <v/>
      </c>
      <c r="X66" s="64" t="str">
        <f t="shared" si="122"/>
        <v/>
      </c>
      <c r="Y66" s="64" t="str">
        <f t="shared" si="123"/>
        <v/>
      </c>
      <c r="Z66" s="56" t="str">
        <f t="shared" si="124"/>
        <v/>
      </c>
      <c r="AA66" s="66" t="str">
        <f t="shared" si="125"/>
        <v/>
      </c>
      <c r="AB66" s="57" t="str">
        <f t="shared" si="16"/>
        <v/>
      </c>
      <c r="AC66" s="67" t="str">
        <f t="shared" si="126"/>
        <v/>
      </c>
      <c r="AD66" s="59" t="str">
        <f t="shared" si="127"/>
        <v/>
      </c>
      <c r="AE66" s="68" t="str">
        <f t="shared" si="128"/>
        <v/>
      </c>
      <c r="AF66" s="61" t="str">
        <f t="shared" si="129"/>
        <v/>
      </c>
      <c r="AG66" s="61" t="str">
        <f t="shared" si="130"/>
        <v/>
      </c>
      <c r="AH66" s="69" t="str">
        <f t="shared" si="131"/>
        <v/>
      </c>
      <c r="AI66" s="70" t="str">
        <f t="shared" si="23"/>
        <v/>
      </c>
      <c r="AJ66" s="64" t="str">
        <f t="shared" si="132"/>
        <v/>
      </c>
      <c r="AK66" s="64" t="str">
        <f t="shared" si="133"/>
        <v/>
      </c>
      <c r="AL66" s="64" t="str">
        <f t="shared" si="134"/>
        <v/>
      </c>
      <c r="AM66" s="64" t="str">
        <f t="shared" si="135"/>
        <v/>
      </c>
      <c r="AN66" s="64" t="str">
        <f t="shared" si="136"/>
        <v/>
      </c>
    </row>
    <row r="67" spans="3:40" ht="24.5" hidden="1" outlineLevel="1" thickTop="1" thickBot="1" x14ac:dyDescent="0.55000000000000004">
      <c r="C67" s="113"/>
      <c r="D67" s="112"/>
      <c r="E67" s="52"/>
      <c r="F67" s="53"/>
      <c r="G67" s="53"/>
      <c r="H67" s="52"/>
      <c r="I67" s="52"/>
      <c r="J67" s="54"/>
      <c r="K67" s="54"/>
      <c r="L67" s="55" t="str">
        <f t="shared" si="115"/>
        <v/>
      </c>
      <c r="M67" s="56" t="str">
        <f t="shared" si="116"/>
        <v/>
      </c>
      <c r="N67" s="57" t="str">
        <f t="shared" si="2"/>
        <v/>
      </c>
      <c r="O67" s="58" t="str">
        <f t="shared" si="117"/>
        <v/>
      </c>
      <c r="P67" s="59" t="str">
        <f t="shared" si="4"/>
        <v/>
      </c>
      <c r="Q67" s="60" t="str">
        <f t="shared" si="118"/>
        <v/>
      </c>
      <c r="R67" s="61" t="str">
        <f t="shared" si="6"/>
        <v/>
      </c>
      <c r="S67" s="56" t="str">
        <f t="shared" si="119"/>
        <v/>
      </c>
      <c r="T67" s="62" t="str">
        <f t="shared" si="120"/>
        <v/>
      </c>
      <c r="U67" s="63" t="str">
        <f t="shared" si="9"/>
        <v/>
      </c>
      <c r="V67" s="64" t="str">
        <f t="shared" si="121"/>
        <v/>
      </c>
      <c r="W67" s="65" t="str">
        <f t="shared" si="11"/>
        <v/>
      </c>
      <c r="X67" s="64" t="str">
        <f t="shared" si="122"/>
        <v/>
      </c>
      <c r="Y67" s="64" t="str">
        <f t="shared" si="123"/>
        <v/>
      </c>
      <c r="Z67" s="56" t="str">
        <f t="shared" si="124"/>
        <v/>
      </c>
      <c r="AA67" s="66" t="str">
        <f t="shared" si="125"/>
        <v/>
      </c>
      <c r="AB67" s="57" t="str">
        <f t="shared" si="16"/>
        <v/>
      </c>
      <c r="AC67" s="67" t="str">
        <f t="shared" si="126"/>
        <v/>
      </c>
      <c r="AD67" s="59" t="str">
        <f t="shared" si="127"/>
        <v/>
      </c>
      <c r="AE67" s="68" t="str">
        <f t="shared" si="128"/>
        <v/>
      </c>
      <c r="AF67" s="61" t="str">
        <f t="shared" si="129"/>
        <v/>
      </c>
      <c r="AG67" s="61" t="str">
        <f t="shared" si="130"/>
        <v/>
      </c>
      <c r="AH67" s="69" t="str">
        <f t="shared" si="131"/>
        <v/>
      </c>
      <c r="AI67" s="70" t="str">
        <f t="shared" si="23"/>
        <v/>
      </c>
      <c r="AJ67" s="64" t="str">
        <f t="shared" si="132"/>
        <v/>
      </c>
      <c r="AK67" s="64" t="str">
        <f t="shared" si="133"/>
        <v/>
      </c>
      <c r="AL67" s="64" t="str">
        <f t="shared" si="134"/>
        <v/>
      </c>
      <c r="AM67" s="64" t="str">
        <f t="shared" si="135"/>
        <v/>
      </c>
      <c r="AN67" s="64" t="str">
        <f t="shared" si="136"/>
        <v/>
      </c>
    </row>
    <row r="68" spans="3:40" ht="24.5" hidden="1" outlineLevel="1" thickTop="1" thickBot="1" x14ac:dyDescent="0.55000000000000004">
      <c r="C68" s="113"/>
      <c r="D68" s="112"/>
      <c r="E68" s="52"/>
      <c r="F68" s="53"/>
      <c r="G68" s="53"/>
      <c r="H68" s="52"/>
      <c r="I68" s="52"/>
      <c r="J68" s="54"/>
      <c r="K68" s="54"/>
      <c r="L68" s="78" t="str">
        <f t="shared" si="115"/>
        <v/>
      </c>
      <c r="M68" s="56" t="str">
        <f t="shared" si="116"/>
        <v/>
      </c>
      <c r="N68" s="57" t="str">
        <f t="shared" si="2"/>
        <v/>
      </c>
      <c r="O68" s="58" t="str">
        <f t="shared" si="117"/>
        <v/>
      </c>
      <c r="P68" s="59" t="str">
        <f t="shared" si="4"/>
        <v/>
      </c>
      <c r="Q68" s="60" t="str">
        <f t="shared" si="118"/>
        <v/>
      </c>
      <c r="R68" s="61" t="str">
        <f t="shared" si="6"/>
        <v/>
      </c>
      <c r="S68" s="56" t="str">
        <f t="shared" si="119"/>
        <v/>
      </c>
      <c r="T68" s="62" t="str">
        <f t="shared" si="120"/>
        <v/>
      </c>
      <c r="U68" s="63" t="str">
        <f t="shared" si="9"/>
        <v/>
      </c>
      <c r="V68" s="64" t="str">
        <f t="shared" si="121"/>
        <v/>
      </c>
      <c r="W68" s="65" t="str">
        <f t="shared" si="11"/>
        <v/>
      </c>
      <c r="X68" s="64" t="str">
        <f t="shared" si="122"/>
        <v/>
      </c>
      <c r="Y68" s="64" t="str">
        <f t="shared" si="123"/>
        <v/>
      </c>
      <c r="Z68" s="56" t="str">
        <f t="shared" si="124"/>
        <v/>
      </c>
      <c r="AA68" s="66" t="str">
        <f t="shared" si="125"/>
        <v/>
      </c>
      <c r="AB68" s="57" t="str">
        <f t="shared" si="16"/>
        <v/>
      </c>
      <c r="AC68" s="67" t="str">
        <f t="shared" si="126"/>
        <v/>
      </c>
      <c r="AD68" s="59" t="str">
        <f t="shared" si="127"/>
        <v/>
      </c>
      <c r="AE68" s="68" t="str">
        <f t="shared" si="128"/>
        <v/>
      </c>
      <c r="AF68" s="61" t="str">
        <f t="shared" si="129"/>
        <v/>
      </c>
      <c r="AG68" s="61" t="str">
        <f t="shared" si="130"/>
        <v/>
      </c>
      <c r="AH68" s="69" t="str">
        <f t="shared" si="131"/>
        <v/>
      </c>
      <c r="AI68" s="70" t="str">
        <f t="shared" si="23"/>
        <v/>
      </c>
      <c r="AJ68" s="64" t="str">
        <f t="shared" si="132"/>
        <v/>
      </c>
      <c r="AK68" s="64" t="str">
        <f t="shared" si="133"/>
        <v/>
      </c>
      <c r="AL68" s="64" t="str">
        <f t="shared" si="134"/>
        <v/>
      </c>
      <c r="AM68" s="64" t="str">
        <f t="shared" si="135"/>
        <v/>
      </c>
      <c r="AN68" s="64" t="str">
        <f t="shared" si="136"/>
        <v/>
      </c>
    </row>
    <row r="69" spans="3:40" ht="24.5" hidden="1" outlineLevel="1" thickTop="1" thickBot="1" x14ac:dyDescent="0.55000000000000004">
      <c r="C69" s="113"/>
      <c r="D69" s="112"/>
      <c r="E69" s="52"/>
      <c r="F69" s="53"/>
      <c r="G69" s="53"/>
      <c r="H69" s="52"/>
      <c r="I69" s="52"/>
      <c r="J69" s="54"/>
      <c r="K69" s="54"/>
      <c r="L69" s="78" t="str">
        <f t="shared" si="115"/>
        <v/>
      </c>
      <c r="M69" s="56" t="str">
        <f t="shared" si="116"/>
        <v/>
      </c>
      <c r="N69" s="57" t="str">
        <f t="shared" si="2"/>
        <v/>
      </c>
      <c r="O69" s="58" t="str">
        <f t="shared" si="117"/>
        <v/>
      </c>
      <c r="P69" s="59" t="str">
        <f t="shared" si="4"/>
        <v/>
      </c>
      <c r="Q69" s="60" t="str">
        <f t="shared" si="118"/>
        <v/>
      </c>
      <c r="R69" s="61" t="str">
        <f t="shared" si="6"/>
        <v/>
      </c>
      <c r="S69" s="56" t="str">
        <f t="shared" si="119"/>
        <v/>
      </c>
      <c r="T69" s="62" t="str">
        <f t="shared" si="120"/>
        <v/>
      </c>
      <c r="U69" s="63" t="str">
        <f t="shared" si="9"/>
        <v/>
      </c>
      <c r="V69" s="64" t="str">
        <f t="shared" si="121"/>
        <v/>
      </c>
      <c r="W69" s="65" t="str">
        <f t="shared" si="11"/>
        <v/>
      </c>
      <c r="X69" s="64" t="str">
        <f t="shared" si="122"/>
        <v/>
      </c>
      <c r="Y69" s="64" t="str">
        <f t="shared" si="123"/>
        <v/>
      </c>
      <c r="Z69" s="56" t="str">
        <f t="shared" si="124"/>
        <v/>
      </c>
      <c r="AA69" s="66" t="str">
        <f t="shared" si="125"/>
        <v/>
      </c>
      <c r="AB69" s="57" t="str">
        <f t="shared" si="16"/>
        <v/>
      </c>
      <c r="AC69" s="67" t="str">
        <f t="shared" si="126"/>
        <v/>
      </c>
      <c r="AD69" s="59" t="str">
        <f t="shared" si="127"/>
        <v/>
      </c>
      <c r="AE69" s="68" t="str">
        <f t="shared" si="128"/>
        <v/>
      </c>
      <c r="AF69" s="61" t="str">
        <f t="shared" si="129"/>
        <v/>
      </c>
      <c r="AG69" s="61" t="str">
        <f t="shared" si="130"/>
        <v/>
      </c>
      <c r="AH69" s="69" t="str">
        <f t="shared" si="131"/>
        <v/>
      </c>
      <c r="AI69" s="70" t="str">
        <f t="shared" si="23"/>
        <v/>
      </c>
      <c r="AJ69" s="64" t="str">
        <f t="shared" si="132"/>
        <v/>
      </c>
      <c r="AK69" s="64" t="str">
        <f t="shared" si="133"/>
        <v/>
      </c>
      <c r="AL69" s="64" t="str">
        <f t="shared" si="134"/>
        <v/>
      </c>
      <c r="AM69" s="64" t="str">
        <f t="shared" si="135"/>
        <v/>
      </c>
      <c r="AN69" s="64" t="str">
        <f t="shared" si="136"/>
        <v/>
      </c>
    </row>
    <row r="70" spans="3:40" ht="24.5" hidden="1" outlineLevel="1" thickTop="1" thickBot="1" x14ac:dyDescent="0.55000000000000004">
      <c r="C70" s="113"/>
      <c r="D70" s="112"/>
      <c r="E70" s="52"/>
      <c r="F70" s="53"/>
      <c r="G70" s="53"/>
      <c r="H70" s="52"/>
      <c r="I70" s="52"/>
      <c r="J70" s="54"/>
      <c r="K70" s="54"/>
      <c r="L70" s="78" t="str">
        <f t="shared" si="115"/>
        <v/>
      </c>
      <c r="M70" s="56" t="str">
        <f t="shared" si="116"/>
        <v/>
      </c>
      <c r="N70" s="57" t="str">
        <f t="shared" si="2"/>
        <v/>
      </c>
      <c r="O70" s="58" t="str">
        <f t="shared" si="117"/>
        <v/>
      </c>
      <c r="P70" s="59" t="str">
        <f t="shared" si="4"/>
        <v/>
      </c>
      <c r="Q70" s="60" t="str">
        <f t="shared" si="118"/>
        <v/>
      </c>
      <c r="R70" s="61" t="str">
        <f t="shared" si="6"/>
        <v/>
      </c>
      <c r="S70" s="56" t="str">
        <f t="shared" si="119"/>
        <v/>
      </c>
      <c r="T70" s="62" t="str">
        <f t="shared" si="120"/>
        <v/>
      </c>
      <c r="U70" s="63" t="str">
        <f t="shared" si="9"/>
        <v/>
      </c>
      <c r="V70" s="64" t="str">
        <f t="shared" si="121"/>
        <v/>
      </c>
      <c r="W70" s="65" t="str">
        <f t="shared" si="11"/>
        <v/>
      </c>
      <c r="X70" s="64" t="str">
        <f t="shared" si="122"/>
        <v/>
      </c>
      <c r="Y70" s="64" t="str">
        <f t="shared" si="123"/>
        <v/>
      </c>
      <c r="Z70" s="56" t="str">
        <f t="shared" si="124"/>
        <v/>
      </c>
      <c r="AA70" s="66" t="str">
        <f t="shared" si="125"/>
        <v/>
      </c>
      <c r="AB70" s="57" t="str">
        <f t="shared" si="16"/>
        <v/>
      </c>
      <c r="AC70" s="67" t="str">
        <f t="shared" si="126"/>
        <v/>
      </c>
      <c r="AD70" s="59" t="str">
        <f t="shared" si="127"/>
        <v/>
      </c>
      <c r="AE70" s="68" t="str">
        <f t="shared" si="128"/>
        <v/>
      </c>
      <c r="AF70" s="61" t="str">
        <f t="shared" si="129"/>
        <v/>
      </c>
      <c r="AG70" s="61" t="str">
        <f t="shared" si="130"/>
        <v/>
      </c>
      <c r="AH70" s="69" t="str">
        <f t="shared" si="131"/>
        <v/>
      </c>
      <c r="AI70" s="70" t="str">
        <f t="shared" si="23"/>
        <v/>
      </c>
      <c r="AJ70" s="64" t="str">
        <f t="shared" si="132"/>
        <v/>
      </c>
      <c r="AK70" s="64" t="str">
        <f t="shared" si="133"/>
        <v/>
      </c>
      <c r="AL70" s="64" t="str">
        <f t="shared" si="134"/>
        <v/>
      </c>
      <c r="AM70" s="64" t="str">
        <f t="shared" si="135"/>
        <v/>
      </c>
      <c r="AN70" s="64" t="str">
        <f t="shared" si="136"/>
        <v/>
      </c>
    </row>
    <row r="71" spans="3:40" ht="24.5" hidden="1" outlineLevel="1" thickTop="1" thickBot="1" x14ac:dyDescent="0.55000000000000004">
      <c r="C71" s="113"/>
      <c r="D71" s="112"/>
      <c r="E71" s="52"/>
      <c r="F71" s="53"/>
      <c r="G71" s="53"/>
      <c r="H71" s="52"/>
      <c r="I71" s="52"/>
      <c r="J71" s="54"/>
      <c r="K71" s="54"/>
      <c r="L71" s="55" t="str">
        <f t="shared" si="115"/>
        <v/>
      </c>
      <c r="M71" s="56" t="str">
        <f t="shared" si="116"/>
        <v/>
      </c>
      <c r="N71" s="57" t="str">
        <f t="shared" si="2"/>
        <v/>
      </c>
      <c r="O71" s="58" t="str">
        <f t="shared" si="117"/>
        <v/>
      </c>
      <c r="P71" s="59" t="str">
        <f t="shared" si="4"/>
        <v/>
      </c>
      <c r="Q71" s="60" t="str">
        <f t="shared" si="118"/>
        <v/>
      </c>
      <c r="R71" s="61" t="str">
        <f t="shared" si="6"/>
        <v/>
      </c>
      <c r="S71" s="56" t="str">
        <f t="shared" si="119"/>
        <v/>
      </c>
      <c r="T71" s="62" t="str">
        <f t="shared" si="120"/>
        <v/>
      </c>
      <c r="U71" s="63" t="str">
        <f t="shared" si="9"/>
        <v/>
      </c>
      <c r="V71" s="64" t="str">
        <f t="shared" si="121"/>
        <v/>
      </c>
      <c r="W71" s="65" t="str">
        <f t="shared" si="11"/>
        <v/>
      </c>
      <c r="X71" s="64" t="str">
        <f t="shared" si="122"/>
        <v/>
      </c>
      <c r="Y71" s="64" t="str">
        <f t="shared" si="123"/>
        <v/>
      </c>
      <c r="Z71" s="56" t="str">
        <f t="shared" si="124"/>
        <v/>
      </c>
      <c r="AA71" s="66" t="str">
        <f t="shared" si="125"/>
        <v/>
      </c>
      <c r="AB71" s="57" t="str">
        <f t="shared" si="16"/>
        <v/>
      </c>
      <c r="AC71" s="67" t="str">
        <f t="shared" si="126"/>
        <v/>
      </c>
      <c r="AD71" s="59" t="str">
        <f t="shared" si="127"/>
        <v/>
      </c>
      <c r="AE71" s="68" t="str">
        <f t="shared" si="128"/>
        <v/>
      </c>
      <c r="AF71" s="61" t="str">
        <f t="shared" si="129"/>
        <v/>
      </c>
      <c r="AG71" s="61" t="str">
        <f t="shared" si="130"/>
        <v/>
      </c>
      <c r="AH71" s="69" t="str">
        <f t="shared" si="131"/>
        <v/>
      </c>
      <c r="AI71" s="70" t="str">
        <f t="shared" si="23"/>
        <v/>
      </c>
      <c r="AJ71" s="64" t="str">
        <f t="shared" si="132"/>
        <v/>
      </c>
      <c r="AK71" s="64" t="str">
        <f t="shared" si="133"/>
        <v/>
      </c>
      <c r="AL71" s="64" t="str">
        <f t="shared" si="134"/>
        <v/>
      </c>
      <c r="AM71" s="64" t="str">
        <f t="shared" si="135"/>
        <v/>
      </c>
      <c r="AN71" s="64" t="str">
        <f t="shared" si="136"/>
        <v/>
      </c>
    </row>
    <row r="72" spans="3:40" ht="24.5" hidden="1" outlineLevel="1" thickTop="1" thickBot="1" x14ac:dyDescent="0.55000000000000004">
      <c r="C72" s="113"/>
      <c r="D72" s="112"/>
      <c r="E72" s="52"/>
      <c r="F72" s="53"/>
      <c r="G72" s="53"/>
      <c r="H72" s="52"/>
      <c r="I72" s="52"/>
      <c r="J72" s="54"/>
      <c r="K72" s="54"/>
      <c r="L72" s="55" t="str">
        <f t="shared" si="115"/>
        <v/>
      </c>
      <c r="M72" s="56" t="str">
        <f t="shared" si="116"/>
        <v/>
      </c>
      <c r="N72" s="57" t="str">
        <f t="shared" si="2"/>
        <v/>
      </c>
      <c r="O72" s="58" t="str">
        <f t="shared" si="117"/>
        <v/>
      </c>
      <c r="P72" s="59" t="str">
        <f t="shared" si="4"/>
        <v/>
      </c>
      <c r="Q72" s="60" t="str">
        <f t="shared" si="118"/>
        <v/>
      </c>
      <c r="R72" s="61" t="str">
        <f t="shared" si="6"/>
        <v/>
      </c>
      <c r="S72" s="56" t="str">
        <f t="shared" si="119"/>
        <v/>
      </c>
      <c r="T72" s="62" t="str">
        <f t="shared" si="120"/>
        <v/>
      </c>
      <c r="U72" s="63" t="str">
        <f t="shared" si="9"/>
        <v/>
      </c>
      <c r="V72" s="64" t="str">
        <f t="shared" si="121"/>
        <v/>
      </c>
      <c r="W72" s="65" t="str">
        <f t="shared" si="11"/>
        <v/>
      </c>
      <c r="X72" s="64" t="str">
        <f t="shared" si="122"/>
        <v/>
      </c>
      <c r="Y72" s="64" t="str">
        <f t="shared" si="123"/>
        <v/>
      </c>
      <c r="Z72" s="56" t="str">
        <f t="shared" si="124"/>
        <v/>
      </c>
      <c r="AA72" s="66" t="str">
        <f t="shared" si="125"/>
        <v/>
      </c>
      <c r="AB72" s="57" t="str">
        <f t="shared" si="16"/>
        <v/>
      </c>
      <c r="AC72" s="67" t="str">
        <f t="shared" si="126"/>
        <v/>
      </c>
      <c r="AD72" s="59" t="str">
        <f t="shared" si="127"/>
        <v/>
      </c>
      <c r="AE72" s="68" t="str">
        <f t="shared" si="128"/>
        <v/>
      </c>
      <c r="AF72" s="61" t="str">
        <f t="shared" si="129"/>
        <v/>
      </c>
      <c r="AG72" s="61" t="str">
        <f t="shared" si="130"/>
        <v/>
      </c>
      <c r="AH72" s="69" t="str">
        <f t="shared" si="131"/>
        <v/>
      </c>
      <c r="AI72" s="70" t="str">
        <f t="shared" si="23"/>
        <v/>
      </c>
      <c r="AJ72" s="64" t="str">
        <f t="shared" si="132"/>
        <v/>
      </c>
      <c r="AK72" s="64" t="str">
        <f t="shared" si="133"/>
        <v/>
      </c>
      <c r="AL72" s="64" t="str">
        <f t="shared" si="134"/>
        <v/>
      </c>
      <c r="AM72" s="64" t="str">
        <f t="shared" si="135"/>
        <v/>
      </c>
      <c r="AN72" s="64" t="str">
        <f t="shared" si="136"/>
        <v/>
      </c>
    </row>
    <row r="73" spans="3:40" ht="24.5" hidden="1" outlineLevel="1" thickTop="1" thickBot="1" x14ac:dyDescent="0.55000000000000004">
      <c r="C73" s="113"/>
      <c r="D73" s="112"/>
      <c r="E73" s="52"/>
      <c r="F73" s="53"/>
      <c r="G73" s="53"/>
      <c r="H73" s="52"/>
      <c r="I73" s="52"/>
      <c r="J73" s="54"/>
      <c r="K73" s="54"/>
      <c r="L73" s="55" t="str">
        <f t="shared" si="115"/>
        <v/>
      </c>
      <c r="M73" s="56" t="str">
        <f t="shared" si="116"/>
        <v/>
      </c>
      <c r="N73" s="57" t="str">
        <f t="shared" si="2"/>
        <v/>
      </c>
      <c r="O73" s="58" t="str">
        <f t="shared" si="117"/>
        <v/>
      </c>
      <c r="P73" s="59" t="str">
        <f t="shared" si="4"/>
        <v/>
      </c>
      <c r="Q73" s="60" t="str">
        <f t="shared" si="118"/>
        <v/>
      </c>
      <c r="R73" s="61" t="str">
        <f t="shared" si="6"/>
        <v/>
      </c>
      <c r="S73" s="56" t="str">
        <f t="shared" si="119"/>
        <v/>
      </c>
      <c r="T73" s="62" t="str">
        <f t="shared" si="120"/>
        <v/>
      </c>
      <c r="U73" s="63" t="str">
        <f t="shared" si="9"/>
        <v/>
      </c>
      <c r="V73" s="64" t="str">
        <f t="shared" si="121"/>
        <v/>
      </c>
      <c r="W73" s="65" t="str">
        <f t="shared" si="11"/>
        <v/>
      </c>
      <c r="X73" s="64" t="str">
        <f t="shared" si="122"/>
        <v/>
      </c>
      <c r="Y73" s="64" t="str">
        <f t="shared" si="123"/>
        <v/>
      </c>
      <c r="Z73" s="56" t="str">
        <f t="shared" si="124"/>
        <v/>
      </c>
      <c r="AA73" s="66" t="str">
        <f t="shared" si="125"/>
        <v/>
      </c>
      <c r="AB73" s="57" t="str">
        <f t="shared" si="16"/>
        <v/>
      </c>
      <c r="AC73" s="67" t="str">
        <f t="shared" si="126"/>
        <v/>
      </c>
      <c r="AD73" s="59" t="str">
        <f t="shared" si="127"/>
        <v/>
      </c>
      <c r="AE73" s="68" t="str">
        <f t="shared" si="128"/>
        <v/>
      </c>
      <c r="AF73" s="61" t="str">
        <f t="shared" si="129"/>
        <v/>
      </c>
      <c r="AG73" s="61" t="str">
        <f t="shared" si="130"/>
        <v/>
      </c>
      <c r="AH73" s="69" t="str">
        <f t="shared" si="131"/>
        <v/>
      </c>
      <c r="AI73" s="70" t="str">
        <f t="shared" si="23"/>
        <v/>
      </c>
      <c r="AJ73" s="64" t="str">
        <f t="shared" si="132"/>
        <v/>
      </c>
      <c r="AK73" s="64" t="str">
        <f t="shared" si="133"/>
        <v/>
      </c>
      <c r="AL73" s="64" t="str">
        <f t="shared" si="134"/>
        <v/>
      </c>
      <c r="AM73" s="64" t="str">
        <f t="shared" si="135"/>
        <v/>
      </c>
      <c r="AN73" s="64" t="str">
        <f t="shared" si="136"/>
        <v/>
      </c>
    </row>
    <row r="74" spans="3:40" ht="24.5" hidden="1" outlineLevel="1" thickTop="1" thickBot="1" x14ac:dyDescent="0.55000000000000004">
      <c r="C74" s="113"/>
      <c r="D74" s="112"/>
      <c r="E74" s="52"/>
      <c r="F74" s="53"/>
      <c r="G74" s="53"/>
      <c r="H74" s="52"/>
      <c r="I74" s="52"/>
      <c r="J74" s="54"/>
      <c r="K74" s="54"/>
      <c r="L74" s="55" t="str">
        <f t="shared" si="115"/>
        <v/>
      </c>
      <c r="M74" s="56" t="str">
        <f t="shared" si="116"/>
        <v/>
      </c>
      <c r="N74" s="57" t="str">
        <f t="shared" si="2"/>
        <v/>
      </c>
      <c r="O74" s="58" t="str">
        <f t="shared" si="117"/>
        <v/>
      </c>
      <c r="P74" s="59" t="str">
        <f t="shared" si="4"/>
        <v/>
      </c>
      <c r="Q74" s="60" t="str">
        <f t="shared" si="118"/>
        <v/>
      </c>
      <c r="R74" s="61" t="str">
        <f t="shared" si="6"/>
        <v/>
      </c>
      <c r="S74" s="56" t="str">
        <f t="shared" si="119"/>
        <v/>
      </c>
      <c r="T74" s="62" t="str">
        <f t="shared" si="120"/>
        <v/>
      </c>
      <c r="U74" s="63" t="str">
        <f t="shared" si="9"/>
        <v/>
      </c>
      <c r="V74" s="64" t="str">
        <f t="shared" si="121"/>
        <v/>
      </c>
      <c r="W74" s="65" t="str">
        <f t="shared" si="11"/>
        <v/>
      </c>
      <c r="X74" s="64" t="str">
        <f t="shared" si="122"/>
        <v/>
      </c>
      <c r="Y74" s="64" t="str">
        <f t="shared" si="123"/>
        <v/>
      </c>
      <c r="Z74" s="56" t="str">
        <f t="shared" si="124"/>
        <v/>
      </c>
      <c r="AA74" s="66" t="str">
        <f t="shared" si="125"/>
        <v/>
      </c>
      <c r="AB74" s="57" t="str">
        <f t="shared" si="16"/>
        <v/>
      </c>
      <c r="AC74" s="67" t="str">
        <f t="shared" si="126"/>
        <v/>
      </c>
      <c r="AD74" s="59" t="str">
        <f t="shared" si="127"/>
        <v/>
      </c>
      <c r="AE74" s="68" t="str">
        <f t="shared" si="128"/>
        <v/>
      </c>
      <c r="AF74" s="61" t="str">
        <f t="shared" si="129"/>
        <v/>
      </c>
      <c r="AG74" s="61" t="str">
        <f t="shared" si="130"/>
        <v/>
      </c>
      <c r="AH74" s="69" t="str">
        <f t="shared" si="131"/>
        <v/>
      </c>
      <c r="AI74" s="70" t="str">
        <f t="shared" si="23"/>
        <v/>
      </c>
      <c r="AJ74" s="64" t="str">
        <f t="shared" si="132"/>
        <v/>
      </c>
      <c r="AK74" s="64" t="str">
        <f t="shared" si="133"/>
        <v/>
      </c>
      <c r="AL74" s="64" t="str">
        <f t="shared" si="134"/>
        <v/>
      </c>
      <c r="AM74" s="64" t="str">
        <f t="shared" si="135"/>
        <v/>
      </c>
      <c r="AN74" s="64" t="str">
        <f t="shared" si="136"/>
        <v/>
      </c>
    </row>
    <row r="75" spans="3:40" ht="24.5" hidden="1" outlineLevel="1" thickTop="1" thickBot="1" x14ac:dyDescent="0.55000000000000004">
      <c r="C75" s="113"/>
      <c r="D75" s="112"/>
      <c r="E75" s="52"/>
      <c r="F75" s="53"/>
      <c r="G75" s="53"/>
      <c r="H75" s="52"/>
      <c r="I75" s="52"/>
      <c r="J75" s="54"/>
      <c r="K75" s="54"/>
      <c r="L75" s="55" t="str">
        <f t="shared" si="115"/>
        <v/>
      </c>
      <c r="M75" s="56" t="str">
        <f t="shared" si="116"/>
        <v/>
      </c>
      <c r="N75" s="57" t="str">
        <f t="shared" si="2"/>
        <v/>
      </c>
      <c r="O75" s="58" t="str">
        <f t="shared" si="117"/>
        <v/>
      </c>
      <c r="P75" s="59" t="str">
        <f t="shared" si="4"/>
        <v/>
      </c>
      <c r="Q75" s="60" t="str">
        <f t="shared" si="118"/>
        <v/>
      </c>
      <c r="R75" s="61" t="str">
        <f t="shared" si="6"/>
        <v/>
      </c>
      <c r="S75" s="56" t="str">
        <f t="shared" si="119"/>
        <v/>
      </c>
      <c r="T75" s="62" t="str">
        <f t="shared" si="120"/>
        <v/>
      </c>
      <c r="U75" s="63" t="str">
        <f t="shared" si="9"/>
        <v/>
      </c>
      <c r="V75" s="64" t="str">
        <f t="shared" si="121"/>
        <v/>
      </c>
      <c r="W75" s="65" t="str">
        <f t="shared" si="11"/>
        <v/>
      </c>
      <c r="X75" s="64" t="str">
        <f t="shared" si="122"/>
        <v/>
      </c>
      <c r="Y75" s="64" t="str">
        <f t="shared" si="123"/>
        <v/>
      </c>
      <c r="Z75" s="56" t="str">
        <f t="shared" si="124"/>
        <v/>
      </c>
      <c r="AA75" s="66" t="str">
        <f t="shared" si="125"/>
        <v/>
      </c>
      <c r="AB75" s="57" t="str">
        <f t="shared" si="16"/>
        <v/>
      </c>
      <c r="AC75" s="67" t="str">
        <f t="shared" si="126"/>
        <v/>
      </c>
      <c r="AD75" s="59" t="str">
        <f t="shared" si="127"/>
        <v/>
      </c>
      <c r="AE75" s="68" t="str">
        <f t="shared" si="128"/>
        <v/>
      </c>
      <c r="AF75" s="61" t="str">
        <f t="shared" si="129"/>
        <v/>
      </c>
      <c r="AG75" s="61" t="str">
        <f t="shared" si="130"/>
        <v/>
      </c>
      <c r="AH75" s="69" t="str">
        <f t="shared" si="131"/>
        <v/>
      </c>
      <c r="AI75" s="70" t="str">
        <f t="shared" si="23"/>
        <v/>
      </c>
      <c r="AJ75" s="64" t="str">
        <f t="shared" si="132"/>
        <v/>
      </c>
      <c r="AK75" s="64" t="str">
        <f t="shared" si="133"/>
        <v/>
      </c>
      <c r="AL75" s="64" t="str">
        <f t="shared" si="134"/>
        <v/>
      </c>
      <c r="AM75" s="64" t="str">
        <f t="shared" si="135"/>
        <v/>
      </c>
      <c r="AN75" s="64" t="str">
        <f t="shared" si="136"/>
        <v/>
      </c>
    </row>
    <row r="76" spans="3:40" ht="24.5" hidden="1" outlineLevel="1" thickTop="1" thickBot="1" x14ac:dyDescent="0.55000000000000004">
      <c r="C76" s="113"/>
      <c r="D76" s="112"/>
      <c r="E76" s="52"/>
      <c r="F76" s="53"/>
      <c r="G76" s="53"/>
      <c r="H76" s="52"/>
      <c r="I76" s="52"/>
      <c r="J76" s="54"/>
      <c r="K76" s="54"/>
      <c r="L76" s="78" t="str">
        <f t="shared" si="115"/>
        <v/>
      </c>
      <c r="M76" s="56" t="str">
        <f t="shared" si="116"/>
        <v/>
      </c>
      <c r="N76" s="57" t="str">
        <f t="shared" si="2"/>
        <v/>
      </c>
      <c r="O76" s="58" t="str">
        <f t="shared" si="117"/>
        <v/>
      </c>
      <c r="P76" s="59" t="str">
        <f t="shared" si="4"/>
        <v/>
      </c>
      <c r="Q76" s="60" t="str">
        <f t="shared" si="118"/>
        <v/>
      </c>
      <c r="R76" s="61" t="str">
        <f t="shared" si="6"/>
        <v/>
      </c>
      <c r="S76" s="56" t="str">
        <f t="shared" si="119"/>
        <v/>
      </c>
      <c r="T76" s="62" t="str">
        <f t="shared" si="120"/>
        <v/>
      </c>
      <c r="U76" s="63" t="str">
        <f t="shared" si="9"/>
        <v/>
      </c>
      <c r="V76" s="64" t="str">
        <f t="shared" si="121"/>
        <v/>
      </c>
      <c r="W76" s="65" t="str">
        <f t="shared" si="11"/>
        <v/>
      </c>
      <c r="X76" s="64" t="str">
        <f t="shared" si="122"/>
        <v/>
      </c>
      <c r="Y76" s="64" t="str">
        <f t="shared" si="123"/>
        <v/>
      </c>
      <c r="Z76" s="56" t="str">
        <f t="shared" si="124"/>
        <v/>
      </c>
      <c r="AA76" s="66" t="str">
        <f t="shared" si="125"/>
        <v/>
      </c>
      <c r="AB76" s="57" t="str">
        <f t="shared" si="16"/>
        <v/>
      </c>
      <c r="AC76" s="67" t="str">
        <f t="shared" si="126"/>
        <v/>
      </c>
      <c r="AD76" s="59" t="str">
        <f t="shared" si="127"/>
        <v/>
      </c>
      <c r="AE76" s="68" t="str">
        <f t="shared" si="128"/>
        <v/>
      </c>
      <c r="AF76" s="61" t="str">
        <f t="shared" si="129"/>
        <v/>
      </c>
      <c r="AG76" s="61" t="str">
        <f t="shared" si="130"/>
        <v/>
      </c>
      <c r="AH76" s="69" t="str">
        <f t="shared" si="131"/>
        <v/>
      </c>
      <c r="AI76" s="70" t="str">
        <f t="shared" si="23"/>
        <v/>
      </c>
      <c r="AJ76" s="64" t="str">
        <f t="shared" si="132"/>
        <v/>
      </c>
      <c r="AK76" s="64" t="str">
        <f t="shared" si="133"/>
        <v/>
      </c>
      <c r="AL76" s="64" t="str">
        <f t="shared" si="134"/>
        <v/>
      </c>
      <c r="AM76" s="64" t="str">
        <f t="shared" si="135"/>
        <v/>
      </c>
      <c r="AN76" s="64" t="str">
        <f t="shared" si="136"/>
        <v/>
      </c>
    </row>
    <row r="77" spans="3:40" ht="24.5" hidden="1" outlineLevel="1" thickTop="1" thickBot="1" x14ac:dyDescent="0.55000000000000004">
      <c r="C77" s="113"/>
      <c r="D77" s="112"/>
      <c r="E77" s="52"/>
      <c r="F77" s="53"/>
      <c r="G77" s="53"/>
      <c r="H77" s="52"/>
      <c r="I77" s="52"/>
      <c r="J77" s="54"/>
      <c r="K77" s="54"/>
      <c r="L77" s="78" t="str">
        <f t="shared" si="115"/>
        <v/>
      </c>
      <c r="M77" s="56" t="str">
        <f t="shared" si="116"/>
        <v/>
      </c>
      <c r="N77" s="57" t="str">
        <f t="shared" si="2"/>
        <v/>
      </c>
      <c r="O77" s="58" t="str">
        <f t="shared" si="117"/>
        <v/>
      </c>
      <c r="P77" s="59" t="str">
        <f t="shared" si="4"/>
        <v/>
      </c>
      <c r="Q77" s="60" t="str">
        <f t="shared" si="118"/>
        <v/>
      </c>
      <c r="R77" s="61" t="str">
        <f t="shared" si="6"/>
        <v/>
      </c>
      <c r="S77" s="56" t="str">
        <f t="shared" si="119"/>
        <v/>
      </c>
      <c r="T77" s="62" t="str">
        <f t="shared" si="120"/>
        <v/>
      </c>
      <c r="U77" s="63" t="str">
        <f t="shared" si="9"/>
        <v/>
      </c>
      <c r="V77" s="64" t="str">
        <f t="shared" si="121"/>
        <v/>
      </c>
      <c r="W77" s="65" t="str">
        <f t="shared" si="11"/>
        <v/>
      </c>
      <c r="X77" s="64" t="str">
        <f t="shared" si="122"/>
        <v/>
      </c>
      <c r="Y77" s="64" t="str">
        <f t="shared" si="123"/>
        <v/>
      </c>
      <c r="Z77" s="56" t="str">
        <f t="shared" si="124"/>
        <v/>
      </c>
      <c r="AA77" s="66" t="str">
        <f t="shared" si="125"/>
        <v/>
      </c>
      <c r="AB77" s="57" t="str">
        <f t="shared" si="16"/>
        <v/>
      </c>
      <c r="AC77" s="67" t="str">
        <f t="shared" si="126"/>
        <v/>
      </c>
      <c r="AD77" s="59" t="str">
        <f t="shared" si="127"/>
        <v/>
      </c>
      <c r="AE77" s="68" t="str">
        <f t="shared" si="128"/>
        <v/>
      </c>
      <c r="AF77" s="61" t="str">
        <f t="shared" si="129"/>
        <v/>
      </c>
      <c r="AG77" s="61" t="str">
        <f t="shared" si="130"/>
        <v/>
      </c>
      <c r="AH77" s="69" t="str">
        <f t="shared" si="131"/>
        <v/>
      </c>
      <c r="AI77" s="70" t="str">
        <f t="shared" si="23"/>
        <v/>
      </c>
      <c r="AJ77" s="64" t="str">
        <f t="shared" si="132"/>
        <v/>
      </c>
      <c r="AK77" s="64" t="str">
        <f t="shared" si="133"/>
        <v/>
      </c>
      <c r="AL77" s="64" t="str">
        <f t="shared" si="134"/>
        <v/>
      </c>
      <c r="AM77" s="64" t="str">
        <f t="shared" si="135"/>
        <v/>
      </c>
      <c r="AN77" s="64" t="str">
        <f t="shared" si="136"/>
        <v/>
      </c>
    </row>
    <row r="78" spans="3:40" ht="24.5" hidden="1" outlineLevel="1" thickTop="1" thickBot="1" x14ac:dyDescent="0.55000000000000004">
      <c r="C78" s="113"/>
      <c r="D78" s="112"/>
      <c r="E78" s="52"/>
      <c r="F78" s="53"/>
      <c r="G78" s="53"/>
      <c r="H78" s="52"/>
      <c r="I78" s="52"/>
      <c r="J78" s="54"/>
      <c r="K78" s="54"/>
      <c r="L78" s="78" t="str">
        <f t="shared" si="115"/>
        <v/>
      </c>
      <c r="M78" s="56" t="str">
        <f t="shared" si="116"/>
        <v/>
      </c>
      <c r="N78" s="57" t="str">
        <f t="shared" si="2"/>
        <v/>
      </c>
      <c r="O78" s="58" t="str">
        <f t="shared" si="117"/>
        <v/>
      </c>
      <c r="P78" s="59" t="str">
        <f t="shared" si="4"/>
        <v/>
      </c>
      <c r="Q78" s="60" t="str">
        <f t="shared" si="118"/>
        <v/>
      </c>
      <c r="R78" s="61" t="str">
        <f t="shared" si="6"/>
        <v/>
      </c>
      <c r="S78" s="56" t="str">
        <f t="shared" si="119"/>
        <v/>
      </c>
      <c r="T78" s="62" t="str">
        <f t="shared" si="120"/>
        <v/>
      </c>
      <c r="U78" s="63" t="str">
        <f t="shared" si="9"/>
        <v/>
      </c>
      <c r="V78" s="64" t="str">
        <f t="shared" si="121"/>
        <v/>
      </c>
      <c r="W78" s="65" t="str">
        <f t="shared" si="11"/>
        <v/>
      </c>
      <c r="X78" s="64" t="str">
        <f t="shared" si="122"/>
        <v/>
      </c>
      <c r="Y78" s="64" t="str">
        <f t="shared" si="123"/>
        <v/>
      </c>
      <c r="Z78" s="56" t="str">
        <f t="shared" si="124"/>
        <v/>
      </c>
      <c r="AA78" s="66" t="str">
        <f t="shared" si="125"/>
        <v/>
      </c>
      <c r="AB78" s="57" t="str">
        <f t="shared" si="16"/>
        <v/>
      </c>
      <c r="AC78" s="67" t="str">
        <f t="shared" si="126"/>
        <v/>
      </c>
      <c r="AD78" s="59" t="str">
        <f t="shared" si="127"/>
        <v/>
      </c>
      <c r="AE78" s="68" t="str">
        <f t="shared" si="128"/>
        <v/>
      </c>
      <c r="AF78" s="61" t="str">
        <f t="shared" si="129"/>
        <v/>
      </c>
      <c r="AG78" s="61" t="str">
        <f t="shared" si="130"/>
        <v/>
      </c>
      <c r="AH78" s="69" t="str">
        <f t="shared" si="131"/>
        <v/>
      </c>
      <c r="AI78" s="70" t="str">
        <f t="shared" si="23"/>
        <v/>
      </c>
      <c r="AJ78" s="64" t="str">
        <f t="shared" si="132"/>
        <v/>
      </c>
      <c r="AK78" s="64" t="str">
        <f t="shared" si="133"/>
        <v/>
      </c>
      <c r="AL78" s="64" t="str">
        <f t="shared" si="134"/>
        <v/>
      </c>
      <c r="AM78" s="64" t="str">
        <f t="shared" si="135"/>
        <v/>
      </c>
      <c r="AN78" s="64" t="str">
        <f t="shared" si="136"/>
        <v/>
      </c>
    </row>
    <row r="79" spans="3:40" ht="24.5" hidden="1" outlineLevel="1" thickTop="1" thickBot="1" x14ac:dyDescent="0.55000000000000004">
      <c r="C79" s="113"/>
      <c r="D79" s="112"/>
      <c r="E79" s="52"/>
      <c r="F79" s="53"/>
      <c r="G79" s="53"/>
      <c r="H79" s="52"/>
      <c r="I79" s="52"/>
      <c r="J79" s="54"/>
      <c r="K79" s="54"/>
      <c r="L79" s="55" t="str">
        <f t="shared" si="115"/>
        <v/>
      </c>
      <c r="M79" s="56" t="str">
        <f t="shared" si="116"/>
        <v/>
      </c>
      <c r="N79" s="57" t="str">
        <f t="shared" si="2"/>
        <v/>
      </c>
      <c r="O79" s="58" t="str">
        <f t="shared" si="117"/>
        <v/>
      </c>
      <c r="P79" s="59" t="str">
        <f t="shared" si="4"/>
        <v/>
      </c>
      <c r="Q79" s="60" t="str">
        <f t="shared" si="118"/>
        <v/>
      </c>
      <c r="R79" s="61" t="str">
        <f t="shared" si="6"/>
        <v/>
      </c>
      <c r="S79" s="56" t="str">
        <f t="shared" si="119"/>
        <v/>
      </c>
      <c r="T79" s="62" t="str">
        <f t="shared" si="120"/>
        <v/>
      </c>
      <c r="U79" s="63" t="str">
        <f t="shared" si="9"/>
        <v/>
      </c>
      <c r="V79" s="64" t="str">
        <f t="shared" si="121"/>
        <v/>
      </c>
      <c r="W79" s="65" t="str">
        <f t="shared" si="11"/>
        <v/>
      </c>
      <c r="X79" s="64" t="str">
        <f t="shared" si="122"/>
        <v/>
      </c>
      <c r="Y79" s="64" t="str">
        <f t="shared" si="123"/>
        <v/>
      </c>
      <c r="Z79" s="56" t="str">
        <f t="shared" si="124"/>
        <v/>
      </c>
      <c r="AA79" s="66" t="str">
        <f t="shared" si="125"/>
        <v/>
      </c>
      <c r="AB79" s="57" t="str">
        <f t="shared" si="16"/>
        <v/>
      </c>
      <c r="AC79" s="67" t="str">
        <f t="shared" si="126"/>
        <v/>
      </c>
      <c r="AD79" s="59" t="str">
        <f t="shared" si="127"/>
        <v/>
      </c>
      <c r="AE79" s="68" t="str">
        <f t="shared" si="128"/>
        <v/>
      </c>
      <c r="AF79" s="61" t="str">
        <f t="shared" si="129"/>
        <v/>
      </c>
      <c r="AG79" s="61" t="str">
        <f t="shared" si="130"/>
        <v/>
      </c>
      <c r="AH79" s="69" t="str">
        <f t="shared" si="131"/>
        <v/>
      </c>
      <c r="AI79" s="70" t="str">
        <f t="shared" si="23"/>
        <v/>
      </c>
      <c r="AJ79" s="64" t="str">
        <f t="shared" si="132"/>
        <v/>
      </c>
      <c r="AK79" s="64" t="str">
        <f t="shared" si="133"/>
        <v/>
      </c>
      <c r="AL79" s="64" t="str">
        <f t="shared" si="134"/>
        <v/>
      </c>
      <c r="AM79" s="64" t="str">
        <f t="shared" si="135"/>
        <v/>
      </c>
      <c r="AN79" s="64" t="str">
        <f t="shared" si="136"/>
        <v/>
      </c>
    </row>
    <row r="80" spans="3:40" ht="24.5" hidden="1" outlineLevel="1" thickTop="1" thickBot="1" x14ac:dyDescent="0.55000000000000004">
      <c r="C80" s="113"/>
      <c r="D80" s="112"/>
      <c r="E80" s="52"/>
      <c r="F80" s="53"/>
      <c r="G80" s="53"/>
      <c r="H80" s="52"/>
      <c r="I80" s="52"/>
      <c r="J80" s="54"/>
      <c r="K80" s="54"/>
      <c r="L80" s="55" t="str">
        <f t="shared" si="115"/>
        <v/>
      </c>
      <c r="M80" s="56" t="str">
        <f t="shared" si="116"/>
        <v/>
      </c>
      <c r="N80" s="57" t="str">
        <f t="shared" si="2"/>
        <v/>
      </c>
      <c r="O80" s="58" t="str">
        <f t="shared" si="117"/>
        <v/>
      </c>
      <c r="P80" s="59" t="str">
        <f t="shared" si="4"/>
        <v/>
      </c>
      <c r="Q80" s="60" t="str">
        <f t="shared" si="118"/>
        <v/>
      </c>
      <c r="R80" s="61" t="str">
        <f t="shared" si="6"/>
        <v/>
      </c>
      <c r="S80" s="56" t="str">
        <f t="shared" si="119"/>
        <v/>
      </c>
      <c r="T80" s="62" t="str">
        <f t="shared" si="120"/>
        <v/>
      </c>
      <c r="U80" s="63" t="str">
        <f t="shared" si="9"/>
        <v/>
      </c>
      <c r="V80" s="64" t="str">
        <f t="shared" si="121"/>
        <v/>
      </c>
      <c r="W80" s="65" t="str">
        <f t="shared" si="11"/>
        <v/>
      </c>
      <c r="X80" s="64" t="str">
        <f t="shared" si="122"/>
        <v/>
      </c>
      <c r="Y80" s="64" t="str">
        <f t="shared" si="123"/>
        <v/>
      </c>
      <c r="Z80" s="56" t="str">
        <f t="shared" si="124"/>
        <v/>
      </c>
      <c r="AA80" s="66" t="str">
        <f t="shared" si="125"/>
        <v/>
      </c>
      <c r="AB80" s="57" t="str">
        <f t="shared" si="16"/>
        <v/>
      </c>
      <c r="AC80" s="67" t="str">
        <f t="shared" si="126"/>
        <v/>
      </c>
      <c r="AD80" s="59" t="str">
        <f t="shared" si="127"/>
        <v/>
      </c>
      <c r="AE80" s="68" t="str">
        <f t="shared" si="128"/>
        <v/>
      </c>
      <c r="AF80" s="61" t="str">
        <f t="shared" si="129"/>
        <v/>
      </c>
      <c r="AG80" s="61" t="str">
        <f t="shared" si="130"/>
        <v/>
      </c>
      <c r="AH80" s="69" t="str">
        <f t="shared" si="131"/>
        <v/>
      </c>
      <c r="AI80" s="70" t="str">
        <f t="shared" si="23"/>
        <v/>
      </c>
      <c r="AJ80" s="64" t="str">
        <f t="shared" si="132"/>
        <v/>
      </c>
      <c r="AK80" s="64" t="str">
        <f t="shared" si="133"/>
        <v/>
      </c>
      <c r="AL80" s="64" t="str">
        <f t="shared" si="134"/>
        <v/>
      </c>
      <c r="AM80" s="64" t="str">
        <f t="shared" si="135"/>
        <v/>
      </c>
      <c r="AN80" s="64" t="str">
        <f t="shared" si="136"/>
        <v/>
      </c>
    </row>
    <row r="81" spans="1:40" ht="24.5" hidden="1" outlineLevel="1" thickTop="1" thickBot="1" x14ac:dyDescent="0.55000000000000004">
      <c r="C81" s="113"/>
      <c r="D81" s="112"/>
      <c r="E81" s="52"/>
      <c r="F81" s="53"/>
      <c r="G81" s="53"/>
      <c r="H81" s="52"/>
      <c r="I81" s="52"/>
      <c r="J81" s="54"/>
      <c r="K81" s="54"/>
      <c r="L81" s="55" t="str">
        <f t="shared" si="115"/>
        <v/>
      </c>
      <c r="M81" s="56" t="str">
        <f t="shared" si="116"/>
        <v/>
      </c>
      <c r="N81" s="57" t="str">
        <f t="shared" si="2"/>
        <v/>
      </c>
      <c r="O81" s="58" t="str">
        <f t="shared" si="117"/>
        <v/>
      </c>
      <c r="P81" s="59" t="str">
        <f t="shared" si="4"/>
        <v/>
      </c>
      <c r="Q81" s="60" t="str">
        <f t="shared" si="118"/>
        <v/>
      </c>
      <c r="R81" s="61" t="str">
        <f t="shared" si="6"/>
        <v/>
      </c>
      <c r="S81" s="56" t="str">
        <f t="shared" si="119"/>
        <v/>
      </c>
      <c r="T81" s="62" t="str">
        <f t="shared" si="120"/>
        <v/>
      </c>
      <c r="U81" s="63" t="str">
        <f t="shared" si="9"/>
        <v/>
      </c>
      <c r="V81" s="64" t="str">
        <f t="shared" si="121"/>
        <v/>
      </c>
      <c r="W81" s="65" t="str">
        <f t="shared" si="11"/>
        <v/>
      </c>
      <c r="X81" s="64" t="str">
        <f t="shared" si="122"/>
        <v/>
      </c>
      <c r="Y81" s="64" t="str">
        <f t="shared" si="123"/>
        <v/>
      </c>
      <c r="Z81" s="56" t="str">
        <f t="shared" si="124"/>
        <v/>
      </c>
      <c r="AA81" s="66" t="str">
        <f t="shared" si="125"/>
        <v/>
      </c>
      <c r="AB81" s="57" t="str">
        <f t="shared" si="16"/>
        <v/>
      </c>
      <c r="AC81" s="67" t="str">
        <f t="shared" si="126"/>
        <v/>
      </c>
      <c r="AD81" s="59" t="str">
        <f t="shared" si="127"/>
        <v/>
      </c>
      <c r="AE81" s="68" t="str">
        <f t="shared" si="128"/>
        <v/>
      </c>
      <c r="AF81" s="61" t="str">
        <f t="shared" si="129"/>
        <v/>
      </c>
      <c r="AG81" s="61" t="str">
        <f t="shared" si="130"/>
        <v/>
      </c>
      <c r="AH81" s="69" t="str">
        <f t="shared" si="131"/>
        <v/>
      </c>
      <c r="AI81" s="70" t="str">
        <f t="shared" si="23"/>
        <v/>
      </c>
      <c r="AJ81" s="64" t="str">
        <f t="shared" si="132"/>
        <v/>
      </c>
      <c r="AK81" s="64" t="str">
        <f t="shared" si="133"/>
        <v/>
      </c>
      <c r="AL81" s="64" t="str">
        <f t="shared" si="134"/>
        <v/>
      </c>
      <c r="AM81" s="64" t="str">
        <f t="shared" si="135"/>
        <v/>
      </c>
      <c r="AN81" s="64" t="str">
        <f t="shared" si="136"/>
        <v/>
      </c>
    </row>
    <row r="82" spans="1:40" ht="24.5" hidden="1" outlineLevel="1" thickTop="1" thickBot="1" x14ac:dyDescent="0.55000000000000004">
      <c r="C82" s="113"/>
      <c r="D82" s="112"/>
      <c r="E82" s="52"/>
      <c r="F82" s="53"/>
      <c r="G82" s="53"/>
      <c r="H82" s="52"/>
      <c r="I82" s="52"/>
      <c r="J82" s="54"/>
      <c r="K82" s="54"/>
      <c r="L82" s="55" t="str">
        <f t="shared" si="115"/>
        <v/>
      </c>
      <c r="M82" s="56" t="str">
        <f t="shared" si="116"/>
        <v/>
      </c>
      <c r="N82" s="57" t="str">
        <f t="shared" si="2"/>
        <v/>
      </c>
      <c r="O82" s="58" t="str">
        <f t="shared" si="117"/>
        <v/>
      </c>
      <c r="P82" s="59" t="str">
        <f t="shared" si="4"/>
        <v/>
      </c>
      <c r="Q82" s="60" t="str">
        <f t="shared" si="118"/>
        <v/>
      </c>
      <c r="R82" s="61" t="str">
        <f t="shared" ref="R82:R90" si="137">IF(N82="Do",10,IF(N82="Re",22,IF(N82="Mi",20,IF(N82="Fa",20,IF(N82="Sol",14,IF(N82="La",20,IF(N82="Si",20,IF(N82="Do#",14,IF(N82="Fa#",15,IF(N82="Sol#",20,IF(N82="Si♭",17,"")))))))))))</f>
        <v/>
      </c>
      <c r="S82" s="56" t="str">
        <f t="shared" si="119"/>
        <v/>
      </c>
      <c r="T82" s="62" t="str">
        <f t="shared" si="120"/>
        <v/>
      </c>
      <c r="U82" s="63" t="str">
        <f t="shared" si="9"/>
        <v/>
      </c>
      <c r="V82" s="64" t="str">
        <f t="shared" si="121"/>
        <v/>
      </c>
      <c r="W82" s="65" t="str">
        <f t="shared" si="11"/>
        <v/>
      </c>
      <c r="X82" s="64" t="str">
        <f t="shared" si="122"/>
        <v/>
      </c>
      <c r="Y82" s="64" t="str">
        <f t="shared" si="123"/>
        <v/>
      </c>
      <c r="Z82" s="56" t="str">
        <f t="shared" si="124"/>
        <v/>
      </c>
      <c r="AA82" s="66" t="str">
        <f t="shared" si="125"/>
        <v/>
      </c>
      <c r="AB82" s="57" t="str">
        <f t="shared" si="16"/>
        <v/>
      </c>
      <c r="AC82" s="67" t="str">
        <f t="shared" si="126"/>
        <v/>
      </c>
      <c r="AD82" s="59" t="str">
        <f t="shared" si="127"/>
        <v/>
      </c>
      <c r="AE82" s="68" t="str">
        <f t="shared" si="128"/>
        <v/>
      </c>
      <c r="AF82" s="61" t="str">
        <f t="shared" si="129"/>
        <v/>
      </c>
      <c r="AG82" s="61" t="str">
        <f t="shared" si="130"/>
        <v/>
      </c>
      <c r="AH82" s="69" t="str">
        <f t="shared" si="131"/>
        <v/>
      </c>
      <c r="AI82" s="70" t="str">
        <f t="shared" si="23"/>
        <v/>
      </c>
      <c r="AJ82" s="64" t="str">
        <f t="shared" si="132"/>
        <v/>
      </c>
      <c r="AK82" s="64" t="str">
        <f t="shared" si="133"/>
        <v/>
      </c>
      <c r="AL82" s="64" t="str">
        <f t="shared" si="134"/>
        <v/>
      </c>
      <c r="AM82" s="64" t="str">
        <f t="shared" si="135"/>
        <v/>
      </c>
      <c r="AN82" s="64" t="str">
        <f t="shared" si="136"/>
        <v/>
      </c>
    </row>
    <row r="83" spans="1:40" ht="24.5" hidden="1" outlineLevel="1" thickTop="1" thickBot="1" x14ac:dyDescent="0.55000000000000004">
      <c r="C83" s="113"/>
      <c r="D83" s="112"/>
      <c r="E83" s="52"/>
      <c r="F83" s="53"/>
      <c r="G83" s="53"/>
      <c r="H83" s="52"/>
      <c r="I83" s="52"/>
      <c r="J83" s="54"/>
      <c r="K83" s="54"/>
      <c r="L83" s="55" t="str">
        <f t="shared" si="115"/>
        <v/>
      </c>
      <c r="M83" s="56" t="str">
        <f t="shared" si="116"/>
        <v/>
      </c>
      <c r="N83" s="57" t="str">
        <f t="shared" si="2"/>
        <v/>
      </c>
      <c r="O83" s="58" t="str">
        <f t="shared" si="117"/>
        <v/>
      </c>
      <c r="P83" s="59" t="str">
        <f t="shared" si="4"/>
        <v/>
      </c>
      <c r="Q83" s="60" t="str">
        <f t="shared" si="118"/>
        <v/>
      </c>
      <c r="R83" s="61" t="str">
        <f t="shared" si="137"/>
        <v/>
      </c>
      <c r="S83" s="56" t="str">
        <f t="shared" si="119"/>
        <v/>
      </c>
      <c r="T83" s="62" t="str">
        <f t="shared" si="120"/>
        <v/>
      </c>
      <c r="U83" s="63" t="str">
        <f t="shared" si="9"/>
        <v/>
      </c>
      <c r="V83" s="64" t="str">
        <f t="shared" si="121"/>
        <v/>
      </c>
      <c r="W83" s="65" t="str">
        <f t="shared" si="11"/>
        <v/>
      </c>
      <c r="X83" s="64" t="str">
        <f t="shared" si="122"/>
        <v/>
      </c>
      <c r="Y83" s="64" t="str">
        <f t="shared" si="123"/>
        <v/>
      </c>
      <c r="Z83" s="56" t="str">
        <f t="shared" si="124"/>
        <v/>
      </c>
      <c r="AA83" s="66" t="str">
        <f t="shared" si="125"/>
        <v/>
      </c>
      <c r="AB83" s="57" t="str">
        <f t="shared" si="16"/>
        <v/>
      </c>
      <c r="AC83" s="67" t="str">
        <f t="shared" si="126"/>
        <v/>
      </c>
      <c r="AD83" s="59" t="str">
        <f t="shared" si="127"/>
        <v/>
      </c>
      <c r="AE83" s="68" t="str">
        <f t="shared" si="128"/>
        <v/>
      </c>
      <c r="AF83" s="61" t="str">
        <f t="shared" si="129"/>
        <v/>
      </c>
      <c r="AG83" s="61" t="str">
        <f t="shared" si="130"/>
        <v/>
      </c>
      <c r="AH83" s="69" t="str">
        <f t="shared" si="131"/>
        <v/>
      </c>
      <c r="AI83" s="70" t="str">
        <f t="shared" si="23"/>
        <v/>
      </c>
      <c r="AJ83" s="64" t="str">
        <f t="shared" si="132"/>
        <v/>
      </c>
      <c r="AK83" s="64" t="str">
        <f t="shared" si="133"/>
        <v/>
      </c>
      <c r="AL83" s="64" t="str">
        <f t="shared" si="134"/>
        <v/>
      </c>
      <c r="AM83" s="64" t="str">
        <f t="shared" si="135"/>
        <v/>
      </c>
      <c r="AN83" s="64" t="str">
        <f t="shared" si="136"/>
        <v/>
      </c>
    </row>
    <row r="84" spans="1:40" ht="24.5" hidden="1" outlineLevel="1" thickTop="1" thickBot="1" x14ac:dyDescent="0.55000000000000004">
      <c r="C84" s="113"/>
      <c r="D84" s="112"/>
      <c r="E84" s="52"/>
      <c r="F84" s="53"/>
      <c r="G84" s="53"/>
      <c r="H84" s="52"/>
      <c r="I84" s="52"/>
      <c r="J84" s="54"/>
      <c r="K84" s="54"/>
      <c r="L84" s="78" t="str">
        <f t="shared" si="115"/>
        <v/>
      </c>
      <c r="M84" s="56" t="str">
        <f t="shared" si="116"/>
        <v/>
      </c>
      <c r="N84" s="57" t="str">
        <f t="shared" si="2"/>
        <v/>
      </c>
      <c r="O84" s="58" t="str">
        <f t="shared" si="117"/>
        <v/>
      </c>
      <c r="P84" s="59" t="str">
        <f t="shared" si="4"/>
        <v/>
      </c>
      <c r="Q84" s="60" t="str">
        <f t="shared" si="118"/>
        <v/>
      </c>
      <c r="R84" s="61" t="str">
        <f t="shared" si="137"/>
        <v/>
      </c>
      <c r="S84" s="56" t="str">
        <f t="shared" si="119"/>
        <v/>
      </c>
      <c r="T84" s="62" t="str">
        <f t="shared" si="120"/>
        <v/>
      </c>
      <c r="U84" s="63" t="str">
        <f t="shared" si="9"/>
        <v/>
      </c>
      <c r="V84" s="64" t="str">
        <f t="shared" si="121"/>
        <v/>
      </c>
      <c r="W84" s="65" t="str">
        <f t="shared" si="11"/>
        <v/>
      </c>
      <c r="X84" s="64" t="str">
        <f t="shared" si="122"/>
        <v/>
      </c>
      <c r="Y84" s="64" t="str">
        <f t="shared" si="123"/>
        <v/>
      </c>
      <c r="Z84" s="56" t="str">
        <f t="shared" si="124"/>
        <v/>
      </c>
      <c r="AA84" s="66" t="str">
        <f t="shared" si="125"/>
        <v/>
      </c>
      <c r="AB84" s="57" t="str">
        <f t="shared" si="16"/>
        <v/>
      </c>
      <c r="AC84" s="67" t="str">
        <f t="shared" si="126"/>
        <v/>
      </c>
      <c r="AD84" s="59" t="str">
        <f t="shared" si="127"/>
        <v/>
      </c>
      <c r="AE84" s="68" t="str">
        <f t="shared" si="128"/>
        <v/>
      </c>
      <c r="AF84" s="61" t="str">
        <f t="shared" si="129"/>
        <v/>
      </c>
      <c r="AG84" s="61" t="str">
        <f t="shared" si="130"/>
        <v/>
      </c>
      <c r="AH84" s="69" t="str">
        <f t="shared" si="131"/>
        <v/>
      </c>
      <c r="AI84" s="70" t="str">
        <f t="shared" si="23"/>
        <v/>
      </c>
      <c r="AJ84" s="64" t="str">
        <f t="shared" si="132"/>
        <v/>
      </c>
      <c r="AK84" s="64" t="str">
        <f t="shared" si="133"/>
        <v/>
      </c>
      <c r="AL84" s="64" t="str">
        <f t="shared" si="134"/>
        <v/>
      </c>
      <c r="AM84" s="64" t="str">
        <f t="shared" si="135"/>
        <v/>
      </c>
      <c r="AN84" s="64" t="str">
        <f t="shared" si="136"/>
        <v/>
      </c>
    </row>
    <row r="85" spans="1:40" ht="24.5" hidden="1" outlineLevel="1" thickTop="1" thickBot="1" x14ac:dyDescent="0.55000000000000004">
      <c r="C85" s="113"/>
      <c r="D85" s="112"/>
      <c r="E85" s="52"/>
      <c r="F85" s="53"/>
      <c r="G85" s="53"/>
      <c r="H85" s="52"/>
      <c r="I85" s="52"/>
      <c r="J85" s="54"/>
      <c r="K85" s="54"/>
      <c r="L85" s="78" t="str">
        <f t="shared" si="115"/>
        <v/>
      </c>
      <c r="M85" s="56" t="str">
        <f t="shared" si="116"/>
        <v/>
      </c>
      <c r="N85" s="57" t="str">
        <f t="shared" si="2"/>
        <v/>
      </c>
      <c r="O85" s="58" t="str">
        <f t="shared" si="117"/>
        <v/>
      </c>
      <c r="P85" s="59" t="str">
        <f t="shared" si="4"/>
        <v/>
      </c>
      <c r="Q85" s="60" t="str">
        <f t="shared" si="118"/>
        <v/>
      </c>
      <c r="R85" s="61" t="str">
        <f t="shared" si="137"/>
        <v/>
      </c>
      <c r="S85" s="56" t="str">
        <f t="shared" si="119"/>
        <v/>
      </c>
      <c r="T85" s="62" t="str">
        <f t="shared" si="120"/>
        <v/>
      </c>
      <c r="U85" s="63" t="str">
        <f t="shared" si="9"/>
        <v/>
      </c>
      <c r="V85" s="64" t="str">
        <f t="shared" si="121"/>
        <v/>
      </c>
      <c r="W85" s="65" t="str">
        <f t="shared" si="11"/>
        <v/>
      </c>
      <c r="X85" s="64" t="str">
        <f t="shared" si="122"/>
        <v/>
      </c>
      <c r="Y85" s="64" t="str">
        <f t="shared" si="123"/>
        <v/>
      </c>
      <c r="Z85" s="56" t="str">
        <f t="shared" si="124"/>
        <v/>
      </c>
      <c r="AA85" s="66" t="str">
        <f t="shared" si="125"/>
        <v/>
      </c>
      <c r="AB85" s="57" t="str">
        <f t="shared" si="16"/>
        <v/>
      </c>
      <c r="AC85" s="67" t="str">
        <f t="shared" si="126"/>
        <v/>
      </c>
      <c r="AD85" s="59" t="str">
        <f t="shared" si="127"/>
        <v/>
      </c>
      <c r="AE85" s="68" t="str">
        <f t="shared" si="128"/>
        <v/>
      </c>
      <c r="AF85" s="61" t="str">
        <f t="shared" si="129"/>
        <v/>
      </c>
      <c r="AG85" s="61" t="str">
        <f t="shared" si="130"/>
        <v/>
      </c>
      <c r="AH85" s="69" t="str">
        <f t="shared" si="131"/>
        <v/>
      </c>
      <c r="AI85" s="70" t="str">
        <f t="shared" si="23"/>
        <v/>
      </c>
      <c r="AJ85" s="64" t="str">
        <f t="shared" si="132"/>
        <v/>
      </c>
      <c r="AK85" s="64" t="str">
        <f t="shared" si="133"/>
        <v/>
      </c>
      <c r="AL85" s="64" t="str">
        <f t="shared" si="134"/>
        <v/>
      </c>
      <c r="AM85" s="64" t="str">
        <f t="shared" si="135"/>
        <v/>
      </c>
      <c r="AN85" s="64" t="str">
        <f t="shared" si="136"/>
        <v/>
      </c>
    </row>
    <row r="86" spans="1:40" ht="24.5" hidden="1" outlineLevel="1" thickTop="1" thickBot="1" x14ac:dyDescent="0.55000000000000004">
      <c r="C86" s="113"/>
      <c r="D86" s="112"/>
      <c r="E86" s="52"/>
      <c r="F86" s="53"/>
      <c r="G86" s="53"/>
      <c r="H86" s="52"/>
      <c r="I86" s="52"/>
      <c r="J86" s="54"/>
      <c r="K86" s="54"/>
      <c r="L86" s="78" t="str">
        <f t="shared" si="115"/>
        <v/>
      </c>
      <c r="M86" s="56" t="str">
        <f t="shared" si="116"/>
        <v/>
      </c>
      <c r="N86" s="57" t="str">
        <f t="shared" si="2"/>
        <v/>
      </c>
      <c r="O86" s="58" t="str">
        <f t="shared" si="117"/>
        <v/>
      </c>
      <c r="P86" s="59" t="str">
        <f t="shared" si="4"/>
        <v/>
      </c>
      <c r="Q86" s="60" t="str">
        <f t="shared" si="118"/>
        <v/>
      </c>
      <c r="R86" s="61" t="str">
        <f t="shared" si="137"/>
        <v/>
      </c>
      <c r="S86" s="56" t="str">
        <f t="shared" si="119"/>
        <v/>
      </c>
      <c r="T86" s="62" t="str">
        <f t="shared" si="120"/>
        <v/>
      </c>
      <c r="U86" s="63" t="str">
        <f t="shared" si="9"/>
        <v/>
      </c>
      <c r="V86" s="64" t="str">
        <f t="shared" si="121"/>
        <v/>
      </c>
      <c r="W86" s="65" t="str">
        <f t="shared" si="11"/>
        <v/>
      </c>
      <c r="X86" s="64" t="str">
        <f t="shared" si="122"/>
        <v/>
      </c>
      <c r="Y86" s="64" t="str">
        <f t="shared" si="123"/>
        <v/>
      </c>
      <c r="Z86" s="56" t="str">
        <f t="shared" si="124"/>
        <v/>
      </c>
      <c r="AA86" s="66" t="str">
        <f t="shared" si="125"/>
        <v/>
      </c>
      <c r="AB86" s="57" t="str">
        <f t="shared" si="16"/>
        <v/>
      </c>
      <c r="AC86" s="67" t="str">
        <f t="shared" si="126"/>
        <v/>
      </c>
      <c r="AD86" s="59" t="str">
        <f t="shared" si="127"/>
        <v/>
      </c>
      <c r="AE86" s="68" t="str">
        <f t="shared" si="128"/>
        <v/>
      </c>
      <c r="AF86" s="61" t="str">
        <f t="shared" si="129"/>
        <v/>
      </c>
      <c r="AG86" s="61" t="str">
        <f t="shared" si="130"/>
        <v/>
      </c>
      <c r="AH86" s="69" t="str">
        <f t="shared" si="131"/>
        <v/>
      </c>
      <c r="AI86" s="70" t="str">
        <f t="shared" si="23"/>
        <v/>
      </c>
      <c r="AJ86" s="64" t="str">
        <f t="shared" si="132"/>
        <v/>
      </c>
      <c r="AK86" s="64" t="str">
        <f t="shared" si="133"/>
        <v/>
      </c>
      <c r="AL86" s="64" t="str">
        <f t="shared" si="134"/>
        <v/>
      </c>
      <c r="AM86" s="64" t="str">
        <f t="shared" si="135"/>
        <v/>
      </c>
      <c r="AN86" s="64" t="str">
        <f t="shared" si="136"/>
        <v/>
      </c>
    </row>
    <row r="87" spans="1:40" ht="24.5" hidden="1" outlineLevel="1" thickTop="1" thickBot="1" x14ac:dyDescent="0.55000000000000004">
      <c r="C87" s="113"/>
      <c r="D87" s="112"/>
      <c r="E87" s="52"/>
      <c r="F87" s="53"/>
      <c r="G87" s="53"/>
      <c r="H87" s="52"/>
      <c r="I87" s="52"/>
      <c r="J87" s="54"/>
      <c r="K87" s="54"/>
      <c r="L87" s="78" t="str">
        <f t="shared" si="115"/>
        <v/>
      </c>
      <c r="M87" s="56" t="str">
        <f t="shared" si="116"/>
        <v/>
      </c>
      <c r="N87" s="57" t="str">
        <f t="shared" si="2"/>
        <v/>
      </c>
      <c r="O87" s="58" t="str">
        <f t="shared" si="117"/>
        <v/>
      </c>
      <c r="P87" s="59" t="str">
        <f t="shared" si="4"/>
        <v/>
      </c>
      <c r="Q87" s="60" t="str">
        <f t="shared" si="118"/>
        <v/>
      </c>
      <c r="R87" s="61" t="str">
        <f t="shared" si="137"/>
        <v/>
      </c>
      <c r="S87" s="56" t="str">
        <f t="shared" si="119"/>
        <v/>
      </c>
      <c r="T87" s="62" t="str">
        <f t="shared" si="120"/>
        <v/>
      </c>
      <c r="U87" s="63" t="str">
        <f t="shared" si="9"/>
        <v/>
      </c>
      <c r="V87" s="64" t="str">
        <f t="shared" si="121"/>
        <v/>
      </c>
      <c r="W87" s="65" t="str">
        <f t="shared" si="11"/>
        <v/>
      </c>
      <c r="X87" s="64" t="str">
        <f t="shared" si="122"/>
        <v/>
      </c>
      <c r="Y87" s="64" t="str">
        <f t="shared" si="123"/>
        <v/>
      </c>
      <c r="Z87" s="56" t="str">
        <f t="shared" si="124"/>
        <v/>
      </c>
      <c r="AA87" s="66" t="str">
        <f t="shared" si="125"/>
        <v/>
      </c>
      <c r="AB87" s="57" t="str">
        <f t="shared" si="16"/>
        <v/>
      </c>
      <c r="AC87" s="67" t="str">
        <f t="shared" si="126"/>
        <v/>
      </c>
      <c r="AD87" s="59" t="str">
        <f t="shared" si="127"/>
        <v/>
      </c>
      <c r="AE87" s="68" t="str">
        <f t="shared" si="128"/>
        <v/>
      </c>
      <c r="AF87" s="61" t="str">
        <f t="shared" si="129"/>
        <v/>
      </c>
      <c r="AG87" s="61" t="str">
        <f t="shared" si="130"/>
        <v/>
      </c>
      <c r="AH87" s="69" t="str">
        <f t="shared" si="131"/>
        <v/>
      </c>
      <c r="AI87" s="70" t="str">
        <f t="shared" si="23"/>
        <v/>
      </c>
      <c r="AJ87" s="64" t="str">
        <f t="shared" si="132"/>
        <v/>
      </c>
      <c r="AK87" s="64" t="str">
        <f t="shared" si="133"/>
        <v/>
      </c>
      <c r="AL87" s="64" t="str">
        <f t="shared" si="134"/>
        <v/>
      </c>
      <c r="AM87" s="64" t="str">
        <f t="shared" si="135"/>
        <v/>
      </c>
      <c r="AN87" s="64" t="str">
        <f t="shared" si="136"/>
        <v/>
      </c>
    </row>
    <row r="88" spans="1:40" ht="24.5" hidden="1" outlineLevel="1" thickTop="1" thickBot="1" x14ac:dyDescent="0.55000000000000004">
      <c r="C88" s="113"/>
      <c r="D88" s="112"/>
      <c r="E88" s="52"/>
      <c r="F88" s="53"/>
      <c r="G88" s="53"/>
      <c r="H88" s="52"/>
      <c r="I88" s="52"/>
      <c r="J88" s="54"/>
      <c r="K88" s="54"/>
      <c r="L88" s="78" t="str">
        <f t="shared" si="115"/>
        <v/>
      </c>
      <c r="M88" s="56" t="str">
        <f t="shared" si="116"/>
        <v/>
      </c>
      <c r="N88" s="57" t="str">
        <f t="shared" si="2"/>
        <v/>
      </c>
      <c r="O88" s="58" t="str">
        <f t="shared" si="117"/>
        <v/>
      </c>
      <c r="P88" s="59" t="str">
        <f t="shared" si="4"/>
        <v/>
      </c>
      <c r="Q88" s="60" t="str">
        <f t="shared" si="118"/>
        <v/>
      </c>
      <c r="R88" s="61" t="str">
        <f t="shared" si="137"/>
        <v/>
      </c>
      <c r="S88" s="56" t="str">
        <f t="shared" si="119"/>
        <v/>
      </c>
      <c r="T88" s="62" t="str">
        <f t="shared" si="120"/>
        <v/>
      </c>
      <c r="U88" s="63" t="str">
        <f t="shared" si="9"/>
        <v/>
      </c>
      <c r="V88" s="64" t="str">
        <f t="shared" si="121"/>
        <v/>
      </c>
      <c r="W88" s="65" t="str">
        <f t="shared" si="11"/>
        <v/>
      </c>
      <c r="X88" s="64" t="str">
        <f t="shared" si="122"/>
        <v/>
      </c>
      <c r="Y88" s="64" t="str">
        <f t="shared" si="123"/>
        <v/>
      </c>
      <c r="Z88" s="56" t="str">
        <f t="shared" si="124"/>
        <v/>
      </c>
      <c r="AA88" s="66" t="str">
        <f t="shared" si="125"/>
        <v/>
      </c>
      <c r="AB88" s="57" t="str">
        <f t="shared" si="16"/>
        <v/>
      </c>
      <c r="AC88" s="67" t="str">
        <f t="shared" si="126"/>
        <v/>
      </c>
      <c r="AD88" s="59" t="str">
        <f t="shared" si="127"/>
        <v/>
      </c>
      <c r="AE88" s="68" t="str">
        <f t="shared" si="128"/>
        <v/>
      </c>
      <c r="AF88" s="61" t="str">
        <f t="shared" si="129"/>
        <v/>
      </c>
      <c r="AG88" s="61" t="str">
        <f t="shared" si="130"/>
        <v/>
      </c>
      <c r="AH88" s="69" t="str">
        <f t="shared" si="131"/>
        <v/>
      </c>
      <c r="AI88" s="70" t="str">
        <f t="shared" si="23"/>
        <v/>
      </c>
      <c r="AJ88" s="64" t="str">
        <f t="shared" si="132"/>
        <v/>
      </c>
      <c r="AK88" s="64" t="str">
        <f t="shared" si="133"/>
        <v/>
      </c>
      <c r="AL88" s="64" t="str">
        <f t="shared" si="134"/>
        <v/>
      </c>
      <c r="AM88" s="64" t="str">
        <f t="shared" si="135"/>
        <v/>
      </c>
      <c r="AN88" s="64" t="str">
        <f t="shared" si="136"/>
        <v/>
      </c>
    </row>
    <row r="89" spans="1:40" ht="24.5" hidden="1" outlineLevel="1" thickTop="1" thickBot="1" x14ac:dyDescent="0.55000000000000004">
      <c r="C89" s="113"/>
      <c r="D89" s="112"/>
      <c r="E89" s="52"/>
      <c r="F89" s="53"/>
      <c r="G89" s="53"/>
      <c r="H89" s="52"/>
      <c r="I89" s="52"/>
      <c r="J89" s="54"/>
      <c r="K89" s="54"/>
      <c r="L89" s="55" t="str">
        <f>IF(C89="","",_xlfn.CONCAT("            { line: ","""",C89,", ",M89:AN89,""", sC: ","""",B89,"""},"))</f>
        <v/>
      </c>
      <c r="M89" s="56" t="str">
        <f t="shared" si="116"/>
        <v/>
      </c>
      <c r="N89" s="57" t="str">
        <f t="shared" si="2"/>
        <v/>
      </c>
      <c r="O89" s="58" t="str">
        <f t="shared" si="117"/>
        <v/>
      </c>
      <c r="P89" s="59" t="str">
        <f t="shared" si="4"/>
        <v/>
      </c>
      <c r="Q89" s="60" t="str">
        <f t="shared" si="118"/>
        <v/>
      </c>
      <c r="R89" s="61" t="str">
        <f t="shared" si="137"/>
        <v/>
      </c>
      <c r="S89" s="56" t="str">
        <f t="shared" si="119"/>
        <v/>
      </c>
      <c r="T89" s="62" t="str">
        <f t="shared" si="120"/>
        <v/>
      </c>
      <c r="U89" s="63" t="str">
        <f t="shared" si="9"/>
        <v/>
      </c>
      <c r="V89" s="64" t="str">
        <f t="shared" si="121"/>
        <v/>
      </c>
      <c r="W89" s="65" t="str">
        <f t="shared" si="11"/>
        <v/>
      </c>
      <c r="X89" s="64" t="str">
        <f t="shared" si="122"/>
        <v/>
      </c>
      <c r="Y89" s="64" t="str">
        <f t="shared" si="123"/>
        <v/>
      </c>
      <c r="Z89" s="56" t="str">
        <f t="shared" si="124"/>
        <v/>
      </c>
      <c r="AA89" s="66" t="str">
        <f t="shared" si="125"/>
        <v/>
      </c>
      <c r="AB89" s="57" t="str">
        <f t="shared" si="16"/>
        <v/>
      </c>
      <c r="AC89" s="67" t="str">
        <f t="shared" si="126"/>
        <v/>
      </c>
      <c r="AD89" s="59" t="str">
        <f t="shared" si="127"/>
        <v/>
      </c>
      <c r="AE89" s="68" t="str">
        <f t="shared" si="128"/>
        <v/>
      </c>
      <c r="AF89" s="61" t="str">
        <f t="shared" si="129"/>
        <v/>
      </c>
      <c r="AG89" s="61" t="str">
        <f t="shared" si="130"/>
        <v/>
      </c>
      <c r="AH89" s="69" t="str">
        <f t="shared" si="131"/>
        <v/>
      </c>
      <c r="AI89" s="70" t="str">
        <f t="shared" si="23"/>
        <v/>
      </c>
      <c r="AJ89" s="64" t="str">
        <f t="shared" si="132"/>
        <v/>
      </c>
      <c r="AK89" s="64" t="str">
        <f t="shared" si="133"/>
        <v/>
      </c>
      <c r="AL89" s="64" t="str">
        <f t="shared" si="134"/>
        <v/>
      </c>
      <c r="AM89" s="64" t="str">
        <f t="shared" si="135"/>
        <v/>
      </c>
      <c r="AN89" s="64" t="str">
        <f t="shared" si="136"/>
        <v/>
      </c>
    </row>
    <row r="90" spans="1:40" ht="24.5" hidden="1" outlineLevel="1" thickTop="1" thickBot="1" x14ac:dyDescent="0.55000000000000004">
      <c r="C90" s="113"/>
      <c r="D90" s="112"/>
      <c r="E90" s="52"/>
      <c r="F90" s="53"/>
      <c r="G90" s="53"/>
      <c r="H90" s="52"/>
      <c r="I90" s="52"/>
      <c r="J90" s="54"/>
      <c r="K90" s="54"/>
      <c r="L90" s="55" t="str">
        <f t="shared" ref="L90" si="138">IF(C90="","",_xlfn.CONCAT("            { line: ","""",C90,", ",M90:AN90,""", sC: ","""",B90,"""},"))</f>
        <v/>
      </c>
      <c r="M90" s="56" t="str">
        <f t="shared" si="116"/>
        <v/>
      </c>
      <c r="N90" s="57" t="str">
        <f t="shared" ref="N90" si="139">IF(D90="","",D90)</f>
        <v/>
      </c>
      <c r="O90" s="58" t="str">
        <f t="shared" si="117"/>
        <v/>
      </c>
      <c r="P90" s="59" t="str">
        <f t="shared" ref="P90" si="140">IF(E90="","",E90)</f>
        <v/>
      </c>
      <c r="Q90" s="60" t="str">
        <f t="shared" si="118"/>
        <v/>
      </c>
      <c r="R90" s="61" t="str">
        <f t="shared" si="137"/>
        <v/>
      </c>
      <c r="S90" s="56" t="str">
        <f t="shared" si="119"/>
        <v/>
      </c>
      <c r="T90" s="62" t="str">
        <f t="shared" si="120"/>
        <v/>
      </c>
      <c r="U90" s="63" t="str">
        <f t="shared" ref="U90" si="141">IF(F90="","",F90)</f>
        <v/>
      </c>
      <c r="V90" s="64" t="str">
        <f t="shared" si="121"/>
        <v/>
      </c>
      <c r="W90" s="65" t="str">
        <f t="shared" ref="W90" si="142">IF(G90="","",G90)</f>
        <v/>
      </c>
      <c r="X90" s="64" t="str">
        <f t="shared" si="122"/>
        <v/>
      </c>
      <c r="Y90" s="64" t="str">
        <f t="shared" si="123"/>
        <v/>
      </c>
      <c r="Z90" s="56" t="str">
        <f t="shared" si="124"/>
        <v/>
      </c>
      <c r="AA90" s="66" t="str">
        <f t="shared" si="125"/>
        <v/>
      </c>
      <c r="AB90" s="57" t="str">
        <f t="shared" ref="AB90" si="143">IF(H90="","",H90)</f>
        <v/>
      </c>
      <c r="AC90" s="67" t="str">
        <f t="shared" si="126"/>
        <v/>
      </c>
      <c r="AD90" s="59" t="str">
        <f t="shared" si="127"/>
        <v/>
      </c>
      <c r="AE90" s="68" t="str">
        <f t="shared" si="128"/>
        <v/>
      </c>
      <c r="AF90" s="61" t="str">
        <f t="shared" si="129"/>
        <v/>
      </c>
      <c r="AG90" s="61" t="str">
        <f t="shared" si="130"/>
        <v/>
      </c>
      <c r="AH90" s="69" t="str">
        <f t="shared" si="131"/>
        <v/>
      </c>
      <c r="AI90" s="70" t="str">
        <f t="shared" ref="AI90" si="144">IF(J90="","",J90)</f>
        <v/>
      </c>
      <c r="AJ90" s="64" t="str">
        <f t="shared" si="132"/>
        <v/>
      </c>
      <c r="AK90" s="64" t="str">
        <f t="shared" si="133"/>
        <v/>
      </c>
      <c r="AL90" s="64" t="str">
        <f t="shared" si="134"/>
        <v/>
      </c>
      <c r="AM90" s="64" t="str">
        <f t="shared" si="135"/>
        <v/>
      </c>
      <c r="AN90" s="64" t="str">
        <f t="shared" si="136"/>
        <v/>
      </c>
    </row>
    <row r="91" spans="1:40" ht="24" customHeight="1" collapsed="1" thickTop="1" x14ac:dyDescent="0.6">
      <c r="A91" s="95"/>
      <c r="B91" s="95"/>
      <c r="C91" s="95"/>
      <c r="D91" s="95"/>
      <c r="E91" s="95"/>
      <c r="F91" s="95"/>
      <c r="G91" s="95"/>
      <c r="H91" s="95"/>
      <c r="I91" s="95"/>
      <c r="J91" s="95"/>
      <c r="K91" s="95"/>
      <c r="L91" s="99" t="str">
        <f ca="1">_xlfn.CONCAT("]}, // ULTIMA LINEA DEL CANTO: ",L1)</f>
        <v>]}, // ULTIMA LINEA DEL CANTO: NO ESTÁ AQUÍ, RESUCITÓ</v>
      </c>
      <c r="M91" s="95"/>
    </row>
    <row r="92" spans="1:40" ht="20.5" x14ac:dyDescent="0.35">
      <c r="L92" s="100" t="s">
        <v>1008</v>
      </c>
      <c r="M92" s="101"/>
    </row>
    <row r="93" spans="1:40" ht="15" hidden="1" outlineLevel="1" thickBot="1" x14ac:dyDescent="0.4">
      <c r="M93" s="101"/>
    </row>
    <row r="94" spans="1:40" ht="26.5" hidden="1" outlineLevel="1" thickTop="1" thickBot="1" x14ac:dyDescent="0.55000000000000004">
      <c r="A94" s="73"/>
      <c r="B94" s="73"/>
      <c r="C94" s="73"/>
      <c r="D94" s="74"/>
      <c r="E94" s="74"/>
      <c r="F94" s="74"/>
      <c r="G94" s="74"/>
      <c r="H94" s="74"/>
      <c r="I94" s="74"/>
      <c r="J94" s="74"/>
      <c r="K94" s="74"/>
      <c r="L94" s="75" t="s">
        <v>993</v>
      </c>
      <c r="M94" s="56"/>
      <c r="N94" s="57"/>
      <c r="O94" s="58"/>
      <c r="P94" s="59"/>
      <c r="Q94" s="60"/>
      <c r="R94" s="61" t="str">
        <f t="shared" ref="R94:R103" si="145">IF(N94="Do",10,IF(N94="Re",22,IF(N94="Mi",20,IF(N94="Fa",20,IF(N94="Sol",14,IF(N94="La",20,IF(N94="Si",20,IF(N94="Do#",14,IF(N94="Fa#",15,IF(N94="Sol#",20,IF(N94="Si♭",17,"")))))))))))</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5" hidden="1" outlineLevel="1" thickTop="1" thickBot="1" x14ac:dyDescent="0.55000000000000004">
      <c r="C95" s="79" t="s">
        <v>995</v>
      </c>
      <c r="D95" s="80"/>
      <c r="E95" s="80"/>
      <c r="F95" s="80"/>
      <c r="G95" s="80"/>
      <c r="H95" s="80"/>
      <c r="I95" s="80"/>
      <c r="J95" s="80"/>
      <c r="K95" s="80"/>
      <c r="L95" s="81" t="s">
        <v>996</v>
      </c>
      <c r="M95" s="56" t="str">
        <f t="shared" ref="M95:M102" si="146">IF(N95="","","(")</f>
        <v/>
      </c>
      <c r="N95" s="57" t="str">
        <f t="shared" ref="N95:N102" si="147">IF(D95="","",D95)</f>
        <v/>
      </c>
      <c r="O95" s="58" t="str">
        <f t="shared" ref="O95:O102" si="148">IF(N95="","",",")</f>
        <v/>
      </c>
      <c r="P95" s="59" t="str">
        <f t="shared" ref="P95:P102" si="149">IF(E95="","",E95)</f>
        <v/>
      </c>
      <c r="Q95" s="60" t="str">
        <f t="shared" ref="Q95:Q102" si="150">IF(N95="","",",")</f>
        <v/>
      </c>
      <c r="R95" s="61" t="str">
        <f t="shared" si="145"/>
        <v/>
      </c>
      <c r="S95" s="56" t="str">
        <f t="shared" ref="S95:S102" si="151">IF(N95="","",")")</f>
        <v/>
      </c>
      <c r="T95" s="62" t="str">
        <f t="shared" ref="T95:T102" si="152">IF(U95="","","(")</f>
        <v/>
      </c>
      <c r="U95" s="63" t="str">
        <f t="shared" ref="U95:U102" si="153">IF(F95="","",F95)</f>
        <v/>
      </c>
      <c r="V95" s="64" t="str">
        <f t="shared" ref="V95:V102" si="154">IF(U95="","",",")</f>
        <v/>
      </c>
      <c r="W95" s="65" t="str">
        <f t="shared" ref="W95:W102" si="155">IF(G95="","",G95)</f>
        <v/>
      </c>
      <c r="X95" s="64" t="str">
        <f t="shared" ref="X95:X102" si="156">IF(U95="","",",")</f>
        <v/>
      </c>
      <c r="Y95" s="64" t="str">
        <f t="shared" ref="Y95:Y102" si="157">IF(U95="","",250)</f>
        <v/>
      </c>
      <c r="Z95" s="56" t="str">
        <f t="shared" ref="Z95:Z102" si="158">IF(U95="","",")")</f>
        <v/>
      </c>
      <c r="AA95" s="66" t="str">
        <f t="shared" ref="AA95:AA102" si="159">IF(AB95="","","(")</f>
        <v/>
      </c>
      <c r="AB95" s="57" t="str">
        <f t="shared" ref="AB95:AB102" si="160">IF(H95="","",H95)</f>
        <v/>
      </c>
      <c r="AC95" s="67" t="str">
        <f t="shared" ref="AC95:AC102" si="161">IF(AB95="","",",")</f>
        <v/>
      </c>
      <c r="AD95" s="59" t="str">
        <f t="shared" ref="AD95:AD102" si="162">IF(I95="","",I95)</f>
        <v/>
      </c>
      <c r="AE95" s="68" t="str">
        <f t="shared" ref="AE95:AE102" si="163">IF(AB95="","",",")</f>
        <v/>
      </c>
      <c r="AF95" s="61" t="str">
        <f t="shared" ref="AF95:AF102" si="164">IF(AB95="","",350)</f>
        <v/>
      </c>
      <c r="AG95" s="61" t="str">
        <f t="shared" ref="AG95:AG102" si="165">IF(AB95="","",")")</f>
        <v/>
      </c>
      <c r="AH95" s="69" t="str">
        <f t="shared" ref="AH95:AH102" si="166">IF(AI95="","","(")</f>
        <v/>
      </c>
      <c r="AI95" s="70" t="str">
        <f t="shared" ref="AI95:AI102" si="167">IF(J95="","",J95)</f>
        <v/>
      </c>
      <c r="AJ95" s="64" t="str">
        <f t="shared" ref="AJ95:AJ102" si="168">IF(AI95="","",",")</f>
        <v/>
      </c>
      <c r="AK95" s="64" t="str">
        <f t="shared" ref="AK95:AK102" si="169">IF(K95="","",K95)</f>
        <v/>
      </c>
      <c r="AL95" s="64" t="str">
        <f t="shared" ref="AL95:AL102" si="170">IF(AI95="","",",")</f>
        <v/>
      </c>
      <c r="AM95" s="64" t="str">
        <f t="shared" ref="AM95:AM102" si="171">IF(AI95="","",450)</f>
        <v/>
      </c>
      <c r="AN95" s="64" t="str">
        <f t="shared" ref="AN95:AN102" si="172">IF(AI95="","",")")</f>
        <v/>
      </c>
    </row>
    <row r="96" spans="1:40" ht="24.5" hidden="1" outlineLevel="1" thickTop="1" thickBot="1" x14ac:dyDescent="0.550000000000000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46"/>
        <v/>
      </c>
      <c r="N96" s="57" t="str">
        <f t="shared" si="147"/>
        <v/>
      </c>
      <c r="O96" s="58" t="str">
        <f t="shared" si="148"/>
        <v/>
      </c>
      <c r="P96" s="59" t="str">
        <f t="shared" si="149"/>
        <v/>
      </c>
      <c r="Q96" s="60" t="str">
        <f t="shared" si="150"/>
        <v/>
      </c>
      <c r="R96" s="61" t="str">
        <f t="shared" si="145"/>
        <v/>
      </c>
      <c r="S96" s="56" t="str">
        <f t="shared" si="151"/>
        <v/>
      </c>
      <c r="T96" s="62" t="str">
        <f t="shared" si="152"/>
        <v/>
      </c>
      <c r="U96" s="63" t="str">
        <f t="shared" si="153"/>
        <v/>
      </c>
      <c r="V96" s="64" t="str">
        <f t="shared" si="154"/>
        <v/>
      </c>
      <c r="W96" s="65" t="str">
        <f t="shared" si="155"/>
        <v/>
      </c>
      <c r="X96" s="64" t="str">
        <f t="shared" si="156"/>
        <v/>
      </c>
      <c r="Y96" s="64" t="str">
        <f t="shared" si="157"/>
        <v/>
      </c>
      <c r="Z96" s="56" t="str">
        <f t="shared" si="158"/>
        <v/>
      </c>
      <c r="AA96" s="66" t="str">
        <f t="shared" si="159"/>
        <v/>
      </c>
      <c r="AB96" s="57" t="str">
        <f t="shared" si="160"/>
        <v/>
      </c>
      <c r="AC96" s="67" t="str">
        <f t="shared" si="161"/>
        <v/>
      </c>
      <c r="AD96" s="59" t="str">
        <f t="shared" si="162"/>
        <v/>
      </c>
      <c r="AE96" s="68" t="str">
        <f t="shared" si="163"/>
        <v/>
      </c>
      <c r="AF96" s="61" t="str">
        <f t="shared" si="164"/>
        <v/>
      </c>
      <c r="AG96" s="61" t="str">
        <f t="shared" si="165"/>
        <v/>
      </c>
      <c r="AH96" s="69" t="str">
        <f t="shared" si="166"/>
        <v/>
      </c>
      <c r="AI96" s="70" t="str">
        <f t="shared" si="167"/>
        <v/>
      </c>
      <c r="AJ96" s="64" t="str">
        <f t="shared" si="168"/>
        <v/>
      </c>
      <c r="AK96" s="64" t="str">
        <f t="shared" si="169"/>
        <v/>
      </c>
      <c r="AL96" s="64" t="str">
        <f t="shared" si="170"/>
        <v/>
      </c>
      <c r="AM96" s="64" t="str">
        <f t="shared" si="171"/>
        <v/>
      </c>
      <c r="AN96" s="64" t="str">
        <f t="shared" si="172"/>
        <v/>
      </c>
    </row>
    <row r="97" spans="1:40" ht="24.5" hidden="1" outlineLevel="1" thickTop="1" thickBot="1" x14ac:dyDescent="0.55000000000000004">
      <c r="B97" t="s">
        <v>999</v>
      </c>
      <c r="C97" s="85" t="s">
        <v>1000</v>
      </c>
      <c r="D97" s="86"/>
      <c r="E97" s="86"/>
      <c r="F97" s="86"/>
      <c r="G97" s="86"/>
      <c r="H97" s="87"/>
      <c r="I97" s="87"/>
      <c r="J97" s="87"/>
      <c r="K97" s="87"/>
      <c r="L97" s="88" t="str">
        <f>IF(C97="","",_xlfn.CONCAT("            { line: ","""",C97,", ",M97:AN97,""", sC: ","""",B97,"""},"))</f>
        <v xml:space="preserve">            { line: "ASAMBLEA DOS, ", sC: "as"},</v>
      </c>
      <c r="M97" s="56" t="str">
        <f t="shared" si="146"/>
        <v/>
      </c>
      <c r="N97" s="57" t="str">
        <f t="shared" si="147"/>
        <v/>
      </c>
      <c r="O97" s="58" t="str">
        <f t="shared" si="148"/>
        <v/>
      </c>
      <c r="P97" s="59" t="str">
        <f t="shared" si="149"/>
        <v/>
      </c>
      <c r="Q97" s="60" t="str">
        <f t="shared" si="150"/>
        <v/>
      </c>
      <c r="R97" s="61" t="str">
        <f t="shared" si="145"/>
        <v/>
      </c>
      <c r="S97" s="56" t="str">
        <f t="shared" si="151"/>
        <v/>
      </c>
      <c r="T97" s="62" t="str">
        <f t="shared" si="152"/>
        <v/>
      </c>
      <c r="U97" s="63" t="str">
        <f t="shared" si="153"/>
        <v/>
      </c>
      <c r="V97" s="64" t="str">
        <f t="shared" si="154"/>
        <v/>
      </c>
      <c r="W97" s="65" t="str">
        <f t="shared" si="155"/>
        <v/>
      </c>
      <c r="X97" s="64" t="str">
        <f t="shared" si="156"/>
        <v/>
      </c>
      <c r="Y97" s="64" t="str">
        <f t="shared" si="157"/>
        <v/>
      </c>
      <c r="Z97" s="56" t="str">
        <f t="shared" si="158"/>
        <v/>
      </c>
      <c r="AA97" s="66" t="str">
        <f t="shared" si="159"/>
        <v/>
      </c>
      <c r="AB97" s="57" t="str">
        <f t="shared" si="160"/>
        <v/>
      </c>
      <c r="AC97" s="67" t="str">
        <f t="shared" si="161"/>
        <v/>
      </c>
      <c r="AD97" s="59" t="str">
        <f t="shared" si="162"/>
        <v/>
      </c>
      <c r="AE97" s="68" t="str">
        <f t="shared" si="163"/>
        <v/>
      </c>
      <c r="AF97" s="61" t="str">
        <f t="shared" si="164"/>
        <v/>
      </c>
      <c r="AG97" s="61" t="str">
        <f t="shared" si="165"/>
        <v/>
      </c>
      <c r="AH97" s="69" t="str">
        <f t="shared" si="166"/>
        <v/>
      </c>
      <c r="AI97" s="70" t="str">
        <f t="shared" si="167"/>
        <v/>
      </c>
      <c r="AJ97" s="64" t="str">
        <f t="shared" si="168"/>
        <v/>
      </c>
      <c r="AK97" s="64" t="str">
        <f t="shared" si="169"/>
        <v/>
      </c>
      <c r="AL97" s="64" t="str">
        <f t="shared" si="170"/>
        <v/>
      </c>
      <c r="AM97" s="64" t="str">
        <f t="shared" si="171"/>
        <v/>
      </c>
      <c r="AN97" s="64" t="str">
        <f t="shared" si="172"/>
        <v/>
      </c>
    </row>
    <row r="98" spans="1:40" ht="24.5" hidden="1" outlineLevel="1" thickTop="1" thickBot="1" x14ac:dyDescent="0.55000000000000004">
      <c r="B98" t="s">
        <v>999</v>
      </c>
      <c r="C98" s="85" t="s">
        <v>1001</v>
      </c>
      <c r="D98" s="89"/>
      <c r="E98" s="89"/>
      <c r="F98" s="89"/>
      <c r="G98" s="89"/>
      <c r="H98" s="90"/>
      <c r="I98" s="90"/>
      <c r="J98" s="90"/>
      <c r="K98" s="90"/>
      <c r="L98" s="88" t="str">
        <f>IF(C98="","",_xlfn.CONCAT("            { line: ","""",C98,", ",M98:AN98,""", sC: ","""",B98,"""},"))</f>
        <v xml:space="preserve">            { line: "ASAMBLEA TRES, ", sC: "as"},</v>
      </c>
      <c r="M98" s="56" t="str">
        <f t="shared" si="146"/>
        <v/>
      </c>
      <c r="N98" s="57" t="str">
        <f t="shared" si="147"/>
        <v/>
      </c>
      <c r="O98" s="58" t="str">
        <f t="shared" si="148"/>
        <v/>
      </c>
      <c r="P98" s="59" t="str">
        <f t="shared" si="149"/>
        <v/>
      </c>
      <c r="Q98" s="60" t="str">
        <f t="shared" si="150"/>
        <v/>
      </c>
      <c r="R98" s="61" t="str">
        <f t="shared" si="145"/>
        <v/>
      </c>
      <c r="S98" s="56" t="str">
        <f t="shared" si="151"/>
        <v/>
      </c>
      <c r="T98" s="62" t="str">
        <f t="shared" si="152"/>
        <v/>
      </c>
      <c r="U98" s="63" t="str">
        <f t="shared" si="153"/>
        <v/>
      </c>
      <c r="V98" s="64" t="str">
        <f t="shared" si="154"/>
        <v/>
      </c>
      <c r="W98" s="65" t="str">
        <f t="shared" si="155"/>
        <v/>
      </c>
      <c r="X98" s="64" t="str">
        <f t="shared" si="156"/>
        <v/>
      </c>
      <c r="Y98" s="64" t="str">
        <f t="shared" si="157"/>
        <v/>
      </c>
      <c r="Z98" s="56" t="str">
        <f t="shared" si="158"/>
        <v/>
      </c>
      <c r="AA98" s="66" t="str">
        <f t="shared" si="159"/>
        <v/>
      </c>
      <c r="AB98" s="57" t="str">
        <f t="shared" si="160"/>
        <v/>
      </c>
      <c r="AC98" s="67" t="str">
        <f t="shared" si="161"/>
        <v/>
      </c>
      <c r="AD98" s="59" t="str">
        <f t="shared" si="162"/>
        <v/>
      </c>
      <c r="AE98" s="68" t="str">
        <f t="shared" si="163"/>
        <v/>
      </c>
      <c r="AF98" s="61" t="str">
        <f t="shared" si="164"/>
        <v/>
      </c>
      <c r="AG98" s="61" t="str">
        <f t="shared" si="165"/>
        <v/>
      </c>
      <c r="AH98" s="69" t="str">
        <f t="shared" si="166"/>
        <v/>
      </c>
      <c r="AI98" s="70" t="str">
        <f t="shared" si="167"/>
        <v/>
      </c>
      <c r="AJ98" s="64" t="str">
        <f t="shared" si="168"/>
        <v/>
      </c>
      <c r="AK98" s="64" t="str">
        <f t="shared" si="169"/>
        <v/>
      </c>
      <c r="AL98" s="64" t="str">
        <f t="shared" si="170"/>
        <v/>
      </c>
      <c r="AM98" s="64" t="str">
        <f t="shared" si="171"/>
        <v/>
      </c>
      <c r="AN98" s="64" t="str">
        <f t="shared" si="172"/>
        <v/>
      </c>
    </row>
    <row r="99" spans="1:40" ht="24.5" hidden="1" outlineLevel="1" thickTop="1" thickBot="1" x14ac:dyDescent="0.55000000000000004">
      <c r="B99" t="s">
        <v>999</v>
      </c>
      <c r="C99" s="85" t="s">
        <v>1002</v>
      </c>
      <c r="D99" s="86"/>
      <c r="E99" s="86"/>
      <c r="F99" s="86"/>
      <c r="G99" s="86"/>
      <c r="H99" s="87"/>
      <c r="I99" s="87"/>
      <c r="J99" s="87"/>
      <c r="K99" s="87"/>
      <c r="L99" s="88" t="str">
        <f>IF(C99="","",_xlfn.CONCAT("            { line: ","""",C99,", ",M99:AN99,""", sC: ","""",B99,"""},"))</f>
        <v xml:space="preserve">            { line: "ASAMBLEA CUATRO, ", sC: "as"},</v>
      </c>
      <c r="M99" s="56" t="str">
        <f t="shared" si="146"/>
        <v/>
      </c>
      <c r="N99" s="57" t="str">
        <f t="shared" si="147"/>
        <v/>
      </c>
      <c r="O99" s="58" t="str">
        <f t="shared" si="148"/>
        <v/>
      </c>
      <c r="P99" s="59" t="str">
        <f t="shared" si="149"/>
        <v/>
      </c>
      <c r="Q99" s="60" t="str">
        <f t="shared" si="150"/>
        <v/>
      </c>
      <c r="R99" s="61" t="str">
        <f t="shared" si="145"/>
        <v/>
      </c>
      <c r="S99" s="56" t="str">
        <f t="shared" si="151"/>
        <v/>
      </c>
      <c r="T99" s="62" t="str">
        <f t="shared" si="152"/>
        <v/>
      </c>
      <c r="U99" s="63" t="str">
        <f t="shared" si="153"/>
        <v/>
      </c>
      <c r="V99" s="64" t="str">
        <f t="shared" si="154"/>
        <v/>
      </c>
      <c r="W99" s="65" t="str">
        <f t="shared" si="155"/>
        <v/>
      </c>
      <c r="X99" s="64" t="str">
        <f t="shared" si="156"/>
        <v/>
      </c>
      <c r="Y99" s="64" t="str">
        <f t="shared" si="157"/>
        <v/>
      </c>
      <c r="Z99" s="56" t="str">
        <f t="shared" si="158"/>
        <v/>
      </c>
      <c r="AA99" s="66" t="str">
        <f t="shared" si="159"/>
        <v/>
      </c>
      <c r="AB99" s="57" t="str">
        <f t="shared" si="160"/>
        <v/>
      </c>
      <c r="AC99" s="67" t="str">
        <f t="shared" si="161"/>
        <v/>
      </c>
      <c r="AD99" s="59" t="str">
        <f t="shared" si="162"/>
        <v/>
      </c>
      <c r="AE99" s="68" t="str">
        <f t="shared" si="163"/>
        <v/>
      </c>
      <c r="AF99" s="61" t="str">
        <f t="shared" si="164"/>
        <v/>
      </c>
      <c r="AG99" s="61" t="str">
        <f t="shared" si="165"/>
        <v/>
      </c>
      <c r="AH99" s="69" t="str">
        <f t="shared" si="166"/>
        <v/>
      </c>
      <c r="AI99" s="70" t="str">
        <f t="shared" si="167"/>
        <v/>
      </c>
      <c r="AJ99" s="64" t="str">
        <f t="shared" si="168"/>
        <v/>
      </c>
      <c r="AK99" s="64" t="str">
        <f t="shared" si="169"/>
        <v/>
      </c>
      <c r="AL99" s="64" t="str">
        <f t="shared" si="170"/>
        <v/>
      </c>
      <c r="AM99" s="64" t="str">
        <f t="shared" si="171"/>
        <v/>
      </c>
      <c r="AN99" s="64" t="str">
        <f t="shared" si="172"/>
        <v/>
      </c>
    </row>
    <row r="100" spans="1:40" ht="24.5" hidden="1" outlineLevel="1" thickTop="1" thickBot="1" x14ac:dyDescent="0.550000000000000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46"/>
        <v/>
      </c>
      <c r="N100" s="57" t="str">
        <f t="shared" si="147"/>
        <v/>
      </c>
      <c r="O100" s="58" t="str">
        <f t="shared" si="148"/>
        <v/>
      </c>
      <c r="P100" s="59" t="str">
        <f t="shared" si="149"/>
        <v/>
      </c>
      <c r="Q100" s="60" t="str">
        <f t="shared" si="150"/>
        <v/>
      </c>
      <c r="R100" s="61" t="str">
        <f t="shared" si="145"/>
        <v/>
      </c>
      <c r="S100" s="56" t="str">
        <f t="shared" si="151"/>
        <v/>
      </c>
      <c r="T100" s="62" t="str">
        <f t="shared" si="152"/>
        <v/>
      </c>
      <c r="U100" s="63" t="str">
        <f t="shared" si="153"/>
        <v/>
      </c>
      <c r="V100" s="64" t="str">
        <f t="shared" si="154"/>
        <v/>
      </c>
      <c r="W100" s="65" t="str">
        <f t="shared" si="155"/>
        <v/>
      </c>
      <c r="X100" s="64" t="str">
        <f t="shared" si="156"/>
        <v/>
      </c>
      <c r="Y100" s="64" t="str">
        <f t="shared" si="157"/>
        <v/>
      </c>
      <c r="Z100" s="56" t="str">
        <f t="shared" si="158"/>
        <v/>
      </c>
      <c r="AA100" s="66" t="str">
        <f t="shared" si="159"/>
        <v/>
      </c>
      <c r="AB100" s="57" t="str">
        <f t="shared" si="160"/>
        <v/>
      </c>
      <c r="AC100" s="67" t="str">
        <f t="shared" si="161"/>
        <v/>
      </c>
      <c r="AD100" s="59" t="str">
        <f t="shared" si="162"/>
        <v/>
      </c>
      <c r="AE100" s="68" t="str">
        <f t="shared" si="163"/>
        <v/>
      </c>
      <c r="AF100" s="61" t="str">
        <f t="shared" si="164"/>
        <v/>
      </c>
      <c r="AG100" s="61" t="str">
        <f t="shared" si="165"/>
        <v/>
      </c>
      <c r="AH100" s="69" t="str">
        <f t="shared" si="166"/>
        <v/>
      </c>
      <c r="AI100" s="70" t="str">
        <f t="shared" si="167"/>
        <v/>
      </c>
      <c r="AJ100" s="64" t="str">
        <f t="shared" si="168"/>
        <v/>
      </c>
      <c r="AK100" s="64" t="str">
        <f t="shared" si="169"/>
        <v/>
      </c>
      <c r="AL100" s="64" t="str">
        <f t="shared" si="170"/>
        <v/>
      </c>
      <c r="AM100" s="64" t="str">
        <f t="shared" si="171"/>
        <v/>
      </c>
      <c r="AN100" s="64" t="str">
        <f t="shared" si="172"/>
        <v/>
      </c>
    </row>
    <row r="101" spans="1:40" ht="24.5" hidden="1" outlineLevel="1" thickTop="1" thickBot="1" x14ac:dyDescent="0.550000000000000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46"/>
        <v/>
      </c>
      <c r="N101" s="57" t="str">
        <f t="shared" si="147"/>
        <v/>
      </c>
      <c r="O101" s="58" t="str">
        <f t="shared" si="148"/>
        <v/>
      </c>
      <c r="P101" s="59" t="str">
        <f t="shared" si="149"/>
        <v/>
      </c>
      <c r="Q101" s="60" t="str">
        <f t="shared" si="150"/>
        <v/>
      </c>
      <c r="R101" s="61" t="str">
        <f t="shared" si="145"/>
        <v/>
      </c>
      <c r="S101" s="56" t="str">
        <f t="shared" si="151"/>
        <v/>
      </c>
      <c r="T101" s="62" t="str">
        <f t="shared" si="152"/>
        <v/>
      </c>
      <c r="U101" s="63" t="str">
        <f t="shared" si="153"/>
        <v/>
      </c>
      <c r="V101" s="64" t="str">
        <f t="shared" si="154"/>
        <v/>
      </c>
      <c r="W101" s="65" t="str">
        <f t="shared" si="155"/>
        <v/>
      </c>
      <c r="X101" s="64" t="str">
        <f t="shared" si="156"/>
        <v/>
      </c>
      <c r="Y101" s="64" t="str">
        <f t="shared" si="157"/>
        <v/>
      </c>
      <c r="Z101" s="56" t="str">
        <f t="shared" si="158"/>
        <v/>
      </c>
      <c r="AA101" s="66" t="str">
        <f t="shared" si="159"/>
        <v/>
      </c>
      <c r="AB101" s="57" t="str">
        <f t="shared" si="160"/>
        <v/>
      </c>
      <c r="AC101" s="67" t="str">
        <f t="shared" si="161"/>
        <v/>
      </c>
      <c r="AD101" s="59" t="str">
        <f t="shared" si="162"/>
        <v/>
      </c>
      <c r="AE101" s="68" t="str">
        <f t="shared" si="163"/>
        <v/>
      </c>
      <c r="AF101" s="61" t="str">
        <f t="shared" si="164"/>
        <v/>
      </c>
      <c r="AG101" s="61" t="str">
        <f t="shared" si="165"/>
        <v/>
      </c>
      <c r="AH101" s="69" t="str">
        <f t="shared" si="166"/>
        <v/>
      </c>
      <c r="AI101" s="70" t="str">
        <f t="shared" si="167"/>
        <v/>
      </c>
      <c r="AJ101" s="64" t="str">
        <f t="shared" si="168"/>
        <v/>
      </c>
      <c r="AK101" s="64" t="str">
        <f t="shared" si="169"/>
        <v/>
      </c>
      <c r="AL101" s="64" t="str">
        <f t="shared" si="170"/>
        <v/>
      </c>
      <c r="AM101" s="64" t="str">
        <f t="shared" si="171"/>
        <v/>
      </c>
      <c r="AN101" s="64" t="str">
        <f t="shared" si="172"/>
        <v/>
      </c>
    </row>
    <row r="102" spans="1:40" ht="24.5" hidden="1" outlineLevel="1" thickTop="1" thickBot="1" x14ac:dyDescent="0.550000000000000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46"/>
        <v/>
      </c>
      <c r="N102" s="57" t="str">
        <f t="shared" si="147"/>
        <v/>
      </c>
      <c r="O102" s="58" t="str">
        <f t="shared" si="148"/>
        <v/>
      </c>
      <c r="P102" s="59" t="str">
        <f t="shared" si="149"/>
        <v/>
      </c>
      <c r="Q102" s="60" t="str">
        <f t="shared" si="150"/>
        <v/>
      </c>
      <c r="R102" s="61" t="str">
        <f t="shared" si="145"/>
        <v/>
      </c>
      <c r="S102" s="56" t="str">
        <f t="shared" si="151"/>
        <v/>
      </c>
      <c r="T102" s="62" t="str">
        <f t="shared" si="152"/>
        <v/>
      </c>
      <c r="U102" s="63" t="str">
        <f t="shared" si="153"/>
        <v/>
      </c>
      <c r="V102" s="64" t="str">
        <f t="shared" si="154"/>
        <v/>
      </c>
      <c r="W102" s="65" t="str">
        <f t="shared" si="155"/>
        <v/>
      </c>
      <c r="X102" s="64" t="str">
        <f t="shared" si="156"/>
        <v/>
      </c>
      <c r="Y102" s="64" t="str">
        <f t="shared" si="157"/>
        <v/>
      </c>
      <c r="Z102" s="56" t="str">
        <f t="shared" si="158"/>
        <v/>
      </c>
      <c r="AA102" s="66" t="str">
        <f t="shared" si="159"/>
        <v/>
      </c>
      <c r="AB102" s="57" t="str">
        <f t="shared" si="160"/>
        <v/>
      </c>
      <c r="AC102" s="67" t="str">
        <f t="shared" si="161"/>
        <v/>
      </c>
      <c r="AD102" s="59" t="str">
        <f t="shared" si="162"/>
        <v/>
      </c>
      <c r="AE102" s="68" t="str">
        <f t="shared" si="163"/>
        <v/>
      </c>
      <c r="AF102" s="61" t="str">
        <f t="shared" si="164"/>
        <v/>
      </c>
      <c r="AG102" s="61" t="str">
        <f t="shared" si="165"/>
        <v/>
      </c>
      <c r="AH102" s="69" t="str">
        <f t="shared" si="166"/>
        <v/>
      </c>
      <c r="AI102" s="70" t="str">
        <f t="shared" si="167"/>
        <v/>
      </c>
      <c r="AJ102" s="64" t="str">
        <f t="shared" si="168"/>
        <v/>
      </c>
      <c r="AK102" s="64" t="str">
        <f t="shared" si="169"/>
        <v/>
      </c>
      <c r="AL102" s="64" t="str">
        <f t="shared" si="170"/>
        <v/>
      </c>
      <c r="AM102" s="64" t="str">
        <f t="shared" si="171"/>
        <v/>
      </c>
      <c r="AN102" s="64" t="str">
        <f t="shared" si="172"/>
        <v/>
      </c>
    </row>
    <row r="103" spans="1:40" ht="26.5" hidden="1" outlineLevel="1" thickTop="1" thickBot="1" x14ac:dyDescent="0.55000000000000004">
      <c r="A103" s="73"/>
      <c r="B103" s="73"/>
      <c r="C103" s="73"/>
      <c r="D103" s="74"/>
      <c r="E103" s="74"/>
      <c r="F103" s="74"/>
      <c r="G103" s="74"/>
      <c r="H103" s="74"/>
      <c r="I103" s="74"/>
      <c r="J103" s="74"/>
      <c r="K103" s="74"/>
      <c r="L103" s="75" t="s">
        <v>993</v>
      </c>
      <c r="M103" s="56"/>
      <c r="N103" s="57"/>
      <c r="O103" s="58"/>
      <c r="P103" s="59"/>
      <c r="Q103" s="60"/>
      <c r="R103" s="61" t="str">
        <f t="shared" si="145"/>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zoomScale="85" zoomScaleNormal="85" workbookViewId="0">
      <pane xSplit="2" ySplit="1" topLeftCell="C21" activePane="bottomRight" state="frozen"/>
      <selection activeCell="B72" sqref="B72"/>
      <selection pane="topRight" activeCell="B72" sqref="B72"/>
      <selection pane="bottomLeft" activeCell="B72" sqref="B72"/>
      <selection pane="bottomRight" activeCell="C31" sqref="C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HAY EN ÉL PARECER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 x14ac:dyDescent="0.35">
      <c r="C8" t="str">
        <f ca="1">PROPER(L1)</f>
        <v>No Hay En Él Parecer</v>
      </c>
      <c r="L8" s="48" t="str">
        <f ca="1">_xlfn.CONCAT("        tt: ","""",C8,"""",",")</f>
        <v xml:space="preserve">        tt: "No Hay En Él Parecer",</v>
      </c>
    </row>
    <row r="9" spans="2:32" ht="23" x14ac:dyDescent="0.35">
      <c r="C9" t="str">
        <f ca="1">PROPER(L1)</f>
        <v>No Hay En Él Parecer</v>
      </c>
      <c r="L9" s="48" t="str">
        <f ca="1">_xlfn.CONCAT("        title: ","""",C9,"""",",")</f>
        <v xml:space="preserve">        title: "No Hay En Él Parecer",</v>
      </c>
    </row>
    <row r="10" spans="2:32" ht="23" x14ac:dyDescent="0.35">
      <c r="C10" t="str">
        <f ca="1">VLOOKUP(C1,Table223[],4,FALSE)</f>
        <v>Isaías 53,2ss - Cuarto canto del Siervo de Yahveh</v>
      </c>
      <c r="L10" s="48" t="str">
        <f ca="1">_xlfn.CONCAT("        ","subtitle: ","""",C10,"""",",")</f>
        <v xml:space="preserve">        subtitle: "Isaías 53,2ss - Cuarto canto del Siervo de Yahveh",</v>
      </c>
    </row>
    <row r="11" spans="2:32" ht="23" x14ac:dyDescent="0.35">
      <c r="C11" t="str">
        <f ca="1">_xlfn.CONCAT("category: [",VLOOKUP(C1,Table223[],16,FALSE),"],")</f>
        <v>category: ["Precatecumenado","Fracción Del Pan","Antiguo Testamento"],</v>
      </c>
      <c r="L11" s="48" t="str">
        <f ca="1">_xlfn.CONCAT("        ",C11)</f>
        <v xml:space="preserve">        category: ["Precatecumenado","Fracción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121</v>
      </c>
      <c r="L16" s="48" t="str">
        <f ca="1">_xlfn.CONCAT("        dbno: ","""",C16,"""",",")</f>
        <v xml:space="preserve">        dbno: "121",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nohayenelparecer</v>
      </c>
      <c r="L19" s="48" t="str">
        <f ca="1">_xlfn.CONCAT("        audioSrc: ","""https://audio.resucito.do/",C19,".mp3""",",")</f>
        <v xml:space="preserve">        audioSrc: "https://audio.resucito.do/nohayenelparecer.mp3",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120</v>
      </c>
      <c r="C26" t="str">
        <f ca="1">VLOOKUP(B26,Table4[],13,FALSE)</f>
        <v>"/src/index.html?canto=noestaaquiresucito"</v>
      </c>
      <c r="L26" s="48" t="str">
        <f ca="1">_xlfn.CONCAT("        ant: ",C26,",")</f>
        <v xml:space="preserve">        ant: "/src/index.html?canto=noestaaquiresucito",</v>
      </c>
    </row>
    <row r="27" spans="1:40" ht="23" x14ac:dyDescent="0.35">
      <c r="B27">
        <f ca="1">+C1+1</f>
        <v>122</v>
      </c>
      <c r="C27" t="str">
        <f ca="1">VLOOKUP(B27,Table4[],13,FALSE)</f>
        <v>"/src/index.html?canto=nolimetangere"</v>
      </c>
      <c r="L27" s="48" t="str">
        <f ca="1">_xlfn.CONCAT("        sig: ",C27,",")</f>
        <v xml:space="preserve">        sig: "/src/index.html?canto=nolimetangere",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1">IF(C31="","",_xlfn.CONCAT("            { line: ","""",C31,", ",M31:AN31,""", sC: ","""",B31,"""},"))</f>
        <v/>
      </c>
      <c r="M31" s="56" t="str">
        <f t="shared" ref="M31:M64" si="2">IF(N31="","","(")</f>
        <v/>
      </c>
      <c r="N31" s="57" t="str">
        <f t="shared" ref="N31:N101" si="3">IF(D31="","",D31)</f>
        <v/>
      </c>
      <c r="O31" s="58" t="str">
        <f t="shared" ref="O31:O64" si="4">IF(N31="","",",")</f>
        <v/>
      </c>
      <c r="P31" s="59" t="str">
        <f t="shared" ref="P31:P101" si="5">IF(E31="","",E31)</f>
        <v/>
      </c>
      <c r="Q31" s="60" t="str">
        <f t="shared" ref="Q31:Q64" si="6">IF(N31="","",",")</f>
        <v/>
      </c>
      <c r="R31" s="61" t="str">
        <f t="shared" si="0"/>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4.5" thickTop="1" thickBot="1" x14ac:dyDescent="0.55000000000000004">
      <c r="C32" s="113"/>
      <c r="D32" s="112"/>
      <c r="E32" s="52"/>
      <c r="F32" s="53"/>
      <c r="G32" s="53"/>
      <c r="H32" s="52"/>
      <c r="I32" s="52"/>
      <c r="J32" s="54"/>
      <c r="K32" s="54"/>
      <c r="L32" s="55" t="str">
        <f t="shared" si="1"/>
        <v/>
      </c>
      <c r="M32" s="56" t="str">
        <f t="shared" si="2"/>
        <v/>
      </c>
      <c r="N32" s="57" t="str">
        <f t="shared" si="3"/>
        <v/>
      </c>
      <c r="O32" s="58" t="str">
        <f t="shared" si="4"/>
        <v/>
      </c>
      <c r="P32" s="59" t="str">
        <f t="shared" si="5"/>
        <v/>
      </c>
      <c r="Q32" s="60" t="str">
        <f t="shared" si="6"/>
        <v/>
      </c>
      <c r="R32" s="61" t="str">
        <f t="shared" si="0"/>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113"/>
      <c r="D33" s="112"/>
      <c r="E33" s="52"/>
      <c r="F33" s="53"/>
      <c r="G33" s="53"/>
      <c r="H33" s="52"/>
      <c r="I33" s="52"/>
      <c r="J33" s="54"/>
      <c r="K33" s="54"/>
      <c r="L33" s="55" t="str">
        <f>IF(C33="","",_xlfn.CONCAT("            { line: ","""",C33,", ",M33:AN33,""", sC: ","""",B33,"""},"))</f>
        <v/>
      </c>
      <c r="M33" s="56" t="str">
        <f t="shared" si="2"/>
        <v/>
      </c>
      <c r="N33" s="57" t="str">
        <f t="shared" si="3"/>
        <v/>
      </c>
      <c r="O33" s="58" t="str">
        <f t="shared" si="4"/>
        <v/>
      </c>
      <c r="P33" s="59" t="str">
        <f t="shared" si="5"/>
        <v/>
      </c>
      <c r="Q33" s="60" t="str">
        <f t="shared" si="6"/>
        <v/>
      </c>
      <c r="R33" s="61" t="str">
        <f t="shared" si="0"/>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113"/>
      <c r="D34" s="112"/>
      <c r="E34" s="52"/>
      <c r="F34" s="53"/>
      <c r="G34" s="53"/>
      <c r="H34" s="52"/>
      <c r="I34" s="52"/>
      <c r="J34" s="54"/>
      <c r="K34" s="54"/>
      <c r="L34" s="55" t="str">
        <f>IF(C34="","",_xlfn.CONCAT("            { line: ","""",C34,", ",M34:AN34,""", sC: ","""",B34,"""},"))</f>
        <v/>
      </c>
      <c r="M34" s="56" t="str">
        <f t="shared" si="2"/>
        <v/>
      </c>
      <c r="N34" s="57" t="str">
        <f t="shared" si="3"/>
        <v/>
      </c>
      <c r="O34" s="58" t="str">
        <f t="shared" si="4"/>
        <v/>
      </c>
      <c r="P34" s="59" t="str">
        <f t="shared" si="5"/>
        <v/>
      </c>
      <c r="Q34" s="60" t="str">
        <f t="shared" si="6"/>
        <v/>
      </c>
      <c r="R34" s="61" t="str">
        <f t="shared" si="0"/>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2"/>
        <v/>
      </c>
      <c r="N35" s="57" t="str">
        <f t="shared" si="3"/>
        <v/>
      </c>
      <c r="O35" s="58" t="str">
        <f t="shared" si="4"/>
        <v/>
      </c>
      <c r="P35" s="59" t="str">
        <f t="shared" si="5"/>
        <v/>
      </c>
      <c r="Q35" s="60" t="str">
        <f t="shared" si="6"/>
        <v/>
      </c>
      <c r="R35" s="61" t="str">
        <f t="shared" si="0"/>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0"/>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0"/>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0"/>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0"/>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4.5" thickTop="1" thickBot="1" x14ac:dyDescent="0.550000000000000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0"/>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4.5" thickTop="1" thickBot="1" x14ac:dyDescent="0.550000000000000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0"/>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0"/>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0"/>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0"/>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0"/>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0"/>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4.5" thickTop="1" thickBot="1" x14ac:dyDescent="0.550000000000000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0"/>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4.5" thickTop="1" thickBot="1" x14ac:dyDescent="0.550000000000000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0"/>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4.5" thickTop="1" thickBot="1" x14ac:dyDescent="0.550000000000000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0"/>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4.5" thickTop="1" thickBot="1" x14ac:dyDescent="0.550000000000000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0"/>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4.5" thickTop="1" thickBot="1" x14ac:dyDescent="0.550000000000000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4.5" thickTop="1" thickBot="1" x14ac:dyDescent="0.550000000000000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4.5" thickTop="1" thickBot="1" x14ac:dyDescent="0.550000000000000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4.5" thickTop="1" thickBot="1" x14ac:dyDescent="0.55000000000000004">
      <c r="C54" s="113"/>
      <c r="D54" s="112"/>
      <c r="E54" s="52"/>
      <c r="F54" s="53"/>
      <c r="G54" s="53"/>
      <c r="H54" s="52"/>
      <c r="I54" s="52"/>
      <c r="J54" s="54"/>
      <c r="K54" s="54"/>
      <c r="L54" s="55" t="str">
        <f t="shared" ref="L54:L65" si="85">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4.5" thickTop="1" thickBot="1" x14ac:dyDescent="0.550000000000000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5"/>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4.5" thickTop="1" thickBot="1" x14ac:dyDescent="0.55000000000000004">
      <c r="C61" s="113"/>
      <c r="D61" s="112"/>
      <c r="E61" s="52"/>
      <c r="F61" s="53"/>
      <c r="G61" s="53"/>
      <c r="H61" s="52"/>
      <c r="I61" s="52"/>
      <c r="J61" s="54"/>
      <c r="K61" s="54"/>
      <c r="L61" s="55" t="str">
        <f t="shared" si="85"/>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4.5" thickTop="1" thickBot="1" x14ac:dyDescent="0.55000000000000004">
      <c r="C62" s="113"/>
      <c r="D62" s="112"/>
      <c r="E62" s="52"/>
      <c r="F62" s="53"/>
      <c r="G62" s="53"/>
      <c r="H62" s="52"/>
      <c r="I62" s="52"/>
      <c r="J62" s="54"/>
      <c r="K62" s="54"/>
      <c r="L62" s="55" t="str">
        <f t="shared" si="85"/>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4.5" thickTop="1" thickBot="1" x14ac:dyDescent="0.55000000000000004">
      <c r="C63" s="113"/>
      <c r="D63" s="112"/>
      <c r="E63" s="52"/>
      <c r="F63" s="53"/>
      <c r="G63" s="53"/>
      <c r="H63" s="52"/>
      <c r="I63" s="52"/>
      <c r="J63" s="54"/>
      <c r="K63" s="54"/>
      <c r="L63" s="55" t="str">
        <f t="shared" si="85"/>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4.5" thickTop="1" thickBot="1" x14ac:dyDescent="0.55000000000000004">
      <c r="C64" s="113"/>
      <c r="D64" s="112"/>
      <c r="E64" s="52"/>
      <c r="F64" s="53"/>
      <c r="G64" s="53"/>
      <c r="H64" s="52"/>
      <c r="I64" s="52"/>
      <c r="J64" s="54"/>
      <c r="K64" s="54"/>
      <c r="L64" s="55" t="str">
        <f t="shared" si="85"/>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4.5" thickTop="1" thickBot="1" x14ac:dyDescent="0.55000000000000004">
      <c r="C65" s="113"/>
      <c r="D65" s="112"/>
      <c r="E65" s="52"/>
      <c r="F65" s="71"/>
      <c r="G65" s="53"/>
      <c r="H65" s="52"/>
      <c r="I65" s="52"/>
      <c r="J65" s="72"/>
      <c r="K65" s="54"/>
      <c r="L65" s="55" t="str">
        <f t="shared" si="85"/>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hidden="1" outlineLevel="1" thickTop="1" thickBot="1" x14ac:dyDescent="0.55000000000000004">
      <c r="C67" s="113"/>
      <c r="D67" s="112"/>
      <c r="E67" s="52"/>
      <c r="F67" s="53"/>
      <c r="G67" s="53"/>
      <c r="H67" s="52"/>
      <c r="I67" s="52"/>
      <c r="J67" s="54"/>
      <c r="K67" s="54"/>
      <c r="L67" s="55" t="str">
        <f t="shared" ref="L67:L100" si="86">IF(C67="","",_xlfn.CONCAT("            { line: ","""",C67,", ",M67:AN67,""", sC: ","""",B67,"""},"))</f>
        <v/>
      </c>
      <c r="M67" s="56" t="str">
        <f t="shared" ref="M67:M101" si="87">IF(N67="","","(")</f>
        <v/>
      </c>
      <c r="N67" s="57" t="str">
        <f t="shared" si="3"/>
        <v/>
      </c>
      <c r="O67" s="58" t="str">
        <f t="shared" ref="O67:O101" si="88">IF(N67="","",",")</f>
        <v/>
      </c>
      <c r="P67" s="59" t="str">
        <f t="shared" si="5"/>
        <v/>
      </c>
      <c r="Q67" s="60" t="str">
        <f t="shared" ref="Q67:Q101" si="89">IF(N67="","",",")</f>
        <v/>
      </c>
      <c r="R67" s="61" t="str">
        <f t="shared" si="0"/>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4.5" hidden="1" outlineLevel="1" thickTop="1" thickBot="1" x14ac:dyDescent="0.550000000000000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0"/>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4.5" hidden="1" outlineLevel="1" thickTop="1" thickBot="1" x14ac:dyDescent="0.550000000000000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0"/>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hidden="1" outlineLevel="1" thickTop="1" thickBot="1" x14ac:dyDescent="0.550000000000000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0"/>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4.5" hidden="1" outlineLevel="1" thickTop="1" thickBot="1" x14ac:dyDescent="0.550000000000000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0"/>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4.5" hidden="1" outlineLevel="1" thickTop="1" thickBot="1" x14ac:dyDescent="0.550000000000000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0"/>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4.5" hidden="1" outlineLevel="1" thickTop="1" thickBot="1" x14ac:dyDescent="0.550000000000000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0"/>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4.5" hidden="1" outlineLevel="1" thickTop="1" thickBot="1" x14ac:dyDescent="0.550000000000000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0"/>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4.5" hidden="1" outlineLevel="1" thickTop="1" thickBot="1" x14ac:dyDescent="0.55000000000000004">
      <c r="C75" s="113"/>
      <c r="D75" s="112"/>
      <c r="E75" s="52"/>
      <c r="F75" s="53"/>
      <c r="G75" s="53"/>
      <c r="H75" s="52"/>
      <c r="I75" s="52"/>
      <c r="J75" s="54"/>
      <c r="K75" s="54"/>
      <c r="L75" s="55" t="str">
        <f t="shared" si="86"/>
        <v/>
      </c>
      <c r="M75" s="56" t="str">
        <f t="shared" si="87"/>
        <v/>
      </c>
      <c r="N75" s="57" t="str">
        <f t="shared" si="3"/>
        <v/>
      </c>
      <c r="O75" s="58" t="str">
        <f t="shared" si="88"/>
        <v/>
      </c>
      <c r="P75" s="59" t="str">
        <f t="shared" si="5"/>
        <v/>
      </c>
      <c r="Q75" s="60" t="str">
        <f t="shared" si="89"/>
        <v/>
      </c>
      <c r="R75" s="61" t="str">
        <f t="shared" si="0"/>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4.5" hidden="1" outlineLevel="1" thickTop="1" thickBot="1" x14ac:dyDescent="0.55000000000000004">
      <c r="C76" s="113"/>
      <c r="D76" s="112"/>
      <c r="E76" s="52"/>
      <c r="F76" s="53"/>
      <c r="G76" s="53"/>
      <c r="H76" s="52"/>
      <c r="I76" s="52"/>
      <c r="J76" s="54"/>
      <c r="K76" s="54"/>
      <c r="L76" s="55" t="str">
        <f t="shared" si="86"/>
        <v/>
      </c>
      <c r="M76" s="56" t="str">
        <f t="shared" si="87"/>
        <v/>
      </c>
      <c r="N76" s="57" t="str">
        <f t="shared" si="3"/>
        <v/>
      </c>
      <c r="O76" s="58" t="str">
        <f t="shared" si="88"/>
        <v/>
      </c>
      <c r="P76" s="59" t="str">
        <f t="shared" si="5"/>
        <v/>
      </c>
      <c r="Q76" s="60" t="str">
        <f t="shared" si="89"/>
        <v/>
      </c>
      <c r="R76" s="61" t="str">
        <f t="shared" si="0"/>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4.5" hidden="1" outlineLevel="1" thickTop="1" thickBot="1" x14ac:dyDescent="0.55000000000000004">
      <c r="C77" s="113"/>
      <c r="D77" s="112"/>
      <c r="E77" s="52"/>
      <c r="F77" s="53"/>
      <c r="G77" s="53"/>
      <c r="H77" s="52"/>
      <c r="I77" s="52"/>
      <c r="J77" s="54"/>
      <c r="K77" s="54"/>
      <c r="L77" s="55" t="str">
        <f t="shared" si="86"/>
        <v/>
      </c>
      <c r="M77" s="56" t="str">
        <f t="shared" si="87"/>
        <v/>
      </c>
      <c r="N77" s="57" t="str">
        <f t="shared" si="3"/>
        <v/>
      </c>
      <c r="O77" s="58" t="str">
        <f t="shared" si="88"/>
        <v/>
      </c>
      <c r="P77" s="59" t="str">
        <f t="shared" si="5"/>
        <v/>
      </c>
      <c r="Q77" s="60" t="str">
        <f t="shared" si="89"/>
        <v/>
      </c>
      <c r="R77" s="61" t="str">
        <f t="shared" si="0"/>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4.5" hidden="1" outlineLevel="1" thickTop="1" thickBot="1" x14ac:dyDescent="0.55000000000000004">
      <c r="C78" s="113"/>
      <c r="D78" s="112"/>
      <c r="E78" s="52"/>
      <c r="F78" s="53"/>
      <c r="G78" s="53"/>
      <c r="H78" s="52"/>
      <c r="I78" s="52"/>
      <c r="J78" s="54"/>
      <c r="K78" s="54"/>
      <c r="L78" s="55" t="str">
        <f t="shared" si="86"/>
        <v/>
      </c>
      <c r="M78" s="56" t="str">
        <f t="shared" si="87"/>
        <v/>
      </c>
      <c r="N78" s="57" t="str">
        <f t="shared" si="3"/>
        <v/>
      </c>
      <c r="O78" s="58" t="str">
        <f t="shared" si="88"/>
        <v/>
      </c>
      <c r="P78" s="59" t="str">
        <f t="shared" si="5"/>
        <v/>
      </c>
      <c r="Q78" s="60" t="str">
        <f t="shared" si="89"/>
        <v/>
      </c>
      <c r="R78" s="61" t="str">
        <f t="shared" si="0"/>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4.5" hidden="1" outlineLevel="1" thickTop="1" thickBot="1" x14ac:dyDescent="0.55000000000000004">
      <c r="C79" s="113"/>
      <c r="D79" s="112"/>
      <c r="E79" s="52"/>
      <c r="F79" s="53"/>
      <c r="G79" s="53"/>
      <c r="H79" s="52"/>
      <c r="I79" s="52"/>
      <c r="J79" s="54"/>
      <c r="K79" s="54"/>
      <c r="L79" s="55" t="str">
        <f t="shared" si="86"/>
        <v/>
      </c>
      <c r="M79" s="56" t="str">
        <f t="shared" si="87"/>
        <v/>
      </c>
      <c r="N79" s="57" t="str">
        <f t="shared" si="3"/>
        <v/>
      </c>
      <c r="O79" s="58" t="str">
        <f t="shared" si="88"/>
        <v/>
      </c>
      <c r="P79" s="59" t="str">
        <f t="shared" si="5"/>
        <v/>
      </c>
      <c r="Q79" s="60" t="str">
        <f t="shared" si="89"/>
        <v/>
      </c>
      <c r="R79" s="61" t="str">
        <f t="shared" si="0"/>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4.5" hidden="1" outlineLevel="1" thickTop="1" thickBot="1" x14ac:dyDescent="0.55000000000000004">
      <c r="C80" s="113"/>
      <c r="D80" s="112"/>
      <c r="E80" s="52"/>
      <c r="F80" s="53"/>
      <c r="G80" s="53"/>
      <c r="H80" s="52"/>
      <c r="I80" s="52"/>
      <c r="J80" s="54"/>
      <c r="K80" s="54"/>
      <c r="L80" s="78" t="str">
        <f t="shared" si="86"/>
        <v/>
      </c>
      <c r="M80" s="56" t="str">
        <f t="shared" si="87"/>
        <v/>
      </c>
      <c r="N80" s="57" t="str">
        <f t="shared" si="3"/>
        <v/>
      </c>
      <c r="O80" s="58" t="str">
        <f t="shared" si="88"/>
        <v/>
      </c>
      <c r="P80" s="59" t="str">
        <f t="shared" si="5"/>
        <v/>
      </c>
      <c r="Q80" s="60" t="str">
        <f t="shared" si="89"/>
        <v/>
      </c>
      <c r="R80" s="61" t="str">
        <f t="shared" si="0"/>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4.5" hidden="1" outlineLevel="1" thickTop="1" thickBot="1" x14ac:dyDescent="0.55000000000000004">
      <c r="C81" s="113"/>
      <c r="D81" s="112"/>
      <c r="E81" s="52"/>
      <c r="F81" s="53"/>
      <c r="G81" s="53"/>
      <c r="H81" s="52"/>
      <c r="I81" s="52"/>
      <c r="J81" s="54"/>
      <c r="K81" s="54"/>
      <c r="L81" s="78" t="str">
        <f t="shared" si="86"/>
        <v/>
      </c>
      <c r="M81" s="56" t="str">
        <f t="shared" si="87"/>
        <v/>
      </c>
      <c r="N81" s="57" t="str">
        <f t="shared" si="3"/>
        <v/>
      </c>
      <c r="O81" s="58" t="str">
        <f t="shared" si="88"/>
        <v/>
      </c>
      <c r="P81" s="59" t="str">
        <f t="shared" si="5"/>
        <v/>
      </c>
      <c r="Q81" s="60" t="str">
        <f t="shared" si="89"/>
        <v/>
      </c>
      <c r="R81" s="61" t="str">
        <f t="shared" si="0"/>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4.5" hidden="1" outlineLevel="1" thickTop="1" thickBot="1" x14ac:dyDescent="0.55000000000000004">
      <c r="C82" s="113"/>
      <c r="D82" s="112"/>
      <c r="E82" s="52"/>
      <c r="F82" s="53"/>
      <c r="G82" s="53"/>
      <c r="H82" s="52"/>
      <c r="I82" s="52"/>
      <c r="J82" s="54"/>
      <c r="K82" s="54"/>
      <c r="L82" s="78" t="str">
        <f t="shared" si="86"/>
        <v/>
      </c>
      <c r="M82" s="56" t="str">
        <f t="shared" si="87"/>
        <v/>
      </c>
      <c r="N82" s="57" t="str">
        <f t="shared" si="3"/>
        <v/>
      </c>
      <c r="O82" s="58" t="str">
        <f t="shared" si="88"/>
        <v/>
      </c>
      <c r="P82" s="59" t="str">
        <f t="shared" si="5"/>
        <v/>
      </c>
      <c r="Q82" s="60" t="str">
        <f t="shared" si="89"/>
        <v/>
      </c>
      <c r="R82" s="61" t="str">
        <f t="shared" si="0"/>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4.5" hidden="1" outlineLevel="1" thickTop="1" thickBot="1" x14ac:dyDescent="0.55000000000000004">
      <c r="C83" s="113"/>
      <c r="D83" s="112"/>
      <c r="E83" s="52"/>
      <c r="F83" s="53"/>
      <c r="G83" s="53"/>
      <c r="H83" s="52"/>
      <c r="I83" s="52"/>
      <c r="J83" s="54"/>
      <c r="K83" s="54"/>
      <c r="L83" s="55" t="str">
        <f t="shared" si="86"/>
        <v/>
      </c>
      <c r="M83" s="56" t="str">
        <f t="shared" si="87"/>
        <v/>
      </c>
      <c r="N83" s="57" t="str">
        <f t="shared" si="3"/>
        <v/>
      </c>
      <c r="O83" s="58" t="str">
        <f t="shared" si="88"/>
        <v/>
      </c>
      <c r="P83" s="59" t="str">
        <f t="shared" si="5"/>
        <v/>
      </c>
      <c r="Q83" s="60" t="str">
        <f t="shared" si="89"/>
        <v/>
      </c>
      <c r="R83" s="61" t="str">
        <f t="shared" si="0"/>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4.5" hidden="1" outlineLevel="1" thickTop="1" thickBot="1" x14ac:dyDescent="0.550000000000000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0"/>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4.5" hidden="1" outlineLevel="1" thickTop="1" thickBot="1" x14ac:dyDescent="0.550000000000000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0"/>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4.5" hidden="1" outlineLevel="1" thickTop="1" thickBot="1" x14ac:dyDescent="0.550000000000000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0"/>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4.5" hidden="1" outlineLevel="1" thickTop="1" thickBot="1" x14ac:dyDescent="0.550000000000000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0"/>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4.5" hidden="1" outlineLevel="1" thickTop="1" thickBot="1" x14ac:dyDescent="0.55000000000000004">
      <c r="C88" s="113"/>
      <c r="D88" s="112"/>
      <c r="E88" s="52"/>
      <c r="F88" s="53"/>
      <c r="G88" s="53"/>
      <c r="H88" s="52"/>
      <c r="I88" s="52"/>
      <c r="J88" s="54"/>
      <c r="K88" s="54"/>
      <c r="L88" s="78" t="str">
        <f t="shared" si="86"/>
        <v/>
      </c>
      <c r="M88" s="56" t="str">
        <f t="shared" si="87"/>
        <v/>
      </c>
      <c r="N88" s="57" t="str">
        <f t="shared" si="3"/>
        <v/>
      </c>
      <c r="O88" s="58" t="str">
        <f t="shared" si="88"/>
        <v/>
      </c>
      <c r="P88" s="59" t="str">
        <f t="shared" si="5"/>
        <v/>
      </c>
      <c r="Q88" s="60" t="str">
        <f t="shared" si="89"/>
        <v/>
      </c>
      <c r="R88" s="61" t="str">
        <f t="shared" si="0"/>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4.5" hidden="1" outlineLevel="1" thickTop="1" thickBot="1" x14ac:dyDescent="0.55000000000000004">
      <c r="C89" s="113"/>
      <c r="D89" s="112"/>
      <c r="E89" s="52"/>
      <c r="F89" s="53"/>
      <c r="G89" s="53"/>
      <c r="H89" s="52"/>
      <c r="I89" s="52"/>
      <c r="J89" s="54"/>
      <c r="K89" s="54"/>
      <c r="L89" s="78" t="str">
        <f t="shared" si="86"/>
        <v/>
      </c>
      <c r="M89" s="56" t="str">
        <f t="shared" si="87"/>
        <v/>
      </c>
      <c r="N89" s="57" t="str">
        <f t="shared" si="3"/>
        <v/>
      </c>
      <c r="O89" s="58" t="str">
        <f t="shared" si="88"/>
        <v/>
      </c>
      <c r="P89" s="59" t="str">
        <f t="shared" si="5"/>
        <v/>
      </c>
      <c r="Q89" s="60" t="str">
        <f t="shared" si="89"/>
        <v/>
      </c>
      <c r="R89" s="61" t="str">
        <f t="shared" si="0"/>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4.5" hidden="1" outlineLevel="1" thickTop="1" thickBot="1" x14ac:dyDescent="0.55000000000000004">
      <c r="C90" s="113"/>
      <c r="D90" s="112"/>
      <c r="E90" s="52"/>
      <c r="F90" s="53"/>
      <c r="G90" s="53"/>
      <c r="H90" s="52"/>
      <c r="I90" s="52"/>
      <c r="J90" s="54"/>
      <c r="K90" s="54"/>
      <c r="L90" s="78" t="str">
        <f t="shared" si="86"/>
        <v/>
      </c>
      <c r="M90" s="56" t="str">
        <f t="shared" si="87"/>
        <v/>
      </c>
      <c r="N90" s="57" t="str">
        <f t="shared" si="3"/>
        <v/>
      </c>
      <c r="O90" s="58" t="str">
        <f t="shared" si="88"/>
        <v/>
      </c>
      <c r="P90" s="59" t="str">
        <f t="shared" si="5"/>
        <v/>
      </c>
      <c r="Q90" s="60" t="str">
        <f t="shared" si="89"/>
        <v/>
      </c>
      <c r="R90" s="61" t="str">
        <f t="shared" si="0"/>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4.5" hidden="1" outlineLevel="1" thickTop="1" thickBot="1" x14ac:dyDescent="0.55000000000000004">
      <c r="C91" s="113"/>
      <c r="D91" s="112"/>
      <c r="E91" s="52"/>
      <c r="F91" s="53"/>
      <c r="G91" s="53"/>
      <c r="H91" s="52"/>
      <c r="I91" s="52"/>
      <c r="J91" s="54"/>
      <c r="K91" s="54"/>
      <c r="L91" s="55" t="str">
        <f t="shared" si="86"/>
        <v/>
      </c>
      <c r="M91" s="56" t="str">
        <f t="shared" si="87"/>
        <v/>
      </c>
      <c r="N91" s="57" t="str">
        <f t="shared" si="3"/>
        <v/>
      </c>
      <c r="O91" s="58" t="str">
        <f t="shared" si="88"/>
        <v/>
      </c>
      <c r="P91" s="59" t="str">
        <f t="shared" si="5"/>
        <v/>
      </c>
      <c r="Q91" s="60" t="str">
        <f t="shared" si="89"/>
        <v/>
      </c>
      <c r="R91" s="61" t="str">
        <f t="shared" si="0"/>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4.5" hidden="1" outlineLevel="1" thickTop="1" thickBot="1" x14ac:dyDescent="0.55000000000000004">
      <c r="C92" s="113"/>
      <c r="D92" s="112"/>
      <c r="E92" s="52"/>
      <c r="F92" s="53"/>
      <c r="G92" s="53"/>
      <c r="H92" s="52"/>
      <c r="I92" s="52"/>
      <c r="J92" s="54"/>
      <c r="K92" s="54"/>
      <c r="L92" s="55" t="str">
        <f t="shared" si="86"/>
        <v/>
      </c>
      <c r="M92" s="56" t="str">
        <f t="shared" si="87"/>
        <v/>
      </c>
      <c r="N92" s="57" t="str">
        <f t="shared" si="3"/>
        <v/>
      </c>
      <c r="O92" s="58" t="str">
        <f t="shared" si="88"/>
        <v/>
      </c>
      <c r="P92" s="59" t="str">
        <f t="shared" si="5"/>
        <v/>
      </c>
      <c r="Q92" s="60" t="str">
        <f t="shared" si="89"/>
        <v/>
      </c>
      <c r="R92" s="61" t="str">
        <f t="shared" si="0"/>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4.5" hidden="1" outlineLevel="1" thickTop="1" thickBot="1" x14ac:dyDescent="0.55000000000000004">
      <c r="C93" s="113"/>
      <c r="D93" s="112"/>
      <c r="E93" s="52"/>
      <c r="F93" s="53"/>
      <c r="G93" s="53"/>
      <c r="H93" s="52"/>
      <c r="I93" s="52"/>
      <c r="J93" s="54"/>
      <c r="K93" s="54"/>
      <c r="L93" s="55" t="str">
        <f t="shared" si="86"/>
        <v/>
      </c>
      <c r="M93" s="56" t="str">
        <f t="shared" si="87"/>
        <v/>
      </c>
      <c r="N93" s="57" t="str">
        <f t="shared" si="3"/>
        <v/>
      </c>
      <c r="O93" s="58" t="str">
        <f t="shared" si="88"/>
        <v/>
      </c>
      <c r="P93" s="59" t="str">
        <f t="shared" si="5"/>
        <v/>
      </c>
      <c r="Q93" s="60" t="str">
        <f t="shared" si="89"/>
        <v/>
      </c>
      <c r="R93" s="61" t="str">
        <f t="shared" si="0"/>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4.5" hidden="1" outlineLevel="1" thickTop="1" thickBot="1" x14ac:dyDescent="0.55000000000000004">
      <c r="C94" s="113"/>
      <c r="D94" s="112"/>
      <c r="E94" s="52"/>
      <c r="F94" s="53"/>
      <c r="G94" s="53"/>
      <c r="H94" s="52"/>
      <c r="I94" s="52"/>
      <c r="J94" s="54"/>
      <c r="K94" s="54"/>
      <c r="L94" s="55" t="str">
        <f t="shared" si="86"/>
        <v/>
      </c>
      <c r="M94" s="56" t="str">
        <f t="shared" si="87"/>
        <v/>
      </c>
      <c r="N94" s="57" t="str">
        <f t="shared" si="3"/>
        <v/>
      </c>
      <c r="O94" s="58" t="str">
        <f t="shared" si="88"/>
        <v/>
      </c>
      <c r="P94" s="59" t="str">
        <f t="shared" si="5"/>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4.5" hidden="1" outlineLevel="1" thickTop="1" thickBot="1" x14ac:dyDescent="0.55000000000000004">
      <c r="C95" s="113"/>
      <c r="D95" s="112"/>
      <c r="E95" s="52"/>
      <c r="F95" s="53"/>
      <c r="G95" s="53"/>
      <c r="H95" s="52"/>
      <c r="I95" s="52"/>
      <c r="J95" s="54"/>
      <c r="K95" s="54"/>
      <c r="L95" s="55" t="str">
        <f t="shared" si="86"/>
        <v/>
      </c>
      <c r="M95" s="56" t="str">
        <f t="shared" si="87"/>
        <v/>
      </c>
      <c r="N95" s="57" t="str">
        <f t="shared" si="3"/>
        <v/>
      </c>
      <c r="O95" s="58" t="str">
        <f t="shared" si="88"/>
        <v/>
      </c>
      <c r="P95" s="59" t="str">
        <f t="shared" si="5"/>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4.5" hidden="1" outlineLevel="1" thickTop="1" thickBot="1" x14ac:dyDescent="0.55000000000000004">
      <c r="C96" s="113"/>
      <c r="D96" s="112"/>
      <c r="E96" s="52"/>
      <c r="F96" s="53"/>
      <c r="G96" s="53"/>
      <c r="H96" s="52"/>
      <c r="I96" s="52"/>
      <c r="J96" s="54"/>
      <c r="K96" s="54"/>
      <c r="L96" s="78" t="str">
        <f t="shared" si="86"/>
        <v/>
      </c>
      <c r="M96" s="56" t="str">
        <f t="shared" si="87"/>
        <v/>
      </c>
      <c r="N96" s="57" t="str">
        <f t="shared" si="3"/>
        <v/>
      </c>
      <c r="O96" s="58" t="str">
        <f t="shared" si="88"/>
        <v/>
      </c>
      <c r="P96" s="59" t="str">
        <f t="shared" si="5"/>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4.5" hidden="1" outlineLevel="1" thickTop="1" thickBot="1" x14ac:dyDescent="0.55000000000000004">
      <c r="C97" s="113"/>
      <c r="D97" s="112"/>
      <c r="E97" s="52"/>
      <c r="F97" s="53"/>
      <c r="G97" s="53"/>
      <c r="H97" s="52"/>
      <c r="I97" s="52"/>
      <c r="J97" s="54"/>
      <c r="K97" s="54"/>
      <c r="L97" s="78" t="str">
        <f t="shared" si="86"/>
        <v/>
      </c>
      <c r="M97" s="56" t="str">
        <f t="shared" si="87"/>
        <v/>
      </c>
      <c r="N97" s="57" t="str">
        <f t="shared" si="3"/>
        <v/>
      </c>
      <c r="O97" s="58" t="str">
        <f t="shared" si="88"/>
        <v/>
      </c>
      <c r="P97" s="59" t="str">
        <f t="shared" si="5"/>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4.5" hidden="1" outlineLevel="1" thickTop="1" thickBot="1" x14ac:dyDescent="0.55000000000000004">
      <c r="C98" s="113"/>
      <c r="D98" s="112"/>
      <c r="E98" s="52"/>
      <c r="F98" s="53"/>
      <c r="G98" s="53"/>
      <c r="H98" s="52"/>
      <c r="I98" s="52"/>
      <c r="J98" s="54"/>
      <c r="K98" s="54"/>
      <c r="L98" s="78" t="str">
        <f t="shared" si="86"/>
        <v/>
      </c>
      <c r="M98" s="56" t="str">
        <f t="shared" si="87"/>
        <v/>
      </c>
      <c r="N98" s="57" t="str">
        <f t="shared" si="3"/>
        <v/>
      </c>
      <c r="O98" s="58" t="str">
        <f t="shared" si="88"/>
        <v/>
      </c>
      <c r="P98" s="59" t="str">
        <f t="shared" si="5"/>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4.5" hidden="1" outlineLevel="1" thickTop="1" thickBot="1" x14ac:dyDescent="0.55000000000000004">
      <c r="C99" s="113"/>
      <c r="D99" s="112"/>
      <c r="E99" s="52"/>
      <c r="F99" s="53"/>
      <c r="G99" s="53"/>
      <c r="H99" s="52"/>
      <c r="I99" s="52"/>
      <c r="J99" s="54"/>
      <c r="K99" s="54"/>
      <c r="L99" s="78" t="str">
        <f t="shared" si="86"/>
        <v/>
      </c>
      <c r="M99" s="56" t="str">
        <f t="shared" si="87"/>
        <v/>
      </c>
      <c r="N99" s="57" t="str">
        <f t="shared" si="3"/>
        <v/>
      </c>
      <c r="O99" s="58" t="str">
        <f t="shared" si="88"/>
        <v/>
      </c>
      <c r="P99" s="59" t="str">
        <f t="shared" si="5"/>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4.5" hidden="1" outlineLevel="1" thickTop="1" thickBot="1" x14ac:dyDescent="0.55000000000000004">
      <c r="C100" s="113"/>
      <c r="D100" s="112"/>
      <c r="E100" s="52"/>
      <c r="F100" s="53"/>
      <c r="G100" s="53"/>
      <c r="H100" s="52"/>
      <c r="I100" s="52"/>
      <c r="J100" s="54"/>
      <c r="K100" s="54"/>
      <c r="L100" s="78" t="str">
        <f t="shared" si="86"/>
        <v/>
      </c>
      <c r="M100" s="56" t="str">
        <f t="shared" si="87"/>
        <v/>
      </c>
      <c r="N100" s="57" t="str">
        <f t="shared" si="3"/>
        <v/>
      </c>
      <c r="O100" s="58" t="str">
        <f t="shared" si="88"/>
        <v/>
      </c>
      <c r="P100" s="59" t="str">
        <f t="shared" si="5"/>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4.5" hidden="1" outlineLevel="1" thickTop="1" thickBot="1" x14ac:dyDescent="0.55000000000000004">
      <c r="C101" s="113"/>
      <c r="D101" s="112"/>
      <c r="E101" s="52"/>
      <c r="F101" s="53"/>
      <c r="G101" s="53"/>
      <c r="H101" s="52"/>
      <c r="I101" s="52"/>
      <c r="J101" s="54"/>
      <c r="K101" s="54"/>
      <c r="L101" s="55" t="str">
        <f>IF(C101="","",_xlfn.CONCAT("            { line: ","""",C101,", ",M101:AN101,""", sC: ","""",B101,"""},"))</f>
        <v/>
      </c>
      <c r="M101" s="56" t="str">
        <f t="shared" si="87"/>
        <v/>
      </c>
      <c r="N101" s="57" t="str">
        <f t="shared" si="3"/>
        <v/>
      </c>
      <c r="O101" s="58" t="str">
        <f t="shared" si="88"/>
        <v/>
      </c>
      <c r="P101" s="59" t="str">
        <f t="shared" si="5"/>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4.5" hidden="1" outlineLevel="1" thickTop="1" thickBot="1" x14ac:dyDescent="0.550000000000000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collapsed="1" thickTop="1" x14ac:dyDescent="0.6">
      <c r="A103" s="95"/>
      <c r="B103" s="95"/>
      <c r="C103" s="95"/>
      <c r="D103" s="95"/>
      <c r="E103" s="95"/>
      <c r="F103" s="95"/>
      <c r="G103" s="95"/>
      <c r="H103" s="95"/>
      <c r="I103" s="95"/>
      <c r="J103" s="95"/>
      <c r="K103" s="95"/>
      <c r="L103" s="99" t="str">
        <f ca="1">_xlfn.CONCAT("]}, // ULTIMA LINEA DEL CANTO: ",L1)</f>
        <v>]}, // ULTIMA LINEA DEL CANTO: NO HAY EN ÉL PARECER</v>
      </c>
      <c r="M103" s="95"/>
    </row>
    <row r="104" spans="1:40" ht="20.5" x14ac:dyDescent="0.35">
      <c r="L104" s="100" t="s">
        <v>1008</v>
      </c>
      <c r="M104" s="101"/>
    </row>
    <row r="105" spans="1:40" ht="15" outlineLevel="1" thickBot="1" x14ac:dyDescent="0.4">
      <c r="M105" s="101"/>
    </row>
    <row r="106" spans="1:40" ht="26.5" outlineLevel="1"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4.5" outlineLevel="1" thickTop="1" thickBot="1" x14ac:dyDescent="0.550000000000000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4.5" outlineLevel="1" thickTop="1" thickBot="1" x14ac:dyDescent="0.550000000000000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4.5" outlineLevel="1" thickTop="1" thickBot="1" x14ac:dyDescent="0.550000000000000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4.5" outlineLevel="1" thickTop="1" thickBot="1" x14ac:dyDescent="0.550000000000000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4.5" outlineLevel="1" thickTop="1" thickBot="1" x14ac:dyDescent="0.550000000000000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4.5" outlineLevel="1" thickTop="1" thickBot="1" x14ac:dyDescent="0.550000000000000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4.5" outlineLevel="1" thickTop="1" thickBot="1" x14ac:dyDescent="0.550000000000000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4.5" outlineLevel="1" thickTop="1" thickBot="1" x14ac:dyDescent="0.550000000000000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6.5" outlineLevel="1" thickTop="1" thickBot="1" x14ac:dyDescent="0.550000000000000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122</v>
      </c>
      <c r="E1" s="40"/>
      <c r="F1" s="40"/>
      <c r="G1" s="40"/>
      <c r="H1" s="40"/>
      <c r="I1" s="40"/>
      <c r="J1" s="40"/>
      <c r="K1" s="40"/>
      <c r="L1" s="41" t="str">
        <f ca="1">UPPER(VLOOKUP(C1,Table223[],3,FALSE))</f>
        <v>NOLI ME TANGERE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NOLI ME TANGERE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 ca="1">_xlfn.CONCAT("        id: ","""",C7,"""",",")</f>
        <v xml:space="preserve">        id: "nolimetangere",</v>
      </c>
    </row>
    <row r="8" spans="2:32" ht="23" x14ac:dyDescent="0.35">
      <c r="C8" t="str">
        <f ca="1">PROPER(L1)</f>
        <v>Noli Me Tangere</v>
      </c>
      <c r="L8" s="48" t="str">
        <f ca="1">_xlfn.CONCAT("        tt: ","""",C8,"""",",")</f>
        <v xml:space="preserve">        tt: "Noli Me Tangere",</v>
      </c>
    </row>
    <row r="9" spans="2:32" ht="23" x14ac:dyDescent="0.35">
      <c r="C9" t="str">
        <f ca="1">PROPER(L1)</f>
        <v>Noli Me Tangere</v>
      </c>
      <c r="L9" s="48" t="str">
        <f ca="1">_xlfn.CONCAT("        title: ","""",C9,"""",",")</f>
        <v xml:space="preserve">        title: "Noli Me Tangere",</v>
      </c>
    </row>
    <row r="10" spans="2:32" ht="23" x14ac:dyDescent="0.35">
      <c r="C10" t="str">
        <f ca="1">VLOOKUP(C1,Table223[],4,FALSE)</f>
        <v>Juan 20,15-17</v>
      </c>
      <c r="L10" s="48" t="str">
        <f ca="1">_xlfn.CONCAT("        ","subtitle: ","""",C10,"""",",")</f>
        <v xml:space="preserve">        subtitle: "Juan 20,15-17",</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122</v>
      </c>
      <c r="L16" s="48" t="str">
        <f ca="1">_xlfn.CONCAT("        dbno: ","""",C16,"""",",")</f>
        <v xml:space="preserve">        dbno: "122",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nolimetangere</v>
      </c>
      <c r="L19" s="48" t="str">
        <f ca="1">_xlfn.CONCAT("        audioSrc: ","""/audio/",C19,".mp3""",",")</f>
        <v xml:space="preserve">        audioSrc: "/audio/nolimetangere.mp3",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121</v>
      </c>
      <c r="C26" t="str">
        <f ca="1">VLOOKUP(B26,Table4[],13,FALSE)</f>
        <v>"/src/index.html?canto=nohayenelparecer"</v>
      </c>
      <c r="L26" s="48" t="str">
        <f ca="1">_xlfn.CONCAT("        ant: ",C26,",")</f>
        <v xml:space="preserve">        ant: "/src/index.html?canto=nohayenelparecer",</v>
      </c>
    </row>
    <row r="27" spans="1:40" ht="23" x14ac:dyDescent="0.35">
      <c r="B27">
        <f ca="1">+C1+1</f>
        <v>123</v>
      </c>
      <c r="C27" t="str">
        <f ca="1">VLOOKUP(B27,Table4[],13,FALSE)</f>
        <v>"/src/index.html?canto=ohcieloslloveddeloalto"</v>
      </c>
      <c r="L27" s="48" t="str">
        <f ca="1">_xlfn.CONCAT("        sig: ",C27,",")</f>
        <v xml:space="preserve">        sig: "/src/index.html?canto=ohcieloslloveddeloalto",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NOLI ME TANGERE</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code</vt:lpstr>
      <vt:lpstr>Indice</vt:lpstr>
      <vt:lpstr>Index</vt:lpstr>
      <vt:lpstr>Index Web</vt:lpstr>
      <vt:lpstr>cantosJS</vt:lpstr>
      <vt:lpstr>Find</vt:lpstr>
      <vt:lpstr>QUÉ ESTUPENDO, QUÉ ALEGRÍA </vt:lpstr>
      <vt:lpstr>html</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2025-10-14T02:22:15Z</dcterms:modified>
</cp:coreProperties>
</file>