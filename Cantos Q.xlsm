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9B6FB806-2D3B-4FBD-88A0-28AAA6C4F258}" xr6:coauthVersionLast="47" xr6:coauthVersionMax="47" xr10:uidLastSave="{00000000-0000-0000-0000-000000000000}"/>
  <bookViews>
    <workbookView xWindow="-120" yWindow="-120" windowWidth="51840" windowHeight="21120" tabRatio="693" firstSheet="3" activeTab="7"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QUIERO ANDAR, MADRE, A JERUSALÉ" sheetId="78" r:id="rId8"/>
    <sheet name="MARIA, MADRE MÍA" sheetId="7" r:id="rId9"/>
    <sheet name="boceto" sheetId="36" state="hidden" r:id="rId10"/>
  </sheets>
  <functionGroups builtInGroupCount="19"/>
  <externalReferences>
    <externalReference r:id="rId11"/>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40" i="78" l="1"/>
  <c r="R57" i="78"/>
  <c r="AK56" i="78"/>
  <c r="AI56" i="78"/>
  <c r="AH56" i="78" s="1"/>
  <c r="AD56" i="78"/>
  <c r="AB56" i="78"/>
  <c r="AG56" i="78" s="1"/>
  <c r="W56" i="78"/>
  <c r="U56" i="78"/>
  <c r="Y56" i="78" s="1"/>
  <c r="P56" i="78"/>
  <c r="N56" i="78"/>
  <c r="Q56" i="78" s="1"/>
  <c r="AK55" i="78"/>
  <c r="AI55" i="78"/>
  <c r="AJ55" i="78" s="1"/>
  <c r="AD55" i="78"/>
  <c r="AB55" i="78"/>
  <c r="AC55" i="78" s="1"/>
  <c r="W55" i="78"/>
  <c r="U55" i="78"/>
  <c r="T55" i="78" s="1"/>
  <c r="P55" i="78"/>
  <c r="N55" i="78"/>
  <c r="AK54" i="78"/>
  <c r="AI54" i="78"/>
  <c r="AJ54" i="78" s="1"/>
  <c r="AD54" i="78"/>
  <c r="AB54" i="78"/>
  <c r="AA54" i="78" s="1"/>
  <c r="W54" i="78"/>
  <c r="U54" i="78"/>
  <c r="Z54" i="78" s="1"/>
  <c r="P54" i="78"/>
  <c r="N54" i="78"/>
  <c r="R54" i="78" s="1"/>
  <c r="AK53" i="78"/>
  <c r="AI53" i="78"/>
  <c r="AM53" i="78" s="1"/>
  <c r="AD53" i="78"/>
  <c r="AB53" i="78"/>
  <c r="AE53" i="78" s="1"/>
  <c r="W53" i="78"/>
  <c r="U53" i="78"/>
  <c r="V53" i="78" s="1"/>
  <c r="P53" i="78"/>
  <c r="N53" i="78"/>
  <c r="O53" i="78" s="1"/>
  <c r="AK52" i="78"/>
  <c r="AI52" i="78"/>
  <c r="AJ52" i="78" s="1"/>
  <c r="AD52" i="78"/>
  <c r="AB52" i="78"/>
  <c r="AG52" i="78" s="1"/>
  <c r="W52" i="78"/>
  <c r="U52" i="78"/>
  <c r="V52" i="78" s="1"/>
  <c r="P52" i="78"/>
  <c r="N52" i="78"/>
  <c r="M52" i="78" s="1"/>
  <c r="R51" i="78"/>
  <c r="AK60" i="78"/>
  <c r="AI60" i="78"/>
  <c r="AD60" i="78"/>
  <c r="AB60" i="78"/>
  <c r="AA60" i="78" s="1"/>
  <c r="W60" i="78"/>
  <c r="U60" i="78"/>
  <c r="X60" i="78" s="1"/>
  <c r="P60" i="78"/>
  <c r="N60" i="78"/>
  <c r="AK59" i="78"/>
  <c r="AI59" i="78"/>
  <c r="AN59" i="78" s="1"/>
  <c r="AD59" i="78"/>
  <c r="AB59" i="78"/>
  <c r="AC59" i="78" s="1"/>
  <c r="W59" i="78"/>
  <c r="U59" i="78"/>
  <c r="Z59" i="78" s="1"/>
  <c r="P59" i="78"/>
  <c r="N59" i="78"/>
  <c r="AK58" i="78"/>
  <c r="AI58" i="78"/>
  <c r="AN58" i="78" s="1"/>
  <c r="AD58" i="78"/>
  <c r="AB58" i="78"/>
  <c r="W58" i="78"/>
  <c r="U58" i="78"/>
  <c r="T58" i="78" s="1"/>
  <c r="P58" i="78"/>
  <c r="N58" i="78"/>
  <c r="M58" i="78" s="1"/>
  <c r="AK50" i="78"/>
  <c r="AI50" i="78"/>
  <c r="AM50" i="78" s="1"/>
  <c r="AD50" i="78"/>
  <c r="AB50" i="78"/>
  <c r="AA50" i="78" s="1"/>
  <c r="W50" i="78"/>
  <c r="U50" i="78"/>
  <c r="Y50" i="78" s="1"/>
  <c r="P50" i="78"/>
  <c r="N50" i="78"/>
  <c r="S50" i="78" s="1"/>
  <c r="AK49" i="78"/>
  <c r="AI49" i="78"/>
  <c r="AD49" i="78"/>
  <c r="AB49" i="78"/>
  <c r="AA49" i="78" s="1"/>
  <c r="W49" i="78"/>
  <c r="U49" i="78"/>
  <c r="X49" i="78" s="1"/>
  <c r="P49" i="78"/>
  <c r="N49" i="78"/>
  <c r="S49" i="78" s="1"/>
  <c r="AK48" i="78"/>
  <c r="AI48" i="78"/>
  <c r="AN48" i="78" s="1"/>
  <c r="AD48" i="78"/>
  <c r="AB48" i="78"/>
  <c r="AC48" i="78" s="1"/>
  <c r="W48" i="78"/>
  <c r="U48" i="78"/>
  <c r="Y48" i="78" s="1"/>
  <c r="P48" i="78"/>
  <c r="N48" i="78"/>
  <c r="O48" i="78" s="1"/>
  <c r="AK47" i="78"/>
  <c r="AI47" i="78"/>
  <c r="AD47" i="78"/>
  <c r="AB47" i="78"/>
  <c r="AC47" i="78" s="1"/>
  <c r="W47" i="78"/>
  <c r="U47" i="78"/>
  <c r="Z47" i="78" s="1"/>
  <c r="P47" i="78"/>
  <c r="N47" i="78"/>
  <c r="O47" i="78" s="1"/>
  <c r="AK46" i="78"/>
  <c r="AI46" i="78"/>
  <c r="AH46" i="78" s="1"/>
  <c r="AD46" i="78"/>
  <c r="AB46" i="78"/>
  <c r="AE46" i="78" s="1"/>
  <c r="W46" i="78"/>
  <c r="U46" i="78"/>
  <c r="V46" i="78" s="1"/>
  <c r="P46" i="78"/>
  <c r="N46" i="78"/>
  <c r="O46" i="78" s="1"/>
  <c r="AK45" i="78"/>
  <c r="AI45" i="78"/>
  <c r="AH45" i="78" s="1"/>
  <c r="AD45" i="78"/>
  <c r="AB45" i="78"/>
  <c r="AA45" i="78" s="1"/>
  <c r="W45" i="78"/>
  <c r="U45" i="78"/>
  <c r="P45" i="78"/>
  <c r="N45" i="78"/>
  <c r="R44" i="78"/>
  <c r="AK43" i="78"/>
  <c r="AI43" i="78"/>
  <c r="AM43" i="78" s="1"/>
  <c r="AD43" i="78"/>
  <c r="AB43" i="78"/>
  <c r="AC43" i="78" s="1"/>
  <c r="W43" i="78"/>
  <c r="U43" i="78"/>
  <c r="V43" i="78" s="1"/>
  <c r="P43" i="78"/>
  <c r="N43" i="78"/>
  <c r="M43" i="78" s="1"/>
  <c r="AK42" i="78"/>
  <c r="AI42" i="78"/>
  <c r="AH42" i="78" s="1"/>
  <c r="AD42" i="78"/>
  <c r="AB42" i="78"/>
  <c r="AG42" i="78" s="1"/>
  <c r="W42" i="78"/>
  <c r="U42" i="78"/>
  <c r="Z42" i="78" s="1"/>
  <c r="P42" i="78"/>
  <c r="N42" i="78"/>
  <c r="R42" i="78" s="1"/>
  <c r="AK41" i="78"/>
  <c r="AI41" i="78"/>
  <c r="AM41" i="78" s="1"/>
  <c r="AD41" i="78"/>
  <c r="AB41" i="78"/>
  <c r="AE41" i="78" s="1"/>
  <c r="W41" i="78"/>
  <c r="U41" i="78"/>
  <c r="T41" i="78" s="1"/>
  <c r="P41" i="78"/>
  <c r="N41" i="78"/>
  <c r="O41" i="78" s="1"/>
  <c r="AK39" i="78"/>
  <c r="AI39" i="78"/>
  <c r="AJ39" i="78" s="1"/>
  <c r="AD39" i="78"/>
  <c r="AB39" i="78"/>
  <c r="AC39" i="78" s="1"/>
  <c r="W39" i="78"/>
  <c r="U39" i="78"/>
  <c r="T39" i="78" s="1"/>
  <c r="P39" i="78"/>
  <c r="N39" i="78"/>
  <c r="S39" i="78" s="1"/>
  <c r="AK38" i="78"/>
  <c r="AI38" i="78"/>
  <c r="AN38" i="78" s="1"/>
  <c r="AD38" i="78"/>
  <c r="AB38" i="78"/>
  <c r="AG38" i="78" s="1"/>
  <c r="W38" i="78"/>
  <c r="U38" i="78"/>
  <c r="Y38" i="78" s="1"/>
  <c r="P38" i="78"/>
  <c r="N38" i="78"/>
  <c r="Q38" i="78" s="1"/>
  <c r="AK37" i="78"/>
  <c r="AI37" i="78"/>
  <c r="AL37" i="78" s="1"/>
  <c r="AD37" i="78"/>
  <c r="AB37" i="78"/>
  <c r="AC37" i="78" s="1"/>
  <c r="W37" i="78"/>
  <c r="U37" i="78"/>
  <c r="V37" i="78" s="1"/>
  <c r="P37" i="78"/>
  <c r="N37" i="78"/>
  <c r="S37" i="78" s="1"/>
  <c r="AK36" i="78"/>
  <c r="AI36" i="78"/>
  <c r="AM36" i="78" s="1"/>
  <c r="AD36" i="78"/>
  <c r="AB36" i="78"/>
  <c r="AA36" i="78" s="1"/>
  <c r="W36" i="78"/>
  <c r="U36" i="78"/>
  <c r="Z36" i="78" s="1"/>
  <c r="P36" i="78"/>
  <c r="N36" i="78"/>
  <c r="S36" i="78" s="1"/>
  <c r="AK34" i="78"/>
  <c r="AI34" i="78"/>
  <c r="AN34" i="78" s="1"/>
  <c r="AD34" i="78"/>
  <c r="AB34" i="78"/>
  <c r="AF34" i="78" s="1"/>
  <c r="W34" i="78"/>
  <c r="U34" i="78"/>
  <c r="X34" i="78" s="1"/>
  <c r="P34" i="78"/>
  <c r="N34" i="78"/>
  <c r="R34" i="78" s="1"/>
  <c r="AK33" i="78"/>
  <c r="AI33" i="78"/>
  <c r="AL33" i="78" s="1"/>
  <c r="AD33" i="78"/>
  <c r="AB33" i="78"/>
  <c r="AC33" i="78" s="1"/>
  <c r="W33" i="78"/>
  <c r="U33" i="78"/>
  <c r="X33" i="78" s="1"/>
  <c r="P33" i="78"/>
  <c r="N33" i="78"/>
  <c r="M33" i="78" s="1"/>
  <c r="AK32" i="78"/>
  <c r="AI32" i="78"/>
  <c r="AH32" i="78" s="1"/>
  <c r="AD32" i="78"/>
  <c r="AB32" i="78"/>
  <c r="AG32" i="78" s="1"/>
  <c r="W32" i="78"/>
  <c r="U32" i="78"/>
  <c r="Z32" i="78" s="1"/>
  <c r="P32" i="78"/>
  <c r="N32" i="78"/>
  <c r="R32" i="78" s="1"/>
  <c r="AK31" i="78"/>
  <c r="AI31" i="78"/>
  <c r="AM31" i="78" s="1"/>
  <c r="AD31" i="78"/>
  <c r="AB31" i="78"/>
  <c r="AE31" i="78" s="1"/>
  <c r="W31" i="78"/>
  <c r="U31" i="78"/>
  <c r="V31" i="78" s="1"/>
  <c r="P31" i="78"/>
  <c r="N31" i="78"/>
  <c r="O31" i="78" s="1"/>
  <c r="AK30" i="78"/>
  <c r="AI30" i="78"/>
  <c r="AJ30" i="78" s="1"/>
  <c r="AD30" i="78"/>
  <c r="AB30" i="78"/>
  <c r="AA30" i="78" s="1"/>
  <c r="W30" i="78"/>
  <c r="U30" i="78"/>
  <c r="T30" i="78" s="1"/>
  <c r="P30" i="78"/>
  <c r="N30" i="78"/>
  <c r="O30" i="78" s="1"/>
  <c r="R35" i="78"/>
  <c r="L18" i="78"/>
  <c r="L17" i="78"/>
  <c r="L15" i="78"/>
  <c r="L14" i="78"/>
  <c r="L13" i="78"/>
  <c r="AK74" i="7"/>
  <c r="AI74" i="7"/>
  <c r="AN74" i="7" s="1"/>
  <c r="AD74" i="7"/>
  <c r="AB74" i="7"/>
  <c r="AF74" i="7" s="1"/>
  <c r="W74" i="7"/>
  <c r="U74" i="7"/>
  <c r="X74" i="7" s="1"/>
  <c r="P74" i="7"/>
  <c r="N74" i="7"/>
  <c r="O74" i="7" s="1"/>
  <c r="L74" i="7"/>
  <c r="AK73" i="7"/>
  <c r="AI73" i="7"/>
  <c r="AJ73" i="7" s="1"/>
  <c r="AH73" i="7"/>
  <c r="AD73" i="7"/>
  <c r="AB73" i="7"/>
  <c r="AC73" i="7" s="1"/>
  <c r="W73" i="7"/>
  <c r="U73" i="7"/>
  <c r="X73" i="7" s="1"/>
  <c r="P73" i="7"/>
  <c r="N73" i="7"/>
  <c r="M73" i="7" s="1"/>
  <c r="L73" i="7"/>
  <c r="AK72" i="7"/>
  <c r="AI72" i="7"/>
  <c r="AH72" i="7" s="1"/>
  <c r="AD72" i="7"/>
  <c r="AB72" i="7"/>
  <c r="AG72" i="7" s="1"/>
  <c r="AA72" i="7"/>
  <c r="W72" i="7"/>
  <c r="U72" i="7"/>
  <c r="Z72" i="7" s="1"/>
  <c r="T72" i="7"/>
  <c r="P72" i="7"/>
  <c r="N72" i="7"/>
  <c r="R72" i="7" s="1"/>
  <c r="L72" i="7"/>
  <c r="AK71" i="7"/>
  <c r="AI71" i="7"/>
  <c r="AM71" i="7" s="1"/>
  <c r="AD71" i="7"/>
  <c r="AB71" i="7"/>
  <c r="AE71" i="7" s="1"/>
  <c r="W71" i="7"/>
  <c r="U71" i="7"/>
  <c r="V71" i="7" s="1"/>
  <c r="P71" i="7"/>
  <c r="N71" i="7"/>
  <c r="O71" i="7" s="1"/>
  <c r="L71" i="7"/>
  <c r="AK70" i="7"/>
  <c r="AI70" i="7"/>
  <c r="AJ70" i="7" s="1"/>
  <c r="AD70" i="7"/>
  <c r="AB70" i="7"/>
  <c r="AA70" i="7" s="1"/>
  <c r="W70" i="7"/>
  <c r="U70" i="7"/>
  <c r="T70" i="7" s="1"/>
  <c r="P70" i="7"/>
  <c r="N70" i="7"/>
  <c r="S70" i="7" s="1"/>
  <c r="L70" i="7"/>
  <c r="AK69" i="7"/>
  <c r="AI69" i="7"/>
  <c r="AN69" i="7" s="1"/>
  <c r="AD69" i="7"/>
  <c r="AB69" i="7"/>
  <c r="AG69" i="7" s="1"/>
  <c r="W69" i="7"/>
  <c r="U69" i="7"/>
  <c r="Y69" i="7" s="1"/>
  <c r="P69" i="7"/>
  <c r="N69" i="7"/>
  <c r="Q69" i="7" s="1"/>
  <c r="L69" i="7"/>
  <c r="AM68" i="7"/>
  <c r="AK68" i="7"/>
  <c r="AI68" i="7"/>
  <c r="AL68" i="7" s="1"/>
  <c r="AF68" i="7"/>
  <c r="AD68" i="7"/>
  <c r="AB68" i="7"/>
  <c r="AA68" i="7" s="1"/>
  <c r="X68" i="7"/>
  <c r="W68" i="7"/>
  <c r="U68" i="7"/>
  <c r="V68" i="7" s="1"/>
  <c r="P68" i="7"/>
  <c r="N68" i="7"/>
  <c r="R68" i="7" s="1"/>
  <c r="L68" i="7"/>
  <c r="AK41" i="7"/>
  <c r="AI41" i="7"/>
  <c r="AN41" i="7" s="1"/>
  <c r="AD41" i="7"/>
  <c r="AB41" i="7"/>
  <c r="AF41" i="7" s="1"/>
  <c r="W41" i="7"/>
  <c r="U41" i="7"/>
  <c r="X41" i="7" s="1"/>
  <c r="S41" i="7"/>
  <c r="R41" i="7"/>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R39" i="7" s="1"/>
  <c r="L39" i="7"/>
  <c r="AK38" i="7"/>
  <c r="AI38" i="7"/>
  <c r="AM38" i="7" s="1"/>
  <c r="AH38" i="7"/>
  <c r="AD38" i="7"/>
  <c r="AB38" i="7"/>
  <c r="AE38" i="7" s="1"/>
  <c r="W38" i="7"/>
  <c r="U38" i="7"/>
  <c r="T38" i="7" s="1"/>
  <c r="P38" i="7"/>
  <c r="N38" i="7"/>
  <c r="O38" i="7" s="1"/>
  <c r="L38" i="7"/>
  <c r="AK37" i="7"/>
  <c r="AI37" i="7"/>
  <c r="AJ37" i="7" s="1"/>
  <c r="AD37" i="7"/>
  <c r="AB37" i="7"/>
  <c r="AG37" i="7" s="1"/>
  <c r="W37" i="7"/>
  <c r="U37" i="7"/>
  <c r="T37" i="7" s="1"/>
  <c r="P37" i="7"/>
  <c r="N37" i="7"/>
  <c r="S37" i="7" s="1"/>
  <c r="L37" i="7"/>
  <c r="C1" i="78" a="1"/>
  <c r="V58" i="78" l="1"/>
  <c r="AG55" i="78"/>
  <c r="AA56" i="78"/>
  <c r="AF41" i="78"/>
  <c r="AN33" i="78"/>
  <c r="R46" i="78"/>
  <c r="AG41" i="78"/>
  <c r="AA55" i="78"/>
  <c r="T38" i="78"/>
  <c r="Y34" i="78"/>
  <c r="AG50" i="78"/>
  <c r="Z31" i="78"/>
  <c r="T34" i="78"/>
  <c r="Z37" i="78"/>
  <c r="AG43" i="78"/>
  <c r="AG30" i="78"/>
  <c r="AA41" i="78"/>
  <c r="AE45" i="78"/>
  <c r="X48" i="78"/>
  <c r="Q49" i="78"/>
  <c r="AG59" i="78"/>
  <c r="M37" i="78"/>
  <c r="Z48" i="78"/>
  <c r="T36" i="78"/>
  <c r="AA34" i="78"/>
  <c r="AA42" i="78"/>
  <c r="V33" i="78"/>
  <c r="M34" i="78"/>
  <c r="AH38" i="78"/>
  <c r="AH43" i="78"/>
  <c r="X58" i="78"/>
  <c r="Z33" i="78"/>
  <c r="AH34" i="78"/>
  <c r="T43" i="78"/>
  <c r="AA46" i="78"/>
  <c r="Z60" i="78"/>
  <c r="AM52" i="78"/>
  <c r="AE55" i="78"/>
  <c r="AH33" i="78"/>
  <c r="AA37" i="78"/>
  <c r="AH41" i="78"/>
  <c r="Y47" i="78"/>
  <c r="V48" i="78"/>
  <c r="AH50" i="78"/>
  <c r="S58" i="78"/>
  <c r="AF30" i="78"/>
  <c r="Y31" i="78"/>
  <c r="T33" i="78"/>
  <c r="AE30" i="78"/>
  <c r="Y33" i="78"/>
  <c r="AJ33" i="78"/>
  <c r="M36" i="78"/>
  <c r="AH36" i="78"/>
  <c r="Y37" i="78"/>
  <c r="S42" i="78"/>
  <c r="AF43" i="78"/>
  <c r="AN43" i="78"/>
  <c r="AF59" i="78"/>
  <c r="Y60" i="78"/>
  <c r="AL52" i="78"/>
  <c r="AF55" i="78"/>
  <c r="Z56" i="78"/>
  <c r="V50" i="78"/>
  <c r="AA31" i="78"/>
  <c r="AF33" i="78"/>
  <c r="S38" i="78"/>
  <c r="X41" i="78"/>
  <c r="AJ43" i="78"/>
  <c r="AA59" i="78"/>
  <c r="Q53" i="78"/>
  <c r="AN55" i="78"/>
  <c r="AN30" i="78"/>
  <c r="AG33" i="78"/>
  <c r="AF37" i="78"/>
  <c r="AL39" i="78"/>
  <c r="Y41" i="78"/>
  <c r="AF46" i="78"/>
  <c r="X50" i="78"/>
  <c r="R53" i="78"/>
  <c r="AN53" i="78"/>
  <c r="AG37" i="78"/>
  <c r="AM39" i="78"/>
  <c r="AL43" i="78"/>
  <c r="Q46" i="78"/>
  <c r="AG46" i="78"/>
  <c r="X47" i="78"/>
  <c r="Z50" i="78"/>
  <c r="Q58" i="78"/>
  <c r="S53" i="78"/>
  <c r="M54" i="78"/>
  <c r="AH37" i="78"/>
  <c r="AN39" i="78"/>
  <c r="AE43" i="78"/>
  <c r="AE59" i="78"/>
  <c r="AC52" i="78"/>
  <c r="AC30" i="78"/>
  <c r="AM30" i="78"/>
  <c r="X31" i="78"/>
  <c r="AH31" i="78"/>
  <c r="AA32" i="78"/>
  <c r="AE33" i="78"/>
  <c r="AM33" i="78"/>
  <c r="AN36" i="78"/>
  <c r="AE37" i="78"/>
  <c r="AA39" i="78"/>
  <c r="V41" i="78"/>
  <c r="AG47" i="78"/>
  <c r="AH48" i="78"/>
  <c r="AF50" i="78"/>
  <c r="AN50" i="78"/>
  <c r="T59" i="78"/>
  <c r="AA52" i="78"/>
  <c r="AA53" i="78"/>
  <c r="O37" i="78"/>
  <c r="AM59" i="78"/>
  <c r="AJ45" i="78"/>
  <c r="V55" i="78"/>
  <c r="T31" i="78"/>
  <c r="O34" i="78"/>
  <c r="AJ36" i="78"/>
  <c r="AE39" i="78"/>
  <c r="Z41" i="78"/>
  <c r="AL45" i="78"/>
  <c r="AL48" i="78"/>
  <c r="AJ50" i="78"/>
  <c r="AL58" i="78"/>
  <c r="AE52" i="78"/>
  <c r="AN52" i="78"/>
  <c r="AF53" i="78"/>
  <c r="X55" i="78"/>
  <c r="R56" i="78"/>
  <c r="AJ48" i="78"/>
  <c r="AN31" i="78"/>
  <c r="Q37" i="78"/>
  <c r="AF39" i="78"/>
  <c r="AN41" i="78"/>
  <c r="X43" i="78"/>
  <c r="AM45" i="78"/>
  <c r="AM48" i="78"/>
  <c r="Y49" i="78"/>
  <c r="Q50" i="78"/>
  <c r="AC50" i="78"/>
  <c r="AG60" i="78"/>
  <c r="AF52" i="78"/>
  <c r="M53" i="78"/>
  <c r="X53" i="78"/>
  <c r="AG53" i="78"/>
  <c r="S54" i="78"/>
  <c r="Y55" i="78"/>
  <c r="S56" i="78"/>
  <c r="AC53" i="78"/>
  <c r="AF31" i="78"/>
  <c r="S34" i="78"/>
  <c r="AG34" i="78"/>
  <c r="AL36" i="78"/>
  <c r="R37" i="78"/>
  <c r="AM37" i="78"/>
  <c r="AA38" i="78"/>
  <c r="AG39" i="78"/>
  <c r="Y43" i="78"/>
  <c r="AC45" i="78"/>
  <c r="AC46" i="78"/>
  <c r="AE47" i="78"/>
  <c r="T48" i="78"/>
  <c r="AE48" i="78"/>
  <c r="T50" i="78"/>
  <c r="AL50" i="78"/>
  <c r="Y53" i="78"/>
  <c r="AH53" i="78"/>
  <c r="T54" i="78"/>
  <c r="AL55" i="78"/>
  <c r="T56" i="78"/>
  <c r="AL30" i="78"/>
  <c r="AG31" i="78"/>
  <c r="AN37" i="78"/>
  <c r="Z43" i="78"/>
  <c r="AF47" i="78"/>
  <c r="AF48" i="78"/>
  <c r="M49" i="78"/>
  <c r="AE50" i="78"/>
  <c r="AH52" i="78"/>
  <c r="Z53" i="78"/>
  <c r="AM55" i="78"/>
  <c r="S46" i="78"/>
  <c r="O49" i="78"/>
  <c r="Z49" i="78"/>
  <c r="O50" i="78"/>
  <c r="X46" i="78"/>
  <c r="R49" i="78"/>
  <c r="V59" i="78"/>
  <c r="Y46" i="78"/>
  <c r="V47" i="78"/>
  <c r="Z46" i="78"/>
  <c r="X59" i="78"/>
  <c r="T60" i="78"/>
  <c r="Y59" i="78"/>
  <c r="V60" i="78"/>
  <c r="S32" i="78"/>
  <c r="R38" i="78"/>
  <c r="Q31" i="78"/>
  <c r="T32" i="78"/>
  <c r="Q41" i="78"/>
  <c r="T42" i="78"/>
  <c r="S31" i="78"/>
  <c r="Z34" i="78"/>
  <c r="S41" i="78"/>
  <c r="Q34" i="78"/>
  <c r="R31" i="78"/>
  <c r="M30" i="78"/>
  <c r="M32" i="78"/>
  <c r="X37" i="78"/>
  <c r="M38" i="78"/>
  <c r="Z38" i="78"/>
  <c r="M39" i="78"/>
  <c r="M42" i="78"/>
  <c r="R41" i="78"/>
  <c r="C1" i="78"/>
  <c r="AG58" i="78"/>
  <c r="AE58" i="78"/>
  <c r="AF58" i="78"/>
  <c r="AA58" i="78"/>
  <c r="M59" i="78"/>
  <c r="R59" i="78"/>
  <c r="S59" i="78"/>
  <c r="Q59" i="78"/>
  <c r="O59" i="78"/>
  <c r="AN60" i="78"/>
  <c r="AM60" i="78"/>
  <c r="AL60" i="78"/>
  <c r="AJ60" i="78"/>
  <c r="S45" i="78"/>
  <c r="R45" i="78"/>
  <c r="Q45" i="78"/>
  <c r="AC32" i="78"/>
  <c r="V36" i="78"/>
  <c r="O39" i="78"/>
  <c r="AC42" i="78"/>
  <c r="V32" i="78"/>
  <c r="X39" i="78"/>
  <c r="V42" i="78"/>
  <c r="AL42" i="78"/>
  <c r="Q43" i="78"/>
  <c r="Z45" i="78"/>
  <c r="Y45" i="78"/>
  <c r="X45" i="78"/>
  <c r="T45" i="78"/>
  <c r="V39" i="78"/>
  <c r="O43" i="78"/>
  <c r="O45" i="78"/>
  <c r="AM46" i="78"/>
  <c r="AN46" i="78"/>
  <c r="AL46" i="78"/>
  <c r="AN49" i="78"/>
  <c r="AM49" i="78"/>
  <c r="AL49" i="78"/>
  <c r="AH49" i="78"/>
  <c r="AC58" i="78"/>
  <c r="AJ38" i="78"/>
  <c r="AH47" i="78"/>
  <c r="AM47" i="78"/>
  <c r="AL47" i="78"/>
  <c r="AJ47" i="78"/>
  <c r="AN47" i="78"/>
  <c r="X30" i="78"/>
  <c r="Q33" i="78"/>
  <c r="O36" i="78"/>
  <c r="AE32" i="78"/>
  <c r="R33" i="78"/>
  <c r="AC34" i="78"/>
  <c r="X36" i="78"/>
  <c r="AF36" i="78"/>
  <c r="V38" i="78"/>
  <c r="AL38" i="78"/>
  <c r="Q39" i="78"/>
  <c r="Y39" i="78"/>
  <c r="AJ41" i="78"/>
  <c r="O42" i="78"/>
  <c r="AE42" i="78"/>
  <c r="AM42" i="78"/>
  <c r="R43" i="78"/>
  <c r="V45" i="78"/>
  <c r="O60" i="78"/>
  <c r="M60" i="78"/>
  <c r="S60" i="78"/>
  <c r="R60" i="78"/>
  <c r="Q60" i="78"/>
  <c r="AJ32" i="78"/>
  <c r="O33" i="78"/>
  <c r="AJ42" i="78"/>
  <c r="AL32" i="78"/>
  <c r="AJ34" i="78"/>
  <c r="AE36" i="78"/>
  <c r="AC38" i="78"/>
  <c r="Q30" i="78"/>
  <c r="Y30" i="78"/>
  <c r="AJ31" i="78"/>
  <c r="O32" i="78"/>
  <c r="AM32" i="78"/>
  <c r="R30" i="78"/>
  <c r="Z30" i="78"/>
  <c r="AH30" i="78"/>
  <c r="M31" i="78"/>
  <c r="AC31" i="78"/>
  <c r="X32" i="78"/>
  <c r="AF32" i="78"/>
  <c r="AN32" i="78"/>
  <c r="S33" i="78"/>
  <c r="AA33" i="78"/>
  <c r="V34" i="78"/>
  <c r="AL34" i="78"/>
  <c r="Q36" i="78"/>
  <c r="Y36" i="78"/>
  <c r="AG36" i="78"/>
  <c r="T37" i="78"/>
  <c r="AJ37" i="78"/>
  <c r="O38" i="78"/>
  <c r="AE38" i="78"/>
  <c r="AM38" i="78"/>
  <c r="R39" i="78"/>
  <c r="Z39" i="78"/>
  <c r="AH39" i="78"/>
  <c r="M41" i="78"/>
  <c r="AC41" i="78"/>
  <c r="X42" i="78"/>
  <c r="AF42" i="78"/>
  <c r="AN42" i="78"/>
  <c r="S43" i="78"/>
  <c r="AA43" i="78"/>
  <c r="R47" i="78"/>
  <c r="S47" i="78"/>
  <c r="Q47" i="78"/>
  <c r="M47" i="78"/>
  <c r="M48" i="78"/>
  <c r="S48" i="78"/>
  <c r="R48" i="78"/>
  <c r="Q48" i="78"/>
  <c r="V30" i="78"/>
  <c r="AC36" i="78"/>
  <c r="S30" i="78"/>
  <c r="Q32" i="78"/>
  <c r="AM34" i="78"/>
  <c r="AJ46" i="78"/>
  <c r="AJ49" i="78"/>
  <c r="AL31" i="78"/>
  <c r="Y32" i="78"/>
  <c r="AE34" i="78"/>
  <c r="R36" i="78"/>
  <c r="X38" i="78"/>
  <c r="AF38" i="78"/>
  <c r="AL41" i="78"/>
  <c r="Q42" i="78"/>
  <c r="Y42" i="78"/>
  <c r="M45" i="78"/>
  <c r="AF49" i="78"/>
  <c r="AG49" i="78"/>
  <c r="AE49" i="78"/>
  <c r="AC49" i="78"/>
  <c r="AH60" i="78"/>
  <c r="M55" i="78"/>
  <c r="S55" i="78"/>
  <c r="R55" i="78"/>
  <c r="Q55" i="78"/>
  <c r="O55" i="78"/>
  <c r="T52" i="78"/>
  <c r="Z52" i="78"/>
  <c r="Y52" i="78"/>
  <c r="X52" i="78"/>
  <c r="AH54" i="78"/>
  <c r="AN54" i="78"/>
  <c r="AM54" i="78"/>
  <c r="AL54" i="78"/>
  <c r="AF45" i="78"/>
  <c r="AN45" i="78"/>
  <c r="T46" i="78"/>
  <c r="AA47" i="78"/>
  <c r="AG48" i="78"/>
  <c r="T49" i="78"/>
  <c r="R50" i="78"/>
  <c r="Z58" i="78"/>
  <c r="Y58" i="78"/>
  <c r="AG45" i="78"/>
  <c r="AH58" i="78"/>
  <c r="AM58" i="78"/>
  <c r="AJ59" i="78"/>
  <c r="AH59" i="78"/>
  <c r="AN56" i="78"/>
  <c r="AM56" i="78"/>
  <c r="AL56" i="78"/>
  <c r="AJ56" i="78"/>
  <c r="M46" i="78"/>
  <c r="T47" i="78"/>
  <c r="V49" i="78"/>
  <c r="AJ58" i="78"/>
  <c r="S52" i="78"/>
  <c r="R52" i="78"/>
  <c r="Q52" i="78"/>
  <c r="O52" i="78"/>
  <c r="AG54" i="78"/>
  <c r="AF54" i="78"/>
  <c r="AE54" i="78"/>
  <c r="AC54" i="78"/>
  <c r="AA48" i="78"/>
  <c r="M50" i="78"/>
  <c r="R58" i="78"/>
  <c r="O58" i="78"/>
  <c r="AL59" i="78"/>
  <c r="AF60" i="78"/>
  <c r="AE60" i="78"/>
  <c r="AC60" i="78"/>
  <c r="V54" i="78"/>
  <c r="M56" i="78"/>
  <c r="AC56" i="78"/>
  <c r="T53" i="78"/>
  <c r="AJ53" i="78"/>
  <c r="O54" i="78"/>
  <c r="Z55" i="78"/>
  <c r="AH55" i="78"/>
  <c r="V56" i="78"/>
  <c r="X54" i="78"/>
  <c r="O56" i="78"/>
  <c r="AE56" i="78"/>
  <c r="AL53" i="78"/>
  <c r="Q54" i="78"/>
  <c r="Y54" i="78"/>
  <c r="X56" i="78"/>
  <c r="AF56" i="78"/>
  <c r="AC68" i="7"/>
  <c r="AH74" i="7"/>
  <c r="T73" i="7"/>
  <c r="AG68" i="7"/>
  <c r="T71" i="7"/>
  <c r="AC74" i="7"/>
  <c r="AL40" i="7"/>
  <c r="S68" i="7"/>
  <c r="AJ38" i="7"/>
  <c r="V40" i="7"/>
  <c r="AM73" i="7"/>
  <c r="S74" i="7"/>
  <c r="AL73" i="7"/>
  <c r="AA37" i="7"/>
  <c r="M41" i="7"/>
  <c r="V69" i="7"/>
  <c r="AL70" i="7"/>
  <c r="AN73" i="7"/>
  <c r="AF71" i="7"/>
  <c r="Q74" i="7"/>
  <c r="AM40" i="7"/>
  <c r="R74" i="7"/>
  <c r="AM70" i="7"/>
  <c r="AL37" i="7"/>
  <c r="R69"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R71"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R73" i="7"/>
  <c r="AF37" i="7"/>
  <c r="Q38" i="7"/>
  <c r="AL38" i="7"/>
  <c r="S39" i="7"/>
  <c r="X40" i="7"/>
  <c r="AA41" i="7"/>
  <c r="T68" i="7"/>
  <c r="AJ68" i="7"/>
  <c r="O69" i="7"/>
  <c r="AE69" i="7"/>
  <c r="AM69" i="7"/>
  <c r="R70" i="7"/>
  <c r="Z70" i="7"/>
  <c r="AH70" i="7"/>
  <c r="M71" i="7"/>
  <c r="AC71" i="7"/>
  <c r="X72" i="7"/>
  <c r="AF72" i="7"/>
  <c r="AN72" i="7"/>
  <c r="S73" i="7"/>
  <c r="V74" i="7"/>
  <c r="AL74" i="7"/>
  <c r="AN38" i="7"/>
  <c r="T39" i="7"/>
  <c r="Q41" i="7"/>
  <c r="X69" i="7"/>
  <c r="AF69" i="7"/>
  <c r="AL71" i="7"/>
  <c r="Q72" i="7"/>
  <c r="Y72" i="7"/>
  <c r="AE74" i="7"/>
  <c r="AM74" i="7"/>
  <c r="O73" i="7"/>
  <c r="O40" i="7"/>
  <c r="O37" i="7"/>
  <c r="AM37" i="7"/>
  <c r="R38" i="7"/>
  <c r="AC39" i="7"/>
  <c r="V37" i="7"/>
  <c r="X37" i="7"/>
  <c r="AN37" i="7"/>
  <c r="S38" i="7"/>
  <c r="AA38" i="7"/>
  <c r="V39" i="7"/>
  <c r="AL39" i="7"/>
  <c r="Q40" i="7"/>
  <c r="AG40" i="7"/>
  <c r="T41" i="7"/>
  <c r="AJ41" i="7"/>
  <c r="AJ39" i="7"/>
  <c r="Q37" i="7"/>
  <c r="Y37" i="7"/>
  <c r="AE39" i="7"/>
  <c r="AM39" i="7"/>
  <c r="R40" i="7"/>
  <c r="R37" i="7"/>
  <c r="Z37" i="7"/>
  <c r="AH37" i="7"/>
  <c r="M38" i="7"/>
  <c r="AC38" i="7"/>
  <c r="X39" i="7"/>
  <c r="AF39" i="7"/>
  <c r="AN39" i="7"/>
  <c r="S40" i="7"/>
  <c r="AA40" i="7"/>
  <c r="V41" i="7"/>
  <c r="AL41" i="7"/>
  <c r="Y39" i="7"/>
  <c r="AE41" i="7"/>
  <c r="AM41" i="7"/>
  <c r="R106" i="7"/>
  <c r="R97" i="7"/>
  <c r="R66"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58" i="78" l="1"/>
  <c r="L53" i="78"/>
  <c r="L33" i="78"/>
  <c r="L30" i="78"/>
  <c r="L45" i="78"/>
  <c r="L37" i="78"/>
  <c r="L43" i="78"/>
  <c r="L59" i="78"/>
  <c r="L55" i="78"/>
  <c r="L49" i="78"/>
  <c r="L54" i="78"/>
  <c r="L36" i="78"/>
  <c r="L60" i="78"/>
  <c r="L50" i="78"/>
  <c r="L46" i="78"/>
  <c r="L48" i="78"/>
  <c r="L47" i="78"/>
  <c r="L42" i="78"/>
  <c r="L34" i="78"/>
  <c r="L31" i="78"/>
  <c r="L39" i="78"/>
  <c r="L38" i="78"/>
  <c r="L41" i="78"/>
  <c r="L32" i="78"/>
  <c r="L56" i="78"/>
  <c r="C16" i="78"/>
  <c r="L16" i="78" s="1"/>
  <c r="C10" i="78"/>
  <c r="L10" i="78" s="1"/>
  <c r="C12" i="78"/>
  <c r="L12" i="78" s="1"/>
  <c r="B26" i="78"/>
  <c r="C26" i="78" s="1"/>
  <c r="L26" i="78" s="1"/>
  <c r="C11" i="78"/>
  <c r="L11" i="78" s="1"/>
  <c r="L1" i="78"/>
  <c r="B27" i="78"/>
  <c r="C27" i="78" s="1"/>
  <c r="L27" i="78" s="1"/>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61" i="78" l="1"/>
  <c r="C9" i="78"/>
  <c r="L9" i="78" s="1"/>
  <c r="C7" i="78" a="1"/>
  <c r="C7" i="78" s="1"/>
  <c r="C8" i="78"/>
  <c r="L8" i="78" s="1"/>
  <c r="L4" i="78"/>
  <c r="L96" i="36"/>
  <c r="L86" i="36"/>
  <c r="L91" i="36"/>
  <c r="L99" i="36"/>
  <c r="L90" i="36"/>
  <c r="L100" i="36"/>
  <c r="C19" i="78" l="1"/>
  <c r="L19" i="78" s="1"/>
  <c r="L7" i="78"/>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05" i="7"/>
  <c r="AI105" i="7"/>
  <c r="AN105" i="7" s="1"/>
  <c r="AD105" i="7"/>
  <c r="AB105" i="7"/>
  <c r="AG105" i="7" s="1"/>
  <c r="W105" i="7"/>
  <c r="U105" i="7"/>
  <c r="Y105" i="7" s="1"/>
  <c r="P105" i="7"/>
  <c r="N105" i="7"/>
  <c r="AK104" i="7"/>
  <c r="AI104" i="7"/>
  <c r="AL104" i="7" s="1"/>
  <c r="AD104" i="7"/>
  <c r="AB104" i="7"/>
  <c r="AF104" i="7" s="1"/>
  <c r="W104" i="7"/>
  <c r="U104" i="7"/>
  <c r="V104" i="7" s="1"/>
  <c r="P104" i="7"/>
  <c r="N104" i="7"/>
  <c r="M104" i="7" s="1"/>
  <c r="AK103" i="7"/>
  <c r="AI103" i="7"/>
  <c r="AJ103" i="7" s="1"/>
  <c r="AH103" i="7"/>
  <c r="AD103" i="7"/>
  <c r="AB103" i="7"/>
  <c r="W103" i="7"/>
  <c r="U103" i="7"/>
  <c r="V103" i="7" s="1"/>
  <c r="P103" i="7"/>
  <c r="N103" i="7"/>
  <c r="AK102" i="7"/>
  <c r="AI102" i="7"/>
  <c r="AN102" i="7" s="1"/>
  <c r="AD102" i="7"/>
  <c r="AB102" i="7"/>
  <c r="AF102" i="7" s="1"/>
  <c r="W102" i="7"/>
  <c r="U102" i="7"/>
  <c r="X102" i="7" s="1"/>
  <c r="P102" i="7"/>
  <c r="N102" i="7"/>
  <c r="R102" i="7" s="1"/>
  <c r="AK101" i="7"/>
  <c r="AI101" i="7"/>
  <c r="AM101" i="7" s="1"/>
  <c r="AD101" i="7"/>
  <c r="AB101" i="7"/>
  <c r="AC101" i="7" s="1"/>
  <c r="W101" i="7"/>
  <c r="U101" i="7"/>
  <c r="T101" i="7" s="1"/>
  <c r="P101" i="7"/>
  <c r="N101" i="7"/>
  <c r="R101" i="7" s="1"/>
  <c r="AK100" i="7"/>
  <c r="AI100" i="7"/>
  <c r="AD100" i="7"/>
  <c r="AB100" i="7"/>
  <c r="AC100" i="7" s="1"/>
  <c r="W100" i="7"/>
  <c r="U100" i="7"/>
  <c r="Z100" i="7" s="1"/>
  <c r="P100" i="7"/>
  <c r="N100" i="7"/>
  <c r="R100" i="7" s="1"/>
  <c r="AK99" i="7"/>
  <c r="AI99" i="7"/>
  <c r="AM99" i="7" s="1"/>
  <c r="AD99" i="7"/>
  <c r="AB99" i="7"/>
  <c r="AE99" i="7" s="1"/>
  <c r="W99" i="7"/>
  <c r="U99" i="7"/>
  <c r="Y99" i="7" s="1"/>
  <c r="P99" i="7"/>
  <c r="N99" i="7"/>
  <c r="AK98" i="7"/>
  <c r="AI98" i="7"/>
  <c r="AJ98" i="7" s="1"/>
  <c r="AD98" i="7"/>
  <c r="AB98" i="7"/>
  <c r="AG98" i="7" s="1"/>
  <c r="W98" i="7"/>
  <c r="U98" i="7"/>
  <c r="P98" i="7"/>
  <c r="N98" i="7"/>
  <c r="R98" i="7" s="1"/>
  <c r="AK93" i="7"/>
  <c r="AI93" i="7"/>
  <c r="AN93" i="7" s="1"/>
  <c r="AD93" i="7"/>
  <c r="AB93" i="7"/>
  <c r="AF93" i="7" s="1"/>
  <c r="W93" i="7"/>
  <c r="U93" i="7"/>
  <c r="X93" i="7" s="1"/>
  <c r="P93" i="7"/>
  <c r="N93" i="7"/>
  <c r="R93" i="7" s="1"/>
  <c r="L93" i="7"/>
  <c r="AK92" i="7"/>
  <c r="AI92" i="7"/>
  <c r="AM92" i="7" s="1"/>
  <c r="AD92" i="7"/>
  <c r="AB92" i="7"/>
  <c r="AF92" i="7" s="1"/>
  <c r="W92" i="7"/>
  <c r="U92" i="7"/>
  <c r="T92" i="7" s="1"/>
  <c r="P92" i="7"/>
  <c r="N92" i="7"/>
  <c r="R92" i="7" s="1"/>
  <c r="L92" i="7"/>
  <c r="AK91" i="7"/>
  <c r="AI91" i="7"/>
  <c r="AD91" i="7"/>
  <c r="AB91" i="7"/>
  <c r="AF91" i="7" s="1"/>
  <c r="W91" i="7"/>
  <c r="U91" i="7"/>
  <c r="P91" i="7"/>
  <c r="N91" i="7"/>
  <c r="L91" i="7"/>
  <c r="AK90" i="7"/>
  <c r="AI90" i="7"/>
  <c r="AH90" i="7" s="1"/>
  <c r="AD90" i="7"/>
  <c r="AB90" i="7"/>
  <c r="AE90" i="7" s="1"/>
  <c r="W90" i="7"/>
  <c r="U90" i="7"/>
  <c r="Y90" i="7" s="1"/>
  <c r="P90" i="7"/>
  <c r="N90" i="7"/>
  <c r="R90" i="7" s="1"/>
  <c r="L90" i="7"/>
  <c r="AK89" i="7"/>
  <c r="AI89" i="7"/>
  <c r="AD89" i="7"/>
  <c r="AB89" i="7"/>
  <c r="AC89" i="7" s="1"/>
  <c r="W89" i="7"/>
  <c r="U89" i="7"/>
  <c r="P89" i="7"/>
  <c r="N89" i="7"/>
  <c r="R89" i="7" s="1"/>
  <c r="L89" i="7"/>
  <c r="AK88" i="7"/>
  <c r="AI88" i="7"/>
  <c r="AM88" i="7" s="1"/>
  <c r="AD88" i="7"/>
  <c r="AB88" i="7"/>
  <c r="AF88" i="7" s="1"/>
  <c r="W88" i="7"/>
  <c r="U88" i="7"/>
  <c r="Y88" i="7" s="1"/>
  <c r="P88" i="7"/>
  <c r="N88" i="7"/>
  <c r="L88" i="7"/>
  <c r="AK87" i="7"/>
  <c r="AI87" i="7"/>
  <c r="AH87" i="7" s="1"/>
  <c r="AD87" i="7"/>
  <c r="AB87" i="7"/>
  <c r="AF87" i="7" s="1"/>
  <c r="W87" i="7"/>
  <c r="U87" i="7"/>
  <c r="Z87" i="7" s="1"/>
  <c r="P87" i="7"/>
  <c r="N87" i="7"/>
  <c r="L87" i="7"/>
  <c r="AK86" i="7"/>
  <c r="AI86" i="7"/>
  <c r="AH86" i="7" s="1"/>
  <c r="AD86" i="7"/>
  <c r="AB86" i="7"/>
  <c r="AF86" i="7" s="1"/>
  <c r="W86" i="7"/>
  <c r="U86" i="7"/>
  <c r="Y86" i="7" s="1"/>
  <c r="P86" i="7"/>
  <c r="N86" i="7"/>
  <c r="L86" i="7"/>
  <c r="AK85" i="7"/>
  <c r="AI85" i="7"/>
  <c r="AD85" i="7"/>
  <c r="AB85" i="7"/>
  <c r="AF85" i="7" s="1"/>
  <c r="W85" i="7"/>
  <c r="U85" i="7"/>
  <c r="T85" i="7" s="1"/>
  <c r="P85" i="7"/>
  <c r="N85" i="7"/>
  <c r="R85" i="7" s="1"/>
  <c r="L85" i="7"/>
  <c r="AK84" i="7"/>
  <c r="AI84" i="7"/>
  <c r="AM84" i="7" s="1"/>
  <c r="AD84" i="7"/>
  <c r="AB84" i="7"/>
  <c r="AF84" i="7" s="1"/>
  <c r="W84" i="7"/>
  <c r="U84" i="7"/>
  <c r="T84" i="7" s="1"/>
  <c r="P84" i="7"/>
  <c r="N84" i="7"/>
  <c r="R84" i="7" s="1"/>
  <c r="L84" i="7"/>
  <c r="AK83" i="7"/>
  <c r="AI83" i="7"/>
  <c r="AM83" i="7" s="1"/>
  <c r="AD83" i="7"/>
  <c r="AB83" i="7"/>
  <c r="AA83" i="7" s="1"/>
  <c r="W83" i="7"/>
  <c r="U83" i="7"/>
  <c r="Y83" i="7" s="1"/>
  <c r="P83" i="7"/>
  <c r="N83" i="7"/>
  <c r="R83" i="7" s="1"/>
  <c r="L83" i="7"/>
  <c r="AK82" i="7"/>
  <c r="AI82" i="7"/>
  <c r="AM82" i="7" s="1"/>
  <c r="AD82" i="7"/>
  <c r="AB82" i="7"/>
  <c r="AA82" i="7" s="1"/>
  <c r="W82" i="7"/>
  <c r="U82" i="7"/>
  <c r="Y82" i="7" s="1"/>
  <c r="P82" i="7"/>
  <c r="N82" i="7"/>
  <c r="L82" i="7"/>
  <c r="AK81" i="7"/>
  <c r="AI81" i="7"/>
  <c r="AN81" i="7" s="1"/>
  <c r="AD81" i="7"/>
  <c r="AB81" i="7"/>
  <c r="AA81" i="7" s="1"/>
  <c r="W81" i="7"/>
  <c r="U81" i="7"/>
  <c r="Y81" i="7" s="1"/>
  <c r="P81" i="7"/>
  <c r="N81" i="7"/>
  <c r="M81" i="7" s="1"/>
  <c r="L81" i="7"/>
  <c r="AK80" i="7"/>
  <c r="AI80" i="7"/>
  <c r="AN80" i="7" s="1"/>
  <c r="AD80" i="7"/>
  <c r="AB80" i="7"/>
  <c r="AF80" i="7" s="1"/>
  <c r="W80" i="7"/>
  <c r="U80" i="7"/>
  <c r="Y80" i="7" s="1"/>
  <c r="P80" i="7"/>
  <c r="N80" i="7"/>
  <c r="L80" i="7"/>
  <c r="AK79" i="7"/>
  <c r="AI79" i="7"/>
  <c r="AH79" i="7" s="1"/>
  <c r="AD79" i="7"/>
  <c r="AB79" i="7"/>
  <c r="AF79" i="7" s="1"/>
  <c r="W79" i="7"/>
  <c r="U79" i="7"/>
  <c r="X79" i="7" s="1"/>
  <c r="P79" i="7"/>
  <c r="N79" i="7"/>
  <c r="L79" i="7"/>
  <c r="AK78" i="7"/>
  <c r="AI78" i="7"/>
  <c r="AL78" i="7" s="1"/>
  <c r="AD78" i="7"/>
  <c r="AB78" i="7"/>
  <c r="AA78" i="7" s="1"/>
  <c r="W78" i="7"/>
  <c r="U78" i="7"/>
  <c r="V78" i="7" s="1"/>
  <c r="P78" i="7"/>
  <c r="N78" i="7"/>
  <c r="L78" i="7"/>
  <c r="AK77" i="7"/>
  <c r="AI77" i="7"/>
  <c r="AH77" i="7" s="1"/>
  <c r="AD77" i="7"/>
  <c r="AB77" i="7"/>
  <c r="W77" i="7"/>
  <c r="U77" i="7"/>
  <c r="Y77" i="7" s="1"/>
  <c r="P77" i="7"/>
  <c r="N77" i="7"/>
  <c r="L77" i="7"/>
  <c r="AK76" i="7"/>
  <c r="AI76" i="7"/>
  <c r="AN76" i="7" s="1"/>
  <c r="AD76" i="7"/>
  <c r="AB76" i="7"/>
  <c r="AF76" i="7" s="1"/>
  <c r="W76" i="7"/>
  <c r="U76" i="7"/>
  <c r="X76" i="7" s="1"/>
  <c r="P76" i="7"/>
  <c r="N76" i="7"/>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R65" i="7" s="1"/>
  <c r="L65" i="7"/>
  <c r="AK64" i="7"/>
  <c r="AI64" i="7"/>
  <c r="AD64" i="7"/>
  <c r="AB64" i="7"/>
  <c r="AF64" i="7" s="1"/>
  <c r="W64" i="7"/>
  <c r="U64" i="7"/>
  <c r="Y64" i="7" s="1"/>
  <c r="P64" i="7"/>
  <c r="N64" i="7"/>
  <c r="L64" i="7"/>
  <c r="AK63" i="7"/>
  <c r="AI63" i="7"/>
  <c r="AH63" i="7" s="1"/>
  <c r="AD63" i="7"/>
  <c r="AB63" i="7"/>
  <c r="W63" i="7"/>
  <c r="U63" i="7"/>
  <c r="T63" i="7" s="1"/>
  <c r="P63" i="7"/>
  <c r="N63" i="7"/>
  <c r="R63" i="7" s="1"/>
  <c r="L63" i="7"/>
  <c r="AK62" i="7"/>
  <c r="AI62" i="7"/>
  <c r="AM62" i="7" s="1"/>
  <c r="AD62" i="7"/>
  <c r="AB62" i="7"/>
  <c r="AF62" i="7" s="1"/>
  <c r="W62" i="7"/>
  <c r="U62" i="7"/>
  <c r="Y62" i="7" s="1"/>
  <c r="P62" i="7"/>
  <c r="N62" i="7"/>
  <c r="R62" i="7" s="1"/>
  <c r="L62" i="7"/>
  <c r="AK61" i="7"/>
  <c r="AI61" i="7"/>
  <c r="AM61" i="7" s="1"/>
  <c r="AD61" i="7"/>
  <c r="AB61" i="7"/>
  <c r="AA61" i="7" s="1"/>
  <c r="W61" i="7"/>
  <c r="U61" i="7"/>
  <c r="Z61" i="7" s="1"/>
  <c r="P61" i="7"/>
  <c r="N61" i="7"/>
  <c r="L61" i="7"/>
  <c r="AK60" i="7"/>
  <c r="AI60" i="7"/>
  <c r="AN60" i="7" s="1"/>
  <c r="AD60" i="7"/>
  <c r="AB60" i="7"/>
  <c r="AA60" i="7" s="1"/>
  <c r="W60" i="7"/>
  <c r="U60" i="7"/>
  <c r="Y60" i="7" s="1"/>
  <c r="P60" i="7"/>
  <c r="N60" i="7"/>
  <c r="R60" i="7" s="1"/>
  <c r="L60" i="7"/>
  <c r="AK59" i="7"/>
  <c r="AI59" i="7"/>
  <c r="AM59" i="7" s="1"/>
  <c r="AD59" i="7"/>
  <c r="AB59" i="7"/>
  <c r="AF59" i="7" s="1"/>
  <c r="W59" i="7"/>
  <c r="U59" i="7"/>
  <c r="Y59" i="7" s="1"/>
  <c r="P59" i="7"/>
  <c r="N59" i="7"/>
  <c r="R59" i="7" s="1"/>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R56" i="7" s="1"/>
  <c r="L56" i="7"/>
  <c r="AK55" i="7"/>
  <c r="AI55" i="7"/>
  <c r="AM55" i="7" s="1"/>
  <c r="AD55" i="7"/>
  <c r="AB55" i="7"/>
  <c r="AF55" i="7" s="1"/>
  <c r="W55" i="7"/>
  <c r="U55" i="7"/>
  <c r="Z55" i="7" s="1"/>
  <c r="P55" i="7"/>
  <c r="N55" i="7"/>
  <c r="R55" i="7" s="1"/>
  <c r="L55" i="7"/>
  <c r="AK54" i="7"/>
  <c r="AI54" i="7"/>
  <c r="AM54" i="7" s="1"/>
  <c r="AD54" i="7"/>
  <c r="AB54" i="7"/>
  <c r="AF54" i="7" s="1"/>
  <c r="W54" i="7"/>
  <c r="U54" i="7"/>
  <c r="Y54" i="7" s="1"/>
  <c r="P54" i="7"/>
  <c r="N54" i="7"/>
  <c r="R54" i="7" s="1"/>
  <c r="L54" i="7"/>
  <c r="AK53" i="7"/>
  <c r="AI53" i="7"/>
  <c r="AM53" i="7" s="1"/>
  <c r="AD53" i="7"/>
  <c r="AB53" i="7"/>
  <c r="AF53" i="7" s="1"/>
  <c r="W53" i="7"/>
  <c r="U53" i="7"/>
  <c r="Y53" i="7" s="1"/>
  <c r="P53" i="7"/>
  <c r="N53" i="7"/>
  <c r="L53" i="7"/>
  <c r="AK52" i="7"/>
  <c r="AI52" i="7"/>
  <c r="AN52" i="7" s="1"/>
  <c r="AD52" i="7"/>
  <c r="AB52" i="7"/>
  <c r="AA52" i="7" s="1"/>
  <c r="W52" i="7"/>
  <c r="U52" i="7"/>
  <c r="Y52" i="7" s="1"/>
  <c r="P52" i="7"/>
  <c r="N52" i="7"/>
  <c r="R52" i="7" s="1"/>
  <c r="L52" i="7"/>
  <c r="AK51" i="7"/>
  <c r="AI51" i="7"/>
  <c r="AM51" i="7" s="1"/>
  <c r="AD51" i="7"/>
  <c r="AB51" i="7"/>
  <c r="AF51" i="7" s="1"/>
  <c r="W51" i="7"/>
  <c r="U51" i="7"/>
  <c r="V51" i="7" s="1"/>
  <c r="P51" i="7"/>
  <c r="N51" i="7"/>
  <c r="R51" i="7" s="1"/>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R48" i="7" s="1"/>
  <c r="L48" i="7"/>
  <c r="AK47" i="7"/>
  <c r="AI47" i="7"/>
  <c r="AM47" i="7" s="1"/>
  <c r="AD47" i="7"/>
  <c r="AB47" i="7"/>
  <c r="AG47" i="7" s="1"/>
  <c r="W47" i="7"/>
  <c r="U47" i="7"/>
  <c r="T47" i="7" s="1"/>
  <c r="P47" i="7"/>
  <c r="N47" i="7"/>
  <c r="R47" i="7" s="1"/>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R36" i="7" s="1"/>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L31" i="7"/>
  <c r="L18" i="7"/>
  <c r="L17" i="7"/>
  <c r="L15" i="7"/>
  <c r="L14" i="7"/>
  <c r="L13" i="7"/>
  <c r="AA91" i="7" l="1"/>
  <c r="T61" i="7"/>
  <c r="AH80" i="7"/>
  <c r="T82" i="7"/>
  <c r="T102" i="7"/>
  <c r="AH35" i="7"/>
  <c r="AH46" i="7"/>
  <c r="AA104" i="7"/>
  <c r="T53" i="7"/>
  <c r="AA58" i="7"/>
  <c r="T103" i="7"/>
  <c r="M87" i="7"/>
  <c r="R87" i="7"/>
  <c r="O31" i="7"/>
  <c r="R31" i="7"/>
  <c r="Q42" i="7"/>
  <c r="R42" i="7"/>
  <c r="S81" i="7"/>
  <c r="R81" i="7"/>
  <c r="M88" i="7"/>
  <c r="R88" i="7"/>
  <c r="O99" i="7"/>
  <c r="R99" i="7"/>
  <c r="M100" i="7"/>
  <c r="T105" i="7"/>
  <c r="M76" i="7"/>
  <c r="R76" i="7"/>
  <c r="M33" i="7"/>
  <c r="R33" i="7"/>
  <c r="M50" i="7"/>
  <c r="R50" i="7"/>
  <c r="O57" i="7"/>
  <c r="R57" i="7"/>
  <c r="S77" i="7"/>
  <c r="R77" i="7"/>
  <c r="M89" i="7"/>
  <c r="S103" i="7"/>
  <c r="R103" i="7"/>
  <c r="O43" i="7"/>
  <c r="R43" i="7"/>
  <c r="S82" i="7"/>
  <c r="R82" i="7"/>
  <c r="O44" i="7"/>
  <c r="R44" i="7"/>
  <c r="S58" i="7"/>
  <c r="R58" i="7"/>
  <c r="M64" i="7"/>
  <c r="R64" i="7"/>
  <c r="M78" i="7"/>
  <c r="R78" i="7"/>
  <c r="M32" i="7"/>
  <c r="R32" i="7"/>
  <c r="T33" i="7"/>
  <c r="O34" i="7"/>
  <c r="R34" i="7"/>
  <c r="S45" i="7"/>
  <c r="R45" i="7"/>
  <c r="Q79" i="7"/>
  <c r="R79" i="7"/>
  <c r="S61" i="7"/>
  <c r="R61" i="7"/>
  <c r="M35" i="7"/>
  <c r="R35" i="7"/>
  <c r="AA43" i="7"/>
  <c r="M46" i="7"/>
  <c r="R46" i="7"/>
  <c r="S53" i="7"/>
  <c r="R53" i="7"/>
  <c r="M80" i="7"/>
  <c r="R80" i="7"/>
  <c r="M91" i="7"/>
  <c r="R91" i="7"/>
  <c r="O104" i="7"/>
  <c r="R104" i="7"/>
  <c r="S49" i="7"/>
  <c r="R49" i="7"/>
  <c r="T65" i="7"/>
  <c r="M67" i="7"/>
  <c r="O86" i="7"/>
  <c r="R86" i="7"/>
  <c r="AH88" i="7"/>
  <c r="Q105" i="7"/>
  <c r="R105" i="7"/>
  <c r="AF82" i="7"/>
  <c r="T55" i="7"/>
  <c r="AN99" i="7"/>
  <c r="AL99" i="7"/>
  <c r="V63" i="7"/>
  <c r="AG50" i="7"/>
  <c r="AG64" i="7"/>
  <c r="AG51" i="7"/>
  <c r="Q102" i="7"/>
  <c r="AM78" i="7"/>
  <c r="V99" i="7"/>
  <c r="O52" i="7"/>
  <c r="X99" i="7"/>
  <c r="V86" i="7"/>
  <c r="AM31" i="7"/>
  <c r="V77" i="7"/>
  <c r="O36" i="7"/>
  <c r="AL47" i="7"/>
  <c r="AC51" i="7"/>
  <c r="AA79" i="7"/>
  <c r="AL31" i="7"/>
  <c r="X86" i="7"/>
  <c r="AE50" i="7"/>
  <c r="AL86" i="7"/>
  <c r="AM86" i="7"/>
  <c r="S104" i="7"/>
  <c r="AE81" i="7"/>
  <c r="O102" i="7"/>
  <c r="Y75" i="7"/>
  <c r="AF81" i="7"/>
  <c r="S102" i="7"/>
  <c r="Z99" i="7"/>
  <c r="AE67" i="7"/>
  <c r="AL77" i="7"/>
  <c r="AM42" i="7"/>
  <c r="AC48" i="7"/>
  <c r="AM77" i="7"/>
  <c r="Q83" i="7"/>
  <c r="X35" i="7"/>
  <c r="AN42" i="7"/>
  <c r="Q60" i="7"/>
  <c r="Y35" i="7"/>
  <c r="AE48" i="7"/>
  <c r="S60" i="7"/>
  <c r="V75" i="7"/>
  <c r="AE32" i="7"/>
  <c r="M43" i="7"/>
  <c r="AF48" i="7"/>
  <c r="Q104" i="7"/>
  <c r="AG42" i="7"/>
  <c r="AC60" i="7"/>
  <c r="AE54" i="7"/>
  <c r="AN35" i="7"/>
  <c r="AC81" i="7"/>
  <c r="AJ86" i="7"/>
  <c r="AE104" i="7"/>
  <c r="AJ59" i="7"/>
  <c r="AJ77" i="7"/>
  <c r="AL103" i="7"/>
  <c r="Q32" i="7"/>
  <c r="O83" i="7"/>
  <c r="V92" i="7"/>
  <c r="AJ35" i="7"/>
  <c r="AL83" i="7"/>
  <c r="X92" i="7"/>
  <c r="AC78" i="7"/>
  <c r="AJ63" i="7"/>
  <c r="AG43" i="7"/>
  <c r="X49" i="7"/>
  <c r="O76" i="7"/>
  <c r="AH92" i="7"/>
  <c r="AG104" i="7"/>
  <c r="AL34" i="7"/>
  <c r="AM50" i="7"/>
  <c r="O48" i="7"/>
  <c r="AE42" i="7"/>
  <c r="S48" i="7"/>
  <c r="AN103" i="7"/>
  <c r="AM103" i="7"/>
  <c r="Y76" i="7"/>
  <c r="AM102" i="7"/>
  <c r="AC52" i="7"/>
  <c r="Y61" i="7"/>
  <c r="Z84" i="7"/>
  <c r="S100" i="7"/>
  <c r="Y79" i="7"/>
  <c r="X31" i="7"/>
  <c r="V34" i="7"/>
  <c r="X44" i="7"/>
  <c r="AF52" i="7"/>
  <c r="AF61" i="7"/>
  <c r="AG84" i="7"/>
  <c r="AF90" i="7"/>
  <c r="AA100" i="7"/>
  <c r="AF42" i="7"/>
  <c r="V101" i="7"/>
  <c r="V45" i="7"/>
  <c r="AC80" i="7"/>
  <c r="X101" i="7"/>
  <c r="AJ56" i="7"/>
  <c r="O64" i="7"/>
  <c r="V84" i="7"/>
  <c r="X84" i="7"/>
  <c r="V44" i="7"/>
  <c r="AE52" i="7"/>
  <c r="AA50" i="7"/>
  <c r="AL55" i="7"/>
  <c r="AC64" i="7"/>
  <c r="X103" i="7"/>
  <c r="S64" i="7"/>
  <c r="Q64" i="7"/>
  <c r="Y84" i="7"/>
  <c r="Y34" i="7"/>
  <c r="AN55" i="7"/>
  <c r="Y103" i="7"/>
  <c r="AC50" i="7"/>
  <c r="AE64" i="7"/>
  <c r="AM93" i="7"/>
  <c r="Z103" i="7"/>
  <c r="X61" i="7"/>
  <c r="M48" i="7"/>
  <c r="AA67" i="7"/>
  <c r="AM87" i="7"/>
  <c r="M98" i="7"/>
  <c r="V59" i="7"/>
  <c r="AF32" i="7"/>
  <c r="O35" i="7"/>
  <c r="Z35" i="7"/>
  <c r="V42" i="7"/>
  <c r="AM44" i="7"/>
  <c r="X45" i="7"/>
  <c r="X47" i="7"/>
  <c r="X48" i="7"/>
  <c r="AM48" i="7"/>
  <c r="Z49" i="7"/>
  <c r="X51" i="7"/>
  <c r="Q52" i="7"/>
  <c r="AG54" i="7"/>
  <c r="AL59" i="7"/>
  <c r="X63" i="7"/>
  <c r="AL63" i="7"/>
  <c r="Q76" i="7"/>
  <c r="X77" i="7"/>
  <c r="O80" i="7"/>
  <c r="AE80" i="7"/>
  <c r="AC83" i="7"/>
  <c r="AE89" i="7"/>
  <c r="S90" i="7"/>
  <c r="Y93" i="7"/>
  <c r="AF105" i="7"/>
  <c r="X32" i="7"/>
  <c r="AG32" i="7"/>
  <c r="V33" i="7"/>
  <c r="AH42" i="7"/>
  <c r="AL46" i="7"/>
  <c r="AL51" i="7"/>
  <c r="S52" i="7"/>
  <c r="AG52" i="7"/>
  <c r="Q54" i="7"/>
  <c r="O56" i="7"/>
  <c r="M58" i="7"/>
  <c r="Z59" i="7"/>
  <c r="AN59" i="7"/>
  <c r="Q62" i="7"/>
  <c r="Y63" i="7"/>
  <c r="AM63" i="7"/>
  <c r="AJ75" i="7"/>
  <c r="AM76" i="7"/>
  <c r="Z77" i="7"/>
  <c r="AG81" i="7"/>
  <c r="O85" i="7"/>
  <c r="Z86" i="7"/>
  <c r="Y87" i="7"/>
  <c r="AJ88" i="7"/>
  <c r="Q89" i="7"/>
  <c r="AF89" i="7"/>
  <c r="T90" i="7"/>
  <c r="AA93" i="7"/>
  <c r="AA99" i="7"/>
  <c r="Y102" i="7"/>
  <c r="AH105" i="7"/>
  <c r="AN51" i="7"/>
  <c r="S54" i="7"/>
  <c r="Z63" i="7"/>
  <c r="AN63" i="7"/>
  <c r="AE83" i="7"/>
  <c r="S89" i="7"/>
  <c r="AG89" i="7"/>
  <c r="AE91" i="7"/>
  <c r="AE100" i="7"/>
  <c r="V32" i="7"/>
  <c r="AJ51" i="7"/>
  <c r="X42" i="7"/>
  <c r="AJ31" i="7"/>
  <c r="Z32" i="7"/>
  <c r="Z33" i="7"/>
  <c r="AJ34" i="7"/>
  <c r="T35" i="7"/>
  <c r="AM36" i="7"/>
  <c r="Y42" i="7"/>
  <c r="Q43" i="7"/>
  <c r="AE45" i="7"/>
  <c r="Q56" i="7"/>
  <c r="Q67" i="7"/>
  <c r="AG67" i="7"/>
  <c r="AL75" i="7"/>
  <c r="O78" i="7"/>
  <c r="AJ79" i="7"/>
  <c r="AF83" i="7"/>
  <c r="Q85" i="7"/>
  <c r="O87" i="7"/>
  <c r="AL88" i="7"/>
  <c r="AG91" i="7"/>
  <c r="T99" i="7"/>
  <c r="Q100" i="7"/>
  <c r="AF100" i="7"/>
  <c r="Y32" i="7"/>
  <c r="Q35" i="7"/>
  <c r="S32" i="7"/>
  <c r="AA32" i="7"/>
  <c r="AA33" i="7"/>
  <c r="S36" i="7"/>
  <c r="AL42" i="7"/>
  <c r="S43" i="7"/>
  <c r="AF45" i="7"/>
  <c r="AJ47" i="7"/>
  <c r="Q48" i="7"/>
  <c r="M52" i="7"/>
  <c r="S56" i="7"/>
  <c r="AH59" i="7"/>
  <c r="AE60" i="7"/>
  <c r="V61" i="7"/>
  <c r="AH65" i="7"/>
  <c r="S67" i="7"/>
  <c r="X75" i="7"/>
  <c r="AA76" i="7"/>
  <c r="AE78" i="7"/>
  <c r="V79" i="7"/>
  <c r="Z88" i="7"/>
  <c r="AN88" i="7"/>
  <c r="Q91" i="7"/>
  <c r="AA98" i="7"/>
  <c r="AG100" i="7"/>
  <c r="O62" i="7"/>
  <c r="AH57" i="7"/>
  <c r="Q78" i="7"/>
  <c r="AM79" i="7"/>
  <c r="Q87" i="7"/>
  <c r="AA89" i="7"/>
  <c r="AH104" i="7"/>
  <c r="AC44" i="7"/>
  <c r="AC46" i="7"/>
  <c r="AC88" i="7"/>
  <c r="V53" i="7"/>
  <c r="O58" i="7"/>
  <c r="AJ92" i="7"/>
  <c r="Y100" i="7"/>
  <c r="AE102"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79" i="7"/>
  <c r="Z80" i="7"/>
  <c r="AJ80" i="7"/>
  <c r="O81" i="7"/>
  <c r="V82" i="7"/>
  <c r="AG83" i="7"/>
  <c r="Q84" i="7"/>
  <c r="AL84" i="7"/>
  <c r="S85" i="7"/>
  <c r="AE85" i="7"/>
  <c r="AN86" i="7"/>
  <c r="S87" i="7"/>
  <c r="AE87" i="7"/>
  <c r="Y92" i="7"/>
  <c r="Q93" i="7"/>
  <c r="O98" i="7"/>
  <c r="AC98" i="7"/>
  <c r="Y101" i="7"/>
  <c r="AL101" i="7"/>
  <c r="AG102" i="7"/>
  <c r="AJ105" i="7"/>
  <c r="AC34" i="7"/>
  <c r="AC87" i="7"/>
  <c r="AJ101"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79" i="7"/>
  <c r="AM81" i="7"/>
  <c r="AN82" i="7"/>
  <c r="AN84" i="7"/>
  <c r="AG85" i="7"/>
  <c r="T86" i="7"/>
  <c r="AG87" i="7"/>
  <c r="X90" i="7"/>
  <c r="AL90" i="7"/>
  <c r="Z92" i="7"/>
  <c r="AL92" i="7"/>
  <c r="S93" i="7"/>
  <c r="AE93" i="7"/>
  <c r="Z101" i="7"/>
  <c r="AN101" i="7"/>
  <c r="AM104" i="7"/>
  <c r="X105" i="7"/>
  <c r="AJ53" i="7"/>
  <c r="V57" i="7"/>
  <c r="AC62" i="7"/>
  <c r="AC85" i="7"/>
  <c r="AG34" i="7"/>
  <c r="AG44" i="7"/>
  <c r="AF49" i="7"/>
  <c r="AA64" i="7"/>
  <c r="X65" i="7"/>
  <c r="AL65" i="7"/>
  <c r="AG76" i="7"/>
  <c r="T77" i="7"/>
  <c r="AE79" i="7"/>
  <c r="AL80" i="7"/>
  <c r="Q81" i="7"/>
  <c r="X82" i="7"/>
  <c r="O89" i="7"/>
  <c r="Z90" i="7"/>
  <c r="AC91" i="7"/>
  <c r="AN92" i="7"/>
  <c r="T93" i="7"/>
  <c r="AG93" i="7"/>
  <c r="Q98" i="7"/>
  <c r="AE98" i="7"/>
  <c r="AF99" i="7"/>
  <c r="M102" i="7"/>
  <c r="AC104" i="7"/>
  <c r="M105" i="7"/>
  <c r="Z105" i="7"/>
  <c r="AL105" i="7"/>
  <c r="AJ61" i="7"/>
  <c r="O93" i="7"/>
  <c r="AJ57" i="7"/>
  <c r="AM58" i="7"/>
  <c r="X55" i="7"/>
  <c r="AM57" i="7"/>
  <c r="AE58" i="7"/>
  <c r="O32" i="7"/>
  <c r="AJ36" i="7"/>
  <c r="T45" i="7"/>
  <c r="V47" i="7"/>
  <c r="AH47" i="7"/>
  <c r="V49" i="7"/>
  <c r="O54" i="7"/>
  <c r="AC54" i="7"/>
  <c r="Y55" i="7"/>
  <c r="AJ55" i="7"/>
  <c r="AF58" i="7"/>
  <c r="O60" i="7"/>
  <c r="M62" i="7"/>
  <c r="Z65" i="7"/>
  <c r="AM65" i="7"/>
  <c r="AM80" i="7"/>
  <c r="Z82" i="7"/>
  <c r="M83" i="7"/>
  <c r="M85" i="7"/>
  <c r="AA90" i="7"/>
  <c r="S98" i="7"/>
  <c r="AF98" i="7"/>
  <c r="AH99" i="7"/>
  <c r="AM105" i="7"/>
  <c r="AJ84" i="7"/>
  <c r="AC76" i="7"/>
  <c r="V90" i="7"/>
  <c r="AF31" i="7"/>
  <c r="Z53" i="7"/>
  <c r="AL33" i="7"/>
  <c r="AA46" i="7"/>
  <c r="T57" i="7"/>
  <c r="AH61" i="7"/>
  <c r="AA62" i="7"/>
  <c r="AH84" i="7"/>
  <c r="AA85" i="7"/>
  <c r="AA87" i="7"/>
  <c r="M93" i="7"/>
  <c r="AH101" i="7"/>
  <c r="AA102"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98" i="7"/>
  <c r="Z98" i="7"/>
  <c r="Y98" i="7"/>
  <c r="X98" i="7"/>
  <c r="V98"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89" i="7"/>
  <c r="Z89" i="7"/>
  <c r="Y89" i="7"/>
  <c r="V89" i="7"/>
  <c r="X89" i="7"/>
  <c r="Z91" i="7"/>
  <c r="X91" i="7"/>
  <c r="T91" i="7"/>
  <c r="Y91" i="7"/>
  <c r="V91"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79" i="7"/>
  <c r="T80" i="7"/>
  <c r="AH82" i="7"/>
  <c r="AH83" i="7"/>
  <c r="AN83" i="7"/>
  <c r="AJ83" i="7"/>
  <c r="AC84" i="7"/>
  <c r="AA84" i="7"/>
  <c r="AE84" i="7"/>
  <c r="S86" i="7"/>
  <c r="Q86" i="7"/>
  <c r="M86" i="7"/>
  <c r="AL87" i="7"/>
  <c r="AJ87" i="7"/>
  <c r="AN87" i="7"/>
  <c r="T88" i="7"/>
  <c r="AN90" i="7"/>
  <c r="Y78" i="7"/>
  <c r="AJ89" i="7"/>
  <c r="AH89" i="7"/>
  <c r="AL89" i="7"/>
  <c r="AH91" i="7"/>
  <c r="AN91" i="7"/>
  <c r="AM91" i="7"/>
  <c r="AL91" i="7"/>
  <c r="AJ91" i="7"/>
  <c r="T76" i="7"/>
  <c r="AJ76" i="7"/>
  <c r="O77" i="7"/>
  <c r="Z78" i="7"/>
  <c r="AH78" i="7"/>
  <c r="M79" i="7"/>
  <c r="V80" i="7"/>
  <c r="T81" i="7"/>
  <c r="Z81" i="7"/>
  <c r="V81" i="7"/>
  <c r="O82" i="7"/>
  <c r="M82" i="7"/>
  <c r="Q82" i="7"/>
  <c r="AJ82" i="7"/>
  <c r="X85" i="7"/>
  <c r="V85" i="7"/>
  <c r="Z85" i="7"/>
  <c r="AA86" i="7"/>
  <c r="AG86" i="7"/>
  <c r="AC86" i="7"/>
  <c r="V88" i="7"/>
  <c r="AH100" i="7"/>
  <c r="AN100" i="7"/>
  <c r="AM100" i="7"/>
  <c r="AL100" i="7"/>
  <c r="AJ100" i="7"/>
  <c r="AA103" i="7"/>
  <c r="AG103" i="7"/>
  <c r="AF103" i="7"/>
  <c r="AE103" i="7"/>
  <c r="AC103" i="7"/>
  <c r="AN85" i="7"/>
  <c r="AL85" i="7"/>
  <c r="AH85" i="7"/>
  <c r="AM89" i="7"/>
  <c r="O91" i="7"/>
  <c r="V76" i="7"/>
  <c r="AL76" i="7"/>
  <c r="Q77" i="7"/>
  <c r="T78" i="7"/>
  <c r="AJ78" i="7"/>
  <c r="O79" i="7"/>
  <c r="AG79" i="7"/>
  <c r="Q80" i="7"/>
  <c r="S80" i="7"/>
  <c r="X80" i="7"/>
  <c r="X81" i="7"/>
  <c r="AL82" i="7"/>
  <c r="S83" i="7"/>
  <c r="Y85" i="7"/>
  <c r="AJ85" i="7"/>
  <c r="AE86" i="7"/>
  <c r="X88" i="7"/>
  <c r="AN89" i="7"/>
  <c r="M92" i="7"/>
  <c r="S92" i="7"/>
  <c r="Q92" i="7"/>
  <c r="O92" i="7"/>
  <c r="M101" i="7"/>
  <c r="S101" i="7"/>
  <c r="Q101" i="7"/>
  <c r="O101" i="7"/>
  <c r="AJ81" i="7"/>
  <c r="AH81" i="7"/>
  <c r="AL81" i="7"/>
  <c r="AE82" i="7"/>
  <c r="AC82" i="7"/>
  <c r="AG82" i="7"/>
  <c r="Z83" i="7"/>
  <c r="X83" i="7"/>
  <c r="T83" i="7"/>
  <c r="M84" i="7"/>
  <c r="S84" i="7"/>
  <c r="O84" i="7"/>
  <c r="V87" i="7"/>
  <c r="T87" i="7"/>
  <c r="X87" i="7"/>
  <c r="Q88" i="7"/>
  <c r="O88" i="7"/>
  <c r="S88" i="7"/>
  <c r="AM90" i="7"/>
  <c r="AJ90" i="7"/>
  <c r="AC92" i="7"/>
  <c r="AA92" i="7"/>
  <c r="AG92" i="7"/>
  <c r="AE92" i="7"/>
  <c r="Z79" i="7"/>
  <c r="AL79" i="7"/>
  <c r="AN79" i="7"/>
  <c r="AG80" i="7"/>
  <c r="AA80" i="7"/>
  <c r="V83" i="7"/>
  <c r="AM85" i="7"/>
  <c r="AG88" i="7"/>
  <c r="AE88" i="7"/>
  <c r="AA88" i="7"/>
  <c r="O90" i="7"/>
  <c r="M90" i="7"/>
  <c r="Q90" i="7"/>
  <c r="S91" i="7"/>
  <c r="AG90" i="7"/>
  <c r="Z93" i="7"/>
  <c r="AH93" i="7"/>
  <c r="AL98" i="7"/>
  <c r="Q99" i="7"/>
  <c r="AG99" i="7"/>
  <c r="T100" i="7"/>
  <c r="AE101" i="7"/>
  <c r="Z102" i="7"/>
  <c r="AH102" i="7"/>
  <c r="M103" i="7"/>
  <c r="X104" i="7"/>
  <c r="AN104" i="7"/>
  <c r="S105" i="7"/>
  <c r="AA105" i="7"/>
  <c r="AM98" i="7"/>
  <c r="AF101" i="7"/>
  <c r="Y104" i="7"/>
  <c r="AJ93" i="7"/>
  <c r="AN98" i="7"/>
  <c r="S99" i="7"/>
  <c r="V100" i="7"/>
  <c r="AG101" i="7"/>
  <c r="AJ102" i="7"/>
  <c r="O103" i="7"/>
  <c r="Z104" i="7"/>
  <c r="AC105" i="7"/>
  <c r="AC93" i="7"/>
  <c r="AJ99" i="7"/>
  <c r="O100" i="7"/>
  <c r="AC102" i="7"/>
  <c r="V105" i="7"/>
  <c r="AC90" i="7"/>
  <c r="V93" i="7"/>
  <c r="AL93" i="7"/>
  <c r="AH98" i="7"/>
  <c r="M99" i="7"/>
  <c r="AC99" i="7"/>
  <c r="X100" i="7"/>
  <c r="AA101" i="7"/>
  <c r="V102" i="7"/>
  <c r="AL102" i="7"/>
  <c r="Q103" i="7"/>
  <c r="T104" i="7"/>
  <c r="AJ104" i="7"/>
  <c r="O105" i="7"/>
  <c r="AE105" i="7"/>
  <c r="L102" i="7" l="1"/>
  <c r="L100" i="7"/>
  <c r="L103" i="7"/>
  <c r="L99" i="7"/>
  <c r="L104" i="7"/>
  <c r="L98" i="8"/>
  <c r="L94" i="8"/>
  <c r="L102" i="8"/>
  <c r="C9" i="8"/>
  <c r="L9" i="8" s="1"/>
  <c r="C8" i="8"/>
  <c r="L8" i="8" s="1"/>
  <c r="L4" i="8"/>
  <c r="C7" i="8" a="1"/>
  <c r="C7" i="8" s="1"/>
  <c r="L101" i="7"/>
  <c r="L105"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 a="1"/>
  <c r="C1" i="7" l="1"/>
  <c r="C11" i="7" s="1"/>
  <c r="L11" i="7" s="1"/>
  <c r="C1" i="36" a="1"/>
  <c r="C12" i="7" l="1"/>
  <c r="L12" i="7" s="1"/>
  <c r="L1" i="7"/>
  <c r="L94" i="7" s="1"/>
  <c r="B26" i="7"/>
  <c r="C26" i="7" s="1"/>
  <c r="L26" i="7" s="1"/>
  <c r="B27" i="7"/>
  <c r="C27" i="7" s="1"/>
  <c r="L27" i="7" s="1"/>
  <c r="C10" i="7"/>
  <c r="L10" i="7" s="1"/>
  <c r="C1" i="36"/>
  <c r="B26" i="36" s="1"/>
  <c r="C26" i="36" s="1"/>
  <c r="L26" i="36" s="1"/>
  <c r="C16" i="7"/>
  <c r="L16" i="7" s="1"/>
  <c r="C12" i="36" l="1"/>
  <c r="L12" i="36" s="1"/>
  <c r="C8" i="7"/>
  <c r="L8" i="7" s="1"/>
  <c r="L4" i="7"/>
  <c r="L1" i="36"/>
  <c r="L102" i="36" s="1"/>
  <c r="C11" i="36"/>
  <c r="L11" i="36" s="1"/>
  <c r="C10" i="36"/>
  <c r="L10" i="36" s="1"/>
  <c r="C16" i="36"/>
  <c r="L16" i="36" s="1"/>
  <c r="B27" i="36"/>
  <c r="C27" i="36" s="1"/>
  <c r="L27" i="36" s="1"/>
  <c r="C9" i="7"/>
  <c r="L9" i="7" s="1"/>
  <c r="C7" i="7" a="1"/>
  <c r="C7" i="7" s="1"/>
  <c r="C8" i="36" l="1"/>
  <c r="L8" i="36" s="1"/>
  <c r="L4" i="36"/>
  <c r="C9" i="36"/>
  <c r="L9" i="36" s="1"/>
  <c r="C7" i="36" a="1"/>
  <c r="C7" i="36" s="1"/>
  <c r="L7" i="7"/>
  <c r="C19" i="7"/>
  <c r="L19" i="7"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9289984-65C5-4E30-A03A-381E69026FDE}">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<sst xmlns="http://schemas.openxmlformats.org/spreadsheetml/2006/main" count="4655" uniqueCount="1069">
  <si>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</si>
  <si>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</si>
  <si>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</si>
  <si>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</si>
  <si>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</si>
  <si>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</si>
  <si>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</si>
  <si>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</si>
  <si>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</si>
  <si>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</si>
  <si>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</si>
  <si>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</si>
  <si>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</si>
  <si>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</si>
  <si>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</si>
  <si>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</si>
  <si>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</si>
  <si>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</si>
  <si>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</si>
  <si>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</si>
  <si>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</si>
  <si>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</si>
  <si>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</si>
  <si>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</si>
  <si>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</si>
  <si>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</si>
  <si>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</si>
  <si>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</si>
  <si>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</si>
  <si>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</si>
  <si>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</si>
  <si>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</si>
  <si>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</si>
  <si>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</si>
  <si>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</si>
  <si>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</si>
  <si>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</si>
  <si>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</si>
  <si>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</si>
  <si>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</si>
  <si>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</si>
  <si>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</si>
  <si>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</si>
  <si>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</si>
  <si>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</si>
  <si>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</si>
  <si>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</si>
  <si>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</si>
  <si>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</si>
  <si>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</si>
  <si>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</si>
  <si>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</si>
  <si>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</si>
  <si>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</si>
  <si>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</si>
  <si>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</si>
  <si>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</si>
  <si>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</si>
  <si>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</si>
  <si>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</si>
  <si>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</si>
  <si>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</si>
  <si>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</si>
  <si>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</si>
  <si>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</si>
  <si>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</si>
  <si>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</si>
  <si>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</si>
  <si>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</si>
  <si>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</si>
  <si>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</si>
  <si>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</si>
  <si>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</si>
  <si>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</si>
  <si>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</si>
  <si>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</si>
  <si>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</si>
  <si>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</si>
  <si>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</si>
  <si>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</si>
  <si>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</si>
  <si>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</si>
  <si>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</si>
  <si>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</si>
  <si>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</si>
  <si>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</si>
  <si>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</si>
  <si>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</si>
  <si>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</si>
  <si>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</si>
  <si>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</si>
  <si>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</si>
  <si>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</si>
  <si>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</si>
  <si>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</si>
  <si>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</si>
  <si>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</si>
  <si>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</si>
  <si>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</si>
  <si>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</si>
  <si>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</si>
  <si>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</si>
  <si>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</si>
  <si>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</si>
  <si>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</si>
  <si>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</si>
  <si>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</si>
  <si>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</si>
  <si>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</si>
  <si>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</si>
  <si>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</si>
  <si>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</si>
  <si>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</si>
  <si>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</si>
  <si>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</si>
  <si>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</si>
  <si>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</si>
  <si>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</si>
  <si>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</si>
  <si>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</si>
  <si>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</si>
  <si>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</si>
  <si>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</si>
  <si>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</si>
  <si>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</si>
  <si>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</si>
  <si>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</si>
  <si>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</si>
  <si>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</si>
  <si>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</si>
  <si>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</si>
  <si>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</si>
  <si>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</si>
  <si>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</si>
  <si>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</si>
  <si>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</si>
  <si>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</si>
  <si>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</si>
  <si>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</si>
  <si>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</si>
  <si>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</si>
  <si>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</si>
  <si>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</si>
  <si>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</si>
  <si>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</si>
  <si>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</si>
  <si>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</si>
  <si>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</si>
  <si>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</si>
  <si>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</si>
  <si>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</si>
  <si>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</si>
  <si>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</si>
  <si>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</si>
  <si>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</si>
  <si>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</si>
  <si>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</si>
  <si>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</si>
  <si>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</si>
  <si>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</si>
  <si>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</si>
  <si>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</si>
  <si>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</si>
  <si>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</si>
  <si>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</si>
  <si>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</si>
  <si>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</si>
  <si>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</si>
  <si>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</si>
  <si>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</si>
  <si>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</si>
  <si>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</si>
  <si>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</si>
  <si>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</si>
  <si>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</si>
  <si>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</si>
  <si>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</si>
  <si>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</si>
  <si>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</si>
  <si>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</si>
  <si>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</si>
  <si>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</si>
  <si>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</si>
  <si>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</si>
  <si>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</si>
  <si>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</si>
  <si>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</si>
  <si>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</si>
  <si>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</si>
  <si>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</si>
  <si>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</si>
  <si>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</si>
  <si>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</si>
  <si>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</si>
  <si>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</si>
  <si>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</si>
  <si>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</si>
  <si>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</si>
  <si>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</si>
  <si>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</si>
  <si>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</si>
  <si>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</si>
  <si>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</si>
  <si>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</si>
  <si>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</si>
  <si>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</si>
  <si>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</si>
  <si>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</si>
  <si>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</si>
  <si>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</si>
  <si>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</si>
  <si>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</si>
  <si>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</si>
  <si>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</si>
  <si>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</si>
  <si>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</si>
  <si>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</si>
  <si>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</si>
  <si>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</si>
  <si>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</si>
  <si>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</si>
  <si>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</si>
  <si>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</si>
  <si>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</si>
  <si>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</si>
  <si>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</si>
  <si>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</si>
  <si>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</si>
  <si>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</si>
  <si>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</si>
  <si>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</si>
  <si>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</si>
  <si>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</si>
  <si>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</si>
  <si>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</si>
  <si>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</si>
  <si>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</si>
  <si>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</si>
  <si>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</si>
  <si>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</si>
  <si>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</si>
  <si>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</si>
  <si>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</si>
  <si>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</si>
  <si>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</si>
  <si>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</si>
  <si>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</si>
  <si>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</si>
  <si>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</si>
  <si>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</si>
  <si>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</si>
  <si>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</si>
  <si>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</si>
  <si>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</si>
  <si>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</si>
  <si>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</si>
  <si>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</si>
  <si>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</si>
  <si>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</si>
  <si>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</si>
  <si>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</si>
  <si>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</si>
  <si>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</si>
  <si>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</si>
  <si>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</si>
  <si>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</si>
  <si>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</si>
  <si>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</si>
  <si>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</si>
  <si>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</si>
  <si>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</si>
  <si>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</si>
  <si>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</si>
  <si>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</si>
  <si>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</si>
  <si>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</si>
  <si>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</si>
  <si>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</si>
  <si>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</si>
  <si>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</si>
  <si>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</si>
  <si>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</si>
  <si>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</si>
  <si>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</si>
  <si>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</si>
  <si>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</si>
  <si>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</si>
  <si>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</si>
  <si>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</si>
  <si>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</si>
  <si>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</si>
  <si>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</si>
  <si>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</si>
  <si>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</si>
  <si>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</si>
  <si>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</si>
  <si>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</si>
  <si>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</si>
  <si>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</si>
  <si>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</si>
  <si>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</si>
  <si>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</si>
  <si>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</si>
  <si>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</si>
  <si>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</si>
  <si>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</si>
  <si>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</si>
  <si>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</si>
  <si>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</si>
  <si>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</si>
  <si>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</si>
  <si>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</si>
  <si>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</si>
  <si>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</si>
  <si>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</si>
  <si>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</si>
  <si>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</si>
  <si>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</si>
  <si>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</si>
  <si>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</si>
  <si>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</si>
  <si>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</si>
  <si>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</si>
  <si>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</si>
  <si>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</si>
  <si>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</si>
  <si>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</si>
  <si>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</si>
  <si>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</si>
  <si>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</si>
  <si>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</si>
  <si>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</si>
  <si>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</si>
  <si>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</si>
  <si>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</si>
  <si>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</si>
  <si>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</si>
  <si>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</si>
  <si>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</si>
  <si>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</si>
  <si>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</si>
  <si>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</si>
  <si>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</si>
  <si>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</si>
  <si>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</si>
  <si>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</si>
  <si>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</si>
  <si>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</si>
  <si>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</si>
  <si>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</si>
  <si>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</si>
  <si>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</si>
  <si>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</si>
  <si>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</si>
  <si>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</si>
  <si>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</si>
  <si>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</si>
  <si>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</si>
  <si>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</si>
  <si>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</si>
  <si>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</si>
  <si>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</si>
  <si>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</si>
  <si>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</si>
  <si>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</si>
  <si>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</si>
  <si>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</si>
  <si>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</si>
  <si>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</si>
  <si>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</si>
  <si>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</si>
  <si>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</si>
  <si>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</si>
  <si>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</si>
  <si>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</si>
  <si>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</si>
  <si>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</si>
  <si>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</si>
  <si>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</si>
  <si>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</si>
  <si>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</si>
  <si>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</si>
  <si>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</si>
  <si>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</si>
  <si>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</si>
  <si>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</si>
  <si>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</si>
  <si>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</si>
  <si>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</si>
  <si>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</si>
  <si>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</si>
  <si>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</si>
  <si>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</si>
  <si>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</si>
  <si>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</si>
  <si>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</si>
  <si>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</si>
  <si>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</si>
  <si>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</si>
  <si>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</si>
  <si>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</si>
  <si>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</si>
  <si>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</si>
  <si>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</si>
  <si>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</si>
  <si>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</si>
  <si>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</si>
  <si>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</si>
  <si>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</si>
  <si>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</si>
  <si>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</si>
  <si>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</si>
  <si>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</si>
  <si>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</si>
  <si>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</si>
  <si>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</si>
  <si>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</si>
  <si>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</si>
  <si>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</si>
  <si>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</si>
  <si>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</si>
  <si>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</si>
  <si>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</si>
  <si>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</si>
  <si>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</si>
  <si>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</si>
  <si>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</si>
  <si>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</si>
  <si>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</si>
  <si>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</si>
  <si>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</si>
  <si>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</si>
  <si>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</si>
  <si>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</si>
  <si>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</si>
  <si>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</si>
  <si>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</si>
  <si>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</si>
  <si>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</si>
  <si>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</si>
  <si>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</si>
  <si>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</si>
  <si>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</si>
  <si>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</si>
  <si>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</si>
  <si>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</si>
  <si>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</si>
  <si>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</si>
  <si>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</si>
  <si>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</si>
  <si>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</si>
  <si>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</si>
  <si>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</si>
  <si>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</si>
  <si>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</si>
  <si>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</si>
  <si>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</si>
  <si>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</si>
  <si>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</si>
  <si>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</si>
  <si>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</si>
  <si>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</si>
  <si>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</si>
  <si>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</si>
  <si>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</si>
  <si>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</si>
  <si>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</si>
  <si>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</si>
  <si>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</si>
  <si>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</si>
  <si>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</si>
  <si>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</si>
  <si>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</si>
  <si>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</si>
  <si>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</si>
  <si>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</si>
  <si>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</si>
  <si>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</si>
  <si>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</si>
  <si>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</si>
  <si>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</si>
  <si>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</si>
  <si>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</si>
  <si>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</si>
  <si>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</si>
  <si>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</si>
  <si>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</si>
  <si>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</si>
  <si>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</si>
  <si>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</si>
  <si>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</si>
  <si>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</si>
  <si>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</si>
  <si>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</si>
  <si>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</si>
  <si>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</si>
  <si>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</si>
  <si>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</si>
  <si>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</si>
  <si>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</si>
  <si>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</si>
  <si>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</si>
  <si>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</si>
  <si>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</si>
  <si>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</si>
  <si>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</si>
  <si>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</si>
  <si>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</si>
  <si>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</si>
  <si>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</si>
  <si>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</si>
  <si>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</si>
  <si>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</si>
  <si>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</si>
  <si>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</si>
  <si>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</si>
  <si>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</si>
  <si>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</si>
  <si>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</si>
  <si>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</si>
  <si>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</si>
  <si>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</si>
  <si>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</si>
  <si>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</si>
  <si>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</si>
  <si>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</si>
  <si>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</si>
  <si>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</si>
  <si>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</si>
  <si>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</si>
  <si>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</si>
  <si>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</si>
  <si>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</si>
  <si>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</si>
  <si>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</si>
  <si>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</si>
  <si>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</si>
  <si>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</si>
  <si>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</si>
  <si>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</si>
  <si>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</si>
  <si>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</si>
  <si>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</si>
  <si>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</si>
  <si>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</si>
  <si>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</si>
  <si>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</si>
  <si>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</si>
  <si>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</si>
  <si>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</si>
  <si>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</si>
  <si>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</si>
  <si>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</si>
  <si>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</si>
  <si>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</si>
  <si>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</si>
  <si>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</si>
  <si>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</si>
  <si>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</si>
  <si>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</si>
  <si>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</si>
  <si>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</si>
  <si>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</si>
  <si>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</si>
  <si>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</si>
  <si>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</si>
  <si>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</si>
  <si>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</si>
  <si>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</si>
  <si>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</si>
  <si>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</si>
  <si>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</si>
  <si>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</si>
  <si>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</si>
  <si>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</si>
  <si>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</si>
  <si>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</si>
  <si>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</si>
  <si>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</si>
  <si>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</si>
  <si>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</si>
  <si>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</si>
  <si>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</si>
  <si>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</si>
  <si>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</si>
  <si>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</si>
  <si>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</si>
  <si>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</si>
  <si>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</si>
  <si>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</si>
  <si>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</si>
  <si>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</si>
  <si>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</si>
  <si>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</si>
  <si>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</si>
  <si>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</si>
  <si>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</si>
  <si>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</si>
  <si>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</si>
  <si>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</si>
  <si>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</si>
  <si>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</si>
  <si>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</si>
  <si>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</si>
  <si>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</si>
  <si>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</si>
  <si>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</si>
  <si>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</si>
  <si>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</si>
  <si>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</si>
  <si>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</si>
  <si>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</si>
  <si>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</si>
  <si>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</si>
  <si>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</si>
  <si>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</si>
  <si>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</si>
  <si>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</si>
  <si>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</si>
  <si>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</si>
  <si>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</si>
  <si>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</si>
  <si>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</si>
  <si>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</si>
  <si>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</si>
  <si>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</si>
  <si>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</si>
  <si>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</si>
  <si>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</si>
  <si>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</si>
  <si>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</si>
  <si>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</si>
  <si>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</si>
  <si>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</si>
  <si>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</si>
  <si>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</si>
  <si>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</si>
  <si>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</si>
  <si>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</si>
  <si>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</si>
  <si>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</si>
  <si>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</si>
  <si>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</si>
  <si>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</si>
  <si>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</si>
  <si>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</si>
  <si>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</si>
  <si>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</si>
  <si>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</si>
  <si>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</si>
  <si>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</si>
  <si>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</si>
  <si>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</si>
  <si>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</si>
  <si>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</si>
  <si>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</si>
  <si>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</si>
  <si>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</si>
  <si>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</si>
  <si>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</si>
  <si>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</si>
  <si>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</si>
  <si>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</si>
  <si>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</si>
  <si>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</si>
  <si>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</si>
  <si>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</si>
  <si>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</si>
  <si>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</si>
  <si>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</si>
  <si>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</si>
  <si>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</si>
  <si>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</si>
  <si>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</si>
  <si>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</si>
  <si>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</si>
  <si>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</si>
  <si>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</si>
  <si>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</si>
  <si>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</si>
  <si>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</si>
  <si>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</si>
  <si>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</si>
  <si>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</si>
  <si>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</si>
  <si>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</si>
  <si>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</si>
  <si>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</si>
  <si>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</si>
  <si>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</si>
  <si>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</si>
  <si>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</si>
  <si>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</si>
  <si>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</si>
  <si>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</si>
  <si>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</si>
  <si>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</si>
  <si>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</si>
  <si>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</si>
  <si>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</si>
  <si>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</si>
  <si>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</si>
  <si>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</si>
  <si>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</si>
  <si>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</si>
  <si>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</si>
  <si>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</si>
  <si>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</si>
  <si>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</si>
  <si>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</si>
  <si>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</si>
  <si>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</si>
  <si>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</si>
  <si>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</si>
  <si>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</si>
  <si>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</si>
  <si>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</si>
  <si>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</si>
  <si>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</si>
  <si>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</si>
  <si>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</si>
  <si>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</si>
  <si>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</si>
  <si>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</si>
  <si>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</si>
  <si>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</si>
  <si>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</si>
  <si>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</si>
  <si>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</si>
  <si>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</si>
  <si>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</si>
  <si>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</si>
  <si>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</si>
  <si>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</si>
  <si>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</si>
  <si>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</si>
  <si>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</si>
  <si>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</si>
  <si>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</si>
  <si>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</si>
  <si>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</si>
  <si>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</si>
  <si>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</si>
  <si>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</si>
  <si>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</si>
  <si>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</si>
  <si>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</si>
  <si>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</si>
  <si>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</si>
  <si>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</si>
  <si>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</si>
  <si>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</si>
  <si>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</si>
  <si>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</si>
  <si>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</si>
  <si>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</si>
  <si>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</si>
  <si>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</si>
  <si>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</si>
  <si>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</si>
  <si>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</si>
  <si>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</si>
  <si>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</si>
  <si>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</si>
  <si>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</si>
  <si>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</si>
  <si>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</si>
  <si>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</si>
  <si>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</si>
  <si>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</si>
  <si>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</si>
  <si>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</si>
  <si>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</si>
  <si>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</si>
  <si>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</si>
  <si>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</si>
  <si>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</si>
  <si>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</si>
  <si>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</si>
  <si>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</si>
  <si>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</si>
  <si>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</si>
  <si>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</si>
  <si>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</si>
  <si>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</si>
  <si>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</si>
  <si>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</si>
  <si>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</si>
  <si>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</si>
  <si>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</si>
  <si>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</si>
  <si>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</si>
  <si>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</si>
  <si>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</si>
  <si>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</si>
  <si>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</si>
  <si>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</si>
  <si>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</si>
  <si>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</si>
  <si>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</si>
  <si>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</si>
  <si>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</si>
  <si>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</si>
  <si>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</si>
  <si>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</si>
  <si>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</si>
  <si>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</si>
  <si>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</si>
  <si>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</si>
  <si>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</si>
  <si>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</si>
  <si>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</si>
  <si>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</si>
  <si>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</si>
  <si>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</si>
  <si>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</si>
  <si>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</si>
  <si>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</si>
  <si>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</si>
  <si>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</si>
  <si>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</si>
  <si>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</si>
  <si>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</si>
  <si>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</si>
  <si>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</si>
  <si>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</si>
  <si>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</si>
  <si>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</si>
  <si>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</si>
  <si>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</si>
  <si>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</si>
  <si>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</si>
  <si>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</si>
  <si>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</si>
  <si>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</si>
  <si>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</si>
  <si>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</si>
  <si>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</si>
  <si>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</si>
  <si>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</si>
  <si>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</si>
  <si>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</si>
  <si>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</si>
  <si>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</si>
  <si>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</si>
  <si>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</si>
  <si>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</si>
  <si>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</si>
  <si>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</si>
  <si>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</si>
  <si>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</si>
  <si>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</si>
  <si>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</si>
  <si>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</si>
  <si>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</si>
  <si>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</si>
  <si>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</si>
  <si>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</si>
  <si>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</si>
  <si>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</si>
  <si>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</si>
  <si>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</si>
  <si>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</si>
  <si>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</si>
  <si>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</si>
  <si>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</si>
  <si>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</si>
  <si>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</si>
  <si>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</si>
  <si>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</si>
  <si>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</si>
  <si>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</si>
  <si>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</si>
  <si>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</si>
  <si>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</si>
  <si>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</si>
  <si>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</si>
  <si>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</si>
  <si>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</si>
  <si>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</si>
  <si>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</si>
  <si>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</si>
  <si>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</si>
  <si>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</si>
  <si>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</si>
  <si>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</si>
  <si>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</si>
  <si>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</si>
  <si>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</si>
  <si>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</si>
  <si>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</si>
  <si>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</si>
  <si>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</si>
  <si>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</si>
  <si>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</si>
  <si>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</si>
  <si>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</si>
  <si>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</si>
  <si>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</si>
  <si>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</si>
  <si>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</si>
  <si>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</si>
  <si>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</si>
  <si>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</si>
  <si>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</si>
  <si>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</si>
  <si>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</si>
  <si>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</si>
  <si>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</si>
  <si>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</si>
  <si>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</si>
  <si>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</si>
  <si>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</si>
  <si>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</si>
  <si>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</si>
  <si>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</si>
  <si>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</si>
  <si>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</si>
  <si>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</si>
  <si>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</si>
  <si>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</si>
  <si>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</si>
  <si>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</si>
  <si>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</si>
  <si>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</si>
  <si>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</si>
  <si>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</si>
  <si>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</si>
  <si>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</si>
  <si>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</si>
  <si>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</si>
  <si>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</si>
  <si>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</si>
  <si>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</si>
  <si>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</si>
  <si>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</si>
  <si>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</si>
  <si>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</si>
  <si>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</si>
  <si>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</si>
  <si>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</si>
  <si>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</si>
  <si>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</si>
  <si>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</si>
  <si>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</si>
  <si>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</si>
  <si>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</si>
  <si>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</si>
  <si>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</si>
  <si>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</si>
  <si>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</si>
  <si>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</si>
  <si>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</si>
  <si>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</si>
  <si>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</si>
  <si>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</si>
  <si>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</si>
  <si>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</si>
  <si>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</si>
  <si>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</si>
  <si>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</si>
  <si>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</si>
  <si>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</si>
  <si>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</si>
  <si>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</si>
  <si>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</si>
  <si>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</si>
  <si>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</si>
  <si>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</si>
  <si>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</si>
  <si>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</si>
  <si>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</si>
  <si>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</si>
  <si>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</si>
  <si>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</si>
  <si>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</si>
  <si>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</si>
  <si>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</si>
  <si>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</si>
  <si>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</si>
  <si>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</si>
  <si>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</si>
  <si>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</si>
  <si>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</si>
  <si>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</si>
  <si>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</si>
  <si>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</si>
  <si>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</si>
  <si>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</si>
  <si>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</si>
  <si>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</si>
  <si>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</si>
  <si>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</si>
  <si>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</si>
  <si>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</si>
  <si>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</si>
  <si>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</si>
  <si>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</si>
  <si>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</si>
  <si>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</si>
  <si>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</si>
  <si>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</si>
  <si>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</si>
  <si>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</si>
  <si>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</si>
  <si>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</si>
  <si>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</si>
  <si>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</si>
  <si>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</si>
  <si>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</si>
  <si>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</si>
  <si>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</si>
  <si>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</si>
  <si>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</si>
  <si>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</si>
  <si>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</si>
  <si>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</si>
  <si>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</si>
  <si>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</si>
  <si>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</si>
  <si>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</si>
  <si>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</si>
  <si>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</si>
  <si>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</si>
  <si>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</si>
  <si>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</si>
  <si>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</si>
  <si>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</si>
  <si>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</si>
  <si>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</si>
  <si>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</si>
  <si>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</si>
  <si>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</si>
  <si>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</si>
  <si>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</si>
  <si>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</si>
  <si>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</si>
  <si>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</si>
  <si>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</si>
  <si>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</si>
  <si>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</si>
  <si>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</si>
  <si>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</si>
  <si>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</si>
  <si>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</si>
  <si>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</si>
  <si>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Re</t>
  </si>
  <si>
    <t>.</t>
  </si>
  <si>
    <t>Fa</t>
  </si>
  <si>
    <t>Quiero andar, madre,</t>
  </si>
  <si>
    <t>a Jerusalén, Jerusalén.</t>
  </si>
  <si>
    <t>A comer las hierbas</t>
  </si>
  <si>
    <t>y a saciarme de ellas,</t>
  </si>
  <si>
    <t>saciarme de ellas.</t>
  </si>
  <si>
    <t>EN EL SENDERO CAMINO YO.</t>
  </si>
  <si>
    <t>EN EL SEÑOR DE TODO EL MUNDO,</t>
  </si>
  <si>
    <t>DE TODO EL MUNDO.</t>
  </si>
  <si>
    <t>LA LA, LA LA LA LA LA LA LALA ...</t>
  </si>
  <si>
    <t>LA LA, LA ... LA</t>
  </si>
  <si>
    <t>LALALA ...</t>
  </si>
  <si>
    <t>Hazme comer las hierbas,</t>
  </si>
  <si>
    <t>que pueda saciar mis ansias,</t>
  </si>
  <si>
    <t>que son ansias de amistad,</t>
  </si>
  <si>
    <t>que son ansias de humildad,</t>
  </si>
  <si>
    <t>que son ansias,</t>
  </si>
  <si>
    <t>que son ansias de obediencia.</t>
  </si>
  <si>
    <t>ADONAI ELOHENU,</t>
  </si>
  <si>
    <t>ADONAI EJAD.</t>
  </si>
  <si>
    <t>EN EL SENDERO ME ENCUENTRO YO.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</si>
</sst>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241A9BC-9E46-4B96-B857-1557BC6E518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E0AB45-FEF4-45A3-A205-EDCEE8834F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34145" name="Button 1" hidden="1">
              <a:extLst>
                <a:ext uri="{63B3BB69-23CF-44E3-9099-C40C66FF867C}">
                  <a14:compatExt spid="_x0000_s134145"/>
                </a:ext>
                <a:ext uri="{FF2B5EF4-FFF2-40B4-BE49-F238E27FC236}">
                  <a16:creationId xmlns:a16="http://schemas.microsoft.com/office/drawing/2014/main" id="{22A2CB52-FF2F-4479-A3D7-51A6FE652225}"/>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C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1018</v>
      </c>
    </row>
    <row r="3" spans="1:1" ht="60" x14ac:dyDescent="0.25">
      <c r="A3" s="102" t="s">
        <v>1019</v>
      </c>
    </row>
    <row r="5" spans="1:1" x14ac:dyDescent="0.25">
      <c r="A5" t="s">
        <v>1020</v>
      </c>
    </row>
    <row r="6" spans="1:1" ht="75" x14ac:dyDescent="0.25">
      <c r="A6" s="102" t="s">
        <v>1021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4" t="str" cm="1">
        <f t="array" aca="1" ref="B1" ca="1">MID(CELL("filename", B1), FIND("]", CELL("filename", B1)) + 1, 255)</f>
        <v>Indice</v>
      </c>
      <c r="C1" s="114"/>
      <c r="D1" s="114"/>
      <c r="E1" s="114"/>
      <c r="F1" s="36"/>
      <c r="G1" s="115"/>
      <c r="H1" s="115"/>
    </row>
    <row r="2" spans="1:8" ht="26.1" customHeight="1" x14ac:dyDescent="0.45">
      <c r="A2" s="37" t="s">
        <v>1017</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1015</v>
      </c>
      <c r="B7" s="37"/>
      <c r="C7" s="37"/>
      <c r="D7" s="37"/>
      <c r="E7" s="37"/>
      <c r="F7" s="38"/>
      <c r="G7" s="38"/>
      <c r="H7" s="38"/>
    </row>
    <row r="8" spans="1:8" ht="26.1" customHeight="1" x14ac:dyDescent="0.45">
      <c r="A8" s="37" t="s">
        <v>1023</v>
      </c>
      <c r="B8" s="37"/>
      <c r="C8" s="37"/>
      <c r="D8" s="37"/>
      <c r="E8" s="37"/>
      <c r="F8" s="38"/>
      <c r="G8" s="38"/>
      <c r="H8" s="38"/>
    </row>
    <row r="9" spans="1:8" ht="26.1" customHeight="1" x14ac:dyDescent="0.45">
      <c r="A9" s="37" t="s">
        <v>1024</v>
      </c>
      <c r="B9" s="37"/>
      <c r="C9" s="37"/>
      <c r="D9" s="37"/>
      <c r="E9" s="37"/>
      <c r="F9" s="38"/>
      <c r="G9" s="38"/>
      <c r="H9" s="38"/>
    </row>
    <row r="10" spans="1:8" ht="26.1" customHeight="1" x14ac:dyDescent="0.45">
      <c r="A10" s="37" t="s">
        <v>1025</v>
      </c>
      <c r="B10" s="37"/>
      <c r="C10" s="37"/>
      <c r="D10" s="37"/>
      <c r="E10" s="38"/>
      <c r="F10" s="38"/>
      <c r="G10" s="38"/>
      <c r="H10" s="38"/>
    </row>
    <row r="11" spans="1:8" ht="26.1" customHeight="1" x14ac:dyDescent="0.45">
      <c r="A11" s="37" t="s">
        <v>1026</v>
      </c>
      <c r="B11" s="37"/>
      <c r="C11" s="37"/>
      <c r="D11" s="37"/>
      <c r="E11" s="38"/>
      <c r="F11" s="38"/>
      <c r="G11" s="38"/>
      <c r="H11" s="38"/>
    </row>
    <row r="12" spans="1:8" ht="26.1" customHeight="1" x14ac:dyDescent="0.45">
      <c r="A12" s="37" t="s">
        <v>1027</v>
      </c>
      <c r="B12" s="37"/>
      <c r="C12" s="37"/>
      <c r="D12" s="37"/>
      <c r="E12" s="38"/>
      <c r="F12" s="38"/>
      <c r="G12" s="38"/>
      <c r="H12" s="38"/>
    </row>
    <row r="13" spans="1:8" ht="26.1" customHeight="1" x14ac:dyDescent="0.45">
      <c r="A13" s="37" t="s">
        <v>1028</v>
      </c>
      <c r="B13" s="37"/>
      <c r="C13" s="37"/>
      <c r="D13" s="37"/>
      <c r="E13" s="38"/>
      <c r="F13" s="38"/>
      <c r="G13" s="38"/>
      <c r="H13" s="38"/>
    </row>
    <row r="14" spans="1:8" ht="26.1" customHeight="1" x14ac:dyDescent="0.45">
      <c r="A14" s="37" t="s">
        <v>1029</v>
      </c>
      <c r="B14" s="37"/>
      <c r="C14" s="37"/>
      <c r="D14" s="37"/>
      <c r="E14" s="38"/>
      <c r="F14" s="38"/>
      <c r="G14" s="38"/>
      <c r="H14" s="38"/>
    </row>
    <row r="15" spans="1:8" ht="26.1" customHeight="1" x14ac:dyDescent="0.45">
      <c r="A15" s="37" t="s">
        <v>1030</v>
      </c>
      <c r="B15" s="37"/>
      <c r="C15" s="37"/>
      <c r="D15" s="37"/>
      <c r="E15" s="38"/>
      <c r="F15" s="38"/>
      <c r="G15" s="38"/>
      <c r="H15" s="38"/>
    </row>
    <row r="16" spans="1:8" ht="26.1" customHeight="1" x14ac:dyDescent="0.45">
      <c r="A16" s="37" t="s">
        <v>1031</v>
      </c>
      <c r="B16" s="37"/>
      <c r="C16" s="37"/>
      <c r="D16" s="37"/>
      <c r="E16" s="38"/>
      <c r="F16" s="38"/>
      <c r="G16" s="38"/>
      <c r="H16" s="38"/>
    </row>
    <row r="17" spans="1:8" ht="26.1" customHeight="1" x14ac:dyDescent="0.45">
      <c r="A17" s="37" t="s">
        <v>1032</v>
      </c>
      <c r="B17" s="37"/>
      <c r="C17" s="37"/>
      <c r="D17" s="37"/>
      <c r="E17" s="38"/>
      <c r="F17" s="38"/>
      <c r="G17" s="38"/>
      <c r="H17" s="38"/>
    </row>
    <row r="18" spans="1:8" ht="26.1" customHeight="1" x14ac:dyDescent="0.45">
      <c r="A18" s="37" t="s">
        <v>1033</v>
      </c>
      <c r="B18" s="37"/>
      <c r="C18" s="37"/>
      <c r="D18" s="37"/>
      <c r="E18" s="38"/>
      <c r="F18" s="38"/>
      <c r="G18" s="38"/>
      <c r="H18" s="38"/>
    </row>
    <row r="19" spans="1:8" ht="26.1" customHeight="1" x14ac:dyDescent="0.45">
      <c r="A19" s="37" t="s">
        <v>1034</v>
      </c>
      <c r="B19" s="37"/>
      <c r="C19" s="37"/>
      <c r="D19" s="37"/>
      <c r="E19" s="38"/>
      <c r="F19" s="38"/>
      <c r="G19" s="38"/>
      <c r="H19" s="38"/>
    </row>
    <row r="20" spans="1:8" ht="24" x14ac:dyDescent="0.45">
      <c r="A20" s="37" t="s">
        <v>1035</v>
      </c>
      <c r="B20" s="37"/>
      <c r="C20" s="37"/>
      <c r="D20" s="37"/>
      <c r="E20" s="37"/>
      <c r="F20" s="37"/>
      <c r="G20" s="37"/>
      <c r="H20" s="37"/>
    </row>
    <row r="21" spans="1:8" ht="24" x14ac:dyDescent="0.45">
      <c r="A21" s="37" t="s">
        <v>1036</v>
      </c>
      <c r="B21" s="37"/>
      <c r="C21" s="37"/>
      <c r="D21" s="37"/>
      <c r="E21" s="37"/>
      <c r="F21" s="37"/>
      <c r="G21" s="37"/>
      <c r="H21" s="37"/>
    </row>
    <row r="22" spans="1:8" ht="24" x14ac:dyDescent="0.45">
      <c r="A22" s="37" t="s">
        <v>1037</v>
      </c>
      <c r="B22" s="37"/>
      <c r="C22" s="37"/>
      <c r="D22" s="37"/>
      <c r="E22" s="37"/>
      <c r="F22" s="37"/>
      <c r="G22" s="37"/>
      <c r="H22" s="37"/>
    </row>
    <row r="23" spans="1:8" ht="24" x14ac:dyDescent="0.45">
      <c r="A23" s="37" t="s">
        <v>1038</v>
      </c>
      <c r="B23" s="37"/>
      <c r="C23" s="37"/>
      <c r="D23" s="37"/>
      <c r="E23" s="37"/>
      <c r="F23" s="37"/>
      <c r="G23" s="37"/>
      <c r="H23" s="37"/>
    </row>
    <row r="24" spans="1:8" ht="24" x14ac:dyDescent="0.45">
      <c r="A24" s="37" t="s">
        <v>1039</v>
      </c>
      <c r="B24" s="37"/>
      <c r="C24" s="37"/>
      <c r="D24" s="37"/>
      <c r="E24" s="37"/>
      <c r="F24" s="37"/>
      <c r="G24" s="37"/>
      <c r="H24" s="37"/>
    </row>
    <row r="25" spans="1:8" ht="24" x14ac:dyDescent="0.45">
      <c r="A25" s="37" t="s">
        <v>1042</v>
      </c>
      <c r="B25" s="37"/>
      <c r="C25" s="37"/>
      <c r="D25" s="37"/>
      <c r="E25" s="37"/>
      <c r="F25" s="37"/>
      <c r="G25" s="37"/>
      <c r="H25" s="37"/>
    </row>
    <row r="26" spans="1:8" ht="24" x14ac:dyDescent="0.45">
      <c r="A26" s="37" t="s">
        <v>1016</v>
      </c>
      <c r="B26" s="37"/>
      <c r="C26" s="37"/>
      <c r="D26" s="37"/>
      <c r="E26" s="37"/>
      <c r="F26" s="37"/>
      <c r="G26" s="37"/>
      <c r="H26" s="37"/>
    </row>
    <row r="27" spans="1:8" ht="24" x14ac:dyDescent="0.45">
      <c r="A27" s="37" t="s">
        <v>1043</v>
      </c>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1022</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1041</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1022</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1041</v>
      </c>
      <c r="D70" t="s">
        <v>326</v>
      </c>
      <c r="E70" t="s">
        <v>260</v>
      </c>
      <c r="F70" s="6" t="s">
        <v>18</v>
      </c>
      <c r="M70" t="s">
        <v>1040</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1044</v>
      </c>
      <c r="D72" t="s">
        <v>449</v>
      </c>
      <c r="E72" t="s">
        <v>260</v>
      </c>
      <c r="F72" s="6" t="s">
        <v>18</v>
      </c>
      <c r="M72" t="s">
        <v>1045</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6" t="s">
        <v>969</v>
      </c>
      <c r="E1" s="116"/>
      <c r="F1" s="116"/>
      <c r="G1" s="116"/>
      <c r="H1" s="116"/>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AN104" sqref="AN104"/>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139</v>
      </c>
      <c r="E1" s="40"/>
      <c r="F1" s="40"/>
      <c r="G1" s="40"/>
      <c r="H1" s="40"/>
      <c r="I1" s="40"/>
      <c r="J1" s="40"/>
      <c r="K1" s="40"/>
      <c r="L1" s="41" t="str">
        <f>VLOOKUP(C1,'[1]Codigo Canto'!A3:AQ236,38,FALSE)</f>
        <v>QUIÉN NOS SEPARARÁ</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QUIÉN NOS SEPARARÁ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quiennosseparara</v>
      </c>
      <c r="L7" s="48" t="str">
        <f>_xlfn.CONCAT("        id: ","""",C7,"""",",")</f>
        <v xml:space="preserve">        id: "quiennosseparara",</v>
      </c>
    </row>
    <row r="8" spans="2:32" ht="23.25" x14ac:dyDescent="0.25">
      <c r="C8" t="str">
        <f>PROPER(L1)</f>
        <v>Quién Nos Separará</v>
      </c>
      <c r="L8" s="48" t="str">
        <f>_xlfn.CONCAT("        tt: ","""",C8,"""",",")</f>
        <v xml:space="preserve">        tt: "Quién Nos Separará",</v>
      </c>
    </row>
    <row r="9" spans="2:32" ht="23.25" x14ac:dyDescent="0.25">
      <c r="C9" t="str">
        <f>PROPER(L1)</f>
        <v>Quién Nos Separará</v>
      </c>
      <c r="L9" s="48" t="str">
        <f>_xlfn.CONCAT("        title: ","""",C9,"""",",")</f>
        <v xml:space="preserve">        title: "Quién Nos Separará",</v>
      </c>
    </row>
    <row r="10" spans="2:32" ht="23.25" x14ac:dyDescent="0.25">
      <c r="C10" t="str">
        <f>VLOOKUP(C1,'[1]Codigo Canto'!A3:AQ236,12,FALSE)</f>
        <v>Romanos 8,34-39</v>
      </c>
      <c r="L10" s="48" t="str">
        <f>_xlfn.CONCAT("        ","subtitle: ","""",C10,"""",",")</f>
        <v xml:space="preserve">        subtitle: "Romanos 8,34-39",</v>
      </c>
    </row>
    <row r="11" spans="2:32" ht="23.25" x14ac:dyDescent="0.25">
      <c r="C11" t="str">
        <f>_xlfn.CONCAT("category: [",VLOOKUP(C1,Table223[],16,FALSE),"],")</f>
        <v>category: ["Precatecumenado","Cuaresma","Penitencial","Comunión","Nuevo Testamento"],</v>
      </c>
      <c r="L11" s="48" t="str">
        <f>_xlfn.CONCAT("        ",C11)</f>
        <v xml:space="preserve">        category: ["Precatecumenado","Cuaresma","Penitencial","Comunión","Nuevo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139</v>
      </c>
      <c r="L16" s="48" t="str">
        <f>_xlfn.CONCAT("        dbno: ","""",C16,"""",",")</f>
        <v xml:space="preserve">        dbno: "139",</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quiennosseparara</v>
      </c>
      <c r="L19" s="48" t="str">
        <f>_xlfn.CONCAT("        audioSrc: ","""/audio/",C19,".mp3""",",")</f>
        <v xml:space="preserve">        audioSrc: "/audio/quiennosseparara.mp3",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138</v>
      </c>
      <c r="C26" t="str">
        <f>VLOOKUP(B26,[1]Buscador!A3:AP240,31,FALSE)</f>
        <v>/resucito/src/index.html?canto=quienesestaquesubedeldesierto</v>
      </c>
      <c r="L26" s="48" t="str">
        <f>_xlfn.CONCAT("        ant: ","""",C26,"""",",")</f>
        <v xml:space="preserve">        ant: "/resucito/src/index.html?canto=quienesestaquesubedeldesierto",</v>
      </c>
    </row>
    <row r="27" spans="2:40" ht="23.25" x14ac:dyDescent="0.25">
      <c r="B27">
        <f>+C1+1</f>
        <v>140</v>
      </c>
      <c r="C27" t="str">
        <f>VLOOKUP(B27,[1]Buscador!A3:AP240,31,FALSE)</f>
        <v>/resucito/src/index.html?canto=quieroandarmadreajerusalen</v>
      </c>
      <c r="L27" s="48" t="str">
        <f>_xlfn.CONCAT("        sig: ","""",C27,"""",",")</f>
        <v xml:space="preserve">        sig: "/resucito/src/index.html?canto=quieroandarmadreajerusalen",</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QUIÉN NOS SEPARARÁ</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7729F-3B2C-45F7-A2B4-5E5605F3CD73}">
  <sheetPr codeName="Sheet69">
    <tabColor rgb="FF00B0F0"/>
  </sheetPr>
  <dimension ref="A1:AN63"/>
  <sheetViews>
    <sheetView tabSelected="1"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140</v>
      </c>
      <c r="E1" s="40"/>
      <c r="F1" s="40"/>
      <c r="G1" s="40"/>
      <c r="H1" s="40"/>
      <c r="I1" s="40"/>
      <c r="J1" s="40"/>
      <c r="K1" s="40"/>
      <c r="L1" s="41" t="str">
        <f ca="1">UPPER(VLOOKUP(C1,Table223[],3,FALSE))</f>
        <v>QUIERO ANDAR, MADRE, A JERUSALÉN</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QUIERO ANDAR, MADRE, A JERUSALÉN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quieroandarmadreajerusalen</v>
      </c>
      <c r="L7" s="48" t="str">
        <f ca="1">_xlfn.CONCAT("        id: ","""",C7,"""",",")</f>
        <v xml:space="preserve">        id: "quieroandarmadreajerusalen",</v>
      </c>
    </row>
    <row r="8" spans="2:32" ht="23.25" x14ac:dyDescent="0.25">
      <c r="C8" t="str">
        <f ca="1">PROPER(L1)</f>
        <v>Quiero Andar, Madre, A Jerusalén</v>
      </c>
      <c r="L8" s="48" t="str">
        <f ca="1">_xlfn.CONCAT("        tt: ","""",C8,"""",",")</f>
        <v xml:space="preserve">        tt: "Quiero Andar, Madre, A Jerusalén",</v>
      </c>
    </row>
    <row r="9" spans="2:32" ht="23.25" x14ac:dyDescent="0.25">
      <c r="C9" t="str">
        <f ca="1">PROPER(L1)</f>
        <v>Quiero Andar, Madre, A Jerusalén</v>
      </c>
      <c r="L9" s="48" t="str">
        <f ca="1">_xlfn.CONCAT("        title: ","""",C9,"""",",")</f>
        <v xml:space="preserve">        title: "Quiero Andar, Madre, A Jerusalén",</v>
      </c>
    </row>
    <row r="10" spans="2:32" ht="23.25" x14ac:dyDescent="0.25">
      <c r="C10" t="str">
        <f ca="1">VLOOKUP(C1,Table223[],4,FALSE)</f>
        <v>Canto sefardí</v>
      </c>
      <c r="L10" s="48" t="str">
        <f ca="1">_xlfn.CONCAT("        ","subtitle: ","""",C10,"""",",")</f>
        <v xml:space="preserve">        subtitle: "Canto sefardí",</v>
      </c>
    </row>
    <row r="11" spans="2:32" ht="23.25" x14ac:dyDescent="0.25">
      <c r="C11" t="str">
        <f ca="1">_xlfn.CONCAT("category: [",VLOOKUP(C1,Table223[],16,FALSE),"],")</f>
        <v>category: ["Precatecumenado","Pascua","Pentecostés","Final"],</v>
      </c>
      <c r="L11" s="48" t="str">
        <f ca="1">_xlfn.CONCAT("        ",C11)</f>
        <v xml:space="preserve">        category: ["Precatecumenado","Pascua","Pentecostés","Final"],</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140</v>
      </c>
      <c r="L16" s="48" t="str">
        <f ca="1">_xlfn.CONCAT("        dbno: ","""",C16,"""",",")</f>
        <v xml:space="preserve">        dbno: "140",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quieroandarmadreajerusalen</v>
      </c>
      <c r="L19" s="48" t="str">
        <f ca="1">_xlfn.CONCAT("        audioSrc: ","""https://audio.resucito.do/",C19,".mp3""",",")</f>
        <v xml:space="preserve">        audioSrc: "https://audio.resucito.do/quieroandarmadreajerusalen.mp3",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139</v>
      </c>
      <c r="C26" t="str">
        <f ca="1">VLOOKUP(B26,Table4[],13,FALSE)</f>
        <v>"/resucito/src/index.html?canto=quiennosseparara"</v>
      </c>
      <c r="L26" s="48" t="str">
        <f ca="1">_xlfn.CONCAT("        ant: ",C26,",")</f>
        <v xml:space="preserve">        ant: "/resucito/src/index.html?canto=quiennosseparara",</v>
      </c>
    </row>
    <row r="27" spans="1:40" ht="23.25" x14ac:dyDescent="0.25">
      <c r="B27">
        <f ca="1">+C1+1</f>
        <v>141</v>
      </c>
      <c r="C27" t="str">
        <f ca="1">VLOOKUP(B27,Table4[],13,FALSE)</f>
        <v>"/resucito/src/index.html?canto=quierocantar"</v>
      </c>
      <c r="L27" s="48" t="str">
        <f ca="1">_xlfn.CONCAT("        sig: ",C27,",")</f>
        <v xml:space="preserve">        sig: "/resucito/src/index.html?canto=quierocantar",</v>
      </c>
    </row>
    <row r="28" spans="1:40" ht="23.25" x14ac:dyDescent="0.25">
      <c r="L28" s="46" t="s">
        <v>991</v>
      </c>
    </row>
    <row r="29" spans="1:40" ht="36" thickBot="1" x14ac:dyDescent="0.3">
      <c r="A29" s="49"/>
      <c r="B29" s="49"/>
      <c r="C29" s="49" t="s">
        <v>1047</v>
      </c>
      <c r="D29" s="49"/>
      <c r="E29" s="49"/>
      <c r="F29" s="49"/>
      <c r="G29" s="49"/>
      <c r="H29" s="49"/>
      <c r="I29" s="49"/>
      <c r="J29" s="49"/>
      <c r="K29" s="49"/>
      <c r="L29" s="50" t="s">
        <v>992</v>
      </c>
    </row>
    <row r="30" spans="1:40" ht="25.5" thickTop="1" thickBot="1" x14ac:dyDescent="0.4">
      <c r="B30" t="s">
        <v>1014</v>
      </c>
      <c r="C30" s="113" t="s">
        <v>1049</v>
      </c>
      <c r="D30" s="112" t="s">
        <v>1011</v>
      </c>
      <c r="E30" s="52"/>
      <c r="F30" s="53" t="s">
        <v>1013</v>
      </c>
      <c r="G30" s="53" t="s">
        <v>1012</v>
      </c>
      <c r="H30" s="52"/>
      <c r="I30" s="52"/>
      <c r="J30" s="54"/>
      <c r="K30" s="54"/>
      <c r="L30" s="55" t="str">
        <f t="shared" ref="L30:L31" si="0">IF(C30="","",_xlfn.CONCAT("            { line: ","""",C30,", ",M30:AN30,""", sC: ","""",B30,"""},"))</f>
        <v xml:space="preserve">            { line: "Quiero andar, madre,, (Mi,,20)(La,m,250)", sC: "tc"},</v>
      </c>
      <c r="M30" s="56" t="str">
        <f t="shared" ref="M30:M34" si="1">IF(N30="","","(")</f>
        <v>(</v>
      </c>
      <c r="N30" s="57" t="str">
        <f t="shared" ref="N30:N60" si="2">IF(D30="","",D30)</f>
        <v>Mi</v>
      </c>
      <c r="O30" s="58" t="str">
        <f t="shared" ref="O30:O34" si="3">IF(N30="","",",")</f>
        <v>,</v>
      </c>
      <c r="P30" s="59" t="str">
        <f t="shared" ref="P30:P60" si="4">IF(E30="","",E30)</f>
        <v/>
      </c>
      <c r="Q30" s="60" t="str">
        <f t="shared" ref="Q30:Q34" si="5">IF(N30="","",",")</f>
        <v>,</v>
      </c>
      <c r="R30" s="61">
        <f>IF(N30="Do",10,IF(N30="Re",22,IF(N30="Mi",20,IF(N30="Fa",20,IF(N30="Sol",14,IF(N30="La",20,IF(N30="Si",20,IF(N30="Do#",14,IF(N30="Fa#",15,IF(N30="Sol#",20,""))))))))))</f>
        <v>20</v>
      </c>
      <c r="S30" s="56" t="str">
        <f t="shared" ref="S30:S34" si="6">IF(N30="","",")")</f>
        <v>)</v>
      </c>
      <c r="T30" s="62" t="str">
        <f t="shared" ref="T30:T34" si="7">IF(U30="","","(")</f>
        <v>(</v>
      </c>
      <c r="U30" s="63" t="str">
        <f t="shared" ref="U30:U60" si="8">IF(F30="","",F30)</f>
        <v>La</v>
      </c>
      <c r="V30" s="64" t="str">
        <f t="shared" ref="V30:V34" si="9">IF(U30="","",",")</f>
        <v>,</v>
      </c>
      <c r="W30" s="65" t="str">
        <f t="shared" ref="W30:W60" si="10">IF(G30="","",G30)</f>
        <v>m</v>
      </c>
      <c r="X30" s="64" t="str">
        <f t="shared" ref="X30:X34" si="11">IF(U30="","",",")</f>
        <v>,</v>
      </c>
      <c r="Y30" s="64">
        <f t="shared" ref="Y30:Y34" si="12">IF(U30="","",250)</f>
        <v>250</v>
      </c>
      <c r="Z30" s="56" t="str">
        <f t="shared" ref="Z30:Z34" si="13">IF(U30="","",")")</f>
        <v>)</v>
      </c>
      <c r="AA30" s="66" t="str">
        <f t="shared" ref="AA30:AA34" si="14">IF(AB30="","","(")</f>
        <v/>
      </c>
      <c r="AB30" s="57" t="str">
        <f t="shared" ref="AB30:AB60"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60"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5.5" thickTop="1" thickBot="1" x14ac:dyDescent="0.4">
      <c r="C31" s="113" t="s">
        <v>1050</v>
      </c>
      <c r="D31" s="112" t="s">
        <v>1046</v>
      </c>
      <c r="E31" s="52" t="s">
        <v>1012</v>
      </c>
      <c r="F31" s="53" t="s">
        <v>1011</v>
      </c>
      <c r="G31" s="53"/>
      <c r="H31" s="52"/>
      <c r="I31" s="52"/>
      <c r="J31" s="54"/>
      <c r="K31" s="54"/>
      <c r="L31" s="55" t="str">
        <f t="shared" si="0"/>
        <v xml:space="preserve">            { line: "a Jerusalén, Jerusalén., (Re,m,22)(Mi,,250)", sC: ""},</v>
      </c>
      <c r="M31" s="56" t="str">
        <f t="shared" si="1"/>
        <v>(</v>
      </c>
      <c r="N31" s="57" t="str">
        <f t="shared" si="2"/>
        <v>Re</v>
      </c>
      <c r="O31" s="58" t="str">
        <f t="shared" si="3"/>
        <v>,</v>
      </c>
      <c r="P31" s="59" t="str">
        <f t="shared" si="4"/>
        <v>m</v>
      </c>
      <c r="Q31" s="60" t="str">
        <f t="shared" si="5"/>
        <v>,</v>
      </c>
      <c r="R31" s="61">
        <f t="shared" ref="R31:R60" si="28">IF(N31="Do",10,IF(N31="Re",22,IF(N31="Mi",20,IF(N31="Fa",20,IF(N31="Sol",14,IF(N31="La",20,IF(N31="Si",20,IF(N31="Do#",14,IF(N31="Fa#",15,IF(N31="Sol#",20,""))))))))))</f>
        <v>22</v>
      </c>
      <c r="S31" s="56" t="str">
        <f t="shared" si="6"/>
        <v>)</v>
      </c>
      <c r="T31" s="62" t="str">
        <f t="shared" si="7"/>
        <v>(</v>
      </c>
      <c r="U31" s="63" t="str">
        <f t="shared" si="8"/>
        <v>Mi</v>
      </c>
      <c r="V31" s="64" t="str">
        <f t="shared" si="9"/>
        <v>,</v>
      </c>
      <c r="W31" s="65" t="str">
        <f t="shared" si="10"/>
        <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1051</v>
      </c>
      <c r="D32" s="112" t="s">
        <v>1013</v>
      </c>
      <c r="E32" s="52" t="s">
        <v>1012</v>
      </c>
      <c r="F32" s="53"/>
      <c r="G32" s="53"/>
      <c r="H32" s="52"/>
      <c r="I32" s="52"/>
      <c r="J32" s="54"/>
      <c r="K32" s="54"/>
      <c r="L32" s="55" t="str">
        <f>IF(C32="","",_xlfn.CONCAT("            { line: ","""",C32,", ",M32:AN32,""", sC: ","""",B32,"""},"))</f>
        <v xml:space="preserve">            { line: "A comer las hierbas, (La,m,20)", sC: ""},</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1052</v>
      </c>
      <c r="D33" s="112" t="s">
        <v>1046</v>
      </c>
      <c r="E33" s="52" t="s">
        <v>1012</v>
      </c>
      <c r="F33" s="53" t="s">
        <v>1011</v>
      </c>
      <c r="G33" s="53"/>
      <c r="H33" s="52"/>
      <c r="I33" s="52"/>
      <c r="J33" s="54"/>
      <c r="K33" s="54"/>
      <c r="L33" s="55" t="str">
        <f>IF(C33="","",_xlfn.CONCAT("            { line: ","""",C33,", ",M33:AN33,""", sC: ","""",B33,"""},"))</f>
        <v xml:space="preserve">            { line: "y a saciarme de ellas,, (Re,m,22)(Mi,,250)", sC: ""},</v>
      </c>
      <c r="M33" s="56" t="str">
        <f t="shared" si="1"/>
        <v>(</v>
      </c>
      <c r="N33" s="57" t="str">
        <f t="shared" si="2"/>
        <v>Re</v>
      </c>
      <c r="O33" s="58" t="str">
        <f t="shared" si="3"/>
        <v>,</v>
      </c>
      <c r="P33" s="59" t="str">
        <f t="shared" si="4"/>
        <v>m</v>
      </c>
      <c r="Q33" s="60" t="str">
        <f t="shared" si="5"/>
        <v>,</v>
      </c>
      <c r="R33" s="61">
        <f t="shared" si="28"/>
        <v>22</v>
      </c>
      <c r="S33" s="56" t="str">
        <f t="shared" si="6"/>
        <v>)</v>
      </c>
      <c r="T33" s="62" t="str">
        <f t="shared" si="7"/>
        <v>(</v>
      </c>
      <c r="U33" s="63" t="str">
        <f t="shared" si="8"/>
        <v>Mi</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1053</v>
      </c>
      <c r="D34" s="112"/>
      <c r="E34" s="52"/>
      <c r="F34" s="53"/>
      <c r="G34" s="53"/>
      <c r="H34" s="52"/>
      <c r="I34" s="52"/>
      <c r="J34" s="54"/>
      <c r="K34" s="54"/>
      <c r="L34" s="55" t="str">
        <f t="shared" ref="L34:L43" si="29">IF(C34="","",_xlfn.CONCAT("            { line: ","""",C34,", ",M34:AN34,""", sC: ","""",B34,"""},"))</f>
        <v xml:space="preserve">            { line: "saciarme de ellas., ", sC: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997</v>
      </c>
      <c r="C36" s="113" t="s">
        <v>1068</v>
      </c>
      <c r="D36" s="112" t="s">
        <v>1048</v>
      </c>
      <c r="E36" s="52"/>
      <c r="F36" s="53" t="s">
        <v>1013</v>
      </c>
      <c r="G36" s="53" t="s">
        <v>1012</v>
      </c>
      <c r="H36" s="52"/>
      <c r="I36" s="52"/>
      <c r="J36" s="54"/>
      <c r="K36" s="54"/>
      <c r="L36" s="55" t="str">
        <f t="shared" si="29"/>
        <v xml:space="preserve">            { line: "EN EL SENDERO ME ENCUENTRO YO., (Fa,,20)(La,m,250)", sC: "ta as"},</v>
      </c>
      <c r="M36" s="56" t="str">
        <f>IF(N36="","","(")</f>
        <v>(</v>
      </c>
      <c r="N36" s="57" t="str">
        <f>IF(D36="","",D36)</f>
        <v>Fa</v>
      </c>
      <c r="O36" s="58" t="str">
        <f>IF(N36="","",",")</f>
        <v>,</v>
      </c>
      <c r="P36" s="59" t="str">
        <f>IF(E36="","",E36)</f>
        <v/>
      </c>
      <c r="Q36" s="60" t="str">
        <f>IF(N36="","",",")</f>
        <v>,</v>
      </c>
      <c r="R36" s="61">
        <f t="shared" si="28"/>
        <v>20</v>
      </c>
      <c r="S36" s="56" t="str">
        <f>IF(N36="","",")")</f>
        <v>)</v>
      </c>
      <c r="T36" s="62" t="str">
        <f>IF(U36="","","(")</f>
        <v>(</v>
      </c>
      <c r="U36" s="63" t="str">
        <f>IF(F36="","",F36)</f>
        <v>La</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1054</v>
      </c>
      <c r="D37" s="112" t="s">
        <v>1048</v>
      </c>
      <c r="E37" s="52"/>
      <c r="F37" s="53" t="s">
        <v>1013</v>
      </c>
      <c r="G37" s="53" t="s">
        <v>1012</v>
      </c>
      <c r="H37" s="52"/>
      <c r="I37" s="52"/>
      <c r="J37" s="54"/>
      <c r="K37" s="54"/>
      <c r="L37" s="55" t="str">
        <f t="shared" si="29"/>
        <v xml:space="preserve">            { line: "EN EL SENDERO CAMINO YO., (Fa,,20)(La,m,250)", sC: "as"},</v>
      </c>
      <c r="M37" s="56" t="str">
        <f>IF(N37="","","(")</f>
        <v>(</v>
      </c>
      <c r="N37" s="57" t="str">
        <f>IF(D37="","",D37)</f>
        <v>Fa</v>
      </c>
      <c r="O37" s="58" t="str">
        <f>IF(N37="","",",")</f>
        <v>,</v>
      </c>
      <c r="P37" s="59" t="str">
        <f>IF(E37="","",E37)</f>
        <v/>
      </c>
      <c r="Q37" s="60" t="str">
        <f>IF(N37="","",",")</f>
        <v>,</v>
      </c>
      <c r="R37" s="61">
        <f t="shared" si="28"/>
        <v>20</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1055</v>
      </c>
      <c r="D38" s="112" t="s">
        <v>1046</v>
      </c>
      <c r="E38" s="52" t="s">
        <v>1012</v>
      </c>
      <c r="F38" s="53" t="s">
        <v>1011</v>
      </c>
      <c r="G38" s="53"/>
      <c r="H38" s="52"/>
      <c r="I38" s="52"/>
      <c r="J38" s="54"/>
      <c r="K38" s="54"/>
      <c r="L38" s="55" t="str">
        <f t="shared" si="29"/>
        <v xml:space="preserve">            { line: "EN EL SEÑOR DE TODO EL MUNDO,, (Re,m,22)(Mi,,250)", sC: "as"},</v>
      </c>
      <c r="M38" s="56" t="str">
        <f>IF(N38="","","(")</f>
        <v>(</v>
      </c>
      <c r="N38" s="57" t="str">
        <f>IF(D38="","",D38)</f>
        <v>Re</v>
      </c>
      <c r="O38" s="58" t="str">
        <f>IF(N38="","",",")</f>
        <v>,</v>
      </c>
      <c r="P38" s="59" t="str">
        <f>IF(E38="","",E38)</f>
        <v>m</v>
      </c>
      <c r="Q38" s="60" t="str">
        <f>IF(N38="","",",")</f>
        <v>,</v>
      </c>
      <c r="R38" s="61">
        <f t="shared" si="28"/>
        <v>22</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1056</v>
      </c>
      <c r="D39" s="112"/>
      <c r="E39" s="52"/>
      <c r="F39" s="53"/>
      <c r="G39" s="53"/>
      <c r="H39" s="52"/>
      <c r="I39" s="52"/>
      <c r="J39" s="54"/>
      <c r="K39" s="54"/>
      <c r="L39" s="55" t="str">
        <f t="shared" si="29"/>
        <v xml:space="preserve">            { line: "DE TODO EL MUNDO., ", sC: "as"},</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si="28"/>
        <v/>
      </c>
      <c r="S39" s="56" t="str">
        <f t="shared" ref="S39:S42" si="35">IF(N39="","",")")</f>
        <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999</v>
      </c>
      <c r="C41" s="113" t="s">
        <v>1057</v>
      </c>
      <c r="D41" s="112" t="s">
        <v>1011</v>
      </c>
      <c r="E41" s="52"/>
      <c r="F41" s="53"/>
      <c r="G41" s="53"/>
      <c r="H41" s="52"/>
      <c r="I41" s="52"/>
      <c r="J41" s="54"/>
      <c r="K41" s="54"/>
      <c r="L41" s="55" t="str">
        <f t="shared" si="29"/>
        <v xml:space="preserve">            { line: "LA LA, LA LA LA LA LA LA LALA ..., (Mi,,20)", sC: "as"},</v>
      </c>
      <c r="M41" s="56" t="str">
        <f t="shared" si="30"/>
        <v>(</v>
      </c>
      <c r="N41" s="57" t="str">
        <f t="shared" si="31"/>
        <v>Mi</v>
      </c>
      <c r="O41" s="58" t="str">
        <f t="shared" si="32"/>
        <v>,</v>
      </c>
      <c r="P41" s="59" t="str">
        <f t="shared" si="33"/>
        <v/>
      </c>
      <c r="Q41" s="60" t="str">
        <f t="shared" si="34"/>
        <v>,</v>
      </c>
      <c r="R41" s="61">
        <f t="shared" si="28"/>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1058</v>
      </c>
      <c r="D42" s="112" t="s">
        <v>1046</v>
      </c>
      <c r="E42" s="52" t="s">
        <v>1012</v>
      </c>
      <c r="F42" s="53" t="s">
        <v>1011</v>
      </c>
      <c r="G42" s="53"/>
      <c r="H42" s="52"/>
      <c r="I42" s="52"/>
      <c r="J42" s="54"/>
      <c r="K42" s="54"/>
      <c r="L42" s="55" t="str">
        <f t="shared" si="29"/>
        <v xml:space="preserve">            { line: "LA LA, LA ... LA, (Re,m,22)(Mi,,250)", sC: "as"},</v>
      </c>
      <c r="M42" s="56" t="str">
        <f t="shared" si="30"/>
        <v>(</v>
      </c>
      <c r="N42" s="57" t="str">
        <f t="shared" si="31"/>
        <v>Re</v>
      </c>
      <c r="O42" s="58" t="str">
        <f t="shared" si="32"/>
        <v>,</v>
      </c>
      <c r="P42" s="59" t="str">
        <f t="shared" si="33"/>
        <v>m</v>
      </c>
      <c r="Q42" s="60" t="str">
        <f t="shared" si="34"/>
        <v>,</v>
      </c>
      <c r="R42" s="61">
        <f t="shared" si="28"/>
        <v>22</v>
      </c>
      <c r="S42" s="56" t="str">
        <f t="shared" si="35"/>
        <v>)</v>
      </c>
      <c r="T42" s="62" t="str">
        <f t="shared" si="36"/>
        <v>(</v>
      </c>
      <c r="U42" s="63" t="str">
        <f t="shared" si="37"/>
        <v>Mi</v>
      </c>
      <c r="V42" s="64" t="str">
        <f t="shared" si="38"/>
        <v>,</v>
      </c>
      <c r="W42" s="65" t="str">
        <f t="shared" si="39"/>
        <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999</v>
      </c>
      <c r="C43" s="113" t="s">
        <v>1059</v>
      </c>
      <c r="D43" s="112"/>
      <c r="E43" s="52"/>
      <c r="F43" s="53"/>
      <c r="G43" s="53"/>
      <c r="H43" s="52"/>
      <c r="I43" s="52"/>
      <c r="J43" s="54"/>
      <c r="K43" s="54"/>
      <c r="L43" s="55" t="str">
        <f t="shared" si="29"/>
        <v xml:space="preserve">            { line: "LALALA ..., ", sC: "as"},</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36.75" thickTop="1" thickBot="1" x14ac:dyDescent="0.4">
      <c r="A44" s="76"/>
      <c r="B44" s="76"/>
      <c r="C44" s="76" t="s">
        <v>1047</v>
      </c>
      <c r="D44" s="77"/>
      <c r="E44" s="77"/>
      <c r="F44" s="77"/>
      <c r="G44" s="77"/>
      <c r="H44" s="77"/>
      <c r="I44" s="77"/>
      <c r="J44" s="77"/>
      <c r="K44" s="77"/>
      <c r="L44" s="50" t="s">
        <v>994</v>
      </c>
      <c r="M44" s="104"/>
      <c r="N44" s="57"/>
      <c r="O44" s="105"/>
      <c r="P44" s="59"/>
      <c r="Q44" s="106"/>
      <c r="R44" s="61" t="str">
        <f t="shared" si="28"/>
        <v/>
      </c>
      <c r="S44" s="104"/>
      <c r="T44" s="107"/>
      <c r="U44" s="108"/>
      <c r="V44" s="109"/>
      <c r="W44" s="110"/>
      <c r="X44" s="109"/>
      <c r="Y44" s="109"/>
      <c r="Z44" s="104"/>
      <c r="AA44" s="66"/>
      <c r="AB44" s="57"/>
      <c r="AC44" s="67"/>
      <c r="AD44" s="59"/>
      <c r="AE44" s="68"/>
      <c r="AF44" s="61"/>
      <c r="AG44" s="61"/>
      <c r="AH44" s="66"/>
      <c r="AI44" s="111"/>
      <c r="AJ44" s="109"/>
      <c r="AK44" s="109"/>
      <c r="AL44" s="109"/>
      <c r="AM44" s="109"/>
      <c r="AN44" s="109"/>
    </row>
    <row r="45" spans="1:40" ht="25.5" thickTop="1" thickBot="1" x14ac:dyDescent="0.4">
      <c r="B45" t="s">
        <v>1014</v>
      </c>
      <c r="C45" s="113" t="s">
        <v>1060</v>
      </c>
      <c r="D45" s="112" t="s">
        <v>1011</v>
      </c>
      <c r="E45" s="52"/>
      <c r="F45" s="53" t="s">
        <v>1013</v>
      </c>
      <c r="G45" s="53" t="s">
        <v>1012</v>
      </c>
      <c r="H45" s="52"/>
      <c r="I45" s="52"/>
      <c r="J45" s="54"/>
      <c r="K45" s="54"/>
      <c r="L45" s="55" t="str">
        <f t="shared" ref="L45:L60" si="57">IF(C45="","",_xlfn.CONCAT("            { line: ","""",C45,", ",M45:AN45,""", sC: ","""",B45,"""},"))</f>
        <v xml:space="preserve">            { line: "Hazme comer las hierbas,, (Mi,,20)(La,m,250)", sC: "tc"},</v>
      </c>
      <c r="M45" s="56" t="str">
        <f t="shared" ref="M45:M60" si="58">IF(N45="","","(")</f>
        <v>(</v>
      </c>
      <c r="N45" s="57" t="str">
        <f t="shared" si="2"/>
        <v>Mi</v>
      </c>
      <c r="O45" s="58" t="str">
        <f t="shared" ref="O45:O60" si="59">IF(N45="","",",")</f>
        <v>,</v>
      </c>
      <c r="P45" s="59" t="str">
        <f t="shared" si="4"/>
        <v/>
      </c>
      <c r="Q45" s="60" t="str">
        <f t="shared" ref="Q45:Q60" si="60">IF(N45="","",",")</f>
        <v>,</v>
      </c>
      <c r="R45" s="61">
        <f t="shared" si="28"/>
        <v>20</v>
      </c>
      <c r="S45" s="56" t="str">
        <f t="shared" ref="S45:S60" si="61">IF(N45="","",")")</f>
        <v>)</v>
      </c>
      <c r="T45" s="62" t="str">
        <f t="shared" ref="T45:T60" si="62">IF(U45="","","(")</f>
        <v>(</v>
      </c>
      <c r="U45" s="63" t="str">
        <f t="shared" si="8"/>
        <v>La</v>
      </c>
      <c r="V45" s="64" t="str">
        <f t="shared" ref="V45:V60" si="63">IF(U45="","",",")</f>
        <v>,</v>
      </c>
      <c r="W45" s="65" t="str">
        <f t="shared" si="10"/>
        <v>m</v>
      </c>
      <c r="X45" s="64" t="str">
        <f t="shared" ref="X45:X60" si="64">IF(U45="","",",")</f>
        <v>,</v>
      </c>
      <c r="Y45" s="64">
        <f t="shared" ref="Y45:Y60" si="65">IF(U45="","",250)</f>
        <v>250</v>
      </c>
      <c r="Z45" s="56" t="str">
        <f t="shared" ref="Z45:Z60" si="66">IF(U45="","",")")</f>
        <v>)</v>
      </c>
      <c r="AA45" s="66" t="str">
        <f t="shared" ref="AA45:AA60" si="67">IF(AB45="","","(")</f>
        <v/>
      </c>
      <c r="AB45" s="57" t="str">
        <f t="shared" si="15"/>
        <v/>
      </c>
      <c r="AC45" s="67" t="str">
        <f t="shared" ref="AC45:AC60" si="68">IF(AB45="","",",")</f>
        <v/>
      </c>
      <c r="AD45" s="59" t="str">
        <f t="shared" ref="AD45:AD60" si="69">IF(I45="","",I45)</f>
        <v/>
      </c>
      <c r="AE45" s="68" t="str">
        <f t="shared" ref="AE45:AE60" si="70">IF(AB45="","",",")</f>
        <v/>
      </c>
      <c r="AF45" s="61" t="str">
        <f t="shared" ref="AF45:AF60" si="71">IF(AB45="","",350)</f>
        <v/>
      </c>
      <c r="AG45" s="61" t="str">
        <f t="shared" ref="AG45:AG60" si="72">IF(AB45="","",")")</f>
        <v/>
      </c>
      <c r="AH45" s="69" t="str">
        <f t="shared" ref="AH45:AH60" si="73">IF(AI45="","","(")</f>
        <v/>
      </c>
      <c r="AI45" s="70" t="str">
        <f t="shared" si="22"/>
        <v/>
      </c>
      <c r="AJ45" s="64" t="str">
        <f t="shared" ref="AJ45:AJ60" si="74">IF(AI45="","",",")</f>
        <v/>
      </c>
      <c r="AK45" s="64" t="str">
        <f t="shared" ref="AK45:AK60" si="75">IF(K45="","",K45)</f>
        <v/>
      </c>
      <c r="AL45" s="64" t="str">
        <f t="shared" ref="AL45:AL60" si="76">IF(AI45="","",",")</f>
        <v/>
      </c>
      <c r="AM45" s="64" t="str">
        <f t="shared" ref="AM45:AM60" si="77">IF(AI45="","",450)</f>
        <v/>
      </c>
      <c r="AN45" s="64" t="str">
        <f t="shared" ref="AN45:AN60" si="78">IF(AI45="","",")")</f>
        <v/>
      </c>
    </row>
    <row r="46" spans="1:40" ht="25.5" thickTop="1" thickBot="1" x14ac:dyDescent="0.4">
      <c r="C46" s="113" t="s">
        <v>1061</v>
      </c>
      <c r="D46" s="112" t="s">
        <v>1046</v>
      </c>
      <c r="E46" s="52" t="s">
        <v>1012</v>
      </c>
      <c r="F46" s="53" t="s">
        <v>1011</v>
      </c>
      <c r="G46" s="53"/>
      <c r="H46" s="52"/>
      <c r="I46" s="52"/>
      <c r="J46" s="54"/>
      <c r="K46" s="54"/>
      <c r="L46" s="55" t="str">
        <f t="shared" si="57"/>
        <v xml:space="preserve">            { line: "que pueda saciar mis ansias,, (Re,m,22)(Mi,,250)", sC: ""},</v>
      </c>
      <c r="M46" s="56" t="str">
        <f t="shared" si="58"/>
        <v>(</v>
      </c>
      <c r="N46" s="57" t="str">
        <f t="shared" si="2"/>
        <v>Re</v>
      </c>
      <c r="O46" s="58" t="str">
        <f t="shared" si="59"/>
        <v>,</v>
      </c>
      <c r="P46" s="59" t="str">
        <f t="shared" si="4"/>
        <v>m</v>
      </c>
      <c r="Q46" s="60" t="str">
        <f t="shared" si="60"/>
        <v>,</v>
      </c>
      <c r="R46" s="61">
        <f t="shared" si="28"/>
        <v>22</v>
      </c>
      <c r="S46" s="56" t="str">
        <f t="shared" si="61"/>
        <v>)</v>
      </c>
      <c r="T46" s="62" t="str">
        <f t="shared" si="62"/>
        <v>(</v>
      </c>
      <c r="U46" s="63" t="str">
        <f t="shared" si="8"/>
        <v>Mi</v>
      </c>
      <c r="V46" s="64" t="str">
        <f t="shared" si="63"/>
        <v>,</v>
      </c>
      <c r="W46" s="65" t="str">
        <f t="shared" si="10"/>
        <v/>
      </c>
      <c r="X46" s="64" t="str">
        <f t="shared" si="64"/>
        <v>,</v>
      </c>
      <c r="Y46" s="64">
        <f t="shared" si="65"/>
        <v>250</v>
      </c>
      <c r="Z46" s="56" t="str">
        <f t="shared" si="66"/>
        <v>)</v>
      </c>
      <c r="AA46" s="66" t="str">
        <f t="shared" si="67"/>
        <v/>
      </c>
      <c r="AB46" s="57" t="str">
        <f t="shared" si="15"/>
        <v/>
      </c>
      <c r="AC46" s="67" t="str">
        <f t="shared" si="68"/>
        <v/>
      </c>
      <c r="AD46" s="59" t="str">
        <f t="shared" si="69"/>
        <v/>
      </c>
      <c r="AE46" s="68" t="str">
        <f t="shared" si="70"/>
        <v/>
      </c>
      <c r="AF46" s="61" t="str">
        <f t="shared" si="71"/>
        <v/>
      </c>
      <c r="AG46" s="61" t="str">
        <f t="shared" si="72"/>
        <v/>
      </c>
      <c r="AH46" s="69" t="str">
        <f t="shared" si="73"/>
        <v/>
      </c>
      <c r="AI46" s="70" t="str">
        <f t="shared" si="22"/>
        <v/>
      </c>
      <c r="AJ46" s="64" t="str">
        <f t="shared" si="74"/>
        <v/>
      </c>
      <c r="AK46" s="64" t="str">
        <f t="shared" si="75"/>
        <v/>
      </c>
      <c r="AL46" s="64" t="str">
        <f t="shared" si="76"/>
        <v/>
      </c>
      <c r="AM46" s="64" t="str">
        <f t="shared" si="77"/>
        <v/>
      </c>
      <c r="AN46" s="64" t="str">
        <f t="shared" si="78"/>
        <v/>
      </c>
    </row>
    <row r="47" spans="1:40" ht="25.5" thickTop="1" thickBot="1" x14ac:dyDescent="0.4">
      <c r="C47" s="113" t="s">
        <v>1062</v>
      </c>
      <c r="D47" s="112"/>
      <c r="E47" s="52"/>
      <c r="F47" s="53"/>
      <c r="G47" s="53"/>
      <c r="H47" s="52"/>
      <c r="I47" s="52"/>
      <c r="J47" s="54"/>
      <c r="K47" s="54"/>
      <c r="L47" s="55" t="str">
        <f t="shared" si="57"/>
        <v xml:space="preserve">            { line: "que son ansias de amistad,, ", sC: ""},</v>
      </c>
      <c r="M47" s="56" t="str">
        <f t="shared" si="58"/>
        <v/>
      </c>
      <c r="N47" s="57" t="str">
        <f t="shared" si="2"/>
        <v/>
      </c>
      <c r="O47" s="58" t="str">
        <f t="shared" si="59"/>
        <v/>
      </c>
      <c r="P47" s="59" t="str">
        <f t="shared" si="4"/>
        <v/>
      </c>
      <c r="Q47" s="60" t="str">
        <f t="shared" si="60"/>
        <v/>
      </c>
      <c r="R47" s="61" t="str">
        <f t="shared" si="28"/>
        <v/>
      </c>
      <c r="S47" s="56" t="str">
        <f t="shared" si="61"/>
        <v/>
      </c>
      <c r="T47" s="62" t="str">
        <f t="shared" si="62"/>
        <v/>
      </c>
      <c r="U47" s="63" t="str">
        <f t="shared" si="8"/>
        <v/>
      </c>
      <c r="V47" s="64" t="str">
        <f t="shared" si="63"/>
        <v/>
      </c>
      <c r="W47" s="65" t="str">
        <f t="shared" si="10"/>
        <v/>
      </c>
      <c r="X47" s="64" t="str">
        <f t="shared" si="64"/>
        <v/>
      </c>
      <c r="Y47" s="64" t="str">
        <f t="shared" si="65"/>
        <v/>
      </c>
      <c r="Z47" s="56" t="str">
        <f t="shared" si="66"/>
        <v/>
      </c>
      <c r="AA47" s="66" t="str">
        <f t="shared" si="67"/>
        <v/>
      </c>
      <c r="AB47" s="57" t="str">
        <f t="shared" si="15"/>
        <v/>
      </c>
      <c r="AC47" s="67" t="str">
        <f t="shared" si="68"/>
        <v/>
      </c>
      <c r="AD47" s="59" t="str">
        <f t="shared" si="69"/>
        <v/>
      </c>
      <c r="AE47" s="68" t="str">
        <f t="shared" si="70"/>
        <v/>
      </c>
      <c r="AF47" s="61" t="str">
        <f t="shared" si="71"/>
        <v/>
      </c>
      <c r="AG47" s="61" t="str">
        <f t="shared" si="72"/>
        <v/>
      </c>
      <c r="AH47" s="69" t="str">
        <f t="shared" si="73"/>
        <v/>
      </c>
      <c r="AI47" s="70" t="str">
        <f t="shared" si="22"/>
        <v/>
      </c>
      <c r="AJ47" s="64" t="str">
        <f t="shared" si="74"/>
        <v/>
      </c>
      <c r="AK47" s="64" t="str">
        <f t="shared" si="75"/>
        <v/>
      </c>
      <c r="AL47" s="64" t="str">
        <f t="shared" si="76"/>
        <v/>
      </c>
      <c r="AM47" s="64" t="str">
        <f t="shared" si="77"/>
        <v/>
      </c>
      <c r="AN47" s="64" t="str">
        <f t="shared" si="78"/>
        <v/>
      </c>
    </row>
    <row r="48" spans="1:40" ht="25.5" thickTop="1" thickBot="1" x14ac:dyDescent="0.4">
      <c r="C48" s="113" t="s">
        <v>1063</v>
      </c>
      <c r="D48" s="112"/>
      <c r="E48" s="52"/>
      <c r="F48" s="53"/>
      <c r="G48" s="53"/>
      <c r="H48" s="52"/>
      <c r="I48" s="52"/>
      <c r="J48" s="54"/>
      <c r="K48" s="54"/>
      <c r="L48" s="55" t="str">
        <f t="shared" si="57"/>
        <v xml:space="preserve">            { line: "que son ansias de humildad,, ", sC: ""},</v>
      </c>
      <c r="M48" s="56" t="str">
        <f t="shared" si="58"/>
        <v/>
      </c>
      <c r="N48" s="57" t="str">
        <f t="shared" si="2"/>
        <v/>
      </c>
      <c r="O48" s="58" t="str">
        <f t="shared" si="59"/>
        <v/>
      </c>
      <c r="P48" s="59" t="str">
        <f t="shared" si="4"/>
        <v/>
      </c>
      <c r="Q48" s="60" t="str">
        <f t="shared" si="60"/>
        <v/>
      </c>
      <c r="R48" s="61" t="str">
        <f t="shared" si="28"/>
        <v/>
      </c>
      <c r="S48" s="56" t="str">
        <f t="shared" si="61"/>
        <v/>
      </c>
      <c r="T48" s="62" t="str">
        <f t="shared" si="62"/>
        <v/>
      </c>
      <c r="U48" s="63" t="str">
        <f t="shared" si="8"/>
        <v/>
      </c>
      <c r="V48" s="64" t="str">
        <f t="shared" si="63"/>
        <v/>
      </c>
      <c r="W48" s="65" t="str">
        <f t="shared" si="10"/>
        <v/>
      </c>
      <c r="X48" s="64" t="str">
        <f t="shared" si="64"/>
        <v/>
      </c>
      <c r="Y48" s="64" t="str">
        <f t="shared" si="65"/>
        <v/>
      </c>
      <c r="Z48" s="56" t="str">
        <f t="shared" si="66"/>
        <v/>
      </c>
      <c r="AA48" s="66" t="str">
        <f t="shared" si="67"/>
        <v/>
      </c>
      <c r="AB48" s="57" t="str">
        <f t="shared" si="15"/>
        <v/>
      </c>
      <c r="AC48" s="67" t="str">
        <f t="shared" si="68"/>
        <v/>
      </c>
      <c r="AD48" s="59" t="str">
        <f t="shared" si="69"/>
        <v/>
      </c>
      <c r="AE48" s="68" t="str">
        <f t="shared" si="70"/>
        <v/>
      </c>
      <c r="AF48" s="61" t="str">
        <f t="shared" si="71"/>
        <v/>
      </c>
      <c r="AG48" s="61" t="str">
        <f t="shared" si="72"/>
        <v/>
      </c>
      <c r="AH48" s="69" t="str">
        <f t="shared" si="73"/>
        <v/>
      </c>
      <c r="AI48" s="70" t="str">
        <f t="shared" si="22"/>
        <v/>
      </c>
      <c r="AJ48" s="64" t="str">
        <f t="shared" si="74"/>
        <v/>
      </c>
      <c r="AK48" s="64" t="str">
        <f t="shared" si="75"/>
        <v/>
      </c>
      <c r="AL48" s="64" t="str">
        <f t="shared" si="76"/>
        <v/>
      </c>
      <c r="AM48" s="64" t="str">
        <f t="shared" si="77"/>
        <v/>
      </c>
      <c r="AN48" s="64" t="str">
        <f t="shared" si="78"/>
        <v/>
      </c>
    </row>
    <row r="49" spans="1:40" ht="25.5" thickTop="1" thickBot="1" x14ac:dyDescent="0.4">
      <c r="C49" s="113" t="s">
        <v>1064</v>
      </c>
      <c r="D49" s="112" t="s">
        <v>1046</v>
      </c>
      <c r="E49" s="52" t="s">
        <v>1012</v>
      </c>
      <c r="F49" s="53" t="s">
        <v>1011</v>
      </c>
      <c r="G49" s="53"/>
      <c r="H49" s="52"/>
      <c r="I49" s="52"/>
      <c r="J49" s="54"/>
      <c r="K49" s="54"/>
      <c r="L49" s="78" t="str">
        <f t="shared" si="57"/>
        <v xml:space="preserve">            { line: "que son ansias,, (Re,m,22)(Mi,,250)", sC: ""},</v>
      </c>
      <c r="M49" s="56" t="str">
        <f t="shared" si="58"/>
        <v>(</v>
      </c>
      <c r="N49" s="57" t="str">
        <f t="shared" si="2"/>
        <v>Re</v>
      </c>
      <c r="O49" s="58" t="str">
        <f t="shared" si="59"/>
        <v>,</v>
      </c>
      <c r="P49" s="59" t="str">
        <f t="shared" si="4"/>
        <v>m</v>
      </c>
      <c r="Q49" s="60" t="str">
        <f t="shared" si="60"/>
        <v>,</v>
      </c>
      <c r="R49" s="61">
        <f t="shared" si="28"/>
        <v>22</v>
      </c>
      <c r="S49" s="56" t="str">
        <f t="shared" si="61"/>
        <v>)</v>
      </c>
      <c r="T49" s="62" t="str">
        <f t="shared" si="62"/>
        <v>(</v>
      </c>
      <c r="U49" s="63" t="str">
        <f t="shared" si="8"/>
        <v>Mi</v>
      </c>
      <c r="V49" s="64" t="str">
        <f t="shared" si="63"/>
        <v>,</v>
      </c>
      <c r="W49" s="65" t="str">
        <f t="shared" si="10"/>
        <v/>
      </c>
      <c r="X49" s="64" t="str">
        <f t="shared" si="64"/>
        <v>,</v>
      </c>
      <c r="Y49" s="64">
        <f t="shared" si="65"/>
        <v>250</v>
      </c>
      <c r="Z49" s="56" t="str">
        <f t="shared" si="66"/>
        <v>)</v>
      </c>
      <c r="AA49" s="66" t="str">
        <f t="shared" si="67"/>
        <v/>
      </c>
      <c r="AB49" s="57" t="str">
        <f t="shared" si="15"/>
        <v/>
      </c>
      <c r="AC49" s="67" t="str">
        <f t="shared" si="68"/>
        <v/>
      </c>
      <c r="AD49" s="59" t="str">
        <f t="shared" si="69"/>
        <v/>
      </c>
      <c r="AE49" s="68" t="str">
        <f t="shared" si="70"/>
        <v/>
      </c>
      <c r="AF49" s="61" t="str">
        <f t="shared" si="71"/>
        <v/>
      </c>
      <c r="AG49" s="61" t="str">
        <f t="shared" si="72"/>
        <v/>
      </c>
      <c r="AH49" s="69" t="str">
        <f t="shared" si="73"/>
        <v/>
      </c>
      <c r="AI49" s="70" t="str">
        <f t="shared" si="22"/>
        <v/>
      </c>
      <c r="AJ49" s="64" t="str">
        <f t="shared" si="74"/>
        <v/>
      </c>
      <c r="AK49" s="64" t="str">
        <f t="shared" si="75"/>
        <v/>
      </c>
      <c r="AL49" s="64" t="str">
        <f t="shared" si="76"/>
        <v/>
      </c>
      <c r="AM49" s="64" t="str">
        <f t="shared" si="77"/>
        <v/>
      </c>
      <c r="AN49" s="64" t="str">
        <f t="shared" si="78"/>
        <v/>
      </c>
    </row>
    <row r="50" spans="1:40" ht="25.5" thickTop="1" thickBot="1" x14ac:dyDescent="0.4">
      <c r="C50" s="113" t="s">
        <v>1065</v>
      </c>
      <c r="D50" s="112"/>
      <c r="E50" s="52"/>
      <c r="F50" s="53"/>
      <c r="G50" s="53"/>
      <c r="H50" s="52"/>
      <c r="I50" s="52"/>
      <c r="J50" s="54"/>
      <c r="K50" s="54"/>
      <c r="L50" s="78" t="str">
        <f t="shared" si="57"/>
        <v xml:space="preserve">            { line: "que son ansias de obediencia., ", sC: ""},</v>
      </c>
      <c r="M50" s="56" t="str">
        <f t="shared" si="58"/>
        <v/>
      </c>
      <c r="N50" s="57" t="str">
        <f t="shared" si="2"/>
        <v/>
      </c>
      <c r="O50" s="58" t="str">
        <f t="shared" si="59"/>
        <v/>
      </c>
      <c r="P50" s="59" t="str">
        <f t="shared" si="4"/>
        <v/>
      </c>
      <c r="Q50" s="60" t="str">
        <f t="shared" si="60"/>
        <v/>
      </c>
      <c r="R50" s="61" t="str">
        <f t="shared" si="28"/>
        <v/>
      </c>
      <c r="S50" s="56" t="str">
        <f t="shared" si="61"/>
        <v/>
      </c>
      <c r="T50" s="62" t="str">
        <f t="shared" si="62"/>
        <v/>
      </c>
      <c r="U50" s="63" t="str">
        <f t="shared" si="8"/>
        <v/>
      </c>
      <c r="V50" s="64" t="str">
        <f t="shared" si="63"/>
        <v/>
      </c>
      <c r="W50" s="65" t="str">
        <f t="shared" si="10"/>
        <v/>
      </c>
      <c r="X50" s="64" t="str">
        <f t="shared" si="64"/>
        <v/>
      </c>
      <c r="Y50" s="64" t="str">
        <f t="shared" si="65"/>
        <v/>
      </c>
      <c r="Z50" s="56" t="str">
        <f t="shared" si="66"/>
        <v/>
      </c>
      <c r="AA50" s="66" t="str">
        <f t="shared" si="67"/>
        <v/>
      </c>
      <c r="AB50" s="57" t="str">
        <f t="shared" si="15"/>
        <v/>
      </c>
      <c r="AC50" s="67" t="str">
        <f t="shared" si="68"/>
        <v/>
      </c>
      <c r="AD50" s="59" t="str">
        <f t="shared" si="69"/>
        <v/>
      </c>
      <c r="AE50" s="68" t="str">
        <f t="shared" si="70"/>
        <v/>
      </c>
      <c r="AF50" s="61" t="str">
        <f t="shared" si="71"/>
        <v/>
      </c>
      <c r="AG50" s="61" t="str">
        <f t="shared" si="72"/>
        <v/>
      </c>
      <c r="AH50" s="69" t="str">
        <f t="shared" si="73"/>
        <v/>
      </c>
      <c r="AI50" s="70" t="str">
        <f t="shared" si="22"/>
        <v/>
      </c>
      <c r="AJ50" s="64" t="str">
        <f t="shared" si="74"/>
        <v/>
      </c>
      <c r="AK50" s="64" t="str">
        <f t="shared" si="75"/>
        <v/>
      </c>
      <c r="AL50" s="64" t="str">
        <f t="shared" si="76"/>
        <v/>
      </c>
      <c r="AM50" s="64" t="str">
        <f t="shared" si="77"/>
        <v/>
      </c>
      <c r="AN50" s="64" t="str">
        <f t="shared" si="78"/>
        <v/>
      </c>
    </row>
    <row r="51" spans="1:40" ht="27.75" thickTop="1" thickBot="1" x14ac:dyDescent="0.4">
      <c r="A51" s="73"/>
      <c r="B51" s="73"/>
      <c r="C51" s="73"/>
      <c r="D51" s="74"/>
      <c r="E51" s="74"/>
      <c r="F51" s="74"/>
      <c r="G51" s="74"/>
      <c r="H51" s="74"/>
      <c r="I51" s="74"/>
      <c r="J51" s="74"/>
      <c r="K51" s="74"/>
      <c r="L51" s="75" t="s">
        <v>993</v>
      </c>
      <c r="M51" s="56"/>
      <c r="N51" s="57"/>
      <c r="O51" s="58"/>
      <c r="P51" s="59"/>
      <c r="Q51" s="60"/>
      <c r="R51" s="61" t="str">
        <f t="shared" ref="R51:R57" si="79">IF(N51="Do",10,IF(N51="Re",22,IF(N51="Mi",20,IF(N51="Fa",20,IF(N51="Sol",14,IF(N51="La",20,IF(N51="Si",20,IF(N51="Do#",14,IF(N51="Fa#",15,IF(N51="Sol#",20,""))))))))))</f>
        <v/>
      </c>
      <c r="S51" s="56"/>
      <c r="T51" s="62"/>
      <c r="U51" s="63"/>
      <c r="V51" s="64"/>
      <c r="W51" s="65"/>
      <c r="X51" s="64"/>
      <c r="Y51" s="64"/>
      <c r="Z51" s="56"/>
      <c r="AA51" s="66"/>
      <c r="AB51" s="57"/>
      <c r="AC51" s="67"/>
      <c r="AD51" s="59"/>
      <c r="AE51" s="68"/>
      <c r="AF51" s="61"/>
      <c r="AG51" s="61"/>
      <c r="AH51" s="69"/>
      <c r="AI51" s="70"/>
      <c r="AJ51" s="64"/>
      <c r="AK51" s="64"/>
      <c r="AL51" s="64"/>
      <c r="AM51" s="64"/>
      <c r="AN51" s="64"/>
    </row>
    <row r="52" spans="1:40" ht="25.5" thickTop="1" thickBot="1" x14ac:dyDescent="0.4">
      <c r="C52" s="79" t="s">
        <v>995</v>
      </c>
      <c r="D52" s="80"/>
      <c r="E52" s="80"/>
      <c r="F52" s="80"/>
      <c r="G52" s="80"/>
      <c r="H52" s="80"/>
      <c r="I52" s="80"/>
      <c r="J52" s="80"/>
      <c r="K52" s="80"/>
      <c r="L52" s="81" t="s">
        <v>996</v>
      </c>
      <c r="M52" s="56" t="str">
        <f t="shared" ref="M52:M56" si="80">IF(N52="","","(")</f>
        <v/>
      </c>
      <c r="N52" s="57" t="str">
        <f t="shared" ref="N52:N56" si="81">IF(D52="","",D52)</f>
        <v/>
      </c>
      <c r="O52" s="58" t="str">
        <f t="shared" ref="O52:O56" si="82">IF(N52="","",",")</f>
        <v/>
      </c>
      <c r="P52" s="59" t="str">
        <f t="shared" ref="P52:P56" si="83">IF(E52="","",E52)</f>
        <v/>
      </c>
      <c r="Q52" s="60" t="str">
        <f t="shared" ref="Q52:Q56" si="84">IF(N52="","",",")</f>
        <v/>
      </c>
      <c r="R52" s="61" t="str">
        <f t="shared" si="79"/>
        <v/>
      </c>
      <c r="S52" s="56" t="str">
        <f t="shared" ref="S52:S56" si="85">IF(N52="","",")")</f>
        <v/>
      </c>
      <c r="T52" s="62" t="str">
        <f t="shared" ref="T52:T56" si="86">IF(U52="","","(")</f>
        <v/>
      </c>
      <c r="U52" s="63" t="str">
        <f t="shared" ref="U52:U56" si="87">IF(F52="","",F52)</f>
        <v/>
      </c>
      <c r="V52" s="64" t="str">
        <f t="shared" ref="V52:V56" si="88">IF(U52="","",",")</f>
        <v/>
      </c>
      <c r="W52" s="65" t="str">
        <f t="shared" ref="W52:W56" si="89">IF(G52="","",G52)</f>
        <v/>
      </c>
      <c r="X52" s="64" t="str">
        <f t="shared" ref="X52:X56" si="90">IF(U52="","",",")</f>
        <v/>
      </c>
      <c r="Y52" s="64" t="str">
        <f t="shared" ref="Y52:Y56" si="91">IF(U52="","",250)</f>
        <v/>
      </c>
      <c r="Z52" s="56" t="str">
        <f t="shared" ref="Z52:Z56" si="92">IF(U52="","",")")</f>
        <v/>
      </c>
      <c r="AA52" s="66" t="str">
        <f t="shared" ref="AA52:AA56" si="93">IF(AB52="","","(")</f>
        <v/>
      </c>
      <c r="AB52" s="57" t="str">
        <f t="shared" ref="AB52:AB56" si="94">IF(H52="","",H52)</f>
        <v/>
      </c>
      <c r="AC52" s="67" t="str">
        <f t="shared" ref="AC52:AC56" si="95">IF(AB52="","",",")</f>
        <v/>
      </c>
      <c r="AD52" s="59" t="str">
        <f t="shared" ref="AD52:AD56" si="96">IF(I52="","",I52)</f>
        <v/>
      </c>
      <c r="AE52" s="68" t="str">
        <f t="shared" ref="AE52:AE56" si="97">IF(AB52="","",",")</f>
        <v/>
      </c>
      <c r="AF52" s="61" t="str">
        <f t="shared" ref="AF52:AF56" si="98">IF(AB52="","",350)</f>
        <v/>
      </c>
      <c r="AG52" s="61" t="str">
        <f t="shared" ref="AG52:AG56" si="99">IF(AB52="","",")")</f>
        <v/>
      </c>
      <c r="AH52" s="69" t="str">
        <f t="shared" ref="AH52:AH56" si="100">IF(AI52="","","(")</f>
        <v/>
      </c>
      <c r="AI52" s="70" t="str">
        <f t="shared" ref="AI52:AI56" si="101">IF(J52="","",J52)</f>
        <v/>
      </c>
      <c r="AJ52" s="64" t="str">
        <f t="shared" ref="AJ52:AJ56" si="102">IF(AI52="","",",")</f>
        <v/>
      </c>
      <c r="AK52" s="64" t="str">
        <f t="shared" ref="AK52:AK56" si="103">IF(K52="","",K52)</f>
        <v/>
      </c>
      <c r="AL52" s="64" t="str">
        <f t="shared" ref="AL52:AL56" si="104">IF(AI52="","",",")</f>
        <v/>
      </c>
      <c r="AM52" s="64" t="str">
        <f t="shared" ref="AM52:AM56" si="105">IF(AI52="","",450)</f>
        <v/>
      </c>
      <c r="AN52" s="64" t="str">
        <f t="shared" ref="AN52:AN56" si="106">IF(AI52="","",")")</f>
        <v/>
      </c>
    </row>
    <row r="53" spans="1:40" ht="25.5" thickTop="1" thickBot="1" x14ac:dyDescent="0.4">
      <c r="B53" t="s">
        <v>997</v>
      </c>
      <c r="C53" s="82" t="s">
        <v>1068</v>
      </c>
      <c r="D53" s="83" t="s">
        <v>1048</v>
      </c>
      <c r="E53" s="83"/>
      <c r="F53" s="83" t="s">
        <v>1013</v>
      </c>
      <c r="G53" s="83" t="s">
        <v>1012</v>
      </c>
      <c r="H53" s="83"/>
      <c r="I53" s="83"/>
      <c r="J53" s="83"/>
      <c r="K53" s="83"/>
      <c r="L53" s="84" t="str">
        <f>IF(C53="","",_xlfn.CONCAT("       triggerLine: ","""",C53,", ",M53:AN53,""", sC: ","""",B53,""", lines: ["))</f>
        <v xml:space="preserve">       triggerLine: "EN EL SENDERO ME ENCUENTRO YO., (Fa,,20)(La,m,250)", sC: "ta as", lines: [</v>
      </c>
      <c r="M53" s="56" t="str">
        <f t="shared" si="80"/>
        <v>(</v>
      </c>
      <c r="N53" s="57" t="str">
        <f t="shared" si="81"/>
        <v>Fa</v>
      </c>
      <c r="O53" s="58" t="str">
        <f t="shared" si="82"/>
        <v>,</v>
      </c>
      <c r="P53" s="59" t="str">
        <f t="shared" si="83"/>
        <v/>
      </c>
      <c r="Q53" s="60" t="str">
        <f t="shared" si="84"/>
        <v>,</v>
      </c>
      <c r="R53" s="61">
        <f t="shared" si="79"/>
        <v>20</v>
      </c>
      <c r="S53" s="56" t="str">
        <f t="shared" si="85"/>
        <v>)</v>
      </c>
      <c r="T53" s="62" t="str">
        <f t="shared" si="86"/>
        <v>(</v>
      </c>
      <c r="U53" s="63" t="str">
        <f t="shared" si="87"/>
        <v>La</v>
      </c>
      <c r="V53" s="64" t="str">
        <f t="shared" si="88"/>
        <v>,</v>
      </c>
      <c r="W53" s="65" t="str">
        <f t="shared" si="89"/>
        <v>m</v>
      </c>
      <c r="X53" s="64" t="str">
        <f t="shared" si="90"/>
        <v>,</v>
      </c>
      <c r="Y53" s="64">
        <f t="shared" si="91"/>
        <v>250</v>
      </c>
      <c r="Z53" s="56" t="str">
        <f t="shared" si="92"/>
        <v>)</v>
      </c>
      <c r="AA53" s="66" t="str">
        <f t="shared" si="93"/>
        <v/>
      </c>
      <c r="AB53" s="57" t="str">
        <f t="shared" si="94"/>
        <v/>
      </c>
      <c r="AC53" s="67" t="str">
        <f t="shared" si="95"/>
        <v/>
      </c>
      <c r="AD53" s="59" t="str">
        <f t="shared" si="96"/>
        <v/>
      </c>
      <c r="AE53" s="68" t="str">
        <f t="shared" si="97"/>
        <v/>
      </c>
      <c r="AF53" s="61" t="str">
        <f t="shared" si="98"/>
        <v/>
      </c>
      <c r="AG53" s="61" t="str">
        <f t="shared" si="99"/>
        <v/>
      </c>
      <c r="AH53" s="69" t="str">
        <f t="shared" si="100"/>
        <v/>
      </c>
      <c r="AI53" s="70" t="str">
        <f t="shared" si="101"/>
        <v/>
      </c>
      <c r="AJ53" s="64" t="str">
        <f t="shared" si="102"/>
        <v/>
      </c>
      <c r="AK53" s="64" t="str">
        <f t="shared" si="103"/>
        <v/>
      </c>
      <c r="AL53" s="64" t="str">
        <f t="shared" si="104"/>
        <v/>
      </c>
      <c r="AM53" s="64" t="str">
        <f t="shared" si="105"/>
        <v/>
      </c>
      <c r="AN53" s="64" t="str">
        <f t="shared" si="106"/>
        <v/>
      </c>
    </row>
    <row r="54" spans="1:40" ht="25.5" thickTop="1" thickBot="1" x14ac:dyDescent="0.4">
      <c r="B54" t="s">
        <v>999</v>
      </c>
      <c r="C54" s="85" t="s">
        <v>1054</v>
      </c>
      <c r="D54" s="86" t="s">
        <v>1048</v>
      </c>
      <c r="E54" s="86"/>
      <c r="F54" s="86" t="s">
        <v>1013</v>
      </c>
      <c r="G54" s="86" t="s">
        <v>1012</v>
      </c>
      <c r="H54" s="87"/>
      <c r="I54" s="87"/>
      <c r="J54" s="87"/>
      <c r="K54" s="87"/>
      <c r="L54" s="88" t="str">
        <f>IF(C54="","",_xlfn.CONCAT("            { line: ","""",C54,", ",M54:AN54,""", sC: ","""",B54,"""},"))</f>
        <v xml:space="preserve">            { line: "EN EL SENDERO CAMINO YO., (Fa,,20)(La,m,250)", sC: "as"},</v>
      </c>
      <c r="M54" s="56" t="str">
        <f t="shared" si="80"/>
        <v>(</v>
      </c>
      <c r="N54" s="57" t="str">
        <f t="shared" si="81"/>
        <v>Fa</v>
      </c>
      <c r="O54" s="58" t="str">
        <f t="shared" si="82"/>
        <v>,</v>
      </c>
      <c r="P54" s="59" t="str">
        <f t="shared" si="83"/>
        <v/>
      </c>
      <c r="Q54" s="60" t="str">
        <f t="shared" si="84"/>
        <v>,</v>
      </c>
      <c r="R54" s="61">
        <f t="shared" si="79"/>
        <v>20</v>
      </c>
      <c r="S54" s="56" t="str">
        <f t="shared" si="85"/>
        <v>)</v>
      </c>
      <c r="T54" s="62" t="str">
        <f t="shared" si="86"/>
        <v>(</v>
      </c>
      <c r="U54" s="63" t="str">
        <f t="shared" si="87"/>
        <v>La</v>
      </c>
      <c r="V54" s="64" t="str">
        <f t="shared" si="88"/>
        <v>,</v>
      </c>
      <c r="W54" s="65" t="str">
        <f t="shared" si="89"/>
        <v>m</v>
      </c>
      <c r="X54" s="64" t="str">
        <f t="shared" si="90"/>
        <v>,</v>
      </c>
      <c r="Y54" s="64">
        <f t="shared" si="91"/>
        <v>250</v>
      </c>
      <c r="Z54" s="56" t="str">
        <f t="shared" si="92"/>
        <v>)</v>
      </c>
      <c r="AA54" s="66" t="str">
        <f t="shared" si="93"/>
        <v/>
      </c>
      <c r="AB54" s="57" t="str">
        <f t="shared" si="94"/>
        <v/>
      </c>
      <c r="AC54" s="67" t="str">
        <f t="shared" si="95"/>
        <v/>
      </c>
      <c r="AD54" s="59" t="str">
        <f t="shared" si="96"/>
        <v/>
      </c>
      <c r="AE54" s="68" t="str">
        <f t="shared" si="97"/>
        <v/>
      </c>
      <c r="AF54" s="61" t="str">
        <f t="shared" si="98"/>
        <v/>
      </c>
      <c r="AG54" s="61" t="str">
        <f t="shared" si="99"/>
        <v/>
      </c>
      <c r="AH54" s="69" t="str">
        <f t="shared" si="100"/>
        <v/>
      </c>
      <c r="AI54" s="70" t="str">
        <f t="shared" si="101"/>
        <v/>
      </c>
      <c r="AJ54" s="64" t="str">
        <f t="shared" si="102"/>
        <v/>
      </c>
      <c r="AK54" s="64" t="str">
        <f t="shared" si="103"/>
        <v/>
      </c>
      <c r="AL54" s="64" t="str">
        <f t="shared" si="104"/>
        <v/>
      </c>
      <c r="AM54" s="64" t="str">
        <f t="shared" si="105"/>
        <v/>
      </c>
      <c r="AN54" s="64" t="str">
        <f t="shared" si="106"/>
        <v/>
      </c>
    </row>
    <row r="55" spans="1:40" ht="25.5" thickTop="1" thickBot="1" x14ac:dyDescent="0.4">
      <c r="B55" t="s">
        <v>999</v>
      </c>
      <c r="C55" s="85" t="s">
        <v>1055</v>
      </c>
      <c r="D55" s="89" t="s">
        <v>1046</v>
      </c>
      <c r="E55" s="89" t="s">
        <v>1012</v>
      </c>
      <c r="F55" s="89" t="s">
        <v>1011</v>
      </c>
      <c r="G55" s="89"/>
      <c r="H55" s="90"/>
      <c r="I55" s="90"/>
      <c r="J55" s="90"/>
      <c r="K55" s="90"/>
      <c r="L55" s="88" t="str">
        <f>IF(C55="","",_xlfn.CONCAT("            { line: ","""",C55,", ",M55:AN55,""", sC: ","""",B55,"""},"))</f>
        <v xml:space="preserve">            { line: "EN EL SEÑOR DE TODO EL MUNDO,, (Re,m,22)(Mi,,250)", sC: "as"},</v>
      </c>
      <c r="M55" s="56" t="str">
        <f t="shared" si="80"/>
        <v>(</v>
      </c>
      <c r="N55" s="57" t="str">
        <f t="shared" si="81"/>
        <v>Re</v>
      </c>
      <c r="O55" s="58" t="str">
        <f t="shared" si="82"/>
        <v>,</v>
      </c>
      <c r="P55" s="59" t="str">
        <f t="shared" si="83"/>
        <v>m</v>
      </c>
      <c r="Q55" s="60" t="str">
        <f t="shared" si="84"/>
        <v>,</v>
      </c>
      <c r="R55" s="61">
        <f t="shared" si="79"/>
        <v>22</v>
      </c>
      <c r="S55" s="56" t="str">
        <f t="shared" si="85"/>
        <v>)</v>
      </c>
      <c r="T55" s="62" t="str">
        <f t="shared" si="86"/>
        <v>(</v>
      </c>
      <c r="U55" s="63" t="str">
        <f t="shared" si="87"/>
        <v>Mi</v>
      </c>
      <c r="V55" s="64" t="str">
        <f t="shared" si="88"/>
        <v>,</v>
      </c>
      <c r="W55" s="65" t="str">
        <f t="shared" si="89"/>
        <v/>
      </c>
      <c r="X55" s="64" t="str">
        <f t="shared" si="90"/>
        <v>,</v>
      </c>
      <c r="Y55" s="64">
        <f t="shared" si="91"/>
        <v>250</v>
      </c>
      <c r="Z55" s="56" t="str">
        <f t="shared" si="92"/>
        <v>)</v>
      </c>
      <c r="AA55" s="66" t="str">
        <f t="shared" si="93"/>
        <v/>
      </c>
      <c r="AB55" s="57" t="str">
        <f t="shared" si="94"/>
        <v/>
      </c>
      <c r="AC55" s="67" t="str">
        <f t="shared" si="95"/>
        <v/>
      </c>
      <c r="AD55" s="59" t="str">
        <f t="shared" si="96"/>
        <v/>
      </c>
      <c r="AE55" s="68" t="str">
        <f t="shared" si="97"/>
        <v/>
      </c>
      <c r="AF55" s="61" t="str">
        <f t="shared" si="98"/>
        <v/>
      </c>
      <c r="AG55" s="61" t="str">
        <f t="shared" si="99"/>
        <v/>
      </c>
      <c r="AH55" s="69" t="str">
        <f t="shared" si="100"/>
        <v/>
      </c>
      <c r="AI55" s="70" t="str">
        <f t="shared" si="101"/>
        <v/>
      </c>
      <c r="AJ55" s="64" t="str">
        <f t="shared" si="102"/>
        <v/>
      </c>
      <c r="AK55" s="64" t="str">
        <f t="shared" si="103"/>
        <v/>
      </c>
      <c r="AL55" s="64" t="str">
        <f t="shared" si="104"/>
        <v/>
      </c>
      <c r="AM55" s="64" t="str">
        <f t="shared" si="105"/>
        <v/>
      </c>
      <c r="AN55" s="64" t="str">
        <f t="shared" si="106"/>
        <v/>
      </c>
    </row>
    <row r="56" spans="1:40" ht="25.5" thickTop="1" thickBot="1" x14ac:dyDescent="0.4">
      <c r="B56" t="s">
        <v>999</v>
      </c>
      <c r="C56" s="93" t="s">
        <v>1056</v>
      </c>
      <c r="D56" s="83"/>
      <c r="E56" s="83"/>
      <c r="F56" s="83"/>
      <c r="G56" s="83"/>
      <c r="H56" s="83"/>
      <c r="I56" s="83"/>
      <c r="J56" s="83"/>
      <c r="K56" s="83"/>
      <c r="L56" s="94" t="str">
        <f>IF(C56="","",_xlfn.CONCAT("            { line: ","""",C56,", ",M56:AN56,""", sC: ","""",B56,"""},  ]},"))</f>
        <v xml:space="preserve">            { line: "DE TODO EL MUNDO., ", sC: "as"},  ]},</v>
      </c>
      <c r="M56" s="56" t="str">
        <f t="shared" si="80"/>
        <v/>
      </c>
      <c r="N56" s="57" t="str">
        <f t="shared" si="81"/>
        <v/>
      </c>
      <c r="O56" s="58" t="str">
        <f t="shared" si="82"/>
        <v/>
      </c>
      <c r="P56" s="59" t="str">
        <f t="shared" si="83"/>
        <v/>
      </c>
      <c r="Q56" s="60" t="str">
        <f t="shared" si="84"/>
        <v/>
      </c>
      <c r="R56" s="61" t="str">
        <f t="shared" si="79"/>
        <v/>
      </c>
      <c r="S56" s="56" t="str">
        <f t="shared" si="85"/>
        <v/>
      </c>
      <c r="T56" s="62" t="str">
        <f t="shared" si="86"/>
        <v/>
      </c>
      <c r="U56" s="63" t="str">
        <f t="shared" si="87"/>
        <v/>
      </c>
      <c r="V56" s="64" t="str">
        <f t="shared" si="88"/>
        <v/>
      </c>
      <c r="W56" s="65" t="str">
        <f t="shared" si="89"/>
        <v/>
      </c>
      <c r="X56" s="64" t="str">
        <f t="shared" si="90"/>
        <v/>
      </c>
      <c r="Y56" s="64" t="str">
        <f t="shared" si="91"/>
        <v/>
      </c>
      <c r="Z56" s="56" t="str">
        <f t="shared" si="92"/>
        <v/>
      </c>
      <c r="AA56" s="66" t="str">
        <f t="shared" si="93"/>
        <v/>
      </c>
      <c r="AB56" s="57" t="str">
        <f t="shared" si="94"/>
        <v/>
      </c>
      <c r="AC56" s="67" t="str">
        <f t="shared" si="95"/>
        <v/>
      </c>
      <c r="AD56" s="59" t="str">
        <f t="shared" si="96"/>
        <v/>
      </c>
      <c r="AE56" s="68" t="str">
        <f t="shared" si="97"/>
        <v/>
      </c>
      <c r="AF56" s="61" t="str">
        <f t="shared" si="98"/>
        <v/>
      </c>
      <c r="AG56" s="61" t="str">
        <f t="shared" si="99"/>
        <v/>
      </c>
      <c r="AH56" s="69" t="str">
        <f t="shared" si="100"/>
        <v/>
      </c>
      <c r="AI56" s="70" t="str">
        <f t="shared" si="101"/>
        <v/>
      </c>
      <c r="AJ56" s="64" t="str">
        <f t="shared" si="102"/>
        <v/>
      </c>
      <c r="AK56" s="64" t="str">
        <f t="shared" si="103"/>
        <v/>
      </c>
      <c r="AL56" s="64" t="str">
        <f t="shared" si="104"/>
        <v/>
      </c>
      <c r="AM56" s="64" t="str">
        <f t="shared" si="105"/>
        <v/>
      </c>
      <c r="AN56" s="64" t="str">
        <f t="shared" si="106"/>
        <v/>
      </c>
    </row>
    <row r="57" spans="1:40" ht="27.75" thickTop="1" thickBot="1" x14ac:dyDescent="0.4">
      <c r="A57" s="73"/>
      <c r="B57" s="73"/>
      <c r="C57" s="73"/>
      <c r="D57" s="74"/>
      <c r="E57" s="74"/>
      <c r="F57" s="74"/>
      <c r="G57" s="74"/>
      <c r="H57" s="74"/>
      <c r="I57" s="74"/>
      <c r="J57" s="74"/>
      <c r="K57" s="74"/>
      <c r="L57" s="75" t="s">
        <v>993</v>
      </c>
      <c r="M57" s="56"/>
      <c r="N57" s="57"/>
      <c r="O57" s="58"/>
      <c r="P57" s="59"/>
      <c r="Q57" s="60"/>
      <c r="R57" s="61" t="str">
        <f t="shared" si="79"/>
        <v/>
      </c>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5.5" thickTop="1" thickBot="1" x14ac:dyDescent="0.4">
      <c r="B58" t="s">
        <v>997</v>
      </c>
      <c r="C58" s="113" t="s">
        <v>1066</v>
      </c>
      <c r="D58" s="112" t="s">
        <v>1011</v>
      </c>
      <c r="E58" s="52"/>
      <c r="F58" s="53"/>
      <c r="G58" s="53"/>
      <c r="H58" s="52"/>
      <c r="I58" s="52"/>
      <c r="J58" s="54"/>
      <c r="K58" s="54"/>
      <c r="L58" s="55" t="str">
        <f t="shared" si="57"/>
        <v xml:space="preserve">            { line: "ADONAI ELOHENU,, (Mi,,20)", sC: "ta as"},</v>
      </c>
      <c r="M58" s="56" t="str">
        <f t="shared" si="58"/>
        <v>(</v>
      </c>
      <c r="N58" s="57" t="str">
        <f t="shared" si="2"/>
        <v>Mi</v>
      </c>
      <c r="O58" s="58" t="str">
        <f t="shared" si="59"/>
        <v>,</v>
      </c>
      <c r="P58" s="59" t="str">
        <f t="shared" si="4"/>
        <v/>
      </c>
      <c r="Q58" s="60" t="str">
        <f t="shared" si="60"/>
        <v>,</v>
      </c>
      <c r="R58" s="61">
        <f t="shared" si="28"/>
        <v>20</v>
      </c>
      <c r="S58" s="56" t="str">
        <f t="shared" si="61"/>
        <v>)</v>
      </c>
      <c r="T58" s="62" t="str">
        <f t="shared" si="62"/>
        <v/>
      </c>
      <c r="U58" s="63" t="str">
        <f t="shared" si="8"/>
        <v/>
      </c>
      <c r="V58" s="64" t="str">
        <f t="shared" si="63"/>
        <v/>
      </c>
      <c r="W58" s="65" t="str">
        <f t="shared" si="10"/>
        <v/>
      </c>
      <c r="X58" s="64" t="str">
        <f t="shared" si="64"/>
        <v/>
      </c>
      <c r="Y58" s="64" t="str">
        <f t="shared" si="65"/>
        <v/>
      </c>
      <c r="Z58" s="56" t="str">
        <f t="shared" si="66"/>
        <v/>
      </c>
      <c r="AA58" s="66" t="str">
        <f t="shared" si="67"/>
        <v/>
      </c>
      <c r="AB58" s="57" t="str">
        <f t="shared" si="15"/>
        <v/>
      </c>
      <c r="AC58" s="67" t="str">
        <f t="shared" si="68"/>
        <v/>
      </c>
      <c r="AD58" s="59" t="str">
        <f t="shared" si="69"/>
        <v/>
      </c>
      <c r="AE58" s="68" t="str">
        <f t="shared" si="70"/>
        <v/>
      </c>
      <c r="AF58" s="61" t="str">
        <f t="shared" si="71"/>
        <v/>
      </c>
      <c r="AG58" s="61" t="str">
        <f t="shared" si="72"/>
        <v/>
      </c>
      <c r="AH58" s="69" t="str">
        <f t="shared" si="73"/>
        <v/>
      </c>
      <c r="AI58" s="70" t="str">
        <f t="shared" si="22"/>
        <v/>
      </c>
      <c r="AJ58" s="64" t="str">
        <f t="shared" si="74"/>
        <v/>
      </c>
      <c r="AK58" s="64" t="str">
        <f t="shared" si="75"/>
        <v/>
      </c>
      <c r="AL58" s="64" t="str">
        <f t="shared" si="76"/>
        <v/>
      </c>
      <c r="AM58" s="64" t="str">
        <f t="shared" si="77"/>
        <v/>
      </c>
      <c r="AN58" s="64" t="str">
        <f t="shared" si="78"/>
        <v/>
      </c>
    </row>
    <row r="59" spans="1:40" ht="25.5" thickTop="1" thickBot="1" x14ac:dyDescent="0.4">
      <c r="B59" t="s">
        <v>999</v>
      </c>
      <c r="C59" s="113" t="s">
        <v>1066</v>
      </c>
      <c r="D59" s="112" t="s">
        <v>1046</v>
      </c>
      <c r="E59" s="52" t="s">
        <v>1012</v>
      </c>
      <c r="F59" s="53" t="s">
        <v>1011</v>
      </c>
      <c r="G59" s="53"/>
      <c r="H59" s="52"/>
      <c r="I59" s="52"/>
      <c r="J59" s="54"/>
      <c r="K59" s="54"/>
      <c r="L59" s="55" t="str">
        <f t="shared" si="57"/>
        <v xml:space="preserve">            { line: "ADONAI ELOHENU,, (Re,m,22)(Mi,,250)", sC: "as"},</v>
      </c>
      <c r="M59" s="56" t="str">
        <f t="shared" si="58"/>
        <v>(</v>
      </c>
      <c r="N59" s="57" t="str">
        <f t="shared" si="2"/>
        <v>Re</v>
      </c>
      <c r="O59" s="58" t="str">
        <f t="shared" si="59"/>
        <v>,</v>
      </c>
      <c r="P59" s="59" t="str">
        <f t="shared" si="4"/>
        <v>m</v>
      </c>
      <c r="Q59" s="60" t="str">
        <f t="shared" si="60"/>
        <v>,</v>
      </c>
      <c r="R59" s="61">
        <f t="shared" si="28"/>
        <v>22</v>
      </c>
      <c r="S59" s="56" t="str">
        <f t="shared" si="61"/>
        <v>)</v>
      </c>
      <c r="T59" s="62" t="str">
        <f t="shared" si="62"/>
        <v>(</v>
      </c>
      <c r="U59" s="63" t="str">
        <f t="shared" si="8"/>
        <v>Mi</v>
      </c>
      <c r="V59" s="64" t="str">
        <f t="shared" si="63"/>
        <v>,</v>
      </c>
      <c r="W59" s="65" t="str">
        <f t="shared" si="10"/>
        <v/>
      </c>
      <c r="X59" s="64" t="str">
        <f t="shared" si="64"/>
        <v>,</v>
      </c>
      <c r="Y59" s="64">
        <f t="shared" si="65"/>
        <v>250</v>
      </c>
      <c r="Z59" s="56" t="str">
        <f t="shared" si="66"/>
        <v>)</v>
      </c>
      <c r="AA59" s="66" t="str">
        <f t="shared" si="67"/>
        <v/>
      </c>
      <c r="AB59" s="57" t="str">
        <f t="shared" si="15"/>
        <v/>
      </c>
      <c r="AC59" s="67" t="str">
        <f t="shared" si="68"/>
        <v/>
      </c>
      <c r="AD59" s="59" t="str">
        <f t="shared" si="69"/>
        <v/>
      </c>
      <c r="AE59" s="68" t="str">
        <f t="shared" si="70"/>
        <v/>
      </c>
      <c r="AF59" s="61" t="str">
        <f t="shared" si="71"/>
        <v/>
      </c>
      <c r="AG59" s="61" t="str">
        <f t="shared" si="72"/>
        <v/>
      </c>
      <c r="AH59" s="69" t="str">
        <f t="shared" si="73"/>
        <v/>
      </c>
      <c r="AI59" s="70" t="str">
        <f t="shared" si="22"/>
        <v/>
      </c>
      <c r="AJ59" s="64" t="str">
        <f t="shared" si="74"/>
        <v/>
      </c>
      <c r="AK59" s="64" t="str">
        <f t="shared" si="75"/>
        <v/>
      </c>
      <c r="AL59" s="64" t="str">
        <f t="shared" si="76"/>
        <v/>
      </c>
      <c r="AM59" s="64" t="str">
        <f t="shared" si="77"/>
        <v/>
      </c>
      <c r="AN59" s="64" t="str">
        <f t="shared" si="78"/>
        <v/>
      </c>
    </row>
    <row r="60" spans="1:40" ht="25.5" thickTop="1" thickBot="1" x14ac:dyDescent="0.4">
      <c r="B60" t="s">
        <v>999</v>
      </c>
      <c r="C60" s="113" t="s">
        <v>1067</v>
      </c>
      <c r="D60" s="112" t="s">
        <v>1048</v>
      </c>
      <c r="E60" s="52"/>
      <c r="F60" s="53" t="s">
        <v>1011</v>
      </c>
      <c r="G60" s="53"/>
      <c r="H60" s="52"/>
      <c r="I60" s="52"/>
      <c r="J60" s="54"/>
      <c r="K60" s="54"/>
      <c r="L60" s="78" t="str">
        <f t="shared" si="57"/>
        <v xml:space="preserve">            { line: "ADONAI EJAD., (Fa,,20)(Mi,,250)", sC: "as"},</v>
      </c>
      <c r="M60" s="56" t="str">
        <f t="shared" si="58"/>
        <v>(</v>
      </c>
      <c r="N60" s="57" t="str">
        <f t="shared" si="2"/>
        <v>Fa</v>
      </c>
      <c r="O60" s="58" t="str">
        <f t="shared" si="59"/>
        <v>,</v>
      </c>
      <c r="P60" s="59" t="str">
        <f t="shared" si="4"/>
        <v/>
      </c>
      <c r="Q60" s="60" t="str">
        <f t="shared" si="60"/>
        <v>,</v>
      </c>
      <c r="R60" s="61">
        <f t="shared" si="28"/>
        <v>20</v>
      </c>
      <c r="S60" s="56" t="str">
        <f t="shared" si="61"/>
        <v>)</v>
      </c>
      <c r="T60" s="62" t="str">
        <f t="shared" si="62"/>
        <v>(</v>
      </c>
      <c r="U60" s="63" t="str">
        <f t="shared" si="8"/>
        <v>Mi</v>
      </c>
      <c r="V60" s="64" t="str">
        <f t="shared" si="63"/>
        <v>,</v>
      </c>
      <c r="W60" s="65" t="str">
        <f t="shared" si="10"/>
        <v/>
      </c>
      <c r="X60" s="64" t="str">
        <f t="shared" si="64"/>
        <v>,</v>
      </c>
      <c r="Y60" s="64">
        <f t="shared" si="65"/>
        <v>250</v>
      </c>
      <c r="Z60" s="56" t="str">
        <f t="shared" si="66"/>
        <v>)</v>
      </c>
      <c r="AA60" s="66" t="str">
        <f t="shared" si="67"/>
        <v/>
      </c>
      <c r="AB60" s="57" t="str">
        <f t="shared" si="15"/>
        <v/>
      </c>
      <c r="AC60" s="67" t="str">
        <f t="shared" si="68"/>
        <v/>
      </c>
      <c r="AD60" s="59" t="str">
        <f t="shared" si="69"/>
        <v/>
      </c>
      <c r="AE60" s="68" t="str">
        <f t="shared" si="70"/>
        <v/>
      </c>
      <c r="AF60" s="61" t="str">
        <f t="shared" si="71"/>
        <v/>
      </c>
      <c r="AG60" s="61" t="str">
        <f t="shared" si="72"/>
        <v/>
      </c>
      <c r="AH60" s="69" t="str">
        <f t="shared" si="73"/>
        <v/>
      </c>
      <c r="AI60" s="70" t="str">
        <f t="shared" si="22"/>
        <v/>
      </c>
      <c r="AJ60" s="64" t="str">
        <f t="shared" si="74"/>
        <v/>
      </c>
      <c r="AK60" s="64" t="str">
        <f t="shared" si="75"/>
        <v/>
      </c>
      <c r="AL60" s="64" t="str">
        <f t="shared" si="76"/>
        <v/>
      </c>
      <c r="AM60" s="64" t="str">
        <f t="shared" si="77"/>
        <v/>
      </c>
      <c r="AN60" s="64" t="str">
        <f t="shared" si="78"/>
        <v/>
      </c>
    </row>
    <row r="61" spans="1:40" ht="24" customHeight="1" thickTop="1" x14ac:dyDescent="0.4">
      <c r="A61" s="95"/>
      <c r="B61" s="95"/>
      <c r="C61" s="95"/>
      <c r="D61" s="95"/>
      <c r="E61" s="95"/>
      <c r="F61" s="95"/>
      <c r="G61" s="95"/>
      <c r="H61" s="95"/>
      <c r="I61" s="95"/>
      <c r="J61" s="95"/>
      <c r="K61" s="95"/>
      <c r="L61" s="99" t="str">
        <f ca="1">_xlfn.CONCAT("]}, // ULTIMA LINEA DEL CANTO: ",L1)</f>
        <v>]}, // ULTIMA LINEA DEL CANTO: QUIERO ANDAR, MADRE, A JERUSALÉN</v>
      </c>
      <c r="M61" s="95"/>
    </row>
    <row r="62" spans="1:40" ht="20.25" x14ac:dyDescent="0.25">
      <c r="L62" s="100" t="s">
        <v>1008</v>
      </c>
      <c r="M62" s="101"/>
    </row>
    <row r="63" spans="1:40" x14ac:dyDescent="0.25">
      <c r="M6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414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7"/>
  <sheetViews>
    <sheetView zoomScale="85" zoomScaleNormal="85" workbookViewId="0">
      <pane xSplit="2" ySplit="1" topLeftCell="C21" activePane="bottomRight" state="frozen"/>
      <selection pane="topRight" activeCell="C1" sqref="C1"/>
      <selection pane="bottomLeft" activeCell="A2" sqref="A2"/>
      <selection pane="bottomRight" activeCell="C31" sqref="C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141</v>
      </c>
      <c r="E1" s="40"/>
      <c r="F1" s="40"/>
      <c r="G1" s="40"/>
      <c r="H1" s="40"/>
      <c r="I1" s="40"/>
      <c r="J1" s="40"/>
      <c r="K1" s="40"/>
      <c r="L1" s="41" t="str">
        <f ca="1">UPPER(VLOOKUP(C1,Table223[],3,FALSE))</f>
        <v>QUIERO CANTAR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QUIERO CANTAR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quierocantar</v>
      </c>
      <c r="L7" s="48" t="str">
        <f ca="1">_xlfn.CONCAT("        id: ","""",C7,"""",",")</f>
        <v xml:space="preserve">        id: "quierocantar",</v>
      </c>
    </row>
    <row r="8" spans="2:32" ht="23.25" x14ac:dyDescent="0.25">
      <c r="C8" t="str">
        <f ca="1">PROPER(L1)</f>
        <v>Quiero Cantar</v>
      </c>
      <c r="L8" s="48" t="str">
        <f ca="1">_xlfn.CONCAT("        tt: ","""",C8,"""",",")</f>
        <v xml:space="preserve">        tt: "Quiero Cantar",</v>
      </c>
    </row>
    <row r="9" spans="2:32" ht="23.25" x14ac:dyDescent="0.25">
      <c r="C9" t="str">
        <f ca="1">PROPER(L1)</f>
        <v>Quiero Cantar</v>
      </c>
      <c r="L9" s="48" t="str">
        <f ca="1">_xlfn.CONCAT("        title: ","""",C9,"""",",")</f>
        <v xml:space="preserve">        title: "Quiero Cantar",</v>
      </c>
    </row>
    <row r="10" spans="2:32" ht="23.25" x14ac:dyDescent="0.25">
      <c r="C10" t="str">
        <f ca="1">VLOOKUP(C1,Table223[],4,FALSE)</f>
        <v>Salmo 57 (56)</v>
      </c>
      <c r="L10" s="48" t="str">
        <f ca="1">_xlfn.CONCAT("        ","subtitle: ","""",C10,"""",",")</f>
        <v xml:space="preserve">        subtitle: "Salmo 57 (56)",</v>
      </c>
    </row>
    <row r="11" spans="2:32" ht="23.25" x14ac:dyDescent="0.25">
      <c r="C11" t="str">
        <f ca="1">_xlfn.CONCAT("category: [",VLOOKUP(C1,Table223[],16,FALSE),"],")</f>
        <v>category: ["Precatecumenado","Cuaresma","Penitencial","Antiguo Testamento"],</v>
      </c>
      <c r="L11" s="48" t="str">
        <f ca="1">_xlfn.CONCAT("        ",C11)</f>
        <v xml:space="preserve">        category: ["Precatecumenado","Cuaresma","Penitencial","Antiguo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141</v>
      </c>
      <c r="L16" s="48" t="str">
        <f ca="1">_xlfn.CONCAT("        dbno: ","""",C16,"""",",")</f>
        <v xml:space="preserve">        dbno: "141",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quierocantar</v>
      </c>
      <c r="L19" s="48" t="str">
        <f ca="1">_xlfn.CONCAT("        audioSrc: ","""/audio/",C19,".mp3""",",")</f>
        <v xml:space="preserve">        audioSrc: "/audio/quierocantar.mp3",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140</v>
      </c>
      <c r="C26" t="str">
        <f ca="1">VLOOKUP(B26,Table4[],13,FALSE)</f>
        <v>"/resucito/src/index.html?canto=quieroandarmadreajerusalen"</v>
      </c>
      <c r="L26" s="48" t="str">
        <f ca="1">_xlfn.CONCAT("        ant: ",C26,",")</f>
        <v xml:space="preserve">        ant: "/resucito/src/index.html?canto=quieroandarmadreajerusalen",</v>
      </c>
    </row>
    <row r="27" spans="1:40" ht="23.25" x14ac:dyDescent="0.25">
      <c r="B27">
        <f ca="1">+C1+1</f>
        <v>142</v>
      </c>
      <c r="C27" t="str">
        <f ca="1">VLOOKUP(B27,Table4[],13,FALSE)</f>
        <v>"/resucito/src/index.html?canto=resucito"</v>
      </c>
      <c r="L27" s="48" t="str">
        <f ca="1">_xlfn.CONCAT("        sig: ",C27,",")</f>
        <v xml:space="preserve">        sig: "/resucito/src/index.html?canto=resucito",</v>
      </c>
    </row>
    <row r="28" spans="1:40" ht="23.25" x14ac:dyDescent="0.25">
      <c r="L28" s="46" t="s">
        <v>991</v>
      </c>
    </row>
    <row r="29" spans="1:40" ht="36" thickBot="1" x14ac:dyDescent="0.3">
      <c r="A29" s="49"/>
      <c r="B29" s="49"/>
      <c r="C29" s="49" t="s">
        <v>1047</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55" t="str">
        <f t="shared" ref="L31:L51" si="0">IF(C31="","",_xlfn.CONCAT("            { line: ","""",C31,", ",M31:AN31,""", sC: ","""",B31,"""},"))</f>
        <v/>
      </c>
      <c r="M31" s="56" t="str">
        <f t="shared" ref="M31:M64" si="1">IF(N31="","","(")</f>
        <v/>
      </c>
      <c r="N31" s="57" t="str">
        <f t="shared" ref="N31:N92" si="2">IF(D31="","",D31)</f>
        <v/>
      </c>
      <c r="O31" s="58" t="str">
        <f t="shared" ref="O31:O64" si="3">IF(N31="","",",")</f>
        <v/>
      </c>
      <c r="P31" s="59" t="str">
        <f t="shared" ref="P31:P92"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2" si="8">IF(F31="","",F31)</f>
        <v/>
      </c>
      <c r="V31" s="64" t="str">
        <f t="shared" ref="V31:V64" si="9">IF(U31="","",",")</f>
        <v/>
      </c>
      <c r="W31" s="65" t="str">
        <f t="shared" ref="W31:W92" si="10">IF(G31="","",G31)</f>
        <v/>
      </c>
      <c r="X31" s="64" t="str">
        <f t="shared" ref="X31:X64" si="11">IF(U31="","",",")</f>
        <v/>
      </c>
      <c r="Y31" s="64" t="str">
        <f t="shared" ref="Y31:Y64" si="12">IF(U31="","",250)</f>
        <v/>
      </c>
      <c r="Z31" s="56" t="str">
        <f t="shared" ref="Z31:Z64" si="13">IF(U31="","",")")</f>
        <v/>
      </c>
      <c r="AA31" s="66" t="str">
        <f t="shared" ref="AA31:AA64" si="14">IF(AB31="","","(")</f>
        <v/>
      </c>
      <c r="AB31" s="57" t="str">
        <f t="shared" ref="AB31:AB92"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2"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5.5" thickTop="1" thickBot="1" x14ac:dyDescent="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ref="R37:R41" si="31">IF(N37="Do",10,IF(N37="Re",22,IF(N37="Mi",20,IF(N37="Fa",20,IF(N37="Sol",14,IF(N37="La",20,IF(N37="Si",20,IF(N37="Do#",14,IF(N37="Fa#",15,IF(N37="Sol#",20,""))))))))))</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31"/>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30"/>
        <v/>
      </c>
      <c r="M39" s="56" t="str">
        <f t="shared" ref="M39:M41" si="32">IF(N39="","","(")</f>
        <v/>
      </c>
      <c r="N39" s="57" t="str">
        <f t="shared" ref="N39:N41" si="33">IF(D39="","",D39)</f>
        <v/>
      </c>
      <c r="O39" s="58" t="str">
        <f t="shared" ref="O39:O41" si="34">IF(N39="","",",")</f>
        <v/>
      </c>
      <c r="P39" s="59" t="str">
        <f t="shared" ref="P39:P41" si="35">IF(E39="","",E39)</f>
        <v/>
      </c>
      <c r="Q39" s="60" t="str">
        <f t="shared" ref="Q39:Q41" si="36">IF(N39="","",",")</f>
        <v/>
      </c>
      <c r="R39" s="61" t="str">
        <f t="shared" si="31"/>
        <v/>
      </c>
      <c r="S39" s="56" t="str">
        <f t="shared" ref="S39:S41" si="37">IF(N39="","",")")</f>
        <v/>
      </c>
      <c r="T39" s="62" t="str">
        <f t="shared" ref="T39:T41" si="38">IF(U39="","","(")</f>
        <v/>
      </c>
      <c r="U39" s="63" t="str">
        <f t="shared" ref="U39:U41" si="39">IF(F39="","",F39)</f>
        <v/>
      </c>
      <c r="V39" s="64" t="str">
        <f t="shared" ref="V39:V41" si="40">IF(U39="","",",")</f>
        <v/>
      </c>
      <c r="W39" s="65" t="str">
        <f t="shared" ref="W39:W41" si="41">IF(G39="","",G39)</f>
        <v/>
      </c>
      <c r="X39" s="64" t="str">
        <f t="shared" ref="X39:X41" si="42">IF(U39="","",",")</f>
        <v/>
      </c>
      <c r="Y39" s="64" t="str">
        <f t="shared" ref="Y39:Y41" si="43">IF(U39="","",250)</f>
        <v/>
      </c>
      <c r="Z39" s="56" t="str">
        <f t="shared" ref="Z39:Z41" si="44">IF(U39="","",")")</f>
        <v/>
      </c>
      <c r="AA39" s="66" t="str">
        <f t="shared" ref="AA39:AA41" si="45">IF(AB39="","","(")</f>
        <v/>
      </c>
      <c r="AB39" s="57" t="str">
        <f t="shared" ref="AB39:AB41" si="46">IF(H39="","",H39)</f>
        <v/>
      </c>
      <c r="AC39" s="67" t="str">
        <f t="shared" ref="AC39:AC41" si="47">IF(AB39="","",",")</f>
        <v/>
      </c>
      <c r="AD39" s="59" t="str">
        <f t="shared" ref="AD39:AD41" si="48">IF(I39="","",I39)</f>
        <v/>
      </c>
      <c r="AE39" s="68" t="str">
        <f t="shared" ref="AE39:AE41" si="49">IF(AB39="","",",")</f>
        <v/>
      </c>
      <c r="AF39" s="61" t="str">
        <f t="shared" ref="AF39:AF41" si="50">IF(AB39="","",350)</f>
        <v/>
      </c>
      <c r="AG39" s="61" t="str">
        <f t="shared" ref="AG39:AG41" si="51">IF(AB39="","",")")</f>
        <v/>
      </c>
      <c r="AH39" s="69" t="str">
        <f t="shared" ref="AH39:AH41" si="52">IF(AI39="","","(")</f>
        <v/>
      </c>
      <c r="AI39" s="70" t="str">
        <f t="shared" ref="AI39:AI41" si="53">IF(J39="","",J39)</f>
        <v/>
      </c>
      <c r="AJ39" s="64" t="str">
        <f t="shared" ref="AJ39:AJ41" si="54">IF(AI39="","",",")</f>
        <v/>
      </c>
      <c r="AK39" s="64" t="str">
        <f t="shared" ref="AK39:AK41" si="55">IF(K39="","",K39)</f>
        <v/>
      </c>
      <c r="AL39" s="64" t="str">
        <f t="shared" ref="AL39:AL41" si="56">IF(AI39="","",",")</f>
        <v/>
      </c>
      <c r="AM39" s="64" t="str">
        <f t="shared" ref="AM39:AM41" si="57">IF(AI39="","",450)</f>
        <v/>
      </c>
      <c r="AN39" s="64" t="str">
        <f t="shared" ref="AN39:AN41" si="58">IF(AI39="","",")")</f>
        <v/>
      </c>
    </row>
    <row r="40" spans="3:40" ht="25.5" thickTop="1" thickBot="1" x14ac:dyDescent="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5.5" thickTop="1" thickBot="1" x14ac:dyDescent="0.4">
      <c r="C41" s="113"/>
      <c r="D41" s="112"/>
      <c r="E41" s="52"/>
      <c r="F41" s="53"/>
      <c r="G41" s="53"/>
      <c r="H41" s="52"/>
      <c r="I41" s="52"/>
      <c r="J41" s="54"/>
      <c r="K41" s="54"/>
      <c r="L41" s="55" t="str">
        <f t="shared" si="30"/>
        <v/>
      </c>
      <c r="M41" s="56" t="str">
        <f t="shared" si="32"/>
        <v/>
      </c>
      <c r="N41" s="57" t="str">
        <f t="shared" si="33"/>
        <v/>
      </c>
      <c r="O41" s="58" t="str">
        <f t="shared" si="34"/>
        <v/>
      </c>
      <c r="P41" s="59" t="str">
        <f t="shared" si="35"/>
        <v/>
      </c>
      <c r="Q41" s="60" t="str">
        <f t="shared" si="36"/>
        <v/>
      </c>
      <c r="R41" s="61" t="str">
        <f t="shared" si="31"/>
        <v/>
      </c>
      <c r="S41" s="56" t="str">
        <f t="shared" si="37"/>
        <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3:40" ht="25.5" thickTop="1" thickBot="1" x14ac:dyDescent="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29"/>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si="28"/>
        <v/>
      </c>
      <c r="S46" s="56" t="str">
        <f t="shared" ref="S46:S50" si="64">IF(N46="","",")")</f>
        <v/>
      </c>
      <c r="T46" s="62" t="str">
        <f t="shared" ref="T46:T50" si="65">IF(U46="","","(")</f>
        <v/>
      </c>
      <c r="U46" s="63" t="str">
        <f t="shared" ref="U46:U50" si="66">IF(F46="","",F46)</f>
        <v/>
      </c>
      <c r="V46" s="64" t="str">
        <f t="shared" ref="V46:V50" si="67">IF(U46="","",",")</f>
        <v/>
      </c>
      <c r="W46" s="65" t="str">
        <f t="shared" ref="W46:W50" si="68">IF(G46="","",G46)</f>
        <v/>
      </c>
      <c r="X46" s="64" t="str">
        <f t="shared" ref="X46:X50" si="69">IF(U46="","",",")</f>
        <v/>
      </c>
      <c r="Y46" s="64" t="str">
        <f t="shared" ref="Y46:Y50" si="70">IF(U46="","",250)</f>
        <v/>
      </c>
      <c r="Z46" s="56" t="str">
        <f t="shared" ref="Z46:Z50" si="71">IF(U46="","",")")</f>
        <v/>
      </c>
      <c r="AA46" s="66" t="str">
        <f t="shared" ref="AA46:AA50" si="72">IF(AB46="","","(")</f>
        <v/>
      </c>
      <c r="AB46" s="57" t="str">
        <f t="shared" ref="AB46:AB50" si="73">IF(H46="","",H46)</f>
        <v/>
      </c>
      <c r="AC46" s="67" t="str">
        <f t="shared" ref="AC46:AC50" si="74">IF(AB46="","",",")</f>
        <v/>
      </c>
      <c r="AD46" s="59" t="str">
        <f t="shared" ref="AD46:AD50" si="75">IF(I46="","",I46)</f>
        <v/>
      </c>
      <c r="AE46" s="68" t="str">
        <f t="shared" ref="AE46:AE50" si="76">IF(AB46="","",",")</f>
        <v/>
      </c>
      <c r="AF46" s="61" t="str">
        <f t="shared" ref="AF46:AF50" si="77">IF(AB46="","",350)</f>
        <v/>
      </c>
      <c r="AG46" s="61" t="str">
        <f t="shared" ref="AG46:AG50" si="78">IF(AB46="","",")")</f>
        <v/>
      </c>
      <c r="AH46" s="69" t="str">
        <f t="shared" ref="AH46:AH50" si="79">IF(AI46="","","(")</f>
        <v/>
      </c>
      <c r="AI46" s="70" t="str">
        <f t="shared" ref="AI46:AI50" si="80">IF(J46="","",J46)</f>
        <v/>
      </c>
      <c r="AJ46" s="64" t="str">
        <f t="shared" ref="AJ46:AJ50" si="81">IF(AI46="","",",")</f>
        <v/>
      </c>
      <c r="AK46" s="64" t="str">
        <f t="shared" ref="AK46:AK50" si="82">IF(K46="","",K46)</f>
        <v/>
      </c>
      <c r="AL46" s="64" t="str">
        <f t="shared" ref="AL46:AL50" si="83">IF(AI46="","",",")</f>
        <v/>
      </c>
      <c r="AM46" s="64" t="str">
        <f t="shared" ref="AM46:AM50" si="84">IF(AI46="","",450)</f>
        <v/>
      </c>
      <c r="AN46" s="64" t="str">
        <f t="shared" ref="AN46:AN50" si="85">IF(AI46="","",")")</f>
        <v/>
      </c>
    </row>
    <row r="47" spans="3:40" ht="25.5" thickTop="1" thickBot="1" x14ac:dyDescent="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5.5" thickTop="1" thickBot="1" x14ac:dyDescent="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5.5" thickTop="1" thickBot="1" x14ac:dyDescent="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5.5" thickTop="1" thickBot="1" x14ac:dyDescent="0.4">
      <c r="C50" s="113"/>
      <c r="D50" s="112"/>
      <c r="E50" s="52"/>
      <c r="F50" s="53"/>
      <c r="G50" s="53"/>
      <c r="H50" s="52"/>
      <c r="I50" s="52"/>
      <c r="J50" s="54"/>
      <c r="K50" s="54"/>
      <c r="L50" s="55" t="str">
        <f t="shared" si="29"/>
        <v/>
      </c>
      <c r="M50" s="56" t="str">
        <f t="shared" si="59"/>
        <v/>
      </c>
      <c r="N50" s="57" t="str">
        <f t="shared" si="60"/>
        <v/>
      </c>
      <c r="O50" s="58" t="str">
        <f t="shared" si="61"/>
        <v/>
      </c>
      <c r="P50" s="59" t="str">
        <f t="shared" si="62"/>
        <v/>
      </c>
      <c r="Q50" s="60" t="str">
        <f t="shared" si="63"/>
        <v/>
      </c>
      <c r="R50" s="61" t="str">
        <f t="shared" si="28"/>
        <v/>
      </c>
      <c r="S50" s="56" t="str">
        <f t="shared" si="64"/>
        <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3:40" ht="25.5" thickTop="1" thickBot="1" x14ac:dyDescent="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5.5" thickTop="1" thickBot="1" x14ac:dyDescent="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5.5" thickTop="1" thickBot="1" x14ac:dyDescent="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5.5" thickTop="1" thickBot="1" x14ac:dyDescent="0.4">
      <c r="C54" s="113"/>
      <c r="D54" s="112"/>
      <c r="E54" s="52"/>
      <c r="F54" s="53"/>
      <c r="G54" s="53"/>
      <c r="H54" s="52"/>
      <c r="I54" s="52"/>
      <c r="J54" s="54"/>
      <c r="K54" s="54"/>
      <c r="L54" s="55" t="str">
        <f t="shared" ref="L54:L65" si="86">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5.5" thickTop="1" thickBot="1" x14ac:dyDescent="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6"/>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5.5" thickTop="1" thickBot="1" x14ac:dyDescent="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5.5" thickTop="1" thickBot="1" x14ac:dyDescent="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5.5" thickTop="1" thickBot="1" x14ac:dyDescent="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5.5" thickTop="1" thickBot="1" x14ac:dyDescent="0.4">
      <c r="C64" s="113"/>
      <c r="D64" s="112"/>
      <c r="E64" s="52"/>
      <c r="F64" s="53"/>
      <c r="G64" s="53"/>
      <c r="H64" s="52"/>
      <c r="I64" s="52"/>
      <c r="J64" s="54"/>
      <c r="K64" s="54"/>
      <c r="L64" s="55" t="str">
        <f t="shared" si="86"/>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5.5" thickTop="1" thickBot="1" x14ac:dyDescent="0.4">
      <c r="C65" s="113"/>
      <c r="D65" s="112"/>
      <c r="E65" s="52"/>
      <c r="F65" s="71"/>
      <c r="G65" s="53"/>
      <c r="H65" s="52"/>
      <c r="I65" s="52"/>
      <c r="J65" s="72"/>
      <c r="K65" s="54"/>
      <c r="L65" s="55" t="str">
        <f t="shared" si="86"/>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75" thickTop="1" thickBot="1" x14ac:dyDescent="0.4">
      <c r="A66" s="76"/>
      <c r="B66" s="76"/>
      <c r="C66" s="76" t="s">
        <v>1047</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thickTop="1" thickBot="1" x14ac:dyDescent="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5.5" thickTop="1" thickBot="1" x14ac:dyDescent="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5.5" thickTop="1" thickBot="1" x14ac:dyDescent="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5.5" thickTop="1" thickBot="1" x14ac:dyDescent="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5.5" thickTop="1" thickBot="1" x14ac:dyDescent="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5.5" thickTop="1" thickBot="1" x14ac:dyDescent="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5.5" thickTop="1" thickBot="1" x14ac:dyDescent="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5.5" thickTop="1" thickBot="1" x14ac:dyDescent="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5.5" thickTop="1" thickBot="1" x14ac:dyDescent="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5.5" thickTop="1" thickBot="1" x14ac:dyDescent="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5.5" thickTop="1" thickBot="1" x14ac:dyDescent="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5.5" thickTop="1" thickBot="1" x14ac:dyDescent="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5.5" thickTop="1" thickBot="1" x14ac:dyDescent="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5.5" thickTop="1" thickBot="1" x14ac:dyDescent="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5.5" thickTop="1" thickBot="1" x14ac:dyDescent="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5.5" thickTop="1" thickBot="1" x14ac:dyDescent="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5.5" thickTop="1" thickBot="1" x14ac:dyDescent="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5.5" thickTop="1" thickBot="1" x14ac:dyDescent="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5.5" thickTop="1" thickBot="1" x14ac:dyDescent="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5.5" thickTop="1" thickBot="1" x14ac:dyDescent="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5.5" thickTop="1" thickBot="1" x14ac:dyDescent="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5.5" thickTop="1" thickBot="1" x14ac:dyDescent="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5.5" thickTop="1" thickBot="1" x14ac:dyDescent="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5.5" thickTop="1" thickBot="1" x14ac:dyDescent="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5.5" thickTop="1" thickBot="1" x14ac:dyDescent="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5.5" thickTop="1" thickBot="1" x14ac:dyDescent="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5.5" thickTop="1" thickBot="1" x14ac:dyDescent="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4" customHeight="1" thickTop="1" x14ac:dyDescent="0.4">
      <c r="A94" s="95"/>
      <c r="B94" s="95"/>
      <c r="C94" s="95"/>
      <c r="D94" s="95"/>
      <c r="E94" s="95"/>
      <c r="F94" s="95"/>
      <c r="G94" s="95"/>
      <c r="H94" s="95"/>
      <c r="I94" s="95"/>
      <c r="J94" s="95"/>
      <c r="K94" s="95"/>
      <c r="L94" s="99" t="str">
        <f ca="1">_xlfn.CONCAT("]}, // ULTIMA LINEA DEL CANTO: ",L1)</f>
        <v>]}, // ULTIMA LINEA DEL CANTO: QUIERO CANTAR</v>
      </c>
      <c r="M94" s="95"/>
    </row>
    <row r="95" spans="1:40" ht="20.25" x14ac:dyDescent="0.25">
      <c r="L95" s="100" t="s">
        <v>1008</v>
      </c>
      <c r="M95" s="101"/>
    </row>
    <row r="96" spans="1:40" ht="15.75" thickBot="1" x14ac:dyDescent="0.3">
      <c r="M96" s="101"/>
    </row>
    <row r="97" spans="1:40" ht="27.75" thickTop="1" thickBot="1" x14ac:dyDescent="0.4">
      <c r="A97" s="73"/>
      <c r="B97" s="73"/>
      <c r="C97" s="73"/>
      <c r="D97" s="74"/>
      <c r="E97" s="74"/>
      <c r="F97" s="74"/>
      <c r="G97" s="74"/>
      <c r="H97" s="74"/>
      <c r="I97" s="74"/>
      <c r="J97" s="74"/>
      <c r="K97" s="74"/>
      <c r="L97" s="75" t="s">
        <v>993</v>
      </c>
      <c r="M97" s="56"/>
      <c r="N97" s="57"/>
      <c r="O97" s="58"/>
      <c r="P97" s="59"/>
      <c r="Q97" s="60"/>
      <c r="R97" s="61" t="str">
        <f t="shared" ref="R97:R106" si="164">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5.5" thickTop="1" thickBot="1" x14ac:dyDescent="0.4">
      <c r="C98" s="79" t="s">
        <v>995</v>
      </c>
      <c r="D98" s="80"/>
      <c r="E98" s="80"/>
      <c r="F98" s="80"/>
      <c r="G98" s="80"/>
      <c r="H98" s="80"/>
      <c r="I98" s="80"/>
      <c r="J98" s="80"/>
      <c r="K98" s="80"/>
      <c r="L98" s="81" t="s">
        <v>996</v>
      </c>
      <c r="M98" s="56" t="str">
        <f t="shared" ref="M98:M105" si="165">IF(N98="","","(")</f>
        <v/>
      </c>
      <c r="N98" s="57" t="str">
        <f t="shared" ref="N98:N105" si="166">IF(D98="","",D98)</f>
        <v/>
      </c>
      <c r="O98" s="58" t="str">
        <f t="shared" ref="O98:O105" si="167">IF(N98="","",",")</f>
        <v/>
      </c>
      <c r="P98" s="59" t="str">
        <f t="shared" ref="P98:P105" si="168">IF(E98="","",E98)</f>
        <v/>
      </c>
      <c r="Q98" s="60" t="str">
        <f t="shared" ref="Q98:Q105" si="169">IF(N98="","",",")</f>
        <v/>
      </c>
      <c r="R98" s="61" t="str">
        <f t="shared" si="164"/>
        <v/>
      </c>
      <c r="S98" s="56" t="str">
        <f t="shared" ref="S98:S105" si="170">IF(N98="","",")")</f>
        <v/>
      </c>
      <c r="T98" s="62" t="str">
        <f t="shared" ref="T98:T105" si="171">IF(U98="","","(")</f>
        <v/>
      </c>
      <c r="U98" s="63" t="str">
        <f t="shared" ref="U98:U105" si="172">IF(F98="","",F98)</f>
        <v/>
      </c>
      <c r="V98" s="64" t="str">
        <f t="shared" ref="V98:V105" si="173">IF(U98="","",",")</f>
        <v/>
      </c>
      <c r="W98" s="65" t="str">
        <f t="shared" ref="W98:W105" si="174">IF(G98="","",G98)</f>
        <v/>
      </c>
      <c r="X98" s="64" t="str">
        <f t="shared" ref="X98:X105" si="175">IF(U98="","",",")</f>
        <v/>
      </c>
      <c r="Y98" s="64" t="str">
        <f t="shared" ref="Y98:Y105" si="176">IF(U98="","",250)</f>
        <v/>
      </c>
      <c r="Z98" s="56" t="str">
        <f t="shared" ref="Z98:Z105" si="177">IF(U98="","",")")</f>
        <v/>
      </c>
      <c r="AA98" s="66" t="str">
        <f t="shared" ref="AA98:AA105" si="178">IF(AB98="","","(")</f>
        <v/>
      </c>
      <c r="AB98" s="57" t="str">
        <f t="shared" ref="AB98:AB105" si="179">IF(H98="","",H98)</f>
        <v/>
      </c>
      <c r="AC98" s="67" t="str">
        <f t="shared" ref="AC98:AC105" si="180">IF(AB98="","",",")</f>
        <v/>
      </c>
      <c r="AD98" s="59" t="str">
        <f t="shared" ref="AD98:AD105" si="181">IF(I98="","",I98)</f>
        <v/>
      </c>
      <c r="AE98" s="68" t="str">
        <f t="shared" ref="AE98:AE105" si="182">IF(AB98="","",",")</f>
        <v/>
      </c>
      <c r="AF98" s="61" t="str">
        <f t="shared" ref="AF98:AF105" si="183">IF(AB98="","",350)</f>
        <v/>
      </c>
      <c r="AG98" s="61" t="str">
        <f t="shared" ref="AG98:AG105" si="184">IF(AB98="","",")")</f>
        <v/>
      </c>
      <c r="AH98" s="69" t="str">
        <f t="shared" ref="AH98:AH105" si="185">IF(AI98="","","(")</f>
        <v/>
      </c>
      <c r="AI98" s="70" t="str">
        <f t="shared" ref="AI98:AI105" si="186">IF(J98="","",J98)</f>
        <v/>
      </c>
      <c r="AJ98" s="64" t="str">
        <f t="shared" ref="AJ98:AJ105" si="187">IF(AI98="","",",")</f>
        <v/>
      </c>
      <c r="AK98" s="64" t="str">
        <f t="shared" ref="AK98:AK105" si="188">IF(K98="","",K98)</f>
        <v/>
      </c>
      <c r="AL98" s="64" t="str">
        <f t="shared" ref="AL98:AL105" si="189">IF(AI98="","",",")</f>
        <v/>
      </c>
      <c r="AM98" s="64" t="str">
        <f t="shared" ref="AM98:AM105" si="190">IF(AI98="","",450)</f>
        <v/>
      </c>
      <c r="AN98" s="64" t="str">
        <f t="shared" ref="AN98:AN105" si="191">IF(AI98="","",")")</f>
        <v/>
      </c>
    </row>
    <row r="99" spans="1:40" ht="25.5" thickTop="1" thickBot="1" x14ac:dyDescent="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65"/>
        <v/>
      </c>
      <c r="N99" s="57" t="str">
        <f t="shared" si="166"/>
        <v/>
      </c>
      <c r="O99" s="58" t="str">
        <f t="shared" si="167"/>
        <v/>
      </c>
      <c r="P99" s="59" t="str">
        <f t="shared" si="168"/>
        <v/>
      </c>
      <c r="Q99" s="60" t="str">
        <f t="shared" si="169"/>
        <v/>
      </c>
      <c r="R99" s="61" t="str">
        <f t="shared" si="164"/>
        <v/>
      </c>
      <c r="S99" s="56" t="str">
        <f t="shared" si="170"/>
        <v/>
      </c>
      <c r="T99" s="62" t="str">
        <f t="shared" si="171"/>
        <v/>
      </c>
      <c r="U99" s="63" t="str">
        <f t="shared" si="172"/>
        <v/>
      </c>
      <c r="V99" s="64" t="str">
        <f t="shared" si="173"/>
        <v/>
      </c>
      <c r="W99" s="65" t="str">
        <f t="shared" si="174"/>
        <v/>
      </c>
      <c r="X99" s="64" t="str">
        <f t="shared" si="175"/>
        <v/>
      </c>
      <c r="Y99" s="64" t="str">
        <f t="shared" si="176"/>
        <v/>
      </c>
      <c r="Z99" s="56" t="str">
        <f t="shared" si="177"/>
        <v/>
      </c>
      <c r="AA99" s="66" t="str">
        <f t="shared" si="178"/>
        <v/>
      </c>
      <c r="AB99" s="57" t="str">
        <f t="shared" si="179"/>
        <v/>
      </c>
      <c r="AC99" s="67" t="str">
        <f t="shared" si="180"/>
        <v/>
      </c>
      <c r="AD99" s="59" t="str">
        <f t="shared" si="181"/>
        <v/>
      </c>
      <c r="AE99" s="68" t="str">
        <f t="shared" si="182"/>
        <v/>
      </c>
      <c r="AF99" s="61" t="str">
        <f t="shared" si="183"/>
        <v/>
      </c>
      <c r="AG99" s="61" t="str">
        <f t="shared" si="184"/>
        <v/>
      </c>
      <c r="AH99" s="69" t="str">
        <f t="shared" si="185"/>
        <v/>
      </c>
      <c r="AI99" s="70" t="str">
        <f t="shared" si="186"/>
        <v/>
      </c>
      <c r="AJ99" s="64" t="str">
        <f t="shared" si="187"/>
        <v/>
      </c>
      <c r="AK99" s="64" t="str">
        <f t="shared" si="188"/>
        <v/>
      </c>
      <c r="AL99" s="64" t="str">
        <f t="shared" si="189"/>
        <v/>
      </c>
      <c r="AM99" s="64" t="str">
        <f t="shared" si="190"/>
        <v/>
      </c>
      <c r="AN99" s="64" t="str">
        <f t="shared" si="191"/>
        <v/>
      </c>
    </row>
    <row r="100" spans="1:40" ht="25.5" thickTop="1" thickBot="1" x14ac:dyDescent="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65"/>
        <v/>
      </c>
      <c r="N100" s="57" t="str">
        <f t="shared" si="166"/>
        <v/>
      </c>
      <c r="O100" s="58" t="str">
        <f t="shared" si="167"/>
        <v/>
      </c>
      <c r="P100" s="59" t="str">
        <f t="shared" si="168"/>
        <v/>
      </c>
      <c r="Q100" s="60" t="str">
        <f t="shared" si="169"/>
        <v/>
      </c>
      <c r="R100" s="61" t="str">
        <f t="shared" si="164"/>
        <v/>
      </c>
      <c r="S100" s="56" t="str">
        <f t="shared" si="170"/>
        <v/>
      </c>
      <c r="T100" s="62" t="str">
        <f t="shared" si="171"/>
        <v/>
      </c>
      <c r="U100" s="63" t="str">
        <f t="shared" si="172"/>
        <v/>
      </c>
      <c r="V100" s="64" t="str">
        <f t="shared" si="173"/>
        <v/>
      </c>
      <c r="W100" s="65" t="str">
        <f t="shared" si="174"/>
        <v/>
      </c>
      <c r="X100" s="64" t="str">
        <f t="shared" si="175"/>
        <v/>
      </c>
      <c r="Y100" s="64" t="str">
        <f t="shared" si="176"/>
        <v/>
      </c>
      <c r="Z100" s="56" t="str">
        <f t="shared" si="177"/>
        <v/>
      </c>
      <c r="AA100" s="66" t="str">
        <f t="shared" si="178"/>
        <v/>
      </c>
      <c r="AB100" s="57" t="str">
        <f t="shared" si="179"/>
        <v/>
      </c>
      <c r="AC100" s="67" t="str">
        <f t="shared" si="180"/>
        <v/>
      </c>
      <c r="AD100" s="59" t="str">
        <f t="shared" si="181"/>
        <v/>
      </c>
      <c r="AE100" s="68" t="str">
        <f t="shared" si="182"/>
        <v/>
      </c>
      <c r="AF100" s="61" t="str">
        <f t="shared" si="183"/>
        <v/>
      </c>
      <c r="AG100" s="61" t="str">
        <f t="shared" si="184"/>
        <v/>
      </c>
      <c r="AH100" s="69" t="str">
        <f t="shared" si="185"/>
        <v/>
      </c>
      <c r="AI100" s="70" t="str">
        <f t="shared" si="186"/>
        <v/>
      </c>
      <c r="AJ100" s="64" t="str">
        <f t="shared" si="187"/>
        <v/>
      </c>
      <c r="AK100" s="64" t="str">
        <f t="shared" si="188"/>
        <v/>
      </c>
      <c r="AL100" s="64" t="str">
        <f t="shared" si="189"/>
        <v/>
      </c>
      <c r="AM100" s="64" t="str">
        <f t="shared" si="190"/>
        <v/>
      </c>
      <c r="AN100" s="64" t="str">
        <f t="shared" si="191"/>
        <v/>
      </c>
    </row>
    <row r="101" spans="1:40" ht="25.5" thickTop="1" thickBot="1" x14ac:dyDescent="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65"/>
        <v/>
      </c>
      <c r="N101" s="57" t="str">
        <f t="shared" si="166"/>
        <v/>
      </c>
      <c r="O101" s="58" t="str">
        <f t="shared" si="167"/>
        <v/>
      </c>
      <c r="P101" s="59" t="str">
        <f t="shared" si="168"/>
        <v/>
      </c>
      <c r="Q101" s="60" t="str">
        <f t="shared" si="169"/>
        <v/>
      </c>
      <c r="R101" s="61" t="str">
        <f t="shared" si="164"/>
        <v/>
      </c>
      <c r="S101" s="56" t="str">
        <f t="shared" si="170"/>
        <v/>
      </c>
      <c r="T101" s="62" t="str">
        <f t="shared" si="171"/>
        <v/>
      </c>
      <c r="U101" s="63" t="str">
        <f t="shared" si="172"/>
        <v/>
      </c>
      <c r="V101" s="64" t="str">
        <f t="shared" si="173"/>
        <v/>
      </c>
      <c r="W101" s="65" t="str">
        <f t="shared" si="174"/>
        <v/>
      </c>
      <c r="X101" s="64" t="str">
        <f t="shared" si="175"/>
        <v/>
      </c>
      <c r="Y101" s="64" t="str">
        <f t="shared" si="176"/>
        <v/>
      </c>
      <c r="Z101" s="56" t="str">
        <f t="shared" si="177"/>
        <v/>
      </c>
      <c r="AA101" s="66" t="str">
        <f t="shared" si="178"/>
        <v/>
      </c>
      <c r="AB101" s="57" t="str">
        <f t="shared" si="179"/>
        <v/>
      </c>
      <c r="AC101" s="67" t="str">
        <f t="shared" si="180"/>
        <v/>
      </c>
      <c r="AD101" s="59" t="str">
        <f t="shared" si="181"/>
        <v/>
      </c>
      <c r="AE101" s="68" t="str">
        <f t="shared" si="182"/>
        <v/>
      </c>
      <c r="AF101" s="61" t="str">
        <f t="shared" si="183"/>
        <v/>
      </c>
      <c r="AG101" s="61" t="str">
        <f t="shared" si="184"/>
        <v/>
      </c>
      <c r="AH101" s="69" t="str">
        <f t="shared" si="185"/>
        <v/>
      </c>
      <c r="AI101" s="70" t="str">
        <f t="shared" si="186"/>
        <v/>
      </c>
      <c r="AJ101" s="64" t="str">
        <f t="shared" si="187"/>
        <v/>
      </c>
      <c r="AK101" s="64" t="str">
        <f t="shared" si="188"/>
        <v/>
      </c>
      <c r="AL101" s="64" t="str">
        <f t="shared" si="189"/>
        <v/>
      </c>
      <c r="AM101" s="64" t="str">
        <f t="shared" si="190"/>
        <v/>
      </c>
      <c r="AN101" s="64" t="str">
        <f t="shared" si="191"/>
        <v/>
      </c>
    </row>
    <row r="102" spans="1:40" ht="25.5" thickTop="1" thickBot="1" x14ac:dyDescent="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65"/>
        <v/>
      </c>
      <c r="N102" s="57" t="str">
        <f t="shared" si="166"/>
        <v/>
      </c>
      <c r="O102" s="58" t="str">
        <f t="shared" si="167"/>
        <v/>
      </c>
      <c r="P102" s="59" t="str">
        <f t="shared" si="168"/>
        <v/>
      </c>
      <c r="Q102" s="60" t="str">
        <f t="shared" si="169"/>
        <v/>
      </c>
      <c r="R102" s="61" t="str">
        <f t="shared" si="164"/>
        <v/>
      </c>
      <c r="S102" s="56" t="str">
        <f t="shared" si="170"/>
        <v/>
      </c>
      <c r="T102" s="62" t="str">
        <f t="shared" si="171"/>
        <v/>
      </c>
      <c r="U102" s="63" t="str">
        <f t="shared" si="172"/>
        <v/>
      </c>
      <c r="V102" s="64" t="str">
        <f t="shared" si="173"/>
        <v/>
      </c>
      <c r="W102" s="65" t="str">
        <f t="shared" si="174"/>
        <v/>
      </c>
      <c r="X102" s="64" t="str">
        <f t="shared" si="175"/>
        <v/>
      </c>
      <c r="Y102" s="64" t="str">
        <f t="shared" si="176"/>
        <v/>
      </c>
      <c r="Z102" s="56" t="str">
        <f t="shared" si="177"/>
        <v/>
      </c>
      <c r="AA102" s="66" t="str">
        <f t="shared" si="178"/>
        <v/>
      </c>
      <c r="AB102" s="57" t="str">
        <f t="shared" si="179"/>
        <v/>
      </c>
      <c r="AC102" s="67" t="str">
        <f t="shared" si="180"/>
        <v/>
      </c>
      <c r="AD102" s="59" t="str">
        <f t="shared" si="181"/>
        <v/>
      </c>
      <c r="AE102" s="68" t="str">
        <f t="shared" si="182"/>
        <v/>
      </c>
      <c r="AF102" s="61" t="str">
        <f t="shared" si="183"/>
        <v/>
      </c>
      <c r="AG102" s="61" t="str">
        <f t="shared" si="184"/>
        <v/>
      </c>
      <c r="AH102" s="69" t="str">
        <f t="shared" si="185"/>
        <v/>
      </c>
      <c r="AI102" s="70" t="str">
        <f t="shared" si="186"/>
        <v/>
      </c>
      <c r="AJ102" s="64" t="str">
        <f t="shared" si="187"/>
        <v/>
      </c>
      <c r="AK102" s="64" t="str">
        <f t="shared" si="188"/>
        <v/>
      </c>
      <c r="AL102" s="64" t="str">
        <f t="shared" si="189"/>
        <v/>
      </c>
      <c r="AM102" s="64" t="str">
        <f t="shared" si="190"/>
        <v/>
      </c>
      <c r="AN102" s="64" t="str">
        <f t="shared" si="191"/>
        <v/>
      </c>
    </row>
    <row r="103" spans="1:40" ht="25.5" thickTop="1" thickBot="1" x14ac:dyDescent="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65"/>
        <v/>
      </c>
      <c r="N103" s="57" t="str">
        <f t="shared" si="166"/>
        <v/>
      </c>
      <c r="O103" s="58" t="str">
        <f t="shared" si="167"/>
        <v/>
      </c>
      <c r="P103" s="59" t="str">
        <f t="shared" si="168"/>
        <v/>
      </c>
      <c r="Q103" s="60" t="str">
        <f t="shared" si="169"/>
        <v/>
      </c>
      <c r="R103" s="61" t="str">
        <f t="shared" si="164"/>
        <v/>
      </c>
      <c r="S103" s="56" t="str">
        <f t="shared" si="170"/>
        <v/>
      </c>
      <c r="T103" s="62" t="str">
        <f t="shared" si="171"/>
        <v/>
      </c>
      <c r="U103" s="63" t="str">
        <f t="shared" si="172"/>
        <v/>
      </c>
      <c r="V103" s="64" t="str">
        <f t="shared" si="173"/>
        <v/>
      </c>
      <c r="W103" s="65" t="str">
        <f t="shared" si="174"/>
        <v/>
      </c>
      <c r="X103" s="64" t="str">
        <f t="shared" si="175"/>
        <v/>
      </c>
      <c r="Y103" s="64" t="str">
        <f t="shared" si="176"/>
        <v/>
      </c>
      <c r="Z103" s="56" t="str">
        <f t="shared" si="177"/>
        <v/>
      </c>
      <c r="AA103" s="66" t="str">
        <f t="shared" si="178"/>
        <v/>
      </c>
      <c r="AB103" s="57" t="str">
        <f t="shared" si="179"/>
        <v/>
      </c>
      <c r="AC103" s="67" t="str">
        <f t="shared" si="180"/>
        <v/>
      </c>
      <c r="AD103" s="59" t="str">
        <f t="shared" si="181"/>
        <v/>
      </c>
      <c r="AE103" s="68" t="str">
        <f t="shared" si="182"/>
        <v/>
      </c>
      <c r="AF103" s="61" t="str">
        <f t="shared" si="183"/>
        <v/>
      </c>
      <c r="AG103" s="61" t="str">
        <f t="shared" si="184"/>
        <v/>
      </c>
      <c r="AH103" s="69" t="str">
        <f t="shared" si="185"/>
        <v/>
      </c>
      <c r="AI103" s="70" t="str">
        <f t="shared" si="186"/>
        <v/>
      </c>
      <c r="AJ103" s="64" t="str">
        <f t="shared" si="187"/>
        <v/>
      </c>
      <c r="AK103" s="64" t="str">
        <f t="shared" si="188"/>
        <v/>
      </c>
      <c r="AL103" s="64" t="str">
        <f t="shared" si="189"/>
        <v/>
      </c>
      <c r="AM103" s="64" t="str">
        <f t="shared" si="190"/>
        <v/>
      </c>
      <c r="AN103" s="64" t="str">
        <f t="shared" si="191"/>
        <v/>
      </c>
    </row>
    <row r="104" spans="1:40" ht="25.5" thickTop="1" thickBot="1" x14ac:dyDescent="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65"/>
        <v/>
      </c>
      <c r="N104" s="57" t="str">
        <f t="shared" si="166"/>
        <v/>
      </c>
      <c r="O104" s="58" t="str">
        <f t="shared" si="167"/>
        <v/>
      </c>
      <c r="P104" s="59" t="str">
        <f t="shared" si="168"/>
        <v/>
      </c>
      <c r="Q104" s="60" t="str">
        <f t="shared" si="169"/>
        <v/>
      </c>
      <c r="R104" s="61" t="str">
        <f t="shared" si="164"/>
        <v/>
      </c>
      <c r="S104" s="56" t="str">
        <f t="shared" si="170"/>
        <v/>
      </c>
      <c r="T104" s="62" t="str">
        <f t="shared" si="171"/>
        <v/>
      </c>
      <c r="U104" s="63" t="str">
        <f t="shared" si="172"/>
        <v/>
      </c>
      <c r="V104" s="64" t="str">
        <f t="shared" si="173"/>
        <v/>
      </c>
      <c r="W104" s="65" t="str">
        <f t="shared" si="174"/>
        <v/>
      </c>
      <c r="X104" s="64" t="str">
        <f t="shared" si="175"/>
        <v/>
      </c>
      <c r="Y104" s="64" t="str">
        <f t="shared" si="176"/>
        <v/>
      </c>
      <c r="Z104" s="56" t="str">
        <f t="shared" si="177"/>
        <v/>
      </c>
      <c r="AA104" s="66" t="str">
        <f t="shared" si="178"/>
        <v/>
      </c>
      <c r="AB104" s="57" t="str">
        <f t="shared" si="179"/>
        <v/>
      </c>
      <c r="AC104" s="67" t="str">
        <f t="shared" si="180"/>
        <v/>
      </c>
      <c r="AD104" s="59" t="str">
        <f t="shared" si="181"/>
        <v/>
      </c>
      <c r="AE104" s="68" t="str">
        <f t="shared" si="182"/>
        <v/>
      </c>
      <c r="AF104" s="61" t="str">
        <f t="shared" si="183"/>
        <v/>
      </c>
      <c r="AG104" s="61" t="str">
        <f t="shared" si="184"/>
        <v/>
      </c>
      <c r="AH104" s="69" t="str">
        <f t="shared" si="185"/>
        <v/>
      </c>
      <c r="AI104" s="70" t="str">
        <f t="shared" si="186"/>
        <v/>
      </c>
      <c r="AJ104" s="64" t="str">
        <f t="shared" si="187"/>
        <v/>
      </c>
      <c r="AK104" s="64" t="str">
        <f t="shared" si="188"/>
        <v/>
      </c>
      <c r="AL104" s="64" t="str">
        <f t="shared" si="189"/>
        <v/>
      </c>
      <c r="AM104" s="64" t="str">
        <f t="shared" si="190"/>
        <v/>
      </c>
      <c r="AN104" s="64" t="str">
        <f t="shared" si="191"/>
        <v/>
      </c>
    </row>
    <row r="105" spans="1:40" ht="25.5" thickTop="1" thickBot="1" x14ac:dyDescent="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65"/>
        <v/>
      </c>
      <c r="N105" s="57" t="str">
        <f t="shared" si="166"/>
        <v/>
      </c>
      <c r="O105" s="58" t="str">
        <f t="shared" si="167"/>
        <v/>
      </c>
      <c r="P105" s="59" t="str">
        <f t="shared" si="168"/>
        <v/>
      </c>
      <c r="Q105" s="60" t="str">
        <f t="shared" si="169"/>
        <v/>
      </c>
      <c r="R105" s="61" t="str">
        <f t="shared" si="164"/>
        <v/>
      </c>
      <c r="S105" s="56" t="str">
        <f t="shared" si="170"/>
        <v/>
      </c>
      <c r="T105" s="62" t="str">
        <f t="shared" si="171"/>
        <v/>
      </c>
      <c r="U105" s="63" t="str">
        <f t="shared" si="172"/>
        <v/>
      </c>
      <c r="V105" s="64" t="str">
        <f t="shared" si="173"/>
        <v/>
      </c>
      <c r="W105" s="65" t="str">
        <f t="shared" si="174"/>
        <v/>
      </c>
      <c r="X105" s="64" t="str">
        <f t="shared" si="175"/>
        <v/>
      </c>
      <c r="Y105" s="64" t="str">
        <f t="shared" si="176"/>
        <v/>
      </c>
      <c r="Z105" s="56" t="str">
        <f t="shared" si="177"/>
        <v/>
      </c>
      <c r="AA105" s="66" t="str">
        <f t="shared" si="178"/>
        <v/>
      </c>
      <c r="AB105" s="57" t="str">
        <f t="shared" si="179"/>
        <v/>
      </c>
      <c r="AC105" s="67" t="str">
        <f t="shared" si="180"/>
        <v/>
      </c>
      <c r="AD105" s="59" t="str">
        <f t="shared" si="181"/>
        <v/>
      </c>
      <c r="AE105" s="68" t="str">
        <f t="shared" si="182"/>
        <v/>
      </c>
      <c r="AF105" s="61" t="str">
        <f t="shared" si="183"/>
        <v/>
      </c>
      <c r="AG105" s="61" t="str">
        <f t="shared" si="184"/>
        <v/>
      </c>
      <c r="AH105" s="69" t="str">
        <f t="shared" si="185"/>
        <v/>
      </c>
      <c r="AI105" s="70" t="str">
        <f t="shared" si="186"/>
        <v/>
      </c>
      <c r="AJ105" s="64" t="str">
        <f t="shared" si="187"/>
        <v/>
      </c>
      <c r="AK105" s="64" t="str">
        <f t="shared" si="188"/>
        <v/>
      </c>
      <c r="AL105" s="64" t="str">
        <f t="shared" si="189"/>
        <v/>
      </c>
      <c r="AM105" s="64" t="str">
        <f t="shared" si="190"/>
        <v/>
      </c>
      <c r="AN105" s="64" t="str">
        <f t="shared" si="191"/>
        <v/>
      </c>
    </row>
    <row r="106" spans="1:40" ht="27.75"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si="164"/>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142</v>
      </c>
      <c r="E1" s="40"/>
      <c r="F1" s="40"/>
      <c r="G1" s="40"/>
      <c r="H1" s="40"/>
      <c r="I1" s="40"/>
      <c r="J1" s="40"/>
      <c r="K1" s="40"/>
      <c r="L1" s="41" t="str">
        <f ca="1">UPPER(VLOOKUP(C1,Table223[],3,FALSE))</f>
        <v>RESUCITÓ</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RESUCITÓ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resucito</v>
      </c>
      <c r="L7" s="48" t="str">
        <f ca="1">_xlfn.CONCAT("        id: ","""",C7,"""",",")</f>
        <v xml:space="preserve">        id: "resucito",</v>
      </c>
    </row>
    <row r="8" spans="2:32" ht="23.25" x14ac:dyDescent="0.25">
      <c r="C8" t="str">
        <f ca="1">PROPER(L1)</f>
        <v>Resucitó</v>
      </c>
      <c r="L8" s="48" t="str">
        <f ca="1">_xlfn.CONCAT("        tt: ","""",C8,"""",",")</f>
        <v xml:space="preserve">        tt: "Resucitó",</v>
      </c>
    </row>
    <row r="9" spans="2:32" ht="23.25" x14ac:dyDescent="0.25">
      <c r="C9" t="str">
        <f ca="1">PROPER(L1)</f>
        <v>Resucitó</v>
      </c>
      <c r="L9" s="48" t="str">
        <f ca="1">_xlfn.CONCAT("        title: ","""",C9,"""",",")</f>
        <v xml:space="preserve">        title: "Resucitó",</v>
      </c>
    </row>
    <row r="10" spans="2:32" ht="23.25" x14ac:dyDescent="0.25">
      <c r="C10" t="str">
        <f ca="1">VLOOKUP(C1,Table223[],4,FALSE)</f>
        <v>(Kiko Argüello)</v>
      </c>
      <c r="L10" s="48" t="str">
        <f ca="1">_xlfn.CONCAT("        ","subtitle: ","""",C10,"""",",")</f>
        <v xml:space="preserve">        subtitle: "(Kiko Argüello)",</v>
      </c>
    </row>
    <row r="11" spans="2:32" ht="23.25" x14ac:dyDescent="0.25">
      <c r="C11" t="str">
        <f ca="1">_xlfn.CONCAT("category: [",VLOOKUP(C1,Table223[],16,FALSE),"],")</f>
        <v>category: ["Precatecumenado","Pascua","Pentecostés","Comunión"],</v>
      </c>
      <c r="L11" s="48" t="str">
        <f ca="1">_xlfn.CONCAT("        ",C11)</f>
        <v xml:space="preserve">        category: ["Precatecumenado","Pascua","Pentecostés","Comunión"],</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142</v>
      </c>
      <c r="L16" s="48" t="str">
        <f ca="1">_xlfn.CONCAT("        dbno: ","""",C16,"""",",")</f>
        <v xml:space="preserve">        dbno: "142",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resucito</v>
      </c>
      <c r="L19" s="48" t="str">
        <f ca="1">_xlfn.CONCAT("        audioSrc: ","""/audio/",C19,".mp3""",",")</f>
        <v xml:space="preserve">        audioSrc: "/audio/resucito.mp3",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141</v>
      </c>
      <c r="C26" t="str">
        <f ca="1">VLOOKUP(B26,Table4[],13,FALSE)</f>
        <v>"/resucito/src/index.html?canto=quierocantar"</v>
      </c>
      <c r="L26" s="48" t="str">
        <f ca="1">_xlfn.CONCAT("        ant: ",C26,",")</f>
        <v xml:space="preserve">        ant: "/resucito/src/index.html?canto=quierocantar",</v>
      </c>
    </row>
    <row r="27" spans="1:40" ht="23.25" x14ac:dyDescent="0.25">
      <c r="B27">
        <f ca="1">+C1+1</f>
        <v>143</v>
      </c>
      <c r="C27" t="str">
        <f ca="1">VLOOKUP(B27,Table4[],13,FALSE)</f>
        <v>"/resucito/src/index.html?canto=resurrexit"</v>
      </c>
      <c r="L27" s="48" t="str">
        <f ca="1">_xlfn.CONCAT("        sig: ",C27,",")</f>
        <v xml:space="preserve">        sig: "/resucito/src/index.html?canto=resurrexit",</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RESUCITÓ</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code</vt:lpstr>
      <vt:lpstr>Indice</vt:lpstr>
      <vt:lpstr>Index</vt:lpstr>
      <vt:lpstr>Index Web</vt:lpstr>
      <vt:lpstr>cantosJS</vt:lpstr>
      <vt:lpstr>Find</vt:lpstr>
      <vt:lpstr>html</vt:lpstr>
      <vt:lpstr>QUIERO ANDAR, MADRE, A JERUSALÉ</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2025-09-12T20:56:21Z</dcterms:modified>
</cp:coreProperties>
</file>