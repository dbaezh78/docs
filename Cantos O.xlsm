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1750099B-C18C-4062-B3BC-5B495E58D191}" xr6:coauthVersionLast="47" xr6:coauthVersionMax="47" xr10:uidLastSave="{00000000-0000-0000-0000-000000000000}"/>
  <bookViews>
    <workbookView xWindow="-105" yWindow="0" windowWidth="29460" windowHeight="20985" tabRatio="693" firstSheet="3" activeTab="7"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OH CIELOS, LLOVED DE LO ALTO" sheetId="89" r:id="rId8"/>
    <sheet name="MARIA, MADRE MÍA" sheetId="7" r:id="rId9"/>
    <sheet name="boceto" sheetId="36" state="hidden" r:id="rId10"/>
  </sheets>
  <functionGroups builtInGroupCount="19"/>
  <externalReferences>
    <externalReference r:id="rId11"/>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5" i="89" l="1"/>
  <c r="AK80" i="89"/>
  <c r="AI80" i="89"/>
  <c r="AN80" i="89" s="1"/>
  <c r="AD80" i="89"/>
  <c r="AB80" i="89"/>
  <c r="AF80" i="89" s="1"/>
  <c r="Y80" i="89"/>
  <c r="W80" i="89"/>
  <c r="U80" i="89"/>
  <c r="X80" i="89" s="1"/>
  <c r="P80" i="89"/>
  <c r="N80" i="89"/>
  <c r="O80" i="89" s="1"/>
  <c r="AK79" i="89"/>
  <c r="AI79" i="89"/>
  <c r="AJ79" i="89" s="1"/>
  <c r="AE79" i="89"/>
  <c r="AD79" i="89"/>
  <c r="AB79" i="89"/>
  <c r="AC79" i="89" s="1"/>
  <c r="W79" i="89"/>
  <c r="U79" i="89"/>
  <c r="Z79" i="89" s="1"/>
  <c r="P79" i="89"/>
  <c r="N79" i="89"/>
  <c r="M79" i="89" s="1"/>
  <c r="AK77" i="89"/>
  <c r="AI77" i="89"/>
  <c r="AN77" i="89" s="1"/>
  <c r="AD77" i="89"/>
  <c r="AB77" i="89"/>
  <c r="AF77" i="89" s="1"/>
  <c r="Y77" i="89"/>
  <c r="W77" i="89"/>
  <c r="U77" i="89"/>
  <c r="X77" i="89" s="1"/>
  <c r="T77" i="89"/>
  <c r="P77" i="89"/>
  <c r="N77" i="89"/>
  <c r="O77" i="89" s="1"/>
  <c r="AK76" i="89"/>
  <c r="AI76" i="89"/>
  <c r="AJ76" i="89" s="1"/>
  <c r="AD76" i="89"/>
  <c r="AB76" i="89"/>
  <c r="AC76" i="89" s="1"/>
  <c r="W76" i="89"/>
  <c r="U76" i="89"/>
  <c r="T76" i="89" s="1"/>
  <c r="Q76" i="89"/>
  <c r="P76" i="89"/>
  <c r="N76" i="89"/>
  <c r="M76" i="89" s="1"/>
  <c r="AK64" i="89"/>
  <c r="AI64" i="89"/>
  <c r="AN64" i="89" s="1"/>
  <c r="AD64" i="89"/>
  <c r="AB64" i="89"/>
  <c r="AF64" i="89" s="1"/>
  <c r="W64" i="89"/>
  <c r="U64" i="89"/>
  <c r="X64" i="89" s="1"/>
  <c r="P64" i="89"/>
  <c r="N64" i="89"/>
  <c r="O64" i="89" s="1"/>
  <c r="M64" i="89"/>
  <c r="AK63" i="89"/>
  <c r="AI63" i="89"/>
  <c r="AJ63" i="89" s="1"/>
  <c r="AD63" i="89"/>
  <c r="AB63" i="89"/>
  <c r="AC63" i="89" s="1"/>
  <c r="W63" i="89"/>
  <c r="U63" i="89"/>
  <c r="Z63" i="89" s="1"/>
  <c r="P63" i="89"/>
  <c r="N63" i="89"/>
  <c r="M63" i="89" s="1"/>
  <c r="AK86" i="89"/>
  <c r="AI86" i="89"/>
  <c r="AN86" i="89" s="1"/>
  <c r="AD86" i="89"/>
  <c r="AB86" i="89"/>
  <c r="AG86" i="89" s="1"/>
  <c r="W86" i="89"/>
  <c r="U86" i="89"/>
  <c r="Y86" i="89" s="1"/>
  <c r="P86" i="89"/>
  <c r="N86" i="89"/>
  <c r="Q86" i="89" s="1"/>
  <c r="AK85" i="89"/>
  <c r="AI85" i="89"/>
  <c r="AL85" i="89" s="1"/>
  <c r="AD85" i="89"/>
  <c r="AB85" i="89"/>
  <c r="AC85" i="89" s="1"/>
  <c r="W85" i="89"/>
  <c r="U85" i="89"/>
  <c r="V85" i="89" s="1"/>
  <c r="P85" i="89"/>
  <c r="N85" i="89"/>
  <c r="M85" i="89" s="1"/>
  <c r="AK84" i="89"/>
  <c r="AI84" i="89"/>
  <c r="AN84" i="89" s="1"/>
  <c r="AD84" i="89"/>
  <c r="AB84" i="89"/>
  <c r="AA84" i="89" s="1"/>
  <c r="W84" i="89"/>
  <c r="U84" i="89"/>
  <c r="Z84" i="89" s="1"/>
  <c r="P84" i="89"/>
  <c r="N84" i="89"/>
  <c r="S84" i="89" s="1"/>
  <c r="AK83" i="89"/>
  <c r="AI83" i="89"/>
  <c r="AN83" i="89" s="1"/>
  <c r="AD83" i="89"/>
  <c r="AB83" i="89"/>
  <c r="AF83" i="89" s="1"/>
  <c r="W83" i="89"/>
  <c r="U83" i="89"/>
  <c r="X83" i="89" s="1"/>
  <c r="P83" i="89"/>
  <c r="N83" i="89"/>
  <c r="O83" i="89" s="1"/>
  <c r="AK82" i="89"/>
  <c r="AI82" i="89"/>
  <c r="AJ82" i="89" s="1"/>
  <c r="AD82" i="89"/>
  <c r="AB82" i="89"/>
  <c r="AC82" i="89" s="1"/>
  <c r="W82" i="89"/>
  <c r="U82" i="89"/>
  <c r="T82" i="89" s="1"/>
  <c r="P82" i="89"/>
  <c r="N82" i="89"/>
  <c r="M82" i="89" s="1"/>
  <c r="R81" i="89"/>
  <c r="R74" i="89"/>
  <c r="AK73" i="89"/>
  <c r="AI73" i="89"/>
  <c r="AN73" i="89" s="1"/>
  <c r="AD73" i="89"/>
  <c r="AB73" i="89"/>
  <c r="AF73" i="89" s="1"/>
  <c r="W73" i="89"/>
  <c r="U73" i="89"/>
  <c r="Y73" i="89" s="1"/>
  <c r="P73" i="89"/>
  <c r="N73" i="89"/>
  <c r="Q73" i="89" s="1"/>
  <c r="AK72" i="89"/>
  <c r="AI72" i="89"/>
  <c r="AL72" i="89" s="1"/>
  <c r="AD72" i="89"/>
  <c r="AB72" i="89"/>
  <c r="AC72" i="89" s="1"/>
  <c r="W72" i="89"/>
  <c r="U72" i="89"/>
  <c r="V72" i="89" s="1"/>
  <c r="P72" i="89"/>
  <c r="N72" i="89"/>
  <c r="M72" i="89" s="1"/>
  <c r="AK71" i="89"/>
  <c r="AI71" i="89"/>
  <c r="AH71" i="89" s="1"/>
  <c r="AD71" i="89"/>
  <c r="AB71" i="89"/>
  <c r="AA71" i="89" s="1"/>
  <c r="W71" i="89"/>
  <c r="U71" i="89"/>
  <c r="Z71" i="89" s="1"/>
  <c r="P71" i="89"/>
  <c r="N71" i="89"/>
  <c r="S71" i="89" s="1"/>
  <c r="AK70" i="89"/>
  <c r="AI70" i="89"/>
  <c r="AN70" i="89" s="1"/>
  <c r="AD70" i="89"/>
  <c r="AB70" i="89"/>
  <c r="AF70" i="89" s="1"/>
  <c r="W70" i="89"/>
  <c r="U70" i="89"/>
  <c r="X70" i="89" s="1"/>
  <c r="P70" i="89"/>
  <c r="N70" i="89"/>
  <c r="O70" i="89" s="1"/>
  <c r="AK69" i="89"/>
  <c r="AI69" i="89"/>
  <c r="AJ69" i="89" s="1"/>
  <c r="AD69" i="89"/>
  <c r="AB69" i="89"/>
  <c r="AC69" i="89" s="1"/>
  <c r="W69" i="89"/>
  <c r="U69" i="89"/>
  <c r="T69" i="89" s="1"/>
  <c r="P69" i="89"/>
  <c r="N69" i="89"/>
  <c r="M69" i="89" s="1"/>
  <c r="R68" i="89"/>
  <c r="AK60" i="89"/>
  <c r="AI60" i="89"/>
  <c r="AN60" i="89" s="1"/>
  <c r="AD60" i="89"/>
  <c r="AB60" i="89"/>
  <c r="AG60" i="89" s="1"/>
  <c r="W60" i="89"/>
  <c r="U60" i="89"/>
  <c r="Y60" i="89" s="1"/>
  <c r="P60" i="89"/>
  <c r="N60" i="89"/>
  <c r="Q60" i="89" s="1"/>
  <c r="AK59" i="89"/>
  <c r="AI59" i="89"/>
  <c r="AL59" i="89" s="1"/>
  <c r="AD59" i="89"/>
  <c r="AB59" i="89"/>
  <c r="AC59" i="89" s="1"/>
  <c r="W59" i="89"/>
  <c r="U59" i="89"/>
  <c r="V59" i="89" s="1"/>
  <c r="P59" i="89"/>
  <c r="N59" i="89"/>
  <c r="M59" i="89" s="1"/>
  <c r="AK58" i="89"/>
  <c r="AI58" i="89"/>
  <c r="AH58" i="89" s="1"/>
  <c r="AD58" i="89"/>
  <c r="AB58" i="89"/>
  <c r="AA58" i="89" s="1"/>
  <c r="W58" i="89"/>
  <c r="U58" i="89"/>
  <c r="Z58" i="89" s="1"/>
  <c r="P58" i="89"/>
  <c r="N58" i="89"/>
  <c r="S58" i="89" s="1"/>
  <c r="AK57" i="89"/>
  <c r="AI57" i="89"/>
  <c r="AN57" i="89" s="1"/>
  <c r="AD57" i="89"/>
  <c r="AB57" i="89"/>
  <c r="AF57" i="89" s="1"/>
  <c r="W57" i="89"/>
  <c r="U57" i="89"/>
  <c r="X57" i="89" s="1"/>
  <c r="P57" i="89"/>
  <c r="N57" i="89"/>
  <c r="O57" i="89" s="1"/>
  <c r="AK56" i="89"/>
  <c r="AI56" i="89"/>
  <c r="AJ56" i="89" s="1"/>
  <c r="AD56" i="89"/>
  <c r="AB56" i="89"/>
  <c r="AC56" i="89" s="1"/>
  <c r="W56" i="89"/>
  <c r="U56" i="89"/>
  <c r="T56" i="89" s="1"/>
  <c r="P56" i="89"/>
  <c r="N56" i="89"/>
  <c r="M56" i="89" s="1"/>
  <c r="R55" i="89"/>
  <c r="R48" i="89"/>
  <c r="AK47" i="89"/>
  <c r="AI47" i="89"/>
  <c r="AN47" i="89" s="1"/>
  <c r="AD47" i="89"/>
  <c r="AB47" i="89"/>
  <c r="AG47" i="89" s="1"/>
  <c r="W47" i="89"/>
  <c r="U47" i="89"/>
  <c r="Y47" i="89" s="1"/>
  <c r="P47" i="89"/>
  <c r="N47" i="89"/>
  <c r="Q47" i="89" s="1"/>
  <c r="AK46" i="89"/>
  <c r="AI46" i="89"/>
  <c r="AJ46" i="89" s="1"/>
  <c r="AD46" i="89"/>
  <c r="AB46" i="89"/>
  <c r="AF46" i="89" s="1"/>
  <c r="W46" i="89"/>
  <c r="U46" i="89"/>
  <c r="T46" i="89" s="1"/>
  <c r="P46" i="89"/>
  <c r="N46" i="89"/>
  <c r="M46" i="89" s="1"/>
  <c r="AK45" i="89"/>
  <c r="AI45" i="89"/>
  <c r="AH45" i="89" s="1"/>
  <c r="AD45" i="89"/>
  <c r="AB45" i="89"/>
  <c r="AG45" i="89" s="1"/>
  <c r="W45" i="89"/>
  <c r="U45" i="89"/>
  <c r="Z45" i="89" s="1"/>
  <c r="P45" i="89"/>
  <c r="N45" i="89"/>
  <c r="R45" i="89" s="1"/>
  <c r="AK44" i="89"/>
  <c r="AI44" i="89"/>
  <c r="AM44" i="89" s="1"/>
  <c r="AD44" i="89"/>
  <c r="AB44" i="89"/>
  <c r="AE44" i="89" s="1"/>
  <c r="W44" i="89"/>
  <c r="U44" i="89"/>
  <c r="V44" i="89" s="1"/>
  <c r="P44" i="89"/>
  <c r="N44" i="89"/>
  <c r="O44" i="89" s="1"/>
  <c r="AK43" i="89"/>
  <c r="AI43" i="89"/>
  <c r="AJ43" i="89" s="1"/>
  <c r="AD43" i="89"/>
  <c r="AB43" i="89"/>
  <c r="AG43" i="89" s="1"/>
  <c r="W43" i="89"/>
  <c r="U43" i="89"/>
  <c r="T43" i="89" s="1"/>
  <c r="P43" i="89"/>
  <c r="N43" i="89"/>
  <c r="S43" i="89" s="1"/>
  <c r="R42" i="89"/>
  <c r="AK78" i="89"/>
  <c r="AI78" i="89"/>
  <c r="AN78" i="89" s="1"/>
  <c r="AD78" i="89"/>
  <c r="AB78" i="89"/>
  <c r="AC78" i="89" s="1"/>
  <c r="W78" i="89"/>
  <c r="U78" i="89"/>
  <c r="Z78" i="89" s="1"/>
  <c r="P78" i="89"/>
  <c r="N78" i="89"/>
  <c r="R78" i="89" s="1"/>
  <c r="AK75" i="89"/>
  <c r="AI75" i="89"/>
  <c r="AH75" i="89" s="1"/>
  <c r="AD75" i="89"/>
  <c r="AB75" i="89"/>
  <c r="AF75" i="89" s="1"/>
  <c r="W75" i="89"/>
  <c r="U75" i="89"/>
  <c r="Y75" i="89" s="1"/>
  <c r="P75" i="89"/>
  <c r="N75" i="89"/>
  <c r="R75" i="89" s="1"/>
  <c r="AK67" i="89"/>
  <c r="AI67" i="89"/>
  <c r="AH67" i="89" s="1"/>
  <c r="AD67" i="89"/>
  <c r="AB67" i="89"/>
  <c r="AF67" i="89" s="1"/>
  <c r="W67" i="89"/>
  <c r="U67" i="89"/>
  <c r="Y67" i="89" s="1"/>
  <c r="P67" i="89"/>
  <c r="N67" i="89"/>
  <c r="M67" i="89" s="1"/>
  <c r="AK66" i="89"/>
  <c r="AI66" i="89"/>
  <c r="AN66" i="89" s="1"/>
  <c r="AD66" i="89"/>
  <c r="AB66" i="89"/>
  <c r="AE66" i="89" s="1"/>
  <c r="W66" i="89"/>
  <c r="U66" i="89"/>
  <c r="X66" i="89" s="1"/>
  <c r="P66" i="89"/>
  <c r="N66" i="89"/>
  <c r="M66" i="89" s="1"/>
  <c r="AK65" i="89"/>
  <c r="AI65" i="89"/>
  <c r="AN65" i="89" s="1"/>
  <c r="AD65" i="89"/>
  <c r="AB65" i="89"/>
  <c r="W65" i="89"/>
  <c r="U65" i="89"/>
  <c r="Y65" i="89" s="1"/>
  <c r="P65" i="89"/>
  <c r="N65" i="89"/>
  <c r="AK62" i="89"/>
  <c r="AI62" i="89"/>
  <c r="AH62" i="89" s="1"/>
  <c r="AD62" i="89"/>
  <c r="AB62" i="89"/>
  <c r="AA62" i="89" s="1"/>
  <c r="W62" i="89"/>
  <c r="U62" i="89"/>
  <c r="V62" i="89" s="1"/>
  <c r="P62" i="89"/>
  <c r="N62" i="89"/>
  <c r="M62" i="89" s="1"/>
  <c r="R61" i="89"/>
  <c r="AK54" i="89"/>
  <c r="AI54" i="89"/>
  <c r="AH54" i="89" s="1"/>
  <c r="AD54" i="89"/>
  <c r="AB54" i="89"/>
  <c r="AG54" i="89" s="1"/>
  <c r="W54" i="89"/>
  <c r="U54" i="89"/>
  <c r="Z54" i="89" s="1"/>
  <c r="P54" i="89"/>
  <c r="N54" i="89"/>
  <c r="AK53" i="89"/>
  <c r="AI53" i="89"/>
  <c r="AJ53" i="89" s="1"/>
  <c r="AD53" i="89"/>
  <c r="AB53" i="89"/>
  <c r="AF53" i="89" s="1"/>
  <c r="W53" i="89"/>
  <c r="U53" i="89"/>
  <c r="P53" i="89"/>
  <c r="N53" i="89"/>
  <c r="R53" i="89" s="1"/>
  <c r="AK52" i="89"/>
  <c r="AI52" i="89"/>
  <c r="AM52" i="89" s="1"/>
  <c r="AD52" i="89"/>
  <c r="AB52" i="89"/>
  <c r="AG52" i="89" s="1"/>
  <c r="W52" i="89"/>
  <c r="U52" i="89"/>
  <c r="Z52" i="89" s="1"/>
  <c r="P52" i="89"/>
  <c r="N52" i="89"/>
  <c r="Q52" i="89" s="1"/>
  <c r="AK51" i="89"/>
  <c r="AI51" i="89"/>
  <c r="AM51" i="89" s="1"/>
  <c r="AD51" i="89"/>
  <c r="AB51" i="89"/>
  <c r="AC51" i="89" s="1"/>
  <c r="W51" i="89"/>
  <c r="U51" i="89"/>
  <c r="Y51" i="89" s="1"/>
  <c r="P51" i="89"/>
  <c r="N51" i="89"/>
  <c r="R51" i="89" s="1"/>
  <c r="AK50" i="89"/>
  <c r="AI50" i="89"/>
  <c r="AM50" i="89" s="1"/>
  <c r="AD50" i="89"/>
  <c r="AB50" i="89"/>
  <c r="AC50" i="89" s="1"/>
  <c r="W50" i="89"/>
  <c r="U50" i="89"/>
  <c r="Y50" i="89" s="1"/>
  <c r="P50" i="89"/>
  <c r="N50" i="89"/>
  <c r="M50" i="89" s="1"/>
  <c r="AK49" i="89"/>
  <c r="AI49" i="89"/>
  <c r="AH49" i="89" s="1"/>
  <c r="AD49" i="89"/>
  <c r="AB49" i="89"/>
  <c r="AF49" i="89" s="1"/>
  <c r="W49" i="89"/>
  <c r="U49" i="89"/>
  <c r="P49" i="89"/>
  <c r="N49" i="89"/>
  <c r="O49" i="89" s="1"/>
  <c r="AK41" i="89"/>
  <c r="AI41" i="89"/>
  <c r="AH41" i="89" s="1"/>
  <c r="AD41" i="89"/>
  <c r="AB41" i="89"/>
  <c r="AA41" i="89" s="1"/>
  <c r="W41" i="89"/>
  <c r="U41" i="89"/>
  <c r="Z41" i="89" s="1"/>
  <c r="P41" i="89"/>
  <c r="N41" i="89"/>
  <c r="S41" i="89" s="1"/>
  <c r="AK40" i="89"/>
  <c r="AI40" i="89"/>
  <c r="AN40" i="89" s="1"/>
  <c r="AD40" i="89"/>
  <c r="AB40" i="89"/>
  <c r="AF40" i="89" s="1"/>
  <c r="W40" i="89"/>
  <c r="U40" i="89"/>
  <c r="X40" i="89" s="1"/>
  <c r="P40" i="89"/>
  <c r="N40" i="89"/>
  <c r="O40" i="89" s="1"/>
  <c r="AK39" i="89"/>
  <c r="AI39" i="89"/>
  <c r="AJ39" i="89" s="1"/>
  <c r="AD39" i="89"/>
  <c r="AB39" i="89"/>
  <c r="AE39" i="89" s="1"/>
  <c r="W39" i="89"/>
  <c r="U39" i="89"/>
  <c r="T39" i="89" s="1"/>
  <c r="P39" i="89"/>
  <c r="N39" i="89"/>
  <c r="M39" i="89" s="1"/>
  <c r="AK38" i="89"/>
  <c r="AI38" i="89"/>
  <c r="AH38" i="89" s="1"/>
  <c r="AD38" i="89"/>
  <c r="AB38" i="89"/>
  <c r="AG38" i="89" s="1"/>
  <c r="W38" i="89"/>
  <c r="U38" i="89"/>
  <c r="Z38" i="89" s="1"/>
  <c r="P38" i="89"/>
  <c r="N38" i="89"/>
  <c r="R38" i="89" s="1"/>
  <c r="AK37" i="89"/>
  <c r="AI37" i="89"/>
  <c r="AM37" i="89" s="1"/>
  <c r="AD37" i="89"/>
  <c r="AB37" i="89"/>
  <c r="AE37" i="89" s="1"/>
  <c r="W37" i="89"/>
  <c r="U37" i="89"/>
  <c r="V37" i="89" s="1"/>
  <c r="P37" i="89"/>
  <c r="N37" i="89"/>
  <c r="O37" i="89" s="1"/>
  <c r="AK36" i="89"/>
  <c r="AI36" i="89"/>
  <c r="AM36" i="89" s="1"/>
  <c r="AD36" i="89"/>
  <c r="AB36" i="89"/>
  <c r="AA36" i="89" s="1"/>
  <c r="W36" i="89"/>
  <c r="U36" i="89"/>
  <c r="T36" i="89" s="1"/>
  <c r="P36" i="89"/>
  <c r="N36" i="89"/>
  <c r="S36" i="89" s="1"/>
  <c r="AK34" i="89"/>
  <c r="AI34" i="89"/>
  <c r="AN34" i="89" s="1"/>
  <c r="AD34" i="89"/>
  <c r="AB34" i="89"/>
  <c r="AG34" i="89" s="1"/>
  <c r="W34" i="89"/>
  <c r="U34" i="89"/>
  <c r="Y34" i="89" s="1"/>
  <c r="P34" i="89"/>
  <c r="N34" i="89"/>
  <c r="S34" i="89" s="1"/>
  <c r="AK33" i="89"/>
  <c r="AI33" i="89"/>
  <c r="AJ33" i="89" s="1"/>
  <c r="AD33" i="89"/>
  <c r="AB33" i="89"/>
  <c r="AC33" i="89" s="1"/>
  <c r="W33" i="89"/>
  <c r="U33" i="89"/>
  <c r="Z33" i="89" s="1"/>
  <c r="P33" i="89"/>
  <c r="N33" i="89"/>
  <c r="M33" i="89" s="1"/>
  <c r="AK32" i="89"/>
  <c r="AI32" i="89"/>
  <c r="AH32" i="89" s="1"/>
  <c r="AD32" i="89"/>
  <c r="AB32" i="89"/>
  <c r="AA32" i="89" s="1"/>
  <c r="W32" i="89"/>
  <c r="U32" i="89"/>
  <c r="Z32" i="89" s="1"/>
  <c r="P32" i="89"/>
  <c r="N32" i="89"/>
  <c r="S32" i="89" s="1"/>
  <c r="AK31" i="89"/>
  <c r="AI31" i="89"/>
  <c r="AN31" i="89" s="1"/>
  <c r="AD31" i="89"/>
  <c r="AB31" i="89"/>
  <c r="AF31" i="89" s="1"/>
  <c r="W31" i="89"/>
  <c r="U31" i="89"/>
  <c r="X31" i="89" s="1"/>
  <c r="P31" i="89"/>
  <c r="N31" i="89"/>
  <c r="O31" i="89" s="1"/>
  <c r="R30" i="89"/>
  <c r="L18" i="89"/>
  <c r="L17" i="89"/>
  <c r="L15" i="89"/>
  <c r="L14" i="89"/>
  <c r="L13" i="89"/>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AG79" i="89" l="1"/>
  <c r="Z80" i="89"/>
  <c r="V79" i="89"/>
  <c r="X79" i="89"/>
  <c r="AH79" i="89"/>
  <c r="AG63" i="89"/>
  <c r="Y64" i="89"/>
  <c r="Q80" i="89"/>
  <c r="Y79" i="89"/>
  <c r="R80" i="89"/>
  <c r="AL79" i="89"/>
  <c r="S80" i="89"/>
  <c r="AG80" i="89"/>
  <c r="AM79" i="89"/>
  <c r="T80" i="89"/>
  <c r="AH80" i="89"/>
  <c r="AE76" i="89"/>
  <c r="T79" i="89"/>
  <c r="AN79" i="89"/>
  <c r="AG76" i="89"/>
  <c r="AF79" i="89"/>
  <c r="M80" i="89"/>
  <c r="V76" i="89"/>
  <c r="AH76" i="89"/>
  <c r="Q77" i="89"/>
  <c r="AH77" i="89"/>
  <c r="AA80" i="89"/>
  <c r="R77" i="89"/>
  <c r="Q79" i="89"/>
  <c r="AJ80" i="89"/>
  <c r="Y76" i="89"/>
  <c r="AJ77" i="89"/>
  <c r="R79" i="89"/>
  <c r="AC80" i="89"/>
  <c r="V63" i="89"/>
  <c r="Z76" i="89"/>
  <c r="AL76" i="89"/>
  <c r="S79" i="89"/>
  <c r="AA79" i="89"/>
  <c r="V80" i="89"/>
  <c r="AL80" i="89"/>
  <c r="O79" i="89"/>
  <c r="AM76" i="89"/>
  <c r="AE80" i="89"/>
  <c r="AM80" i="89"/>
  <c r="M77" i="89"/>
  <c r="V82" i="89"/>
  <c r="O76" i="89"/>
  <c r="Z77" i="89"/>
  <c r="AG77" i="89"/>
  <c r="AL63" i="89"/>
  <c r="X76" i="89"/>
  <c r="AF76" i="89"/>
  <c r="AN76" i="89"/>
  <c r="S77" i="89"/>
  <c r="AA77" i="89"/>
  <c r="Z82" i="89"/>
  <c r="S76" i="89"/>
  <c r="AA76" i="89"/>
  <c r="V77" i="89"/>
  <c r="AL77" i="89"/>
  <c r="Q64" i="89"/>
  <c r="AE77" i="89"/>
  <c r="AM77" i="89"/>
  <c r="R76" i="89"/>
  <c r="AC77" i="89"/>
  <c r="Y63" i="89"/>
  <c r="AJ64" i="89"/>
  <c r="Y82" i="89"/>
  <c r="T63" i="89"/>
  <c r="AH63" i="89"/>
  <c r="T64" i="89"/>
  <c r="AG64" i="89"/>
  <c r="T70" i="89"/>
  <c r="O63" i="89"/>
  <c r="AE63" i="89"/>
  <c r="AM63" i="89"/>
  <c r="R64" i="89"/>
  <c r="Z64" i="89"/>
  <c r="AH64" i="89"/>
  <c r="X63" i="89"/>
  <c r="AF63" i="89"/>
  <c r="AN63" i="89"/>
  <c r="S64" i="89"/>
  <c r="AA64" i="89"/>
  <c r="R63" i="89"/>
  <c r="AC64" i="89"/>
  <c r="Q63" i="89"/>
  <c r="S63" i="89"/>
  <c r="AA63" i="89"/>
  <c r="V64" i="89"/>
  <c r="AL64" i="89"/>
  <c r="AE64" i="89"/>
  <c r="AM64" i="89"/>
  <c r="T84" i="89"/>
  <c r="AA83" i="89"/>
  <c r="AE69" i="89"/>
  <c r="AG82" i="89"/>
  <c r="T59" i="89"/>
  <c r="AA60" i="89"/>
  <c r="M71" i="89"/>
  <c r="X82" i="89"/>
  <c r="R83" i="89"/>
  <c r="AF85" i="89"/>
  <c r="Z86" i="89"/>
  <c r="AH70" i="89"/>
  <c r="AA72" i="89"/>
  <c r="S83" i="89"/>
  <c r="AG85" i="89"/>
  <c r="AE82" i="89"/>
  <c r="AF69" i="89"/>
  <c r="AA82" i="89"/>
  <c r="M84" i="89"/>
  <c r="AH84" i="89"/>
  <c r="X85" i="89"/>
  <c r="AH85" i="89"/>
  <c r="AA86" i="89"/>
  <c r="AG69" i="89"/>
  <c r="T71" i="89"/>
  <c r="AE72" i="89"/>
  <c r="AA73" i="89"/>
  <c r="Y83" i="89"/>
  <c r="Y85" i="89"/>
  <c r="Q83" i="89"/>
  <c r="Z83" i="89"/>
  <c r="Z85" i="89"/>
  <c r="AA69" i="89"/>
  <c r="Y72" i="89"/>
  <c r="M73" i="89"/>
  <c r="AF82" i="89"/>
  <c r="V83" i="89"/>
  <c r="Z72" i="89"/>
  <c r="T83" i="89"/>
  <c r="T85" i="89"/>
  <c r="AE85" i="89"/>
  <c r="O85" i="89"/>
  <c r="V70" i="89"/>
  <c r="AJ84" i="89"/>
  <c r="Q57" i="89"/>
  <c r="AL69" i="89"/>
  <c r="AL82" i="89"/>
  <c r="Q85" i="89"/>
  <c r="AA56" i="89"/>
  <c r="S57" i="89"/>
  <c r="AM69" i="89"/>
  <c r="Y70" i="89"/>
  <c r="AG73" i="89"/>
  <c r="AM82" i="89"/>
  <c r="AG83" i="89"/>
  <c r="AL84" i="89"/>
  <c r="R85" i="89"/>
  <c r="S86" i="89"/>
  <c r="AH86" i="89"/>
  <c r="T58" i="89"/>
  <c r="AN69" i="89"/>
  <c r="Z70" i="89"/>
  <c r="R73" i="89"/>
  <c r="AH73" i="89"/>
  <c r="AN82" i="89"/>
  <c r="AH83" i="89"/>
  <c r="AM84" i="89"/>
  <c r="S85" i="89"/>
  <c r="AM85" i="89"/>
  <c r="T86" i="89"/>
  <c r="R86" i="89"/>
  <c r="S73" i="89"/>
  <c r="AN85" i="89"/>
  <c r="O86" i="89"/>
  <c r="Z56" i="89"/>
  <c r="AJ85" i="89"/>
  <c r="AH72" i="89"/>
  <c r="M86" i="89"/>
  <c r="O82" i="89"/>
  <c r="AJ86" i="89"/>
  <c r="X69" i="89"/>
  <c r="Q70" i="89"/>
  <c r="Q72" i="89"/>
  <c r="AM72" i="89"/>
  <c r="Q82" i="89"/>
  <c r="AJ83" i="89"/>
  <c r="O84" i="89"/>
  <c r="AE84" i="89"/>
  <c r="AC86" i="89"/>
  <c r="O72" i="89"/>
  <c r="AC84" i="89"/>
  <c r="V84" i="89"/>
  <c r="V58" i="89"/>
  <c r="Y69" i="89"/>
  <c r="R70" i="89"/>
  <c r="AA70" i="89"/>
  <c r="AJ71" i="89"/>
  <c r="R72" i="89"/>
  <c r="AN72" i="89"/>
  <c r="Z73" i="89"/>
  <c r="R82" i="89"/>
  <c r="AH82" i="89"/>
  <c r="M83" i="89"/>
  <c r="AC83" i="89"/>
  <c r="X84" i="89"/>
  <c r="AF84" i="89"/>
  <c r="AA85" i="89"/>
  <c r="V86" i="89"/>
  <c r="AL86" i="89"/>
  <c r="V69" i="89"/>
  <c r="S70" i="89"/>
  <c r="S82" i="89"/>
  <c r="AL83" i="89"/>
  <c r="Q84" i="89"/>
  <c r="Y84" i="89"/>
  <c r="AG84" i="89"/>
  <c r="AE86" i="89"/>
  <c r="AM86" i="89"/>
  <c r="AC43" i="89"/>
  <c r="AL71" i="89"/>
  <c r="AF72" i="89"/>
  <c r="AE83" i="89"/>
  <c r="AM83" i="89"/>
  <c r="R84" i="89"/>
  <c r="X86" i="89"/>
  <c r="AF86" i="89"/>
  <c r="AJ58" i="89"/>
  <c r="AG70" i="89"/>
  <c r="AM71" i="89"/>
  <c r="X72" i="89"/>
  <c r="AG72" i="89"/>
  <c r="AC73" i="89"/>
  <c r="T57" i="89"/>
  <c r="S59" i="89"/>
  <c r="AM59" i="89"/>
  <c r="V71" i="89"/>
  <c r="T73" i="89"/>
  <c r="AJ73" i="89"/>
  <c r="AN59" i="89"/>
  <c r="Q69" i="89"/>
  <c r="AJ70" i="89"/>
  <c r="O71" i="89"/>
  <c r="AE71" i="89"/>
  <c r="AA44" i="89"/>
  <c r="M60" i="89"/>
  <c r="R69" i="89"/>
  <c r="Z69" i="89"/>
  <c r="AH69" i="89"/>
  <c r="M70" i="89"/>
  <c r="AC70" i="89"/>
  <c r="X71" i="89"/>
  <c r="AF71" i="89"/>
  <c r="AN71" i="89"/>
  <c r="S72" i="89"/>
  <c r="V73" i="89"/>
  <c r="AL73" i="89"/>
  <c r="AF43" i="89"/>
  <c r="AL58" i="89"/>
  <c r="S69" i="89"/>
  <c r="AL70" i="89"/>
  <c r="Q71" i="89"/>
  <c r="Y71" i="89"/>
  <c r="AG71" i="89"/>
  <c r="T72" i="89"/>
  <c r="AJ72" i="89"/>
  <c r="O73" i="89"/>
  <c r="AE73" i="89"/>
  <c r="AM73" i="89"/>
  <c r="O69" i="89"/>
  <c r="AC71" i="89"/>
  <c r="AM58" i="89"/>
  <c r="AE70" i="89"/>
  <c r="AM70" i="89"/>
  <c r="R71" i="89"/>
  <c r="X73" i="89"/>
  <c r="Y56" i="89"/>
  <c r="Y58" i="89"/>
  <c r="AN58" i="89"/>
  <c r="AJ32" i="89"/>
  <c r="AC44" i="89"/>
  <c r="X46" i="89"/>
  <c r="AN56" i="89"/>
  <c r="AF59" i="89"/>
  <c r="AC60" i="89"/>
  <c r="AJ57" i="89"/>
  <c r="AL56" i="89"/>
  <c r="AE59" i="89"/>
  <c r="Y57" i="89"/>
  <c r="O58" i="89"/>
  <c r="O59" i="89"/>
  <c r="X59" i="89"/>
  <c r="AG59" i="89"/>
  <c r="V56" i="89"/>
  <c r="AE56" i="89"/>
  <c r="Z57" i="89"/>
  <c r="Y59" i="89"/>
  <c r="AH59" i="89"/>
  <c r="R60" i="89"/>
  <c r="AH60" i="89"/>
  <c r="AA43" i="89"/>
  <c r="AF56" i="89"/>
  <c r="Q59" i="89"/>
  <c r="Z59" i="89"/>
  <c r="S60" i="89"/>
  <c r="V57" i="89"/>
  <c r="X56" i="89"/>
  <c r="AG56" i="89"/>
  <c r="R59" i="89"/>
  <c r="AA59" i="89"/>
  <c r="Z60" i="89"/>
  <c r="M44" i="89"/>
  <c r="O56" i="89"/>
  <c r="AM56" i="89"/>
  <c r="R57" i="89"/>
  <c r="AH57" i="89"/>
  <c r="M58" i="89"/>
  <c r="AC58" i="89"/>
  <c r="AG57" i="89"/>
  <c r="AA57" i="89"/>
  <c r="T60" i="89"/>
  <c r="AJ60" i="89"/>
  <c r="AE43" i="89"/>
  <c r="R56" i="89"/>
  <c r="AH56" i="89"/>
  <c r="M57" i="89"/>
  <c r="AC57" i="89"/>
  <c r="X58" i="89"/>
  <c r="AF58" i="89"/>
  <c r="V60" i="89"/>
  <c r="AL60" i="89"/>
  <c r="S56" i="89"/>
  <c r="AL57" i="89"/>
  <c r="Q58" i="89"/>
  <c r="AG58" i="89"/>
  <c r="AJ59" i="89"/>
  <c r="O60" i="89"/>
  <c r="AE60" i="89"/>
  <c r="AM60" i="89"/>
  <c r="Q56" i="89"/>
  <c r="AE57" i="89"/>
  <c r="AM57" i="89"/>
  <c r="R58" i="89"/>
  <c r="X60" i="89"/>
  <c r="AF60" i="89"/>
  <c r="AE58" i="89"/>
  <c r="X43" i="89"/>
  <c r="V43" i="89"/>
  <c r="AN43" i="89"/>
  <c r="AH65" i="89"/>
  <c r="Z43" i="89"/>
  <c r="AH43" i="89"/>
  <c r="AA39" i="89"/>
  <c r="AG46" i="89"/>
  <c r="AL43" i="89"/>
  <c r="Y44" i="89"/>
  <c r="AM43" i="89"/>
  <c r="AJ45" i="89"/>
  <c r="Q33" i="89"/>
  <c r="AF39" i="89"/>
  <c r="AA46" i="89"/>
  <c r="AA47" i="89"/>
  <c r="AL33" i="89"/>
  <c r="R44" i="89"/>
  <c r="AN45" i="89"/>
  <c r="AC46" i="89"/>
  <c r="AN46" i="89"/>
  <c r="AL45" i="89"/>
  <c r="AM46" i="89"/>
  <c r="S44" i="89"/>
  <c r="AF44" i="89"/>
  <c r="M47" i="89"/>
  <c r="AA37" i="89"/>
  <c r="AH78" i="89"/>
  <c r="AG44" i="89"/>
  <c r="AE46" i="89"/>
  <c r="AH44" i="89"/>
  <c r="S47" i="89"/>
  <c r="T47" i="89"/>
  <c r="Z44" i="89"/>
  <c r="O46" i="89"/>
  <c r="Y46" i="89"/>
  <c r="Q44" i="89"/>
  <c r="M45" i="89"/>
  <c r="Q46" i="89"/>
  <c r="S46" i="89"/>
  <c r="S40" i="89"/>
  <c r="T45" i="89"/>
  <c r="V46" i="89"/>
  <c r="O43" i="89"/>
  <c r="AH66" i="89"/>
  <c r="AA67" i="89"/>
  <c r="M78" i="89"/>
  <c r="M43" i="89"/>
  <c r="X44" i="89"/>
  <c r="AN44" i="89"/>
  <c r="S45" i="89"/>
  <c r="AA45" i="89"/>
  <c r="AL46" i="89"/>
  <c r="R47" i="89"/>
  <c r="Z47" i="89"/>
  <c r="AH47" i="89"/>
  <c r="AJ47" i="89"/>
  <c r="AJ36" i="89"/>
  <c r="AC37" i="89"/>
  <c r="V38" i="89"/>
  <c r="Q78" i="89"/>
  <c r="V45" i="89"/>
  <c r="AC47" i="89"/>
  <c r="AC45" i="89"/>
  <c r="X51" i="89"/>
  <c r="AL62" i="89"/>
  <c r="Y66" i="89"/>
  <c r="S78" i="89"/>
  <c r="Q43" i="89"/>
  <c r="Y43" i="89"/>
  <c r="T44" i="89"/>
  <c r="AJ44" i="89"/>
  <c r="O45" i="89"/>
  <c r="AE45" i="89"/>
  <c r="AM45" i="89"/>
  <c r="R46" i="89"/>
  <c r="Z46" i="89"/>
  <c r="AH46" i="89"/>
  <c r="V47" i="89"/>
  <c r="AL47" i="89"/>
  <c r="AF37" i="89"/>
  <c r="O41" i="89"/>
  <c r="R43" i="89"/>
  <c r="X45" i="89"/>
  <c r="AF45" i="89"/>
  <c r="O47" i="89"/>
  <c r="AE47" i="89"/>
  <c r="AM47" i="89"/>
  <c r="Q31" i="89"/>
  <c r="AL32" i="89"/>
  <c r="S75" i="89"/>
  <c r="AL44" i="89"/>
  <c r="Q45" i="89"/>
  <c r="Y45" i="89"/>
  <c r="X47" i="89"/>
  <c r="AF47" i="89"/>
  <c r="AM32" i="89"/>
  <c r="AH33" i="89"/>
  <c r="Z34" i="89"/>
  <c r="AF51" i="89"/>
  <c r="AF66" i="89"/>
  <c r="S31" i="89"/>
  <c r="O32" i="89"/>
  <c r="AM33" i="89"/>
  <c r="AH36" i="89"/>
  <c r="T40" i="89"/>
  <c r="Q37" i="89"/>
  <c r="AA38" i="89"/>
  <c r="AA49" i="89"/>
  <c r="AE53" i="89"/>
  <c r="Z75" i="89"/>
  <c r="AG33" i="89"/>
  <c r="AC38" i="89"/>
  <c r="AL39" i="89"/>
  <c r="Y40" i="89"/>
  <c r="T41" i="89"/>
  <c r="AM41" i="89"/>
  <c r="AC49" i="89"/>
  <c r="V65" i="89"/>
  <c r="O66" i="89"/>
  <c r="AG66" i="89"/>
  <c r="R37" i="89"/>
  <c r="AL36" i="89"/>
  <c r="Y39" i="89"/>
  <c r="AN36" i="89"/>
  <c r="AF38" i="89"/>
  <c r="AE49" i="89"/>
  <c r="AG53" i="89"/>
  <c r="R33" i="89"/>
  <c r="M37" i="89"/>
  <c r="Q40" i="89"/>
  <c r="Y41" i="89"/>
  <c r="R49" i="89"/>
  <c r="AG49" i="89"/>
  <c r="AL54" i="89"/>
  <c r="T75" i="89"/>
  <c r="O78" i="89"/>
  <c r="AE78" i="89"/>
  <c r="S38" i="89"/>
  <c r="Y31" i="89"/>
  <c r="T33" i="89"/>
  <c r="AN33" i="89"/>
  <c r="AH34" i="89"/>
  <c r="S37" i="89"/>
  <c r="AL41" i="89"/>
  <c r="S49" i="89"/>
  <c r="T54" i="89"/>
  <c r="AJ54" i="89"/>
  <c r="AG75" i="89"/>
  <c r="AF78" i="89"/>
  <c r="AJ34" i="89"/>
  <c r="Y32" i="89"/>
  <c r="X37" i="89"/>
  <c r="AM54" i="89"/>
  <c r="AJ65" i="89"/>
  <c r="T31" i="89"/>
  <c r="AJ31" i="89"/>
  <c r="O33" i="89"/>
  <c r="X33" i="89"/>
  <c r="AM34" i="89"/>
  <c r="Z37" i="89"/>
  <c r="AN37" i="89"/>
  <c r="AN49" i="89"/>
  <c r="T52" i="89"/>
  <c r="AN54" i="89"/>
  <c r="AL65" i="89"/>
  <c r="V33" i="89"/>
  <c r="AJ40" i="89"/>
  <c r="Y33" i="89"/>
  <c r="V31" i="89"/>
  <c r="AN39" i="89"/>
  <c r="AJ41" i="89"/>
  <c r="O51" i="89"/>
  <c r="AG51" i="89"/>
  <c r="AM62" i="89"/>
  <c r="AM65" i="89"/>
  <c r="Z66" i="89"/>
  <c r="X65" i="89"/>
  <c r="Q66" i="89"/>
  <c r="AA66" i="89"/>
  <c r="M75" i="89"/>
  <c r="X78" i="89"/>
  <c r="AG78" i="89"/>
  <c r="AC62" i="89"/>
  <c r="AE62" i="89"/>
  <c r="Z65" i="89"/>
  <c r="R66" i="89"/>
  <c r="X67" i="89"/>
  <c r="Y78" i="89"/>
  <c r="AF62" i="89"/>
  <c r="S66" i="89"/>
  <c r="AC66" i="89"/>
  <c r="Z67" i="89"/>
  <c r="O75" i="89"/>
  <c r="AA78" i="89"/>
  <c r="AG62" i="89"/>
  <c r="T65" i="89"/>
  <c r="Q75" i="89"/>
  <c r="AA75" i="89"/>
  <c r="Z31" i="89"/>
  <c r="M34" i="89"/>
  <c r="AG37" i="89"/>
  <c r="X39" i="89"/>
  <c r="AG39" i="89"/>
  <c r="Z40" i="89"/>
  <c r="Q49" i="89"/>
  <c r="AF50" i="89"/>
  <c r="V51" i="89"/>
  <c r="AE51" i="89"/>
  <c r="AA52" i="89"/>
  <c r="M53" i="89"/>
  <c r="AG31" i="89"/>
  <c r="T32" i="89"/>
  <c r="AC34" i="89"/>
  <c r="M36" i="89"/>
  <c r="AC36" i="89"/>
  <c r="AG40" i="89"/>
  <c r="V52" i="89"/>
  <c r="AF52" i="89"/>
  <c r="V54" i="89"/>
  <c r="Q34" i="89"/>
  <c r="AC39" i="89"/>
  <c r="V40" i="89"/>
  <c r="M49" i="89"/>
  <c r="AA50" i="89"/>
  <c r="AA51" i="89"/>
  <c r="Q53" i="89"/>
  <c r="V32" i="89"/>
  <c r="R34" i="89"/>
  <c r="O36" i="89"/>
  <c r="AE36" i="89"/>
  <c r="V41" i="89"/>
  <c r="X52" i="89"/>
  <c r="X54" i="89"/>
  <c r="O34" i="89"/>
  <c r="AE33" i="89"/>
  <c r="AF36" i="89"/>
  <c r="V39" i="89"/>
  <c r="Y52" i="89"/>
  <c r="Y54" i="89"/>
  <c r="O53" i="89"/>
  <c r="R36" i="89"/>
  <c r="X53" i="89"/>
  <c r="Z53" i="89"/>
  <c r="S54" i="89"/>
  <c r="M54" i="89"/>
  <c r="R31" i="89"/>
  <c r="AH31" i="89"/>
  <c r="M32" i="89"/>
  <c r="AC32" i="89"/>
  <c r="AF33" i="89"/>
  <c r="AA34" i="89"/>
  <c r="V36" i="89"/>
  <c r="Y37" i="89"/>
  <c r="T38" i="89"/>
  <c r="AJ38" i="89"/>
  <c r="O39" i="89"/>
  <c r="AM39" i="89"/>
  <c r="R40" i="89"/>
  <c r="AH40" i="89"/>
  <c r="M41" i="89"/>
  <c r="AC41" i="89"/>
  <c r="V50" i="89"/>
  <c r="M51" i="89"/>
  <c r="M52" i="89"/>
  <c r="O52" i="89"/>
  <c r="V53" i="89"/>
  <c r="O54" i="89"/>
  <c r="O67" i="89"/>
  <c r="Q67" i="89"/>
  <c r="S67" i="89"/>
  <c r="R67" i="89"/>
  <c r="T49" i="89"/>
  <c r="V49" i="89"/>
  <c r="AA31" i="89"/>
  <c r="T34" i="89"/>
  <c r="AH37" i="89"/>
  <c r="M38" i="89"/>
  <c r="AA40" i="89"/>
  <c r="X49" i="89"/>
  <c r="AH50" i="89"/>
  <c r="AH52" i="89"/>
  <c r="AN53" i="89"/>
  <c r="AH53" i="89"/>
  <c r="S62" i="89"/>
  <c r="R62" i="89"/>
  <c r="Q62" i="89"/>
  <c r="O62" i="89"/>
  <c r="X36" i="89"/>
  <c r="AL38" i="89"/>
  <c r="O50" i="89"/>
  <c r="Q50" i="89"/>
  <c r="Q54" i="89"/>
  <c r="AM67" i="89"/>
  <c r="AN67" i="89"/>
  <c r="AL67" i="89"/>
  <c r="AJ67" i="89"/>
  <c r="M31" i="89"/>
  <c r="AC31" i="89"/>
  <c r="X32" i="89"/>
  <c r="AF32" i="89"/>
  <c r="AN32" i="89"/>
  <c r="S33" i="89"/>
  <c r="AA33" i="89"/>
  <c r="V34" i="89"/>
  <c r="AL34" i="89"/>
  <c r="Q36" i="89"/>
  <c r="Y36" i="89"/>
  <c r="AG36" i="89"/>
  <c r="T37" i="89"/>
  <c r="AJ37" i="89"/>
  <c r="O38" i="89"/>
  <c r="AE38" i="89"/>
  <c r="AM38" i="89"/>
  <c r="R39" i="89"/>
  <c r="Z39" i="89"/>
  <c r="AH39" i="89"/>
  <c r="M40" i="89"/>
  <c r="AC40" i="89"/>
  <c r="X41" i="89"/>
  <c r="AF41" i="89"/>
  <c r="AN41" i="89"/>
  <c r="Z49" i="89"/>
  <c r="Z50" i="89"/>
  <c r="AJ50" i="89"/>
  <c r="R52" i="89"/>
  <c r="AJ52" i="89"/>
  <c r="AA53" i="89"/>
  <c r="R54" i="89"/>
  <c r="AA54" i="89"/>
  <c r="AC54" i="89"/>
  <c r="Z62" i="89"/>
  <c r="Y62" i="89"/>
  <c r="X62" i="89"/>
  <c r="T62" i="89"/>
  <c r="AE41" i="89"/>
  <c r="Y49" i="89"/>
  <c r="X50" i="89"/>
  <c r="AL31" i="89"/>
  <c r="Q32" i="89"/>
  <c r="AG32" i="89"/>
  <c r="AE34" i="89"/>
  <c r="Z36" i="89"/>
  <c r="X38" i="89"/>
  <c r="AN38" i="89"/>
  <c r="S39" i="89"/>
  <c r="AL40" i="89"/>
  <c r="Q41" i="89"/>
  <c r="AG41" i="89"/>
  <c r="AJ49" i="89"/>
  <c r="AL49" i="89"/>
  <c r="R50" i="89"/>
  <c r="Q51" i="89"/>
  <c r="AL51" i="89"/>
  <c r="S52" i="89"/>
  <c r="AL53" i="89"/>
  <c r="Q65" i="89"/>
  <c r="S65" i="89"/>
  <c r="R65" i="89"/>
  <c r="M65" i="89"/>
  <c r="AE32" i="89"/>
  <c r="Q39" i="89"/>
  <c r="Y53" i="89"/>
  <c r="AE31" i="89"/>
  <c r="AM31" i="89"/>
  <c r="R32" i="89"/>
  <c r="X34" i="89"/>
  <c r="AF34" i="89"/>
  <c r="AL37" i="89"/>
  <c r="Q38" i="89"/>
  <c r="Y38" i="89"/>
  <c r="AE40" i="89"/>
  <c r="AM40" i="89"/>
  <c r="R41" i="89"/>
  <c r="S50" i="89"/>
  <c r="AE50" i="89"/>
  <c r="AG50" i="89"/>
  <c r="AL50" i="89"/>
  <c r="S51" i="89"/>
  <c r="AC52" i="89"/>
  <c r="AE52" i="89"/>
  <c r="AL52" i="89"/>
  <c r="S53" i="89"/>
  <c r="AC53" i="89"/>
  <c r="AM53" i="89"/>
  <c r="AE54" i="89"/>
  <c r="O65" i="89"/>
  <c r="AH51" i="89"/>
  <c r="AJ51" i="89"/>
  <c r="AM49" i="89"/>
  <c r="T50" i="89"/>
  <c r="AN50" i="89"/>
  <c r="Z51" i="89"/>
  <c r="T51" i="89"/>
  <c r="AN51" i="89"/>
  <c r="AN52" i="89"/>
  <c r="T53" i="89"/>
  <c r="AF54" i="89"/>
  <c r="AJ62" i="89"/>
  <c r="V67" i="89"/>
  <c r="V75" i="89"/>
  <c r="X75" i="89"/>
  <c r="AE75" i="89"/>
  <c r="AG65" i="89"/>
  <c r="AA65" i="89"/>
  <c r="AL75" i="89"/>
  <c r="AN75" i="89"/>
  <c r="AN62" i="89"/>
  <c r="AC65" i="89"/>
  <c r="AJ66" i="89"/>
  <c r="AL66" i="89"/>
  <c r="AJ75" i="89"/>
  <c r="AJ78" i="89"/>
  <c r="AL78" i="89"/>
  <c r="AE67" i="89"/>
  <c r="AG67" i="89"/>
  <c r="AE65" i="89"/>
  <c r="AM66" i="89"/>
  <c r="T67" i="89"/>
  <c r="AC67" i="89"/>
  <c r="AC75" i="89"/>
  <c r="AM75" i="89"/>
  <c r="AM78" i="89"/>
  <c r="AF65" i="89"/>
  <c r="T66" i="89"/>
  <c r="V66" i="89"/>
  <c r="T78" i="89"/>
  <c r="V78" i="89"/>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77" i="89" l="1"/>
  <c r="L79" i="89"/>
  <c r="L80" i="89"/>
  <c r="L76" i="89"/>
  <c r="L64" i="89"/>
  <c r="L63" i="89"/>
  <c r="L86" i="89"/>
  <c r="L72" i="89"/>
  <c r="L85" i="89"/>
  <c r="L83" i="89"/>
  <c r="L84" i="89"/>
  <c r="L73" i="89"/>
  <c r="L71" i="89"/>
  <c r="L70" i="89"/>
  <c r="L60" i="89"/>
  <c r="L59" i="89"/>
  <c r="L57" i="89"/>
  <c r="L58" i="89"/>
  <c r="L46" i="89"/>
  <c r="L44" i="89"/>
  <c r="L45" i="89"/>
  <c r="L47" i="89"/>
  <c r="L33" i="89"/>
  <c r="L37" i="89"/>
  <c r="L66" i="89"/>
  <c r="L78" i="89"/>
  <c r="L67" i="89"/>
  <c r="L53" i="89"/>
  <c r="L52" i="89"/>
  <c r="L62" i="89"/>
  <c r="L65" i="89"/>
  <c r="L75" i="89"/>
  <c r="L40" i="89"/>
  <c r="L41" i="89"/>
  <c r="L36" i="89"/>
  <c r="L51" i="89"/>
  <c r="L54" i="89"/>
  <c r="L31" i="89"/>
  <c r="L39" i="89"/>
  <c r="L32" i="89"/>
  <c r="L38" i="89"/>
  <c r="L50" i="89"/>
  <c r="L49" i="89"/>
  <c r="L34" i="89"/>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96" i="36" l="1"/>
  <c r="L86" i="36"/>
  <c r="L91" i="36"/>
  <c r="L99" i="36"/>
  <c r="L90" i="36"/>
  <c r="L100" i="36"/>
  <c r="C1" i="89" a="1"/>
  <c r="C1" i="89" l="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B27" i="89" l="1"/>
  <c r="C27" i="89" s="1"/>
  <c r="L27" i="89" s="1"/>
  <c r="C11" i="89"/>
  <c r="L11" i="89" s="1"/>
  <c r="C16" i="89"/>
  <c r="L16" i="89" s="1"/>
  <c r="C10" i="89"/>
  <c r="L10" i="89" s="1"/>
  <c r="B26" i="89"/>
  <c r="C26" i="89" s="1"/>
  <c r="L26" i="89" s="1"/>
  <c r="L1" i="89"/>
  <c r="C12" i="89"/>
  <c r="L12" i="89" s="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L87" i="89" l="1"/>
  <c r="C9" i="89"/>
  <c r="L9" i="89" s="1"/>
  <c r="C7" i="89" a="1"/>
  <c r="C7" i="89" s="1"/>
  <c r="L4" i="89"/>
  <c r="C8" i="89"/>
  <c r="L8" i="89" s="1"/>
  <c r="AA91" i="7"/>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C19" i="89" l="1"/>
  <c r="L19" i="89" s="1"/>
  <c r="L7" i="89"/>
  <c r="L102" i="7"/>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l="1" a="1"/>
  <c r="C1" i="7" l="1"/>
  <c r="C1" i="36" a="1"/>
  <c r="C1" i="36" l="1"/>
  <c r="B27" i="7"/>
  <c r="C27" i="7" s="1"/>
  <c r="L27" i="7" s="1"/>
  <c r="C12" i="7"/>
  <c r="L12" i="7" s="1"/>
  <c r="B26" i="7"/>
  <c r="C26" i="7" s="1"/>
  <c r="L26" i="7" s="1"/>
  <c r="C10" i="7"/>
  <c r="L10" i="7" s="1"/>
  <c r="C16" i="7"/>
  <c r="L16" i="7" s="1"/>
  <c r="C11" i="7"/>
  <c r="L11" i="7" s="1"/>
  <c r="L1" i="7"/>
  <c r="L94" i="7" l="1"/>
  <c r="C9" i="7"/>
  <c r="L9" i="7" s="1"/>
  <c r="C8" i="7"/>
  <c r="L8" i="7" s="1"/>
  <c r="C7" i="7" a="1"/>
  <c r="C7" i="7" s="1"/>
  <c r="L4" i="7"/>
  <c r="B27" i="36"/>
  <c r="C27" i="36" s="1"/>
  <c r="L27" i="36" s="1"/>
  <c r="C12" i="36"/>
  <c r="L12" i="36" s="1"/>
  <c r="C11" i="36"/>
  <c r="L11" i="36" s="1"/>
  <c r="L1" i="36"/>
  <c r="C10" i="36"/>
  <c r="L10" i="36" s="1"/>
  <c r="B26" i="36"/>
  <c r="C26" i="36" s="1"/>
  <c r="L26" i="36" s="1"/>
  <c r="C16" i="36"/>
  <c r="L16" i="36" s="1"/>
  <c r="C19" i="7" l="1"/>
  <c r="L19" i="7" s="1"/>
  <c r="L7" i="7"/>
  <c r="C8" i="36"/>
  <c r="L8" i="36" s="1"/>
  <c r="L4" i="36"/>
  <c r="L102" i="36"/>
  <c r="C9" i="36"/>
  <c r="L9" i="36" s="1"/>
  <c r="C7" i="36" a="1"/>
  <c r="C7" i="36"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E7E8DC5-ADDA-42CE-903A-1EF439333E63}">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<sst xmlns="http://schemas.openxmlformats.org/spreadsheetml/2006/main" count="4760" uniqueCount="1053">
  <si>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</si>
  <si>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</si>
  <si>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</si>
  <si>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</si>
  <si>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</si>
  <si>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</si>
  <si>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</si>
  <si>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</si>
  <si>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</si>
  <si>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</si>
  <si>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</si>
  <si>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</si>
  <si>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</si>
  <si>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</si>
  <si>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</si>
  <si>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</si>
  <si>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</si>
  <si>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</si>
  <si>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</si>
  <si>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</si>
  <si>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</si>
  <si>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</si>
  <si>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</si>
  <si>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</si>
  <si>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</si>
  <si>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</si>
  <si>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</si>
  <si>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</si>
  <si>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</si>
  <si>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</si>
  <si>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</si>
  <si>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</si>
  <si>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</si>
  <si>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</si>
  <si>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</si>
  <si>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</si>
  <si>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</si>
  <si>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</si>
  <si>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</si>
  <si>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</si>
  <si>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</si>
  <si>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</si>
  <si>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</si>
  <si>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</si>
  <si>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</si>
  <si>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</si>
  <si>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</si>
  <si>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</si>
  <si>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</si>
  <si>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</si>
  <si>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</si>
  <si>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</si>
  <si>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</si>
  <si>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</si>
  <si>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</si>
  <si>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</si>
  <si>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</si>
  <si>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</si>
  <si>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</si>
  <si>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</si>
  <si>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</si>
  <si>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</si>
  <si>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</si>
  <si>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</si>
  <si>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</si>
  <si>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</si>
  <si>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</si>
  <si>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</si>
  <si>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</si>
  <si>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</si>
  <si>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</si>
  <si>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</si>
  <si>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</si>
  <si>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</si>
  <si>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</si>
  <si>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</si>
  <si>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</si>
  <si>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</si>
  <si>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</si>
  <si>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</si>
  <si>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</si>
  <si>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</si>
  <si>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</si>
  <si>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</si>
  <si>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</si>
  <si>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</si>
  <si>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</si>
  <si>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</si>
  <si>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</si>
  <si>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</si>
  <si>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</si>
  <si>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</si>
  <si>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</si>
  <si>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</si>
  <si>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</si>
  <si>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</si>
  <si>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</si>
  <si>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</si>
  <si>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</si>
  <si>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</si>
  <si>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</si>
  <si>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</si>
  <si>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</si>
  <si>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</si>
  <si>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</si>
  <si>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</si>
  <si>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</si>
  <si>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</si>
  <si>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</si>
  <si>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</si>
  <si>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</si>
  <si>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</si>
  <si>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</si>
  <si>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</si>
  <si>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</si>
  <si>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</si>
  <si>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</si>
  <si>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</si>
  <si>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</si>
  <si>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</si>
  <si>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</si>
  <si>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</si>
  <si>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</si>
  <si>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</si>
  <si>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</si>
  <si>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</si>
  <si>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</si>
  <si>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</si>
  <si>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</si>
  <si>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</si>
  <si>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</si>
  <si>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</si>
  <si>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</si>
  <si>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</si>
  <si>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</si>
  <si>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</si>
  <si>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</si>
  <si>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</si>
  <si>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</si>
  <si>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</si>
  <si>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</si>
  <si>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</si>
  <si>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</si>
  <si>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</si>
  <si>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</si>
  <si>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</si>
  <si>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</si>
  <si>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</si>
  <si>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</si>
  <si>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</si>
  <si>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</si>
  <si>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</si>
  <si>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</si>
  <si>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</si>
  <si>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</si>
  <si>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</si>
  <si>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</si>
  <si>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</si>
  <si>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</si>
  <si>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</si>
  <si>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</si>
  <si>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</si>
  <si>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</si>
  <si>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</si>
  <si>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</si>
  <si>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</si>
  <si>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</si>
  <si>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</si>
  <si>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</si>
  <si>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</si>
  <si>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</si>
  <si>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</si>
  <si>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</si>
  <si>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</si>
  <si>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</si>
  <si>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</si>
  <si>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</si>
  <si>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</si>
  <si>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</si>
  <si>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</si>
  <si>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</si>
  <si>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</si>
  <si>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</si>
  <si>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</si>
  <si>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</si>
  <si>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</si>
  <si>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</si>
  <si>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</si>
  <si>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</si>
  <si>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</si>
  <si>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</si>
  <si>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</si>
  <si>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</si>
  <si>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</si>
  <si>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</si>
  <si>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</si>
  <si>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</si>
  <si>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</si>
  <si>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</si>
  <si>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</si>
  <si>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</si>
  <si>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</si>
  <si>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</si>
  <si>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</si>
  <si>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</si>
  <si>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</si>
  <si>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</si>
  <si>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</si>
  <si>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</si>
  <si>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</si>
  <si>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</si>
  <si>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</si>
  <si>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</si>
  <si>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</si>
  <si>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</si>
  <si>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</si>
  <si>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</si>
  <si>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</si>
  <si>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</si>
  <si>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</si>
  <si>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</si>
  <si>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</si>
  <si>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</si>
  <si>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</si>
  <si>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</si>
  <si>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</si>
  <si>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</si>
  <si>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</si>
  <si>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</si>
  <si>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</si>
  <si>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</si>
  <si>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</si>
  <si>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</si>
  <si>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</si>
  <si>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</si>
  <si>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</si>
  <si>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</si>
  <si>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</si>
  <si>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</si>
  <si>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</si>
  <si>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</si>
  <si>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</si>
  <si>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</si>
  <si>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</si>
  <si>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</si>
  <si>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</si>
  <si>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</si>
  <si>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</si>
  <si>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</si>
  <si>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</si>
  <si>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</si>
  <si>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</si>
  <si>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</si>
  <si>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</si>
  <si>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</si>
  <si>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</si>
  <si>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</si>
  <si>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</si>
  <si>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</si>
  <si>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</si>
  <si>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</si>
  <si>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</si>
  <si>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</si>
  <si>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</si>
  <si>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</si>
  <si>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</si>
  <si>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</si>
  <si>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</si>
  <si>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</si>
  <si>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</si>
  <si>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</si>
  <si>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</si>
  <si>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</si>
  <si>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</si>
  <si>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</si>
  <si>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</si>
  <si>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</si>
  <si>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</si>
  <si>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</si>
  <si>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</si>
  <si>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</si>
  <si>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</si>
  <si>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</si>
  <si>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</si>
  <si>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</si>
  <si>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</si>
  <si>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</si>
  <si>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</si>
  <si>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</si>
  <si>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</si>
  <si>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</si>
  <si>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</si>
  <si>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</si>
  <si>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</si>
  <si>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</si>
  <si>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</si>
  <si>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</si>
  <si>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</si>
  <si>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</si>
  <si>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</si>
  <si>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</si>
  <si>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</si>
  <si>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</si>
  <si>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</si>
  <si>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</si>
  <si>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</si>
  <si>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</si>
  <si>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</si>
  <si>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</si>
  <si>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</si>
  <si>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</si>
  <si>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</si>
  <si>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</si>
  <si>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</si>
  <si>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</si>
  <si>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</si>
  <si>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</si>
  <si>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</si>
  <si>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</si>
  <si>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</si>
  <si>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</si>
  <si>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</si>
  <si>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</si>
  <si>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</si>
  <si>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</si>
  <si>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</si>
  <si>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</si>
  <si>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</si>
  <si>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</si>
  <si>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</si>
  <si>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</si>
  <si>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</si>
  <si>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</si>
  <si>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</si>
  <si>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</si>
  <si>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</si>
  <si>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</si>
  <si>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</si>
  <si>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</si>
  <si>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</si>
  <si>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</si>
  <si>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</si>
  <si>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</si>
  <si>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</si>
  <si>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</si>
  <si>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</si>
  <si>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</si>
  <si>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</si>
  <si>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</si>
  <si>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</si>
  <si>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</si>
  <si>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</si>
  <si>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</si>
  <si>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</si>
  <si>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</si>
  <si>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</si>
  <si>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</si>
  <si>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</si>
  <si>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</si>
  <si>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</si>
  <si>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</si>
  <si>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</si>
  <si>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</si>
  <si>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</si>
  <si>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</si>
  <si>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</si>
  <si>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</si>
  <si>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</si>
  <si>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</si>
  <si>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</si>
  <si>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</si>
  <si>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</si>
  <si>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</si>
  <si>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</si>
  <si>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</si>
  <si>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</si>
  <si>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</si>
  <si>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</si>
  <si>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</si>
  <si>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</si>
  <si>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</si>
  <si>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</si>
  <si>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</si>
  <si>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</si>
  <si>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</si>
  <si>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</si>
  <si>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</si>
  <si>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</si>
  <si>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</si>
  <si>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</si>
  <si>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</si>
  <si>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</si>
  <si>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</si>
  <si>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</si>
  <si>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</si>
  <si>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</si>
  <si>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</si>
  <si>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</si>
  <si>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</si>
  <si>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</si>
  <si>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</si>
  <si>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</si>
  <si>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</si>
  <si>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</si>
  <si>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</si>
  <si>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</si>
  <si>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</si>
  <si>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</si>
  <si>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</si>
  <si>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</si>
  <si>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</si>
  <si>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</si>
  <si>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</si>
  <si>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</si>
  <si>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</si>
  <si>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</si>
  <si>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</si>
  <si>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</si>
  <si>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</si>
  <si>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</si>
  <si>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</si>
  <si>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</si>
  <si>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</si>
  <si>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</si>
  <si>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</si>
  <si>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</si>
  <si>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</si>
  <si>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</si>
  <si>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</si>
  <si>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</si>
  <si>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</si>
  <si>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</si>
  <si>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</si>
  <si>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</si>
  <si>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</si>
  <si>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</si>
  <si>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</si>
  <si>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</si>
  <si>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</si>
  <si>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</si>
  <si>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</si>
  <si>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</si>
  <si>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</si>
  <si>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</si>
  <si>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</si>
  <si>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</si>
  <si>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</si>
  <si>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</si>
  <si>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</si>
  <si>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</si>
  <si>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</si>
  <si>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</si>
  <si>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</si>
  <si>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</si>
  <si>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</si>
  <si>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</si>
  <si>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</si>
  <si>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</si>
  <si>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</si>
  <si>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</si>
  <si>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</si>
  <si>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</si>
  <si>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</si>
  <si>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</si>
  <si>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</si>
  <si>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</si>
  <si>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</si>
  <si>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</si>
  <si>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</si>
  <si>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</si>
  <si>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</si>
  <si>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</si>
  <si>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</si>
  <si>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</si>
  <si>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</si>
  <si>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</si>
  <si>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</si>
  <si>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</si>
  <si>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</si>
  <si>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</si>
  <si>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</si>
  <si>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</si>
  <si>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</si>
  <si>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</si>
  <si>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</si>
  <si>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</si>
  <si>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</si>
  <si>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</si>
  <si>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</si>
  <si>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</si>
  <si>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</si>
  <si>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</si>
  <si>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</si>
  <si>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</si>
  <si>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</si>
  <si>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</si>
  <si>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</si>
  <si>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</si>
  <si>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</si>
  <si>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</si>
  <si>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</si>
  <si>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</si>
  <si>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</si>
  <si>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</si>
  <si>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</si>
  <si>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</si>
  <si>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</si>
  <si>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</si>
  <si>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</si>
  <si>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</si>
  <si>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</si>
  <si>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</si>
  <si>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</si>
  <si>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</si>
  <si>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</si>
  <si>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</si>
  <si>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</si>
  <si>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</si>
  <si>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</si>
  <si>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</si>
  <si>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</si>
  <si>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</si>
  <si>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</si>
  <si>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</si>
  <si>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</si>
  <si>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</si>
  <si>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</si>
  <si>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</si>
  <si>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</si>
  <si>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</si>
  <si>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</si>
  <si>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</si>
  <si>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</si>
  <si>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</si>
  <si>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</si>
  <si>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</si>
  <si>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</si>
  <si>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</si>
  <si>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</si>
  <si>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</si>
  <si>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</si>
  <si>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</si>
  <si>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</si>
  <si>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</si>
  <si>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</si>
  <si>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</si>
  <si>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</si>
  <si>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</si>
  <si>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</si>
  <si>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</si>
  <si>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</si>
  <si>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</si>
  <si>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</si>
  <si>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</si>
  <si>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</si>
  <si>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</si>
  <si>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</si>
  <si>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</si>
  <si>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</si>
  <si>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</si>
  <si>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</si>
  <si>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</si>
  <si>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</si>
  <si>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</si>
  <si>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</si>
  <si>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</si>
  <si>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</si>
  <si>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</si>
  <si>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</si>
  <si>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</si>
  <si>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</si>
  <si>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</si>
  <si>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</si>
  <si>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</si>
  <si>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</si>
  <si>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</si>
  <si>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</si>
  <si>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</si>
  <si>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</si>
  <si>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</si>
  <si>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</si>
  <si>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</si>
  <si>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</si>
  <si>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</si>
  <si>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</si>
  <si>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</si>
  <si>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</si>
  <si>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</si>
  <si>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</si>
  <si>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</si>
  <si>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</si>
  <si>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</si>
  <si>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</si>
  <si>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</si>
  <si>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</si>
  <si>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</si>
  <si>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</si>
  <si>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</si>
  <si>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</si>
  <si>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</si>
  <si>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</si>
  <si>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</si>
  <si>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</si>
  <si>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</si>
  <si>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</si>
  <si>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</si>
  <si>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</si>
  <si>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</si>
  <si>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</si>
  <si>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</si>
  <si>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</si>
  <si>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</si>
  <si>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</si>
  <si>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</si>
  <si>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</si>
  <si>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</si>
  <si>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</si>
  <si>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</si>
  <si>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</si>
  <si>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</si>
  <si>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</si>
  <si>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</si>
  <si>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</si>
  <si>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</si>
  <si>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</si>
  <si>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</si>
  <si>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</si>
  <si>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</si>
  <si>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</si>
  <si>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</si>
  <si>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</si>
  <si>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</si>
  <si>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</si>
  <si>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</si>
  <si>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</si>
  <si>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</si>
  <si>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</si>
  <si>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</si>
  <si>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</si>
  <si>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</si>
  <si>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</si>
  <si>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</si>
  <si>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</si>
  <si>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</si>
  <si>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</si>
  <si>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</si>
  <si>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</si>
  <si>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</si>
  <si>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</si>
  <si>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</si>
  <si>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</si>
  <si>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</si>
  <si>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</si>
  <si>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</si>
  <si>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</si>
  <si>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</si>
  <si>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</si>
  <si>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</si>
  <si>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</si>
  <si>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</si>
  <si>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</si>
  <si>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</si>
  <si>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</si>
  <si>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</si>
  <si>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</si>
  <si>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</si>
  <si>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</si>
  <si>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</si>
  <si>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</si>
  <si>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</si>
  <si>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</si>
  <si>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</si>
  <si>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</si>
  <si>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</si>
  <si>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</si>
  <si>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</si>
  <si>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</si>
  <si>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</si>
  <si>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</si>
  <si>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</si>
  <si>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</si>
  <si>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</si>
  <si>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</si>
  <si>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</si>
  <si>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</si>
  <si>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</si>
  <si>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</si>
  <si>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</si>
  <si>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</si>
  <si>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</si>
  <si>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</si>
  <si>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</si>
  <si>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</si>
  <si>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</si>
  <si>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</si>
  <si>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</si>
  <si>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</si>
  <si>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</si>
  <si>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</si>
  <si>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</si>
  <si>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</si>
  <si>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</si>
  <si>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</si>
  <si>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</si>
  <si>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</si>
  <si>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</si>
  <si>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</si>
  <si>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</si>
  <si>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</si>
  <si>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</si>
  <si>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</si>
  <si>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</si>
  <si>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</si>
  <si>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</si>
  <si>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</si>
  <si>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</si>
  <si>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</si>
  <si>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</si>
  <si>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</si>
  <si>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</si>
  <si>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</si>
  <si>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</si>
  <si>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</si>
  <si>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</si>
  <si>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</si>
  <si>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</si>
  <si>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</si>
  <si>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</si>
  <si>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</si>
  <si>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</si>
  <si>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</si>
  <si>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</si>
  <si>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</si>
  <si>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</si>
  <si>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</si>
  <si>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</si>
  <si>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</si>
  <si>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</si>
  <si>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</si>
  <si>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</si>
  <si>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</si>
  <si>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</si>
  <si>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</si>
  <si>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</si>
  <si>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</si>
  <si>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</si>
  <si>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</si>
  <si>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</si>
  <si>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</si>
  <si>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</si>
  <si>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</si>
  <si>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</si>
  <si>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</si>
  <si>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</si>
  <si>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</si>
  <si>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</si>
  <si>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</si>
  <si>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</si>
  <si>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</si>
  <si>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</si>
  <si>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</si>
  <si>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</si>
  <si>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</si>
  <si>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</si>
  <si>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</si>
  <si>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</si>
  <si>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</si>
  <si>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</si>
  <si>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</si>
  <si>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</si>
  <si>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</si>
  <si>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</si>
  <si>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</si>
  <si>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</si>
  <si>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</si>
  <si>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</si>
  <si>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</si>
  <si>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</si>
  <si>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</si>
  <si>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</si>
  <si>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</si>
  <si>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</si>
  <si>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</si>
  <si>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</si>
  <si>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</si>
  <si>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</si>
  <si>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</si>
  <si>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</si>
  <si>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</si>
  <si>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</si>
  <si>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</si>
  <si>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</si>
  <si>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</si>
  <si>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</si>
  <si>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</si>
  <si>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</si>
  <si>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</si>
  <si>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</si>
  <si>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</si>
  <si>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</si>
  <si>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</si>
  <si>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</si>
  <si>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</si>
  <si>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</si>
  <si>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</si>
  <si>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</si>
  <si>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</si>
  <si>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</si>
  <si>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</si>
  <si>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</si>
  <si>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</si>
  <si>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</si>
  <si>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</si>
  <si>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</si>
  <si>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</si>
  <si>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</si>
  <si>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</si>
  <si>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</si>
  <si>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</si>
  <si>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</si>
  <si>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</si>
  <si>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</si>
  <si>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</si>
  <si>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</si>
  <si>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</si>
  <si>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</si>
  <si>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</si>
  <si>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</si>
  <si>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</si>
  <si>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</si>
  <si>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</si>
  <si>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</si>
  <si>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</si>
  <si>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</si>
  <si>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</si>
  <si>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</si>
  <si>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</si>
  <si>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</si>
  <si>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</si>
  <si>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</si>
  <si>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</si>
  <si>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</si>
  <si>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</si>
  <si>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</si>
  <si>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</si>
  <si>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</si>
  <si>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</si>
  <si>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</si>
  <si>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</si>
  <si>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</si>
  <si>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</si>
  <si>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</si>
  <si>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</si>
  <si>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</si>
  <si>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</si>
  <si>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</si>
  <si>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</si>
  <si>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</si>
  <si>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</si>
  <si>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</si>
  <si>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</si>
  <si>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</si>
  <si>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</si>
  <si>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</si>
  <si>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</si>
  <si>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</si>
  <si>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</si>
  <si>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</si>
  <si>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</si>
  <si>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</si>
  <si>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</si>
  <si>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</si>
  <si>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</si>
  <si>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</si>
  <si>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</si>
  <si>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</si>
  <si>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</si>
  <si>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</si>
  <si>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</si>
  <si>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</si>
  <si>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</si>
  <si>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</si>
  <si>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</si>
  <si>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</si>
  <si>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</si>
  <si>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</si>
  <si>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</si>
  <si>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</si>
  <si>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</si>
  <si>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</si>
  <si>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</si>
  <si>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</si>
  <si>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</si>
  <si>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</si>
  <si>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</si>
  <si>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</si>
  <si>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</si>
  <si>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</si>
  <si>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</si>
  <si>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</si>
  <si>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</si>
  <si>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</si>
  <si>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</si>
  <si>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</si>
  <si>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</si>
  <si>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</si>
  <si>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</si>
  <si>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</si>
  <si>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</si>
  <si>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</si>
  <si>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</si>
  <si>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</si>
  <si>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</si>
  <si>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</si>
  <si>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</si>
  <si>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</si>
  <si>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</si>
  <si>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</si>
  <si>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</si>
  <si>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</si>
  <si>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</si>
  <si>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</si>
  <si>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</si>
  <si>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</si>
  <si>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</si>
  <si>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</si>
  <si>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</si>
  <si>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</si>
  <si>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</si>
  <si>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</si>
  <si>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</si>
  <si>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</si>
  <si>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</si>
  <si>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</si>
  <si>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</si>
  <si>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</si>
  <si>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</si>
  <si>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</si>
  <si>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</si>
  <si>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</si>
  <si>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</si>
  <si>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</si>
  <si>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</si>
  <si>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</si>
  <si>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</si>
  <si>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</si>
  <si>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</si>
  <si>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</si>
  <si>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</si>
  <si>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</si>
  <si>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</si>
  <si>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</si>
  <si>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</si>
  <si>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</si>
  <si>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</si>
  <si>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</si>
  <si>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</si>
  <si>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</si>
  <si>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</si>
  <si>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</si>
  <si>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</si>
  <si>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</si>
  <si>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</si>
  <si>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</si>
  <si>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</si>
  <si>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</si>
  <si>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</si>
  <si>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</si>
  <si>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</si>
  <si>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</si>
  <si>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</si>
  <si>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</si>
  <si>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</si>
  <si>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</si>
  <si>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</si>
  <si>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</si>
  <si>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</si>
  <si>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</si>
  <si>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</si>
  <si>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</si>
  <si>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</si>
  <si>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</si>
  <si>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</si>
  <si>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</si>
  <si>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</si>
  <si>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</si>
  <si>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</si>
  <si>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</si>
  <si>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</si>
  <si>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</si>
  <si>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</si>
  <si>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</si>
  <si>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</si>
  <si>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</si>
  <si>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</si>
  <si>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</si>
  <si>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</si>
  <si>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</si>
  <si>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</si>
  <si>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</si>
  <si>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</si>
  <si>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</si>
  <si>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</si>
  <si>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</si>
  <si>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</si>
  <si>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</si>
  <si>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</si>
  <si>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</si>
  <si>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</si>
  <si>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</si>
  <si>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</si>
  <si>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</si>
  <si>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</si>
  <si>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</si>
  <si>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</si>
  <si>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</si>
  <si>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</si>
  <si>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</si>
  <si>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</si>
  <si>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</si>
  <si>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</si>
  <si>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</si>
  <si>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</si>
  <si>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</si>
  <si>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</si>
  <si>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</si>
  <si>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</si>
  <si>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</si>
  <si>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</si>
  <si>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t>
  </si>
  <si>
    <t>MARÍA DE JASNA GÓRA</t>
  </si>
  <si>
    <t>Fa</t>
  </si>
  <si>
    <t>MAGNIFICAT</t>
  </si>
  <si>
    <t>MARÍA, CASA DE BENDICIÓN</t>
  </si>
  <si>
    <t>MARÍA, MADRE DE LA IGLESIA</t>
  </si>
  <si>
    <t>MARÍA, MADRE DEL CAMINO ARDIENT</t>
  </si>
  <si>
    <t>MARÍA, PEQUEÑA MARÍA</t>
  </si>
  <si>
    <t>ME ENSEÑARÁS EL CAMINO DE LA VI</t>
  </si>
  <si>
    <t>OH CIELOS, LLOVED DE LO ALTO,</t>
  </si>
  <si>
    <t>OH NUBES, MANDADNOS AL SANTO.</t>
  </si>
  <si>
    <t>OH TIERRA, ÁBRETE, OH TIERRA,</t>
  </si>
  <si>
    <t>Y BROTE EL SALVADOR.</t>
  </si>
  <si>
    <t>Somos desierto, somos arena.</t>
  </si>
  <si>
    <t>Marana thá,</t>
  </si>
  <si>
    <t>MARANA THÁ.</t>
  </si>
  <si>
    <t>Somos el viento, nadie nos oye.</t>
  </si>
  <si>
    <t>Somos tinieblas, nadie nos guía.</t>
  </si>
  <si>
    <t>Somos cadenas, nadie nos libra.</t>
  </si>
  <si>
    <t>Tenemos frío, nadie nos cubre.</t>
  </si>
  <si>
    <t>Tenemos hambre, nadie nos sacia.</t>
  </si>
  <si>
    <t>Somos las lágrimas, que nadie enjuga.</t>
  </si>
  <si>
    <t>Somos dolor, nadie nos mira.</t>
  </si>
  <si>
    <t>OH CIELOS, LLOVED DE LO ALTO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</si>
</sst>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CC5CED3-27B4-4033-850A-DF8C331D7C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FCCA9D6-C14B-4CDC-A383-58B078EDFAD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A5A343E2-1477-4BEE-B861-57D6ED5A19ED}"/>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9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1016</v>
      </c>
      <c r="B7" s="37"/>
      <c r="C7" s="37"/>
      <c r="D7" s="37"/>
      <c r="E7" s="37"/>
      <c r="F7" s="38"/>
      <c r="G7" s="38"/>
      <c r="H7" s="38"/>
    </row>
    <row r="8" spans="1:8" ht="26.1" customHeight="1" x14ac:dyDescent="0.45">
      <c r="A8" s="37" t="s">
        <v>1032</v>
      </c>
      <c r="B8" s="37"/>
      <c r="C8" s="37"/>
      <c r="D8" s="37"/>
      <c r="E8" s="37"/>
      <c r="F8" s="38"/>
      <c r="G8" s="38"/>
      <c r="H8" s="38"/>
    </row>
    <row r="9" spans="1:8" ht="26.1" customHeight="1" x14ac:dyDescent="0.45">
      <c r="A9" s="37" t="s">
        <v>1033</v>
      </c>
      <c r="B9" s="37"/>
      <c r="C9" s="37"/>
      <c r="D9" s="37"/>
      <c r="E9" s="37"/>
      <c r="F9" s="38"/>
      <c r="G9" s="38"/>
      <c r="H9" s="38"/>
    </row>
    <row r="10" spans="1:8" ht="26.1" customHeight="1" x14ac:dyDescent="0.45">
      <c r="A10" s="37" t="s">
        <v>1030</v>
      </c>
      <c r="B10" s="37"/>
      <c r="C10" s="37"/>
      <c r="D10" s="37"/>
      <c r="E10" s="38"/>
      <c r="F10" s="38"/>
      <c r="G10" s="38"/>
      <c r="H10" s="38"/>
    </row>
    <row r="11" spans="1:8" ht="26.1" customHeight="1" x14ac:dyDescent="0.45">
      <c r="A11" s="37" t="s">
        <v>1034</v>
      </c>
      <c r="B11" s="37"/>
      <c r="C11" s="37"/>
      <c r="D11" s="37"/>
      <c r="E11" s="38"/>
      <c r="F11" s="38"/>
      <c r="G11" s="38"/>
      <c r="H11" s="38"/>
    </row>
    <row r="12" spans="1:8" ht="26.1" customHeight="1" x14ac:dyDescent="0.45">
      <c r="A12" s="37" t="s">
        <v>1035</v>
      </c>
      <c r="B12" s="37"/>
      <c r="C12" s="37"/>
      <c r="D12" s="37"/>
      <c r="E12" s="38"/>
      <c r="F12" s="38"/>
      <c r="G12" s="38"/>
      <c r="H12" s="38"/>
    </row>
    <row r="13" spans="1:8" ht="26.1" customHeight="1" x14ac:dyDescent="0.45">
      <c r="A13" s="37" t="s">
        <v>1036</v>
      </c>
      <c r="B13" s="37"/>
      <c r="C13" s="37"/>
      <c r="D13" s="37"/>
      <c r="E13" s="38"/>
      <c r="F13" s="38"/>
      <c r="G13" s="38"/>
      <c r="H13" s="38"/>
    </row>
    <row r="14" spans="1:8" ht="26.1" customHeight="1" x14ac:dyDescent="0.45">
      <c r="A14" s="37" t="s">
        <v>1037</v>
      </c>
      <c r="B14" s="37"/>
      <c r="C14" s="37"/>
      <c r="D14" s="37"/>
      <c r="E14" s="38"/>
      <c r="F14" s="38"/>
      <c r="G14" s="38"/>
      <c r="H14" s="38"/>
    </row>
    <row r="15" spans="1:8" ht="26.1" customHeight="1" x14ac:dyDescent="0.45">
      <c r="A15" s="37" t="s">
        <v>1017</v>
      </c>
      <c r="B15" s="37"/>
      <c r="C15" s="37"/>
      <c r="D15" s="37"/>
      <c r="E15" s="38"/>
      <c r="F15" s="38"/>
      <c r="G15" s="38"/>
      <c r="H15" s="38"/>
    </row>
    <row r="16" spans="1:8" ht="26.1" customHeight="1" x14ac:dyDescent="0.45">
      <c r="A16" s="37" t="s">
        <v>1026</v>
      </c>
      <c r="B16" s="37"/>
      <c r="C16" s="37"/>
      <c r="D16" s="37"/>
      <c r="E16" s="38"/>
      <c r="F16" s="38"/>
      <c r="G16" s="38"/>
      <c r="H16" s="38"/>
    </row>
    <row r="17" spans="1:8" ht="26.1" customHeight="1" x14ac:dyDescent="0.45">
      <c r="A17" s="37"/>
      <c r="B17" s="37"/>
      <c r="C17" s="37"/>
      <c r="D17" s="37"/>
      <c r="E17" s="38"/>
      <c r="F17" s="38"/>
      <c r="G17" s="38"/>
      <c r="H17" s="38"/>
    </row>
    <row r="18" spans="1:8" ht="26.1" customHeight="1" x14ac:dyDescent="0.45">
      <c r="A18" s="37"/>
      <c r="B18" s="37"/>
      <c r="C18" s="37"/>
      <c r="D18" s="37"/>
      <c r="E18" s="38"/>
      <c r="F18" s="38"/>
      <c r="G18" s="38"/>
      <c r="H18" s="38"/>
    </row>
    <row r="19" spans="1:8" ht="26.1" customHeight="1" x14ac:dyDescent="0.45">
      <c r="A19" s="37"/>
      <c r="B19" s="37"/>
      <c r="C19" s="37"/>
      <c r="D19" s="37"/>
      <c r="E19" s="38"/>
      <c r="F19" s="38"/>
      <c r="G19" s="38"/>
      <c r="H19" s="38"/>
    </row>
    <row r="20" spans="1:8" ht="24" x14ac:dyDescent="0.45">
      <c r="A20" s="37"/>
      <c r="B20" s="37"/>
      <c r="C20" s="37"/>
      <c r="D20" s="37"/>
      <c r="E20" s="37"/>
      <c r="F20" s="37"/>
      <c r="G20" s="37"/>
      <c r="H20" s="37"/>
    </row>
    <row r="21" spans="1:8" ht="24" x14ac:dyDescent="0.45">
      <c r="A21" s="37"/>
      <c r="B21" s="37"/>
      <c r="C21" s="37"/>
      <c r="D21" s="37"/>
      <c r="E21" s="37"/>
      <c r="F21" s="37"/>
      <c r="G21" s="37"/>
      <c r="H21" s="37"/>
    </row>
    <row r="22" spans="1:8" ht="24" x14ac:dyDescent="0.45">
      <c r="A22" s="37"/>
      <c r="B22" s="37"/>
      <c r="C22" s="37"/>
      <c r="D22" s="37"/>
      <c r="E22" s="37"/>
      <c r="F22" s="37"/>
      <c r="G22" s="37"/>
      <c r="H22" s="37"/>
    </row>
    <row r="23" spans="1:8" ht="24" x14ac:dyDescent="0.45">
      <c r="A23" s="37"/>
      <c r="B23" s="37"/>
      <c r="C23" s="37"/>
      <c r="D23" s="37"/>
      <c r="E23" s="37"/>
      <c r="F23" s="37"/>
      <c r="G23" s="37"/>
      <c r="H23" s="37"/>
    </row>
    <row r="24" spans="1:8" ht="24" x14ac:dyDescent="0.45">
      <c r="A24" s="37"/>
      <c r="B24" s="37"/>
      <c r="C24" s="37"/>
      <c r="D24" s="37"/>
      <c r="E24" s="37"/>
      <c r="F24" s="37"/>
      <c r="G24" s="37"/>
      <c r="H24" s="37"/>
    </row>
    <row r="25" spans="1:8" ht="24" x14ac:dyDescent="0.45">
      <c r="A25" s="37"/>
      <c r="B25" s="37"/>
      <c r="C25" s="37"/>
      <c r="D25" s="37"/>
      <c r="E25" s="37"/>
      <c r="F25" s="37"/>
      <c r="G25" s="37"/>
      <c r="H25" s="37"/>
    </row>
    <row r="26" spans="1:8" ht="24" x14ac:dyDescent="0.45">
      <c r="A26" s="37"/>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11CB6E5B-A03E-4FE5-BAD5-5BCCA2D11C43}"/>
    <hyperlink ref="A3" location="'Index'!A3" display="'Index'!A3" xr:uid="{0E53DCEE-FB35-40BD-98AB-64BC9313FAEE}"/>
    <hyperlink ref="A4" location="'Index Web'!A3" display="'Index Web'!A3" xr:uid="{5523B6CA-75CD-4D52-8F26-B2029603216F}"/>
    <hyperlink ref="A5" location="'cantosJS'!A3" display="'cantosJS'!A3" xr:uid="{01D45772-62E6-47F7-97B6-D5B3DDC2E0DF}"/>
    <hyperlink ref="A6" location="'Find'!A3" display="'Find'!A3" xr:uid="{05185B53-36A5-470A-AD46-F24894DE9FDA}"/>
    <hyperlink ref="A7" location="'html'!A3" display="'html'!A3" xr:uid="{6D10F721-FD07-4BF5-89F8-6C096121482E}"/>
    <hyperlink ref="A8" location="'MAGNIFICAT'!A3" display="'MAGNIFICAT'!A3" xr:uid="{B3F2B172-BCB1-47A2-AA6A-EE388DE27AD3}"/>
    <hyperlink ref="A9" location="'MARÍA, CASA DE BENDICIÓN'!A3" display="'MARÍA, CASA DE BENDICIÓN'!A3" xr:uid="{83273B26-0A59-404D-A023-83F10527FD21}"/>
    <hyperlink ref="A10" location="'MARÍA DE JASNA GÓRA'!A3" display="'MARÍA DE JASNA GÓRA'!A3" xr:uid="{F6AE267E-0DC4-4036-9C09-5EB2FEB7217B}"/>
    <hyperlink ref="A11" location="'MARÍA, MADRE DE LA IGLESIA'!A3" display="'MARÍA, MADRE DE LA IGLESIA'!A3" xr:uid="{F6CA33B3-3FBA-4B0A-AA78-2B2D51676D51}"/>
    <hyperlink ref="A12" location="'MARÍA, MADRE DEL CAMINO ARDIENT'!A3" display="'MARÍA, MADRE DEL CAMINO ARDIENT'!A3" xr:uid="{D8F4A0E1-D133-45CA-BEA8-5006C75B6026}"/>
    <hyperlink ref="A13" location="'MARÍA, PEQUEÑA MARÍA'!A3" display="'MARÍA, PEQUEÑA MARÍA'!A3" xr:uid="{916C2C65-DAC6-485E-9397-9D51CD5A3055}"/>
    <hyperlink ref="A14" location="'ME ENSEÑARÁS EL CAMINO DE LA VI'!A3" display="'ME ENSEÑARÁS EL CAMINO DE LA VI'!A3" xr:uid="{E9BA5A30-FD58-4433-8064-164E640173EF}"/>
    <hyperlink ref="A15" location="'MARIA, MADRE MÍA'!A3" display="'MARIA, MADRE MÍA'!A3" xr:uid="{ABEEC26E-41E1-4E59-8DB3-21C7304DFC54}"/>
    <hyperlink ref="A16" location="'boceto'!A3" display="'boceto'!A3" xr:uid="{80855EFE-FC7D-4B57-B260-5402E1D598F2}"/>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1025</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122</v>
      </c>
      <c r="E1" s="40"/>
      <c r="F1" s="40"/>
      <c r="G1" s="40"/>
      <c r="H1" s="40"/>
      <c r="I1" s="40"/>
      <c r="J1" s="40"/>
      <c r="K1" s="40"/>
      <c r="L1" s="41" t="str">
        <f>VLOOKUP(C1,'[1]Codigo Canto'!A3:AQ236,38,FALSE)</f>
        <v>NOLI ME TANGERE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NOLI ME TANGERE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nolimetangere</v>
      </c>
      <c r="L7" s="48" t="str">
        <f>_xlfn.CONCAT("        id: ","""",C7,"""",",")</f>
        <v xml:space="preserve">        id: "nolimetangere",</v>
      </c>
    </row>
    <row r="8" spans="2:32" ht="23.25" x14ac:dyDescent="0.25">
      <c r="C8" t="str">
        <f>PROPER(L1)</f>
        <v>Noli Me Tangere</v>
      </c>
      <c r="L8" s="48" t="str">
        <f>_xlfn.CONCAT("        tt: ","""",C8,"""",",")</f>
        <v xml:space="preserve">        tt: "Noli Me Tangere",</v>
      </c>
    </row>
    <row r="9" spans="2:32" ht="23.25" x14ac:dyDescent="0.25">
      <c r="C9" t="str">
        <f>PROPER(L1)</f>
        <v>Noli Me Tangere</v>
      </c>
      <c r="L9" s="48" t="str">
        <f>_xlfn.CONCAT("        title: ","""",C9,"""",",")</f>
        <v xml:space="preserve">        title: "Noli Me Tangere",</v>
      </c>
    </row>
    <row r="10" spans="2:32" ht="23.25" x14ac:dyDescent="0.25">
      <c r="C10" t="str">
        <f>VLOOKUP(C1,'[1]Codigo Canto'!A3:AQ236,12,FALSE)</f>
        <v>Juan 20,15-17</v>
      </c>
      <c r="L10" s="48" t="str">
        <f>_xlfn.CONCAT("        ","subtitle: ","""",C10,"""",",")</f>
        <v xml:space="preserve">        subtitle: "Juan 20,15-17",</v>
      </c>
    </row>
    <row r="11" spans="2:32" ht="23.25" x14ac:dyDescent="0.25">
      <c r="C11" t="str">
        <f>_xlfn.CONCAT("category: [",VLOOKUP(C1,Table223[],16,FALSE),"],")</f>
        <v>category: ["Precatecumenado","Pascua","Pentecostés","Nuevo Testamento"],</v>
      </c>
      <c r="L11" s="48" t="str">
        <f>_xlfn.CONCAT("        ",C11)</f>
        <v xml:space="preserve">        category: ["Precatecumenado","Pascua","Pentecostés","Nuevo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122</v>
      </c>
      <c r="L16" s="48" t="str">
        <f>_xlfn.CONCAT("        dbno: ","""",C16,"""",",")</f>
        <v xml:space="preserve">        dbno: "122",</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nolimetangere</v>
      </c>
      <c r="L19" s="48" t="str">
        <f>_xlfn.CONCAT("        audioSrc: ","""/audio/",C19,".mp3""",",")</f>
        <v xml:space="preserve">        audioSrc: "/audio/nolimetangere.mp3",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121</v>
      </c>
      <c r="C26" t="str">
        <f>VLOOKUP(B26,[1]Buscador!A3:AP240,31,FALSE)</f>
        <v>/resucito/src/index.html?canto=nohayenelparecer</v>
      </c>
      <c r="L26" s="48" t="str">
        <f>_xlfn.CONCAT("        ant: ","""",C26,"""",",")</f>
        <v xml:space="preserve">        ant: "/resucito/src/index.html?canto=nohayenelparecer",</v>
      </c>
    </row>
    <row r="27" spans="2:40" ht="23.25" x14ac:dyDescent="0.25">
      <c r="B27">
        <f>+C1+1</f>
        <v>123</v>
      </c>
      <c r="C27" t="str">
        <f>VLOOKUP(B27,[1]Buscador!A3:AP240,31,FALSE)</f>
        <v>/resucito/src/index.html?canto=ohcieloslloveddeloalto</v>
      </c>
      <c r="L27" s="48" t="str">
        <f>_xlfn.CONCAT("        sig: ","""",C27,"""",",")</f>
        <v xml:space="preserve">        sig: "/resucito/src/index.html?canto=ohcieloslloveddeloalto",</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NOLI ME TANGERE</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F873C-F6B7-4B7E-BE63-422B463C2EFE}">
  <sheetPr codeName="Sheet72">
    <tabColor rgb="FF00B0F0"/>
  </sheetPr>
  <dimension ref="A1:AN88"/>
  <sheetViews>
    <sheetView tabSelected="1" zoomScale="85" zoomScaleNormal="85" workbookViewId="0">
      <pane xSplit="2" ySplit="1" topLeftCell="C21" activePane="bottomRight" state="frozen"/>
      <selection pane="topRight" activeCell="C1" sqref="C1"/>
      <selection pane="bottomLeft" activeCell="A2" sqref="A2"/>
      <selection pane="bottomRight" activeCell="B33" sqref="B3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123</v>
      </c>
      <c r="E1" s="40"/>
      <c r="F1" s="40"/>
      <c r="G1" s="40"/>
      <c r="H1" s="40"/>
      <c r="I1" s="40"/>
      <c r="J1" s="40"/>
      <c r="K1" s="40"/>
      <c r="L1" s="41" t="str">
        <f ca="1">UPPER(VLOOKUP(C1,Table223[],3,FALSE))</f>
        <v>OH CIELOS, LLOVED DE LO ALTO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OH CIELOS, LLOVED DE LO ALTO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ohcieloslloveddeloalto</v>
      </c>
      <c r="L7" s="48" t="str">
        <f ca="1">_xlfn.CONCAT("        id: ","""",C7,"""",",")</f>
        <v xml:space="preserve">        id: "ohcieloslloveddeloalto",</v>
      </c>
    </row>
    <row r="8" spans="2:32" ht="23.25" x14ac:dyDescent="0.25">
      <c r="C8" t="str">
        <f ca="1">PROPER(L1)</f>
        <v>Oh Cielos, Lloved De Lo Alto</v>
      </c>
      <c r="L8" s="48" t="str">
        <f ca="1">_xlfn.CONCAT("        tt: ","""",C8,"""",",")</f>
        <v xml:space="preserve">        tt: "Oh Cielos, Lloved De Lo Alto",</v>
      </c>
    </row>
    <row r="9" spans="2:32" ht="23.25" x14ac:dyDescent="0.25">
      <c r="C9" t="str">
        <f ca="1">PROPER(L1)</f>
        <v>Oh Cielos, Lloved De Lo Alto</v>
      </c>
      <c r="L9" s="48" t="str">
        <f ca="1">_xlfn.CONCAT("        title: ","""",C9,"""",",")</f>
        <v xml:space="preserve">        title: "Oh Cielos, Lloved De Lo Alto",</v>
      </c>
    </row>
    <row r="10" spans="2:32" ht="23.25" x14ac:dyDescent="0.25">
      <c r="C10" t="str">
        <f ca="1">VLOOKUP(C1,Table223[],4,FALSE)</f>
        <v>Isaías 45,8</v>
      </c>
      <c r="L10" s="48" t="str">
        <f ca="1">_xlfn.CONCAT("        ","subtitle: ","""",C10,"""",",")</f>
        <v xml:space="preserve">        subtitle: "Isaías 45,8",</v>
      </c>
    </row>
    <row r="11" spans="2:32" ht="23.25" x14ac:dyDescent="0.25">
      <c r="C11" t="str">
        <f ca="1">_xlfn.CONCAT("category: [",VLOOKUP(C1,Table223[],16,FALSE),"],")</f>
        <v>category: ["Precatecumenado","Adviento","Navidad","Antiguo Testamento"],</v>
      </c>
      <c r="L11" s="48" t="str">
        <f ca="1">_xlfn.CONCAT("        ",C11)</f>
        <v xml:space="preserve">        category: ["Precatecumenado","Adviento","Navidad","Antiguo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123</v>
      </c>
      <c r="L16" s="48" t="str">
        <f ca="1">_xlfn.CONCAT("        dbno: ","""",C16,"""",",")</f>
        <v xml:space="preserve">        dbno: "123",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ohcieloslloveddeloalto</v>
      </c>
      <c r="L19" s="48" t="str">
        <f ca="1">_xlfn.CONCAT("        audioSrc: ","""https://audio.resucito.do/",C19,".mp3""",",")</f>
        <v xml:space="preserve">        audioSrc: "https://audio.resucito.do/ohcieloslloveddeloalto.mp3",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122</v>
      </c>
      <c r="C26" t="str">
        <f ca="1">VLOOKUP(B26,Table4[],13,FALSE)</f>
        <v>"/src/index.html?canto=nolimetangere"</v>
      </c>
      <c r="L26" s="48" t="str">
        <f ca="1">_xlfn.CONCAT("        ant: ",C26,",")</f>
        <v xml:space="preserve">        ant: "/src/index.html?canto=nolimetangere",</v>
      </c>
    </row>
    <row r="27" spans="1:40" ht="23.25" x14ac:dyDescent="0.25">
      <c r="B27">
        <f ca="1">+C1+1</f>
        <v>124</v>
      </c>
      <c r="C27" t="str">
        <f ca="1">VLOOKUP(B27,Table4[],13,FALSE)</f>
        <v>"/src/index.html?canto=ohdiosportunombre"</v>
      </c>
      <c r="L27" s="48" t="str">
        <f ca="1">_xlfn.CONCAT("        sig: ",C27,",")</f>
        <v xml:space="preserve">        sig: "/src/index.html?canto=ohdiosportunombre",</v>
      </c>
    </row>
    <row r="28" spans="1:40" ht="23.25" x14ac:dyDescent="0.25">
      <c r="L28" s="46" t="s">
        <v>991</v>
      </c>
    </row>
    <row r="29" spans="1:40" ht="36" thickBot="1" x14ac:dyDescent="0.3">
      <c r="A29" s="49"/>
      <c r="B29" s="49"/>
      <c r="C29" s="49" t="s">
        <v>1029</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B31" t="s">
        <v>997</v>
      </c>
      <c r="C31" s="113" t="s">
        <v>1038</v>
      </c>
      <c r="D31" s="112" t="s">
        <v>1013</v>
      </c>
      <c r="E31" s="52" t="s">
        <v>1012</v>
      </c>
      <c r="F31" s="53" t="s">
        <v>1031</v>
      </c>
      <c r="G31" s="53"/>
      <c r="H31" s="52"/>
      <c r="I31" s="52"/>
      <c r="J31" s="54"/>
      <c r="K31" s="54"/>
      <c r="L31" s="55" t="str">
        <f t="shared" ref="L31:L32" si="0">IF(C31="","",_xlfn.CONCAT("            { line: ","""",C31,", ",M31:AN31,""", sC: ","""",B31,"""},"))</f>
        <v xml:space="preserve">            { line: "OH CIELOS, LLOVED DE LO ALTO,, (La,m,20)(Fa,,250)", sC: "ta as"},</v>
      </c>
      <c r="M31" s="56" t="str">
        <f t="shared" ref="M31:M36" si="1">IF(N31="","","(")</f>
        <v>(</v>
      </c>
      <c r="N31" s="57" t="str">
        <f t="shared" ref="N31:N80" si="2">IF(D31="","",D31)</f>
        <v>La</v>
      </c>
      <c r="O31" s="58" t="str">
        <f t="shared" ref="O31:O36" si="3">IF(N31="","",",")</f>
        <v>,</v>
      </c>
      <c r="P31" s="59" t="str">
        <f t="shared" ref="P31:P80" si="4">IF(E31="","",E31)</f>
        <v>m</v>
      </c>
      <c r="Q31" s="60" t="str">
        <f t="shared" ref="Q31:Q36" si="5">IF(N31="","",",")</f>
        <v>,</v>
      </c>
      <c r="R31" s="61">
        <f>IF(N31="Do",10,IF(N31="Re",22,IF(N31="Mi",20,IF(N31="Fa",20,IF(N31="Sol",14,IF(N31="La",20,IF(N31="Si",20,IF(N31="Do#",14,IF(N31="Fa#",15,IF(N31="Sol#",20,""))))))))))</f>
        <v>20</v>
      </c>
      <c r="S31" s="56" t="str">
        <f t="shared" ref="S31:S36" si="6">IF(N31="","",")")</f>
        <v>)</v>
      </c>
      <c r="T31" s="62" t="str">
        <f t="shared" ref="T31:T36" si="7">IF(U31="","","(")</f>
        <v>(</v>
      </c>
      <c r="U31" s="63" t="str">
        <f t="shared" ref="U31:U80" si="8">IF(F31="","",F31)</f>
        <v>Fa</v>
      </c>
      <c r="V31" s="64" t="str">
        <f t="shared" ref="V31:V36" si="9">IF(U31="","",",")</f>
        <v>,</v>
      </c>
      <c r="W31" s="65" t="str">
        <f t="shared" ref="W31:W80" si="10">IF(G31="","",G31)</f>
        <v/>
      </c>
      <c r="X31" s="64" t="str">
        <f t="shared" ref="X31:X36" si="11">IF(U31="","",",")</f>
        <v>,</v>
      </c>
      <c r="Y31" s="64">
        <f t="shared" ref="Y31:Y36" si="12">IF(U31="","",250)</f>
        <v>250</v>
      </c>
      <c r="Z31" s="56" t="str">
        <f t="shared" ref="Z31:Z36" si="13">IF(U31="","",")")</f>
        <v>)</v>
      </c>
      <c r="AA31" s="66" t="str">
        <f t="shared" ref="AA31:AA36" si="14">IF(AB31="","","(")</f>
        <v/>
      </c>
      <c r="AB31" s="57" t="str">
        <f t="shared" ref="AB31:AB80" si="15">IF(H31="","",H31)</f>
        <v/>
      </c>
      <c r="AC31" s="67" t="str">
        <f t="shared" ref="AC31:AC36" si="16">IF(AB31="","",",")</f>
        <v/>
      </c>
      <c r="AD31" s="59" t="str">
        <f t="shared" ref="AD31:AD36" si="17">IF(I31="","",I31)</f>
        <v/>
      </c>
      <c r="AE31" s="68" t="str">
        <f t="shared" ref="AE31:AE36" si="18">IF(AB31="","",",")</f>
        <v/>
      </c>
      <c r="AF31" s="61" t="str">
        <f t="shared" ref="AF31:AF36" si="19">IF(AB31="","",350)</f>
        <v/>
      </c>
      <c r="AG31" s="61" t="str">
        <f t="shared" ref="AG31:AG36" si="20">IF(AB31="","",")")</f>
        <v/>
      </c>
      <c r="AH31" s="69" t="str">
        <f t="shared" ref="AH31:AH36" si="21">IF(AI31="","","(")</f>
        <v/>
      </c>
      <c r="AI31" s="70" t="str">
        <f t="shared" ref="AI31:AI80" si="22">IF(J31="","",J31)</f>
        <v/>
      </c>
      <c r="AJ31" s="64" t="str">
        <f t="shared" ref="AJ31:AJ36" si="23">IF(AI31="","",",")</f>
        <v/>
      </c>
      <c r="AK31" s="64" t="str">
        <f t="shared" ref="AK31:AK36" si="24">IF(K31="","",K31)</f>
        <v/>
      </c>
      <c r="AL31" s="64" t="str">
        <f t="shared" ref="AL31:AL36" si="25">IF(AI31="","",",")</f>
        <v/>
      </c>
      <c r="AM31" s="64" t="str">
        <f t="shared" ref="AM31:AM36" si="26">IF(AI31="","",450)</f>
        <v/>
      </c>
      <c r="AN31" s="64" t="str">
        <f t="shared" ref="AN31:AN36" si="27">IF(AI31="","",")")</f>
        <v/>
      </c>
    </row>
    <row r="32" spans="1:40" ht="25.5" thickTop="1" thickBot="1" x14ac:dyDescent="0.4">
      <c r="B32" t="s">
        <v>999</v>
      </c>
      <c r="C32" s="113" t="s">
        <v>1039</v>
      </c>
      <c r="D32" s="112" t="s">
        <v>1015</v>
      </c>
      <c r="E32" s="52"/>
      <c r="F32" s="53" t="s">
        <v>1013</v>
      </c>
      <c r="G32" s="53" t="s">
        <v>1012</v>
      </c>
      <c r="H32" s="52"/>
      <c r="I32" s="52"/>
      <c r="J32" s="54"/>
      <c r="K32" s="54"/>
      <c r="L32" s="55" t="str">
        <f t="shared" si="0"/>
        <v xml:space="preserve">            { line: "OH NUBES, MANDADNOS AL SANTO., (Sol,,14)(La,m,250)", sC: "as"},</v>
      </c>
      <c r="M32" s="56" t="str">
        <f t="shared" si="1"/>
        <v>(</v>
      </c>
      <c r="N32" s="57" t="str">
        <f t="shared" si="2"/>
        <v>Sol</v>
      </c>
      <c r="O32" s="58" t="str">
        <f t="shared" si="3"/>
        <v>,</v>
      </c>
      <c r="P32" s="59" t="str">
        <f t="shared" si="4"/>
        <v/>
      </c>
      <c r="Q32" s="60" t="str">
        <f t="shared" si="5"/>
        <v>,</v>
      </c>
      <c r="R32" s="61">
        <f t="shared" ref="R32:R86" si="28">IF(N32="Do",10,IF(N32="Re",22,IF(N32="Mi",20,IF(N32="Fa",20,IF(N32="Sol",14,IF(N32="La",20,IF(N32="Si",20,IF(N32="Do#",14,IF(N32="Fa#",15,IF(N32="Sol#",20,""))))))))))</f>
        <v>14</v>
      </c>
      <c r="S32" s="56" t="str">
        <f t="shared" si="6"/>
        <v>)</v>
      </c>
      <c r="T32" s="62" t="str">
        <f t="shared" si="7"/>
        <v>(</v>
      </c>
      <c r="U32" s="63" t="str">
        <f t="shared" si="8"/>
        <v>La</v>
      </c>
      <c r="V32" s="64" t="str">
        <f t="shared" si="9"/>
        <v>,</v>
      </c>
      <c r="W32" s="65" t="str">
        <f t="shared" si="10"/>
        <v>m</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1040</v>
      </c>
      <c r="D33" s="112" t="s">
        <v>1011</v>
      </c>
      <c r="E33" s="52"/>
      <c r="F33" s="53" t="s">
        <v>1013</v>
      </c>
      <c r="G33" s="53" t="s">
        <v>1012</v>
      </c>
      <c r="H33" s="52"/>
      <c r="I33" s="52"/>
      <c r="J33" s="54"/>
      <c r="K33" s="54"/>
      <c r="L33" s="55" t="str">
        <f>IF(C33="","",_xlfn.CONCAT("            { line: ","""",C33,", ",M33:AN33,""", sC: ","""",B33,"""},"))</f>
        <v xml:space="preserve">            { line: "OH TIERRA, ÁBRETE, OH TIERRA,, (Mi,,20)(La,m,250)", sC: "as"},</v>
      </c>
      <c r="M33" s="56" t="str">
        <f t="shared" si="1"/>
        <v>(</v>
      </c>
      <c r="N33" s="57" t="str">
        <f t="shared" si="2"/>
        <v>Mi</v>
      </c>
      <c r="O33" s="58" t="str">
        <f t="shared" si="3"/>
        <v>,</v>
      </c>
      <c r="P33" s="59" t="str">
        <f t="shared" si="4"/>
        <v/>
      </c>
      <c r="Q33" s="60" t="str">
        <f t="shared" si="5"/>
        <v>,</v>
      </c>
      <c r="R33" s="61">
        <f t="shared" si="28"/>
        <v>20</v>
      </c>
      <c r="S33" s="56" t="str">
        <f t="shared" si="6"/>
        <v>)</v>
      </c>
      <c r="T33" s="62" t="str">
        <f t="shared" si="7"/>
        <v>(</v>
      </c>
      <c r="U33" s="63" t="str">
        <f t="shared" si="8"/>
        <v>La</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1041</v>
      </c>
      <c r="D34" s="112" t="s">
        <v>1011</v>
      </c>
      <c r="E34" s="52"/>
      <c r="F34" s="53" t="s">
        <v>1013</v>
      </c>
      <c r="G34" s="53" t="s">
        <v>1012</v>
      </c>
      <c r="H34" s="52"/>
      <c r="I34" s="52"/>
      <c r="J34" s="54"/>
      <c r="K34" s="54"/>
      <c r="L34" s="55" t="str">
        <f>IF(C34="","",_xlfn.CONCAT("            { line: ","""",C34,", ",M34:AN34,""", sC: ","""",B34,"""},"))</f>
        <v xml:space="preserve">            { line: "Y BROTE EL SALVADOR., (Mi,,20)(La,m,250)", sC: "as"},</v>
      </c>
      <c r="M34" s="56" t="str">
        <f t="shared" si="1"/>
        <v>(</v>
      </c>
      <c r="N34" s="57" t="str">
        <f t="shared" si="2"/>
        <v>Mi</v>
      </c>
      <c r="O34" s="58" t="str">
        <f t="shared" si="3"/>
        <v>,</v>
      </c>
      <c r="P34" s="59" t="str">
        <f t="shared" si="4"/>
        <v/>
      </c>
      <c r="Q34" s="60" t="str">
        <f t="shared" si="5"/>
        <v>,</v>
      </c>
      <c r="R34" s="61">
        <f t="shared" si="28"/>
        <v>20</v>
      </c>
      <c r="S34" s="56" t="str">
        <f t="shared" si="6"/>
        <v>)</v>
      </c>
      <c r="T34" s="62" t="str">
        <f t="shared" si="7"/>
        <v>(</v>
      </c>
      <c r="U34" s="63" t="str">
        <f t="shared" si="8"/>
        <v>La</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ref="R35" si="29">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113" t="s">
        <v>1042</v>
      </c>
      <c r="D36" s="112" t="s">
        <v>1013</v>
      </c>
      <c r="E36" s="52" t="s">
        <v>1012</v>
      </c>
      <c r="F36" s="53" t="s">
        <v>1015</v>
      </c>
      <c r="G36" s="53"/>
      <c r="H36" s="52"/>
      <c r="I36" s="52"/>
      <c r="J36" s="54"/>
      <c r="K36" s="54"/>
      <c r="L36" s="55" t="str">
        <f t="shared" ref="L36:L54" si="30">IF(C36="","",_xlfn.CONCAT("            { line: ","""",C36,", ",M36:AN36,""", sC: ","""",B36,"""},"))</f>
        <v xml:space="preserve">            { line: "Somos desierto, somos arena., (La,m,20)(Sol,,250)", sC: "tc"},</v>
      </c>
      <c r="M36" s="56" t="str">
        <f t="shared" si="1"/>
        <v>(</v>
      </c>
      <c r="N36" s="57" t="str">
        <f t="shared" si="2"/>
        <v>La</v>
      </c>
      <c r="O36" s="58" t="str">
        <f t="shared" si="3"/>
        <v>,</v>
      </c>
      <c r="P36" s="59" t="str">
        <f t="shared" si="4"/>
        <v>m</v>
      </c>
      <c r="Q36" s="60" t="str">
        <f t="shared" si="5"/>
        <v>,</v>
      </c>
      <c r="R36" s="61">
        <f t="shared" si="28"/>
        <v>20</v>
      </c>
      <c r="S36" s="56" t="str">
        <f t="shared" si="6"/>
        <v>)</v>
      </c>
      <c r="T36" s="62" t="str">
        <f t="shared" si="7"/>
        <v>(</v>
      </c>
      <c r="U36" s="63" t="str">
        <f t="shared" si="8"/>
        <v>Sol</v>
      </c>
      <c r="V36" s="64" t="str">
        <f t="shared" si="9"/>
        <v>,</v>
      </c>
      <c r="W36" s="65" t="str">
        <f t="shared" si="10"/>
        <v/>
      </c>
      <c r="X36" s="64" t="str">
        <f t="shared" si="11"/>
        <v>,</v>
      </c>
      <c r="Y36" s="64">
        <f t="shared" si="12"/>
        <v>250</v>
      </c>
      <c r="Z36" s="56" t="str">
        <f t="shared" si="13"/>
        <v>)</v>
      </c>
      <c r="AA36" s="66" t="str">
        <f t="shared" si="14"/>
        <v/>
      </c>
      <c r="AB36" s="57" t="str">
        <f t="shared" si="15"/>
        <v/>
      </c>
      <c r="AC36" s="67" t="str">
        <f t="shared" si="16"/>
        <v/>
      </c>
      <c r="AD36" s="59" t="str">
        <f t="shared" si="17"/>
        <v/>
      </c>
      <c r="AE36" s="68" t="str">
        <f t="shared" si="18"/>
        <v/>
      </c>
      <c r="AF36" s="61" t="str">
        <f t="shared" si="19"/>
        <v/>
      </c>
      <c r="AG36" s="61" t="str">
        <f t="shared" si="20"/>
        <v/>
      </c>
      <c r="AH36" s="69" t="str">
        <f t="shared" si="21"/>
        <v/>
      </c>
      <c r="AI36" s="70" t="str">
        <f t="shared" si="22"/>
        <v/>
      </c>
      <c r="AJ36" s="64" t="str">
        <f t="shared" si="23"/>
        <v/>
      </c>
      <c r="AK36" s="64" t="str">
        <f t="shared" si="24"/>
        <v/>
      </c>
      <c r="AL36" s="64" t="str">
        <f t="shared" si="25"/>
        <v/>
      </c>
      <c r="AM36" s="64" t="str">
        <f t="shared" si="26"/>
        <v/>
      </c>
      <c r="AN36" s="64" t="str">
        <f t="shared" si="27"/>
        <v/>
      </c>
    </row>
    <row r="37" spans="1:40" ht="25.5" thickTop="1" thickBot="1" x14ac:dyDescent="0.4">
      <c r="C37" s="113" t="s">
        <v>1043</v>
      </c>
      <c r="D37" s="112" t="s">
        <v>1011</v>
      </c>
      <c r="E37" s="52"/>
      <c r="F37" s="53" t="s">
        <v>1015</v>
      </c>
      <c r="G37" s="53"/>
      <c r="H37" s="52" t="s">
        <v>1011</v>
      </c>
      <c r="I37" s="52"/>
      <c r="J37" s="54"/>
      <c r="K37" s="54"/>
      <c r="L37" s="55" t="str">
        <f t="shared" si="30"/>
        <v xml:space="preserve">            { line: "Marana thá,, (Mi,,20)(Sol,,250)(Mi,,350)", sC: ""},</v>
      </c>
      <c r="M37" s="56" t="str">
        <f>IF(N37="","","(")</f>
        <v>(</v>
      </c>
      <c r="N37" s="57" t="str">
        <f>IF(D37="","",D37)</f>
        <v>Mi</v>
      </c>
      <c r="O37" s="58" t="str">
        <f>IF(N37="","",",")</f>
        <v>,</v>
      </c>
      <c r="P37" s="59" t="str">
        <f>IF(E37="","",E37)</f>
        <v/>
      </c>
      <c r="Q37" s="60" t="str">
        <f>IF(N37="","",",")</f>
        <v>,</v>
      </c>
      <c r="R37" s="61">
        <f t="shared" si="28"/>
        <v>20</v>
      </c>
      <c r="S37" s="56" t="str">
        <f>IF(N37="","",")")</f>
        <v>)</v>
      </c>
      <c r="T37" s="62" t="str">
        <f>IF(U37="","","(")</f>
        <v>(</v>
      </c>
      <c r="U37" s="63" t="str">
        <f>IF(F37="","",F37)</f>
        <v>Sol</v>
      </c>
      <c r="V37" s="64" t="str">
        <f>IF(U37="","",",")</f>
        <v>,</v>
      </c>
      <c r="W37" s="65" t="str">
        <f>IF(G37="","",G37)</f>
        <v/>
      </c>
      <c r="X37" s="64" t="str">
        <f>IF(U37="","",",")</f>
        <v>,</v>
      </c>
      <c r="Y37" s="64">
        <f>IF(U37="","",250)</f>
        <v>250</v>
      </c>
      <c r="Z37" s="56" t="str">
        <f>IF(U37="","",")")</f>
        <v>)</v>
      </c>
      <c r="AA37" s="66" t="str">
        <f>IF(AB37="","","(")</f>
        <v>(</v>
      </c>
      <c r="AB37" s="57" t="str">
        <f>IF(H37="","",H37)</f>
        <v>Mi</v>
      </c>
      <c r="AC37" s="67" t="str">
        <f>IF(AB37="","",",")</f>
        <v>,</v>
      </c>
      <c r="AD37" s="59" t="str">
        <f>IF(I37="","",I37)</f>
        <v/>
      </c>
      <c r="AE37" s="68" t="str">
        <f>IF(AB37="","",",")</f>
        <v>,</v>
      </c>
      <c r="AF37" s="61">
        <f>IF(AB37="","",350)</f>
        <v>350</v>
      </c>
      <c r="AG37" s="61" t="str">
        <f>IF(AB37="","",")")</f>
        <v>)</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997</v>
      </c>
      <c r="C38" s="113" t="s">
        <v>1044</v>
      </c>
      <c r="D38" s="112"/>
      <c r="E38" s="52"/>
      <c r="F38" s="53"/>
      <c r="G38" s="53"/>
      <c r="H38" s="52"/>
      <c r="I38" s="52"/>
      <c r="J38" s="54"/>
      <c r="K38" s="54"/>
      <c r="L38" s="55" t="str">
        <f t="shared" si="30"/>
        <v xml:space="preserve">            { line: "MARANA THÁ., ", sC: "ta as"},</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1014</v>
      </c>
      <c r="C39" s="113" t="s">
        <v>1045</v>
      </c>
      <c r="D39" s="112" t="s">
        <v>1013</v>
      </c>
      <c r="E39" s="52" t="s">
        <v>1012</v>
      </c>
      <c r="F39" s="53" t="s">
        <v>1015</v>
      </c>
      <c r="G39" s="53"/>
      <c r="H39" s="52"/>
      <c r="I39" s="52"/>
      <c r="J39" s="54"/>
      <c r="K39" s="54"/>
      <c r="L39" s="55" t="str">
        <f t="shared" si="30"/>
        <v xml:space="preserve">            { line: "Somos el viento, nadie nos oye., (La,m,20)(Sol,,250)", sC: "tc"},</v>
      </c>
      <c r="M39" s="56" t="str">
        <f>IF(N39="","","(")</f>
        <v>(</v>
      </c>
      <c r="N39" s="57" t="str">
        <f>IF(D39="","",D39)</f>
        <v>La</v>
      </c>
      <c r="O39" s="58" t="str">
        <f>IF(N39="","",",")</f>
        <v>,</v>
      </c>
      <c r="P39" s="59" t="str">
        <f>IF(E39="","",E39)</f>
        <v>m</v>
      </c>
      <c r="Q39" s="60" t="str">
        <f>IF(N39="","",",")</f>
        <v>,</v>
      </c>
      <c r="R39" s="61">
        <f t="shared" si="28"/>
        <v>20</v>
      </c>
      <c r="S39" s="56" t="str">
        <f>IF(N39="","",")")</f>
        <v>)</v>
      </c>
      <c r="T39" s="62" t="str">
        <f>IF(U39="","","(")</f>
        <v>(</v>
      </c>
      <c r="U39" s="63" t="str">
        <f>IF(F39="","",F39)</f>
        <v>Sol</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1014</v>
      </c>
      <c r="C40" s="113" t="s">
        <v>1043</v>
      </c>
      <c r="D40" s="112" t="s">
        <v>1011</v>
      </c>
      <c r="E40" s="52"/>
      <c r="F40" s="53" t="s">
        <v>1015</v>
      </c>
      <c r="G40" s="53"/>
      <c r="H40" s="52" t="s">
        <v>1011</v>
      </c>
      <c r="I40" s="52"/>
      <c r="J40" s="54"/>
      <c r="K40" s="54"/>
      <c r="L40" s="55" t="str">
        <f t="shared" si="30"/>
        <v xml:space="preserve">            { line: "Marana thá,, (Mi,,20)(Sol,,250)(Mi,,350)", sC: "tc"},</v>
      </c>
      <c r="M40" s="56" t="str">
        <f t="shared" ref="M40:M41" si="31">IF(N40="","","(")</f>
        <v>(</v>
      </c>
      <c r="N40" s="57" t="str">
        <f t="shared" ref="N40:N41" si="32">IF(D40="","",D40)</f>
        <v>Mi</v>
      </c>
      <c r="O40" s="58" t="str">
        <f t="shared" ref="O40:O41" si="33">IF(N40="","",",")</f>
        <v>,</v>
      </c>
      <c r="P40" s="59" t="str">
        <f t="shared" ref="P40:P41" si="34">IF(E40="","",E40)</f>
        <v/>
      </c>
      <c r="Q40" s="60" t="str">
        <f t="shared" ref="Q40:Q41" si="35">IF(N40="","",",")</f>
        <v>,</v>
      </c>
      <c r="R40" s="61">
        <f t="shared" si="28"/>
        <v>20</v>
      </c>
      <c r="S40" s="56" t="str">
        <f t="shared" ref="S40:S41" si="36">IF(N40="","",")")</f>
        <v>)</v>
      </c>
      <c r="T40" s="62" t="str">
        <f t="shared" ref="T40:T41" si="37">IF(U40="","","(")</f>
        <v>(</v>
      </c>
      <c r="U40" s="63" t="str">
        <f t="shared" ref="U40:U41" si="38">IF(F40="","",F40)</f>
        <v>Sol</v>
      </c>
      <c r="V40" s="64" t="str">
        <f t="shared" ref="V40:V41" si="39">IF(U40="","",",")</f>
        <v>,</v>
      </c>
      <c r="W40" s="65" t="str">
        <f t="shared" ref="W40:W41" si="40">IF(G40="","",G40)</f>
        <v/>
      </c>
      <c r="X40" s="64" t="str">
        <f t="shared" ref="X40:X41" si="41">IF(U40="","",",")</f>
        <v>,</v>
      </c>
      <c r="Y40" s="64">
        <f t="shared" ref="Y40:Y41" si="42">IF(U40="","",250)</f>
        <v>250</v>
      </c>
      <c r="Z40" s="56" t="str">
        <f t="shared" ref="Z40:Z41" si="43">IF(U40="","",")")</f>
        <v>)</v>
      </c>
      <c r="AA40" s="66" t="str">
        <f t="shared" ref="AA40:AA41" si="44">IF(AB40="","","(")</f>
        <v>(</v>
      </c>
      <c r="AB40" s="57" t="str">
        <f t="shared" ref="AB40:AB41" si="45">IF(H40="","",H40)</f>
        <v>Mi</v>
      </c>
      <c r="AC40" s="67" t="str">
        <f t="shared" ref="AC40:AC41" si="46">IF(AB40="","",",")</f>
        <v>,</v>
      </c>
      <c r="AD40" s="59" t="str">
        <f t="shared" ref="AD40:AD41" si="47">IF(I40="","",I40)</f>
        <v/>
      </c>
      <c r="AE40" s="68" t="str">
        <f t="shared" ref="AE40:AE41" si="48">IF(AB40="","",",")</f>
        <v>,</v>
      </c>
      <c r="AF40" s="61">
        <f t="shared" ref="AF40:AF41" si="49">IF(AB40="","",350)</f>
        <v>350</v>
      </c>
      <c r="AG40" s="61" t="str">
        <f t="shared" ref="AG40:AG41" si="50">IF(AB40="","",")")</f>
        <v>)</v>
      </c>
      <c r="AH40" s="69" t="str">
        <f t="shared" ref="AH40:AH41" si="51">IF(AI40="","","(")</f>
        <v/>
      </c>
      <c r="AI40" s="70" t="str">
        <f t="shared" ref="AI40:AI41" si="52">IF(J40="","",J40)</f>
        <v/>
      </c>
      <c r="AJ40" s="64" t="str">
        <f t="shared" ref="AJ40:AJ41" si="53">IF(AI40="","",",")</f>
        <v/>
      </c>
      <c r="AK40" s="64" t="str">
        <f t="shared" ref="AK40:AK41" si="54">IF(K40="","",K40)</f>
        <v/>
      </c>
      <c r="AL40" s="64" t="str">
        <f t="shared" ref="AL40:AL41" si="55">IF(AI40="","",",")</f>
        <v/>
      </c>
      <c r="AM40" s="64" t="str">
        <f t="shared" ref="AM40:AM41" si="56">IF(AI40="","",450)</f>
        <v/>
      </c>
      <c r="AN40" s="64" t="str">
        <f t="shared" ref="AN40:AN41" si="57">IF(AI40="","",")")</f>
        <v/>
      </c>
    </row>
    <row r="41" spans="1:40" ht="25.5" thickTop="1" thickBot="1" x14ac:dyDescent="0.4">
      <c r="B41" t="s">
        <v>997</v>
      </c>
      <c r="C41" s="113" t="s">
        <v>1044</v>
      </c>
      <c r="D41" s="112"/>
      <c r="E41" s="52"/>
      <c r="F41" s="53"/>
      <c r="G41" s="53"/>
      <c r="H41" s="52"/>
      <c r="I41" s="52"/>
      <c r="J41" s="54"/>
      <c r="K41" s="54"/>
      <c r="L41" s="55" t="str">
        <f t="shared" si="30"/>
        <v xml:space="preserve">            { line: "MARANA THÁ., ", sC: "ta as"},</v>
      </c>
      <c r="M41" s="56" t="str">
        <f t="shared" si="31"/>
        <v/>
      </c>
      <c r="N41" s="57" t="str">
        <f t="shared" si="32"/>
        <v/>
      </c>
      <c r="O41" s="58" t="str">
        <f t="shared" si="33"/>
        <v/>
      </c>
      <c r="P41" s="59" t="str">
        <f t="shared" si="34"/>
        <v/>
      </c>
      <c r="Q41" s="60" t="str">
        <f t="shared" si="35"/>
        <v/>
      </c>
      <c r="R41" s="61" t="str">
        <f t="shared" si="28"/>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 t="shared" si="28"/>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C43" s="79" t="s">
        <v>995</v>
      </c>
      <c r="D43" s="80"/>
      <c r="E43" s="80"/>
      <c r="F43" s="80"/>
      <c r="G43" s="80"/>
      <c r="H43" s="80"/>
      <c r="I43" s="80"/>
      <c r="J43" s="80"/>
      <c r="K43" s="80"/>
      <c r="L43" s="81" t="s">
        <v>996</v>
      </c>
      <c r="M43" s="56" t="str">
        <f t="shared" ref="M43:M47" si="58">IF(N43="","","(")</f>
        <v/>
      </c>
      <c r="N43" s="57" t="str">
        <f t="shared" ref="N43:N47" si="59">IF(D43="","",D43)</f>
        <v/>
      </c>
      <c r="O43" s="58" t="str">
        <f t="shared" ref="O43:O47" si="60">IF(N43="","",",")</f>
        <v/>
      </c>
      <c r="P43" s="59" t="str">
        <f t="shared" ref="P43:P47" si="61">IF(E43="","",E43)</f>
        <v/>
      </c>
      <c r="Q43" s="60" t="str">
        <f t="shared" ref="Q43:Q47" si="62">IF(N43="","",",")</f>
        <v/>
      </c>
      <c r="R43" s="61" t="str">
        <f t="shared" si="28"/>
        <v/>
      </c>
      <c r="S43" s="56" t="str">
        <f t="shared" ref="S43:S47" si="63">IF(N43="","",")")</f>
        <v/>
      </c>
      <c r="T43" s="62" t="str">
        <f t="shared" ref="T43:T47" si="64">IF(U43="","","(")</f>
        <v/>
      </c>
      <c r="U43" s="63" t="str">
        <f t="shared" ref="U43:U47" si="65">IF(F43="","",F43)</f>
        <v/>
      </c>
      <c r="V43" s="64" t="str">
        <f t="shared" ref="V43:V47" si="66">IF(U43="","",",")</f>
        <v/>
      </c>
      <c r="W43" s="65" t="str">
        <f t="shared" ref="W43:W47" si="67">IF(G43="","",G43)</f>
        <v/>
      </c>
      <c r="X43" s="64" t="str">
        <f t="shared" ref="X43:X47" si="68">IF(U43="","",",")</f>
        <v/>
      </c>
      <c r="Y43" s="64" t="str">
        <f t="shared" ref="Y43:Y47" si="69">IF(U43="","",250)</f>
        <v/>
      </c>
      <c r="Z43" s="56" t="str">
        <f t="shared" ref="Z43:Z47" si="70">IF(U43="","",")")</f>
        <v/>
      </c>
      <c r="AA43" s="66" t="str">
        <f t="shared" ref="AA43:AA47" si="71">IF(AB43="","","(")</f>
        <v/>
      </c>
      <c r="AB43" s="57" t="str">
        <f t="shared" ref="AB43:AB47" si="72">IF(H43="","",H43)</f>
        <v/>
      </c>
      <c r="AC43" s="67" t="str">
        <f t="shared" ref="AC43:AC47" si="73">IF(AB43="","",",")</f>
        <v/>
      </c>
      <c r="AD43" s="59" t="str">
        <f t="shared" ref="AD43:AD47" si="74">IF(I43="","",I43)</f>
        <v/>
      </c>
      <c r="AE43" s="68" t="str">
        <f t="shared" ref="AE43:AE47" si="75">IF(AB43="","",",")</f>
        <v/>
      </c>
      <c r="AF43" s="61" t="str">
        <f t="shared" ref="AF43:AF47" si="76">IF(AB43="","",350)</f>
        <v/>
      </c>
      <c r="AG43" s="61" t="str">
        <f t="shared" ref="AG43:AG47" si="77">IF(AB43="","",")")</f>
        <v/>
      </c>
      <c r="AH43" s="69" t="str">
        <f t="shared" ref="AH43:AH47" si="78">IF(AI43="","","(")</f>
        <v/>
      </c>
      <c r="AI43" s="70" t="str">
        <f t="shared" ref="AI43:AI47" si="79">IF(J43="","",J43)</f>
        <v/>
      </c>
      <c r="AJ43" s="64" t="str">
        <f t="shared" ref="AJ43:AJ47" si="80">IF(AI43="","",",")</f>
        <v/>
      </c>
      <c r="AK43" s="64" t="str">
        <f t="shared" ref="AK43:AK47" si="81">IF(K43="","",K43)</f>
        <v/>
      </c>
      <c r="AL43" s="64" t="str">
        <f t="shared" ref="AL43:AL47" si="82">IF(AI43="","",",")</f>
        <v/>
      </c>
      <c r="AM43" s="64" t="str">
        <f t="shared" ref="AM43:AM47" si="83">IF(AI43="","",450)</f>
        <v/>
      </c>
      <c r="AN43" s="64" t="str">
        <f t="shared" ref="AN43:AN47" si="84">IF(AI43="","",")")</f>
        <v/>
      </c>
    </row>
    <row r="44" spans="1:40" ht="25.5" thickTop="1" thickBot="1" x14ac:dyDescent="0.4">
      <c r="B44" t="s">
        <v>997</v>
      </c>
      <c r="C44" s="82" t="s">
        <v>1052</v>
      </c>
      <c r="D44" s="83" t="s">
        <v>1013</v>
      </c>
      <c r="E44" s="83" t="s">
        <v>1012</v>
      </c>
      <c r="F44" s="83" t="s">
        <v>1031</v>
      </c>
      <c r="G44" s="83"/>
      <c r="H44" s="83"/>
      <c r="I44" s="83"/>
      <c r="J44" s="83"/>
      <c r="K44" s="83"/>
      <c r="L44" s="84" t="str">
        <f>IF(C44="","",_xlfn.CONCAT("       triggerLine: ","""",C44,", ",M44:AN44,""", sC: ","""",B44,""", lines: ["))</f>
        <v xml:space="preserve">       triggerLine: "OH CIELOS, LLOVED DE LO ALTO, (La,m,20)(Fa,,250)", sC: "ta as", lines: [</v>
      </c>
      <c r="M44" s="56" t="str">
        <f t="shared" si="58"/>
        <v>(</v>
      </c>
      <c r="N44" s="57" t="str">
        <f t="shared" si="59"/>
        <v>La</v>
      </c>
      <c r="O44" s="58" t="str">
        <f t="shared" si="60"/>
        <v>,</v>
      </c>
      <c r="P44" s="59" t="str">
        <f t="shared" si="61"/>
        <v>m</v>
      </c>
      <c r="Q44" s="60" t="str">
        <f t="shared" si="62"/>
        <v>,</v>
      </c>
      <c r="R44" s="61">
        <f t="shared" si="28"/>
        <v>20</v>
      </c>
      <c r="S44" s="56" t="str">
        <f t="shared" si="63"/>
        <v>)</v>
      </c>
      <c r="T44" s="62" t="str">
        <f t="shared" si="64"/>
        <v>(</v>
      </c>
      <c r="U44" s="63" t="str">
        <f t="shared" si="65"/>
        <v>Fa</v>
      </c>
      <c r="V44" s="64" t="str">
        <f t="shared" si="66"/>
        <v>,</v>
      </c>
      <c r="W44" s="65" t="str">
        <f t="shared" si="67"/>
        <v/>
      </c>
      <c r="X44" s="64" t="str">
        <f t="shared" si="68"/>
        <v>,</v>
      </c>
      <c r="Y44" s="64">
        <f t="shared" si="69"/>
        <v>250</v>
      </c>
      <c r="Z44" s="56" t="str">
        <f t="shared" si="70"/>
        <v>)</v>
      </c>
      <c r="AA44" s="66" t="str">
        <f t="shared" si="71"/>
        <v/>
      </c>
      <c r="AB44" s="57" t="str">
        <f t="shared" si="72"/>
        <v/>
      </c>
      <c r="AC44" s="67" t="str">
        <f t="shared" si="73"/>
        <v/>
      </c>
      <c r="AD44" s="59" t="str">
        <f t="shared" si="74"/>
        <v/>
      </c>
      <c r="AE44" s="68" t="str">
        <f t="shared" si="75"/>
        <v/>
      </c>
      <c r="AF44" s="61" t="str">
        <f t="shared" si="76"/>
        <v/>
      </c>
      <c r="AG44" s="61" t="str">
        <f t="shared" si="77"/>
        <v/>
      </c>
      <c r="AH44" s="69" t="str">
        <f t="shared" si="78"/>
        <v/>
      </c>
      <c r="AI44" s="70" t="str">
        <f t="shared" si="79"/>
        <v/>
      </c>
      <c r="AJ44" s="64" t="str">
        <f t="shared" si="80"/>
        <v/>
      </c>
      <c r="AK44" s="64" t="str">
        <f t="shared" si="81"/>
        <v/>
      </c>
      <c r="AL44" s="64" t="str">
        <f t="shared" si="82"/>
        <v/>
      </c>
      <c r="AM44" s="64" t="str">
        <f t="shared" si="83"/>
        <v/>
      </c>
      <c r="AN44" s="64" t="str">
        <f t="shared" si="84"/>
        <v/>
      </c>
    </row>
    <row r="45" spans="1:40" ht="25.5" thickTop="1" thickBot="1" x14ac:dyDescent="0.4">
      <c r="B45" t="s">
        <v>999</v>
      </c>
      <c r="C45" s="85" t="s">
        <v>1039</v>
      </c>
      <c r="D45" s="86" t="s">
        <v>1015</v>
      </c>
      <c r="E45" s="86"/>
      <c r="F45" s="86" t="s">
        <v>1013</v>
      </c>
      <c r="G45" s="86" t="s">
        <v>1012</v>
      </c>
      <c r="H45" s="87"/>
      <c r="I45" s="87"/>
      <c r="J45" s="87"/>
      <c r="K45" s="87"/>
      <c r="L45" s="88" t="str">
        <f>IF(C45="","",_xlfn.CONCAT("            { line: ","""",C45,", ",M45:AN45,""", sC: ","""",B45,"""},"))</f>
        <v xml:space="preserve">            { line: "OH NUBES, MANDADNOS AL SANTO., (Sol,,14)(La,m,250)", sC: "as"},</v>
      </c>
      <c r="M45" s="56" t="str">
        <f t="shared" si="58"/>
        <v>(</v>
      </c>
      <c r="N45" s="57" t="str">
        <f t="shared" si="59"/>
        <v>Sol</v>
      </c>
      <c r="O45" s="58" t="str">
        <f t="shared" si="60"/>
        <v>,</v>
      </c>
      <c r="P45" s="59" t="str">
        <f t="shared" si="61"/>
        <v/>
      </c>
      <c r="Q45" s="60" t="str">
        <f t="shared" si="62"/>
        <v>,</v>
      </c>
      <c r="R45" s="61">
        <f t="shared" si="28"/>
        <v>14</v>
      </c>
      <c r="S45" s="56" t="str">
        <f t="shared" si="63"/>
        <v>)</v>
      </c>
      <c r="T45" s="62" t="str">
        <f t="shared" si="64"/>
        <v>(</v>
      </c>
      <c r="U45" s="63" t="str">
        <f t="shared" si="65"/>
        <v>La</v>
      </c>
      <c r="V45" s="64" t="str">
        <f t="shared" si="66"/>
        <v>,</v>
      </c>
      <c r="W45" s="65" t="str">
        <f t="shared" si="67"/>
        <v>m</v>
      </c>
      <c r="X45" s="64" t="str">
        <f t="shared" si="68"/>
        <v>,</v>
      </c>
      <c r="Y45" s="64">
        <f t="shared" si="69"/>
        <v>250</v>
      </c>
      <c r="Z45" s="56" t="str">
        <f t="shared" si="70"/>
        <v>)</v>
      </c>
      <c r="AA45" s="66" t="str">
        <f t="shared" si="71"/>
        <v/>
      </c>
      <c r="AB45" s="57" t="str">
        <f t="shared" si="72"/>
        <v/>
      </c>
      <c r="AC45" s="67" t="str">
        <f t="shared" si="73"/>
        <v/>
      </c>
      <c r="AD45" s="59" t="str">
        <f t="shared" si="74"/>
        <v/>
      </c>
      <c r="AE45" s="68" t="str">
        <f t="shared" si="75"/>
        <v/>
      </c>
      <c r="AF45" s="61" t="str">
        <f t="shared" si="76"/>
        <v/>
      </c>
      <c r="AG45" s="61" t="str">
        <f t="shared" si="77"/>
        <v/>
      </c>
      <c r="AH45" s="69" t="str">
        <f t="shared" si="78"/>
        <v/>
      </c>
      <c r="AI45" s="70" t="str">
        <f t="shared" si="79"/>
        <v/>
      </c>
      <c r="AJ45" s="64" t="str">
        <f t="shared" si="80"/>
        <v/>
      </c>
      <c r="AK45" s="64" t="str">
        <f t="shared" si="81"/>
        <v/>
      </c>
      <c r="AL45" s="64" t="str">
        <f t="shared" si="82"/>
        <v/>
      </c>
      <c r="AM45" s="64" t="str">
        <f t="shared" si="83"/>
        <v/>
      </c>
      <c r="AN45" s="64" t="str">
        <f t="shared" si="84"/>
        <v/>
      </c>
    </row>
    <row r="46" spans="1:40" ht="25.5" thickTop="1" thickBot="1" x14ac:dyDescent="0.4">
      <c r="B46" t="s">
        <v>999</v>
      </c>
      <c r="C46" s="85" t="s">
        <v>1040</v>
      </c>
      <c r="D46" s="89" t="s">
        <v>1011</v>
      </c>
      <c r="E46" s="89"/>
      <c r="F46" s="89" t="s">
        <v>1013</v>
      </c>
      <c r="G46" s="89" t="s">
        <v>1012</v>
      </c>
      <c r="H46" s="90"/>
      <c r="I46" s="90"/>
      <c r="J46" s="90"/>
      <c r="K46" s="90"/>
      <c r="L46" s="88" t="str">
        <f>IF(C46="","",_xlfn.CONCAT("            { line: ","""",C46,", ",M46:AN46,""", sC: ","""",B46,"""},"))</f>
        <v xml:space="preserve">            { line: "OH TIERRA, ÁBRETE, OH TIERRA,, (Mi,,20)(La,m,250)", sC: "as"},</v>
      </c>
      <c r="M46" s="56" t="str">
        <f t="shared" si="58"/>
        <v>(</v>
      </c>
      <c r="N46" s="57" t="str">
        <f t="shared" si="59"/>
        <v>Mi</v>
      </c>
      <c r="O46" s="58" t="str">
        <f t="shared" si="60"/>
        <v>,</v>
      </c>
      <c r="P46" s="59" t="str">
        <f t="shared" si="61"/>
        <v/>
      </c>
      <c r="Q46" s="60" t="str">
        <f t="shared" si="62"/>
        <v>,</v>
      </c>
      <c r="R46" s="61">
        <f t="shared" si="28"/>
        <v>20</v>
      </c>
      <c r="S46" s="56" t="str">
        <f t="shared" si="63"/>
        <v>)</v>
      </c>
      <c r="T46" s="62" t="str">
        <f t="shared" si="64"/>
        <v>(</v>
      </c>
      <c r="U46" s="63" t="str">
        <f t="shared" si="65"/>
        <v>La</v>
      </c>
      <c r="V46" s="64" t="str">
        <f t="shared" si="66"/>
        <v>,</v>
      </c>
      <c r="W46" s="65" t="str">
        <f t="shared" si="67"/>
        <v>m</v>
      </c>
      <c r="X46" s="64" t="str">
        <f t="shared" si="68"/>
        <v>,</v>
      </c>
      <c r="Y46" s="64">
        <f t="shared" si="69"/>
        <v>250</v>
      </c>
      <c r="Z46" s="56" t="str">
        <f t="shared" si="70"/>
        <v>)</v>
      </c>
      <c r="AA46" s="66" t="str">
        <f t="shared" si="71"/>
        <v/>
      </c>
      <c r="AB46" s="57" t="str">
        <f t="shared" si="72"/>
        <v/>
      </c>
      <c r="AC46" s="67" t="str">
        <f t="shared" si="73"/>
        <v/>
      </c>
      <c r="AD46" s="59" t="str">
        <f t="shared" si="74"/>
        <v/>
      </c>
      <c r="AE46" s="68" t="str">
        <f t="shared" si="75"/>
        <v/>
      </c>
      <c r="AF46" s="61" t="str">
        <f t="shared" si="76"/>
        <v/>
      </c>
      <c r="AG46" s="61" t="str">
        <f t="shared" si="77"/>
        <v/>
      </c>
      <c r="AH46" s="69" t="str">
        <f t="shared" si="78"/>
        <v/>
      </c>
      <c r="AI46" s="70" t="str">
        <f t="shared" si="79"/>
        <v/>
      </c>
      <c r="AJ46" s="64" t="str">
        <f t="shared" si="80"/>
        <v/>
      </c>
      <c r="AK46" s="64" t="str">
        <f t="shared" si="81"/>
        <v/>
      </c>
      <c r="AL46" s="64" t="str">
        <f t="shared" si="82"/>
        <v/>
      </c>
      <c r="AM46" s="64" t="str">
        <f t="shared" si="83"/>
        <v/>
      </c>
      <c r="AN46" s="64" t="str">
        <f t="shared" si="84"/>
        <v/>
      </c>
    </row>
    <row r="47" spans="1:40" ht="25.5" thickTop="1" thickBot="1" x14ac:dyDescent="0.4">
      <c r="B47" t="s">
        <v>999</v>
      </c>
      <c r="C47" s="93" t="s">
        <v>1041</v>
      </c>
      <c r="D47" s="83" t="s">
        <v>1011</v>
      </c>
      <c r="E47" s="83"/>
      <c r="F47" s="83" t="s">
        <v>1013</v>
      </c>
      <c r="G47" s="83" t="s">
        <v>1012</v>
      </c>
      <c r="H47" s="83"/>
      <c r="I47" s="83"/>
      <c r="J47" s="83"/>
      <c r="K47" s="83"/>
      <c r="L47" s="94" t="str">
        <f>IF(C47="","",_xlfn.CONCAT("            { line: ","""",C47,", ",M47:AN47,""", sC: ","""",B47,"""},  ]},"))</f>
        <v xml:space="preserve">            { line: "Y BROTE EL SALVADOR., (Mi,,20)(La,m,250)", sC: "as"},  ]},</v>
      </c>
      <c r="M47" s="56" t="str">
        <f t="shared" si="58"/>
        <v>(</v>
      </c>
      <c r="N47" s="57" t="str">
        <f t="shared" si="59"/>
        <v>Mi</v>
      </c>
      <c r="O47" s="58" t="str">
        <f t="shared" si="60"/>
        <v>,</v>
      </c>
      <c r="P47" s="59" t="str">
        <f t="shared" si="61"/>
        <v/>
      </c>
      <c r="Q47" s="60" t="str">
        <f t="shared" si="62"/>
        <v>,</v>
      </c>
      <c r="R47" s="61">
        <f t="shared" si="28"/>
        <v>20</v>
      </c>
      <c r="S47" s="56" t="str">
        <f t="shared" si="63"/>
        <v>)</v>
      </c>
      <c r="T47" s="62" t="str">
        <f t="shared" si="64"/>
        <v>(</v>
      </c>
      <c r="U47" s="63" t="str">
        <f t="shared" si="65"/>
        <v>La</v>
      </c>
      <c r="V47" s="64" t="str">
        <f t="shared" si="66"/>
        <v>,</v>
      </c>
      <c r="W47" s="65" t="str">
        <f t="shared" si="67"/>
        <v>m</v>
      </c>
      <c r="X47" s="64" t="str">
        <f t="shared" si="68"/>
        <v>,</v>
      </c>
      <c r="Y47" s="64">
        <f t="shared" si="69"/>
        <v>250</v>
      </c>
      <c r="Z47" s="56" t="str">
        <f t="shared" si="70"/>
        <v>)</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 t="shared" si="28"/>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B49" t="s">
        <v>1014</v>
      </c>
      <c r="C49" s="113" t="s">
        <v>1046</v>
      </c>
      <c r="D49" s="112" t="s">
        <v>1013</v>
      </c>
      <c r="E49" s="52" t="s">
        <v>1012</v>
      </c>
      <c r="F49" s="53" t="s">
        <v>1015</v>
      </c>
      <c r="G49" s="53"/>
      <c r="H49" s="52"/>
      <c r="I49" s="52"/>
      <c r="J49" s="54"/>
      <c r="K49" s="54"/>
      <c r="L49" s="55" t="str">
        <f t="shared" si="30"/>
        <v xml:space="preserve">            { line: "Somos tinieblas, nadie nos guía., (La,m,20)(Sol,,250)", sC: "tc"},</v>
      </c>
      <c r="M49" s="56" t="str">
        <f>IF(N49="","","(")</f>
        <v>(</v>
      </c>
      <c r="N49" s="57" t="str">
        <f>IF(D49="","",D49)</f>
        <v>La</v>
      </c>
      <c r="O49" s="58" t="str">
        <f>IF(N49="","",",")</f>
        <v>,</v>
      </c>
      <c r="P49" s="59" t="str">
        <f>IF(E49="","",E49)</f>
        <v>m</v>
      </c>
      <c r="Q49" s="60" t="str">
        <f>IF(N49="","",",")</f>
        <v>,</v>
      </c>
      <c r="R49" s="61">
        <f t="shared" si="28"/>
        <v>20</v>
      </c>
      <c r="S49" s="56" t="str">
        <f>IF(N49="","",")")</f>
        <v>)</v>
      </c>
      <c r="T49" s="62" t="str">
        <f>IF(U49="","","(")</f>
        <v>(</v>
      </c>
      <c r="U49" s="63" t="str">
        <f>IF(F49="","",F49)</f>
        <v>Sol</v>
      </c>
      <c r="V49" s="64" t="str">
        <f>IF(U49="","",",")</f>
        <v>,</v>
      </c>
      <c r="W49" s="65" t="str">
        <f>IF(G49="","",G49)</f>
        <v/>
      </c>
      <c r="X49" s="64" t="str">
        <f>IF(U49="","",",")</f>
        <v>,</v>
      </c>
      <c r="Y49" s="64">
        <f>IF(U49="","",250)</f>
        <v>250</v>
      </c>
      <c r="Z49" s="56" t="str">
        <f>IF(U49="","",")")</f>
        <v>)</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B50" t="s">
        <v>1014</v>
      </c>
      <c r="C50" s="113" t="s">
        <v>1043</v>
      </c>
      <c r="D50" s="112" t="s">
        <v>1011</v>
      </c>
      <c r="E50" s="52"/>
      <c r="F50" s="53" t="s">
        <v>1015</v>
      </c>
      <c r="G50" s="53"/>
      <c r="H50" s="52" t="s">
        <v>1011</v>
      </c>
      <c r="I50" s="52"/>
      <c r="J50" s="54"/>
      <c r="K50" s="54"/>
      <c r="L50" s="55" t="str">
        <f t="shared" si="30"/>
        <v xml:space="preserve">            { line: "Marana thá,, (Mi,,20)(Sol,,250)(Mi,,350)", sC: "tc"},</v>
      </c>
      <c r="M50" s="56" t="str">
        <f t="shared" ref="M50:M54" si="85">IF(N50="","","(")</f>
        <v>(</v>
      </c>
      <c r="N50" s="57" t="str">
        <f t="shared" ref="N50:N54" si="86">IF(D50="","",D50)</f>
        <v>Mi</v>
      </c>
      <c r="O50" s="58" t="str">
        <f t="shared" ref="O50:O54" si="87">IF(N50="","",",")</f>
        <v>,</v>
      </c>
      <c r="P50" s="59" t="str">
        <f t="shared" ref="P50:P54" si="88">IF(E50="","",E50)</f>
        <v/>
      </c>
      <c r="Q50" s="60" t="str">
        <f t="shared" ref="Q50:Q54" si="89">IF(N50="","",",")</f>
        <v>,</v>
      </c>
      <c r="R50" s="61">
        <f t="shared" si="28"/>
        <v>20</v>
      </c>
      <c r="S50" s="56" t="str">
        <f t="shared" ref="S50:S54" si="90">IF(N50="","",")")</f>
        <v>)</v>
      </c>
      <c r="T50" s="62" t="str">
        <f t="shared" ref="T50:T54" si="91">IF(U50="","","(")</f>
        <v>(</v>
      </c>
      <c r="U50" s="63" t="str">
        <f t="shared" ref="U50:U54" si="92">IF(F50="","",F50)</f>
        <v>Sol</v>
      </c>
      <c r="V50" s="64" t="str">
        <f t="shared" ref="V50:V54" si="93">IF(U50="","",",")</f>
        <v>,</v>
      </c>
      <c r="W50" s="65" t="str">
        <f t="shared" ref="W50:W54" si="94">IF(G50="","",G50)</f>
        <v/>
      </c>
      <c r="X50" s="64" t="str">
        <f t="shared" ref="X50:X54" si="95">IF(U50="","",",")</f>
        <v>,</v>
      </c>
      <c r="Y50" s="64">
        <f t="shared" ref="Y50:Y54" si="96">IF(U50="","",250)</f>
        <v>250</v>
      </c>
      <c r="Z50" s="56" t="str">
        <f t="shared" ref="Z50:Z54" si="97">IF(U50="","",")")</f>
        <v>)</v>
      </c>
      <c r="AA50" s="66" t="str">
        <f t="shared" ref="AA50:AA54" si="98">IF(AB50="","","(")</f>
        <v>(</v>
      </c>
      <c r="AB50" s="57" t="str">
        <f t="shared" ref="AB50:AB54" si="99">IF(H50="","",H50)</f>
        <v>Mi</v>
      </c>
      <c r="AC50" s="67" t="str">
        <f t="shared" ref="AC50:AC54" si="100">IF(AB50="","",",")</f>
        <v>,</v>
      </c>
      <c r="AD50" s="59" t="str">
        <f t="shared" ref="AD50:AD54" si="101">IF(I50="","",I50)</f>
        <v/>
      </c>
      <c r="AE50" s="68" t="str">
        <f t="shared" ref="AE50:AE54" si="102">IF(AB50="","",",")</f>
        <v>,</v>
      </c>
      <c r="AF50" s="61">
        <f t="shared" ref="AF50:AF54" si="103">IF(AB50="","",350)</f>
        <v>350</v>
      </c>
      <c r="AG50" s="61" t="str">
        <f t="shared" ref="AG50:AG54" si="104">IF(AB50="","",")")</f>
        <v>)</v>
      </c>
      <c r="AH50" s="69" t="str">
        <f t="shared" ref="AH50:AH54" si="105">IF(AI50="","","(")</f>
        <v/>
      </c>
      <c r="AI50" s="70" t="str">
        <f t="shared" ref="AI50:AI54" si="106">IF(J50="","",J50)</f>
        <v/>
      </c>
      <c r="AJ50" s="64" t="str">
        <f t="shared" ref="AJ50:AJ54" si="107">IF(AI50="","",",")</f>
        <v/>
      </c>
      <c r="AK50" s="64" t="str">
        <f t="shared" ref="AK50:AK54" si="108">IF(K50="","",K50)</f>
        <v/>
      </c>
      <c r="AL50" s="64" t="str">
        <f t="shared" ref="AL50:AL54" si="109">IF(AI50="","",",")</f>
        <v/>
      </c>
      <c r="AM50" s="64" t="str">
        <f t="shared" ref="AM50:AM54" si="110">IF(AI50="","",450)</f>
        <v/>
      </c>
      <c r="AN50" s="64" t="str">
        <f t="shared" ref="AN50:AN54" si="111">IF(AI50="","",")")</f>
        <v/>
      </c>
    </row>
    <row r="51" spans="1:40" ht="25.5" thickTop="1" thickBot="1" x14ac:dyDescent="0.4">
      <c r="B51" t="s">
        <v>997</v>
      </c>
      <c r="C51" s="113" t="s">
        <v>1044</v>
      </c>
      <c r="D51" s="112"/>
      <c r="E51" s="52"/>
      <c r="F51" s="53"/>
      <c r="G51" s="53"/>
      <c r="H51" s="52"/>
      <c r="I51" s="52"/>
      <c r="J51" s="54"/>
      <c r="K51" s="54"/>
      <c r="L51" s="55" t="str">
        <f t="shared" si="30"/>
        <v xml:space="preserve">            { line: "MARANA THÁ., ", sC: "ta as"},</v>
      </c>
      <c r="M51" s="56" t="str">
        <f t="shared" si="85"/>
        <v/>
      </c>
      <c r="N51" s="57" t="str">
        <f t="shared" si="86"/>
        <v/>
      </c>
      <c r="O51" s="58" t="str">
        <f t="shared" si="87"/>
        <v/>
      </c>
      <c r="P51" s="59" t="str">
        <f t="shared" si="88"/>
        <v/>
      </c>
      <c r="Q51" s="60" t="str">
        <f t="shared" si="89"/>
        <v/>
      </c>
      <c r="R51" s="61" t="str">
        <f t="shared" si="28"/>
        <v/>
      </c>
      <c r="S51" s="56" t="str">
        <f t="shared" si="90"/>
        <v/>
      </c>
      <c r="T51" s="62" t="str">
        <f t="shared" si="91"/>
        <v/>
      </c>
      <c r="U51" s="63" t="str">
        <f t="shared" si="92"/>
        <v/>
      </c>
      <c r="V51" s="64" t="str">
        <f t="shared" si="93"/>
        <v/>
      </c>
      <c r="W51" s="65" t="str">
        <f t="shared" si="94"/>
        <v/>
      </c>
      <c r="X51" s="64" t="str">
        <f t="shared" si="95"/>
        <v/>
      </c>
      <c r="Y51" s="64" t="str">
        <f t="shared" si="96"/>
        <v/>
      </c>
      <c r="Z51" s="56" t="str">
        <f t="shared" si="97"/>
        <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5.5" thickTop="1" thickBot="1" x14ac:dyDescent="0.4">
      <c r="B52" t="s">
        <v>1014</v>
      </c>
      <c r="C52" s="113" t="s">
        <v>1047</v>
      </c>
      <c r="D52" s="112" t="s">
        <v>1013</v>
      </c>
      <c r="E52" s="52" t="s">
        <v>1012</v>
      </c>
      <c r="F52" s="53" t="s">
        <v>1015</v>
      </c>
      <c r="G52" s="53"/>
      <c r="H52" s="52"/>
      <c r="I52" s="52"/>
      <c r="J52" s="54"/>
      <c r="K52" s="54"/>
      <c r="L52" s="55" t="str">
        <f t="shared" si="30"/>
        <v xml:space="preserve">            { line: "Somos cadenas, nadie nos libra., (La,m,20)(Sol,,250)", sC: "tc"},</v>
      </c>
      <c r="M52" s="56" t="str">
        <f t="shared" si="85"/>
        <v>(</v>
      </c>
      <c r="N52" s="57" t="str">
        <f t="shared" si="86"/>
        <v>La</v>
      </c>
      <c r="O52" s="58" t="str">
        <f t="shared" si="87"/>
        <v>,</v>
      </c>
      <c r="P52" s="59" t="str">
        <f t="shared" si="88"/>
        <v>m</v>
      </c>
      <c r="Q52" s="60" t="str">
        <f t="shared" si="89"/>
        <v>,</v>
      </c>
      <c r="R52" s="61">
        <f t="shared" si="28"/>
        <v>20</v>
      </c>
      <c r="S52" s="56" t="str">
        <f t="shared" si="90"/>
        <v>)</v>
      </c>
      <c r="T52" s="62" t="str">
        <f t="shared" si="91"/>
        <v>(</v>
      </c>
      <c r="U52" s="63" t="str">
        <f t="shared" si="92"/>
        <v>Sol</v>
      </c>
      <c r="V52" s="64" t="str">
        <f t="shared" si="93"/>
        <v>,</v>
      </c>
      <c r="W52" s="65" t="str">
        <f t="shared" si="94"/>
        <v/>
      </c>
      <c r="X52" s="64" t="str">
        <f t="shared" si="95"/>
        <v>,</v>
      </c>
      <c r="Y52" s="64">
        <f t="shared" si="96"/>
        <v>250</v>
      </c>
      <c r="Z52" s="56" t="str">
        <f t="shared" si="97"/>
        <v>)</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thickTop="1" thickBot="1" x14ac:dyDescent="0.4">
      <c r="B53" t="s">
        <v>1014</v>
      </c>
      <c r="C53" s="113" t="s">
        <v>1043</v>
      </c>
      <c r="D53" s="112" t="s">
        <v>1011</v>
      </c>
      <c r="E53" s="52"/>
      <c r="F53" s="53" t="s">
        <v>1015</v>
      </c>
      <c r="G53" s="53"/>
      <c r="H53" s="52" t="s">
        <v>1011</v>
      </c>
      <c r="I53" s="52"/>
      <c r="J53" s="54"/>
      <c r="K53" s="54"/>
      <c r="L53" s="55" t="str">
        <f t="shared" si="30"/>
        <v xml:space="preserve">            { line: "Marana thá,, (Mi,,20)(Sol,,250)(Mi,,350)", sC: "tc"},</v>
      </c>
      <c r="M53" s="56" t="str">
        <f t="shared" si="85"/>
        <v>(</v>
      </c>
      <c r="N53" s="57" t="str">
        <f t="shared" si="86"/>
        <v>Mi</v>
      </c>
      <c r="O53" s="58" t="str">
        <f t="shared" si="87"/>
        <v>,</v>
      </c>
      <c r="P53" s="59" t="str">
        <f t="shared" si="88"/>
        <v/>
      </c>
      <c r="Q53" s="60" t="str">
        <f t="shared" si="89"/>
        <v>,</v>
      </c>
      <c r="R53" s="61">
        <f t="shared" si="28"/>
        <v>20</v>
      </c>
      <c r="S53" s="56" t="str">
        <f t="shared" si="90"/>
        <v>)</v>
      </c>
      <c r="T53" s="62" t="str">
        <f t="shared" si="91"/>
        <v>(</v>
      </c>
      <c r="U53" s="63" t="str">
        <f t="shared" si="92"/>
        <v>Sol</v>
      </c>
      <c r="V53" s="64" t="str">
        <f t="shared" si="93"/>
        <v>,</v>
      </c>
      <c r="W53" s="65" t="str">
        <f t="shared" si="94"/>
        <v/>
      </c>
      <c r="X53" s="64" t="str">
        <f t="shared" si="95"/>
        <v>,</v>
      </c>
      <c r="Y53" s="64">
        <f t="shared" si="96"/>
        <v>250</v>
      </c>
      <c r="Z53" s="56" t="str">
        <f t="shared" si="97"/>
        <v>)</v>
      </c>
      <c r="AA53" s="66" t="str">
        <f t="shared" si="98"/>
        <v>(</v>
      </c>
      <c r="AB53" s="57" t="str">
        <f t="shared" si="99"/>
        <v>Mi</v>
      </c>
      <c r="AC53" s="67" t="str">
        <f t="shared" si="100"/>
        <v>,</v>
      </c>
      <c r="AD53" s="59" t="str">
        <f t="shared" si="101"/>
        <v/>
      </c>
      <c r="AE53" s="68" t="str">
        <f t="shared" si="102"/>
        <v>,</v>
      </c>
      <c r="AF53" s="61">
        <f t="shared" si="103"/>
        <v>350</v>
      </c>
      <c r="AG53" s="61" t="str">
        <f t="shared" si="104"/>
        <v>)</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thickTop="1" thickBot="1" x14ac:dyDescent="0.4">
      <c r="B54" t="s">
        <v>997</v>
      </c>
      <c r="C54" s="113" t="s">
        <v>1044</v>
      </c>
      <c r="D54" s="112"/>
      <c r="E54" s="52"/>
      <c r="F54" s="53"/>
      <c r="G54" s="53"/>
      <c r="H54" s="52"/>
      <c r="I54" s="52"/>
      <c r="J54" s="54"/>
      <c r="K54" s="54"/>
      <c r="L54" s="55" t="str">
        <f t="shared" si="30"/>
        <v xml:space="preserve">            { line: "MARANA THÁ., ", sC: "ta as"},</v>
      </c>
      <c r="M54" s="56" t="str">
        <f t="shared" si="85"/>
        <v/>
      </c>
      <c r="N54" s="57" t="str">
        <f t="shared" si="86"/>
        <v/>
      </c>
      <c r="O54" s="58" t="str">
        <f t="shared" si="87"/>
        <v/>
      </c>
      <c r="P54" s="59" t="str">
        <f t="shared" si="88"/>
        <v/>
      </c>
      <c r="Q54" s="60" t="str">
        <f t="shared" si="89"/>
        <v/>
      </c>
      <c r="R54" s="61" t="str">
        <f t="shared" si="28"/>
        <v/>
      </c>
      <c r="S54" s="56" t="str">
        <f t="shared" si="90"/>
        <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ref="R55:R60" si="112">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C56" s="79" t="s">
        <v>995</v>
      </c>
      <c r="D56" s="80"/>
      <c r="E56" s="80"/>
      <c r="F56" s="80"/>
      <c r="G56" s="80"/>
      <c r="H56" s="80"/>
      <c r="I56" s="80"/>
      <c r="J56" s="80"/>
      <c r="K56" s="80"/>
      <c r="L56" s="81" t="s">
        <v>996</v>
      </c>
      <c r="M56" s="56" t="str">
        <f t="shared" ref="M56:M60" si="113">IF(N56="","","(")</f>
        <v/>
      </c>
      <c r="N56" s="57" t="str">
        <f t="shared" ref="N56:N60" si="114">IF(D56="","",D56)</f>
        <v/>
      </c>
      <c r="O56" s="58" t="str">
        <f t="shared" ref="O56:O60" si="115">IF(N56="","",",")</f>
        <v/>
      </c>
      <c r="P56" s="59" t="str">
        <f t="shared" ref="P56:P60" si="116">IF(E56="","",E56)</f>
        <v/>
      </c>
      <c r="Q56" s="60" t="str">
        <f t="shared" ref="Q56:Q60" si="117">IF(N56="","",",")</f>
        <v/>
      </c>
      <c r="R56" s="61" t="str">
        <f t="shared" si="112"/>
        <v/>
      </c>
      <c r="S56" s="56" t="str">
        <f t="shared" ref="S56:S60" si="118">IF(N56="","",")")</f>
        <v/>
      </c>
      <c r="T56" s="62" t="str">
        <f t="shared" ref="T56:T60" si="119">IF(U56="","","(")</f>
        <v/>
      </c>
      <c r="U56" s="63" t="str">
        <f t="shared" ref="U56:U60" si="120">IF(F56="","",F56)</f>
        <v/>
      </c>
      <c r="V56" s="64" t="str">
        <f t="shared" ref="V56:V60" si="121">IF(U56="","",",")</f>
        <v/>
      </c>
      <c r="W56" s="65" t="str">
        <f t="shared" ref="W56:W60" si="122">IF(G56="","",G56)</f>
        <v/>
      </c>
      <c r="X56" s="64" t="str">
        <f t="shared" ref="X56:X60" si="123">IF(U56="","",",")</f>
        <v/>
      </c>
      <c r="Y56" s="64" t="str">
        <f t="shared" ref="Y56:Y60" si="124">IF(U56="","",250)</f>
        <v/>
      </c>
      <c r="Z56" s="56" t="str">
        <f t="shared" ref="Z56:Z60" si="125">IF(U56="","",")")</f>
        <v/>
      </c>
      <c r="AA56" s="66" t="str">
        <f t="shared" ref="AA56:AA60" si="126">IF(AB56="","","(")</f>
        <v/>
      </c>
      <c r="AB56" s="57" t="str">
        <f t="shared" ref="AB56:AB60" si="127">IF(H56="","",H56)</f>
        <v/>
      </c>
      <c r="AC56" s="67" t="str">
        <f t="shared" ref="AC56:AC60" si="128">IF(AB56="","",",")</f>
        <v/>
      </c>
      <c r="AD56" s="59" t="str">
        <f t="shared" ref="AD56:AD60" si="129">IF(I56="","",I56)</f>
        <v/>
      </c>
      <c r="AE56" s="68" t="str">
        <f t="shared" ref="AE56:AE60" si="130">IF(AB56="","",",")</f>
        <v/>
      </c>
      <c r="AF56" s="61" t="str">
        <f t="shared" ref="AF56:AF60" si="131">IF(AB56="","",350)</f>
        <v/>
      </c>
      <c r="AG56" s="61" t="str">
        <f t="shared" ref="AG56:AG60" si="132">IF(AB56="","",")")</f>
        <v/>
      </c>
      <c r="AH56" s="69" t="str">
        <f t="shared" ref="AH56:AH60" si="133">IF(AI56="","","(")</f>
        <v/>
      </c>
      <c r="AI56" s="70" t="str">
        <f t="shared" ref="AI56:AI60" si="134">IF(J56="","",J56)</f>
        <v/>
      </c>
      <c r="AJ56" s="64" t="str">
        <f t="shared" ref="AJ56:AJ60" si="135">IF(AI56="","",",")</f>
        <v/>
      </c>
      <c r="AK56" s="64" t="str">
        <f t="shared" ref="AK56:AK60" si="136">IF(K56="","",K56)</f>
        <v/>
      </c>
      <c r="AL56" s="64" t="str">
        <f t="shared" ref="AL56:AL60" si="137">IF(AI56="","",",")</f>
        <v/>
      </c>
      <c r="AM56" s="64" t="str">
        <f t="shared" ref="AM56:AM60" si="138">IF(AI56="","",450)</f>
        <v/>
      </c>
      <c r="AN56" s="64" t="str">
        <f t="shared" ref="AN56:AN60" si="139">IF(AI56="","",")")</f>
        <v/>
      </c>
    </row>
    <row r="57" spans="1:40" ht="25.5" thickTop="1" thickBot="1" x14ac:dyDescent="0.4">
      <c r="B57" t="s">
        <v>997</v>
      </c>
      <c r="C57" s="82" t="s">
        <v>1052</v>
      </c>
      <c r="D57" s="83" t="s">
        <v>1013</v>
      </c>
      <c r="E57" s="83" t="s">
        <v>1012</v>
      </c>
      <c r="F57" s="83" t="s">
        <v>1031</v>
      </c>
      <c r="G57" s="83"/>
      <c r="H57" s="83"/>
      <c r="I57" s="83"/>
      <c r="J57" s="83"/>
      <c r="K57" s="83"/>
      <c r="L57" s="84" t="str">
        <f>IF(C57="","",_xlfn.CONCAT("       triggerLine: ","""",C57,", ",M57:AN57,""", sC: ","""",B57,""", lines: ["))</f>
        <v xml:space="preserve">       triggerLine: "OH CIELOS, LLOVED DE LO ALTO, (La,m,20)(Fa,,250)", sC: "ta as", lines: [</v>
      </c>
      <c r="M57" s="56" t="str">
        <f t="shared" si="113"/>
        <v>(</v>
      </c>
      <c r="N57" s="57" t="str">
        <f t="shared" si="114"/>
        <v>La</v>
      </c>
      <c r="O57" s="58" t="str">
        <f t="shared" si="115"/>
        <v>,</v>
      </c>
      <c r="P57" s="59" t="str">
        <f t="shared" si="116"/>
        <v>m</v>
      </c>
      <c r="Q57" s="60" t="str">
        <f t="shared" si="117"/>
        <v>,</v>
      </c>
      <c r="R57" s="61">
        <f t="shared" si="112"/>
        <v>20</v>
      </c>
      <c r="S57" s="56" t="str">
        <f t="shared" si="118"/>
        <v>)</v>
      </c>
      <c r="T57" s="62" t="str">
        <f t="shared" si="119"/>
        <v>(</v>
      </c>
      <c r="U57" s="63" t="str">
        <f t="shared" si="120"/>
        <v>Fa</v>
      </c>
      <c r="V57" s="64" t="str">
        <f t="shared" si="121"/>
        <v>,</v>
      </c>
      <c r="W57" s="65" t="str">
        <f t="shared" si="122"/>
        <v/>
      </c>
      <c r="X57" s="64" t="str">
        <f t="shared" si="123"/>
        <v>,</v>
      </c>
      <c r="Y57" s="64">
        <f t="shared" si="124"/>
        <v>250</v>
      </c>
      <c r="Z57" s="56" t="str">
        <f t="shared" si="125"/>
        <v>)</v>
      </c>
      <c r="AA57" s="66" t="str">
        <f t="shared" si="126"/>
        <v/>
      </c>
      <c r="AB57" s="57" t="str">
        <f t="shared" si="127"/>
        <v/>
      </c>
      <c r="AC57" s="67" t="str">
        <f t="shared" si="128"/>
        <v/>
      </c>
      <c r="AD57" s="59" t="str">
        <f t="shared" si="129"/>
        <v/>
      </c>
      <c r="AE57" s="68" t="str">
        <f t="shared" si="130"/>
        <v/>
      </c>
      <c r="AF57" s="61" t="str">
        <f t="shared" si="131"/>
        <v/>
      </c>
      <c r="AG57" s="61" t="str">
        <f t="shared" si="132"/>
        <v/>
      </c>
      <c r="AH57" s="69" t="str">
        <f t="shared" si="133"/>
        <v/>
      </c>
      <c r="AI57" s="70" t="str">
        <f t="shared" si="134"/>
        <v/>
      </c>
      <c r="AJ57" s="64" t="str">
        <f t="shared" si="135"/>
        <v/>
      </c>
      <c r="AK57" s="64" t="str">
        <f t="shared" si="136"/>
        <v/>
      </c>
      <c r="AL57" s="64" t="str">
        <f t="shared" si="137"/>
        <v/>
      </c>
      <c r="AM57" s="64" t="str">
        <f t="shared" si="138"/>
        <v/>
      </c>
      <c r="AN57" s="64" t="str">
        <f t="shared" si="139"/>
        <v/>
      </c>
    </row>
    <row r="58" spans="1:40" ht="25.5" thickTop="1" thickBot="1" x14ac:dyDescent="0.4">
      <c r="B58" t="s">
        <v>999</v>
      </c>
      <c r="C58" s="85" t="s">
        <v>1039</v>
      </c>
      <c r="D58" s="86" t="s">
        <v>1015</v>
      </c>
      <c r="E58" s="86"/>
      <c r="F58" s="86" t="s">
        <v>1013</v>
      </c>
      <c r="G58" s="86" t="s">
        <v>1012</v>
      </c>
      <c r="H58" s="87"/>
      <c r="I58" s="87"/>
      <c r="J58" s="87"/>
      <c r="K58" s="87"/>
      <c r="L58" s="88" t="str">
        <f>IF(C58="","",_xlfn.CONCAT("            { line: ","""",C58,", ",M58:AN58,""", sC: ","""",B58,"""},"))</f>
        <v xml:space="preserve">            { line: "OH NUBES, MANDADNOS AL SANTO., (Sol,,14)(La,m,250)", sC: "as"},</v>
      </c>
      <c r="M58" s="56" t="str">
        <f t="shared" si="113"/>
        <v>(</v>
      </c>
      <c r="N58" s="57" t="str">
        <f t="shared" si="114"/>
        <v>Sol</v>
      </c>
      <c r="O58" s="58" t="str">
        <f t="shared" si="115"/>
        <v>,</v>
      </c>
      <c r="P58" s="59" t="str">
        <f t="shared" si="116"/>
        <v/>
      </c>
      <c r="Q58" s="60" t="str">
        <f t="shared" si="117"/>
        <v>,</v>
      </c>
      <c r="R58" s="61">
        <f t="shared" si="112"/>
        <v>14</v>
      </c>
      <c r="S58" s="56" t="str">
        <f t="shared" si="118"/>
        <v>)</v>
      </c>
      <c r="T58" s="62" t="str">
        <f t="shared" si="119"/>
        <v>(</v>
      </c>
      <c r="U58" s="63" t="str">
        <f t="shared" si="120"/>
        <v>La</v>
      </c>
      <c r="V58" s="64" t="str">
        <f t="shared" si="121"/>
        <v>,</v>
      </c>
      <c r="W58" s="65" t="str">
        <f t="shared" si="122"/>
        <v>m</v>
      </c>
      <c r="X58" s="64" t="str">
        <f t="shared" si="123"/>
        <v>,</v>
      </c>
      <c r="Y58" s="64">
        <f t="shared" si="124"/>
        <v>250</v>
      </c>
      <c r="Z58" s="56" t="str">
        <f t="shared" si="125"/>
        <v>)</v>
      </c>
      <c r="AA58" s="66" t="str">
        <f t="shared" si="126"/>
        <v/>
      </c>
      <c r="AB58" s="57" t="str">
        <f t="shared" si="127"/>
        <v/>
      </c>
      <c r="AC58" s="67" t="str">
        <f t="shared" si="128"/>
        <v/>
      </c>
      <c r="AD58" s="59" t="str">
        <f t="shared" si="129"/>
        <v/>
      </c>
      <c r="AE58" s="68" t="str">
        <f t="shared" si="130"/>
        <v/>
      </c>
      <c r="AF58" s="61" t="str">
        <f t="shared" si="131"/>
        <v/>
      </c>
      <c r="AG58" s="61" t="str">
        <f t="shared" si="132"/>
        <v/>
      </c>
      <c r="AH58" s="69" t="str">
        <f t="shared" si="133"/>
        <v/>
      </c>
      <c r="AI58" s="70" t="str">
        <f t="shared" si="134"/>
        <v/>
      </c>
      <c r="AJ58" s="64" t="str">
        <f t="shared" si="135"/>
        <v/>
      </c>
      <c r="AK58" s="64" t="str">
        <f t="shared" si="136"/>
        <v/>
      </c>
      <c r="AL58" s="64" t="str">
        <f t="shared" si="137"/>
        <v/>
      </c>
      <c r="AM58" s="64" t="str">
        <f t="shared" si="138"/>
        <v/>
      </c>
      <c r="AN58" s="64" t="str">
        <f t="shared" si="139"/>
        <v/>
      </c>
    </row>
    <row r="59" spans="1:40" ht="25.5" thickTop="1" thickBot="1" x14ac:dyDescent="0.4">
      <c r="B59" t="s">
        <v>999</v>
      </c>
      <c r="C59" s="85" t="s">
        <v>1040</v>
      </c>
      <c r="D59" s="89" t="s">
        <v>1011</v>
      </c>
      <c r="E59" s="89"/>
      <c r="F59" s="89" t="s">
        <v>1013</v>
      </c>
      <c r="G59" s="89" t="s">
        <v>1012</v>
      </c>
      <c r="H59" s="90"/>
      <c r="I59" s="90"/>
      <c r="J59" s="90"/>
      <c r="K59" s="90"/>
      <c r="L59" s="88" t="str">
        <f>IF(C59="","",_xlfn.CONCAT("            { line: ","""",C59,", ",M59:AN59,""", sC: ","""",B59,"""},"))</f>
        <v xml:space="preserve">            { line: "OH TIERRA, ÁBRETE, OH TIERRA,, (Mi,,20)(La,m,250)", sC: "as"},</v>
      </c>
      <c r="M59" s="56" t="str">
        <f t="shared" si="113"/>
        <v>(</v>
      </c>
      <c r="N59" s="57" t="str">
        <f t="shared" si="114"/>
        <v>Mi</v>
      </c>
      <c r="O59" s="58" t="str">
        <f t="shared" si="115"/>
        <v>,</v>
      </c>
      <c r="P59" s="59" t="str">
        <f t="shared" si="116"/>
        <v/>
      </c>
      <c r="Q59" s="60" t="str">
        <f t="shared" si="117"/>
        <v>,</v>
      </c>
      <c r="R59" s="61">
        <f t="shared" si="112"/>
        <v>20</v>
      </c>
      <c r="S59" s="56" t="str">
        <f t="shared" si="118"/>
        <v>)</v>
      </c>
      <c r="T59" s="62" t="str">
        <f t="shared" si="119"/>
        <v>(</v>
      </c>
      <c r="U59" s="63" t="str">
        <f t="shared" si="120"/>
        <v>La</v>
      </c>
      <c r="V59" s="64" t="str">
        <f t="shared" si="121"/>
        <v>,</v>
      </c>
      <c r="W59" s="65" t="str">
        <f t="shared" si="122"/>
        <v>m</v>
      </c>
      <c r="X59" s="64" t="str">
        <f t="shared" si="123"/>
        <v>,</v>
      </c>
      <c r="Y59" s="64">
        <f t="shared" si="124"/>
        <v>250</v>
      </c>
      <c r="Z59" s="56" t="str">
        <f t="shared" si="125"/>
        <v>)</v>
      </c>
      <c r="AA59" s="66" t="str">
        <f t="shared" si="126"/>
        <v/>
      </c>
      <c r="AB59" s="57" t="str">
        <f t="shared" si="127"/>
        <v/>
      </c>
      <c r="AC59" s="67" t="str">
        <f t="shared" si="128"/>
        <v/>
      </c>
      <c r="AD59" s="59" t="str">
        <f t="shared" si="129"/>
        <v/>
      </c>
      <c r="AE59" s="68" t="str">
        <f t="shared" si="130"/>
        <v/>
      </c>
      <c r="AF59" s="61" t="str">
        <f t="shared" si="131"/>
        <v/>
      </c>
      <c r="AG59" s="61" t="str">
        <f t="shared" si="132"/>
        <v/>
      </c>
      <c r="AH59" s="69" t="str">
        <f t="shared" si="133"/>
        <v/>
      </c>
      <c r="AI59" s="70" t="str">
        <f t="shared" si="134"/>
        <v/>
      </c>
      <c r="AJ59" s="64" t="str">
        <f t="shared" si="135"/>
        <v/>
      </c>
      <c r="AK59" s="64" t="str">
        <f t="shared" si="136"/>
        <v/>
      </c>
      <c r="AL59" s="64" t="str">
        <f t="shared" si="137"/>
        <v/>
      </c>
      <c r="AM59" s="64" t="str">
        <f t="shared" si="138"/>
        <v/>
      </c>
      <c r="AN59" s="64" t="str">
        <f t="shared" si="139"/>
        <v/>
      </c>
    </row>
    <row r="60" spans="1:40" ht="25.5" thickTop="1" thickBot="1" x14ac:dyDescent="0.4">
      <c r="B60" t="s">
        <v>999</v>
      </c>
      <c r="C60" s="93" t="s">
        <v>1041</v>
      </c>
      <c r="D60" s="83" t="s">
        <v>1011</v>
      </c>
      <c r="E60" s="83"/>
      <c r="F60" s="83" t="s">
        <v>1013</v>
      </c>
      <c r="G60" s="83" t="s">
        <v>1012</v>
      </c>
      <c r="H60" s="83"/>
      <c r="I60" s="83"/>
      <c r="J60" s="83"/>
      <c r="K60" s="83"/>
      <c r="L60" s="94" t="str">
        <f>IF(C60="","",_xlfn.CONCAT("            { line: ","""",C60,", ",M60:AN60,""", sC: ","""",B60,"""},  ]},"))</f>
        <v xml:space="preserve">            { line: "Y BROTE EL SALVADOR., (Mi,,20)(La,m,250)", sC: "as"},  ]},</v>
      </c>
      <c r="M60" s="56" t="str">
        <f t="shared" si="113"/>
        <v>(</v>
      </c>
      <c r="N60" s="57" t="str">
        <f t="shared" si="114"/>
        <v>Mi</v>
      </c>
      <c r="O60" s="58" t="str">
        <f t="shared" si="115"/>
        <v>,</v>
      </c>
      <c r="P60" s="59" t="str">
        <f t="shared" si="116"/>
        <v/>
      </c>
      <c r="Q60" s="60" t="str">
        <f t="shared" si="117"/>
        <v>,</v>
      </c>
      <c r="R60" s="61">
        <f t="shared" si="112"/>
        <v>20</v>
      </c>
      <c r="S60" s="56" t="str">
        <f t="shared" si="118"/>
        <v>)</v>
      </c>
      <c r="T60" s="62" t="str">
        <f t="shared" si="119"/>
        <v>(</v>
      </c>
      <c r="U60" s="63" t="str">
        <f t="shared" si="120"/>
        <v>La</v>
      </c>
      <c r="V60" s="64" t="str">
        <f t="shared" si="121"/>
        <v>,</v>
      </c>
      <c r="W60" s="65" t="str">
        <f t="shared" si="122"/>
        <v>m</v>
      </c>
      <c r="X60" s="64" t="str">
        <f t="shared" si="123"/>
        <v>,</v>
      </c>
      <c r="Y60" s="64">
        <f t="shared" si="124"/>
        <v>250</v>
      </c>
      <c r="Z60" s="56" t="str">
        <f t="shared" si="125"/>
        <v>)</v>
      </c>
      <c r="AA60" s="66" t="str">
        <f t="shared" si="126"/>
        <v/>
      </c>
      <c r="AB60" s="57" t="str">
        <f t="shared" si="127"/>
        <v/>
      </c>
      <c r="AC60" s="67" t="str">
        <f t="shared" si="128"/>
        <v/>
      </c>
      <c r="AD60" s="59" t="str">
        <f t="shared" si="129"/>
        <v/>
      </c>
      <c r="AE60" s="68" t="str">
        <f t="shared" si="130"/>
        <v/>
      </c>
      <c r="AF60" s="61" t="str">
        <f t="shared" si="131"/>
        <v/>
      </c>
      <c r="AG60" s="61" t="str">
        <f t="shared" si="132"/>
        <v/>
      </c>
      <c r="AH60" s="69" t="str">
        <f t="shared" si="133"/>
        <v/>
      </c>
      <c r="AI60" s="70" t="str">
        <f t="shared" si="134"/>
        <v/>
      </c>
      <c r="AJ60" s="64" t="str">
        <f t="shared" si="135"/>
        <v/>
      </c>
      <c r="AK60" s="64" t="str">
        <f t="shared" si="136"/>
        <v/>
      </c>
      <c r="AL60" s="64" t="str">
        <f t="shared" si="137"/>
        <v/>
      </c>
      <c r="AM60" s="64" t="str">
        <f t="shared" si="138"/>
        <v/>
      </c>
      <c r="AN60" s="64" t="str">
        <f t="shared" si="139"/>
        <v/>
      </c>
    </row>
    <row r="61" spans="1:40" ht="36.75" thickTop="1" thickBot="1" x14ac:dyDescent="0.4">
      <c r="A61" s="76"/>
      <c r="B61" s="76"/>
      <c r="C61" s="76" t="s">
        <v>1029</v>
      </c>
      <c r="D61" s="77"/>
      <c r="E61" s="77"/>
      <c r="F61" s="77"/>
      <c r="G61" s="77"/>
      <c r="H61" s="77"/>
      <c r="I61" s="77"/>
      <c r="J61" s="77"/>
      <c r="K61" s="77"/>
      <c r="L61" s="50" t="s">
        <v>994</v>
      </c>
      <c r="M61" s="104"/>
      <c r="N61" s="57"/>
      <c r="O61" s="105"/>
      <c r="P61" s="59"/>
      <c r="Q61" s="106"/>
      <c r="R61" s="61" t="str">
        <f t="shared" si="28"/>
        <v/>
      </c>
      <c r="S61" s="104"/>
      <c r="T61" s="107"/>
      <c r="U61" s="108"/>
      <c r="V61" s="109"/>
      <c r="W61" s="110"/>
      <c r="X61" s="109"/>
      <c r="Y61" s="109"/>
      <c r="Z61" s="104"/>
      <c r="AA61" s="66"/>
      <c r="AB61" s="57"/>
      <c r="AC61" s="67"/>
      <c r="AD61" s="59"/>
      <c r="AE61" s="68"/>
      <c r="AF61" s="61"/>
      <c r="AG61" s="61"/>
      <c r="AH61" s="66"/>
      <c r="AI61" s="111"/>
      <c r="AJ61" s="109"/>
      <c r="AK61" s="109"/>
      <c r="AL61" s="109"/>
      <c r="AM61" s="109"/>
      <c r="AN61" s="109"/>
    </row>
    <row r="62" spans="1:40" ht="25.5" thickTop="1" thickBot="1" x14ac:dyDescent="0.4">
      <c r="B62" t="s">
        <v>1014</v>
      </c>
      <c r="C62" s="113" t="s">
        <v>1048</v>
      </c>
      <c r="D62" s="112" t="s">
        <v>1013</v>
      </c>
      <c r="E62" s="52" t="s">
        <v>1012</v>
      </c>
      <c r="F62" s="53" t="s">
        <v>1015</v>
      </c>
      <c r="G62" s="53"/>
      <c r="H62" s="52"/>
      <c r="I62" s="52"/>
      <c r="J62" s="54"/>
      <c r="K62" s="54"/>
      <c r="L62" s="55" t="str">
        <f t="shared" ref="L62:L80" si="140">IF(C62="","",_xlfn.CONCAT("            { line: ","""",C62,", ",M62:AN62,""", sC: ","""",B62,"""},"))</f>
        <v xml:space="preserve">            { line: "Tenemos frío, nadie nos cubre., (La,m,20)(Sol,,250)", sC: "tc"},</v>
      </c>
      <c r="M62" s="56" t="str">
        <f t="shared" ref="M62:M80" si="141">IF(N62="","","(")</f>
        <v>(</v>
      </c>
      <c r="N62" s="57" t="str">
        <f t="shared" si="2"/>
        <v>La</v>
      </c>
      <c r="O62" s="58" t="str">
        <f t="shared" ref="O62:O80" si="142">IF(N62="","",",")</f>
        <v>,</v>
      </c>
      <c r="P62" s="59" t="str">
        <f t="shared" si="4"/>
        <v>m</v>
      </c>
      <c r="Q62" s="60" t="str">
        <f t="shared" ref="Q62:Q80" si="143">IF(N62="","",",")</f>
        <v>,</v>
      </c>
      <c r="R62" s="61">
        <f t="shared" si="28"/>
        <v>20</v>
      </c>
      <c r="S62" s="56" t="str">
        <f t="shared" ref="S62:S80" si="144">IF(N62="","",")")</f>
        <v>)</v>
      </c>
      <c r="T62" s="62" t="str">
        <f t="shared" ref="T62:T80" si="145">IF(U62="","","(")</f>
        <v>(</v>
      </c>
      <c r="U62" s="63" t="str">
        <f t="shared" si="8"/>
        <v>Sol</v>
      </c>
      <c r="V62" s="64" t="str">
        <f t="shared" ref="V62:V80" si="146">IF(U62="","",",")</f>
        <v>,</v>
      </c>
      <c r="W62" s="65" t="str">
        <f t="shared" si="10"/>
        <v/>
      </c>
      <c r="X62" s="64" t="str">
        <f t="shared" ref="X62:X80" si="147">IF(U62="","",",")</f>
        <v>,</v>
      </c>
      <c r="Y62" s="64">
        <f t="shared" ref="Y62:Y80" si="148">IF(U62="","",250)</f>
        <v>250</v>
      </c>
      <c r="Z62" s="56" t="str">
        <f t="shared" ref="Z62:Z80" si="149">IF(U62="","",")")</f>
        <v>)</v>
      </c>
      <c r="AA62" s="66" t="str">
        <f t="shared" ref="AA62:AA80" si="150">IF(AB62="","","(")</f>
        <v/>
      </c>
      <c r="AB62" s="57" t="str">
        <f t="shared" si="15"/>
        <v/>
      </c>
      <c r="AC62" s="67" t="str">
        <f t="shared" ref="AC62:AC80" si="151">IF(AB62="","",",")</f>
        <v/>
      </c>
      <c r="AD62" s="59" t="str">
        <f t="shared" ref="AD62:AD80" si="152">IF(I62="","",I62)</f>
        <v/>
      </c>
      <c r="AE62" s="68" t="str">
        <f t="shared" ref="AE62:AE80" si="153">IF(AB62="","",",")</f>
        <v/>
      </c>
      <c r="AF62" s="61" t="str">
        <f t="shared" ref="AF62:AF80" si="154">IF(AB62="","",350)</f>
        <v/>
      </c>
      <c r="AG62" s="61" t="str">
        <f t="shared" ref="AG62:AG80" si="155">IF(AB62="","",")")</f>
        <v/>
      </c>
      <c r="AH62" s="69" t="str">
        <f t="shared" ref="AH62:AH80" si="156">IF(AI62="","","(")</f>
        <v/>
      </c>
      <c r="AI62" s="70" t="str">
        <f t="shared" si="22"/>
        <v/>
      </c>
      <c r="AJ62" s="64" t="str">
        <f t="shared" ref="AJ62:AJ80" si="157">IF(AI62="","",",")</f>
        <v/>
      </c>
      <c r="AK62" s="64" t="str">
        <f t="shared" ref="AK62:AK80" si="158">IF(K62="","",K62)</f>
        <v/>
      </c>
      <c r="AL62" s="64" t="str">
        <f t="shared" ref="AL62:AL80" si="159">IF(AI62="","",",")</f>
        <v/>
      </c>
      <c r="AM62" s="64" t="str">
        <f t="shared" ref="AM62:AM80" si="160">IF(AI62="","",450)</f>
        <v/>
      </c>
      <c r="AN62" s="64" t="str">
        <f t="shared" ref="AN62:AN80" si="161">IF(AI62="","",")")</f>
        <v/>
      </c>
    </row>
    <row r="63" spans="1:40" ht="25.5" thickTop="1" thickBot="1" x14ac:dyDescent="0.4">
      <c r="B63" t="s">
        <v>1014</v>
      </c>
      <c r="C63" s="113" t="s">
        <v>1043</v>
      </c>
      <c r="D63" s="112" t="s">
        <v>1011</v>
      </c>
      <c r="E63" s="52"/>
      <c r="F63" s="53" t="s">
        <v>1015</v>
      </c>
      <c r="G63" s="53"/>
      <c r="H63" s="52" t="s">
        <v>1011</v>
      </c>
      <c r="I63" s="52"/>
      <c r="J63" s="54"/>
      <c r="K63" s="54"/>
      <c r="L63" s="55" t="str">
        <f t="shared" si="140"/>
        <v xml:space="preserve">            { line: "Marana thá,, (Mi,,20)(Sol,,250)(Mi,,350)", sC: "tc"},</v>
      </c>
      <c r="M63" s="56" t="str">
        <f t="shared" si="141"/>
        <v>(</v>
      </c>
      <c r="N63" s="57" t="str">
        <f t="shared" si="2"/>
        <v>Mi</v>
      </c>
      <c r="O63" s="58" t="str">
        <f t="shared" si="142"/>
        <v>,</v>
      </c>
      <c r="P63" s="59" t="str">
        <f t="shared" si="4"/>
        <v/>
      </c>
      <c r="Q63" s="60" t="str">
        <f t="shared" si="143"/>
        <v>,</v>
      </c>
      <c r="R63" s="61">
        <f t="shared" ref="R63:R64" si="162">IF(N63="Do",10,IF(N63="Re",22,IF(N63="Mi",20,IF(N63="Fa",20,IF(N63="Sol",14,IF(N63="La",20,IF(N63="Si",20,IF(N63="Do#",14,IF(N63="Fa#",15,IF(N63="Sol#",20,""))))))))))</f>
        <v>20</v>
      </c>
      <c r="S63" s="56" t="str">
        <f t="shared" si="144"/>
        <v>)</v>
      </c>
      <c r="T63" s="62" t="str">
        <f t="shared" si="145"/>
        <v>(</v>
      </c>
      <c r="U63" s="63" t="str">
        <f t="shared" si="8"/>
        <v>Sol</v>
      </c>
      <c r="V63" s="64" t="str">
        <f t="shared" si="146"/>
        <v>,</v>
      </c>
      <c r="W63" s="65" t="str">
        <f t="shared" si="10"/>
        <v/>
      </c>
      <c r="X63" s="64" t="str">
        <f t="shared" si="147"/>
        <v>,</v>
      </c>
      <c r="Y63" s="64">
        <f t="shared" si="148"/>
        <v>250</v>
      </c>
      <c r="Z63" s="56" t="str">
        <f t="shared" si="149"/>
        <v>)</v>
      </c>
      <c r="AA63" s="66" t="str">
        <f t="shared" si="150"/>
        <v>(</v>
      </c>
      <c r="AB63" s="57" t="str">
        <f t="shared" si="15"/>
        <v>Mi</v>
      </c>
      <c r="AC63" s="67" t="str">
        <f t="shared" si="151"/>
        <v>,</v>
      </c>
      <c r="AD63" s="59" t="str">
        <f t="shared" si="152"/>
        <v/>
      </c>
      <c r="AE63" s="68" t="str">
        <f t="shared" si="153"/>
        <v>,</v>
      </c>
      <c r="AF63" s="61">
        <f t="shared" si="154"/>
        <v>350</v>
      </c>
      <c r="AG63" s="61" t="str">
        <f t="shared" si="155"/>
        <v>)</v>
      </c>
      <c r="AH63" s="69" t="str">
        <f t="shared" si="156"/>
        <v/>
      </c>
      <c r="AI63" s="70" t="str">
        <f t="shared" si="22"/>
        <v/>
      </c>
      <c r="AJ63" s="64" t="str">
        <f t="shared" si="157"/>
        <v/>
      </c>
      <c r="AK63" s="64" t="str">
        <f t="shared" si="158"/>
        <v/>
      </c>
      <c r="AL63" s="64" t="str">
        <f t="shared" si="159"/>
        <v/>
      </c>
      <c r="AM63" s="64" t="str">
        <f t="shared" si="160"/>
        <v/>
      </c>
      <c r="AN63" s="64" t="str">
        <f t="shared" si="161"/>
        <v/>
      </c>
    </row>
    <row r="64" spans="1:40" ht="25.5" thickTop="1" thickBot="1" x14ac:dyDescent="0.4">
      <c r="B64" t="s">
        <v>997</v>
      </c>
      <c r="C64" s="113" t="s">
        <v>1044</v>
      </c>
      <c r="D64" s="112"/>
      <c r="E64" s="52"/>
      <c r="F64" s="53"/>
      <c r="G64" s="53"/>
      <c r="H64" s="52"/>
      <c r="I64" s="52"/>
      <c r="J64" s="54"/>
      <c r="K64" s="54"/>
      <c r="L64" s="55" t="str">
        <f t="shared" si="140"/>
        <v xml:space="preserve">            { line: "MARANA THÁ., ", sC: "ta as"},</v>
      </c>
      <c r="M64" s="56" t="str">
        <f t="shared" si="141"/>
        <v/>
      </c>
      <c r="N64" s="57" t="str">
        <f t="shared" si="2"/>
        <v/>
      </c>
      <c r="O64" s="58" t="str">
        <f t="shared" si="142"/>
        <v/>
      </c>
      <c r="P64" s="59" t="str">
        <f t="shared" si="4"/>
        <v/>
      </c>
      <c r="Q64" s="60" t="str">
        <f t="shared" si="143"/>
        <v/>
      </c>
      <c r="R64" s="61" t="str">
        <f t="shared" si="162"/>
        <v/>
      </c>
      <c r="S64" s="56" t="str">
        <f t="shared" si="144"/>
        <v/>
      </c>
      <c r="T64" s="62" t="str">
        <f t="shared" si="145"/>
        <v/>
      </c>
      <c r="U64" s="63" t="str">
        <f t="shared" si="8"/>
        <v/>
      </c>
      <c r="V64" s="64" t="str">
        <f t="shared" si="146"/>
        <v/>
      </c>
      <c r="W64" s="65" t="str">
        <f t="shared" si="10"/>
        <v/>
      </c>
      <c r="X64" s="64" t="str">
        <f t="shared" si="147"/>
        <v/>
      </c>
      <c r="Y64" s="64" t="str">
        <f t="shared" si="148"/>
        <v/>
      </c>
      <c r="Z64" s="56" t="str">
        <f t="shared" si="149"/>
        <v/>
      </c>
      <c r="AA64" s="66" t="str">
        <f t="shared" si="150"/>
        <v/>
      </c>
      <c r="AB64" s="57" t="str">
        <f t="shared" si="15"/>
        <v/>
      </c>
      <c r="AC64" s="67" t="str">
        <f t="shared" si="151"/>
        <v/>
      </c>
      <c r="AD64" s="59" t="str">
        <f t="shared" si="152"/>
        <v/>
      </c>
      <c r="AE64" s="68" t="str">
        <f t="shared" si="153"/>
        <v/>
      </c>
      <c r="AF64" s="61" t="str">
        <f t="shared" si="154"/>
        <v/>
      </c>
      <c r="AG64" s="61" t="str">
        <f t="shared" si="155"/>
        <v/>
      </c>
      <c r="AH64" s="69" t="str">
        <f t="shared" si="156"/>
        <v/>
      </c>
      <c r="AI64" s="70" t="str">
        <f t="shared" si="22"/>
        <v/>
      </c>
      <c r="AJ64" s="64" t="str">
        <f t="shared" si="157"/>
        <v/>
      </c>
      <c r="AK64" s="64" t="str">
        <f t="shared" si="158"/>
        <v/>
      </c>
      <c r="AL64" s="64" t="str">
        <f t="shared" si="159"/>
        <v/>
      </c>
      <c r="AM64" s="64" t="str">
        <f t="shared" si="160"/>
        <v/>
      </c>
      <c r="AN64" s="64" t="str">
        <f t="shared" si="161"/>
        <v/>
      </c>
    </row>
    <row r="65" spans="1:40" ht="25.5" thickTop="1" thickBot="1" x14ac:dyDescent="0.4">
      <c r="B65" t="s">
        <v>997</v>
      </c>
      <c r="C65" s="113" t="s">
        <v>1049</v>
      </c>
      <c r="D65" s="112" t="s">
        <v>1013</v>
      </c>
      <c r="E65" s="52" t="s">
        <v>1012</v>
      </c>
      <c r="F65" s="53" t="s">
        <v>1015</v>
      </c>
      <c r="G65" s="53"/>
      <c r="H65" s="52"/>
      <c r="I65" s="52"/>
      <c r="J65" s="54"/>
      <c r="K65" s="54"/>
      <c r="L65" s="55" t="str">
        <f t="shared" si="140"/>
        <v xml:space="preserve">            { line: "Tenemos hambre, nadie nos sacia., (La,m,20)(Sol,,250)", sC: "ta as"},</v>
      </c>
      <c r="M65" s="56" t="str">
        <f t="shared" si="141"/>
        <v>(</v>
      </c>
      <c r="N65" s="57" t="str">
        <f t="shared" si="2"/>
        <v>La</v>
      </c>
      <c r="O65" s="58" t="str">
        <f t="shared" si="142"/>
        <v>,</v>
      </c>
      <c r="P65" s="59" t="str">
        <f t="shared" si="4"/>
        <v>m</v>
      </c>
      <c r="Q65" s="60" t="str">
        <f t="shared" si="143"/>
        <v>,</v>
      </c>
      <c r="R65" s="61">
        <f t="shared" si="28"/>
        <v>20</v>
      </c>
      <c r="S65" s="56" t="str">
        <f t="shared" si="144"/>
        <v>)</v>
      </c>
      <c r="T65" s="62" t="str">
        <f t="shared" si="145"/>
        <v>(</v>
      </c>
      <c r="U65" s="63" t="str">
        <f t="shared" si="8"/>
        <v>Sol</v>
      </c>
      <c r="V65" s="64" t="str">
        <f t="shared" si="146"/>
        <v>,</v>
      </c>
      <c r="W65" s="65" t="str">
        <f t="shared" si="10"/>
        <v/>
      </c>
      <c r="X65" s="64" t="str">
        <f t="shared" si="147"/>
        <v>,</v>
      </c>
      <c r="Y65" s="64">
        <f t="shared" si="148"/>
        <v>250</v>
      </c>
      <c r="Z65" s="56" t="str">
        <f t="shared" si="149"/>
        <v>)</v>
      </c>
      <c r="AA65" s="66" t="str">
        <f t="shared" si="150"/>
        <v/>
      </c>
      <c r="AB65" s="57" t="str">
        <f t="shared" si="15"/>
        <v/>
      </c>
      <c r="AC65" s="67" t="str">
        <f t="shared" si="151"/>
        <v/>
      </c>
      <c r="AD65" s="59" t="str">
        <f t="shared" si="152"/>
        <v/>
      </c>
      <c r="AE65" s="68" t="str">
        <f t="shared" si="153"/>
        <v/>
      </c>
      <c r="AF65" s="61" t="str">
        <f t="shared" si="154"/>
        <v/>
      </c>
      <c r="AG65" s="61" t="str">
        <f t="shared" si="155"/>
        <v/>
      </c>
      <c r="AH65" s="69" t="str">
        <f t="shared" si="156"/>
        <v/>
      </c>
      <c r="AI65" s="70" t="str">
        <f t="shared" si="22"/>
        <v/>
      </c>
      <c r="AJ65" s="64" t="str">
        <f t="shared" si="157"/>
        <v/>
      </c>
      <c r="AK65" s="64" t="str">
        <f t="shared" si="158"/>
        <v/>
      </c>
      <c r="AL65" s="64" t="str">
        <f t="shared" si="159"/>
        <v/>
      </c>
      <c r="AM65" s="64" t="str">
        <f t="shared" si="160"/>
        <v/>
      </c>
      <c r="AN65" s="64" t="str">
        <f t="shared" si="161"/>
        <v/>
      </c>
    </row>
    <row r="66" spans="1:40" ht="25.5" thickTop="1" thickBot="1" x14ac:dyDescent="0.4">
      <c r="B66" t="s">
        <v>1014</v>
      </c>
      <c r="C66" s="113" t="s">
        <v>1043</v>
      </c>
      <c r="D66" s="112" t="s">
        <v>1011</v>
      </c>
      <c r="E66" s="52"/>
      <c r="F66" s="53" t="s">
        <v>1015</v>
      </c>
      <c r="G66" s="53"/>
      <c r="H66" s="52" t="s">
        <v>1011</v>
      </c>
      <c r="I66" s="52"/>
      <c r="J66" s="54"/>
      <c r="K66" s="54"/>
      <c r="L66" s="55" t="str">
        <f t="shared" si="140"/>
        <v xml:space="preserve">            { line: "Marana thá,, (Mi,,20)(Sol,,250)(Mi,,350)", sC: "tc"},</v>
      </c>
      <c r="M66" s="56" t="str">
        <f t="shared" si="141"/>
        <v>(</v>
      </c>
      <c r="N66" s="57" t="str">
        <f t="shared" si="2"/>
        <v>Mi</v>
      </c>
      <c r="O66" s="58" t="str">
        <f t="shared" si="142"/>
        <v>,</v>
      </c>
      <c r="P66" s="59" t="str">
        <f t="shared" si="4"/>
        <v/>
      </c>
      <c r="Q66" s="60" t="str">
        <f t="shared" si="143"/>
        <v>,</v>
      </c>
      <c r="R66" s="61">
        <f t="shared" si="28"/>
        <v>20</v>
      </c>
      <c r="S66" s="56" t="str">
        <f t="shared" si="144"/>
        <v>)</v>
      </c>
      <c r="T66" s="62" t="str">
        <f t="shared" si="145"/>
        <v>(</v>
      </c>
      <c r="U66" s="63" t="str">
        <f t="shared" si="8"/>
        <v>Sol</v>
      </c>
      <c r="V66" s="64" t="str">
        <f t="shared" si="146"/>
        <v>,</v>
      </c>
      <c r="W66" s="65" t="str">
        <f t="shared" si="10"/>
        <v/>
      </c>
      <c r="X66" s="64" t="str">
        <f t="shared" si="147"/>
        <v>,</v>
      </c>
      <c r="Y66" s="64">
        <f t="shared" si="148"/>
        <v>250</v>
      </c>
      <c r="Z66" s="56" t="str">
        <f t="shared" si="149"/>
        <v>)</v>
      </c>
      <c r="AA66" s="66" t="str">
        <f t="shared" si="150"/>
        <v>(</v>
      </c>
      <c r="AB66" s="57" t="str">
        <f t="shared" si="15"/>
        <v>Mi</v>
      </c>
      <c r="AC66" s="67" t="str">
        <f t="shared" si="151"/>
        <v>,</v>
      </c>
      <c r="AD66" s="59" t="str">
        <f t="shared" si="152"/>
        <v/>
      </c>
      <c r="AE66" s="68" t="str">
        <f t="shared" si="153"/>
        <v>,</v>
      </c>
      <c r="AF66" s="61">
        <f t="shared" si="154"/>
        <v>350</v>
      </c>
      <c r="AG66" s="61" t="str">
        <f t="shared" si="155"/>
        <v>)</v>
      </c>
      <c r="AH66" s="69" t="str">
        <f t="shared" si="156"/>
        <v/>
      </c>
      <c r="AI66" s="70" t="str">
        <f t="shared" si="22"/>
        <v/>
      </c>
      <c r="AJ66" s="64" t="str">
        <f t="shared" si="157"/>
        <v/>
      </c>
      <c r="AK66" s="64" t="str">
        <f t="shared" si="158"/>
        <v/>
      </c>
      <c r="AL66" s="64" t="str">
        <f t="shared" si="159"/>
        <v/>
      </c>
      <c r="AM66" s="64" t="str">
        <f t="shared" si="160"/>
        <v/>
      </c>
      <c r="AN66" s="64" t="str">
        <f t="shared" si="161"/>
        <v/>
      </c>
    </row>
    <row r="67" spans="1:40" ht="25.5" thickTop="1" thickBot="1" x14ac:dyDescent="0.4">
      <c r="B67" t="s">
        <v>997</v>
      </c>
      <c r="C67" s="113" t="s">
        <v>1044</v>
      </c>
      <c r="D67" s="112"/>
      <c r="E67" s="52"/>
      <c r="F67" s="53"/>
      <c r="G67" s="53"/>
      <c r="H67" s="52"/>
      <c r="I67" s="52"/>
      <c r="J67" s="54"/>
      <c r="K67" s="54"/>
      <c r="L67" s="78" t="str">
        <f t="shared" si="140"/>
        <v xml:space="preserve">            { line: "MARANA THÁ., ", sC: "ta as"},</v>
      </c>
      <c r="M67" s="56" t="str">
        <f t="shared" si="141"/>
        <v/>
      </c>
      <c r="N67" s="57" t="str">
        <f t="shared" si="2"/>
        <v/>
      </c>
      <c r="O67" s="58" t="str">
        <f t="shared" si="142"/>
        <v/>
      </c>
      <c r="P67" s="59" t="str">
        <f t="shared" si="4"/>
        <v/>
      </c>
      <c r="Q67" s="60" t="str">
        <f t="shared" si="143"/>
        <v/>
      </c>
      <c r="R67" s="61" t="str">
        <f t="shared" si="28"/>
        <v/>
      </c>
      <c r="S67" s="56" t="str">
        <f t="shared" si="144"/>
        <v/>
      </c>
      <c r="T67" s="62" t="str">
        <f t="shared" si="145"/>
        <v/>
      </c>
      <c r="U67" s="63" t="str">
        <f t="shared" si="8"/>
        <v/>
      </c>
      <c r="V67" s="64" t="str">
        <f t="shared" si="146"/>
        <v/>
      </c>
      <c r="W67" s="65" t="str">
        <f t="shared" si="10"/>
        <v/>
      </c>
      <c r="X67" s="64" t="str">
        <f t="shared" si="147"/>
        <v/>
      </c>
      <c r="Y67" s="64" t="str">
        <f t="shared" si="148"/>
        <v/>
      </c>
      <c r="Z67" s="56" t="str">
        <f t="shared" si="149"/>
        <v/>
      </c>
      <c r="AA67" s="66" t="str">
        <f t="shared" si="150"/>
        <v/>
      </c>
      <c r="AB67" s="57" t="str">
        <f t="shared" si="15"/>
        <v/>
      </c>
      <c r="AC67" s="67" t="str">
        <f t="shared" si="151"/>
        <v/>
      </c>
      <c r="AD67" s="59" t="str">
        <f t="shared" si="152"/>
        <v/>
      </c>
      <c r="AE67" s="68" t="str">
        <f t="shared" si="153"/>
        <v/>
      </c>
      <c r="AF67" s="61" t="str">
        <f t="shared" si="154"/>
        <v/>
      </c>
      <c r="AG67" s="61" t="str">
        <f t="shared" si="155"/>
        <v/>
      </c>
      <c r="AH67" s="69" t="str">
        <f t="shared" si="156"/>
        <v/>
      </c>
      <c r="AI67" s="70" t="str">
        <f t="shared" si="22"/>
        <v/>
      </c>
      <c r="AJ67" s="64" t="str">
        <f t="shared" si="157"/>
        <v/>
      </c>
      <c r="AK67" s="64" t="str">
        <f t="shared" si="158"/>
        <v/>
      </c>
      <c r="AL67" s="64" t="str">
        <f t="shared" si="159"/>
        <v/>
      </c>
      <c r="AM67" s="64" t="str">
        <f t="shared" si="160"/>
        <v/>
      </c>
      <c r="AN67" s="64" t="str">
        <f t="shared" si="161"/>
        <v/>
      </c>
    </row>
    <row r="68" spans="1:40" ht="27.75" thickTop="1" thickBot="1" x14ac:dyDescent="0.4">
      <c r="A68" s="73"/>
      <c r="B68" s="73"/>
      <c r="C68" s="73"/>
      <c r="D68" s="74"/>
      <c r="E68" s="74"/>
      <c r="F68" s="74"/>
      <c r="G68" s="74"/>
      <c r="H68" s="74"/>
      <c r="I68" s="74"/>
      <c r="J68" s="74"/>
      <c r="K68" s="74"/>
      <c r="L68" s="75" t="s">
        <v>993</v>
      </c>
      <c r="M68" s="56"/>
      <c r="N68" s="57"/>
      <c r="O68" s="58"/>
      <c r="P68" s="59"/>
      <c r="Q68" s="60"/>
      <c r="R68" s="61" t="str">
        <f t="shared" ref="R68:R74" si="163">IF(N68="Do",10,IF(N68="Re",22,IF(N68="Mi",20,IF(N68="Fa",20,IF(N68="Sol",14,IF(N68="La",20,IF(N68="Si",20,IF(N68="Do#",14,IF(N68="Fa#",15,IF(N68="Sol#",20,""))))))))))</f>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5.5" thickTop="1" thickBot="1" x14ac:dyDescent="0.4">
      <c r="C69" s="79" t="s">
        <v>995</v>
      </c>
      <c r="D69" s="80"/>
      <c r="E69" s="80"/>
      <c r="F69" s="80"/>
      <c r="G69" s="80"/>
      <c r="H69" s="80"/>
      <c r="I69" s="80"/>
      <c r="J69" s="80"/>
      <c r="K69" s="80"/>
      <c r="L69" s="81" t="s">
        <v>996</v>
      </c>
      <c r="M69" s="56" t="str">
        <f t="shared" ref="M69:M73" si="164">IF(N69="","","(")</f>
        <v/>
      </c>
      <c r="N69" s="57" t="str">
        <f t="shared" ref="N69:N73" si="165">IF(D69="","",D69)</f>
        <v/>
      </c>
      <c r="O69" s="58" t="str">
        <f t="shared" ref="O69:O73" si="166">IF(N69="","",",")</f>
        <v/>
      </c>
      <c r="P69" s="59" t="str">
        <f t="shared" ref="P69:P73" si="167">IF(E69="","",E69)</f>
        <v/>
      </c>
      <c r="Q69" s="60" t="str">
        <f t="shared" ref="Q69:Q73" si="168">IF(N69="","",",")</f>
        <v/>
      </c>
      <c r="R69" s="61" t="str">
        <f t="shared" si="163"/>
        <v/>
      </c>
      <c r="S69" s="56" t="str">
        <f t="shared" ref="S69:S73" si="169">IF(N69="","",")")</f>
        <v/>
      </c>
      <c r="T69" s="62" t="str">
        <f t="shared" ref="T69:T73" si="170">IF(U69="","","(")</f>
        <v/>
      </c>
      <c r="U69" s="63" t="str">
        <f t="shared" ref="U69:U73" si="171">IF(F69="","",F69)</f>
        <v/>
      </c>
      <c r="V69" s="64" t="str">
        <f t="shared" ref="V69:V73" si="172">IF(U69="","",",")</f>
        <v/>
      </c>
      <c r="W69" s="65" t="str">
        <f t="shared" ref="W69:W73" si="173">IF(G69="","",G69)</f>
        <v/>
      </c>
      <c r="X69" s="64" t="str">
        <f t="shared" ref="X69:X73" si="174">IF(U69="","",",")</f>
        <v/>
      </c>
      <c r="Y69" s="64" t="str">
        <f t="shared" ref="Y69:Y73" si="175">IF(U69="","",250)</f>
        <v/>
      </c>
      <c r="Z69" s="56" t="str">
        <f t="shared" ref="Z69:Z73" si="176">IF(U69="","",")")</f>
        <v/>
      </c>
      <c r="AA69" s="66" t="str">
        <f t="shared" ref="AA69:AA73" si="177">IF(AB69="","","(")</f>
        <v/>
      </c>
      <c r="AB69" s="57" t="str">
        <f t="shared" ref="AB69:AB73" si="178">IF(H69="","",H69)</f>
        <v/>
      </c>
      <c r="AC69" s="67" t="str">
        <f t="shared" ref="AC69:AC73" si="179">IF(AB69="","",",")</f>
        <v/>
      </c>
      <c r="AD69" s="59" t="str">
        <f t="shared" ref="AD69:AD73" si="180">IF(I69="","",I69)</f>
        <v/>
      </c>
      <c r="AE69" s="68" t="str">
        <f t="shared" ref="AE69:AE73" si="181">IF(AB69="","",",")</f>
        <v/>
      </c>
      <c r="AF69" s="61" t="str">
        <f t="shared" ref="AF69:AF73" si="182">IF(AB69="","",350)</f>
        <v/>
      </c>
      <c r="AG69" s="61" t="str">
        <f t="shared" ref="AG69:AG73" si="183">IF(AB69="","",")")</f>
        <v/>
      </c>
      <c r="AH69" s="69" t="str">
        <f t="shared" ref="AH69:AH73" si="184">IF(AI69="","","(")</f>
        <v/>
      </c>
      <c r="AI69" s="70" t="str">
        <f t="shared" ref="AI69:AI73" si="185">IF(J69="","",J69)</f>
        <v/>
      </c>
      <c r="AJ69" s="64" t="str">
        <f t="shared" ref="AJ69:AJ73" si="186">IF(AI69="","",",")</f>
        <v/>
      </c>
      <c r="AK69" s="64" t="str">
        <f t="shared" ref="AK69:AK73" si="187">IF(K69="","",K69)</f>
        <v/>
      </c>
      <c r="AL69" s="64" t="str">
        <f t="shared" ref="AL69:AL73" si="188">IF(AI69="","",",")</f>
        <v/>
      </c>
      <c r="AM69" s="64" t="str">
        <f t="shared" ref="AM69:AM73" si="189">IF(AI69="","",450)</f>
        <v/>
      </c>
      <c r="AN69" s="64" t="str">
        <f t="shared" ref="AN69:AN73" si="190">IF(AI69="","",")")</f>
        <v/>
      </c>
    </row>
    <row r="70" spans="1:40" ht="25.5" thickTop="1" thickBot="1" x14ac:dyDescent="0.4">
      <c r="B70" t="s">
        <v>997</v>
      </c>
      <c r="C70" s="82" t="s">
        <v>1052</v>
      </c>
      <c r="D70" s="83" t="s">
        <v>1013</v>
      </c>
      <c r="E70" s="83" t="s">
        <v>1012</v>
      </c>
      <c r="F70" s="83" t="s">
        <v>1031</v>
      </c>
      <c r="G70" s="83"/>
      <c r="H70" s="83"/>
      <c r="I70" s="83"/>
      <c r="J70" s="83"/>
      <c r="K70" s="83"/>
      <c r="L70" s="84" t="str">
        <f>IF(C70="","",_xlfn.CONCAT("       triggerLine: ","""",C70,", ",M70:AN70,""", sC: ","""",B70,""", lines: ["))</f>
        <v xml:space="preserve">       triggerLine: "OH CIELOS, LLOVED DE LO ALTO, (La,m,20)(Fa,,250)", sC: "ta as", lines: [</v>
      </c>
      <c r="M70" s="56" t="str">
        <f t="shared" si="164"/>
        <v>(</v>
      </c>
      <c r="N70" s="57" t="str">
        <f t="shared" si="165"/>
        <v>La</v>
      </c>
      <c r="O70" s="58" t="str">
        <f t="shared" si="166"/>
        <v>,</v>
      </c>
      <c r="P70" s="59" t="str">
        <f t="shared" si="167"/>
        <v>m</v>
      </c>
      <c r="Q70" s="60" t="str">
        <f t="shared" si="168"/>
        <v>,</v>
      </c>
      <c r="R70" s="61">
        <f t="shared" si="163"/>
        <v>20</v>
      </c>
      <c r="S70" s="56" t="str">
        <f t="shared" si="169"/>
        <v>)</v>
      </c>
      <c r="T70" s="62" t="str">
        <f t="shared" si="170"/>
        <v>(</v>
      </c>
      <c r="U70" s="63" t="str">
        <f t="shared" si="171"/>
        <v>Fa</v>
      </c>
      <c r="V70" s="64" t="str">
        <f t="shared" si="172"/>
        <v>,</v>
      </c>
      <c r="W70" s="65" t="str">
        <f t="shared" si="173"/>
        <v/>
      </c>
      <c r="X70" s="64" t="str">
        <f t="shared" si="174"/>
        <v>,</v>
      </c>
      <c r="Y70" s="64">
        <f t="shared" si="175"/>
        <v>250</v>
      </c>
      <c r="Z70" s="56" t="str">
        <f t="shared" si="176"/>
        <v>)</v>
      </c>
      <c r="AA70" s="66" t="str">
        <f t="shared" si="177"/>
        <v/>
      </c>
      <c r="AB70" s="57" t="str">
        <f t="shared" si="178"/>
        <v/>
      </c>
      <c r="AC70" s="67" t="str">
        <f t="shared" si="179"/>
        <v/>
      </c>
      <c r="AD70" s="59" t="str">
        <f t="shared" si="180"/>
        <v/>
      </c>
      <c r="AE70" s="68" t="str">
        <f t="shared" si="181"/>
        <v/>
      </c>
      <c r="AF70" s="61" t="str">
        <f t="shared" si="182"/>
        <v/>
      </c>
      <c r="AG70" s="61" t="str">
        <f t="shared" si="183"/>
        <v/>
      </c>
      <c r="AH70" s="69" t="str">
        <f t="shared" si="184"/>
        <v/>
      </c>
      <c r="AI70" s="70" t="str">
        <f t="shared" si="185"/>
        <v/>
      </c>
      <c r="AJ70" s="64" t="str">
        <f t="shared" si="186"/>
        <v/>
      </c>
      <c r="AK70" s="64" t="str">
        <f t="shared" si="187"/>
        <v/>
      </c>
      <c r="AL70" s="64" t="str">
        <f t="shared" si="188"/>
        <v/>
      </c>
      <c r="AM70" s="64" t="str">
        <f t="shared" si="189"/>
        <v/>
      </c>
      <c r="AN70" s="64" t="str">
        <f t="shared" si="190"/>
        <v/>
      </c>
    </row>
    <row r="71" spans="1:40" ht="25.5" thickTop="1" thickBot="1" x14ac:dyDescent="0.4">
      <c r="B71" t="s">
        <v>999</v>
      </c>
      <c r="C71" s="85" t="s">
        <v>1039</v>
      </c>
      <c r="D71" s="86" t="s">
        <v>1015</v>
      </c>
      <c r="E71" s="86"/>
      <c r="F71" s="86" t="s">
        <v>1013</v>
      </c>
      <c r="G71" s="86" t="s">
        <v>1012</v>
      </c>
      <c r="H71" s="87"/>
      <c r="I71" s="87"/>
      <c r="J71" s="87"/>
      <c r="K71" s="87"/>
      <c r="L71" s="88" t="str">
        <f>IF(C71="","",_xlfn.CONCAT("            { line: ","""",C71,", ",M71:AN71,""", sC: ","""",B71,"""},"))</f>
        <v xml:space="preserve">            { line: "OH NUBES, MANDADNOS AL SANTO., (Sol,,14)(La,m,250)", sC: "as"},</v>
      </c>
      <c r="M71" s="56" t="str">
        <f t="shared" si="164"/>
        <v>(</v>
      </c>
      <c r="N71" s="57" t="str">
        <f t="shared" si="165"/>
        <v>Sol</v>
      </c>
      <c r="O71" s="58" t="str">
        <f t="shared" si="166"/>
        <v>,</v>
      </c>
      <c r="P71" s="59" t="str">
        <f t="shared" si="167"/>
        <v/>
      </c>
      <c r="Q71" s="60" t="str">
        <f t="shared" si="168"/>
        <v>,</v>
      </c>
      <c r="R71" s="61">
        <f t="shared" si="163"/>
        <v>14</v>
      </c>
      <c r="S71" s="56" t="str">
        <f t="shared" si="169"/>
        <v>)</v>
      </c>
      <c r="T71" s="62" t="str">
        <f t="shared" si="170"/>
        <v>(</v>
      </c>
      <c r="U71" s="63" t="str">
        <f t="shared" si="171"/>
        <v>La</v>
      </c>
      <c r="V71" s="64" t="str">
        <f t="shared" si="172"/>
        <v>,</v>
      </c>
      <c r="W71" s="65" t="str">
        <f t="shared" si="173"/>
        <v>m</v>
      </c>
      <c r="X71" s="64" t="str">
        <f t="shared" si="174"/>
        <v>,</v>
      </c>
      <c r="Y71" s="64">
        <f t="shared" si="175"/>
        <v>250</v>
      </c>
      <c r="Z71" s="56" t="str">
        <f t="shared" si="176"/>
        <v>)</v>
      </c>
      <c r="AA71" s="66" t="str">
        <f t="shared" si="177"/>
        <v/>
      </c>
      <c r="AB71" s="57" t="str">
        <f t="shared" si="178"/>
        <v/>
      </c>
      <c r="AC71" s="67" t="str">
        <f t="shared" si="179"/>
        <v/>
      </c>
      <c r="AD71" s="59" t="str">
        <f t="shared" si="180"/>
        <v/>
      </c>
      <c r="AE71" s="68" t="str">
        <f t="shared" si="181"/>
        <v/>
      </c>
      <c r="AF71" s="61" t="str">
        <f t="shared" si="182"/>
        <v/>
      </c>
      <c r="AG71" s="61" t="str">
        <f t="shared" si="183"/>
        <v/>
      </c>
      <c r="AH71" s="69" t="str">
        <f t="shared" si="184"/>
        <v/>
      </c>
      <c r="AI71" s="70" t="str">
        <f t="shared" si="185"/>
        <v/>
      </c>
      <c r="AJ71" s="64" t="str">
        <f t="shared" si="186"/>
        <v/>
      </c>
      <c r="AK71" s="64" t="str">
        <f t="shared" si="187"/>
        <v/>
      </c>
      <c r="AL71" s="64" t="str">
        <f t="shared" si="188"/>
        <v/>
      </c>
      <c r="AM71" s="64" t="str">
        <f t="shared" si="189"/>
        <v/>
      </c>
      <c r="AN71" s="64" t="str">
        <f t="shared" si="190"/>
        <v/>
      </c>
    </row>
    <row r="72" spans="1:40" ht="25.5" thickTop="1" thickBot="1" x14ac:dyDescent="0.4">
      <c r="B72" t="s">
        <v>999</v>
      </c>
      <c r="C72" s="85" t="s">
        <v>1040</v>
      </c>
      <c r="D72" s="89" t="s">
        <v>1011</v>
      </c>
      <c r="E72" s="89"/>
      <c r="F72" s="89" t="s">
        <v>1013</v>
      </c>
      <c r="G72" s="89" t="s">
        <v>1012</v>
      </c>
      <c r="H72" s="90"/>
      <c r="I72" s="90"/>
      <c r="J72" s="90"/>
      <c r="K72" s="90"/>
      <c r="L72" s="88" t="str">
        <f>IF(C72="","",_xlfn.CONCAT("            { line: ","""",C72,", ",M72:AN72,""", sC: ","""",B72,"""},"))</f>
        <v xml:space="preserve">            { line: "OH TIERRA, ÁBRETE, OH TIERRA,, (Mi,,20)(La,m,250)", sC: "as"},</v>
      </c>
      <c r="M72" s="56" t="str">
        <f t="shared" si="164"/>
        <v>(</v>
      </c>
      <c r="N72" s="57" t="str">
        <f t="shared" si="165"/>
        <v>Mi</v>
      </c>
      <c r="O72" s="58" t="str">
        <f t="shared" si="166"/>
        <v>,</v>
      </c>
      <c r="P72" s="59" t="str">
        <f t="shared" si="167"/>
        <v/>
      </c>
      <c r="Q72" s="60" t="str">
        <f t="shared" si="168"/>
        <v>,</v>
      </c>
      <c r="R72" s="61">
        <f t="shared" si="163"/>
        <v>20</v>
      </c>
      <c r="S72" s="56" t="str">
        <f t="shared" si="169"/>
        <v>)</v>
      </c>
      <c r="T72" s="62" t="str">
        <f t="shared" si="170"/>
        <v>(</v>
      </c>
      <c r="U72" s="63" t="str">
        <f t="shared" si="171"/>
        <v>La</v>
      </c>
      <c r="V72" s="64" t="str">
        <f t="shared" si="172"/>
        <v>,</v>
      </c>
      <c r="W72" s="65" t="str">
        <f t="shared" si="173"/>
        <v>m</v>
      </c>
      <c r="X72" s="64" t="str">
        <f t="shared" si="174"/>
        <v>,</v>
      </c>
      <c r="Y72" s="64">
        <f t="shared" si="175"/>
        <v>250</v>
      </c>
      <c r="Z72" s="56" t="str">
        <f t="shared" si="176"/>
        <v>)</v>
      </c>
      <c r="AA72" s="66" t="str">
        <f t="shared" si="177"/>
        <v/>
      </c>
      <c r="AB72" s="57" t="str">
        <f t="shared" si="178"/>
        <v/>
      </c>
      <c r="AC72" s="67" t="str">
        <f t="shared" si="179"/>
        <v/>
      </c>
      <c r="AD72" s="59" t="str">
        <f t="shared" si="180"/>
        <v/>
      </c>
      <c r="AE72" s="68" t="str">
        <f t="shared" si="181"/>
        <v/>
      </c>
      <c r="AF72" s="61" t="str">
        <f t="shared" si="182"/>
        <v/>
      </c>
      <c r="AG72" s="61" t="str">
        <f t="shared" si="183"/>
        <v/>
      </c>
      <c r="AH72" s="69" t="str">
        <f t="shared" si="184"/>
        <v/>
      </c>
      <c r="AI72" s="70" t="str">
        <f t="shared" si="185"/>
        <v/>
      </c>
      <c r="AJ72" s="64" t="str">
        <f t="shared" si="186"/>
        <v/>
      </c>
      <c r="AK72" s="64" t="str">
        <f t="shared" si="187"/>
        <v/>
      </c>
      <c r="AL72" s="64" t="str">
        <f t="shared" si="188"/>
        <v/>
      </c>
      <c r="AM72" s="64" t="str">
        <f t="shared" si="189"/>
        <v/>
      </c>
      <c r="AN72" s="64" t="str">
        <f t="shared" si="190"/>
        <v/>
      </c>
    </row>
    <row r="73" spans="1:40" ht="25.5" thickTop="1" thickBot="1" x14ac:dyDescent="0.4">
      <c r="B73" t="s">
        <v>999</v>
      </c>
      <c r="C73" s="93" t="s">
        <v>1041</v>
      </c>
      <c r="D73" s="83" t="s">
        <v>1011</v>
      </c>
      <c r="E73" s="83"/>
      <c r="F73" s="83" t="s">
        <v>1013</v>
      </c>
      <c r="G73" s="83" t="s">
        <v>1012</v>
      </c>
      <c r="H73" s="83"/>
      <c r="I73" s="83"/>
      <c r="J73" s="83"/>
      <c r="K73" s="83"/>
      <c r="L73" s="94" t="str">
        <f>IF(C73="","",_xlfn.CONCAT("            { line: ","""",C73,", ",M73:AN73,""", sC: ","""",B73,"""},  ]},"))</f>
        <v xml:space="preserve">            { line: "Y BROTE EL SALVADOR., (Mi,,20)(La,m,250)", sC: "as"},  ]},</v>
      </c>
      <c r="M73" s="56" t="str">
        <f t="shared" si="164"/>
        <v>(</v>
      </c>
      <c r="N73" s="57" t="str">
        <f t="shared" si="165"/>
        <v>Mi</v>
      </c>
      <c r="O73" s="58" t="str">
        <f t="shared" si="166"/>
        <v>,</v>
      </c>
      <c r="P73" s="59" t="str">
        <f t="shared" si="167"/>
        <v/>
      </c>
      <c r="Q73" s="60" t="str">
        <f t="shared" si="168"/>
        <v>,</v>
      </c>
      <c r="R73" s="61">
        <f t="shared" si="163"/>
        <v>20</v>
      </c>
      <c r="S73" s="56" t="str">
        <f t="shared" si="169"/>
        <v>)</v>
      </c>
      <c r="T73" s="62" t="str">
        <f t="shared" si="170"/>
        <v>(</v>
      </c>
      <c r="U73" s="63" t="str">
        <f t="shared" si="171"/>
        <v>La</v>
      </c>
      <c r="V73" s="64" t="str">
        <f t="shared" si="172"/>
        <v>,</v>
      </c>
      <c r="W73" s="65" t="str">
        <f t="shared" si="173"/>
        <v>m</v>
      </c>
      <c r="X73" s="64" t="str">
        <f t="shared" si="174"/>
        <v>,</v>
      </c>
      <c r="Y73" s="64">
        <f t="shared" si="175"/>
        <v>250</v>
      </c>
      <c r="Z73" s="56" t="str">
        <f t="shared" si="176"/>
        <v>)</v>
      </c>
      <c r="AA73" s="66" t="str">
        <f t="shared" si="177"/>
        <v/>
      </c>
      <c r="AB73" s="57" t="str">
        <f t="shared" si="178"/>
        <v/>
      </c>
      <c r="AC73" s="67" t="str">
        <f t="shared" si="179"/>
        <v/>
      </c>
      <c r="AD73" s="59" t="str">
        <f t="shared" si="180"/>
        <v/>
      </c>
      <c r="AE73" s="68" t="str">
        <f t="shared" si="181"/>
        <v/>
      </c>
      <c r="AF73" s="61" t="str">
        <f t="shared" si="182"/>
        <v/>
      </c>
      <c r="AG73" s="61" t="str">
        <f t="shared" si="183"/>
        <v/>
      </c>
      <c r="AH73" s="69" t="str">
        <f t="shared" si="184"/>
        <v/>
      </c>
      <c r="AI73" s="70" t="str">
        <f t="shared" si="185"/>
        <v/>
      </c>
      <c r="AJ73" s="64" t="str">
        <f t="shared" si="186"/>
        <v/>
      </c>
      <c r="AK73" s="64" t="str">
        <f t="shared" si="187"/>
        <v/>
      </c>
      <c r="AL73" s="64" t="str">
        <f t="shared" si="188"/>
        <v/>
      </c>
      <c r="AM73" s="64" t="str">
        <f t="shared" si="189"/>
        <v/>
      </c>
      <c r="AN73" s="64" t="str">
        <f t="shared" si="190"/>
        <v/>
      </c>
    </row>
    <row r="74" spans="1:40" ht="27.75" thickTop="1" thickBot="1" x14ac:dyDescent="0.4">
      <c r="A74" s="73"/>
      <c r="B74" s="73"/>
      <c r="C74" s="73"/>
      <c r="D74" s="74"/>
      <c r="E74" s="74"/>
      <c r="F74" s="74"/>
      <c r="G74" s="74"/>
      <c r="H74" s="74"/>
      <c r="I74" s="74"/>
      <c r="J74" s="74"/>
      <c r="K74" s="74"/>
      <c r="L74" s="75" t="s">
        <v>993</v>
      </c>
      <c r="M74" s="56"/>
      <c r="N74" s="57"/>
      <c r="O74" s="58"/>
      <c r="P74" s="59"/>
      <c r="Q74" s="60"/>
      <c r="R74" s="61" t="str">
        <f t="shared" si="163"/>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5.5" thickTop="1" thickBot="1" x14ac:dyDescent="0.4">
      <c r="B75" t="s">
        <v>1014</v>
      </c>
      <c r="C75" s="113" t="s">
        <v>1050</v>
      </c>
      <c r="D75" s="112" t="s">
        <v>1013</v>
      </c>
      <c r="E75" s="52" t="s">
        <v>1012</v>
      </c>
      <c r="F75" s="53" t="s">
        <v>1015</v>
      </c>
      <c r="G75" s="53"/>
      <c r="H75" s="52"/>
      <c r="I75" s="52"/>
      <c r="J75" s="54"/>
      <c r="K75" s="54"/>
      <c r="L75" s="55" t="str">
        <f t="shared" si="140"/>
        <v xml:space="preserve">            { line: "Somos las lágrimas, que nadie enjuga., (La,m,20)(Sol,,250)", sC: "tc"},</v>
      </c>
      <c r="M75" s="56" t="str">
        <f t="shared" si="141"/>
        <v>(</v>
      </c>
      <c r="N75" s="57" t="str">
        <f t="shared" si="2"/>
        <v>La</v>
      </c>
      <c r="O75" s="58" t="str">
        <f t="shared" si="142"/>
        <v>,</v>
      </c>
      <c r="P75" s="59" t="str">
        <f t="shared" si="4"/>
        <v>m</v>
      </c>
      <c r="Q75" s="60" t="str">
        <f t="shared" si="143"/>
        <v>,</v>
      </c>
      <c r="R75" s="61">
        <f t="shared" si="28"/>
        <v>20</v>
      </c>
      <c r="S75" s="56" t="str">
        <f t="shared" si="144"/>
        <v>)</v>
      </c>
      <c r="T75" s="62" t="str">
        <f t="shared" si="145"/>
        <v>(</v>
      </c>
      <c r="U75" s="63" t="str">
        <f t="shared" si="8"/>
        <v>Sol</v>
      </c>
      <c r="V75" s="64" t="str">
        <f t="shared" si="146"/>
        <v>,</v>
      </c>
      <c r="W75" s="65" t="str">
        <f t="shared" si="10"/>
        <v/>
      </c>
      <c r="X75" s="64" t="str">
        <f t="shared" si="147"/>
        <v>,</v>
      </c>
      <c r="Y75" s="64">
        <f t="shared" si="148"/>
        <v>250</v>
      </c>
      <c r="Z75" s="56" t="str">
        <f t="shared" si="149"/>
        <v>)</v>
      </c>
      <c r="AA75" s="66" t="str">
        <f t="shared" si="150"/>
        <v/>
      </c>
      <c r="AB75" s="57" t="str">
        <f t="shared" si="15"/>
        <v/>
      </c>
      <c r="AC75" s="67" t="str">
        <f t="shared" si="151"/>
        <v/>
      </c>
      <c r="AD75" s="59" t="str">
        <f t="shared" si="152"/>
        <v/>
      </c>
      <c r="AE75" s="68" t="str">
        <f t="shared" si="153"/>
        <v/>
      </c>
      <c r="AF75" s="61" t="str">
        <f t="shared" si="154"/>
        <v/>
      </c>
      <c r="AG75" s="61" t="str">
        <f t="shared" si="155"/>
        <v/>
      </c>
      <c r="AH75" s="69" t="str">
        <f t="shared" si="156"/>
        <v/>
      </c>
      <c r="AI75" s="70" t="str">
        <f t="shared" si="22"/>
        <v/>
      </c>
      <c r="AJ75" s="64" t="str">
        <f t="shared" si="157"/>
        <v/>
      </c>
      <c r="AK75" s="64" t="str">
        <f t="shared" si="158"/>
        <v/>
      </c>
      <c r="AL75" s="64" t="str">
        <f t="shared" si="159"/>
        <v/>
      </c>
      <c r="AM75" s="64" t="str">
        <f t="shared" si="160"/>
        <v/>
      </c>
      <c r="AN75" s="64" t="str">
        <f t="shared" si="161"/>
        <v/>
      </c>
    </row>
    <row r="76" spans="1:40" ht="25.5" thickTop="1" thickBot="1" x14ac:dyDescent="0.4">
      <c r="B76" t="s">
        <v>1014</v>
      </c>
      <c r="C76" s="113" t="s">
        <v>1043</v>
      </c>
      <c r="D76" s="112" t="s">
        <v>1011</v>
      </c>
      <c r="E76" s="52"/>
      <c r="F76" s="53" t="s">
        <v>1015</v>
      </c>
      <c r="G76" s="53"/>
      <c r="H76" s="52" t="s">
        <v>1011</v>
      </c>
      <c r="I76" s="52"/>
      <c r="J76" s="54"/>
      <c r="K76" s="54"/>
      <c r="L76" s="55" t="str">
        <f t="shared" ref="L76:L77" si="191">IF(C76="","",_xlfn.CONCAT("            { line: ","""",C76,", ",M76:AN76,""", sC: ","""",B76,"""},"))</f>
        <v xml:space="preserve">            { line: "Marana thá,, (Mi,,20)(Sol,,250)(Mi,,350)", sC: "tc"},</v>
      </c>
      <c r="M76" s="56" t="str">
        <f t="shared" ref="M76:M77" si="192">IF(N76="","","(")</f>
        <v>(</v>
      </c>
      <c r="N76" s="57" t="str">
        <f t="shared" ref="N76:N77" si="193">IF(D76="","",D76)</f>
        <v>Mi</v>
      </c>
      <c r="O76" s="58" t="str">
        <f t="shared" ref="O76:O77" si="194">IF(N76="","",",")</f>
        <v>,</v>
      </c>
      <c r="P76" s="59" t="str">
        <f t="shared" ref="P76:P77" si="195">IF(E76="","",E76)</f>
        <v/>
      </c>
      <c r="Q76" s="60" t="str">
        <f t="shared" ref="Q76:Q77" si="196">IF(N76="","",",")</f>
        <v>,</v>
      </c>
      <c r="R76" s="61">
        <f t="shared" ref="R76:R77" si="197">IF(N76="Do",10,IF(N76="Re",22,IF(N76="Mi",20,IF(N76="Fa",20,IF(N76="Sol",14,IF(N76="La",20,IF(N76="Si",20,IF(N76="Do#",14,IF(N76="Fa#",15,IF(N76="Sol#",20,""))))))))))</f>
        <v>20</v>
      </c>
      <c r="S76" s="56" t="str">
        <f t="shared" ref="S76:S77" si="198">IF(N76="","",")")</f>
        <v>)</v>
      </c>
      <c r="T76" s="62" t="str">
        <f t="shared" ref="T76:T77" si="199">IF(U76="","","(")</f>
        <v>(</v>
      </c>
      <c r="U76" s="63" t="str">
        <f t="shared" ref="U76:U77" si="200">IF(F76="","",F76)</f>
        <v>Sol</v>
      </c>
      <c r="V76" s="64" t="str">
        <f t="shared" ref="V76:V77" si="201">IF(U76="","",",")</f>
        <v>,</v>
      </c>
      <c r="W76" s="65" t="str">
        <f t="shared" ref="W76:W77" si="202">IF(G76="","",G76)</f>
        <v/>
      </c>
      <c r="X76" s="64" t="str">
        <f t="shared" ref="X76:X77" si="203">IF(U76="","",",")</f>
        <v>,</v>
      </c>
      <c r="Y76" s="64">
        <f t="shared" ref="Y76:Y77" si="204">IF(U76="","",250)</f>
        <v>250</v>
      </c>
      <c r="Z76" s="56" t="str">
        <f t="shared" ref="Z76:Z77" si="205">IF(U76="","",")")</f>
        <v>)</v>
      </c>
      <c r="AA76" s="66" t="str">
        <f t="shared" ref="AA76:AA77" si="206">IF(AB76="","","(")</f>
        <v>(</v>
      </c>
      <c r="AB76" s="57" t="str">
        <f t="shared" ref="AB76:AB77" si="207">IF(H76="","",H76)</f>
        <v>Mi</v>
      </c>
      <c r="AC76" s="67" t="str">
        <f t="shared" ref="AC76:AC77" si="208">IF(AB76="","",",")</f>
        <v>,</v>
      </c>
      <c r="AD76" s="59" t="str">
        <f t="shared" ref="AD76:AD77" si="209">IF(I76="","",I76)</f>
        <v/>
      </c>
      <c r="AE76" s="68" t="str">
        <f t="shared" ref="AE76:AE77" si="210">IF(AB76="","",",")</f>
        <v>,</v>
      </c>
      <c r="AF76" s="61">
        <f t="shared" ref="AF76:AF77" si="211">IF(AB76="","",350)</f>
        <v>350</v>
      </c>
      <c r="AG76" s="61" t="str">
        <f t="shared" ref="AG76:AG77" si="212">IF(AB76="","",")")</f>
        <v>)</v>
      </c>
      <c r="AH76" s="69" t="str">
        <f t="shared" ref="AH76:AH77" si="213">IF(AI76="","","(")</f>
        <v/>
      </c>
      <c r="AI76" s="70" t="str">
        <f t="shared" ref="AI76:AI77" si="214">IF(J76="","",J76)</f>
        <v/>
      </c>
      <c r="AJ76" s="64" t="str">
        <f t="shared" ref="AJ76:AJ77" si="215">IF(AI76="","",",")</f>
        <v/>
      </c>
      <c r="AK76" s="64" t="str">
        <f t="shared" ref="AK76:AK77" si="216">IF(K76="","",K76)</f>
        <v/>
      </c>
      <c r="AL76" s="64" t="str">
        <f t="shared" ref="AL76:AL77" si="217">IF(AI76="","",",")</f>
        <v/>
      </c>
      <c r="AM76" s="64" t="str">
        <f t="shared" ref="AM76:AM77" si="218">IF(AI76="","",450)</f>
        <v/>
      </c>
      <c r="AN76" s="64" t="str">
        <f t="shared" ref="AN76:AN77" si="219">IF(AI76="","",")")</f>
        <v/>
      </c>
    </row>
    <row r="77" spans="1:40" ht="25.5" thickTop="1" thickBot="1" x14ac:dyDescent="0.4">
      <c r="B77" t="s">
        <v>997</v>
      </c>
      <c r="C77" s="113" t="s">
        <v>1044</v>
      </c>
      <c r="D77" s="112"/>
      <c r="E77" s="52"/>
      <c r="F77" s="53"/>
      <c r="G77" s="53"/>
      <c r="H77" s="52"/>
      <c r="I77" s="52"/>
      <c r="J77" s="54"/>
      <c r="K77" s="54"/>
      <c r="L77" s="78" t="str">
        <f t="shared" si="191"/>
        <v xml:space="preserve">            { line: "MARANA THÁ., ", sC: "ta as"},</v>
      </c>
      <c r="M77" s="56" t="str">
        <f t="shared" si="192"/>
        <v/>
      </c>
      <c r="N77" s="57" t="str">
        <f t="shared" si="193"/>
        <v/>
      </c>
      <c r="O77" s="58" t="str">
        <f t="shared" si="194"/>
        <v/>
      </c>
      <c r="P77" s="59" t="str">
        <f t="shared" si="195"/>
        <v/>
      </c>
      <c r="Q77" s="60" t="str">
        <f t="shared" si="196"/>
        <v/>
      </c>
      <c r="R77" s="61" t="str">
        <f t="shared" si="197"/>
        <v/>
      </c>
      <c r="S77" s="56" t="str">
        <f t="shared" si="198"/>
        <v/>
      </c>
      <c r="T77" s="62" t="str">
        <f t="shared" si="199"/>
        <v/>
      </c>
      <c r="U77" s="63" t="str">
        <f t="shared" si="200"/>
        <v/>
      </c>
      <c r="V77" s="64" t="str">
        <f t="shared" si="201"/>
        <v/>
      </c>
      <c r="W77" s="65" t="str">
        <f t="shared" si="202"/>
        <v/>
      </c>
      <c r="X77" s="64" t="str">
        <f t="shared" si="203"/>
        <v/>
      </c>
      <c r="Y77" s="64" t="str">
        <f t="shared" si="204"/>
        <v/>
      </c>
      <c r="Z77" s="56" t="str">
        <f t="shared" si="205"/>
        <v/>
      </c>
      <c r="AA77" s="66" t="str">
        <f t="shared" si="206"/>
        <v/>
      </c>
      <c r="AB77" s="57" t="str">
        <f t="shared" si="207"/>
        <v/>
      </c>
      <c r="AC77" s="67" t="str">
        <f t="shared" si="208"/>
        <v/>
      </c>
      <c r="AD77" s="59" t="str">
        <f t="shared" si="209"/>
        <v/>
      </c>
      <c r="AE77" s="68" t="str">
        <f t="shared" si="210"/>
        <v/>
      </c>
      <c r="AF77" s="61" t="str">
        <f t="shared" si="211"/>
        <v/>
      </c>
      <c r="AG77" s="61" t="str">
        <f t="shared" si="212"/>
        <v/>
      </c>
      <c r="AH77" s="69" t="str">
        <f t="shared" si="213"/>
        <v/>
      </c>
      <c r="AI77" s="70" t="str">
        <f t="shared" si="214"/>
        <v/>
      </c>
      <c r="AJ77" s="64" t="str">
        <f t="shared" si="215"/>
        <v/>
      </c>
      <c r="AK77" s="64" t="str">
        <f t="shared" si="216"/>
        <v/>
      </c>
      <c r="AL77" s="64" t="str">
        <f t="shared" si="217"/>
        <v/>
      </c>
      <c r="AM77" s="64" t="str">
        <f t="shared" si="218"/>
        <v/>
      </c>
      <c r="AN77" s="64" t="str">
        <f t="shared" si="219"/>
        <v/>
      </c>
    </row>
    <row r="78" spans="1:40" ht="25.5" thickTop="1" thickBot="1" x14ac:dyDescent="0.4">
      <c r="B78" t="s">
        <v>1014</v>
      </c>
      <c r="C78" s="113" t="s">
        <v>1051</v>
      </c>
      <c r="D78" s="112" t="s">
        <v>1013</v>
      </c>
      <c r="E78" s="52" t="s">
        <v>1012</v>
      </c>
      <c r="F78" s="53" t="s">
        <v>1015</v>
      </c>
      <c r="G78" s="53"/>
      <c r="H78" s="52"/>
      <c r="I78" s="52"/>
      <c r="J78" s="54"/>
      <c r="K78" s="54"/>
      <c r="L78" s="55" t="str">
        <f t="shared" si="140"/>
        <v xml:space="preserve">            { line: "Somos dolor, nadie nos mira., (La,m,20)(Sol,,250)", sC: "tc"},</v>
      </c>
      <c r="M78" s="56" t="str">
        <f t="shared" si="141"/>
        <v>(</v>
      </c>
      <c r="N78" s="57" t="str">
        <f t="shared" si="2"/>
        <v>La</v>
      </c>
      <c r="O78" s="58" t="str">
        <f t="shared" si="142"/>
        <v>,</v>
      </c>
      <c r="P78" s="59" t="str">
        <f t="shared" si="4"/>
        <v>m</v>
      </c>
      <c r="Q78" s="60" t="str">
        <f t="shared" si="143"/>
        <v>,</v>
      </c>
      <c r="R78" s="61">
        <f t="shared" si="28"/>
        <v>20</v>
      </c>
      <c r="S78" s="56" t="str">
        <f t="shared" si="144"/>
        <v>)</v>
      </c>
      <c r="T78" s="62" t="str">
        <f t="shared" si="145"/>
        <v>(</v>
      </c>
      <c r="U78" s="63" t="str">
        <f t="shared" si="8"/>
        <v>Sol</v>
      </c>
      <c r="V78" s="64" t="str">
        <f t="shared" si="146"/>
        <v>,</v>
      </c>
      <c r="W78" s="65" t="str">
        <f t="shared" si="10"/>
        <v/>
      </c>
      <c r="X78" s="64" t="str">
        <f t="shared" si="147"/>
        <v>,</v>
      </c>
      <c r="Y78" s="64">
        <f t="shared" si="148"/>
        <v>250</v>
      </c>
      <c r="Z78" s="56" t="str">
        <f t="shared" si="149"/>
        <v>)</v>
      </c>
      <c r="AA78" s="66" t="str">
        <f t="shared" si="150"/>
        <v/>
      </c>
      <c r="AB78" s="57" t="str">
        <f t="shared" si="15"/>
        <v/>
      </c>
      <c r="AC78" s="67" t="str">
        <f t="shared" si="151"/>
        <v/>
      </c>
      <c r="AD78" s="59" t="str">
        <f t="shared" si="152"/>
        <v/>
      </c>
      <c r="AE78" s="68" t="str">
        <f t="shared" si="153"/>
        <v/>
      </c>
      <c r="AF78" s="61" t="str">
        <f t="shared" si="154"/>
        <v/>
      </c>
      <c r="AG78" s="61" t="str">
        <f t="shared" si="155"/>
        <v/>
      </c>
      <c r="AH78" s="69" t="str">
        <f t="shared" si="156"/>
        <v/>
      </c>
      <c r="AI78" s="70" t="str">
        <f t="shared" si="22"/>
        <v/>
      </c>
      <c r="AJ78" s="64" t="str">
        <f t="shared" si="157"/>
        <v/>
      </c>
      <c r="AK78" s="64" t="str">
        <f t="shared" si="158"/>
        <v/>
      </c>
      <c r="AL78" s="64" t="str">
        <f t="shared" si="159"/>
        <v/>
      </c>
      <c r="AM78" s="64" t="str">
        <f t="shared" si="160"/>
        <v/>
      </c>
      <c r="AN78" s="64" t="str">
        <f t="shared" si="161"/>
        <v/>
      </c>
    </row>
    <row r="79" spans="1:40" ht="25.5" thickTop="1" thickBot="1" x14ac:dyDescent="0.4">
      <c r="B79" t="s">
        <v>1014</v>
      </c>
      <c r="C79" s="113" t="s">
        <v>1043</v>
      </c>
      <c r="D79" s="112" t="s">
        <v>1011</v>
      </c>
      <c r="E79" s="52"/>
      <c r="F79" s="53" t="s">
        <v>1015</v>
      </c>
      <c r="G79" s="53"/>
      <c r="H79" s="52" t="s">
        <v>1011</v>
      </c>
      <c r="I79" s="52"/>
      <c r="J79" s="54"/>
      <c r="K79" s="54"/>
      <c r="L79" s="55" t="str">
        <f t="shared" si="140"/>
        <v xml:space="preserve">            { line: "Marana thá,, (Mi,,20)(Sol,,250)(Mi,,350)", sC: "tc"},</v>
      </c>
      <c r="M79" s="56" t="str">
        <f t="shared" si="141"/>
        <v>(</v>
      </c>
      <c r="N79" s="57" t="str">
        <f t="shared" si="2"/>
        <v>Mi</v>
      </c>
      <c r="O79" s="58" t="str">
        <f t="shared" si="142"/>
        <v>,</v>
      </c>
      <c r="P79" s="59" t="str">
        <f t="shared" si="4"/>
        <v/>
      </c>
      <c r="Q79" s="60" t="str">
        <f t="shared" si="143"/>
        <v>,</v>
      </c>
      <c r="R79" s="61">
        <f t="shared" si="28"/>
        <v>20</v>
      </c>
      <c r="S79" s="56" t="str">
        <f t="shared" si="144"/>
        <v>)</v>
      </c>
      <c r="T79" s="62" t="str">
        <f t="shared" si="145"/>
        <v>(</v>
      </c>
      <c r="U79" s="63" t="str">
        <f t="shared" si="8"/>
        <v>Sol</v>
      </c>
      <c r="V79" s="64" t="str">
        <f t="shared" si="146"/>
        <v>,</v>
      </c>
      <c r="W79" s="65" t="str">
        <f t="shared" si="10"/>
        <v/>
      </c>
      <c r="X79" s="64" t="str">
        <f t="shared" si="147"/>
        <v>,</v>
      </c>
      <c r="Y79" s="64">
        <f t="shared" si="148"/>
        <v>250</v>
      </c>
      <c r="Z79" s="56" t="str">
        <f t="shared" si="149"/>
        <v>)</v>
      </c>
      <c r="AA79" s="66" t="str">
        <f t="shared" si="150"/>
        <v>(</v>
      </c>
      <c r="AB79" s="57" t="str">
        <f t="shared" si="15"/>
        <v>Mi</v>
      </c>
      <c r="AC79" s="67" t="str">
        <f t="shared" si="151"/>
        <v>,</v>
      </c>
      <c r="AD79" s="59" t="str">
        <f t="shared" si="152"/>
        <v/>
      </c>
      <c r="AE79" s="68" t="str">
        <f t="shared" si="153"/>
        <v>,</v>
      </c>
      <c r="AF79" s="61">
        <f t="shared" si="154"/>
        <v>350</v>
      </c>
      <c r="AG79" s="61" t="str">
        <f t="shared" si="155"/>
        <v>)</v>
      </c>
      <c r="AH79" s="69" t="str">
        <f t="shared" si="156"/>
        <v/>
      </c>
      <c r="AI79" s="70" t="str">
        <f t="shared" si="22"/>
        <v/>
      </c>
      <c r="AJ79" s="64" t="str">
        <f t="shared" si="157"/>
        <v/>
      </c>
      <c r="AK79" s="64" t="str">
        <f t="shared" si="158"/>
        <v/>
      </c>
      <c r="AL79" s="64" t="str">
        <f t="shared" si="159"/>
        <v/>
      </c>
      <c r="AM79" s="64" t="str">
        <f t="shared" si="160"/>
        <v/>
      </c>
      <c r="AN79" s="64" t="str">
        <f t="shared" si="161"/>
        <v/>
      </c>
    </row>
    <row r="80" spans="1:40" ht="25.5" thickTop="1" thickBot="1" x14ac:dyDescent="0.4">
      <c r="B80" t="s">
        <v>997</v>
      </c>
      <c r="C80" s="113" t="s">
        <v>1044</v>
      </c>
      <c r="D80" s="112"/>
      <c r="E80" s="52"/>
      <c r="F80" s="53"/>
      <c r="G80" s="53"/>
      <c r="H80" s="52"/>
      <c r="I80" s="52"/>
      <c r="J80" s="54"/>
      <c r="K80" s="54"/>
      <c r="L80" s="78" t="str">
        <f t="shared" si="140"/>
        <v xml:space="preserve">            { line: "MARANA THÁ., ", sC: "ta as"},</v>
      </c>
      <c r="M80" s="56" t="str">
        <f t="shared" si="141"/>
        <v/>
      </c>
      <c r="N80" s="57" t="str">
        <f t="shared" si="2"/>
        <v/>
      </c>
      <c r="O80" s="58" t="str">
        <f t="shared" si="142"/>
        <v/>
      </c>
      <c r="P80" s="59" t="str">
        <f t="shared" si="4"/>
        <v/>
      </c>
      <c r="Q80" s="60" t="str">
        <f t="shared" si="143"/>
        <v/>
      </c>
      <c r="R80" s="61" t="str">
        <f t="shared" si="28"/>
        <v/>
      </c>
      <c r="S80" s="56" t="str">
        <f t="shared" si="144"/>
        <v/>
      </c>
      <c r="T80" s="62" t="str">
        <f t="shared" si="145"/>
        <v/>
      </c>
      <c r="U80" s="63" t="str">
        <f t="shared" si="8"/>
        <v/>
      </c>
      <c r="V80" s="64" t="str">
        <f t="shared" si="146"/>
        <v/>
      </c>
      <c r="W80" s="65" t="str">
        <f t="shared" si="10"/>
        <v/>
      </c>
      <c r="X80" s="64" t="str">
        <f t="shared" si="147"/>
        <v/>
      </c>
      <c r="Y80" s="64" t="str">
        <f t="shared" si="148"/>
        <v/>
      </c>
      <c r="Z80" s="56" t="str">
        <f t="shared" si="149"/>
        <v/>
      </c>
      <c r="AA80" s="66" t="str">
        <f t="shared" si="150"/>
        <v/>
      </c>
      <c r="AB80" s="57" t="str">
        <f t="shared" si="15"/>
        <v/>
      </c>
      <c r="AC80" s="67" t="str">
        <f t="shared" si="151"/>
        <v/>
      </c>
      <c r="AD80" s="59" t="str">
        <f t="shared" si="152"/>
        <v/>
      </c>
      <c r="AE80" s="68" t="str">
        <f t="shared" si="153"/>
        <v/>
      </c>
      <c r="AF80" s="61" t="str">
        <f t="shared" si="154"/>
        <v/>
      </c>
      <c r="AG80" s="61" t="str">
        <f t="shared" si="155"/>
        <v/>
      </c>
      <c r="AH80" s="69" t="str">
        <f t="shared" si="156"/>
        <v/>
      </c>
      <c r="AI80" s="70" t="str">
        <f t="shared" si="22"/>
        <v/>
      </c>
      <c r="AJ80" s="64" t="str">
        <f t="shared" si="157"/>
        <v/>
      </c>
      <c r="AK80" s="64" t="str">
        <f t="shared" si="158"/>
        <v/>
      </c>
      <c r="AL80" s="64" t="str">
        <f t="shared" si="159"/>
        <v/>
      </c>
      <c r="AM80" s="64" t="str">
        <f t="shared" si="160"/>
        <v/>
      </c>
      <c r="AN80" s="64" t="str">
        <f t="shared" si="161"/>
        <v/>
      </c>
    </row>
    <row r="81" spans="1:40" ht="27.75" thickTop="1" thickBot="1" x14ac:dyDescent="0.4">
      <c r="A81" s="73"/>
      <c r="B81" s="73"/>
      <c r="C81" s="73"/>
      <c r="D81" s="74"/>
      <c r="E81" s="74"/>
      <c r="F81" s="74"/>
      <c r="G81" s="74"/>
      <c r="H81" s="74"/>
      <c r="I81" s="74"/>
      <c r="J81" s="74"/>
      <c r="K81" s="74"/>
      <c r="L81" s="75" t="s">
        <v>993</v>
      </c>
      <c r="M81" s="56"/>
      <c r="N81" s="57"/>
      <c r="O81" s="58"/>
      <c r="P81" s="59"/>
      <c r="Q81" s="60"/>
      <c r="R81" s="61" t="str">
        <f t="shared" si="28"/>
        <v/>
      </c>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79" t="s">
        <v>995</v>
      </c>
      <c r="D82" s="80"/>
      <c r="E82" s="80"/>
      <c r="F82" s="80"/>
      <c r="G82" s="80"/>
      <c r="H82" s="80"/>
      <c r="I82" s="80"/>
      <c r="J82" s="80"/>
      <c r="K82" s="80"/>
      <c r="L82" s="81" t="s">
        <v>996</v>
      </c>
      <c r="M82" s="56" t="str">
        <f t="shared" ref="M82:M86" si="220">IF(N82="","","(")</f>
        <v/>
      </c>
      <c r="N82" s="57" t="str">
        <f t="shared" ref="N82:N86" si="221">IF(D82="","",D82)</f>
        <v/>
      </c>
      <c r="O82" s="58" t="str">
        <f t="shared" ref="O82:O86" si="222">IF(N82="","",",")</f>
        <v/>
      </c>
      <c r="P82" s="59" t="str">
        <f t="shared" ref="P82:P86" si="223">IF(E82="","",E82)</f>
        <v/>
      </c>
      <c r="Q82" s="60" t="str">
        <f t="shared" ref="Q82:Q86" si="224">IF(N82="","",",")</f>
        <v/>
      </c>
      <c r="R82" s="61" t="str">
        <f t="shared" si="28"/>
        <v/>
      </c>
      <c r="S82" s="56" t="str">
        <f t="shared" ref="S82:S86" si="225">IF(N82="","",")")</f>
        <v/>
      </c>
      <c r="T82" s="62" t="str">
        <f t="shared" ref="T82:T86" si="226">IF(U82="","","(")</f>
        <v/>
      </c>
      <c r="U82" s="63" t="str">
        <f t="shared" ref="U82:U86" si="227">IF(F82="","",F82)</f>
        <v/>
      </c>
      <c r="V82" s="64" t="str">
        <f t="shared" ref="V82:V86" si="228">IF(U82="","",",")</f>
        <v/>
      </c>
      <c r="W82" s="65" t="str">
        <f t="shared" ref="W82:W86" si="229">IF(G82="","",G82)</f>
        <v/>
      </c>
      <c r="X82" s="64" t="str">
        <f t="shared" ref="X82:X86" si="230">IF(U82="","",",")</f>
        <v/>
      </c>
      <c r="Y82" s="64" t="str">
        <f t="shared" ref="Y82:Y86" si="231">IF(U82="","",250)</f>
        <v/>
      </c>
      <c r="Z82" s="56" t="str">
        <f t="shared" ref="Z82:Z86" si="232">IF(U82="","",")")</f>
        <v/>
      </c>
      <c r="AA82" s="66" t="str">
        <f t="shared" ref="AA82:AA86" si="233">IF(AB82="","","(")</f>
        <v/>
      </c>
      <c r="AB82" s="57" t="str">
        <f t="shared" ref="AB82:AB86" si="234">IF(H82="","",H82)</f>
        <v/>
      </c>
      <c r="AC82" s="67" t="str">
        <f t="shared" ref="AC82:AC86" si="235">IF(AB82="","",",")</f>
        <v/>
      </c>
      <c r="AD82" s="59" t="str">
        <f t="shared" ref="AD82:AD86" si="236">IF(I82="","",I82)</f>
        <v/>
      </c>
      <c r="AE82" s="68" t="str">
        <f t="shared" ref="AE82:AE86" si="237">IF(AB82="","",",")</f>
        <v/>
      </c>
      <c r="AF82" s="61" t="str">
        <f t="shared" ref="AF82:AF86" si="238">IF(AB82="","",350)</f>
        <v/>
      </c>
      <c r="AG82" s="61" t="str">
        <f t="shared" ref="AG82:AG86" si="239">IF(AB82="","",")")</f>
        <v/>
      </c>
      <c r="AH82" s="69" t="str">
        <f t="shared" ref="AH82:AH86" si="240">IF(AI82="","","(")</f>
        <v/>
      </c>
      <c r="AI82" s="70" t="str">
        <f t="shared" ref="AI82:AI86" si="241">IF(J82="","",J82)</f>
        <v/>
      </c>
      <c r="AJ82" s="64" t="str">
        <f t="shared" ref="AJ82:AJ86" si="242">IF(AI82="","",",")</f>
        <v/>
      </c>
      <c r="AK82" s="64" t="str">
        <f t="shared" ref="AK82:AK86" si="243">IF(K82="","",K82)</f>
        <v/>
      </c>
      <c r="AL82" s="64" t="str">
        <f t="shared" ref="AL82:AL86" si="244">IF(AI82="","",",")</f>
        <v/>
      </c>
      <c r="AM82" s="64" t="str">
        <f t="shared" ref="AM82:AM86" si="245">IF(AI82="","",450)</f>
        <v/>
      </c>
      <c r="AN82" s="64" t="str">
        <f t="shared" ref="AN82:AN86" si="246">IF(AI82="","",")")</f>
        <v/>
      </c>
    </row>
    <row r="83" spans="1:40" ht="25.5" thickTop="1" thickBot="1" x14ac:dyDescent="0.4">
      <c r="B83" t="s">
        <v>997</v>
      </c>
      <c r="C83" s="82" t="s">
        <v>1052</v>
      </c>
      <c r="D83" s="83" t="s">
        <v>1013</v>
      </c>
      <c r="E83" s="83" t="s">
        <v>1012</v>
      </c>
      <c r="F83" s="83" t="s">
        <v>1031</v>
      </c>
      <c r="G83" s="83"/>
      <c r="H83" s="83"/>
      <c r="I83" s="83"/>
      <c r="J83" s="83"/>
      <c r="K83" s="83"/>
      <c r="L83" s="84" t="str">
        <f>IF(C83="","",_xlfn.CONCAT("       triggerLine: ","""",C83,", ",M83:AN83,""", sC: ","""",B83,""", lines: ["))</f>
        <v xml:space="preserve">       triggerLine: "OH CIELOS, LLOVED DE LO ALTO, (La,m,20)(Fa,,250)", sC: "ta as", lines: [</v>
      </c>
      <c r="M83" s="56" t="str">
        <f t="shared" si="220"/>
        <v>(</v>
      </c>
      <c r="N83" s="57" t="str">
        <f t="shared" si="221"/>
        <v>La</v>
      </c>
      <c r="O83" s="58" t="str">
        <f t="shared" si="222"/>
        <v>,</v>
      </c>
      <c r="P83" s="59" t="str">
        <f t="shared" si="223"/>
        <v>m</v>
      </c>
      <c r="Q83" s="60" t="str">
        <f t="shared" si="224"/>
        <v>,</v>
      </c>
      <c r="R83" s="61">
        <f t="shared" si="28"/>
        <v>20</v>
      </c>
      <c r="S83" s="56" t="str">
        <f t="shared" si="225"/>
        <v>)</v>
      </c>
      <c r="T83" s="62" t="str">
        <f t="shared" si="226"/>
        <v>(</v>
      </c>
      <c r="U83" s="63" t="str">
        <f t="shared" si="227"/>
        <v>Fa</v>
      </c>
      <c r="V83" s="64" t="str">
        <f t="shared" si="228"/>
        <v>,</v>
      </c>
      <c r="W83" s="65" t="str">
        <f t="shared" si="229"/>
        <v/>
      </c>
      <c r="X83" s="64" t="str">
        <f t="shared" si="230"/>
        <v>,</v>
      </c>
      <c r="Y83" s="64">
        <f t="shared" si="231"/>
        <v>250</v>
      </c>
      <c r="Z83" s="56" t="str">
        <f t="shared" si="232"/>
        <v>)</v>
      </c>
      <c r="AA83" s="66" t="str">
        <f t="shared" si="233"/>
        <v/>
      </c>
      <c r="AB83" s="57" t="str">
        <f t="shared" si="234"/>
        <v/>
      </c>
      <c r="AC83" s="67" t="str">
        <f t="shared" si="235"/>
        <v/>
      </c>
      <c r="AD83" s="59" t="str">
        <f t="shared" si="236"/>
        <v/>
      </c>
      <c r="AE83" s="68" t="str">
        <f t="shared" si="237"/>
        <v/>
      </c>
      <c r="AF83" s="61" t="str">
        <f t="shared" si="238"/>
        <v/>
      </c>
      <c r="AG83" s="61" t="str">
        <f t="shared" si="239"/>
        <v/>
      </c>
      <c r="AH83" s="69" t="str">
        <f t="shared" si="240"/>
        <v/>
      </c>
      <c r="AI83" s="70" t="str">
        <f t="shared" si="241"/>
        <v/>
      </c>
      <c r="AJ83" s="64" t="str">
        <f t="shared" si="242"/>
        <v/>
      </c>
      <c r="AK83" s="64" t="str">
        <f t="shared" si="243"/>
        <v/>
      </c>
      <c r="AL83" s="64" t="str">
        <f t="shared" si="244"/>
        <v/>
      </c>
      <c r="AM83" s="64" t="str">
        <f t="shared" si="245"/>
        <v/>
      </c>
      <c r="AN83" s="64" t="str">
        <f t="shared" si="246"/>
        <v/>
      </c>
    </row>
    <row r="84" spans="1:40" ht="25.5" thickTop="1" thickBot="1" x14ac:dyDescent="0.4">
      <c r="B84" t="s">
        <v>999</v>
      </c>
      <c r="C84" s="85" t="s">
        <v>1039</v>
      </c>
      <c r="D84" s="86" t="s">
        <v>1015</v>
      </c>
      <c r="E84" s="86"/>
      <c r="F84" s="86" t="s">
        <v>1013</v>
      </c>
      <c r="G84" s="86" t="s">
        <v>1012</v>
      </c>
      <c r="H84" s="87"/>
      <c r="I84" s="87"/>
      <c r="J84" s="87"/>
      <c r="K84" s="87"/>
      <c r="L84" s="88" t="str">
        <f>IF(C84="","",_xlfn.CONCAT("            { line: ","""",C84,", ",M84:AN84,""", sC: ","""",B84,"""},"))</f>
        <v xml:space="preserve">            { line: "OH NUBES, MANDADNOS AL SANTO., (Sol,,14)(La,m,250)", sC: "as"},</v>
      </c>
      <c r="M84" s="56" t="str">
        <f t="shared" si="220"/>
        <v>(</v>
      </c>
      <c r="N84" s="57" t="str">
        <f t="shared" si="221"/>
        <v>Sol</v>
      </c>
      <c r="O84" s="58" t="str">
        <f t="shared" si="222"/>
        <v>,</v>
      </c>
      <c r="P84" s="59" t="str">
        <f t="shared" si="223"/>
        <v/>
      </c>
      <c r="Q84" s="60" t="str">
        <f t="shared" si="224"/>
        <v>,</v>
      </c>
      <c r="R84" s="61">
        <f t="shared" si="28"/>
        <v>14</v>
      </c>
      <c r="S84" s="56" t="str">
        <f t="shared" si="225"/>
        <v>)</v>
      </c>
      <c r="T84" s="62" t="str">
        <f t="shared" si="226"/>
        <v>(</v>
      </c>
      <c r="U84" s="63" t="str">
        <f t="shared" si="227"/>
        <v>La</v>
      </c>
      <c r="V84" s="64" t="str">
        <f t="shared" si="228"/>
        <v>,</v>
      </c>
      <c r="W84" s="65" t="str">
        <f t="shared" si="229"/>
        <v>m</v>
      </c>
      <c r="X84" s="64" t="str">
        <f t="shared" si="230"/>
        <v>,</v>
      </c>
      <c r="Y84" s="64">
        <f t="shared" si="231"/>
        <v>250</v>
      </c>
      <c r="Z84" s="56" t="str">
        <f t="shared" si="232"/>
        <v>)</v>
      </c>
      <c r="AA84" s="66" t="str">
        <f t="shared" si="233"/>
        <v/>
      </c>
      <c r="AB84" s="57" t="str">
        <f t="shared" si="234"/>
        <v/>
      </c>
      <c r="AC84" s="67" t="str">
        <f t="shared" si="235"/>
        <v/>
      </c>
      <c r="AD84" s="59" t="str">
        <f t="shared" si="236"/>
        <v/>
      </c>
      <c r="AE84" s="68" t="str">
        <f t="shared" si="237"/>
        <v/>
      </c>
      <c r="AF84" s="61" t="str">
        <f t="shared" si="238"/>
        <v/>
      </c>
      <c r="AG84" s="61" t="str">
        <f t="shared" si="239"/>
        <v/>
      </c>
      <c r="AH84" s="69" t="str">
        <f t="shared" si="240"/>
        <v/>
      </c>
      <c r="AI84" s="70" t="str">
        <f t="shared" si="241"/>
        <v/>
      </c>
      <c r="AJ84" s="64" t="str">
        <f t="shared" si="242"/>
        <v/>
      </c>
      <c r="AK84" s="64" t="str">
        <f t="shared" si="243"/>
        <v/>
      </c>
      <c r="AL84" s="64" t="str">
        <f t="shared" si="244"/>
        <v/>
      </c>
      <c r="AM84" s="64" t="str">
        <f t="shared" si="245"/>
        <v/>
      </c>
      <c r="AN84" s="64" t="str">
        <f t="shared" si="246"/>
        <v/>
      </c>
    </row>
    <row r="85" spans="1:40" ht="25.5" thickTop="1" thickBot="1" x14ac:dyDescent="0.4">
      <c r="B85" t="s">
        <v>999</v>
      </c>
      <c r="C85" s="85" t="s">
        <v>1040</v>
      </c>
      <c r="D85" s="89" t="s">
        <v>1011</v>
      </c>
      <c r="E85" s="89"/>
      <c r="F85" s="89" t="s">
        <v>1013</v>
      </c>
      <c r="G85" s="89" t="s">
        <v>1012</v>
      </c>
      <c r="H85" s="90"/>
      <c r="I85" s="90"/>
      <c r="J85" s="90"/>
      <c r="K85" s="90"/>
      <c r="L85" s="88" t="str">
        <f>IF(C85="","",_xlfn.CONCAT("            { line: ","""",C85,", ",M85:AN85,""", sC: ","""",B85,"""},"))</f>
        <v xml:space="preserve">            { line: "OH TIERRA, ÁBRETE, OH TIERRA,, (Mi,,20)(La,m,250)", sC: "as"},</v>
      </c>
      <c r="M85" s="56" t="str">
        <f t="shared" si="220"/>
        <v>(</v>
      </c>
      <c r="N85" s="57" t="str">
        <f t="shared" si="221"/>
        <v>Mi</v>
      </c>
      <c r="O85" s="58" t="str">
        <f t="shared" si="222"/>
        <v>,</v>
      </c>
      <c r="P85" s="59" t="str">
        <f t="shared" si="223"/>
        <v/>
      </c>
      <c r="Q85" s="60" t="str">
        <f t="shared" si="224"/>
        <v>,</v>
      </c>
      <c r="R85" s="61">
        <f t="shared" si="28"/>
        <v>20</v>
      </c>
      <c r="S85" s="56" t="str">
        <f t="shared" si="225"/>
        <v>)</v>
      </c>
      <c r="T85" s="62" t="str">
        <f t="shared" si="226"/>
        <v>(</v>
      </c>
      <c r="U85" s="63" t="str">
        <f t="shared" si="227"/>
        <v>La</v>
      </c>
      <c r="V85" s="64" t="str">
        <f t="shared" si="228"/>
        <v>,</v>
      </c>
      <c r="W85" s="65" t="str">
        <f t="shared" si="229"/>
        <v>m</v>
      </c>
      <c r="X85" s="64" t="str">
        <f t="shared" si="230"/>
        <v>,</v>
      </c>
      <c r="Y85" s="64">
        <f t="shared" si="231"/>
        <v>250</v>
      </c>
      <c r="Z85" s="56" t="str">
        <f t="shared" si="232"/>
        <v>)</v>
      </c>
      <c r="AA85" s="66" t="str">
        <f t="shared" si="233"/>
        <v/>
      </c>
      <c r="AB85" s="57" t="str">
        <f t="shared" si="234"/>
        <v/>
      </c>
      <c r="AC85" s="67" t="str">
        <f t="shared" si="235"/>
        <v/>
      </c>
      <c r="AD85" s="59" t="str">
        <f t="shared" si="236"/>
        <v/>
      </c>
      <c r="AE85" s="68" t="str">
        <f t="shared" si="237"/>
        <v/>
      </c>
      <c r="AF85" s="61" t="str">
        <f t="shared" si="238"/>
        <v/>
      </c>
      <c r="AG85" s="61" t="str">
        <f t="shared" si="239"/>
        <v/>
      </c>
      <c r="AH85" s="69" t="str">
        <f t="shared" si="240"/>
        <v/>
      </c>
      <c r="AI85" s="70" t="str">
        <f t="shared" si="241"/>
        <v/>
      </c>
      <c r="AJ85" s="64" t="str">
        <f t="shared" si="242"/>
        <v/>
      </c>
      <c r="AK85" s="64" t="str">
        <f t="shared" si="243"/>
        <v/>
      </c>
      <c r="AL85" s="64" t="str">
        <f t="shared" si="244"/>
        <v/>
      </c>
      <c r="AM85" s="64" t="str">
        <f t="shared" si="245"/>
        <v/>
      </c>
      <c r="AN85" s="64" t="str">
        <f t="shared" si="246"/>
        <v/>
      </c>
    </row>
    <row r="86" spans="1:40" ht="25.5" thickTop="1" thickBot="1" x14ac:dyDescent="0.4">
      <c r="B86" t="s">
        <v>999</v>
      </c>
      <c r="C86" s="93" t="s">
        <v>1041</v>
      </c>
      <c r="D86" s="83" t="s">
        <v>1011</v>
      </c>
      <c r="E86" s="83"/>
      <c r="F86" s="83" t="s">
        <v>1013</v>
      </c>
      <c r="G86" s="83" t="s">
        <v>1012</v>
      </c>
      <c r="H86" s="83"/>
      <c r="I86" s="83"/>
      <c r="J86" s="83"/>
      <c r="K86" s="83"/>
      <c r="L86" s="94" t="str">
        <f>IF(C86="","",_xlfn.CONCAT("            { line: ","""",C86,", ",M86:AN86,""", sC: ","""",B86,"""},  ]},"))</f>
        <v xml:space="preserve">            { line: "Y BROTE EL SALVADOR., (Mi,,20)(La,m,250)", sC: "as"},  ]},</v>
      </c>
      <c r="M86" s="56" t="str">
        <f t="shared" si="220"/>
        <v>(</v>
      </c>
      <c r="N86" s="57" t="str">
        <f t="shared" si="221"/>
        <v>Mi</v>
      </c>
      <c r="O86" s="58" t="str">
        <f t="shared" si="222"/>
        <v>,</v>
      </c>
      <c r="P86" s="59" t="str">
        <f t="shared" si="223"/>
        <v/>
      </c>
      <c r="Q86" s="60" t="str">
        <f t="shared" si="224"/>
        <v>,</v>
      </c>
      <c r="R86" s="61">
        <f t="shared" si="28"/>
        <v>20</v>
      </c>
      <c r="S86" s="56" t="str">
        <f t="shared" si="225"/>
        <v>)</v>
      </c>
      <c r="T86" s="62" t="str">
        <f t="shared" si="226"/>
        <v>(</v>
      </c>
      <c r="U86" s="63" t="str">
        <f t="shared" si="227"/>
        <v>La</v>
      </c>
      <c r="V86" s="64" t="str">
        <f t="shared" si="228"/>
        <v>,</v>
      </c>
      <c r="W86" s="65" t="str">
        <f t="shared" si="229"/>
        <v>m</v>
      </c>
      <c r="X86" s="64" t="str">
        <f t="shared" si="230"/>
        <v>,</v>
      </c>
      <c r="Y86" s="64">
        <f t="shared" si="231"/>
        <v>250</v>
      </c>
      <c r="Z86" s="56" t="str">
        <f t="shared" si="232"/>
        <v>)</v>
      </c>
      <c r="AA86" s="66" t="str">
        <f t="shared" si="233"/>
        <v/>
      </c>
      <c r="AB86" s="57" t="str">
        <f t="shared" si="234"/>
        <v/>
      </c>
      <c r="AC86" s="67" t="str">
        <f t="shared" si="235"/>
        <v/>
      </c>
      <c r="AD86" s="59" t="str">
        <f t="shared" si="236"/>
        <v/>
      </c>
      <c r="AE86" s="68" t="str">
        <f t="shared" si="237"/>
        <v/>
      </c>
      <c r="AF86" s="61" t="str">
        <f t="shared" si="238"/>
        <v/>
      </c>
      <c r="AG86" s="61" t="str">
        <f t="shared" si="239"/>
        <v/>
      </c>
      <c r="AH86" s="69" t="str">
        <f t="shared" si="240"/>
        <v/>
      </c>
      <c r="AI86" s="70" t="str">
        <f t="shared" si="241"/>
        <v/>
      </c>
      <c r="AJ86" s="64" t="str">
        <f t="shared" si="242"/>
        <v/>
      </c>
      <c r="AK86" s="64" t="str">
        <f t="shared" si="243"/>
        <v/>
      </c>
      <c r="AL86" s="64" t="str">
        <f t="shared" si="244"/>
        <v/>
      </c>
      <c r="AM86" s="64" t="str">
        <f t="shared" si="245"/>
        <v/>
      </c>
      <c r="AN86" s="64" t="str">
        <f t="shared" si="246"/>
        <v/>
      </c>
    </row>
    <row r="87" spans="1:40" ht="24" customHeight="1" x14ac:dyDescent="0.4">
      <c r="A87" s="95"/>
      <c r="B87" s="95"/>
      <c r="C87" s="95"/>
      <c r="D87" s="95"/>
      <c r="E87" s="95"/>
      <c r="F87" s="95"/>
      <c r="G87" s="95"/>
      <c r="H87" s="95"/>
      <c r="I87" s="95"/>
      <c r="J87" s="95"/>
      <c r="K87" s="95"/>
      <c r="L87" s="99" t="str">
        <f ca="1">_xlfn.CONCAT("]}, // ULTIMA LINEA DEL CANTO: ",L1)</f>
        <v>]}, // ULTIMA LINEA DEL CANTO: OH CIELOS, LLOVED DE LO ALTO</v>
      </c>
      <c r="M87" s="95"/>
    </row>
    <row r="88" spans="1:40" ht="20.25" x14ac:dyDescent="0.25">
      <c r="L88" s="100" t="s">
        <v>1008</v>
      </c>
      <c r="M8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6" activePane="bottomRight" state="frozen"/>
      <selection pane="topRight" activeCell="C1" sqref="C1"/>
      <selection pane="bottomLeft" activeCell="A2" sqref="A2"/>
      <selection pane="bottomRight" activeCell="C31" sqref="C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124</v>
      </c>
      <c r="E1" s="40"/>
      <c r="F1" s="40"/>
      <c r="G1" s="40"/>
      <c r="H1" s="40"/>
      <c r="I1" s="40"/>
      <c r="J1" s="40"/>
      <c r="K1" s="40"/>
      <c r="L1" s="41" t="str">
        <f ca="1">UPPER(VLOOKUP(C1,Table223[],3,FALSE))</f>
        <v xml:space="preserve">OH DIOS, POR TU NOMBRE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OH DIOS, POR TU NOMBRE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ohdiosportunombre</v>
      </c>
      <c r="L7" s="48" t="str">
        <f ca="1">_xlfn.CONCAT("        id: ","""",C7,"""",",")</f>
        <v xml:space="preserve">        id: "ohdiosportunombre",</v>
      </c>
    </row>
    <row r="8" spans="2:32" ht="23.25" x14ac:dyDescent="0.25">
      <c r="C8" t="str">
        <f ca="1">PROPER(L1)</f>
        <v xml:space="preserve">Oh Dios, Por Tu Nombre </v>
      </c>
      <c r="L8" s="48" t="str">
        <f ca="1">_xlfn.CONCAT("        tt: ","""",C8,"""",",")</f>
        <v xml:space="preserve">        tt: "Oh Dios, Por Tu Nombre ",</v>
      </c>
    </row>
    <row r="9" spans="2:32" ht="23.25" x14ac:dyDescent="0.25">
      <c r="C9" t="str">
        <f ca="1">PROPER(L1)</f>
        <v xml:space="preserve">Oh Dios, Por Tu Nombre </v>
      </c>
      <c r="L9" s="48" t="str">
        <f ca="1">_xlfn.CONCAT("        title: ","""",C9,"""",",")</f>
        <v xml:space="preserve">        title: "Oh Dios, Por Tu Nombre ",</v>
      </c>
    </row>
    <row r="10" spans="2:32" ht="23.25" x14ac:dyDescent="0.25">
      <c r="C10" t="str">
        <f ca="1">VLOOKUP(C1,Table223[],4,FALSE)</f>
        <v>Salmo 54 (53)</v>
      </c>
      <c r="L10" s="48" t="str">
        <f ca="1">_xlfn.CONCAT("        ","subtitle: ","""",C10,"""",",")</f>
        <v xml:space="preserve">        subtitle: "Salmo 54 (53)",</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124</v>
      </c>
      <c r="L16" s="48" t="str">
        <f ca="1">_xlfn.CONCAT("        dbno: ","""",C16,"""",",")</f>
        <v xml:space="preserve">        dbno: "124",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ohdiosportunombre</v>
      </c>
      <c r="L19" s="48" t="str">
        <f ca="1">_xlfn.CONCAT("        audioSrc: ","""https://audio.resucito.do/",C19,".mp3""",",")</f>
        <v xml:space="preserve">        audioSrc: "https://audio.resucito.do/ohdiosportunombre.mp3",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123</v>
      </c>
      <c r="C26" t="str">
        <f ca="1">VLOOKUP(B26,Table4[],13,FALSE)</f>
        <v>"/src/index.html?canto=ohcieloslloveddeloalto"</v>
      </c>
      <c r="L26" s="48" t="str">
        <f ca="1">_xlfn.CONCAT("        ant: ",C26,",")</f>
        <v xml:space="preserve">        ant: "/src/index.html?canto=ohcieloslloveddeloalto",</v>
      </c>
    </row>
    <row r="27" spans="1:40" ht="23.25" x14ac:dyDescent="0.25">
      <c r="B27">
        <f ca="1">+C1+1</f>
        <v>125</v>
      </c>
      <c r="C27" t="str">
        <f ca="1">VLOOKUP(B27,Table4[],13,FALSE)</f>
        <v>"/src/index.html?canto=ohdiostueresmidios"</v>
      </c>
      <c r="L27" s="48" t="str">
        <f ca="1">_xlfn.CONCAT("        sig: ",C27,",")</f>
        <v xml:space="preserve">        sig: "/src/index.html?canto=ohdiostueresmidios",</v>
      </c>
    </row>
    <row r="28" spans="1:40" ht="23.25" x14ac:dyDescent="0.25">
      <c r="L28" s="46" t="s">
        <v>991</v>
      </c>
    </row>
    <row r="29" spans="1:40" ht="36" thickBot="1" x14ac:dyDescent="0.3">
      <c r="A29" s="49"/>
      <c r="B29" s="49"/>
      <c r="C29" s="49" t="s">
        <v>1029</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5.5" thickTop="1" thickBot="1" x14ac:dyDescent="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5.5" thickTop="1" thickBot="1" x14ac:dyDescent="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5.5" thickTop="1" thickBot="1" x14ac:dyDescent="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5.5" thickTop="1" thickBot="1" x14ac:dyDescent="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5.5" thickTop="1" thickBot="1" x14ac:dyDescent="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5.5" thickTop="1" thickBot="1" x14ac:dyDescent="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5.5" thickTop="1" thickBot="1" x14ac:dyDescent="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5.5" thickTop="1" thickBot="1" x14ac:dyDescent="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5.5" thickTop="1" thickBot="1" x14ac:dyDescent="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5.5" thickTop="1" thickBot="1" x14ac:dyDescent="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75" thickTop="1" thickBot="1" x14ac:dyDescent="0.4">
      <c r="A66" s="76"/>
      <c r="B66" s="76"/>
      <c r="C66" s="76" t="s">
        <v>1029</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5.5" thickTop="1" thickBot="1" x14ac:dyDescent="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5.5" thickTop="1" thickBot="1" x14ac:dyDescent="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5.5" thickTop="1" thickBot="1" x14ac:dyDescent="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5.5" thickTop="1" thickBot="1" x14ac:dyDescent="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5.5" thickTop="1" thickBot="1" x14ac:dyDescent="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5.5" thickTop="1" thickBot="1" x14ac:dyDescent="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5.5" thickTop="1" thickBot="1" x14ac:dyDescent="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5.5" thickTop="1" thickBot="1" x14ac:dyDescent="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5.5" thickTop="1" thickBot="1" x14ac:dyDescent="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5.5" thickTop="1" thickBot="1" x14ac:dyDescent="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5.5" thickTop="1" thickBot="1" x14ac:dyDescent="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5.5" thickTop="1" thickBot="1" x14ac:dyDescent="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5.5" thickTop="1" thickBot="1" x14ac:dyDescent="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5.5" thickTop="1" thickBot="1" x14ac:dyDescent="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5.5" thickTop="1" thickBot="1" x14ac:dyDescent="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5.5" thickTop="1" thickBot="1" x14ac:dyDescent="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5.5" thickTop="1" thickBot="1" x14ac:dyDescent="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5.5" thickTop="1" thickBot="1" x14ac:dyDescent="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5.5" thickTop="1" thickBot="1" x14ac:dyDescent="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5.5" thickTop="1" thickBot="1" x14ac:dyDescent="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5.5" thickTop="1" thickBot="1" x14ac:dyDescent="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5.5" thickTop="1" thickBot="1" x14ac:dyDescent="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4">
      <c r="A94" s="95"/>
      <c r="B94" s="95"/>
      <c r="C94" s="95"/>
      <c r="D94" s="95"/>
      <c r="E94" s="95"/>
      <c r="F94" s="95"/>
      <c r="G94" s="95"/>
      <c r="H94" s="95"/>
      <c r="I94" s="95"/>
      <c r="J94" s="95"/>
      <c r="K94" s="95"/>
      <c r="L94" s="99" t="str">
        <f ca="1">_xlfn.CONCAT("]}, // ULTIMA LINEA DEL CANTO: ",L1)</f>
        <v xml:space="preserve">]}, // ULTIMA LINEA DEL CANTO: OH DIOS, POR TU NOMBRE </v>
      </c>
      <c r="M94" s="95"/>
    </row>
    <row r="95" spans="1:40" ht="20.25" x14ac:dyDescent="0.25">
      <c r="L95" s="100" t="s">
        <v>1008</v>
      </c>
      <c r="M95" s="101"/>
    </row>
    <row r="96" spans="1:40" ht="15.75" thickBot="1" x14ac:dyDescent="0.3">
      <c r="M96" s="101"/>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5.5" thickTop="1" thickBot="1" x14ac:dyDescent="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5.5" thickTop="1" thickBot="1" x14ac:dyDescent="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5.5" thickTop="1" thickBot="1" x14ac:dyDescent="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5.5" thickTop="1" thickBot="1" x14ac:dyDescent="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5.5" thickTop="1" thickBot="1" x14ac:dyDescent="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5.5" thickTop="1" thickBot="1" x14ac:dyDescent="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5.5" thickTop="1" thickBot="1" x14ac:dyDescent="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7.75"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125</v>
      </c>
      <c r="E1" s="40"/>
      <c r="F1" s="40"/>
      <c r="G1" s="40"/>
      <c r="H1" s="40"/>
      <c r="I1" s="40"/>
      <c r="J1" s="40"/>
      <c r="K1" s="40"/>
      <c r="L1" s="41" t="str">
        <f ca="1">UPPER(VLOOKUP(C1,Table223[],3,FALSE))</f>
        <v xml:space="preserve">OH DIOS, TÚ ERES MI DIOS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OH DIOS, TÚ ERES MI DIOS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ohdiostueresmidios</v>
      </c>
      <c r="L7" s="48" t="str">
        <f ca="1">_xlfn.CONCAT("        id: ","""",C7,"""",",")</f>
        <v xml:space="preserve">        id: "ohdiostueresmidios",</v>
      </c>
    </row>
    <row r="8" spans="2:32" ht="23.25" x14ac:dyDescent="0.25">
      <c r="C8" t="str">
        <f ca="1">PROPER(L1)</f>
        <v xml:space="preserve">Oh Dios, Tú Eres Mi Dios </v>
      </c>
      <c r="L8" s="48" t="str">
        <f ca="1">_xlfn.CONCAT("        tt: ","""",C8,"""",",")</f>
        <v xml:space="preserve">        tt: "Oh Dios, Tú Eres Mi Dios ",</v>
      </c>
    </row>
    <row r="9" spans="2:32" ht="23.25" x14ac:dyDescent="0.25">
      <c r="C9" t="str">
        <f ca="1">PROPER(L1)</f>
        <v xml:space="preserve">Oh Dios, Tú Eres Mi Dios </v>
      </c>
      <c r="L9" s="48" t="str">
        <f ca="1">_xlfn.CONCAT("        title: ","""",C9,"""",",")</f>
        <v xml:space="preserve">        title: "Oh Dios, Tú Eres Mi Dios ",</v>
      </c>
    </row>
    <row r="10" spans="2:32" ht="23.25" x14ac:dyDescent="0.25">
      <c r="C10" t="str">
        <f ca="1">VLOOKUP(C1,Table223[],4,FALSE)</f>
        <v>Salmo 63 (62)</v>
      </c>
      <c r="L10" s="48" t="str">
        <f ca="1">_xlfn.CONCAT("        ","subtitle: ","""",C10,"""",",")</f>
        <v xml:space="preserve">        subtitle: "Salmo 63 (62)",</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125</v>
      </c>
      <c r="L16" s="48" t="str">
        <f ca="1">_xlfn.CONCAT("        dbno: ","""",C16,"""",",")</f>
        <v xml:space="preserve">        dbno: "125",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ohdiostueresmidios</v>
      </c>
      <c r="L19" s="48" t="str">
        <f ca="1">_xlfn.CONCAT("        audioSrc: ","""/audio/",C19,".mp3""",",")</f>
        <v xml:space="preserve">        audioSrc: "/audio/ohdiostueresmidios.mp3",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124</v>
      </c>
      <c r="C26" t="str">
        <f ca="1">VLOOKUP(B26,Table4[],13,FALSE)</f>
        <v>"/src/index.html?canto=ohdiosportunombre"</v>
      </c>
      <c r="L26" s="48" t="str">
        <f ca="1">_xlfn.CONCAT("        ant: ",C26,",")</f>
        <v xml:space="preserve">        ant: "/src/index.html?canto=ohdiosportunombre",</v>
      </c>
    </row>
    <row r="27" spans="1:40" ht="23.25" x14ac:dyDescent="0.25">
      <c r="B27">
        <f ca="1">+C1+1</f>
        <v>126</v>
      </c>
      <c r="C27" t="str">
        <f ca="1">VLOOKUP(B27,Table4[],13,FALSE)</f>
        <v>"/src/index.html?canto=ohjesusamormio"</v>
      </c>
      <c r="L27" s="48" t="str">
        <f ca="1">_xlfn.CONCAT("        sig: ",C27,",")</f>
        <v xml:space="preserve">        sig: "/src/index.html?canto=ohjesusamormio",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xml:space="preserve">]}, // ULTIMA LINEA DEL CANTO: OH DIOS, TÚ ERES MI DIOS </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code</vt:lpstr>
      <vt:lpstr>Indice</vt:lpstr>
      <vt:lpstr>Index</vt:lpstr>
      <vt:lpstr>Index Web</vt:lpstr>
      <vt:lpstr>cantosJS</vt:lpstr>
      <vt:lpstr>Find</vt:lpstr>
      <vt:lpstr>html</vt:lpstr>
      <vt:lpstr>OH CIELOS, LLOVED DE LO ALTO</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2025-09-18T17:08:28Z</dcterms:modified>
</cp:coreProperties>
</file>