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23C4FABB-772B-402C-BE14-AE109369908A}" xr6:coauthVersionLast="47" xr6:coauthVersionMax="47" xr10:uidLastSave="{00000000-0000-0000-0000-000000000000}"/>
  <bookViews>
    <workbookView xWindow="-120" yWindow="-120" windowWidth="51840" windowHeight="21120" tabRatio="693" activeTab="7"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QUIÉN ES ESTA QUE SUBE DEL DESI" sheetId="79" r:id="rId8"/>
    <sheet name="QUIERO ANDAR, MADRE, A JERUSALÉ" sheetId="78" r:id="rId9"/>
    <sheet name="MARIA, MADRE MÍA" sheetId="7" r:id="rId10"/>
    <sheet name="boceto" sheetId="36" state="hidden" r:id="rId11"/>
  </sheets>
  <functionGroups builtInGroupCount="19"/>
  <externalReferences>
    <externalReference r:id="rId12"/>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58" i="79" l="1"/>
  <c r="AI58" i="79"/>
  <c r="AH58" i="79"/>
  <c r="AD58" i="79"/>
  <c r="AB58" i="79"/>
  <c r="AA58" i="79"/>
  <c r="W58" i="79"/>
  <c r="U58" i="79"/>
  <c r="T58" i="79"/>
  <c r="P58" i="79"/>
  <c r="N58" i="79"/>
  <c r="M58" i="79"/>
  <c r="AK57" i="79"/>
  <c r="AI57" i="79"/>
  <c r="AH57" i="79"/>
  <c r="AD57" i="79"/>
  <c r="AB57" i="79"/>
  <c r="AA57" i="79"/>
  <c r="W57" i="79"/>
  <c r="U57" i="79"/>
  <c r="T57" i="79"/>
  <c r="S57" i="79"/>
  <c r="P57" i="79"/>
  <c r="N57" i="79"/>
  <c r="R57" i="79" s="1"/>
  <c r="M57" i="79"/>
  <c r="AK56" i="79"/>
  <c r="AI56" i="79"/>
  <c r="AH56" i="79"/>
  <c r="AD56" i="79"/>
  <c r="AB56" i="79"/>
  <c r="W56" i="79"/>
  <c r="U56" i="79"/>
  <c r="P56" i="79"/>
  <c r="N56" i="79"/>
  <c r="M56" i="79"/>
  <c r="AK55" i="79"/>
  <c r="AI55" i="79"/>
  <c r="AH55" i="79"/>
  <c r="AD55" i="79"/>
  <c r="AB55" i="79"/>
  <c r="AA55" i="79"/>
  <c r="W55" i="79"/>
  <c r="U55" i="79"/>
  <c r="P55" i="79"/>
  <c r="N55" i="79"/>
  <c r="M55" i="79"/>
  <c r="AK54" i="79"/>
  <c r="AI54" i="79"/>
  <c r="AH54" i="79"/>
  <c r="AD54" i="79"/>
  <c r="AB54" i="79"/>
  <c r="AA54" i="79"/>
  <c r="W54" i="79"/>
  <c r="U54" i="79"/>
  <c r="T54" i="79"/>
  <c r="P54" i="79"/>
  <c r="N54" i="79"/>
  <c r="M54" i="79"/>
  <c r="R53" i="79"/>
  <c r="R45" i="79"/>
  <c r="AK44" i="79"/>
  <c r="AI44" i="79"/>
  <c r="AH44" i="79" s="1"/>
  <c r="AD44" i="79"/>
  <c r="AB44" i="79"/>
  <c r="AA44" i="79" s="1"/>
  <c r="W44" i="79"/>
  <c r="U44" i="79"/>
  <c r="T44" i="79" s="1"/>
  <c r="P44" i="79"/>
  <c r="N44" i="79"/>
  <c r="M44" i="79" s="1"/>
  <c r="AK43" i="79"/>
  <c r="AI43" i="79"/>
  <c r="AH43" i="79"/>
  <c r="AD43" i="79"/>
  <c r="AB43" i="79"/>
  <c r="AA43" i="79"/>
  <c r="W43" i="79"/>
  <c r="U43" i="79"/>
  <c r="T43" i="79" s="1"/>
  <c r="P43" i="79"/>
  <c r="N43" i="79"/>
  <c r="M43" i="79" s="1"/>
  <c r="AK42" i="79"/>
  <c r="AI42" i="79"/>
  <c r="AH42" i="79"/>
  <c r="AD42" i="79"/>
  <c r="AB42" i="79"/>
  <c r="AF42" i="79" s="1"/>
  <c r="W42" i="79"/>
  <c r="U42" i="79"/>
  <c r="T42" i="79" s="1"/>
  <c r="P42" i="79"/>
  <c r="N42" i="79"/>
  <c r="M42" i="79" s="1"/>
  <c r="AK41" i="79"/>
  <c r="AI41" i="79"/>
  <c r="AD41" i="79"/>
  <c r="AB41" i="79"/>
  <c r="W41" i="79"/>
  <c r="U41" i="79"/>
  <c r="P41" i="79"/>
  <c r="N41" i="79"/>
  <c r="AK40" i="79"/>
  <c r="AI40" i="79"/>
  <c r="AD40" i="79"/>
  <c r="AB40" i="79"/>
  <c r="W40" i="79"/>
  <c r="U40" i="79"/>
  <c r="P40" i="79"/>
  <c r="N40" i="79"/>
  <c r="M40" i="79" s="1"/>
  <c r="R39" i="79"/>
  <c r="R59" i="79"/>
  <c r="AK52" i="79"/>
  <c r="AI52" i="79"/>
  <c r="AD52" i="79"/>
  <c r="AB52" i="79"/>
  <c r="W52" i="79"/>
  <c r="U52" i="79"/>
  <c r="P52" i="79"/>
  <c r="N52" i="79"/>
  <c r="AK51" i="79"/>
  <c r="AI51" i="79"/>
  <c r="AD51" i="79"/>
  <c r="AB51" i="79"/>
  <c r="W51" i="79"/>
  <c r="U51" i="79"/>
  <c r="P51" i="79"/>
  <c r="N51" i="79"/>
  <c r="AK50" i="79"/>
  <c r="AI50" i="79"/>
  <c r="AD50" i="79"/>
  <c r="AB50" i="79"/>
  <c r="W50" i="79"/>
  <c r="U50" i="79"/>
  <c r="P50" i="79"/>
  <c r="N50" i="79"/>
  <c r="AK49" i="79"/>
  <c r="AI49" i="79"/>
  <c r="AD49" i="79"/>
  <c r="AB49" i="79"/>
  <c r="W49" i="79"/>
  <c r="U49" i="79"/>
  <c r="P49" i="79"/>
  <c r="N49" i="79"/>
  <c r="AK48" i="79"/>
  <c r="AI48" i="79"/>
  <c r="AD48" i="79"/>
  <c r="AB48" i="79"/>
  <c r="W48" i="79"/>
  <c r="U48" i="79"/>
  <c r="P48" i="79"/>
  <c r="N48" i="79"/>
  <c r="AK47" i="79"/>
  <c r="AI47" i="79"/>
  <c r="AD47" i="79"/>
  <c r="AB47" i="79"/>
  <c r="W47" i="79"/>
  <c r="U47" i="79"/>
  <c r="P47" i="79"/>
  <c r="N47" i="79"/>
  <c r="AK46" i="79"/>
  <c r="AI46" i="79"/>
  <c r="AD46" i="79"/>
  <c r="AB46" i="79"/>
  <c r="W46" i="79"/>
  <c r="U46" i="79"/>
  <c r="P46" i="79"/>
  <c r="N46" i="79"/>
  <c r="AK38" i="79"/>
  <c r="AI38" i="79"/>
  <c r="AD38" i="79"/>
  <c r="AB38" i="79"/>
  <c r="W38" i="79"/>
  <c r="U38" i="79"/>
  <c r="P38" i="79"/>
  <c r="N38" i="79"/>
  <c r="M38" i="79" s="1"/>
  <c r="AK37" i="79"/>
  <c r="AI37" i="79"/>
  <c r="AD37" i="79"/>
  <c r="AB37" i="79"/>
  <c r="W37" i="79"/>
  <c r="U37" i="79"/>
  <c r="P37" i="79"/>
  <c r="N37" i="79"/>
  <c r="AK36" i="79"/>
  <c r="AI36" i="79"/>
  <c r="AD36" i="79"/>
  <c r="AB36" i="79"/>
  <c r="W36" i="79"/>
  <c r="U36" i="79"/>
  <c r="P36" i="79"/>
  <c r="N36" i="79"/>
  <c r="AK35" i="79"/>
  <c r="AI35" i="79"/>
  <c r="AD35" i="79"/>
  <c r="AB35" i="79"/>
  <c r="W35" i="79"/>
  <c r="U35" i="79"/>
  <c r="P35" i="79"/>
  <c r="N35" i="79"/>
  <c r="M35" i="79" s="1"/>
  <c r="AK33" i="79"/>
  <c r="AI33" i="79"/>
  <c r="AD33" i="79"/>
  <c r="AB33" i="79"/>
  <c r="W33" i="79"/>
  <c r="U33" i="79"/>
  <c r="P33" i="79"/>
  <c r="N33" i="79"/>
  <c r="AK32" i="79"/>
  <c r="AI32" i="79"/>
  <c r="AD32" i="79"/>
  <c r="AB32" i="79"/>
  <c r="W32" i="79"/>
  <c r="U32" i="79"/>
  <c r="P32" i="79"/>
  <c r="N32" i="79"/>
  <c r="AK31" i="79"/>
  <c r="AI31" i="79"/>
  <c r="AD31" i="79"/>
  <c r="AB31" i="79"/>
  <c r="W31" i="79"/>
  <c r="U31" i="79"/>
  <c r="P31" i="79"/>
  <c r="N31" i="79"/>
  <c r="M31" i="79" s="1"/>
  <c r="AK30" i="79"/>
  <c r="AI30" i="79"/>
  <c r="AD30" i="79"/>
  <c r="AB30" i="79"/>
  <c r="W30" i="79"/>
  <c r="U30" i="79"/>
  <c r="P30" i="79"/>
  <c r="N30" i="79"/>
  <c r="R34" i="79"/>
  <c r="L18" i="79"/>
  <c r="L17" i="79"/>
  <c r="L15" i="79"/>
  <c r="L14" i="79"/>
  <c r="L13" i="79"/>
  <c r="R40" i="78"/>
  <c r="R57" i="78"/>
  <c r="AK56" i="78"/>
  <c r="AI56" i="78"/>
  <c r="AH56" i="78" s="1"/>
  <c r="AD56" i="78"/>
  <c r="AB56" i="78"/>
  <c r="AG56" i="78" s="1"/>
  <c r="W56" i="78"/>
  <c r="U56" i="78"/>
  <c r="Y56" i="78" s="1"/>
  <c r="P56" i="78"/>
  <c r="N56" i="78"/>
  <c r="Q56" i="78" s="1"/>
  <c r="AK55" i="78"/>
  <c r="AI55" i="78"/>
  <c r="AJ55" i="78" s="1"/>
  <c r="AD55" i="78"/>
  <c r="AB55" i="78"/>
  <c r="AC55" i="78" s="1"/>
  <c r="W55" i="78"/>
  <c r="U55" i="78"/>
  <c r="T55" i="78" s="1"/>
  <c r="P55" i="78"/>
  <c r="N55" i="78"/>
  <c r="AK54" i="78"/>
  <c r="AI54" i="78"/>
  <c r="AJ54" i="78" s="1"/>
  <c r="AD54" i="78"/>
  <c r="AB54" i="78"/>
  <c r="AA54" i="78" s="1"/>
  <c r="W54" i="78"/>
  <c r="U54" i="78"/>
  <c r="Z54" i="78" s="1"/>
  <c r="P54" i="78"/>
  <c r="N54" i="78"/>
  <c r="R54" i="78" s="1"/>
  <c r="AK53" i="78"/>
  <c r="AI53" i="78"/>
  <c r="AM53" i="78" s="1"/>
  <c r="AD53" i="78"/>
  <c r="AB53" i="78"/>
  <c r="AE53" i="78" s="1"/>
  <c r="W53" i="78"/>
  <c r="U53" i="78"/>
  <c r="V53" i="78" s="1"/>
  <c r="P53" i="78"/>
  <c r="N53" i="78"/>
  <c r="O53" i="78" s="1"/>
  <c r="AK52" i="78"/>
  <c r="AI52" i="78"/>
  <c r="AJ52" i="78" s="1"/>
  <c r="AD52" i="78"/>
  <c r="AB52" i="78"/>
  <c r="AG52" i="78" s="1"/>
  <c r="W52" i="78"/>
  <c r="U52" i="78"/>
  <c r="V52" i="78" s="1"/>
  <c r="P52" i="78"/>
  <c r="N52" i="78"/>
  <c r="M52" i="78" s="1"/>
  <c r="R51" i="78"/>
  <c r="AK60" i="78"/>
  <c r="AI60" i="78"/>
  <c r="AD60" i="78"/>
  <c r="AB60" i="78"/>
  <c r="AA60" i="78" s="1"/>
  <c r="W60" i="78"/>
  <c r="U60" i="78"/>
  <c r="X60" i="78" s="1"/>
  <c r="P60" i="78"/>
  <c r="N60" i="78"/>
  <c r="AK59" i="78"/>
  <c r="AI59" i="78"/>
  <c r="AN59" i="78" s="1"/>
  <c r="AD59" i="78"/>
  <c r="AB59" i="78"/>
  <c r="AC59" i="78" s="1"/>
  <c r="W59" i="78"/>
  <c r="U59" i="78"/>
  <c r="Z59" i="78" s="1"/>
  <c r="P59" i="78"/>
  <c r="N59" i="78"/>
  <c r="AK58" i="78"/>
  <c r="AI58" i="78"/>
  <c r="AN58" i="78" s="1"/>
  <c r="AD58" i="78"/>
  <c r="AB58" i="78"/>
  <c r="W58" i="78"/>
  <c r="U58" i="78"/>
  <c r="T58" i="78" s="1"/>
  <c r="P58" i="78"/>
  <c r="N58" i="78"/>
  <c r="M58" i="78" s="1"/>
  <c r="AK50" i="78"/>
  <c r="AI50" i="78"/>
  <c r="AM50" i="78" s="1"/>
  <c r="AD50" i="78"/>
  <c r="AB50" i="78"/>
  <c r="AA50" i="78" s="1"/>
  <c r="W50" i="78"/>
  <c r="U50" i="78"/>
  <c r="Y50" i="78" s="1"/>
  <c r="P50" i="78"/>
  <c r="N50" i="78"/>
  <c r="S50" i="78" s="1"/>
  <c r="AK49" i="78"/>
  <c r="AI49" i="78"/>
  <c r="AD49" i="78"/>
  <c r="AB49" i="78"/>
  <c r="AA49" i="78" s="1"/>
  <c r="W49" i="78"/>
  <c r="U49" i="78"/>
  <c r="X49" i="78" s="1"/>
  <c r="P49" i="78"/>
  <c r="N49" i="78"/>
  <c r="S49" i="78" s="1"/>
  <c r="AK48" i="78"/>
  <c r="AI48" i="78"/>
  <c r="AN48" i="78" s="1"/>
  <c r="AD48" i="78"/>
  <c r="AB48" i="78"/>
  <c r="AC48" i="78" s="1"/>
  <c r="W48" i="78"/>
  <c r="U48" i="78"/>
  <c r="Y48" i="78" s="1"/>
  <c r="P48" i="78"/>
  <c r="N48" i="78"/>
  <c r="O48" i="78" s="1"/>
  <c r="AK47" i="78"/>
  <c r="AI47" i="78"/>
  <c r="AD47" i="78"/>
  <c r="AB47" i="78"/>
  <c r="AC47" i="78" s="1"/>
  <c r="W47" i="78"/>
  <c r="U47" i="78"/>
  <c r="Z47" i="78" s="1"/>
  <c r="P47" i="78"/>
  <c r="N47" i="78"/>
  <c r="O47" i="78" s="1"/>
  <c r="AK46" i="78"/>
  <c r="AI46" i="78"/>
  <c r="AH46" i="78" s="1"/>
  <c r="AD46" i="78"/>
  <c r="AB46" i="78"/>
  <c r="AE46" i="78" s="1"/>
  <c r="W46" i="78"/>
  <c r="U46" i="78"/>
  <c r="V46" i="78" s="1"/>
  <c r="P46" i="78"/>
  <c r="N46" i="78"/>
  <c r="O46" i="78" s="1"/>
  <c r="AK45" i="78"/>
  <c r="AI45" i="78"/>
  <c r="AH45" i="78" s="1"/>
  <c r="AD45" i="78"/>
  <c r="AB45" i="78"/>
  <c r="AA45" i="78" s="1"/>
  <c r="W45" i="78"/>
  <c r="U45" i="78"/>
  <c r="P45" i="78"/>
  <c r="N45" i="78"/>
  <c r="R44" i="78"/>
  <c r="AK43" i="78"/>
  <c r="AI43" i="78"/>
  <c r="AM43" i="78" s="1"/>
  <c r="AD43" i="78"/>
  <c r="AB43" i="78"/>
  <c r="AC43" i="78" s="1"/>
  <c r="W43" i="78"/>
  <c r="U43" i="78"/>
  <c r="V43" i="78" s="1"/>
  <c r="P43" i="78"/>
  <c r="N43" i="78"/>
  <c r="M43" i="78" s="1"/>
  <c r="AK42" i="78"/>
  <c r="AI42" i="78"/>
  <c r="AH42" i="78" s="1"/>
  <c r="AD42" i="78"/>
  <c r="AB42" i="78"/>
  <c r="AG42" i="78" s="1"/>
  <c r="W42" i="78"/>
  <c r="U42" i="78"/>
  <c r="Z42" i="78" s="1"/>
  <c r="P42" i="78"/>
  <c r="N42" i="78"/>
  <c r="R42" i="78" s="1"/>
  <c r="AK41" i="78"/>
  <c r="AI41" i="78"/>
  <c r="AM41" i="78" s="1"/>
  <c r="AD41" i="78"/>
  <c r="AB41" i="78"/>
  <c r="AE41" i="78" s="1"/>
  <c r="W41" i="78"/>
  <c r="U41" i="78"/>
  <c r="T41" i="78" s="1"/>
  <c r="P41" i="78"/>
  <c r="N41" i="78"/>
  <c r="O41" i="78" s="1"/>
  <c r="AK39" i="78"/>
  <c r="AI39" i="78"/>
  <c r="AJ39" i="78" s="1"/>
  <c r="AD39" i="78"/>
  <c r="AB39" i="78"/>
  <c r="AC39" i="78" s="1"/>
  <c r="W39" i="78"/>
  <c r="U39" i="78"/>
  <c r="T39" i="78" s="1"/>
  <c r="P39" i="78"/>
  <c r="N39" i="78"/>
  <c r="S39" i="78" s="1"/>
  <c r="AK38" i="78"/>
  <c r="AI38" i="78"/>
  <c r="AN38" i="78" s="1"/>
  <c r="AD38" i="78"/>
  <c r="AB38" i="78"/>
  <c r="AG38" i="78" s="1"/>
  <c r="W38" i="78"/>
  <c r="U38" i="78"/>
  <c r="Y38" i="78" s="1"/>
  <c r="P38" i="78"/>
  <c r="N38" i="78"/>
  <c r="Q38" i="78" s="1"/>
  <c r="AK37" i="78"/>
  <c r="AI37" i="78"/>
  <c r="AL37" i="78" s="1"/>
  <c r="AD37" i="78"/>
  <c r="AB37" i="78"/>
  <c r="AC37" i="78" s="1"/>
  <c r="W37" i="78"/>
  <c r="U37" i="78"/>
  <c r="V37" i="78" s="1"/>
  <c r="P37" i="78"/>
  <c r="N37" i="78"/>
  <c r="S37" i="78" s="1"/>
  <c r="AK36" i="78"/>
  <c r="AI36" i="78"/>
  <c r="AM36" i="78" s="1"/>
  <c r="AD36" i="78"/>
  <c r="AB36" i="78"/>
  <c r="AA36" i="78" s="1"/>
  <c r="W36" i="78"/>
  <c r="U36" i="78"/>
  <c r="Z36" i="78" s="1"/>
  <c r="P36" i="78"/>
  <c r="N36" i="78"/>
  <c r="S36" i="78" s="1"/>
  <c r="AK34" i="78"/>
  <c r="AI34" i="78"/>
  <c r="AN34" i="78" s="1"/>
  <c r="AD34" i="78"/>
  <c r="AB34" i="78"/>
  <c r="AF34" i="78" s="1"/>
  <c r="W34" i="78"/>
  <c r="U34" i="78"/>
  <c r="X34" i="78" s="1"/>
  <c r="P34" i="78"/>
  <c r="N34" i="78"/>
  <c r="R34" i="78" s="1"/>
  <c r="AK33" i="78"/>
  <c r="AI33" i="78"/>
  <c r="AL33" i="78" s="1"/>
  <c r="AD33" i="78"/>
  <c r="AB33" i="78"/>
  <c r="AC33" i="78" s="1"/>
  <c r="W33" i="78"/>
  <c r="U33" i="78"/>
  <c r="X33" i="78" s="1"/>
  <c r="P33" i="78"/>
  <c r="N33" i="78"/>
  <c r="M33" i="78" s="1"/>
  <c r="AK32" i="78"/>
  <c r="AI32" i="78"/>
  <c r="AH32" i="78" s="1"/>
  <c r="AD32" i="78"/>
  <c r="AB32" i="78"/>
  <c r="AG32" i="78" s="1"/>
  <c r="W32" i="78"/>
  <c r="U32" i="78"/>
  <c r="Z32" i="78" s="1"/>
  <c r="P32" i="78"/>
  <c r="N32" i="78"/>
  <c r="R32" i="78" s="1"/>
  <c r="AK31" i="78"/>
  <c r="AI31" i="78"/>
  <c r="AM31" i="78" s="1"/>
  <c r="AD31" i="78"/>
  <c r="AB31" i="78"/>
  <c r="AE31" i="78" s="1"/>
  <c r="W31" i="78"/>
  <c r="U31" i="78"/>
  <c r="V31" i="78" s="1"/>
  <c r="P31" i="78"/>
  <c r="N31" i="78"/>
  <c r="O31" i="78" s="1"/>
  <c r="AK30" i="78"/>
  <c r="AI30" i="78"/>
  <c r="AJ30" i="78" s="1"/>
  <c r="AD30" i="78"/>
  <c r="AB30" i="78"/>
  <c r="AA30" i="78" s="1"/>
  <c r="W30" i="78"/>
  <c r="U30" i="78"/>
  <c r="T30" i="78" s="1"/>
  <c r="P30" i="78"/>
  <c r="N30" i="78"/>
  <c r="O30" i="78" s="1"/>
  <c r="R35" i="78"/>
  <c r="L18" i="78"/>
  <c r="L17" i="78"/>
  <c r="L15" i="78"/>
  <c r="L14" i="78"/>
  <c r="L13" i="78"/>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AN58" i="79" l="1"/>
  <c r="AM58" i="79"/>
  <c r="AL58" i="79"/>
  <c r="AJ58" i="79"/>
  <c r="AG58" i="79"/>
  <c r="AF58" i="79"/>
  <c r="AE58" i="79"/>
  <c r="AC58" i="79"/>
  <c r="Z58" i="79"/>
  <c r="Y58" i="79"/>
  <c r="X58" i="79"/>
  <c r="V58" i="79"/>
  <c r="S58" i="79"/>
  <c r="R58" i="79"/>
  <c r="Q58" i="79"/>
  <c r="O58" i="79"/>
  <c r="L58" i="79" s="1"/>
  <c r="AJ57" i="79"/>
  <c r="AL57" i="79"/>
  <c r="AM57" i="79"/>
  <c r="AN57" i="79"/>
  <c r="AC57" i="79"/>
  <c r="AG57" i="79"/>
  <c r="AF57" i="79"/>
  <c r="AE57" i="79"/>
  <c r="V57" i="79"/>
  <c r="Z57" i="79"/>
  <c r="Y57" i="79"/>
  <c r="X57" i="79"/>
  <c r="Q57" i="79"/>
  <c r="O57" i="79"/>
  <c r="L57" i="79" s="1"/>
  <c r="AL56" i="79"/>
  <c r="AJ56" i="79"/>
  <c r="AM56" i="79"/>
  <c r="AN56" i="79"/>
  <c r="AA56" i="79"/>
  <c r="AC56" i="79"/>
  <c r="AE56" i="79"/>
  <c r="AF56" i="79"/>
  <c r="AG56" i="79"/>
  <c r="T56" i="79"/>
  <c r="Z56" i="79"/>
  <c r="Y56" i="79"/>
  <c r="X56" i="79"/>
  <c r="V56" i="79"/>
  <c r="S56" i="79"/>
  <c r="Q56" i="79"/>
  <c r="R56" i="79"/>
  <c r="O56" i="79"/>
  <c r="L56" i="79" s="1"/>
  <c r="AN55" i="79"/>
  <c r="AM55" i="79"/>
  <c r="AL55" i="79"/>
  <c r="AJ55" i="79"/>
  <c r="AC55" i="79"/>
  <c r="AG55" i="79"/>
  <c r="AF55" i="79"/>
  <c r="AE55" i="79"/>
  <c r="V55" i="79"/>
  <c r="T55" i="79"/>
  <c r="X55" i="79"/>
  <c r="Y55" i="79"/>
  <c r="Z55" i="79"/>
  <c r="S55" i="79"/>
  <c r="R55" i="79"/>
  <c r="Q55" i="79"/>
  <c r="O55" i="79"/>
  <c r="L55" i="79" s="1"/>
  <c r="AJ54" i="79"/>
  <c r="AL54" i="79"/>
  <c r="AM54" i="79"/>
  <c r="AN54" i="79"/>
  <c r="AE54" i="79"/>
  <c r="AC54" i="79"/>
  <c r="AF54" i="79"/>
  <c r="AG54" i="79"/>
  <c r="X54" i="79"/>
  <c r="Y54" i="79"/>
  <c r="Z54" i="79"/>
  <c r="V54" i="79"/>
  <c r="Q54" i="79"/>
  <c r="O54" i="79"/>
  <c r="R54" i="79"/>
  <c r="S54" i="79"/>
  <c r="AN44" i="79"/>
  <c r="AJ44" i="79"/>
  <c r="AL44" i="79"/>
  <c r="AM44" i="79"/>
  <c r="AE44" i="79"/>
  <c r="AG44" i="79"/>
  <c r="AF44" i="79"/>
  <c r="AC44" i="79"/>
  <c r="X44" i="79"/>
  <c r="Y44" i="79"/>
  <c r="Z44" i="79"/>
  <c r="V44" i="79"/>
  <c r="Q44" i="79"/>
  <c r="R44" i="79"/>
  <c r="S44" i="79"/>
  <c r="O44" i="79"/>
  <c r="AL43" i="79"/>
  <c r="AM43" i="79"/>
  <c r="AJ43" i="79"/>
  <c r="AN43" i="79"/>
  <c r="AF43" i="79"/>
  <c r="AG43" i="79"/>
  <c r="AE43" i="79"/>
  <c r="AC43" i="79"/>
  <c r="Z43" i="79"/>
  <c r="Y43" i="79"/>
  <c r="X43" i="79"/>
  <c r="V43" i="79"/>
  <c r="R43" i="79"/>
  <c r="Q43" i="79"/>
  <c r="O43" i="79"/>
  <c r="S43" i="79"/>
  <c r="AN42" i="79"/>
  <c r="AM42" i="79"/>
  <c r="AL42" i="79"/>
  <c r="AJ42" i="79"/>
  <c r="AG42" i="79"/>
  <c r="AE42" i="79"/>
  <c r="AC42" i="79"/>
  <c r="AA42" i="79"/>
  <c r="Y42" i="79"/>
  <c r="Z42" i="79"/>
  <c r="V42" i="79"/>
  <c r="X42" i="79"/>
  <c r="S42" i="79"/>
  <c r="R42" i="79"/>
  <c r="Q42" i="79"/>
  <c r="O42" i="79"/>
  <c r="AH41" i="79"/>
  <c r="AM41" i="79"/>
  <c r="AJ41" i="79"/>
  <c r="AN41" i="79"/>
  <c r="AL41" i="79"/>
  <c r="AF41" i="79"/>
  <c r="AG41" i="79"/>
  <c r="AC41" i="79"/>
  <c r="AA41" i="79"/>
  <c r="AE41" i="79"/>
  <c r="X41" i="79"/>
  <c r="T41" i="79"/>
  <c r="Z41" i="79"/>
  <c r="V41" i="79"/>
  <c r="Y41" i="79"/>
  <c r="R41" i="79"/>
  <c r="O41" i="79"/>
  <c r="S41" i="79"/>
  <c r="Q41" i="79"/>
  <c r="M41" i="79"/>
  <c r="AL40" i="79"/>
  <c r="AJ40" i="79"/>
  <c r="AN40" i="79"/>
  <c r="AM40" i="79"/>
  <c r="AH40" i="79"/>
  <c r="AA40" i="79"/>
  <c r="AG40" i="79"/>
  <c r="AE40" i="79"/>
  <c r="AC40" i="79"/>
  <c r="AF40" i="79"/>
  <c r="V40" i="79"/>
  <c r="Z40" i="79"/>
  <c r="X40" i="79"/>
  <c r="Y40" i="79"/>
  <c r="T40" i="79"/>
  <c r="O40" i="79"/>
  <c r="S40" i="79"/>
  <c r="R40" i="79"/>
  <c r="Q40" i="79"/>
  <c r="AJ52" i="79"/>
  <c r="AM52" i="79"/>
  <c r="AL52" i="79"/>
  <c r="AN52" i="79"/>
  <c r="AH52" i="79"/>
  <c r="AF52" i="79"/>
  <c r="AC52" i="79"/>
  <c r="AA52" i="79"/>
  <c r="AG52" i="79"/>
  <c r="AE52" i="79"/>
  <c r="X52" i="79"/>
  <c r="V52" i="79"/>
  <c r="T52" i="79"/>
  <c r="Z52" i="79"/>
  <c r="Y52" i="79"/>
  <c r="R52" i="79"/>
  <c r="M52" i="79"/>
  <c r="O52" i="79"/>
  <c r="S52" i="79"/>
  <c r="Q52" i="79"/>
  <c r="AM51" i="79"/>
  <c r="AN51" i="79"/>
  <c r="AL51" i="79"/>
  <c r="AJ51" i="79"/>
  <c r="AH51" i="79"/>
  <c r="AC51" i="79"/>
  <c r="AA51" i="79"/>
  <c r="AE51" i="79"/>
  <c r="AF51" i="79"/>
  <c r="AG51" i="79"/>
  <c r="V51" i="79"/>
  <c r="Z51" i="79"/>
  <c r="Y51" i="79"/>
  <c r="X51" i="79"/>
  <c r="T51" i="79"/>
  <c r="O51" i="79"/>
  <c r="R51" i="79"/>
  <c r="Q51" i="79"/>
  <c r="M51" i="79"/>
  <c r="S51" i="79"/>
  <c r="AH50" i="79"/>
  <c r="AJ50" i="79"/>
  <c r="AM50" i="79"/>
  <c r="AL50" i="79"/>
  <c r="AN50" i="79"/>
  <c r="AE50" i="79"/>
  <c r="AG50" i="79"/>
  <c r="AC50" i="79"/>
  <c r="AA50" i="79"/>
  <c r="AF50" i="79"/>
  <c r="V50" i="79"/>
  <c r="Y50" i="79"/>
  <c r="T50" i="79"/>
  <c r="Z50" i="79"/>
  <c r="X50" i="79"/>
  <c r="O50" i="79"/>
  <c r="Q50" i="79"/>
  <c r="M50" i="79"/>
  <c r="S50" i="79"/>
  <c r="R50" i="79"/>
  <c r="AJ49" i="79"/>
  <c r="AH49" i="79"/>
  <c r="AN49" i="79"/>
  <c r="AM49" i="79"/>
  <c r="AL49" i="79"/>
  <c r="AE49" i="79"/>
  <c r="AG49" i="79"/>
  <c r="AC49" i="79"/>
  <c r="AF49" i="79"/>
  <c r="AA49" i="79"/>
  <c r="Y49" i="79"/>
  <c r="Z49" i="79"/>
  <c r="X49" i="79"/>
  <c r="V49" i="79"/>
  <c r="T49" i="79"/>
  <c r="R49" i="79"/>
  <c r="O49" i="79"/>
  <c r="S49" i="79"/>
  <c r="Q49" i="79"/>
  <c r="M49" i="79"/>
  <c r="AH48" i="79"/>
  <c r="AL48" i="79"/>
  <c r="AM48" i="79"/>
  <c r="AJ48" i="79"/>
  <c r="AN48" i="79"/>
  <c r="AC48" i="79"/>
  <c r="AF48" i="79"/>
  <c r="AG48" i="79"/>
  <c r="AE48" i="79"/>
  <c r="AA48" i="79"/>
  <c r="T48" i="79"/>
  <c r="Y48" i="79"/>
  <c r="V48" i="79"/>
  <c r="Z48" i="79"/>
  <c r="X48" i="79"/>
  <c r="Q48" i="79"/>
  <c r="R48" i="79"/>
  <c r="M48" i="79"/>
  <c r="S48" i="79"/>
  <c r="O48" i="79"/>
  <c r="AJ47" i="79"/>
  <c r="AN47" i="79"/>
  <c r="AH47" i="79"/>
  <c r="AM47" i="79"/>
  <c r="AL47" i="79"/>
  <c r="AA47" i="79"/>
  <c r="AC47" i="79"/>
  <c r="AF47" i="79"/>
  <c r="AG47" i="79"/>
  <c r="AE47" i="79"/>
  <c r="Y47" i="79"/>
  <c r="Z47" i="79"/>
  <c r="V47" i="79"/>
  <c r="T47" i="79"/>
  <c r="X47" i="79"/>
  <c r="Q47" i="79"/>
  <c r="O47" i="79"/>
  <c r="R47" i="79"/>
  <c r="S47" i="79"/>
  <c r="M47" i="79"/>
  <c r="AL46" i="79"/>
  <c r="AH46" i="79"/>
  <c r="AM46" i="79"/>
  <c r="AJ46" i="79"/>
  <c r="AN46" i="79"/>
  <c r="AF46" i="79"/>
  <c r="AC46" i="79"/>
  <c r="AE46" i="79"/>
  <c r="AG46" i="79"/>
  <c r="AA46" i="79"/>
  <c r="Z46" i="79"/>
  <c r="X46" i="79"/>
  <c r="Y46" i="79"/>
  <c r="V46" i="79"/>
  <c r="T46" i="79"/>
  <c r="Q46" i="79"/>
  <c r="M46" i="79"/>
  <c r="O46" i="79"/>
  <c r="S46" i="79"/>
  <c r="R46" i="79"/>
  <c r="AJ38" i="79"/>
  <c r="AH38" i="79"/>
  <c r="AN38" i="79"/>
  <c r="AM38" i="79"/>
  <c r="AL38" i="79"/>
  <c r="AF38" i="79"/>
  <c r="AC38" i="79"/>
  <c r="AA38" i="79"/>
  <c r="AG38" i="79"/>
  <c r="AE38" i="79"/>
  <c r="V38" i="79"/>
  <c r="Y38" i="79"/>
  <c r="T38" i="79"/>
  <c r="X38" i="79"/>
  <c r="Z38" i="79"/>
  <c r="S38" i="79"/>
  <c r="R38" i="79"/>
  <c r="Q38" i="79"/>
  <c r="O38" i="79"/>
  <c r="AJ37" i="79"/>
  <c r="AM37" i="79"/>
  <c r="AH37" i="79"/>
  <c r="AN37" i="79"/>
  <c r="AL37" i="79"/>
  <c r="AG37" i="79"/>
  <c r="AA37" i="79"/>
  <c r="AF37" i="79"/>
  <c r="AE37" i="79"/>
  <c r="AC37" i="79"/>
  <c r="V37" i="79"/>
  <c r="X37" i="79"/>
  <c r="Z37" i="79"/>
  <c r="Y37" i="79"/>
  <c r="T37" i="79"/>
  <c r="Q37" i="79"/>
  <c r="S37" i="79"/>
  <c r="M37" i="79"/>
  <c r="R37" i="79"/>
  <c r="O37" i="79"/>
  <c r="AL36" i="79"/>
  <c r="AJ36" i="79"/>
  <c r="AN36" i="79"/>
  <c r="AM36" i="79"/>
  <c r="AH36" i="79"/>
  <c r="AG36" i="79"/>
  <c r="AE36" i="79"/>
  <c r="AA36" i="79"/>
  <c r="AC36" i="79"/>
  <c r="AF36" i="79"/>
  <c r="Y36" i="79"/>
  <c r="X36" i="79"/>
  <c r="V36" i="79"/>
  <c r="Z36" i="79"/>
  <c r="T36" i="79"/>
  <c r="Q36" i="79"/>
  <c r="O36" i="79"/>
  <c r="M36" i="79"/>
  <c r="S36" i="79"/>
  <c r="R36" i="79"/>
  <c r="AH35" i="79"/>
  <c r="AM35" i="79"/>
  <c r="AL35" i="79"/>
  <c r="AJ35" i="79"/>
  <c r="AN35" i="79"/>
  <c r="AE35" i="79"/>
  <c r="AC35" i="79"/>
  <c r="AG35" i="79"/>
  <c r="AF35" i="79"/>
  <c r="AA35" i="79"/>
  <c r="Z35" i="79"/>
  <c r="V35" i="79"/>
  <c r="Y35" i="79"/>
  <c r="X35" i="79"/>
  <c r="T35" i="79"/>
  <c r="S35" i="79"/>
  <c r="O35" i="79"/>
  <c r="R35" i="79"/>
  <c r="Q35" i="79"/>
  <c r="AH33" i="79"/>
  <c r="AM33" i="79"/>
  <c r="AJ33" i="79"/>
  <c r="AN33" i="79"/>
  <c r="AL33" i="79"/>
  <c r="AE33" i="79"/>
  <c r="AF33" i="79"/>
  <c r="AC33" i="79"/>
  <c r="AA33" i="79"/>
  <c r="AG33" i="79"/>
  <c r="T33" i="79"/>
  <c r="Z33" i="79"/>
  <c r="V33" i="79"/>
  <c r="X33" i="79"/>
  <c r="Y33" i="79"/>
  <c r="Q33" i="79"/>
  <c r="R33" i="79"/>
  <c r="M33" i="79"/>
  <c r="O33" i="79"/>
  <c r="S33" i="79"/>
  <c r="AJ32" i="79"/>
  <c r="AM32" i="79"/>
  <c r="AN32" i="79"/>
  <c r="AL32" i="79"/>
  <c r="AH32" i="79"/>
  <c r="AC32" i="79"/>
  <c r="AE32" i="79"/>
  <c r="AG32" i="79"/>
  <c r="AA32" i="79"/>
  <c r="AF32" i="79"/>
  <c r="V32" i="79"/>
  <c r="X32" i="79"/>
  <c r="Z32" i="79"/>
  <c r="T32" i="79"/>
  <c r="Y32" i="79"/>
  <c r="M32" i="79"/>
  <c r="O32" i="79"/>
  <c r="R32" i="79"/>
  <c r="Q32" i="79"/>
  <c r="S32" i="79"/>
  <c r="AH31" i="79"/>
  <c r="AL31" i="79"/>
  <c r="AM31" i="79"/>
  <c r="AJ31" i="79"/>
  <c r="AN31" i="79"/>
  <c r="AG31" i="79"/>
  <c r="AC31" i="79"/>
  <c r="AE31" i="79"/>
  <c r="AA31" i="79"/>
  <c r="AF31" i="79"/>
  <c r="Z31" i="79"/>
  <c r="X31" i="79"/>
  <c r="Y31" i="79"/>
  <c r="V31" i="79"/>
  <c r="T31" i="79"/>
  <c r="O31" i="79"/>
  <c r="S31" i="79"/>
  <c r="Q31" i="79"/>
  <c r="R31" i="79"/>
  <c r="AH30" i="79"/>
  <c r="AL30" i="79"/>
  <c r="AM30" i="79"/>
  <c r="AJ30" i="79"/>
  <c r="AN30" i="79"/>
  <c r="AA30" i="79"/>
  <c r="AG30" i="79"/>
  <c r="AE30" i="79"/>
  <c r="AC30" i="79"/>
  <c r="AF30" i="79"/>
  <c r="Y30" i="79"/>
  <c r="X30" i="79"/>
  <c r="V30" i="79"/>
  <c r="T30" i="79"/>
  <c r="Z30" i="79"/>
  <c r="O30" i="79"/>
  <c r="S30" i="79"/>
  <c r="M30" i="79"/>
  <c r="Q30" i="79"/>
  <c r="R30" i="79"/>
  <c r="V58" i="78"/>
  <c r="AG55" i="78"/>
  <c r="AA56" i="78"/>
  <c r="AF41" i="78"/>
  <c r="AN33" i="78"/>
  <c r="R46" i="78"/>
  <c r="AG41" i="78"/>
  <c r="AA55" i="78"/>
  <c r="T38" i="78"/>
  <c r="Y34" i="78"/>
  <c r="AG50" i="78"/>
  <c r="Z31" i="78"/>
  <c r="T34" i="78"/>
  <c r="Z37" i="78"/>
  <c r="AG43" i="78"/>
  <c r="AG30" i="78"/>
  <c r="AA41" i="78"/>
  <c r="AE45" i="78"/>
  <c r="X48" i="78"/>
  <c r="Q49" i="78"/>
  <c r="AG59" i="78"/>
  <c r="M37" i="78"/>
  <c r="Z48" i="78"/>
  <c r="T36" i="78"/>
  <c r="AA34" i="78"/>
  <c r="AA42" i="78"/>
  <c r="V33" i="78"/>
  <c r="M34" i="78"/>
  <c r="AH38" i="78"/>
  <c r="AH43" i="78"/>
  <c r="X58" i="78"/>
  <c r="Z33" i="78"/>
  <c r="AH34" i="78"/>
  <c r="T43" i="78"/>
  <c r="AA46" i="78"/>
  <c r="Z60" i="78"/>
  <c r="AM52" i="78"/>
  <c r="AE55" i="78"/>
  <c r="AH33" i="78"/>
  <c r="AA37" i="78"/>
  <c r="AH41" i="78"/>
  <c r="Y47" i="78"/>
  <c r="V48" i="78"/>
  <c r="AH50" i="78"/>
  <c r="S58" i="78"/>
  <c r="AF30" i="78"/>
  <c r="Y31" i="78"/>
  <c r="T33" i="78"/>
  <c r="AE30" i="78"/>
  <c r="Y33" i="78"/>
  <c r="AJ33" i="78"/>
  <c r="M36" i="78"/>
  <c r="AH36" i="78"/>
  <c r="Y37" i="78"/>
  <c r="S42" i="78"/>
  <c r="AF43" i="78"/>
  <c r="AN43" i="78"/>
  <c r="AF59" i="78"/>
  <c r="Y60" i="78"/>
  <c r="AL52" i="78"/>
  <c r="AF55" i="78"/>
  <c r="Z56" i="78"/>
  <c r="V50" i="78"/>
  <c r="AA31" i="78"/>
  <c r="AF33" i="78"/>
  <c r="S38" i="78"/>
  <c r="X41" i="78"/>
  <c r="AJ43" i="78"/>
  <c r="AA59" i="78"/>
  <c r="Q53" i="78"/>
  <c r="AN55" i="78"/>
  <c r="AN30" i="78"/>
  <c r="AG33" i="78"/>
  <c r="AF37" i="78"/>
  <c r="AL39" i="78"/>
  <c r="Y41" i="78"/>
  <c r="AF46" i="78"/>
  <c r="X50" i="78"/>
  <c r="R53" i="78"/>
  <c r="AN53" i="78"/>
  <c r="AG37" i="78"/>
  <c r="AM39" i="78"/>
  <c r="AL43" i="78"/>
  <c r="Q46" i="78"/>
  <c r="AG46" i="78"/>
  <c r="X47" i="78"/>
  <c r="Z50" i="78"/>
  <c r="Q58" i="78"/>
  <c r="S53" i="78"/>
  <c r="M54" i="78"/>
  <c r="AH37" i="78"/>
  <c r="AN39" i="78"/>
  <c r="AE43" i="78"/>
  <c r="AE59" i="78"/>
  <c r="AC52" i="78"/>
  <c r="AC30" i="78"/>
  <c r="AM30" i="78"/>
  <c r="X31" i="78"/>
  <c r="AH31" i="78"/>
  <c r="AA32" i="78"/>
  <c r="AE33" i="78"/>
  <c r="AM33" i="78"/>
  <c r="AN36" i="78"/>
  <c r="AE37" i="78"/>
  <c r="AA39" i="78"/>
  <c r="V41" i="78"/>
  <c r="AG47" i="78"/>
  <c r="AH48" i="78"/>
  <c r="AF50" i="78"/>
  <c r="AN50" i="78"/>
  <c r="T59" i="78"/>
  <c r="AA52" i="78"/>
  <c r="AA53" i="78"/>
  <c r="O37" i="78"/>
  <c r="AM59" i="78"/>
  <c r="AJ45" i="78"/>
  <c r="V55" i="78"/>
  <c r="T31" i="78"/>
  <c r="O34" i="78"/>
  <c r="AJ36" i="78"/>
  <c r="AE39" i="78"/>
  <c r="Z41" i="78"/>
  <c r="AL45" i="78"/>
  <c r="AL48" i="78"/>
  <c r="AJ50" i="78"/>
  <c r="AL58" i="78"/>
  <c r="AE52" i="78"/>
  <c r="AN52" i="78"/>
  <c r="AF53" i="78"/>
  <c r="X55" i="78"/>
  <c r="R56" i="78"/>
  <c r="AJ48" i="78"/>
  <c r="AN31" i="78"/>
  <c r="Q37" i="78"/>
  <c r="AF39" i="78"/>
  <c r="AN41" i="78"/>
  <c r="X43" i="78"/>
  <c r="AM45" i="78"/>
  <c r="AM48" i="78"/>
  <c r="Y49" i="78"/>
  <c r="Q50" i="78"/>
  <c r="AC50" i="78"/>
  <c r="AG60" i="78"/>
  <c r="AF52" i="78"/>
  <c r="M53" i="78"/>
  <c r="X53" i="78"/>
  <c r="AG53" i="78"/>
  <c r="S54" i="78"/>
  <c r="Y55" i="78"/>
  <c r="S56" i="78"/>
  <c r="AC53" i="78"/>
  <c r="AF31" i="78"/>
  <c r="S34" i="78"/>
  <c r="AG34" i="78"/>
  <c r="AL36" i="78"/>
  <c r="R37" i="78"/>
  <c r="AM37" i="78"/>
  <c r="AA38" i="78"/>
  <c r="AG39" i="78"/>
  <c r="Y43" i="78"/>
  <c r="AC45" i="78"/>
  <c r="AC46" i="78"/>
  <c r="AE47" i="78"/>
  <c r="T48" i="78"/>
  <c r="AE48" i="78"/>
  <c r="T50" i="78"/>
  <c r="AL50" i="78"/>
  <c r="Y53" i="78"/>
  <c r="AH53" i="78"/>
  <c r="T54" i="78"/>
  <c r="AL55" i="78"/>
  <c r="T56" i="78"/>
  <c r="AL30" i="78"/>
  <c r="AG31" i="78"/>
  <c r="AN37" i="78"/>
  <c r="Z43" i="78"/>
  <c r="AF47" i="78"/>
  <c r="AF48" i="78"/>
  <c r="M49" i="78"/>
  <c r="AE50" i="78"/>
  <c r="AH52" i="78"/>
  <c r="Z53" i="78"/>
  <c r="AM55" i="78"/>
  <c r="S46" i="78"/>
  <c r="O49" i="78"/>
  <c r="Z49" i="78"/>
  <c r="O50" i="78"/>
  <c r="X46" i="78"/>
  <c r="R49" i="78"/>
  <c r="V59" i="78"/>
  <c r="Y46" i="78"/>
  <c r="V47" i="78"/>
  <c r="Z46" i="78"/>
  <c r="X59" i="78"/>
  <c r="T60" i="78"/>
  <c r="Y59" i="78"/>
  <c r="V60" i="78"/>
  <c r="S32" i="78"/>
  <c r="R38" i="78"/>
  <c r="Q31" i="78"/>
  <c r="T32" i="78"/>
  <c r="Q41" i="78"/>
  <c r="T42" i="78"/>
  <c r="S31" i="78"/>
  <c r="Z34" i="78"/>
  <c r="S41" i="78"/>
  <c r="Q34" i="78"/>
  <c r="R31" i="78"/>
  <c r="M30" i="78"/>
  <c r="M32" i="78"/>
  <c r="X37" i="78"/>
  <c r="M38" i="78"/>
  <c r="Z38" i="78"/>
  <c r="M39" i="78"/>
  <c r="M42" i="78"/>
  <c r="R41" i="78"/>
  <c r="AG58" i="78"/>
  <c r="AE58" i="78"/>
  <c r="AF58" i="78"/>
  <c r="AA58" i="78"/>
  <c r="M59" i="78"/>
  <c r="R59" i="78"/>
  <c r="S59" i="78"/>
  <c r="Q59" i="78"/>
  <c r="O59" i="78"/>
  <c r="AN60" i="78"/>
  <c r="AM60" i="78"/>
  <c r="AL60" i="78"/>
  <c r="AJ60" i="78"/>
  <c r="S45" i="78"/>
  <c r="R45" i="78"/>
  <c r="Q45" i="78"/>
  <c r="AC32" i="78"/>
  <c r="V36" i="78"/>
  <c r="O39" i="78"/>
  <c r="AC42" i="78"/>
  <c r="V32" i="78"/>
  <c r="X39" i="78"/>
  <c r="V42" i="78"/>
  <c r="AL42" i="78"/>
  <c r="Q43" i="78"/>
  <c r="Z45" i="78"/>
  <c r="Y45" i="78"/>
  <c r="X45" i="78"/>
  <c r="T45" i="78"/>
  <c r="V39" i="78"/>
  <c r="O43" i="78"/>
  <c r="O45" i="78"/>
  <c r="AM46" i="78"/>
  <c r="AN46" i="78"/>
  <c r="AL46" i="78"/>
  <c r="AN49" i="78"/>
  <c r="AM49" i="78"/>
  <c r="AL49" i="78"/>
  <c r="AH49" i="78"/>
  <c r="AC58" i="78"/>
  <c r="AJ38" i="78"/>
  <c r="AH47" i="78"/>
  <c r="AM47" i="78"/>
  <c r="AL47" i="78"/>
  <c r="AJ47" i="78"/>
  <c r="AN47" i="78"/>
  <c r="X30" i="78"/>
  <c r="Q33" i="78"/>
  <c r="O36" i="78"/>
  <c r="AE32" i="78"/>
  <c r="R33" i="78"/>
  <c r="AC34" i="78"/>
  <c r="X36" i="78"/>
  <c r="AF36" i="78"/>
  <c r="V38" i="78"/>
  <c r="AL38" i="78"/>
  <c r="Q39" i="78"/>
  <c r="Y39" i="78"/>
  <c r="AJ41" i="78"/>
  <c r="O42" i="78"/>
  <c r="AE42" i="78"/>
  <c r="AM42" i="78"/>
  <c r="R43" i="78"/>
  <c r="V45" i="78"/>
  <c r="O60" i="78"/>
  <c r="M60" i="78"/>
  <c r="S60" i="78"/>
  <c r="R60" i="78"/>
  <c r="Q60" i="78"/>
  <c r="AJ32" i="78"/>
  <c r="O33" i="78"/>
  <c r="AJ42" i="78"/>
  <c r="AL32" i="78"/>
  <c r="AJ34" i="78"/>
  <c r="AE36" i="78"/>
  <c r="AC38" i="78"/>
  <c r="Q30" i="78"/>
  <c r="Y30" i="78"/>
  <c r="AJ31" i="78"/>
  <c r="O32" i="78"/>
  <c r="AM32" i="78"/>
  <c r="R30" i="78"/>
  <c r="Z30" i="78"/>
  <c r="AH30" i="78"/>
  <c r="M31" i="78"/>
  <c r="AC31" i="78"/>
  <c r="X32" i="78"/>
  <c r="AF32" i="78"/>
  <c r="AN32" i="78"/>
  <c r="S33" i="78"/>
  <c r="AA33" i="78"/>
  <c r="V34" i="78"/>
  <c r="AL34" i="78"/>
  <c r="Q36" i="78"/>
  <c r="Y36" i="78"/>
  <c r="AG36" i="78"/>
  <c r="T37" i="78"/>
  <c r="AJ37" i="78"/>
  <c r="O38" i="78"/>
  <c r="AE38" i="78"/>
  <c r="AM38" i="78"/>
  <c r="R39" i="78"/>
  <c r="Z39" i="78"/>
  <c r="AH39" i="78"/>
  <c r="M41" i="78"/>
  <c r="AC41" i="78"/>
  <c r="X42" i="78"/>
  <c r="AF42" i="78"/>
  <c r="AN42" i="78"/>
  <c r="S43" i="78"/>
  <c r="AA43" i="78"/>
  <c r="R47" i="78"/>
  <c r="S47" i="78"/>
  <c r="Q47" i="78"/>
  <c r="M47" i="78"/>
  <c r="M48" i="78"/>
  <c r="S48" i="78"/>
  <c r="R48" i="78"/>
  <c r="Q48" i="78"/>
  <c r="V30" i="78"/>
  <c r="AC36" i="78"/>
  <c r="S30" i="78"/>
  <c r="Q32" i="78"/>
  <c r="AM34" i="78"/>
  <c r="AJ46" i="78"/>
  <c r="AJ49" i="78"/>
  <c r="AL31" i="78"/>
  <c r="Y32" i="78"/>
  <c r="AE34" i="78"/>
  <c r="R36" i="78"/>
  <c r="X38" i="78"/>
  <c r="AF38" i="78"/>
  <c r="AL41" i="78"/>
  <c r="Q42" i="78"/>
  <c r="Y42" i="78"/>
  <c r="M45" i="78"/>
  <c r="AF49" i="78"/>
  <c r="AG49" i="78"/>
  <c r="AE49" i="78"/>
  <c r="AC49" i="78"/>
  <c r="AH60" i="78"/>
  <c r="M55" i="78"/>
  <c r="S55" i="78"/>
  <c r="R55" i="78"/>
  <c r="Q55" i="78"/>
  <c r="O55" i="78"/>
  <c r="T52" i="78"/>
  <c r="Z52" i="78"/>
  <c r="Y52" i="78"/>
  <c r="X52" i="78"/>
  <c r="AH54" i="78"/>
  <c r="AN54" i="78"/>
  <c r="AM54" i="78"/>
  <c r="AL54" i="78"/>
  <c r="AF45" i="78"/>
  <c r="AN45" i="78"/>
  <c r="T46" i="78"/>
  <c r="AA47" i="78"/>
  <c r="AG48" i="78"/>
  <c r="T49" i="78"/>
  <c r="R50" i="78"/>
  <c r="Z58" i="78"/>
  <c r="Y58" i="78"/>
  <c r="AG45" i="78"/>
  <c r="AH58" i="78"/>
  <c r="AM58" i="78"/>
  <c r="AJ59" i="78"/>
  <c r="AH59" i="78"/>
  <c r="AN56" i="78"/>
  <c r="AM56" i="78"/>
  <c r="AL56" i="78"/>
  <c r="AJ56" i="78"/>
  <c r="M46" i="78"/>
  <c r="T47" i="78"/>
  <c r="V49" i="78"/>
  <c r="AJ58" i="78"/>
  <c r="S52" i="78"/>
  <c r="R52" i="78"/>
  <c r="Q52" i="78"/>
  <c r="O52" i="78"/>
  <c r="AG54" i="78"/>
  <c r="AF54" i="78"/>
  <c r="AE54" i="78"/>
  <c r="AC54" i="78"/>
  <c r="AA48" i="78"/>
  <c r="M50" i="78"/>
  <c r="R58" i="78"/>
  <c r="O58" i="78"/>
  <c r="AL59" i="78"/>
  <c r="AF60" i="78"/>
  <c r="AE60" i="78"/>
  <c r="AC60" i="78"/>
  <c r="V54" i="78"/>
  <c r="M56" i="78"/>
  <c r="AC56" i="78"/>
  <c r="T53" i="78"/>
  <c r="AJ53" i="78"/>
  <c r="O54" i="78"/>
  <c r="Z55" i="78"/>
  <c r="AH55" i="78"/>
  <c r="V56" i="78"/>
  <c r="X54" i="78"/>
  <c r="O56" i="78"/>
  <c r="AE56" i="78"/>
  <c r="AL53" i="78"/>
  <c r="Q54" i="78"/>
  <c r="Y54" i="78"/>
  <c r="X56" i="78"/>
  <c r="AF56" i="78"/>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47" i="79" l="1"/>
  <c r="L44" i="79"/>
  <c r="L49" i="79"/>
  <c r="L52" i="79"/>
  <c r="L50" i="79"/>
  <c r="L33" i="79"/>
  <c r="L51" i="79"/>
  <c r="L42" i="79"/>
  <c r="L46" i="79"/>
  <c r="L36" i="79"/>
  <c r="L32" i="79"/>
  <c r="L30" i="79"/>
  <c r="L48" i="79"/>
  <c r="L38" i="79"/>
  <c r="L37" i="79"/>
  <c r="L35" i="79"/>
  <c r="L31" i="79"/>
  <c r="L43" i="79"/>
  <c r="L41" i="79"/>
  <c r="L58" i="78"/>
  <c r="L53" i="78"/>
  <c r="L33" i="78"/>
  <c r="L30" i="78"/>
  <c r="L45" i="78"/>
  <c r="L37" i="78"/>
  <c r="L43" i="78"/>
  <c r="L59" i="78"/>
  <c r="L55" i="78"/>
  <c r="L49" i="78"/>
  <c r="L54" i="78"/>
  <c r="L36" i="78"/>
  <c r="L60" i="78"/>
  <c r="L50" i="78"/>
  <c r="L46" i="78"/>
  <c r="L48" i="78"/>
  <c r="L47" i="78"/>
  <c r="L42" i="78"/>
  <c r="L34" i="78"/>
  <c r="L31" i="78"/>
  <c r="L39" i="78"/>
  <c r="L38" i="78"/>
  <c r="L41" i="78"/>
  <c r="L32" i="78"/>
  <c r="L56" i="78"/>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AA91" i="7" l="1"/>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102" i="7" l="1"/>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9" a="1"/>
  <c r="C1" i="79" l="1"/>
  <c r="C1" i="78" a="1"/>
  <c r="C1" i="78" l="1"/>
  <c r="C12" i="79"/>
  <c r="L12" i="79" s="1"/>
  <c r="C16" i="79"/>
  <c r="L16" i="79" s="1"/>
  <c r="C11" i="79"/>
  <c r="L11" i="79" s="1"/>
  <c r="L1" i="79"/>
  <c r="C10" i="79"/>
  <c r="L10" i="79" s="1"/>
  <c r="B27" i="79"/>
  <c r="C27" i="79" s="1"/>
  <c r="L27" i="79" s="1"/>
  <c r="B26" i="79"/>
  <c r="C26" i="79" s="1"/>
  <c r="L26" i="79" s="1"/>
  <c r="C1" i="7" a="1"/>
  <c r="C1" i="7" l="1"/>
  <c r="C7" i="79" a="1"/>
  <c r="C7" i="79" s="1"/>
  <c r="L60" i="79"/>
  <c r="C8" i="79"/>
  <c r="L8" i="79" s="1"/>
  <c r="C9" i="79"/>
  <c r="L9" i="79" s="1"/>
  <c r="L4" i="79"/>
  <c r="B27" i="78"/>
  <c r="C27" i="78" s="1"/>
  <c r="L27" i="78" s="1"/>
  <c r="C11" i="78"/>
  <c r="L11" i="78" s="1"/>
  <c r="C16" i="78"/>
  <c r="L16" i="78" s="1"/>
  <c r="L1" i="78"/>
  <c r="C10" i="78"/>
  <c r="L10" i="78" s="1"/>
  <c r="B26" i="78"/>
  <c r="C26" i="78" s="1"/>
  <c r="L26" i="78" s="1"/>
  <c r="C12" i="78"/>
  <c r="L12" i="78" s="1"/>
  <c r="C1" i="36" a="1"/>
  <c r="C1" i="36" l="1"/>
  <c r="C19" i="79"/>
  <c r="L19" i="79" s="1"/>
  <c r="L7" i="79"/>
  <c r="C7" i="78" a="1"/>
  <c r="C7" i="78" s="1"/>
  <c r="C9" i="78"/>
  <c r="L9" i="78" s="1"/>
  <c r="L4" i="78"/>
  <c r="C8" i="78"/>
  <c r="L8" i="78" s="1"/>
  <c r="L61" i="78"/>
  <c r="C10" i="7"/>
  <c r="L10" i="7" s="1"/>
  <c r="B27" i="7"/>
  <c r="C27" i="7" s="1"/>
  <c r="L27" i="7" s="1"/>
  <c r="C11" i="7"/>
  <c r="L11" i="7" s="1"/>
  <c r="C12" i="7"/>
  <c r="L12" i="7" s="1"/>
  <c r="B26" i="7"/>
  <c r="C26" i="7" s="1"/>
  <c r="L26" i="7" s="1"/>
  <c r="L1" i="7"/>
  <c r="C16" i="7"/>
  <c r="L16" i="7" s="1"/>
  <c r="C8" i="7" l="1"/>
  <c r="L8" i="7" s="1"/>
  <c r="C9" i="7"/>
  <c r="L9" i="7" s="1"/>
  <c r="L94" i="7"/>
  <c r="C7" i="7" a="1"/>
  <c r="C7" i="7" s="1"/>
  <c r="L4" i="7"/>
  <c r="L7" i="78"/>
  <c r="C19" i="78"/>
  <c r="L19" i="78" s="1"/>
  <c r="B27" i="36"/>
  <c r="C27" i="36" s="1"/>
  <c r="L27" i="36" s="1"/>
  <c r="C11" i="36"/>
  <c r="L11" i="36" s="1"/>
  <c r="B26" i="36"/>
  <c r="C26" i="36" s="1"/>
  <c r="L26" i="36" s="1"/>
  <c r="C12" i="36"/>
  <c r="L12" i="36" s="1"/>
  <c r="L1" i="36"/>
  <c r="C16" i="36"/>
  <c r="L16" i="36" s="1"/>
  <c r="C10" i="36"/>
  <c r="L10" i="36" s="1"/>
  <c r="C19" i="7" l="1"/>
  <c r="L19" i="7" s="1"/>
  <c r="L7" i="7"/>
  <c r="L102" i="36"/>
  <c r="C8" i="36"/>
  <c r="L8" i="36" s="1"/>
  <c r="C9" i="36"/>
  <c r="L9" i="36" s="1"/>
  <c r="C7" i="36" a="1"/>
  <c r="C7" i="36" s="1"/>
  <c r="L4" i="36"/>
  <c r="L7" i="36" l="1"/>
  <c r="C19" i="36"/>
  <c r="L19"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54B1D28-7DE3-4A23-973B-87A391013EC7}">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9289984-65C5-4E30-A03A-381E69026FDE}">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<sst xmlns="http://schemas.openxmlformats.org/spreadsheetml/2006/main" count="4792" uniqueCount="1086">
  <si>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</si>
  <si>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</si>
  <si>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</si>
  <si>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</si>
  <si>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</si>
  <si>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</si>
  <si>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</si>
  <si>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</si>
  <si>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</si>
  <si>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</si>
  <si>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</si>
  <si>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</si>
  <si>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</si>
  <si>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</si>
  <si>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</si>
  <si>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</si>
  <si>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</si>
  <si>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</si>
  <si>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</si>
  <si>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</si>
  <si>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</si>
  <si>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</si>
  <si>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</si>
  <si>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</si>
  <si>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</si>
  <si>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</si>
  <si>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</si>
  <si>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</si>
  <si>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</si>
  <si>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</si>
  <si>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</si>
  <si>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</si>
  <si>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</si>
  <si>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</si>
  <si>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</si>
  <si>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</si>
  <si>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</si>
  <si>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</si>
  <si>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</si>
  <si>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</si>
  <si>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</si>
  <si>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</si>
  <si>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</si>
  <si>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</si>
  <si>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</si>
  <si>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</si>
  <si>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</si>
  <si>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</si>
  <si>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</si>
  <si>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</si>
  <si>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</si>
  <si>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</si>
  <si>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</si>
  <si>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</si>
  <si>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</si>
  <si>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</si>
  <si>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</si>
  <si>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</si>
  <si>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</si>
  <si>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</si>
  <si>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</si>
  <si>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</si>
  <si>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</si>
  <si>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</si>
  <si>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</si>
  <si>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</si>
  <si>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</si>
  <si>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</si>
  <si>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</si>
  <si>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</si>
  <si>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</si>
  <si>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</si>
  <si>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</si>
  <si>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</si>
  <si>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</si>
  <si>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</si>
  <si>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</si>
  <si>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</si>
  <si>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</si>
  <si>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</si>
  <si>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</si>
  <si>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</si>
  <si>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</si>
  <si>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</si>
  <si>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</si>
  <si>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</si>
  <si>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</si>
  <si>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</si>
  <si>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</si>
  <si>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</si>
  <si>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</si>
  <si>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</si>
  <si>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</si>
  <si>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</si>
  <si>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</si>
  <si>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</si>
  <si>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</si>
  <si>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</si>
  <si>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</si>
  <si>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</si>
  <si>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</si>
  <si>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</si>
  <si>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</si>
  <si>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</si>
  <si>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</si>
  <si>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</si>
  <si>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</si>
  <si>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</si>
  <si>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</si>
  <si>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</si>
  <si>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</si>
  <si>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</si>
  <si>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</si>
  <si>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</si>
  <si>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</si>
  <si>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</si>
  <si>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</si>
  <si>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</si>
  <si>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</si>
  <si>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</si>
  <si>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</si>
  <si>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</si>
  <si>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</si>
  <si>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</si>
  <si>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</si>
  <si>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</si>
  <si>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</si>
  <si>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</si>
  <si>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</si>
  <si>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</si>
  <si>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</si>
  <si>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</si>
  <si>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</si>
  <si>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</si>
  <si>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</si>
  <si>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</si>
  <si>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</si>
  <si>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</si>
  <si>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</si>
  <si>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</si>
  <si>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</si>
  <si>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</si>
  <si>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</si>
  <si>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</si>
  <si>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</si>
  <si>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</si>
  <si>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</si>
  <si>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</si>
  <si>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</si>
  <si>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</si>
  <si>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</si>
  <si>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</si>
  <si>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</si>
  <si>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</si>
  <si>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</si>
  <si>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</si>
  <si>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</si>
  <si>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</si>
  <si>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</si>
  <si>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</si>
  <si>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</si>
  <si>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</si>
  <si>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</si>
  <si>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</si>
  <si>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</si>
  <si>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</si>
  <si>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</si>
  <si>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</si>
  <si>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</si>
  <si>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</si>
  <si>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</si>
  <si>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</si>
  <si>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</si>
  <si>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</si>
  <si>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</si>
  <si>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</si>
  <si>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</si>
  <si>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</si>
  <si>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</si>
  <si>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</si>
  <si>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</si>
  <si>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</si>
  <si>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</si>
  <si>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</si>
  <si>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</si>
  <si>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</si>
  <si>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</si>
  <si>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</si>
  <si>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</si>
  <si>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</si>
  <si>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</si>
  <si>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</si>
  <si>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</si>
  <si>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</si>
  <si>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</si>
  <si>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</si>
  <si>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</si>
  <si>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</si>
  <si>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</si>
  <si>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</si>
  <si>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</si>
  <si>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</si>
  <si>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</si>
  <si>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</si>
  <si>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</si>
  <si>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</si>
  <si>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</si>
  <si>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</si>
  <si>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</si>
  <si>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</si>
  <si>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</si>
  <si>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</si>
  <si>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</si>
  <si>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</si>
  <si>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</si>
  <si>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</si>
  <si>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</si>
  <si>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</si>
  <si>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</si>
  <si>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</si>
  <si>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</si>
  <si>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</si>
  <si>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</si>
  <si>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</si>
  <si>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</si>
  <si>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</si>
  <si>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</si>
  <si>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</si>
  <si>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</si>
  <si>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</si>
  <si>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</si>
  <si>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</si>
  <si>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</si>
  <si>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</si>
  <si>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</si>
  <si>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</si>
  <si>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</si>
  <si>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</si>
  <si>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</si>
  <si>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</si>
  <si>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</si>
  <si>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</si>
  <si>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</si>
  <si>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</si>
  <si>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</si>
  <si>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</si>
  <si>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</si>
  <si>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</si>
  <si>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</si>
  <si>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</si>
  <si>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</si>
  <si>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</si>
  <si>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</si>
  <si>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</si>
  <si>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</si>
  <si>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</si>
  <si>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</si>
  <si>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</si>
  <si>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</si>
  <si>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</si>
  <si>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</si>
  <si>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</si>
  <si>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</si>
  <si>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</si>
  <si>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</si>
  <si>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</si>
  <si>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</si>
  <si>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</si>
  <si>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</si>
  <si>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</si>
  <si>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</si>
  <si>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</si>
  <si>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</si>
  <si>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</si>
  <si>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</si>
  <si>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</si>
  <si>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</si>
  <si>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</si>
  <si>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</si>
  <si>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</si>
  <si>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</si>
  <si>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</si>
  <si>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</si>
  <si>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</si>
  <si>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</si>
  <si>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</si>
  <si>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</si>
  <si>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</si>
  <si>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</si>
  <si>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</si>
  <si>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</si>
  <si>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</si>
  <si>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</si>
  <si>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</si>
  <si>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</si>
  <si>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</si>
  <si>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</si>
  <si>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</si>
  <si>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</si>
  <si>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</si>
  <si>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</si>
  <si>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</si>
  <si>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</si>
  <si>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</si>
  <si>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</si>
  <si>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</si>
  <si>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</si>
  <si>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</si>
  <si>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</si>
  <si>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</si>
  <si>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</si>
  <si>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</si>
  <si>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</si>
  <si>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</si>
  <si>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</si>
  <si>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</si>
  <si>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</si>
  <si>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</si>
  <si>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</si>
  <si>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</si>
  <si>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</si>
  <si>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</si>
  <si>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</si>
  <si>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</si>
  <si>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</si>
  <si>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</si>
  <si>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</si>
  <si>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</si>
  <si>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</si>
  <si>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</si>
  <si>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</si>
  <si>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</si>
  <si>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</si>
  <si>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</si>
  <si>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</si>
  <si>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</si>
  <si>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</si>
  <si>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</si>
  <si>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</si>
  <si>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</si>
  <si>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</si>
  <si>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</si>
  <si>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</si>
  <si>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</si>
  <si>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</si>
  <si>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</si>
  <si>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</si>
  <si>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</si>
  <si>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</si>
  <si>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</si>
  <si>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</si>
  <si>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</si>
  <si>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</si>
  <si>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</si>
  <si>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</si>
  <si>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</si>
  <si>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</si>
  <si>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</si>
  <si>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</si>
  <si>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</si>
  <si>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</si>
  <si>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</si>
  <si>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</si>
  <si>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</si>
  <si>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</si>
  <si>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</si>
  <si>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</si>
  <si>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</si>
  <si>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</si>
  <si>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</si>
  <si>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</si>
  <si>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</si>
  <si>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</si>
  <si>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</si>
  <si>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</si>
  <si>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</si>
  <si>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</si>
  <si>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</si>
  <si>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</si>
  <si>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</si>
  <si>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</si>
  <si>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</si>
  <si>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</si>
  <si>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</si>
  <si>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</si>
  <si>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</si>
  <si>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</si>
  <si>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</si>
  <si>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</si>
  <si>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</si>
  <si>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</si>
  <si>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</si>
  <si>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</si>
  <si>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</si>
  <si>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</si>
  <si>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</si>
  <si>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</si>
  <si>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</si>
  <si>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</si>
  <si>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</si>
  <si>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</si>
  <si>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</si>
  <si>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</si>
  <si>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</si>
  <si>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</si>
  <si>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</si>
  <si>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</si>
  <si>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</si>
  <si>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</si>
  <si>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</si>
  <si>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</si>
  <si>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</si>
  <si>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</si>
  <si>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</si>
  <si>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</si>
  <si>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</si>
  <si>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</si>
  <si>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</si>
  <si>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</si>
  <si>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</si>
  <si>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</si>
  <si>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</si>
  <si>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</si>
  <si>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</si>
  <si>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</si>
  <si>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</si>
  <si>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</si>
  <si>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</si>
  <si>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</si>
  <si>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</si>
  <si>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</si>
  <si>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</si>
  <si>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</si>
  <si>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</si>
  <si>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</si>
  <si>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</si>
  <si>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</si>
  <si>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</si>
  <si>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</si>
  <si>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</si>
  <si>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</si>
  <si>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</si>
  <si>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</si>
  <si>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</si>
  <si>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</si>
  <si>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</si>
  <si>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</si>
  <si>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</si>
  <si>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</si>
  <si>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</si>
  <si>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</si>
  <si>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</si>
  <si>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</si>
  <si>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</si>
  <si>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</si>
  <si>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</si>
  <si>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</si>
  <si>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</si>
  <si>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</si>
  <si>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</si>
  <si>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</si>
  <si>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</si>
  <si>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</si>
  <si>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</si>
  <si>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</si>
  <si>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</si>
  <si>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</si>
  <si>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</si>
  <si>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</si>
  <si>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</si>
  <si>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</si>
  <si>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</si>
  <si>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</si>
  <si>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</si>
  <si>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</si>
  <si>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</si>
  <si>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</si>
  <si>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</si>
  <si>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</si>
  <si>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</si>
  <si>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</si>
  <si>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</si>
  <si>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</si>
  <si>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</si>
  <si>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</si>
  <si>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</si>
  <si>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</si>
  <si>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</si>
  <si>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</si>
  <si>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</si>
  <si>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</si>
  <si>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</si>
  <si>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</si>
  <si>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</si>
  <si>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</si>
  <si>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</si>
  <si>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</si>
  <si>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</si>
  <si>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</si>
  <si>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</si>
  <si>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</si>
  <si>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</si>
  <si>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</si>
  <si>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</si>
  <si>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</si>
  <si>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</si>
  <si>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</si>
  <si>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</si>
  <si>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</si>
  <si>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</si>
  <si>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</si>
  <si>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</si>
  <si>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</si>
  <si>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</si>
  <si>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</si>
  <si>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</si>
  <si>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</si>
  <si>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</si>
  <si>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</si>
  <si>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</si>
  <si>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</si>
  <si>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</si>
  <si>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</si>
  <si>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</si>
  <si>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</si>
  <si>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</si>
  <si>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</si>
  <si>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</si>
  <si>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</si>
  <si>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</si>
  <si>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</si>
  <si>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</si>
  <si>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</si>
  <si>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</si>
  <si>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</si>
  <si>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</si>
  <si>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</si>
  <si>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</si>
  <si>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</si>
  <si>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</si>
  <si>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</si>
  <si>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</si>
  <si>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</si>
  <si>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</si>
  <si>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</si>
  <si>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</si>
  <si>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</si>
  <si>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</si>
  <si>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</si>
  <si>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</si>
  <si>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</si>
  <si>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</si>
  <si>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</si>
  <si>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</si>
  <si>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</si>
  <si>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</si>
  <si>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</si>
  <si>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</si>
  <si>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</si>
  <si>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</si>
  <si>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</si>
  <si>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</si>
  <si>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</si>
  <si>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</si>
  <si>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</si>
  <si>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</si>
  <si>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</si>
  <si>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</si>
  <si>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</si>
  <si>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</si>
  <si>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</si>
  <si>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</si>
  <si>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</si>
  <si>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</si>
  <si>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</si>
  <si>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</si>
  <si>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</si>
  <si>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</si>
  <si>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</si>
  <si>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</si>
  <si>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</si>
  <si>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</si>
  <si>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</si>
  <si>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</si>
  <si>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</si>
  <si>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</si>
  <si>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</si>
  <si>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</si>
  <si>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</si>
  <si>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</si>
  <si>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</si>
  <si>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</si>
  <si>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</si>
  <si>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</si>
  <si>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</si>
  <si>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</si>
  <si>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</si>
  <si>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</si>
  <si>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</si>
  <si>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</si>
  <si>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</si>
  <si>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</si>
  <si>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</si>
  <si>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</si>
  <si>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</si>
  <si>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</si>
  <si>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</si>
  <si>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</si>
  <si>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</si>
  <si>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</si>
  <si>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</si>
  <si>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</si>
  <si>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</si>
  <si>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</si>
  <si>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</si>
  <si>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</si>
  <si>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</si>
  <si>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</si>
  <si>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</si>
  <si>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</si>
  <si>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</si>
  <si>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</si>
  <si>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</si>
  <si>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</si>
  <si>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</si>
  <si>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</si>
  <si>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</si>
  <si>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</si>
  <si>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</si>
  <si>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</si>
  <si>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</si>
  <si>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</si>
  <si>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</si>
  <si>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</si>
  <si>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</si>
  <si>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</si>
  <si>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</si>
  <si>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</si>
  <si>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</si>
  <si>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</si>
  <si>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</si>
  <si>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</si>
  <si>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</si>
  <si>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</si>
  <si>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</si>
  <si>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</si>
  <si>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</si>
  <si>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</si>
  <si>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</si>
  <si>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</si>
  <si>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</si>
  <si>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</si>
  <si>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</si>
  <si>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</si>
  <si>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</si>
  <si>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</si>
  <si>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</si>
  <si>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</si>
  <si>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</si>
  <si>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</si>
  <si>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</si>
  <si>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</si>
  <si>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</si>
  <si>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</si>
  <si>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</si>
  <si>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</si>
  <si>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</si>
  <si>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</si>
  <si>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</si>
  <si>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</si>
  <si>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</si>
  <si>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</si>
  <si>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</si>
  <si>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</si>
  <si>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</si>
  <si>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</si>
  <si>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</si>
  <si>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</si>
  <si>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</si>
  <si>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</si>
  <si>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</si>
  <si>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</si>
  <si>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</si>
  <si>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</si>
  <si>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</si>
  <si>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</si>
  <si>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</si>
  <si>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</si>
  <si>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</si>
  <si>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</si>
  <si>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</si>
  <si>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</si>
  <si>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</si>
  <si>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</si>
  <si>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</si>
  <si>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</si>
  <si>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</si>
  <si>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</si>
  <si>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</si>
  <si>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</si>
  <si>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</si>
  <si>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</si>
  <si>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</si>
  <si>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</si>
  <si>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</si>
  <si>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</si>
  <si>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</si>
  <si>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</si>
  <si>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</si>
  <si>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</si>
  <si>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</si>
  <si>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</si>
  <si>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</si>
  <si>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</si>
  <si>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</si>
  <si>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</si>
  <si>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</si>
  <si>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</si>
  <si>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</si>
  <si>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</si>
  <si>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</si>
  <si>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</si>
  <si>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</si>
  <si>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</si>
  <si>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</si>
  <si>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</si>
  <si>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</si>
  <si>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</si>
  <si>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</si>
  <si>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</si>
  <si>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</si>
  <si>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</si>
  <si>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</si>
  <si>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</si>
  <si>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</si>
  <si>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</si>
  <si>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</si>
  <si>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</si>
  <si>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</si>
  <si>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</si>
  <si>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</si>
  <si>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</si>
  <si>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</si>
  <si>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</si>
  <si>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</si>
  <si>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</si>
  <si>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</si>
  <si>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</si>
  <si>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</si>
  <si>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</si>
  <si>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</si>
  <si>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</si>
  <si>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</si>
  <si>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</si>
  <si>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</si>
  <si>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</si>
  <si>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</si>
  <si>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</si>
  <si>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</si>
  <si>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</si>
  <si>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</si>
  <si>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</si>
  <si>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</si>
  <si>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</si>
  <si>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</si>
  <si>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</si>
  <si>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</si>
  <si>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</si>
  <si>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</si>
  <si>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</si>
  <si>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</si>
  <si>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</si>
  <si>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</si>
  <si>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</si>
  <si>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</si>
  <si>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</si>
  <si>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</si>
  <si>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</si>
  <si>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</si>
  <si>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</si>
  <si>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</si>
  <si>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</si>
  <si>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</si>
  <si>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</si>
  <si>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</si>
  <si>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</si>
  <si>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</si>
  <si>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</si>
  <si>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</si>
  <si>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</si>
  <si>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</si>
  <si>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</si>
  <si>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</si>
  <si>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</si>
  <si>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</si>
  <si>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</si>
  <si>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</si>
  <si>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</si>
  <si>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</si>
  <si>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</si>
  <si>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</si>
  <si>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</si>
  <si>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</si>
  <si>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</si>
  <si>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</si>
  <si>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</si>
  <si>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</si>
  <si>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</si>
  <si>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</si>
  <si>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</si>
  <si>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</si>
  <si>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</si>
  <si>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</si>
  <si>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</si>
  <si>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</si>
  <si>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</si>
  <si>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</si>
  <si>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</si>
  <si>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</si>
  <si>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</si>
  <si>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</si>
  <si>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</si>
  <si>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</si>
  <si>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</si>
  <si>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</si>
  <si>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</si>
  <si>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</si>
  <si>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</si>
  <si>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</si>
  <si>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</si>
  <si>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</si>
  <si>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</si>
  <si>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</si>
  <si>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</si>
  <si>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</si>
  <si>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</si>
  <si>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</si>
  <si>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</si>
  <si>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</si>
  <si>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</si>
  <si>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</si>
  <si>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</si>
  <si>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</si>
  <si>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</si>
  <si>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</si>
  <si>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</si>
  <si>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</si>
  <si>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</si>
  <si>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</si>
  <si>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</si>
  <si>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</si>
  <si>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</si>
  <si>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</si>
  <si>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</si>
  <si>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</si>
  <si>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</si>
  <si>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</si>
  <si>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</si>
  <si>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</si>
  <si>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</si>
  <si>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</si>
  <si>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</si>
  <si>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</si>
  <si>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</si>
  <si>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</si>
  <si>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</si>
  <si>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</si>
  <si>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</si>
  <si>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</si>
  <si>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</si>
  <si>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</si>
  <si>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</si>
  <si>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</si>
  <si>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</si>
  <si>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</si>
  <si>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</si>
  <si>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</si>
  <si>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</si>
  <si>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</si>
  <si>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</si>
  <si>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</si>
  <si>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</si>
  <si>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</si>
  <si>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</si>
  <si>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</si>
  <si>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</si>
  <si>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</si>
  <si>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</si>
  <si>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</si>
  <si>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</si>
  <si>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</si>
  <si>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</si>
  <si>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</si>
  <si>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</si>
  <si>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</si>
  <si>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</si>
  <si>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</si>
  <si>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</si>
  <si>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</si>
  <si>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</si>
  <si>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</si>
  <si>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</si>
  <si>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</si>
  <si>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</si>
  <si>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</si>
  <si>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</si>
  <si>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</si>
  <si>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</si>
  <si>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</si>
  <si>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</si>
  <si>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</si>
  <si>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</si>
  <si>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</si>
  <si>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</si>
  <si>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</si>
  <si>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</si>
  <si>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</si>
  <si>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</si>
  <si>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</si>
  <si>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</si>
  <si>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</si>
  <si>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</si>
  <si>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</si>
  <si>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</si>
  <si>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</si>
  <si>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</si>
  <si>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</si>
  <si>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</si>
  <si>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</si>
  <si>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</si>
  <si>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</si>
  <si>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</si>
  <si>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</si>
  <si>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</si>
  <si>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</si>
  <si>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</si>
  <si>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</si>
  <si>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</si>
  <si>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</si>
  <si>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</si>
  <si>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</si>
  <si>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</si>
  <si>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</si>
  <si>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</si>
  <si>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</si>
  <si>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</si>
  <si>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</si>
  <si>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</si>
  <si>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</si>
  <si>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</si>
  <si>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</si>
  <si>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</si>
  <si>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</si>
  <si>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</si>
  <si>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</si>
  <si>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</si>
  <si>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</si>
  <si>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</si>
  <si>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</si>
  <si>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</si>
  <si>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</si>
  <si>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</si>
  <si>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</si>
  <si>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</si>
  <si>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</si>
  <si>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</si>
  <si>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</si>
  <si>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</si>
  <si>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</si>
  <si>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</si>
  <si>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</si>
  <si>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</si>
  <si>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</si>
  <si>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</si>
  <si>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</si>
  <si>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</si>
  <si>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</si>
  <si>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</si>
  <si>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</si>
  <si>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</si>
  <si>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</si>
  <si>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</si>
  <si>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</si>
  <si>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</si>
  <si>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</si>
  <si>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</si>
  <si>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</si>
  <si>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</si>
  <si>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</si>
  <si>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</si>
  <si>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</si>
  <si>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</si>
  <si>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</si>
  <si>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</si>
  <si>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</si>
  <si>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</si>
  <si>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</si>
  <si>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</si>
  <si>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</si>
  <si>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</si>
  <si>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</si>
  <si>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</si>
  <si>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</si>
  <si>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</si>
  <si>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</si>
  <si>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</si>
  <si>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</si>
  <si>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</si>
  <si>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</si>
  <si>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</si>
  <si>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</si>
  <si>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</si>
  <si>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</si>
  <si>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</si>
  <si>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</si>
  <si>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</si>
  <si>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</si>
  <si>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</si>
  <si>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</si>
  <si>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</si>
  <si>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</si>
  <si>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</si>
  <si>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</si>
  <si>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</si>
  <si>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</si>
  <si>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</si>
  <si>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</si>
  <si>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</si>
  <si>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</si>
  <si>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</si>
  <si>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</si>
  <si>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</si>
  <si>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</si>
  <si>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</si>
  <si>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</si>
  <si>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</si>
  <si>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</si>
  <si>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</si>
  <si>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</si>
  <si>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</si>
  <si>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</si>
  <si>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</si>
  <si>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</si>
  <si>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</si>
  <si>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</si>
  <si>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</si>
  <si>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</si>
  <si>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t>
  </si>
  <si>
    <t>Fa</t>
  </si>
  <si>
    <t>Quiero andar, madre,</t>
  </si>
  <si>
    <t>a Jerusalén, Jerusalén.</t>
  </si>
  <si>
    <t>A comer las hierbas</t>
  </si>
  <si>
    <t>y a saciarme de ellas,</t>
  </si>
  <si>
    <t>saciarme de ellas.</t>
  </si>
  <si>
    <t>EN EL SENDERO CAMINO YO.</t>
  </si>
  <si>
    <t>EN EL SEÑOR DE TODO EL MUNDO,</t>
  </si>
  <si>
    <t>DE TODO EL MUNDO.</t>
  </si>
  <si>
    <t>LA LA, LA LA LA LA LA LA LALA ...</t>
  </si>
  <si>
    <t>LA LA, LA ... LA</t>
  </si>
  <si>
    <t>LALALA ...</t>
  </si>
  <si>
    <t>Hazme comer las hierbas,</t>
  </si>
  <si>
    <t>que pueda saciar mis ansias,</t>
  </si>
  <si>
    <t>que son ansias de amistad,</t>
  </si>
  <si>
    <t>que son ansias de humildad,</t>
  </si>
  <si>
    <t>que son ansias,</t>
  </si>
  <si>
    <t>que son ansias de obediencia.</t>
  </si>
  <si>
    <t>ADONAI ELOHENU,</t>
  </si>
  <si>
    <t>ADONAI EJAD.</t>
  </si>
  <si>
    <t>EN EL SENDERO ME ENCUENTRO YO.</t>
  </si>
  <si>
    <t>¿QUIÉN ES ESTA QUE SUBE DEL DESIERTO,</t>
  </si>
  <si>
    <t>QUIÉN ES ESTA QUE SUBE DEL DESIERTO,</t>
  </si>
  <si>
    <t>APOYADA EN SU AMADO, EN SU AMADO,</t>
  </si>
  <si>
    <t>APOYADA EN SU AMADO?</t>
  </si>
  <si>
    <t>Debajo del manzano te desperté,</t>
  </si>
  <si>
    <t>Sol</t>
  </si>
  <si>
    <t>allí donde te concibió tu madre,</t>
  </si>
  <si>
    <t>allí donde tu madre te dio a luz,</t>
  </si>
  <si>
    <t>allí donde tu madre te dio a luz.</t>
  </si>
  <si>
    <t>¿QUIÉN ES ESTA QUE SUBE DEL DESIERTO,...</t>
  </si>
  <si>
    <t>Llévame como un sello en tu corazón,</t>
  </si>
  <si>
    <t>como un tatuaje en tu brazo,</t>
  </si>
  <si>
    <t>porque es fuerte el amor como la muerte</t>
  </si>
  <si>
    <t>y las aguas no lo pueden apagar,</t>
  </si>
  <si>
    <t>ni los ríos lo pueden anegar.</t>
  </si>
  <si>
    <t>Que si tú dieras los bienes de tu casa por el amor</t>
  </si>
  <si>
    <t>sólo encontrarías el desprecio.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</si>
</sst>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98434E-2E3D-49DF-98AB-61C6A0C9E0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93E458-75C5-4E9A-AAA2-E9D09840C1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7217" name="Button 1" hidden="1">
              <a:extLst>
                <a:ext uri="{63B3BB69-23CF-44E3-9099-C40C66FF867C}">
                  <a14:compatExt spid="_x0000_s137217"/>
                </a:ext>
                <a:ext uri="{FF2B5EF4-FFF2-40B4-BE49-F238E27FC236}">
                  <a16:creationId xmlns:a16="http://schemas.microsoft.com/office/drawing/2014/main" id="{00000000-0008-0000-0700-0000011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241A9BC-9E46-4B96-B857-1557BC6E518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E0AB45-FEF4-45A3-A205-EDCEE8834F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00000000-0008-0000-0800-0000010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9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1018</v>
      </c>
    </row>
    <row r="3" spans="1:1" ht="60" x14ac:dyDescent="0.25">
      <c r="A3" s="102" t="s">
        <v>1019</v>
      </c>
    </row>
    <row r="5" spans="1:1" x14ac:dyDescent="0.25">
      <c r="A5" t="s">
        <v>1020</v>
      </c>
    </row>
    <row r="6" spans="1:1" ht="75" x14ac:dyDescent="0.25">
      <c r="A6" s="102" t="s">
        <v>1021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1017</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1015</v>
      </c>
      <c r="B7" s="37"/>
      <c r="C7" s="37"/>
      <c r="D7" s="37"/>
      <c r="E7" s="37"/>
      <c r="F7" s="38"/>
      <c r="G7" s="38"/>
      <c r="H7" s="38"/>
    </row>
    <row r="8" spans="1:8" ht="26.1" customHeight="1" x14ac:dyDescent="0.45">
      <c r="A8" s="37" t="s">
        <v>1023</v>
      </c>
      <c r="B8" s="37"/>
      <c r="C8" s="37"/>
      <c r="D8" s="37"/>
      <c r="E8" s="37"/>
      <c r="F8" s="38"/>
      <c r="G8" s="38"/>
      <c r="H8" s="38"/>
    </row>
    <row r="9" spans="1:8" ht="26.1" customHeight="1" x14ac:dyDescent="0.45">
      <c r="A9" s="37" t="s">
        <v>1024</v>
      </c>
      <c r="B9" s="37"/>
      <c r="C9" s="37"/>
      <c r="D9" s="37"/>
      <c r="E9" s="37"/>
      <c r="F9" s="38"/>
      <c r="G9" s="38"/>
      <c r="H9" s="38"/>
    </row>
    <row r="10" spans="1:8" ht="26.1" customHeight="1" x14ac:dyDescent="0.45">
      <c r="A10" s="37" t="s">
        <v>1025</v>
      </c>
      <c r="B10" s="37"/>
      <c r="C10" s="37"/>
      <c r="D10" s="37"/>
      <c r="E10" s="38"/>
      <c r="F10" s="38"/>
      <c r="G10" s="38"/>
      <c r="H10" s="38"/>
    </row>
    <row r="11" spans="1:8" ht="26.1" customHeight="1" x14ac:dyDescent="0.45">
      <c r="A11" s="37" t="s">
        <v>1026</v>
      </c>
      <c r="B11" s="37"/>
      <c r="C11" s="37"/>
      <c r="D11" s="37"/>
      <c r="E11" s="38"/>
      <c r="F11" s="38"/>
      <c r="G11" s="38"/>
      <c r="H11" s="38"/>
    </row>
    <row r="12" spans="1:8" ht="26.1" customHeight="1" x14ac:dyDescent="0.45">
      <c r="A12" s="37" t="s">
        <v>1027</v>
      </c>
      <c r="B12" s="37"/>
      <c r="C12" s="37"/>
      <c r="D12" s="37"/>
      <c r="E12" s="38"/>
      <c r="F12" s="38"/>
      <c r="G12" s="38"/>
      <c r="H12" s="38"/>
    </row>
    <row r="13" spans="1:8" ht="26.1" customHeight="1" x14ac:dyDescent="0.45">
      <c r="A13" s="37" t="s">
        <v>1028</v>
      </c>
      <c r="B13" s="37"/>
      <c r="C13" s="37"/>
      <c r="D13" s="37"/>
      <c r="E13" s="38"/>
      <c r="F13" s="38"/>
      <c r="G13" s="38"/>
      <c r="H13" s="38"/>
    </row>
    <row r="14" spans="1:8" ht="26.1" customHeight="1" x14ac:dyDescent="0.45">
      <c r="A14" s="37" t="s">
        <v>1029</v>
      </c>
      <c r="B14" s="37"/>
      <c r="C14" s="37"/>
      <c r="D14" s="37"/>
      <c r="E14" s="38"/>
      <c r="F14" s="38"/>
      <c r="G14" s="38"/>
      <c r="H14" s="38"/>
    </row>
    <row r="15" spans="1:8" ht="26.1" customHeight="1" x14ac:dyDescent="0.45">
      <c r="A15" s="37" t="s">
        <v>1030</v>
      </c>
      <c r="B15" s="37"/>
      <c r="C15" s="37"/>
      <c r="D15" s="37"/>
      <c r="E15" s="38"/>
      <c r="F15" s="38"/>
      <c r="G15" s="38"/>
      <c r="H15" s="38"/>
    </row>
    <row r="16" spans="1:8" ht="26.1" customHeight="1" x14ac:dyDescent="0.45">
      <c r="A16" s="37" t="s">
        <v>1031</v>
      </c>
      <c r="B16" s="37"/>
      <c r="C16" s="37"/>
      <c r="D16" s="37"/>
      <c r="E16" s="38"/>
      <c r="F16" s="38"/>
      <c r="G16" s="38"/>
      <c r="H16" s="38"/>
    </row>
    <row r="17" spans="1:8" ht="26.1" customHeight="1" x14ac:dyDescent="0.45">
      <c r="A17" s="37" t="s">
        <v>1032</v>
      </c>
      <c r="B17" s="37"/>
      <c r="C17" s="37"/>
      <c r="D17" s="37"/>
      <c r="E17" s="38"/>
      <c r="F17" s="38"/>
      <c r="G17" s="38"/>
      <c r="H17" s="38"/>
    </row>
    <row r="18" spans="1:8" ht="26.1" customHeight="1" x14ac:dyDescent="0.45">
      <c r="A18" s="37" t="s">
        <v>1033</v>
      </c>
      <c r="B18" s="37"/>
      <c r="C18" s="37"/>
      <c r="D18" s="37"/>
      <c r="E18" s="38"/>
      <c r="F18" s="38"/>
      <c r="G18" s="38"/>
      <c r="H18" s="38"/>
    </row>
    <row r="19" spans="1:8" ht="26.1" customHeight="1" x14ac:dyDescent="0.45">
      <c r="A19" s="37" t="s">
        <v>1034</v>
      </c>
      <c r="B19" s="37"/>
      <c r="C19" s="37"/>
      <c r="D19" s="37"/>
      <c r="E19" s="38"/>
      <c r="F19" s="38"/>
      <c r="G19" s="38"/>
      <c r="H19" s="38"/>
    </row>
    <row r="20" spans="1:8" ht="24" x14ac:dyDescent="0.45">
      <c r="A20" s="37" t="s">
        <v>1035</v>
      </c>
      <c r="B20" s="37"/>
      <c r="C20" s="37"/>
      <c r="D20" s="37"/>
      <c r="E20" s="37"/>
      <c r="F20" s="37"/>
      <c r="G20" s="37"/>
      <c r="H20" s="37"/>
    </row>
    <row r="21" spans="1:8" ht="24" x14ac:dyDescent="0.45">
      <c r="A21" s="37" t="s">
        <v>1036</v>
      </c>
      <c r="B21" s="37"/>
      <c r="C21" s="37"/>
      <c r="D21" s="37"/>
      <c r="E21" s="37"/>
      <c r="F21" s="37"/>
      <c r="G21" s="37"/>
      <c r="H21" s="37"/>
    </row>
    <row r="22" spans="1:8" ht="24" x14ac:dyDescent="0.45">
      <c r="A22" s="37" t="s">
        <v>1037</v>
      </c>
      <c r="B22" s="37"/>
      <c r="C22" s="37"/>
      <c r="D22" s="37"/>
      <c r="E22" s="37"/>
      <c r="F22" s="37"/>
      <c r="G22" s="37"/>
      <c r="H22" s="37"/>
    </row>
    <row r="23" spans="1:8" ht="24" x14ac:dyDescent="0.45">
      <c r="A23" s="37" t="s">
        <v>1038</v>
      </c>
      <c r="B23" s="37"/>
      <c r="C23" s="37"/>
      <c r="D23" s="37"/>
      <c r="E23" s="37"/>
      <c r="F23" s="37"/>
      <c r="G23" s="37"/>
      <c r="H23" s="37"/>
    </row>
    <row r="24" spans="1:8" ht="24" x14ac:dyDescent="0.45">
      <c r="A24" s="37" t="s">
        <v>1039</v>
      </c>
      <c r="B24" s="37"/>
      <c r="C24" s="37"/>
      <c r="D24" s="37"/>
      <c r="E24" s="37"/>
      <c r="F24" s="37"/>
      <c r="G24" s="37"/>
      <c r="H24" s="37"/>
    </row>
    <row r="25" spans="1:8" ht="24" x14ac:dyDescent="0.45">
      <c r="A25" s="37" t="s">
        <v>1042</v>
      </c>
      <c r="B25" s="37"/>
      <c r="C25" s="37"/>
      <c r="D25" s="37"/>
      <c r="E25" s="37"/>
      <c r="F25" s="37"/>
      <c r="G25" s="37"/>
      <c r="H25" s="37"/>
    </row>
    <row r="26" spans="1:8" ht="24" x14ac:dyDescent="0.45">
      <c r="A26" s="37" t="s">
        <v>1016</v>
      </c>
      <c r="B26" s="37"/>
      <c r="C26" s="37"/>
      <c r="D26" s="37"/>
      <c r="E26" s="37"/>
      <c r="F26" s="37"/>
      <c r="G26" s="37"/>
      <c r="H26" s="37"/>
    </row>
    <row r="27" spans="1:8" ht="24" x14ac:dyDescent="0.45">
      <c r="A27" s="37" t="s">
        <v>1043</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1022</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1041</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1022</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1041</v>
      </c>
      <c r="D70" t="s">
        <v>326</v>
      </c>
      <c r="E70" t="s">
        <v>260</v>
      </c>
      <c r="F70" s="6" t="s">
        <v>18</v>
      </c>
      <c r="M70" t="s">
        <v>1040</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1044</v>
      </c>
      <c r="D72" t="s">
        <v>449</v>
      </c>
      <c r="E72" t="s">
        <v>260</v>
      </c>
      <c r="F72" s="6" t="s">
        <v>18</v>
      </c>
      <c r="M72" t="s">
        <v>1045</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137</v>
      </c>
      <c r="E1" s="40"/>
      <c r="F1" s="40"/>
      <c r="G1" s="40"/>
      <c r="H1" s="40"/>
      <c r="I1" s="40"/>
      <c r="J1" s="40"/>
      <c r="K1" s="40"/>
      <c r="L1" s="41" t="str">
        <f>VLOOKUP(C1,'[1]Codigo Canto'!A3:AQ236,38,FALSE)</f>
        <v>QUÉ ESTUPENDO, QUÉ ALEGRÍA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QUÉ ESTUPENDO, QUÉ ALEGRÍA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queestupendoquealegria</v>
      </c>
      <c r="L7" s="48" t="str">
        <f>_xlfn.CONCAT("        id: ","""",C7,"""",",")</f>
        <v xml:space="preserve">        id: "queestupendoquealegria",</v>
      </c>
    </row>
    <row r="8" spans="2:32" ht="23.25" x14ac:dyDescent="0.25">
      <c r="C8" t="str">
        <f>PROPER(L1)</f>
        <v>Qué Estupendo, Qué Alegría</v>
      </c>
      <c r="L8" s="48" t="str">
        <f>_xlfn.CONCAT("        tt: ","""",C8,"""",",")</f>
        <v xml:space="preserve">        tt: "Qué Estupendo, Qué Alegría",</v>
      </c>
    </row>
    <row r="9" spans="2:32" ht="23.25" x14ac:dyDescent="0.25">
      <c r="C9" t="str">
        <f>PROPER(L1)</f>
        <v>Qué Estupendo, Qué Alegría</v>
      </c>
      <c r="L9" s="48" t="str">
        <f>_xlfn.CONCAT("        title: ","""",C9,"""",",")</f>
        <v xml:space="preserve">        title: "Qué Estupendo, Qué Alegría",</v>
      </c>
    </row>
    <row r="10" spans="2:32" ht="23.25" x14ac:dyDescent="0.25">
      <c r="C10" t="str">
        <f>VLOOKUP(C1,'[1]Codigo Canto'!A3:AQ236,12,FALSE)</f>
        <v>Sal 133 (132)</v>
      </c>
      <c r="L10" s="48" t="str">
        <f>_xlfn.CONCAT("        ","subtitle: ","""",C10,"""",",")</f>
        <v xml:space="preserve">        subtitle: "Sal 133 (132)",</v>
      </c>
    </row>
    <row r="11" spans="2:32" ht="23.25" x14ac:dyDescent="0.25">
      <c r="C11" t="str">
        <f>_xlfn.CONCAT("category: [",VLOOKUP(C1,Table223[],16,FALSE),"],")</f>
        <v>category: ["Precatecumenado","Antiguo Testamento","Paz"],</v>
      </c>
      <c r="L11" s="48" t="str">
        <f>_xlfn.CONCAT("        ",C11)</f>
        <v xml:space="preserve">        category: ["Precatecumenado","Antiguo Testamento","Paz"],</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137</v>
      </c>
      <c r="L16" s="48" t="str">
        <f>_xlfn.CONCAT("        dbno: ","""",C16,"""",",")</f>
        <v xml:space="preserve">        dbno: "137",</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queestupendoquealegria</v>
      </c>
      <c r="L19" s="48" t="str">
        <f>_xlfn.CONCAT("        audioSrc: ","""/audio/",C19,".mp3""",",")</f>
        <v xml:space="preserve">        audioSrc: "/audio/queestupendoquealegria.mp3",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136</v>
      </c>
      <c r="C26" t="str">
        <f>VLOOKUP(B26,[1]Buscador!A3:AP240,31,FALSE)</f>
        <v>/resucito/src/index.html?canto=queamablessontusmoradas</v>
      </c>
      <c r="L26" s="48" t="str">
        <f>_xlfn.CONCAT("        ant: ","""",C26,"""",",")</f>
        <v xml:space="preserve">        ant: "/resucito/src/index.html?canto=queamablessontusmoradas",</v>
      </c>
    </row>
    <row r="27" spans="2:40" ht="23.25" x14ac:dyDescent="0.25">
      <c r="B27">
        <f>+C1+1</f>
        <v>138</v>
      </c>
      <c r="C27" t="str">
        <f>VLOOKUP(B27,[1]Buscador!A3:AP240,31,FALSE)</f>
        <v>/resucito/src/index.html?canto=quienesestaquesubedeldesierto</v>
      </c>
      <c r="L27" s="48" t="str">
        <f>_xlfn.CONCAT("        sig: ","""",C27,"""",",")</f>
        <v xml:space="preserve">        sig: "/resucito/src/index.html?canto=quienesestaquesubedeldesierto",</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QUÉ ESTUPENDO, QUÉ ALEGRÍA</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0017B-C8C0-4790-8034-A05C3A4D74EC}">
  <sheetPr codeName="Sheet70">
    <tabColor rgb="FF00B0F0"/>
  </sheetPr>
  <dimension ref="A1:AN62"/>
  <sheetViews>
    <sheetView tabSelected="1" zoomScale="85" zoomScaleNormal="85" workbookViewId="0">
      <pane xSplit="2" ySplit="1" topLeftCell="C3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138</v>
      </c>
      <c r="E1" s="40"/>
      <c r="F1" s="40"/>
      <c r="G1" s="40"/>
      <c r="H1" s="40"/>
      <c r="I1" s="40"/>
      <c r="J1" s="40"/>
      <c r="K1" s="40"/>
      <c r="L1" s="41" t="str">
        <f ca="1">UPPER(VLOOKUP(C1,Table223[],3,FALSE))</f>
        <v>QUIÉN ES ESTA QUE SUBE DEL DESIERTO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QUIÉN ES ESTA QUE SUBE DEL DESIERTO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quienesestaquesubedeldesierto</v>
      </c>
      <c r="L7" s="48" t="str">
        <f ca="1">_xlfn.CONCAT("        id: ","""",C7,"""",",")</f>
        <v xml:space="preserve">        id: "quienesestaquesubedeldesierto",</v>
      </c>
    </row>
    <row r="8" spans="2:32" ht="23.25" x14ac:dyDescent="0.25">
      <c r="C8" t="str">
        <f ca="1">PROPER(L1)</f>
        <v>Quién Es Esta Que Sube Del Desierto</v>
      </c>
      <c r="L8" s="48" t="str">
        <f ca="1">_xlfn.CONCAT("        tt: ","""",C8,"""",",")</f>
        <v xml:space="preserve">        tt: "Quién Es Esta Que Sube Del Desierto",</v>
      </c>
    </row>
    <row r="9" spans="2:32" ht="23.25" x14ac:dyDescent="0.25">
      <c r="C9" t="str">
        <f ca="1">PROPER(L1)</f>
        <v>Quién Es Esta Que Sube Del Desierto</v>
      </c>
      <c r="L9" s="48" t="str">
        <f ca="1">_xlfn.CONCAT("        title: ","""",C9,"""",",")</f>
        <v xml:space="preserve">        title: "Quién Es Esta Que Sube Del Desierto",</v>
      </c>
    </row>
    <row r="10" spans="2:32" ht="23.25" x14ac:dyDescent="0.25">
      <c r="C10" t="str">
        <f ca="1">VLOOKUP(C1,Table223[],4,FALSE)</f>
        <v>Cantar de los Cantares 8,5-7</v>
      </c>
      <c r="L10" s="48" t="str">
        <f ca="1">_xlfn.CONCAT("        ","subtitle: ","""",C10,"""",",")</f>
        <v xml:space="preserve">        subtitle: "Cantar de los Cantares 8,5-7",</v>
      </c>
    </row>
    <row r="11" spans="2:32" ht="23.25" x14ac:dyDescent="0.25">
      <c r="C11" t="str">
        <f ca="1">_xlfn.CONCAT("category: [",VLOOKUP(C1,Table223[],16,FALSE),"],")</f>
        <v>category: ["Precatecumenado","Pascua","Pentecostés","Comunión","Final","Antiguo Testamento"],</v>
      </c>
      <c r="L11" s="48" t="str">
        <f ca="1">_xlfn.CONCAT("        ",C11)</f>
        <v xml:space="preserve">        category: ["Precatecumenado","Pascua","Pentecostés","Comunión","Final","Antiguo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138</v>
      </c>
      <c r="L16" s="48" t="str">
        <f ca="1">_xlfn.CONCAT("        dbno: ","""",C16,"""",",")</f>
        <v xml:space="preserve">        dbno: "138",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quienesestaquesubedeldesierto</v>
      </c>
      <c r="L19" s="48" t="str">
        <f ca="1">_xlfn.CONCAT("        audioSrc: ","""/audio/",C19,".mp3""",",")</f>
        <v xml:space="preserve">        audioSrc: "/audio/quienesestaquesubedeldesierto.mp3",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137</v>
      </c>
      <c r="C26" t="str">
        <f ca="1">VLOOKUP(B26,Table4[],13,FALSE)</f>
        <v>"/resucito/src/index.html?canto=queestupendoquealegria"</v>
      </c>
      <c r="L26" s="48" t="str">
        <f ca="1">_xlfn.CONCAT("        ant: ",C26,",")</f>
        <v xml:space="preserve">        ant: "/resucito/src/index.html?canto=queestupendoquealegria",</v>
      </c>
    </row>
    <row r="27" spans="1:40" ht="23.25" x14ac:dyDescent="0.25">
      <c r="B27">
        <f ca="1">+C1+1</f>
        <v>139</v>
      </c>
      <c r="C27" t="str">
        <f ca="1">VLOOKUP(B27,Table4[],13,FALSE)</f>
        <v>"/resucito/src/index.html?canto=quiennosseparara"</v>
      </c>
      <c r="L27" s="48" t="str">
        <f ca="1">_xlfn.CONCAT("        sig: ",C27,",")</f>
        <v xml:space="preserve">        sig: "/resucito/src/index.html?canto=quiennosseparara",</v>
      </c>
    </row>
    <row r="28" spans="1:40" ht="23.25" x14ac:dyDescent="0.25">
      <c r="L28" s="46" t="s">
        <v>991</v>
      </c>
    </row>
    <row r="29" spans="1:40" ht="36" thickBot="1" x14ac:dyDescent="0.3">
      <c r="A29" s="49"/>
      <c r="B29" s="49"/>
      <c r="C29" s="49" t="s">
        <v>1047</v>
      </c>
      <c r="D29" s="49"/>
      <c r="E29" s="49"/>
      <c r="F29" s="49"/>
      <c r="G29" s="49"/>
      <c r="H29" s="49"/>
      <c r="I29" s="49"/>
      <c r="J29" s="49"/>
      <c r="K29" s="49"/>
      <c r="L29" s="50" t="s">
        <v>992</v>
      </c>
    </row>
    <row r="30" spans="1:40" ht="25.5" thickTop="1" thickBot="1" x14ac:dyDescent="0.4">
      <c r="B30" t="s">
        <v>997</v>
      </c>
      <c r="C30" s="113" t="s">
        <v>1069</v>
      </c>
      <c r="D30" s="112" t="s">
        <v>1013</v>
      </c>
      <c r="E30" s="52" t="s">
        <v>1012</v>
      </c>
      <c r="F30" s="53" t="s">
        <v>1046</v>
      </c>
      <c r="G30" s="53" t="s">
        <v>1012</v>
      </c>
      <c r="H30" s="52" t="s">
        <v>1013</v>
      </c>
      <c r="I30" s="52" t="s">
        <v>1012</v>
      </c>
      <c r="J30" s="54"/>
      <c r="K30" s="54"/>
      <c r="L30" s="55" t="str">
        <f t="shared" ref="L30:L31" si="0">IF(C30="","",_xlfn.CONCAT("            { line: ","""",C30,", ",M30:AN30,""", sC: ","""",B30,"""},"))</f>
        <v xml:space="preserve">            { line: "¿QUIÉN ES ESTA QUE SUBE DEL DESIERTO,, (La,m,20)(Re,m,250)(La,m,350)", sC: "ta as"},</v>
      </c>
      <c r="M30" s="56" t="str">
        <f t="shared" ref="M30:M35" si="1">IF(N30="","","(")</f>
        <v>(</v>
      </c>
      <c r="N30" s="57" t="str">
        <f t="shared" ref="N30:N35" si="2">IF(D30="","",D30)</f>
        <v>La</v>
      </c>
      <c r="O30" s="58" t="str">
        <f t="shared" ref="O30:O35" si="3">IF(N30="","",",")</f>
        <v>,</v>
      </c>
      <c r="P30" s="59" t="str">
        <f t="shared" ref="P30:P3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35" si="8">IF(F30="","",F30)</f>
        <v>Re</v>
      </c>
      <c r="V30" s="64" t="str">
        <f t="shared" ref="V30:V35" si="9">IF(U30="","",",")</f>
        <v>,</v>
      </c>
      <c r="W30" s="65" t="str">
        <f t="shared" ref="W30:W35" si="10">IF(G30="","",G30)</f>
        <v>m</v>
      </c>
      <c r="X30" s="64" t="str">
        <f t="shared" ref="X30:X35" si="11">IF(U30="","",",")</f>
        <v>,</v>
      </c>
      <c r="Y30" s="64">
        <f t="shared" ref="Y30:Y35" si="12">IF(U30="","",250)</f>
        <v>250</v>
      </c>
      <c r="Z30" s="56" t="str">
        <f t="shared" ref="Z30:Z35" si="13">IF(U30="","",")")</f>
        <v>)</v>
      </c>
      <c r="AA30" s="66" t="str">
        <f t="shared" ref="AA30:AA35" si="14">IF(AB30="","","(")</f>
        <v>(</v>
      </c>
      <c r="AB30" s="57" t="str">
        <f t="shared" ref="AB30:AB35" si="15">IF(H30="","",H30)</f>
        <v>La</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999</v>
      </c>
      <c r="C31" s="113" t="s">
        <v>1070</v>
      </c>
      <c r="D31" s="112" t="s">
        <v>1048</v>
      </c>
      <c r="E31" s="52"/>
      <c r="F31" s="53" t="s">
        <v>1013</v>
      </c>
      <c r="G31" s="53" t="s">
        <v>1012</v>
      </c>
      <c r="H31" s="52"/>
      <c r="I31" s="52"/>
      <c r="J31" s="54"/>
      <c r="K31" s="54"/>
      <c r="L31" s="55" t="str">
        <f t="shared" si="0"/>
        <v xml:space="preserve">            { line: "QUIÉN ES ESTA QUE SUBE DEL DESIERTO,, (Fa,,20)(La,m,250)", sC: "as"},</v>
      </c>
      <c r="M31" s="56" t="str">
        <f t="shared" si="1"/>
        <v>(</v>
      </c>
      <c r="N31" s="57" t="str">
        <f t="shared" si="2"/>
        <v>Fa</v>
      </c>
      <c r="O31" s="58" t="str">
        <f t="shared" si="3"/>
        <v>,</v>
      </c>
      <c r="P31" s="59" t="str">
        <f t="shared" si="4"/>
        <v/>
      </c>
      <c r="Q31" s="60" t="str">
        <f t="shared" si="5"/>
        <v>,</v>
      </c>
      <c r="R31" s="61">
        <f t="shared" ref="R31:R59" si="28">IF(N31="Do",10,IF(N31="Re",22,IF(N31="Mi",20,IF(N31="Fa",20,IF(N31="Sol",14,IF(N31="La",20,IF(N31="Si",20,IF(N31="Do#",14,IF(N31="Fa#",15,IF(N31="Sol#",20,""))))))))))</f>
        <v>20</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1071</v>
      </c>
      <c r="D32" s="112" t="s">
        <v>1048</v>
      </c>
      <c r="E32" s="52"/>
      <c r="F32" s="53" t="s">
        <v>1011</v>
      </c>
      <c r="G32" s="53"/>
      <c r="H32" s="52"/>
      <c r="I32" s="52"/>
      <c r="J32" s="54"/>
      <c r="K32" s="54"/>
      <c r="L32" s="55" t="str">
        <f>IF(C32="","",_xlfn.CONCAT("            { line: ","""",C32,", ",M32:AN32,""", sC: ","""",B32,"""},"))</f>
        <v xml:space="preserve">            { line: "APOYADA EN SU AMADO, EN SU AMADO,, (Fa,,20)(Mi,,250)", sC: "as"},</v>
      </c>
      <c r="M32" s="56" t="str">
        <f t="shared" si="1"/>
        <v>(</v>
      </c>
      <c r="N32" s="57" t="str">
        <f t="shared" si="2"/>
        <v>Fa</v>
      </c>
      <c r="O32" s="58" t="str">
        <f t="shared" si="3"/>
        <v>,</v>
      </c>
      <c r="P32" s="59" t="str">
        <f t="shared" si="4"/>
        <v/>
      </c>
      <c r="Q32" s="60" t="str">
        <f t="shared" si="5"/>
        <v>,</v>
      </c>
      <c r="R32" s="61">
        <f t="shared" si="28"/>
        <v>20</v>
      </c>
      <c r="S32" s="56" t="str">
        <f t="shared" si="6"/>
        <v>)</v>
      </c>
      <c r="T32" s="62" t="str">
        <f t="shared" si="7"/>
        <v>(</v>
      </c>
      <c r="U32" s="63" t="str">
        <f t="shared" si="8"/>
        <v>Mi</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1072</v>
      </c>
      <c r="D33" s="112" t="s">
        <v>1048</v>
      </c>
      <c r="E33" s="52"/>
      <c r="F33" s="53" t="s">
        <v>1013</v>
      </c>
      <c r="G33" s="53" t="s">
        <v>1012</v>
      </c>
      <c r="H33" s="52"/>
      <c r="I33" s="52"/>
      <c r="J33" s="54"/>
      <c r="K33" s="54"/>
      <c r="L33" s="55" t="str">
        <f>IF(C33="","",_xlfn.CONCAT("            { line: ","""",C33,", ",M33:AN33,""", sC: ","""",B33,"""},"))</f>
        <v xml:space="preserve">            { line: "APOYADA EN SU AMADO?, (Fa,,20)(La,m,250)", sC: "as"},</v>
      </c>
      <c r="M33" s="56" t="str">
        <f t="shared" si="1"/>
        <v>(</v>
      </c>
      <c r="N33" s="57" t="str">
        <f t="shared" si="2"/>
        <v>Fa</v>
      </c>
      <c r="O33" s="58" t="str">
        <f t="shared" si="3"/>
        <v>,</v>
      </c>
      <c r="P33" s="59" t="str">
        <f t="shared" si="4"/>
        <v/>
      </c>
      <c r="Q33" s="60" t="str">
        <f t="shared" si="5"/>
        <v>,</v>
      </c>
      <c r="R33" s="61">
        <f t="shared" si="28"/>
        <v>20</v>
      </c>
      <c r="S33" s="56" t="str">
        <f t="shared" si="6"/>
        <v>)</v>
      </c>
      <c r="T33" s="62" t="str">
        <f t="shared" si="7"/>
        <v>(</v>
      </c>
      <c r="U33" s="63" t="str">
        <f t="shared" si="8"/>
        <v>La</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1073</v>
      </c>
      <c r="D35" s="112" t="s">
        <v>1074</v>
      </c>
      <c r="E35" s="52"/>
      <c r="F35" s="53" t="s">
        <v>1048</v>
      </c>
      <c r="G35" s="53"/>
      <c r="H35" s="52" t="s">
        <v>1013</v>
      </c>
      <c r="I35" s="52" t="s">
        <v>1012</v>
      </c>
      <c r="J35" s="54"/>
      <c r="K35" s="54"/>
      <c r="L35" s="55" t="str">
        <f t="shared" ref="L35:L52" si="29">IF(C35="","",_xlfn.CONCAT("            { line: ","""",C35,", ",M35:AN35,""", sC: ","""",B35,"""},"))</f>
        <v xml:space="preserve">            { line: "Debajo del manzano te desperté,, (Sol,,14)(Fa,,250)(La,m,350)", sC: "tc"},</v>
      </c>
      <c r="M35" s="56" t="str">
        <f t="shared" si="1"/>
        <v>(</v>
      </c>
      <c r="N35" s="57" t="str">
        <f t="shared" si="2"/>
        <v>Sol</v>
      </c>
      <c r="O35" s="58" t="str">
        <f t="shared" si="3"/>
        <v>,</v>
      </c>
      <c r="P35" s="59" t="str">
        <f t="shared" si="4"/>
        <v/>
      </c>
      <c r="Q35" s="60" t="str">
        <f t="shared" si="5"/>
        <v>,</v>
      </c>
      <c r="R35" s="61">
        <f t="shared" si="28"/>
        <v>14</v>
      </c>
      <c r="S35" s="56" t="str">
        <f t="shared" si="6"/>
        <v>)</v>
      </c>
      <c r="T35" s="62" t="str">
        <f t="shared" si="7"/>
        <v>(</v>
      </c>
      <c r="U35" s="63" t="str">
        <f t="shared" si="8"/>
        <v>Fa</v>
      </c>
      <c r="V35" s="64" t="str">
        <f t="shared" si="9"/>
        <v>,</v>
      </c>
      <c r="W35" s="65" t="str">
        <f t="shared" si="10"/>
        <v/>
      </c>
      <c r="X35" s="64" t="str">
        <f t="shared" si="11"/>
        <v>,</v>
      </c>
      <c r="Y35" s="64">
        <f t="shared" si="12"/>
        <v>250</v>
      </c>
      <c r="Z35" s="56" t="str">
        <f t="shared" si="13"/>
        <v>)</v>
      </c>
      <c r="AA35" s="66" t="str">
        <f t="shared" si="14"/>
        <v>(</v>
      </c>
      <c r="AB35" s="57" t="str">
        <f t="shared" si="15"/>
        <v>La</v>
      </c>
      <c r="AC35" s="67" t="str">
        <f t="shared" si="16"/>
        <v>,</v>
      </c>
      <c r="AD35" s="59" t="str">
        <f t="shared" si="17"/>
        <v>m</v>
      </c>
      <c r="AE35" s="68" t="str">
        <f t="shared" si="18"/>
        <v>,</v>
      </c>
      <c r="AF35" s="61">
        <f t="shared" si="19"/>
        <v>350</v>
      </c>
      <c r="AG35" s="61" t="str">
        <f t="shared" si="20"/>
        <v>)</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1075</v>
      </c>
      <c r="D36" s="112" t="s">
        <v>1074</v>
      </c>
      <c r="E36" s="52"/>
      <c r="F36" s="53" t="s">
        <v>1048</v>
      </c>
      <c r="G36" s="53"/>
      <c r="H36" s="52" t="s">
        <v>1013</v>
      </c>
      <c r="I36" s="52" t="s">
        <v>1012</v>
      </c>
      <c r="J36" s="54"/>
      <c r="K36" s="54"/>
      <c r="L36" s="55" t="str">
        <f t="shared" si="29"/>
        <v xml:space="preserve">            { line: "allí donde te concibió tu madre,, (Sol,,14)(Fa,,250)(La,m,350)", sC: ""},</v>
      </c>
      <c r="M36" s="56" t="str">
        <f>IF(N36="","","(")</f>
        <v>(</v>
      </c>
      <c r="N36" s="57" t="str">
        <f>IF(D36="","",D36)</f>
        <v>Sol</v>
      </c>
      <c r="O36" s="58" t="str">
        <f>IF(N36="","",",")</f>
        <v>,</v>
      </c>
      <c r="P36" s="59" t="str">
        <f>IF(E36="","",E36)</f>
        <v/>
      </c>
      <c r="Q36" s="60" t="str">
        <f>IF(N36="","",",")</f>
        <v>,</v>
      </c>
      <c r="R36" s="61">
        <f t="shared" si="28"/>
        <v>14</v>
      </c>
      <c r="S36" s="56" t="str">
        <f>IF(N36="","",")")</f>
        <v>)</v>
      </c>
      <c r="T36" s="62" t="str">
        <f>IF(U36="","","(")</f>
        <v>(</v>
      </c>
      <c r="U36" s="63" t="str">
        <f>IF(F36="","",F36)</f>
        <v>Fa</v>
      </c>
      <c r="V36" s="64" t="str">
        <f>IF(U36="","",",")</f>
        <v>,</v>
      </c>
      <c r="W36" s="65" t="str">
        <f>IF(G36="","",G36)</f>
        <v/>
      </c>
      <c r="X36" s="64" t="str">
        <f>IF(U36="","",",")</f>
        <v>,</v>
      </c>
      <c r="Y36" s="64">
        <f>IF(U36="","",250)</f>
        <v>250</v>
      </c>
      <c r="Z36" s="56" t="str">
        <f>IF(U36="","",")")</f>
        <v>)</v>
      </c>
      <c r="AA36" s="66" t="str">
        <f>IF(AB36="","","(")</f>
        <v>(</v>
      </c>
      <c r="AB36" s="57" t="str">
        <f>IF(H36="","",H36)</f>
        <v>La</v>
      </c>
      <c r="AC36" s="67" t="str">
        <f>IF(AB36="","",",")</f>
        <v>,</v>
      </c>
      <c r="AD36" s="59" t="str">
        <f>IF(I36="","",I36)</f>
        <v>m</v>
      </c>
      <c r="AE36" s="68" t="str">
        <f>IF(AB36="","",",")</f>
        <v>,</v>
      </c>
      <c r="AF36" s="61">
        <f>IF(AB36="","",350)</f>
        <v>350</v>
      </c>
      <c r="AG36" s="61" t="str">
        <f>IF(AB36="","",")")</f>
        <v>)</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1076</v>
      </c>
      <c r="D37" s="112" t="s">
        <v>1048</v>
      </c>
      <c r="E37" s="52"/>
      <c r="F37" s="53" t="s">
        <v>1011</v>
      </c>
      <c r="G37" s="53"/>
      <c r="H37" s="52"/>
      <c r="I37" s="52"/>
      <c r="J37" s="54"/>
      <c r="K37" s="54"/>
      <c r="L37" s="55" t="str">
        <f t="shared" si="29"/>
        <v xml:space="preserve">            { line: "allí donde tu madre te dio a luz,, (Fa,,20)(Mi,,250)", sC: ""},</v>
      </c>
      <c r="M37" s="56" t="str">
        <f>IF(N37="","","(")</f>
        <v>(</v>
      </c>
      <c r="N37" s="57" t="str">
        <f>IF(D37="","",D37)</f>
        <v>Fa</v>
      </c>
      <c r="O37" s="58" t="str">
        <f>IF(N37="","",",")</f>
        <v>,</v>
      </c>
      <c r="P37" s="59" t="str">
        <f>IF(E37="","",E37)</f>
        <v/>
      </c>
      <c r="Q37" s="60" t="str">
        <f>IF(N37="","",",")</f>
        <v>,</v>
      </c>
      <c r="R37" s="61">
        <f t="shared" si="28"/>
        <v>20</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1077</v>
      </c>
      <c r="D38" s="112" t="s">
        <v>1048</v>
      </c>
      <c r="E38" s="52"/>
      <c r="F38" s="53" t="s">
        <v>1013</v>
      </c>
      <c r="G38" s="53" t="s">
        <v>1012</v>
      </c>
      <c r="H38" s="52"/>
      <c r="I38" s="52"/>
      <c r="J38" s="54"/>
      <c r="K38" s="54"/>
      <c r="L38" s="55" t="str">
        <f t="shared" si="29"/>
        <v xml:space="preserve">            { line: "allí donde tu madre te dio a luz., (Fa,,20)(La,m,250)", sC: ""},</v>
      </c>
      <c r="M38" s="56" t="str">
        <f>IF(N38="","","(")</f>
        <v>(</v>
      </c>
      <c r="N38" s="57" t="str">
        <f>IF(D38="","",D38)</f>
        <v>Fa</v>
      </c>
      <c r="O38" s="58" t="str">
        <f>IF(N38="","",",")</f>
        <v>,</v>
      </c>
      <c r="P38" s="59" t="str">
        <f>IF(E38="","",E38)</f>
        <v/>
      </c>
      <c r="Q38" s="60" t="str">
        <f>IF(N38="","",",")</f>
        <v>,</v>
      </c>
      <c r="R38" s="61">
        <f t="shared" si="28"/>
        <v>20</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R45" si="30">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995</v>
      </c>
      <c r="D40" s="80"/>
      <c r="E40" s="80"/>
      <c r="F40" s="80"/>
      <c r="G40" s="80"/>
      <c r="H40" s="80"/>
      <c r="I40" s="80"/>
      <c r="J40" s="80"/>
      <c r="K40" s="80"/>
      <c r="L40" s="81" t="s">
        <v>996</v>
      </c>
      <c r="M40" s="56" t="str">
        <f t="shared" ref="M40:M44" si="31">IF(N40="","","(")</f>
        <v/>
      </c>
      <c r="N40" s="57" t="str">
        <f t="shared" ref="N40:N44" si="32">IF(D40="","",D40)</f>
        <v/>
      </c>
      <c r="O40" s="58" t="str">
        <f t="shared" ref="O40:O44" si="33">IF(N40="","",",")</f>
        <v/>
      </c>
      <c r="P40" s="59" t="str">
        <f t="shared" ref="P40:P44" si="34">IF(E40="","",E40)</f>
        <v/>
      </c>
      <c r="Q40" s="60" t="str">
        <f t="shared" ref="Q40:Q44" si="35">IF(N40="","",",")</f>
        <v/>
      </c>
      <c r="R40" s="61" t="str">
        <f t="shared" si="30"/>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1:40" ht="25.5" thickTop="1" thickBot="1" x14ac:dyDescent="0.4">
      <c r="B41" t="s">
        <v>997</v>
      </c>
      <c r="C41" s="82" t="s">
        <v>1078</v>
      </c>
      <c r="D41" s="83" t="s">
        <v>1013</v>
      </c>
      <c r="E41" s="83" t="s">
        <v>1012</v>
      </c>
      <c r="F41" s="83" t="s">
        <v>1046</v>
      </c>
      <c r="G41" s="83" t="s">
        <v>1012</v>
      </c>
      <c r="H41" s="83" t="s">
        <v>1013</v>
      </c>
      <c r="I41" s="83" t="s">
        <v>1012</v>
      </c>
      <c r="J41" s="83"/>
      <c r="K41" s="83"/>
      <c r="L41" s="84" t="str">
        <f>IF(C41="","",_xlfn.CONCAT("       triggerLine: ","""",C41,", ",M41:AN41,""", sC: ","""",B41,""", lines: ["))</f>
        <v xml:space="preserve">       triggerLine: "¿QUIÉN ES ESTA QUE SUBE DEL DESIERTO,..., (La,m,20)(Re,m,250)(La,m,350)", sC: "ta as", lines: [</v>
      </c>
      <c r="M41" s="56" t="str">
        <f t="shared" si="31"/>
        <v>(</v>
      </c>
      <c r="N41" s="57" t="str">
        <f t="shared" si="32"/>
        <v>La</v>
      </c>
      <c r="O41" s="58" t="str">
        <f t="shared" si="33"/>
        <v>,</v>
      </c>
      <c r="P41" s="59" t="str">
        <f t="shared" si="34"/>
        <v>m</v>
      </c>
      <c r="Q41" s="60" t="str">
        <f t="shared" si="35"/>
        <v>,</v>
      </c>
      <c r="R41" s="61">
        <f t="shared" si="30"/>
        <v>20</v>
      </c>
      <c r="S41" s="56" t="str">
        <f t="shared" si="36"/>
        <v>)</v>
      </c>
      <c r="T41" s="62" t="str">
        <f t="shared" si="37"/>
        <v>(</v>
      </c>
      <c r="U41" s="63" t="str">
        <f t="shared" si="38"/>
        <v>Re</v>
      </c>
      <c r="V41" s="64" t="str">
        <f t="shared" si="39"/>
        <v>,</v>
      </c>
      <c r="W41" s="65" t="str">
        <f t="shared" si="40"/>
        <v>m</v>
      </c>
      <c r="X41" s="64" t="str">
        <f t="shared" si="41"/>
        <v>,</v>
      </c>
      <c r="Y41" s="64">
        <f t="shared" si="42"/>
        <v>250</v>
      </c>
      <c r="Z41" s="56" t="str">
        <f t="shared" si="43"/>
        <v>)</v>
      </c>
      <c r="AA41" s="66" t="str">
        <f t="shared" si="44"/>
        <v>(</v>
      </c>
      <c r="AB41" s="57" t="str">
        <f t="shared" si="45"/>
        <v>La</v>
      </c>
      <c r="AC41" s="67" t="str">
        <f t="shared" si="46"/>
        <v>,</v>
      </c>
      <c r="AD41" s="59" t="str">
        <f t="shared" si="47"/>
        <v>m</v>
      </c>
      <c r="AE41" s="68" t="str">
        <f t="shared" si="48"/>
        <v>,</v>
      </c>
      <c r="AF41" s="61">
        <f t="shared" si="49"/>
        <v>350</v>
      </c>
      <c r="AG41" s="61" t="str">
        <f t="shared" si="50"/>
        <v>)</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5.5" thickTop="1" thickBot="1" x14ac:dyDescent="0.4">
      <c r="B42" t="s">
        <v>999</v>
      </c>
      <c r="C42" s="85" t="s">
        <v>1070</v>
      </c>
      <c r="D42" s="86" t="s">
        <v>1048</v>
      </c>
      <c r="E42" s="86"/>
      <c r="F42" s="86" t="s">
        <v>1013</v>
      </c>
      <c r="G42" s="86" t="s">
        <v>1012</v>
      </c>
      <c r="H42" s="87"/>
      <c r="I42" s="87"/>
      <c r="J42" s="87"/>
      <c r="K42" s="87"/>
      <c r="L42" s="88" t="str">
        <f>IF(C42="","",_xlfn.CONCAT("            { line: ","""",C42,", ",M42:AN42,""", sC: ","""",B42,"""},"))</f>
        <v xml:space="preserve">            { line: "QUIÉN ES ESTA QUE SUBE DEL DESIERTO,, (Fa,,20)(La,m,250)", sC: "as"},</v>
      </c>
      <c r="M42" s="56" t="str">
        <f t="shared" si="31"/>
        <v>(</v>
      </c>
      <c r="N42" s="57" t="str">
        <f t="shared" si="32"/>
        <v>Fa</v>
      </c>
      <c r="O42" s="58" t="str">
        <f t="shared" si="33"/>
        <v>,</v>
      </c>
      <c r="P42" s="59" t="str">
        <f t="shared" si="34"/>
        <v/>
      </c>
      <c r="Q42" s="60" t="str">
        <f t="shared" si="35"/>
        <v>,</v>
      </c>
      <c r="R42" s="61">
        <f t="shared" si="30"/>
        <v>20</v>
      </c>
      <c r="S42" s="56" t="str">
        <f t="shared" si="36"/>
        <v>)</v>
      </c>
      <c r="T42" s="62" t="str">
        <f t="shared" si="37"/>
        <v>(</v>
      </c>
      <c r="U42" s="63" t="str">
        <f t="shared" si="38"/>
        <v>La</v>
      </c>
      <c r="V42" s="64" t="str">
        <f t="shared" si="39"/>
        <v>,</v>
      </c>
      <c r="W42" s="65" t="str">
        <f t="shared" si="40"/>
        <v>m</v>
      </c>
      <c r="X42" s="64" t="str">
        <f t="shared" si="41"/>
        <v>,</v>
      </c>
      <c r="Y42" s="64">
        <f t="shared" si="42"/>
        <v>250</v>
      </c>
      <c r="Z42" s="56" t="str">
        <f t="shared" si="43"/>
        <v>)</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5.5" thickTop="1" thickBot="1" x14ac:dyDescent="0.4">
      <c r="B43" t="s">
        <v>999</v>
      </c>
      <c r="C43" s="85" t="s">
        <v>1071</v>
      </c>
      <c r="D43" s="89" t="s">
        <v>1048</v>
      </c>
      <c r="E43" s="89"/>
      <c r="F43" s="89" t="s">
        <v>1011</v>
      </c>
      <c r="G43" s="89"/>
      <c r="H43" s="90"/>
      <c r="I43" s="90"/>
      <c r="J43" s="90"/>
      <c r="K43" s="90"/>
      <c r="L43" s="88" t="str">
        <f>IF(C43="","",_xlfn.CONCAT("            { line: ","""",C43,", ",M43:AN43,""", sC: ","""",B43,"""},"))</f>
        <v xml:space="preserve">            { line: "APOYADA EN SU AMADO, EN SU AMADO,, (Fa,,20)(Mi,,250)", sC: "as"},</v>
      </c>
      <c r="M43" s="56" t="str">
        <f t="shared" si="31"/>
        <v>(</v>
      </c>
      <c r="N43" s="57" t="str">
        <f t="shared" si="32"/>
        <v>Fa</v>
      </c>
      <c r="O43" s="58" t="str">
        <f t="shared" si="33"/>
        <v>,</v>
      </c>
      <c r="P43" s="59" t="str">
        <f t="shared" si="34"/>
        <v/>
      </c>
      <c r="Q43" s="60" t="str">
        <f t="shared" si="35"/>
        <v>,</v>
      </c>
      <c r="R43" s="61">
        <f t="shared" si="30"/>
        <v>20</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B44" t="s">
        <v>999</v>
      </c>
      <c r="C44" s="93" t="s">
        <v>1072</v>
      </c>
      <c r="D44" s="83" t="s">
        <v>1048</v>
      </c>
      <c r="E44" s="83"/>
      <c r="F44" s="83" t="s">
        <v>1013</v>
      </c>
      <c r="G44" s="83" t="s">
        <v>1012</v>
      </c>
      <c r="H44" s="83"/>
      <c r="I44" s="83"/>
      <c r="J44" s="83"/>
      <c r="K44" s="83"/>
      <c r="L44" s="94" t="str">
        <f>IF(C44="","",_xlfn.CONCAT("            { line: ","""",C44,", ",M44:AN44,""", sC: ","""",B44,"""},  ]},"))</f>
        <v xml:space="preserve">            { line: "APOYADA EN SU AMADO?, (Fa,,20)(La,m,250)", sC: "as"},  ]},</v>
      </c>
      <c r="M44" s="56" t="str">
        <f t="shared" si="31"/>
        <v>(</v>
      </c>
      <c r="N44" s="57" t="str">
        <f t="shared" si="32"/>
        <v>Fa</v>
      </c>
      <c r="O44" s="58" t="str">
        <f t="shared" si="33"/>
        <v>,</v>
      </c>
      <c r="P44" s="59" t="str">
        <f t="shared" si="34"/>
        <v/>
      </c>
      <c r="Q44" s="60" t="str">
        <f t="shared" si="35"/>
        <v>,</v>
      </c>
      <c r="R44" s="61">
        <f t="shared" si="30"/>
        <v>20</v>
      </c>
      <c r="S44" s="56" t="str">
        <f t="shared" si="36"/>
        <v>)</v>
      </c>
      <c r="T44" s="62" t="str">
        <f t="shared" si="37"/>
        <v>(</v>
      </c>
      <c r="U44" s="63" t="str">
        <f t="shared" si="38"/>
        <v>La</v>
      </c>
      <c r="V44" s="64" t="str">
        <f t="shared" si="39"/>
        <v>,</v>
      </c>
      <c r="W44" s="65" t="str">
        <f t="shared" si="40"/>
        <v>m</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si="30"/>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1079</v>
      </c>
      <c r="D46" s="112" t="s">
        <v>1074</v>
      </c>
      <c r="E46" s="52"/>
      <c r="F46" s="53" t="s">
        <v>1048</v>
      </c>
      <c r="G46" s="53"/>
      <c r="H46" s="52" t="s">
        <v>1013</v>
      </c>
      <c r="I46" s="52" t="s">
        <v>1012</v>
      </c>
      <c r="J46" s="54"/>
      <c r="K46" s="54"/>
      <c r="L46" s="55" t="str">
        <f t="shared" si="29"/>
        <v xml:space="preserve">            { line: "Llévame como un sello en tu corazón,, (Sol,,14)(Fa,,250)(La,m,350)", sC: "tc"},</v>
      </c>
      <c r="M46" s="56" t="str">
        <f>IF(N46="","","(")</f>
        <v>(</v>
      </c>
      <c r="N46" s="57" t="str">
        <f>IF(D46="","",D46)</f>
        <v>Sol</v>
      </c>
      <c r="O46" s="58" t="str">
        <f>IF(N46="","",",")</f>
        <v>,</v>
      </c>
      <c r="P46" s="59" t="str">
        <f>IF(E46="","",E46)</f>
        <v/>
      </c>
      <c r="Q46" s="60" t="str">
        <f>IF(N46="","",",")</f>
        <v>,</v>
      </c>
      <c r="R46" s="61">
        <f t="shared" si="28"/>
        <v>14</v>
      </c>
      <c r="S46" s="56" t="str">
        <f>IF(N46="","",")")</f>
        <v>)</v>
      </c>
      <c r="T46" s="62" t="str">
        <f>IF(U46="","","(")</f>
        <v>(</v>
      </c>
      <c r="U46" s="63" t="str">
        <f>IF(F46="","",F46)</f>
        <v>Fa</v>
      </c>
      <c r="V46" s="64" t="str">
        <f>IF(U46="","",",")</f>
        <v>,</v>
      </c>
      <c r="W46" s="65" t="str">
        <f>IF(G46="","",G46)</f>
        <v/>
      </c>
      <c r="X46" s="64" t="str">
        <f>IF(U46="","",",")</f>
        <v>,</v>
      </c>
      <c r="Y46" s="64">
        <f>IF(U46="","",250)</f>
        <v>250</v>
      </c>
      <c r="Z46" s="56" t="str">
        <f>IF(U46="","",")")</f>
        <v>)</v>
      </c>
      <c r="AA46" s="66" t="str">
        <f>IF(AB46="","","(")</f>
        <v>(</v>
      </c>
      <c r="AB46" s="57" t="str">
        <f>IF(H46="","",H46)</f>
        <v>La</v>
      </c>
      <c r="AC46" s="67" t="str">
        <f>IF(AB46="","",",")</f>
        <v>,</v>
      </c>
      <c r="AD46" s="59" t="str">
        <f>IF(I46="","",I46)</f>
        <v>m</v>
      </c>
      <c r="AE46" s="68" t="str">
        <f>IF(AB46="","",",")</f>
        <v>,</v>
      </c>
      <c r="AF46" s="61">
        <f>IF(AB46="","",350)</f>
        <v>350</v>
      </c>
      <c r="AG46" s="61" t="str">
        <f>IF(AB46="","",")")</f>
        <v>)</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1080</v>
      </c>
      <c r="D47" s="112" t="s">
        <v>1074</v>
      </c>
      <c r="E47" s="52"/>
      <c r="F47" s="53" t="s">
        <v>1048</v>
      </c>
      <c r="G47" s="53"/>
      <c r="H47" s="52" t="s">
        <v>1013</v>
      </c>
      <c r="I47" s="52" t="s">
        <v>1012</v>
      </c>
      <c r="J47" s="54"/>
      <c r="K47" s="54"/>
      <c r="L47" s="55" t="str">
        <f t="shared" si="29"/>
        <v xml:space="preserve">            { line: "como un tatuaje en tu brazo,, (Sol,,14)(Fa,,250)(La,m,350)", sC: ""},</v>
      </c>
      <c r="M47" s="56" t="str">
        <f>IF(N47="","","(")</f>
        <v>(</v>
      </c>
      <c r="N47" s="57" t="str">
        <f>IF(D47="","",D47)</f>
        <v>Sol</v>
      </c>
      <c r="O47" s="58" t="str">
        <f>IF(N47="","",",")</f>
        <v>,</v>
      </c>
      <c r="P47" s="59" t="str">
        <f>IF(E47="","",E47)</f>
        <v/>
      </c>
      <c r="Q47" s="60" t="str">
        <f>IF(N47="","",",")</f>
        <v>,</v>
      </c>
      <c r="R47" s="61">
        <f t="shared" si="28"/>
        <v>14</v>
      </c>
      <c r="S47" s="56" t="str">
        <f>IF(N47="","",")")</f>
        <v>)</v>
      </c>
      <c r="T47" s="62" t="str">
        <f>IF(U47="","","(")</f>
        <v>(</v>
      </c>
      <c r="U47" s="63" t="str">
        <f>IF(F47="","",F47)</f>
        <v>Fa</v>
      </c>
      <c r="V47" s="64" t="str">
        <f>IF(U47="","",",")</f>
        <v>,</v>
      </c>
      <c r="W47" s="65" t="str">
        <f>IF(G47="","",G47)</f>
        <v/>
      </c>
      <c r="X47" s="64" t="str">
        <f>IF(U47="","",",")</f>
        <v>,</v>
      </c>
      <c r="Y47" s="64">
        <f>IF(U47="","",250)</f>
        <v>250</v>
      </c>
      <c r="Z47" s="56" t="str">
        <f>IF(U47="","",")")</f>
        <v>)</v>
      </c>
      <c r="AA47" s="66" t="str">
        <f>IF(AB47="","","(")</f>
        <v>(</v>
      </c>
      <c r="AB47" s="57" t="str">
        <f>IF(H47="","",H47)</f>
        <v>La</v>
      </c>
      <c r="AC47" s="67" t="str">
        <f>IF(AB47="","",",")</f>
        <v>,</v>
      </c>
      <c r="AD47" s="59" t="str">
        <f>IF(I47="","",I47)</f>
        <v>m</v>
      </c>
      <c r="AE47" s="68" t="str">
        <f>IF(AB47="","",",")</f>
        <v>,</v>
      </c>
      <c r="AF47" s="61">
        <f>IF(AB47="","",350)</f>
        <v>350</v>
      </c>
      <c r="AG47" s="61" t="str">
        <f>IF(AB47="","",")")</f>
        <v>)</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1081</v>
      </c>
      <c r="D48" s="112" t="s">
        <v>1048</v>
      </c>
      <c r="E48" s="52"/>
      <c r="F48" s="53" t="s">
        <v>1011</v>
      </c>
      <c r="G48" s="53"/>
      <c r="H48" s="52"/>
      <c r="I48" s="52"/>
      <c r="J48" s="54"/>
      <c r="K48" s="54"/>
      <c r="L48" s="55" t="str">
        <f t="shared" si="29"/>
        <v xml:space="preserve">            { line: "porque es fuerte el amor como la muerte, (Fa,,20)(Mi,,250)", sC: ""},</v>
      </c>
      <c r="M48" s="56" t="str">
        <f>IF(N48="","","(")</f>
        <v>(</v>
      </c>
      <c r="N48" s="57" t="str">
        <f>IF(D48="","",D48)</f>
        <v>Fa</v>
      </c>
      <c r="O48" s="58" t="str">
        <f>IF(N48="","",",")</f>
        <v>,</v>
      </c>
      <c r="P48" s="59" t="str">
        <f>IF(E48="","",E48)</f>
        <v/>
      </c>
      <c r="Q48" s="60" t="str">
        <f>IF(N48="","",",")</f>
        <v>,</v>
      </c>
      <c r="R48" s="61">
        <f t="shared" si="28"/>
        <v>20</v>
      </c>
      <c r="S48" s="56" t="str">
        <f>IF(N48="","",")")</f>
        <v>)</v>
      </c>
      <c r="T48" s="62" t="str">
        <f>IF(U48="","","(")</f>
        <v>(</v>
      </c>
      <c r="U48" s="63" t="str">
        <f>IF(F48="","",F48)</f>
        <v>Mi</v>
      </c>
      <c r="V48" s="64" t="str">
        <f>IF(U48="","",",")</f>
        <v>,</v>
      </c>
      <c r="W48" s="65" t="str">
        <f>IF(G48="","",G48)</f>
        <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1082</v>
      </c>
      <c r="D49" s="112" t="s">
        <v>1048</v>
      </c>
      <c r="E49" s="52"/>
      <c r="F49" s="53" t="s">
        <v>1011</v>
      </c>
      <c r="G49" s="53"/>
      <c r="H49" s="52"/>
      <c r="I49" s="52"/>
      <c r="J49" s="54"/>
      <c r="K49" s="54"/>
      <c r="L49" s="55" t="str">
        <f t="shared" si="29"/>
        <v xml:space="preserve">            { line: "y las aguas no lo pueden apagar,, (Fa,,20)(Mi,,250)", sC: ""},</v>
      </c>
      <c r="M49" s="56" t="str">
        <f t="shared" ref="M49:M52" si="58">IF(N49="","","(")</f>
        <v>(</v>
      </c>
      <c r="N49" s="57" t="str">
        <f t="shared" ref="N49:N52" si="59">IF(D49="","",D49)</f>
        <v>Fa</v>
      </c>
      <c r="O49" s="58" t="str">
        <f t="shared" ref="O49:O52" si="60">IF(N49="","",",")</f>
        <v>,</v>
      </c>
      <c r="P49" s="59" t="str">
        <f t="shared" ref="P49:P52" si="61">IF(E49="","",E49)</f>
        <v/>
      </c>
      <c r="Q49" s="60" t="str">
        <f t="shared" ref="Q49:Q52" si="62">IF(N49="","",",")</f>
        <v>,</v>
      </c>
      <c r="R49" s="61">
        <f t="shared" si="28"/>
        <v>20</v>
      </c>
      <c r="S49" s="56" t="str">
        <f t="shared" ref="S49:S52" si="63">IF(N49="","",")")</f>
        <v>)</v>
      </c>
      <c r="T49" s="62" t="str">
        <f t="shared" ref="T49:T52" si="64">IF(U49="","","(")</f>
        <v>(</v>
      </c>
      <c r="U49" s="63" t="str">
        <f t="shared" ref="U49:U52" si="65">IF(F49="","",F49)</f>
        <v>Mi</v>
      </c>
      <c r="V49" s="64" t="str">
        <f t="shared" ref="V49:V52" si="66">IF(U49="","",",")</f>
        <v>,</v>
      </c>
      <c r="W49" s="65" t="str">
        <f t="shared" ref="W49:W52" si="67">IF(G49="","",G49)</f>
        <v/>
      </c>
      <c r="X49" s="64" t="str">
        <f t="shared" ref="X49:X52" si="68">IF(U49="","",",")</f>
        <v>,</v>
      </c>
      <c r="Y49" s="64">
        <f t="shared" ref="Y49:Y52" si="69">IF(U49="","",250)</f>
        <v>250</v>
      </c>
      <c r="Z49" s="56" t="str">
        <f t="shared" ref="Z49:Z52" si="70">IF(U49="","",")")</f>
        <v>)</v>
      </c>
      <c r="AA49" s="66" t="str">
        <f t="shared" ref="AA49:AA52" si="71">IF(AB49="","","(")</f>
        <v/>
      </c>
      <c r="AB49" s="57" t="str">
        <f t="shared" ref="AB49:AB52" si="72">IF(H49="","",H49)</f>
        <v/>
      </c>
      <c r="AC49" s="67" t="str">
        <f t="shared" ref="AC49:AC52" si="73">IF(AB49="","",",")</f>
        <v/>
      </c>
      <c r="AD49" s="59" t="str">
        <f t="shared" ref="AD49:AD52" si="74">IF(I49="","",I49)</f>
        <v/>
      </c>
      <c r="AE49" s="68" t="str">
        <f t="shared" ref="AE49:AE52" si="75">IF(AB49="","",",")</f>
        <v/>
      </c>
      <c r="AF49" s="61" t="str">
        <f t="shared" ref="AF49:AF52" si="76">IF(AB49="","",350)</f>
        <v/>
      </c>
      <c r="AG49" s="61" t="str">
        <f t="shared" ref="AG49:AG52" si="77">IF(AB49="","",")")</f>
        <v/>
      </c>
      <c r="AH49" s="69" t="str">
        <f t="shared" ref="AH49:AH52" si="78">IF(AI49="","","(")</f>
        <v/>
      </c>
      <c r="AI49" s="70" t="str">
        <f t="shared" ref="AI49:AI52" si="79">IF(J49="","",J49)</f>
        <v/>
      </c>
      <c r="AJ49" s="64" t="str">
        <f t="shared" ref="AJ49:AJ52" si="80">IF(AI49="","",",")</f>
        <v/>
      </c>
      <c r="AK49" s="64" t="str">
        <f t="shared" ref="AK49:AK52" si="81">IF(K49="","",K49)</f>
        <v/>
      </c>
      <c r="AL49" s="64" t="str">
        <f t="shared" ref="AL49:AL52" si="82">IF(AI49="","",",")</f>
        <v/>
      </c>
      <c r="AM49" s="64" t="str">
        <f t="shared" ref="AM49:AM52" si="83">IF(AI49="","",450)</f>
        <v/>
      </c>
      <c r="AN49" s="64" t="str">
        <f t="shared" ref="AN49:AN52" si="84">IF(AI49="","",")")</f>
        <v/>
      </c>
    </row>
    <row r="50" spans="1:40" ht="25.5" thickTop="1" thickBot="1" x14ac:dyDescent="0.4">
      <c r="C50" s="113" t="s">
        <v>1083</v>
      </c>
      <c r="D50" s="112" t="s">
        <v>1048</v>
      </c>
      <c r="E50" s="52"/>
      <c r="F50" s="53" t="s">
        <v>1011</v>
      </c>
      <c r="G50" s="53"/>
      <c r="H50" s="52"/>
      <c r="I50" s="52"/>
      <c r="J50" s="54"/>
      <c r="K50" s="54"/>
      <c r="L50" s="55" t="str">
        <f t="shared" si="29"/>
        <v xml:space="preserve">            { line: "ni los ríos lo pueden anegar., (Fa,,20)(Mi,,250)", sC: ""},</v>
      </c>
      <c r="M50" s="56" t="str">
        <f t="shared" si="58"/>
        <v>(</v>
      </c>
      <c r="N50" s="57" t="str">
        <f t="shared" si="59"/>
        <v>Fa</v>
      </c>
      <c r="O50" s="58" t="str">
        <f t="shared" si="60"/>
        <v>,</v>
      </c>
      <c r="P50" s="59" t="str">
        <f t="shared" si="61"/>
        <v/>
      </c>
      <c r="Q50" s="60" t="str">
        <f t="shared" si="62"/>
        <v>,</v>
      </c>
      <c r="R50" s="61">
        <f t="shared" si="28"/>
        <v>20</v>
      </c>
      <c r="S50" s="56" t="str">
        <f t="shared" si="63"/>
        <v>)</v>
      </c>
      <c r="T50" s="62" t="str">
        <f t="shared" si="64"/>
        <v>(</v>
      </c>
      <c r="U50" s="63" t="str">
        <f t="shared" si="65"/>
        <v>Mi</v>
      </c>
      <c r="V50" s="64" t="str">
        <f t="shared" si="66"/>
        <v>,</v>
      </c>
      <c r="W50" s="65" t="str">
        <f t="shared" si="67"/>
        <v/>
      </c>
      <c r="X50" s="64" t="str">
        <f t="shared" si="68"/>
        <v>,</v>
      </c>
      <c r="Y50" s="64">
        <f t="shared" si="69"/>
        <v>250</v>
      </c>
      <c r="Z50" s="56" t="str">
        <f t="shared" si="70"/>
        <v>)</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5.5" thickTop="1" thickBot="1" x14ac:dyDescent="0.4">
      <c r="C51" s="113" t="s">
        <v>1084</v>
      </c>
      <c r="D51" s="112" t="s">
        <v>1048</v>
      </c>
      <c r="E51" s="52"/>
      <c r="F51" s="53" t="s">
        <v>1011</v>
      </c>
      <c r="G51" s="53"/>
      <c r="H51" s="52"/>
      <c r="I51" s="52"/>
      <c r="J51" s="54"/>
      <c r="K51" s="54"/>
      <c r="L51" s="55" t="str">
        <f t="shared" si="29"/>
        <v xml:space="preserve">            { line: "Que si tú dieras los bienes de tu casa por el amor, (Fa,,20)(Mi,,250)", sC: ""},</v>
      </c>
      <c r="M51" s="56" t="str">
        <f t="shared" si="58"/>
        <v>(</v>
      </c>
      <c r="N51" s="57" t="str">
        <f t="shared" si="59"/>
        <v>Fa</v>
      </c>
      <c r="O51" s="58" t="str">
        <f t="shared" si="60"/>
        <v>,</v>
      </c>
      <c r="P51" s="59" t="str">
        <f t="shared" si="61"/>
        <v/>
      </c>
      <c r="Q51" s="60" t="str">
        <f t="shared" si="62"/>
        <v>,</v>
      </c>
      <c r="R51" s="61">
        <f t="shared" si="28"/>
        <v>20</v>
      </c>
      <c r="S51" s="56" t="str">
        <f t="shared" si="63"/>
        <v>)</v>
      </c>
      <c r="T51" s="62" t="str">
        <f t="shared" si="64"/>
        <v>(</v>
      </c>
      <c r="U51" s="63" t="str">
        <f t="shared" si="65"/>
        <v>Mi</v>
      </c>
      <c r="V51" s="64" t="str">
        <f t="shared" si="66"/>
        <v>,</v>
      </c>
      <c r="W51" s="65" t="str">
        <f t="shared" si="67"/>
        <v/>
      </c>
      <c r="X51" s="64" t="str">
        <f t="shared" si="68"/>
        <v>,</v>
      </c>
      <c r="Y51" s="64">
        <f t="shared" si="69"/>
        <v>250</v>
      </c>
      <c r="Z51" s="56" t="str">
        <f t="shared" si="70"/>
        <v>)</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5.5" thickTop="1" thickBot="1" x14ac:dyDescent="0.4">
      <c r="C52" s="113" t="s">
        <v>1085</v>
      </c>
      <c r="D52" s="112" t="s">
        <v>1048</v>
      </c>
      <c r="E52" s="52"/>
      <c r="F52" s="53" t="s">
        <v>1011</v>
      </c>
      <c r="G52" s="53"/>
      <c r="H52" s="52"/>
      <c r="I52" s="52"/>
      <c r="J52" s="54"/>
      <c r="K52" s="54"/>
      <c r="L52" s="55" t="str">
        <f t="shared" si="29"/>
        <v xml:space="preserve">            { line: "sólo encontrarías el desprecio., (Fa,,20)(Mi,,250)", sC: ""},</v>
      </c>
      <c r="M52" s="56" t="str">
        <f t="shared" si="58"/>
        <v>(</v>
      </c>
      <c r="N52" s="57" t="str">
        <f t="shared" si="59"/>
        <v>Fa</v>
      </c>
      <c r="O52" s="58" t="str">
        <f t="shared" si="60"/>
        <v>,</v>
      </c>
      <c r="P52" s="59" t="str">
        <f t="shared" si="61"/>
        <v/>
      </c>
      <c r="Q52" s="60" t="str">
        <f t="shared" si="62"/>
        <v>,</v>
      </c>
      <c r="R52" s="61">
        <f t="shared" si="28"/>
        <v>20</v>
      </c>
      <c r="S52" s="56" t="str">
        <f t="shared" si="63"/>
        <v>)</v>
      </c>
      <c r="T52" s="62" t="str">
        <f t="shared" si="64"/>
        <v>(</v>
      </c>
      <c r="U52" s="63" t="str">
        <f t="shared" si="65"/>
        <v>Mi</v>
      </c>
      <c r="V52" s="64" t="str">
        <f t="shared" si="66"/>
        <v>,</v>
      </c>
      <c r="W52" s="65" t="str">
        <f t="shared" si="67"/>
        <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7.75" thickTop="1" thickBot="1" x14ac:dyDescent="0.4">
      <c r="A53" s="73"/>
      <c r="B53" s="73"/>
      <c r="C53" s="73"/>
      <c r="D53" s="74"/>
      <c r="E53" s="74"/>
      <c r="F53" s="74"/>
      <c r="G53" s="74"/>
      <c r="H53" s="74"/>
      <c r="I53" s="74"/>
      <c r="J53" s="74"/>
      <c r="K53" s="74"/>
      <c r="L53" s="75" t="s">
        <v>993</v>
      </c>
      <c r="M53" s="56"/>
      <c r="N53" s="57"/>
      <c r="O53" s="58"/>
      <c r="P53" s="59"/>
      <c r="Q53" s="60"/>
      <c r="R53" s="61" t="str">
        <f t="shared" si="28"/>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C54" s="79" t="s">
        <v>995</v>
      </c>
      <c r="D54" s="80"/>
      <c r="E54" s="80"/>
      <c r="F54" s="80"/>
      <c r="G54" s="80"/>
      <c r="H54" s="80"/>
      <c r="I54" s="80"/>
      <c r="J54" s="80"/>
      <c r="K54" s="80"/>
      <c r="L54" s="81" t="s">
        <v>996</v>
      </c>
      <c r="M54" s="56" t="str">
        <f t="shared" ref="M54:M58" si="85">IF(N54="","","(")</f>
        <v/>
      </c>
      <c r="N54" s="57" t="str">
        <f t="shared" ref="N54:N58" si="86">IF(D54="","",D54)</f>
        <v/>
      </c>
      <c r="O54" s="58" t="str">
        <f t="shared" ref="O54:O58" si="87">IF(N54="","",",")</f>
        <v/>
      </c>
      <c r="P54" s="59" t="str">
        <f t="shared" ref="P54:P58" si="88">IF(E54="","",E54)</f>
        <v/>
      </c>
      <c r="Q54" s="60" t="str">
        <f t="shared" ref="Q54:Q58" si="89">IF(N54="","",",")</f>
        <v/>
      </c>
      <c r="R54" s="61" t="str">
        <f t="shared" si="28"/>
        <v/>
      </c>
      <c r="S54" s="56" t="str">
        <f t="shared" ref="S54:S58" si="90">IF(N54="","",")")</f>
        <v/>
      </c>
      <c r="T54" s="62" t="str">
        <f t="shared" ref="T54:T58" si="91">IF(U54="","","(")</f>
        <v/>
      </c>
      <c r="U54" s="63" t="str">
        <f t="shared" ref="U54:U58" si="92">IF(F54="","",F54)</f>
        <v/>
      </c>
      <c r="V54" s="64" t="str">
        <f t="shared" ref="V54:V58" si="93">IF(U54="","",",")</f>
        <v/>
      </c>
      <c r="W54" s="65" t="str">
        <f t="shared" ref="W54:W58" si="94">IF(G54="","",G54)</f>
        <v/>
      </c>
      <c r="X54" s="64" t="str">
        <f t="shared" ref="X54:X58" si="95">IF(U54="","",",")</f>
        <v/>
      </c>
      <c r="Y54" s="64" t="str">
        <f t="shared" ref="Y54:Y58" si="96">IF(U54="","",250)</f>
        <v/>
      </c>
      <c r="Z54" s="56" t="str">
        <f t="shared" ref="Z54:Z58" si="97">IF(U54="","",")")</f>
        <v/>
      </c>
      <c r="AA54" s="66" t="str">
        <f t="shared" ref="AA54:AA58" si="98">IF(AB54="","","(")</f>
        <v/>
      </c>
      <c r="AB54" s="57" t="str">
        <f t="shared" ref="AB54:AB58" si="99">IF(H54="","",H54)</f>
        <v/>
      </c>
      <c r="AC54" s="67" t="str">
        <f t="shared" ref="AC54:AC58" si="100">IF(AB54="","",",")</f>
        <v/>
      </c>
      <c r="AD54" s="59" t="str">
        <f t="shared" ref="AD54:AD58" si="101">IF(I54="","",I54)</f>
        <v/>
      </c>
      <c r="AE54" s="68" t="str">
        <f t="shared" ref="AE54:AE58" si="102">IF(AB54="","",",")</f>
        <v/>
      </c>
      <c r="AF54" s="61" t="str">
        <f t="shared" ref="AF54:AF58" si="103">IF(AB54="","",350)</f>
        <v/>
      </c>
      <c r="AG54" s="61" t="str">
        <f t="shared" ref="AG54:AG58" si="104">IF(AB54="","",")")</f>
        <v/>
      </c>
      <c r="AH54" s="69" t="str">
        <f t="shared" ref="AH54:AH58" si="105">IF(AI54="","","(")</f>
        <v/>
      </c>
      <c r="AI54" s="70" t="str">
        <f t="shared" ref="AI54:AI58" si="106">IF(J54="","",J54)</f>
        <v/>
      </c>
      <c r="AJ54" s="64" t="str">
        <f t="shared" ref="AJ54:AJ58" si="107">IF(AI54="","",",")</f>
        <v/>
      </c>
      <c r="AK54" s="64" t="str">
        <f t="shared" ref="AK54:AK58" si="108">IF(K54="","",K54)</f>
        <v/>
      </c>
      <c r="AL54" s="64" t="str">
        <f t="shared" ref="AL54:AL58" si="109">IF(AI54="","",",")</f>
        <v/>
      </c>
      <c r="AM54" s="64" t="str">
        <f t="shared" ref="AM54:AM58" si="110">IF(AI54="","",450)</f>
        <v/>
      </c>
      <c r="AN54" s="64" t="str">
        <f t="shared" ref="AN54:AN58" si="111">IF(AI54="","",")")</f>
        <v/>
      </c>
    </row>
    <row r="55" spans="1:40" ht="25.5" thickTop="1" thickBot="1" x14ac:dyDescent="0.4">
      <c r="B55" t="s">
        <v>997</v>
      </c>
      <c r="C55" s="82" t="s">
        <v>1078</v>
      </c>
      <c r="D55" s="83" t="s">
        <v>1013</v>
      </c>
      <c r="E55" s="83" t="s">
        <v>1012</v>
      </c>
      <c r="F55" s="83" t="s">
        <v>1046</v>
      </c>
      <c r="G55" s="83" t="s">
        <v>1012</v>
      </c>
      <c r="H55" s="83" t="s">
        <v>1013</v>
      </c>
      <c r="I55" s="83" t="s">
        <v>1012</v>
      </c>
      <c r="J55" s="83"/>
      <c r="K55" s="83"/>
      <c r="L55" s="84" t="str">
        <f>IF(C55="","",_xlfn.CONCAT("       triggerLine: ","""",C55,", ",M55:AN55,""", sC: ","""",B55,""", lines: ["))</f>
        <v xml:space="preserve">       triggerLine: "¿QUIÉN ES ESTA QUE SUBE DEL DESIERTO,..., (La,m,20)(Re,m,250)(La,m,350)", sC: "ta as", lines: [</v>
      </c>
      <c r="M55" s="56" t="str">
        <f t="shared" si="85"/>
        <v>(</v>
      </c>
      <c r="N55" s="57" t="str">
        <f t="shared" si="86"/>
        <v>La</v>
      </c>
      <c r="O55" s="58" t="str">
        <f t="shared" si="87"/>
        <v>,</v>
      </c>
      <c r="P55" s="59" t="str">
        <f t="shared" si="88"/>
        <v>m</v>
      </c>
      <c r="Q55" s="60" t="str">
        <f t="shared" si="89"/>
        <v>,</v>
      </c>
      <c r="R55" s="61">
        <f t="shared" si="28"/>
        <v>20</v>
      </c>
      <c r="S55" s="56" t="str">
        <f t="shared" si="90"/>
        <v>)</v>
      </c>
      <c r="T55" s="62" t="str">
        <f t="shared" si="91"/>
        <v>(</v>
      </c>
      <c r="U55" s="63" t="str">
        <f t="shared" si="92"/>
        <v>Re</v>
      </c>
      <c r="V55" s="64" t="str">
        <f t="shared" si="93"/>
        <v>,</v>
      </c>
      <c r="W55" s="65" t="str">
        <f t="shared" si="94"/>
        <v>m</v>
      </c>
      <c r="X55" s="64" t="str">
        <f t="shared" si="95"/>
        <v>,</v>
      </c>
      <c r="Y55" s="64">
        <f t="shared" si="96"/>
        <v>250</v>
      </c>
      <c r="Z55" s="56" t="str">
        <f t="shared" si="97"/>
        <v>)</v>
      </c>
      <c r="AA55" s="66" t="str">
        <f t="shared" si="98"/>
        <v>(</v>
      </c>
      <c r="AB55" s="57" t="str">
        <f t="shared" si="99"/>
        <v>La</v>
      </c>
      <c r="AC55" s="67" t="str">
        <f t="shared" si="100"/>
        <v>,</v>
      </c>
      <c r="AD55" s="59" t="str">
        <f t="shared" si="101"/>
        <v>m</v>
      </c>
      <c r="AE55" s="68" t="str">
        <f t="shared" si="102"/>
        <v>,</v>
      </c>
      <c r="AF55" s="61">
        <f t="shared" si="103"/>
        <v>350</v>
      </c>
      <c r="AG55" s="61" t="str">
        <f t="shared" si="104"/>
        <v>)</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thickTop="1" thickBot="1" x14ac:dyDescent="0.4">
      <c r="B56" t="s">
        <v>999</v>
      </c>
      <c r="C56" s="85" t="s">
        <v>1070</v>
      </c>
      <c r="D56" s="86" t="s">
        <v>1048</v>
      </c>
      <c r="E56" s="86"/>
      <c r="F56" s="86" t="s">
        <v>1013</v>
      </c>
      <c r="G56" s="86" t="s">
        <v>1012</v>
      </c>
      <c r="H56" s="87"/>
      <c r="I56" s="87"/>
      <c r="J56" s="87"/>
      <c r="K56" s="87"/>
      <c r="L56" s="88" t="str">
        <f>IF(C56="","",_xlfn.CONCAT("            { line: ","""",C56,", ",M56:AN56,""", sC: ","""",B56,"""},"))</f>
        <v xml:space="preserve">            { line: "QUIÉN ES ESTA QUE SUBE DEL DESIERTO,, (Fa,,20)(La,m,250)", sC: "as"},</v>
      </c>
      <c r="M56" s="56" t="str">
        <f t="shared" si="85"/>
        <v>(</v>
      </c>
      <c r="N56" s="57" t="str">
        <f t="shared" si="86"/>
        <v>Fa</v>
      </c>
      <c r="O56" s="58" t="str">
        <f t="shared" si="87"/>
        <v>,</v>
      </c>
      <c r="P56" s="59" t="str">
        <f t="shared" si="88"/>
        <v/>
      </c>
      <c r="Q56" s="60" t="str">
        <f t="shared" si="89"/>
        <v>,</v>
      </c>
      <c r="R56" s="61">
        <f t="shared" si="28"/>
        <v>20</v>
      </c>
      <c r="S56" s="56" t="str">
        <f t="shared" si="90"/>
        <v>)</v>
      </c>
      <c r="T56" s="62" t="str">
        <f t="shared" si="91"/>
        <v>(</v>
      </c>
      <c r="U56" s="63" t="str">
        <f t="shared" si="92"/>
        <v>La</v>
      </c>
      <c r="V56" s="64" t="str">
        <f t="shared" si="93"/>
        <v>,</v>
      </c>
      <c r="W56" s="65" t="str">
        <f t="shared" si="94"/>
        <v>m</v>
      </c>
      <c r="X56" s="64" t="str">
        <f t="shared" si="95"/>
        <v>,</v>
      </c>
      <c r="Y56" s="64">
        <f t="shared" si="96"/>
        <v>250</v>
      </c>
      <c r="Z56" s="56" t="str">
        <f t="shared" si="97"/>
        <v>)</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thickTop="1" thickBot="1" x14ac:dyDescent="0.4">
      <c r="B57" t="s">
        <v>999</v>
      </c>
      <c r="C57" s="85" t="s">
        <v>1071</v>
      </c>
      <c r="D57" s="89" t="s">
        <v>1048</v>
      </c>
      <c r="E57" s="89"/>
      <c r="F57" s="89" t="s">
        <v>1011</v>
      </c>
      <c r="G57" s="89"/>
      <c r="H57" s="90"/>
      <c r="I57" s="90"/>
      <c r="J57" s="90"/>
      <c r="K57" s="90"/>
      <c r="L57" s="88" t="str">
        <f>IF(C57="","",_xlfn.CONCAT("            { line: ","""",C57,", ",M57:AN57,""", sC: ","""",B57,"""},"))</f>
        <v xml:space="preserve">            { line: "APOYADA EN SU AMADO, EN SU AMADO,, (Fa,,20)(Mi,,250)", sC: "as"},</v>
      </c>
      <c r="M57" s="56" t="str">
        <f t="shared" si="85"/>
        <v>(</v>
      </c>
      <c r="N57" s="57" t="str">
        <f t="shared" si="86"/>
        <v>Fa</v>
      </c>
      <c r="O57" s="58" t="str">
        <f t="shared" si="87"/>
        <v>,</v>
      </c>
      <c r="P57" s="59" t="str">
        <f t="shared" si="88"/>
        <v/>
      </c>
      <c r="Q57" s="60" t="str">
        <f t="shared" si="89"/>
        <v>,</v>
      </c>
      <c r="R57" s="61">
        <f t="shared" si="28"/>
        <v>20</v>
      </c>
      <c r="S57" s="56" t="str">
        <f t="shared" si="90"/>
        <v>)</v>
      </c>
      <c r="T57" s="62" t="str">
        <f t="shared" si="91"/>
        <v>(</v>
      </c>
      <c r="U57" s="63" t="str">
        <f t="shared" si="92"/>
        <v>Mi</v>
      </c>
      <c r="V57" s="64" t="str">
        <f t="shared" si="93"/>
        <v>,</v>
      </c>
      <c r="W57" s="65" t="str">
        <f t="shared" si="94"/>
        <v/>
      </c>
      <c r="X57" s="64" t="str">
        <f t="shared" si="95"/>
        <v>,</v>
      </c>
      <c r="Y57" s="64">
        <f t="shared" si="96"/>
        <v>250</v>
      </c>
      <c r="Z57" s="56" t="str">
        <f t="shared" si="97"/>
        <v>)</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5.5" thickTop="1" thickBot="1" x14ac:dyDescent="0.4">
      <c r="B58" t="s">
        <v>999</v>
      </c>
      <c r="C58" s="93" t="s">
        <v>1072</v>
      </c>
      <c r="D58" s="83" t="s">
        <v>1048</v>
      </c>
      <c r="E58" s="83"/>
      <c r="F58" s="83" t="s">
        <v>1013</v>
      </c>
      <c r="G58" s="83" t="s">
        <v>1012</v>
      </c>
      <c r="H58" s="83"/>
      <c r="I58" s="83"/>
      <c r="J58" s="83"/>
      <c r="K58" s="83"/>
      <c r="L58" s="94" t="str">
        <f>IF(C58="","",_xlfn.CONCAT("            { line: ","""",C58,", ",M58:AN58,""", sC: ","""",B58,"""},  ]},"))</f>
        <v xml:space="preserve">            { line: "APOYADA EN SU AMADO?, (Fa,,20)(La,m,250)", sC: "as"},  ]},</v>
      </c>
      <c r="M58" s="56" t="str">
        <f t="shared" si="85"/>
        <v>(</v>
      </c>
      <c r="N58" s="57" t="str">
        <f t="shared" si="86"/>
        <v>Fa</v>
      </c>
      <c r="O58" s="58" t="str">
        <f t="shared" si="87"/>
        <v>,</v>
      </c>
      <c r="P58" s="59" t="str">
        <f t="shared" si="88"/>
        <v/>
      </c>
      <c r="Q58" s="60" t="str">
        <f t="shared" si="89"/>
        <v>,</v>
      </c>
      <c r="R58" s="61">
        <f t="shared" si="28"/>
        <v>20</v>
      </c>
      <c r="S58" s="56" t="str">
        <f t="shared" si="90"/>
        <v>)</v>
      </c>
      <c r="T58" s="62" t="str">
        <f t="shared" si="91"/>
        <v>(</v>
      </c>
      <c r="U58" s="63" t="str">
        <f t="shared" si="92"/>
        <v>La</v>
      </c>
      <c r="V58" s="64" t="str">
        <f t="shared" si="93"/>
        <v>,</v>
      </c>
      <c r="W58" s="65" t="str">
        <f t="shared" si="94"/>
        <v>m</v>
      </c>
      <c r="X58" s="64" t="str">
        <f t="shared" si="95"/>
        <v>,</v>
      </c>
      <c r="Y58" s="64">
        <f t="shared" si="96"/>
        <v>250</v>
      </c>
      <c r="Z58" s="56" t="str">
        <f t="shared" si="97"/>
        <v>)</v>
      </c>
      <c r="AA58" s="66" t="str">
        <f t="shared" si="98"/>
        <v/>
      </c>
      <c r="AB58" s="57" t="str">
        <f t="shared" si="99"/>
        <v/>
      </c>
      <c r="AC58" s="67" t="str">
        <f t="shared" si="100"/>
        <v/>
      </c>
      <c r="AD58" s="59" t="str">
        <f t="shared" si="101"/>
        <v/>
      </c>
      <c r="AE58" s="68" t="str">
        <f t="shared" si="102"/>
        <v/>
      </c>
      <c r="AF58" s="61" t="str">
        <f t="shared" si="103"/>
        <v/>
      </c>
      <c r="AG58" s="61" t="str">
        <f t="shared" si="104"/>
        <v/>
      </c>
      <c r="AH58" s="69" t="str">
        <f t="shared" si="105"/>
        <v/>
      </c>
      <c r="AI58" s="70" t="str">
        <f t="shared" si="106"/>
        <v/>
      </c>
      <c r="AJ58" s="64" t="str">
        <f t="shared" si="107"/>
        <v/>
      </c>
      <c r="AK58" s="64" t="str">
        <f t="shared" si="108"/>
        <v/>
      </c>
      <c r="AL58" s="64" t="str">
        <f t="shared" si="109"/>
        <v/>
      </c>
      <c r="AM58" s="64" t="str">
        <f t="shared" si="110"/>
        <v/>
      </c>
      <c r="AN58" s="64" t="str">
        <f t="shared" si="111"/>
        <v/>
      </c>
    </row>
    <row r="59" spans="1:40" ht="36.75" thickTop="1" thickBot="1" x14ac:dyDescent="0.4">
      <c r="A59" s="76"/>
      <c r="B59" s="76"/>
      <c r="C59" s="76" t="s">
        <v>1047</v>
      </c>
      <c r="D59" s="77"/>
      <c r="E59" s="77"/>
      <c r="F59" s="77"/>
      <c r="G59" s="77"/>
      <c r="H59" s="77"/>
      <c r="I59" s="77"/>
      <c r="J59" s="77"/>
      <c r="K59" s="77"/>
      <c r="L59" s="50" t="s">
        <v>994</v>
      </c>
      <c r="M59" s="104"/>
      <c r="N59" s="57"/>
      <c r="O59" s="105"/>
      <c r="P59" s="59"/>
      <c r="Q59" s="106"/>
      <c r="R59" s="61" t="str">
        <f t="shared" si="28"/>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4" customHeight="1" thickTop="1" x14ac:dyDescent="0.4">
      <c r="A60" s="95"/>
      <c r="B60" s="95"/>
      <c r="C60" s="95"/>
      <c r="D60" s="95"/>
      <c r="E60" s="95"/>
      <c r="F60" s="95"/>
      <c r="G60" s="95"/>
      <c r="H60" s="95"/>
      <c r="I60" s="95"/>
      <c r="J60" s="95"/>
      <c r="K60" s="95"/>
      <c r="L60" s="99" t="str">
        <f ca="1">_xlfn.CONCAT("]}, // ULTIMA LINEA DEL CANTO: ",L1)</f>
        <v>]}, // ULTIMA LINEA DEL CANTO: QUIÉN ES ESTA QUE SUBE DEL DESIERTO</v>
      </c>
      <c r="M60" s="95"/>
    </row>
    <row r="61" spans="1:40" ht="20.25" x14ac:dyDescent="0.25">
      <c r="L61" s="100" t="s">
        <v>1008</v>
      </c>
      <c r="M61" s="101"/>
    </row>
    <row r="62" spans="1:40" x14ac:dyDescent="0.25">
      <c r="M62"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721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7729F-3B2C-45F7-A2B4-5E5605F3CD73}">
  <sheetPr codeName="Sheet69">
    <tabColor rgb="FF00B0F0"/>
  </sheetPr>
  <dimension ref="A1:AN63"/>
  <sheetViews>
    <sheetView tabSelected="1" zoomScale="85" zoomScaleNormal="85" workbookViewId="0">
      <pane xSplit="2" ySplit="1" topLeftCell="C28" activePane="bottomRight" state="frozen"/>
      <selection activeCell="L1" sqref="L1"/>
      <selection pane="topRight" activeCell="L1" sqref="L1"/>
      <selection pane="bottomLeft" activeCell="L1" sqref="L1"/>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139</v>
      </c>
      <c r="E1" s="40"/>
      <c r="F1" s="40"/>
      <c r="G1" s="40"/>
      <c r="H1" s="40"/>
      <c r="I1" s="40"/>
      <c r="J1" s="40"/>
      <c r="K1" s="40"/>
      <c r="L1" s="41" t="str">
        <f ca="1">UPPER(VLOOKUP(C1,Table223[],3,FALSE))</f>
        <v>QUIÉN NOS SEPARARÁ</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QUIÉN NOS SEPARARÁ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quiennosseparara</v>
      </c>
      <c r="L7" s="48" t="str">
        <f ca="1">_xlfn.CONCAT("        id: ","""",C7,"""",",")</f>
        <v xml:space="preserve">        id: "quiennosseparara",</v>
      </c>
    </row>
    <row r="8" spans="2:32" ht="23.25" x14ac:dyDescent="0.25">
      <c r="C8" t="str">
        <f ca="1">PROPER(L1)</f>
        <v>Quién Nos Separará</v>
      </c>
      <c r="L8" s="48" t="str">
        <f ca="1">_xlfn.CONCAT("        tt: ","""",C8,"""",",")</f>
        <v xml:space="preserve">        tt: "Quién Nos Separará",</v>
      </c>
    </row>
    <row r="9" spans="2:32" ht="23.25" x14ac:dyDescent="0.25">
      <c r="C9" t="str">
        <f ca="1">PROPER(L1)</f>
        <v>Quién Nos Separará</v>
      </c>
      <c r="L9" s="48" t="str">
        <f ca="1">_xlfn.CONCAT("        title: ","""",C9,"""",",")</f>
        <v xml:space="preserve">        title: "Quién Nos Separará",</v>
      </c>
    </row>
    <row r="10" spans="2:32" ht="23.25" x14ac:dyDescent="0.25">
      <c r="C10" t="str">
        <f ca="1">VLOOKUP(C1,Table223[],4,FALSE)</f>
        <v>Romanos 8,34-39</v>
      </c>
      <c r="L10" s="48" t="str">
        <f ca="1">_xlfn.CONCAT("        ","subtitle: ","""",C10,"""",",")</f>
        <v xml:space="preserve">        subtitle: "Romanos 8,34-39",</v>
      </c>
    </row>
    <row r="11" spans="2:32" ht="23.25" x14ac:dyDescent="0.25">
      <c r="C11" t="str">
        <f ca="1">_xlfn.CONCAT("category: [",VLOOKUP(C1,Table223[],16,FALSE),"],")</f>
        <v>category: ["Precatecumenado","Cuaresma","Penitencial","Comunión","Nuevo Testamento"],</v>
      </c>
      <c r="L11" s="48" t="str">
        <f ca="1">_xlfn.CONCAT("        ",C11)</f>
        <v xml:space="preserve">        category: ["Precatecumenado","Cuaresma","Penitencial","Comunión","Nuevo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139</v>
      </c>
      <c r="L16" s="48" t="str">
        <f ca="1">_xlfn.CONCAT("        dbno: ","""",C16,"""",",")</f>
        <v xml:space="preserve">        dbno: "139",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quiennosseparara</v>
      </c>
      <c r="L19" s="48" t="str">
        <f ca="1">_xlfn.CONCAT("        audioSrc: ","""https://audio.resucito.do/",C19,".mp3""",",")</f>
        <v xml:space="preserve">        audioSrc: "https://audio.resucito.do/quiennosseparara.mp3",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138</v>
      </c>
      <c r="C26" t="str">
        <f ca="1">VLOOKUP(B26,Table4[],13,FALSE)</f>
        <v>"/resucito/src/index.html?canto=quienesestaquesubedeldesierto"</v>
      </c>
      <c r="L26" s="48" t="str">
        <f ca="1">_xlfn.CONCAT("        ant: ",C26,",")</f>
        <v xml:space="preserve">        ant: "/resucito/src/index.html?canto=quienesestaquesubedeldesierto",</v>
      </c>
    </row>
    <row r="27" spans="1:40" ht="23.25" x14ac:dyDescent="0.25">
      <c r="B27">
        <f ca="1">+C1+1</f>
        <v>140</v>
      </c>
      <c r="C27" t="str">
        <f ca="1">VLOOKUP(B27,Table4[],13,FALSE)</f>
        <v>"/resucito/src/index.html?canto=quieroandarmadreajerusalen"</v>
      </c>
      <c r="L27" s="48" t="str">
        <f ca="1">_xlfn.CONCAT("        sig: ",C27,",")</f>
        <v xml:space="preserve">        sig: "/resucito/src/index.html?canto=quieroandarmadreajerusalen",</v>
      </c>
    </row>
    <row r="28" spans="1:40" ht="23.25" x14ac:dyDescent="0.25">
      <c r="L28" s="46" t="s">
        <v>991</v>
      </c>
    </row>
    <row r="29" spans="1:40" ht="36" thickBot="1" x14ac:dyDescent="0.3">
      <c r="A29" s="49"/>
      <c r="B29" s="49"/>
      <c r="C29" s="49" t="s">
        <v>1047</v>
      </c>
      <c r="D29" s="49"/>
      <c r="E29" s="49"/>
      <c r="F29" s="49"/>
      <c r="G29" s="49"/>
      <c r="H29" s="49"/>
      <c r="I29" s="49"/>
      <c r="J29" s="49"/>
      <c r="K29" s="49"/>
      <c r="L29" s="50" t="s">
        <v>992</v>
      </c>
    </row>
    <row r="30" spans="1:40" ht="25.5" thickTop="1" thickBot="1" x14ac:dyDescent="0.4">
      <c r="B30" t="s">
        <v>1014</v>
      </c>
      <c r="C30" s="113" t="s">
        <v>1049</v>
      </c>
      <c r="D30" s="112" t="s">
        <v>1011</v>
      </c>
      <c r="E30" s="52"/>
      <c r="F30" s="53" t="s">
        <v>1013</v>
      </c>
      <c r="G30" s="53" t="s">
        <v>1012</v>
      </c>
      <c r="H30" s="52"/>
      <c r="I30" s="52"/>
      <c r="J30" s="54"/>
      <c r="K30" s="54"/>
      <c r="L30" s="55" t="str">
        <f t="shared" ref="L30:L31" si="0">IF(C30="","",_xlfn.CONCAT("            { line: ","""",C30,", ",M30:AN30,""", sC: ","""",B30,"""},"))</f>
        <v xml:space="preserve">            { line: "Quiero andar, madre,, (Mi,,20)(La,m,250)", sC: "tc"},</v>
      </c>
      <c r="M30" s="56" t="str">
        <f t="shared" ref="M30:M34" si="1">IF(N30="","","(")</f>
        <v>(</v>
      </c>
      <c r="N30" s="57" t="str">
        <f t="shared" ref="N30:N60" si="2">IF(D30="","",D30)</f>
        <v>Mi</v>
      </c>
      <c r="O30" s="58" t="str">
        <f t="shared" ref="O30:O34" si="3">IF(N30="","",",")</f>
        <v>,</v>
      </c>
      <c r="P30" s="59" t="str">
        <f t="shared" ref="P30:P60" si="4">IF(E30="","",E30)</f>
        <v/>
      </c>
      <c r="Q30" s="60" t="str">
        <f t="shared" ref="Q30:Q34" si="5">IF(N30="","",",")</f>
        <v>,</v>
      </c>
      <c r="R30" s="61">
        <f>IF(N30="Do",10,IF(N30="Re",22,IF(N30="Mi",20,IF(N30="Fa",20,IF(N30="Sol",14,IF(N30="La",20,IF(N30="Si",20,IF(N30="Do#",14,IF(N30="Fa#",15,IF(N30="Sol#",20,""))))))))))</f>
        <v>20</v>
      </c>
      <c r="S30" s="56" t="str">
        <f t="shared" ref="S30:S34" si="6">IF(N30="","",")")</f>
        <v>)</v>
      </c>
      <c r="T30" s="62" t="str">
        <f t="shared" ref="T30:T34" si="7">IF(U30="","","(")</f>
        <v>(</v>
      </c>
      <c r="U30" s="63" t="str">
        <f t="shared" ref="U30:U60" si="8">IF(F30="","",F30)</f>
        <v>La</v>
      </c>
      <c r="V30" s="64" t="str">
        <f t="shared" ref="V30:V34" si="9">IF(U30="","",",")</f>
        <v>,</v>
      </c>
      <c r="W30" s="65" t="str">
        <f t="shared" ref="W30:W60" si="10">IF(G30="","",G30)</f>
        <v>m</v>
      </c>
      <c r="X30" s="64" t="str">
        <f t="shared" ref="X30:X34" si="11">IF(U30="","",",")</f>
        <v>,</v>
      </c>
      <c r="Y30" s="64">
        <f t="shared" ref="Y30:Y34" si="12">IF(U30="","",250)</f>
        <v>250</v>
      </c>
      <c r="Z30" s="56" t="str">
        <f t="shared" ref="Z30:Z34" si="13">IF(U30="","",")")</f>
        <v>)</v>
      </c>
      <c r="AA30" s="66" t="str">
        <f t="shared" ref="AA30:AA34" si="14">IF(AB30="","","(")</f>
        <v/>
      </c>
      <c r="AB30" s="57" t="str">
        <f t="shared" ref="AB30:AB60"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60"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C31" s="113" t="s">
        <v>1050</v>
      </c>
      <c r="D31" s="112" t="s">
        <v>1046</v>
      </c>
      <c r="E31" s="52" t="s">
        <v>1012</v>
      </c>
      <c r="F31" s="53" t="s">
        <v>1011</v>
      </c>
      <c r="G31" s="53"/>
      <c r="H31" s="52"/>
      <c r="I31" s="52"/>
      <c r="J31" s="54"/>
      <c r="K31" s="54"/>
      <c r="L31" s="55" t="str">
        <f t="shared" si="0"/>
        <v xml:space="preserve">            { line: "a Jerusalén, Jerusalén., (Re,m,22)(Mi,,250)", sC: ""},</v>
      </c>
      <c r="M31" s="56" t="str">
        <f t="shared" si="1"/>
        <v>(</v>
      </c>
      <c r="N31" s="57" t="str">
        <f t="shared" si="2"/>
        <v>Re</v>
      </c>
      <c r="O31" s="58" t="str">
        <f t="shared" si="3"/>
        <v>,</v>
      </c>
      <c r="P31" s="59" t="str">
        <f t="shared" si="4"/>
        <v>m</v>
      </c>
      <c r="Q31" s="60" t="str">
        <f t="shared" si="5"/>
        <v>,</v>
      </c>
      <c r="R31" s="61">
        <f t="shared" ref="R31:R60" si="28">IF(N31="Do",10,IF(N31="Re",22,IF(N31="Mi",20,IF(N31="Fa",20,IF(N31="Sol",14,IF(N31="La",20,IF(N31="Si",20,IF(N31="Do#",14,IF(N31="Fa#",15,IF(N31="Sol#",20,""))))))))))</f>
        <v>22</v>
      </c>
      <c r="S31" s="56" t="str">
        <f t="shared" si="6"/>
        <v>)</v>
      </c>
      <c r="T31" s="62" t="str">
        <f t="shared" si="7"/>
        <v>(</v>
      </c>
      <c r="U31" s="63" t="str">
        <f t="shared" si="8"/>
        <v>Mi</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1051</v>
      </c>
      <c r="D32" s="112" t="s">
        <v>1013</v>
      </c>
      <c r="E32" s="52" t="s">
        <v>1012</v>
      </c>
      <c r="F32" s="53"/>
      <c r="G32" s="53"/>
      <c r="H32" s="52"/>
      <c r="I32" s="52"/>
      <c r="J32" s="54"/>
      <c r="K32" s="54"/>
      <c r="L32" s="55" t="str">
        <f>IF(C32="","",_xlfn.CONCAT("            { line: ","""",C32,", ",M32:AN32,""", sC: ","""",B32,"""},"))</f>
        <v xml:space="preserve">            { line: "A comer las hierbas, (La,m,20)", sC: ""},</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1052</v>
      </c>
      <c r="D33" s="112" t="s">
        <v>1046</v>
      </c>
      <c r="E33" s="52" t="s">
        <v>1012</v>
      </c>
      <c r="F33" s="53" t="s">
        <v>1011</v>
      </c>
      <c r="G33" s="53"/>
      <c r="H33" s="52"/>
      <c r="I33" s="52"/>
      <c r="J33" s="54"/>
      <c r="K33" s="54"/>
      <c r="L33" s="55" t="str">
        <f>IF(C33="","",_xlfn.CONCAT("            { line: ","""",C33,", ",M33:AN33,""", sC: ","""",B33,"""},"))</f>
        <v xml:space="preserve">            { line: "y a saciarme de ellas,, (Re,m,22)(Mi,,250)", sC: ""},</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1053</v>
      </c>
      <c r="D34" s="112"/>
      <c r="E34" s="52"/>
      <c r="F34" s="53"/>
      <c r="G34" s="53"/>
      <c r="H34" s="52"/>
      <c r="I34" s="52"/>
      <c r="J34" s="54"/>
      <c r="K34" s="54"/>
      <c r="L34" s="55" t="str">
        <f t="shared" ref="L34:L43" si="29">IF(C34="","",_xlfn.CONCAT("            { line: ","""",C34,", ",M34:AN34,""", sC: ","""",B34,"""},"))</f>
        <v xml:space="preserve">            { line: "saciarme de ellas., ", sC: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997</v>
      </c>
      <c r="C36" s="113" t="s">
        <v>1068</v>
      </c>
      <c r="D36" s="112" t="s">
        <v>1048</v>
      </c>
      <c r="E36" s="52"/>
      <c r="F36" s="53" t="s">
        <v>1013</v>
      </c>
      <c r="G36" s="53" t="s">
        <v>1012</v>
      </c>
      <c r="H36" s="52"/>
      <c r="I36" s="52"/>
      <c r="J36" s="54"/>
      <c r="K36" s="54"/>
      <c r="L36" s="55" t="str">
        <f t="shared" si="29"/>
        <v xml:space="preserve">            { line: "EN EL SENDERO ME ENCUENTRO YO., (Fa,,20)(La,m,250)", sC: "ta as"},</v>
      </c>
      <c r="M36" s="56" t="str">
        <f>IF(N36="","","(")</f>
        <v>(</v>
      </c>
      <c r="N36" s="57" t="str">
        <f>IF(D36="","",D36)</f>
        <v>Fa</v>
      </c>
      <c r="O36" s="58" t="str">
        <f>IF(N36="","",",")</f>
        <v>,</v>
      </c>
      <c r="P36" s="59" t="str">
        <f>IF(E36="","",E36)</f>
        <v/>
      </c>
      <c r="Q36" s="60" t="str">
        <f>IF(N36="","",",")</f>
        <v>,</v>
      </c>
      <c r="R36" s="61">
        <f t="shared" si="28"/>
        <v>20</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1054</v>
      </c>
      <c r="D37" s="112" t="s">
        <v>1048</v>
      </c>
      <c r="E37" s="52"/>
      <c r="F37" s="53" t="s">
        <v>1013</v>
      </c>
      <c r="G37" s="53" t="s">
        <v>1012</v>
      </c>
      <c r="H37" s="52"/>
      <c r="I37" s="52"/>
      <c r="J37" s="54"/>
      <c r="K37" s="54"/>
      <c r="L37" s="55" t="str">
        <f t="shared" si="29"/>
        <v xml:space="preserve">            { line: "EN EL SENDERO CAMINO YO., (Fa,,20)(La,m,250)", sC: "as"},</v>
      </c>
      <c r="M37" s="56" t="str">
        <f>IF(N37="","","(")</f>
        <v>(</v>
      </c>
      <c r="N37" s="57" t="str">
        <f>IF(D37="","",D37)</f>
        <v>Fa</v>
      </c>
      <c r="O37" s="58" t="str">
        <f>IF(N37="","",",")</f>
        <v>,</v>
      </c>
      <c r="P37" s="59" t="str">
        <f>IF(E37="","",E37)</f>
        <v/>
      </c>
      <c r="Q37" s="60" t="str">
        <f>IF(N37="","",",")</f>
        <v>,</v>
      </c>
      <c r="R37" s="61">
        <f t="shared" si="28"/>
        <v>20</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1055</v>
      </c>
      <c r="D38" s="112" t="s">
        <v>1046</v>
      </c>
      <c r="E38" s="52" t="s">
        <v>1012</v>
      </c>
      <c r="F38" s="53" t="s">
        <v>1011</v>
      </c>
      <c r="G38" s="53"/>
      <c r="H38" s="52"/>
      <c r="I38" s="52"/>
      <c r="J38" s="54"/>
      <c r="K38" s="54"/>
      <c r="L38" s="55" t="str">
        <f t="shared" si="29"/>
        <v xml:space="preserve">            { line: "EN EL SEÑOR DE TODO EL MUNDO,, (Re,m,22)(Mi,,250)", sC: "as"},</v>
      </c>
      <c r="M38" s="56" t="str">
        <f>IF(N38="","","(")</f>
        <v>(</v>
      </c>
      <c r="N38" s="57" t="str">
        <f>IF(D38="","",D38)</f>
        <v>Re</v>
      </c>
      <c r="O38" s="58" t="str">
        <f>IF(N38="","",",")</f>
        <v>,</v>
      </c>
      <c r="P38" s="59" t="str">
        <f>IF(E38="","",E38)</f>
        <v>m</v>
      </c>
      <c r="Q38" s="60" t="str">
        <f>IF(N38="","",",")</f>
        <v>,</v>
      </c>
      <c r="R38" s="61">
        <f t="shared" si="28"/>
        <v>22</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1056</v>
      </c>
      <c r="D39" s="112"/>
      <c r="E39" s="52"/>
      <c r="F39" s="53"/>
      <c r="G39" s="53"/>
      <c r="H39" s="52"/>
      <c r="I39" s="52"/>
      <c r="J39" s="54"/>
      <c r="K39" s="54"/>
      <c r="L39" s="55" t="str">
        <f t="shared" si="29"/>
        <v xml:space="preserve">            { line: "DE TODO EL MUNDO., ", sC: "as"},</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si="28"/>
        <v/>
      </c>
      <c r="S39" s="56" t="str">
        <f t="shared" ref="S39:S42" si="35">IF(N39="","",")")</f>
        <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999</v>
      </c>
      <c r="C41" s="113" t="s">
        <v>1057</v>
      </c>
      <c r="D41" s="112" t="s">
        <v>1011</v>
      </c>
      <c r="E41" s="52"/>
      <c r="F41" s="53"/>
      <c r="G41" s="53"/>
      <c r="H41" s="52"/>
      <c r="I41" s="52"/>
      <c r="J41" s="54"/>
      <c r="K41" s="54"/>
      <c r="L41" s="55" t="str">
        <f t="shared" si="29"/>
        <v xml:space="preserve">            { line: "LA LA, LA LA LA LA LA LA LALA ..., (Mi,,20)", sC: "as"},</v>
      </c>
      <c r="M41" s="56" t="str">
        <f t="shared" si="30"/>
        <v>(</v>
      </c>
      <c r="N41" s="57" t="str">
        <f t="shared" si="31"/>
        <v>Mi</v>
      </c>
      <c r="O41" s="58" t="str">
        <f t="shared" si="32"/>
        <v>,</v>
      </c>
      <c r="P41" s="59" t="str">
        <f t="shared" si="33"/>
        <v/>
      </c>
      <c r="Q41" s="60" t="str">
        <f t="shared" si="34"/>
        <v>,</v>
      </c>
      <c r="R41" s="61">
        <f t="shared" si="28"/>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1058</v>
      </c>
      <c r="D42" s="112" t="s">
        <v>1046</v>
      </c>
      <c r="E42" s="52" t="s">
        <v>1012</v>
      </c>
      <c r="F42" s="53" t="s">
        <v>1011</v>
      </c>
      <c r="G42" s="53"/>
      <c r="H42" s="52"/>
      <c r="I42" s="52"/>
      <c r="J42" s="54"/>
      <c r="K42" s="54"/>
      <c r="L42" s="55" t="str">
        <f t="shared" si="29"/>
        <v xml:space="preserve">            { line: "LA LA, LA ... LA, (Re,m,22)(Mi,,250)", sC: "as"},</v>
      </c>
      <c r="M42" s="56" t="str">
        <f t="shared" si="30"/>
        <v>(</v>
      </c>
      <c r="N42" s="57" t="str">
        <f t="shared" si="31"/>
        <v>Re</v>
      </c>
      <c r="O42" s="58" t="str">
        <f t="shared" si="32"/>
        <v>,</v>
      </c>
      <c r="P42" s="59" t="str">
        <f t="shared" si="33"/>
        <v>m</v>
      </c>
      <c r="Q42" s="60" t="str">
        <f t="shared" si="34"/>
        <v>,</v>
      </c>
      <c r="R42" s="61">
        <f t="shared" si="28"/>
        <v>22</v>
      </c>
      <c r="S42" s="56" t="str">
        <f t="shared" si="35"/>
        <v>)</v>
      </c>
      <c r="T42" s="62" t="str">
        <f t="shared" si="36"/>
        <v>(</v>
      </c>
      <c r="U42" s="63" t="str">
        <f t="shared" si="37"/>
        <v>Mi</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1059</v>
      </c>
      <c r="D43" s="112"/>
      <c r="E43" s="52"/>
      <c r="F43" s="53"/>
      <c r="G43" s="53"/>
      <c r="H43" s="52"/>
      <c r="I43" s="52"/>
      <c r="J43" s="54"/>
      <c r="K43" s="54"/>
      <c r="L43" s="55" t="str">
        <f t="shared" si="29"/>
        <v xml:space="preserve">            { line: "LALALA ..., ", sC: "as"},</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36.75" thickTop="1" thickBot="1" x14ac:dyDescent="0.4">
      <c r="A44" s="76"/>
      <c r="B44" s="76"/>
      <c r="C44" s="76" t="s">
        <v>1047</v>
      </c>
      <c r="D44" s="77"/>
      <c r="E44" s="77"/>
      <c r="F44" s="77"/>
      <c r="G44" s="77"/>
      <c r="H44" s="77"/>
      <c r="I44" s="77"/>
      <c r="J44" s="77"/>
      <c r="K44" s="77"/>
      <c r="L44" s="50" t="s">
        <v>994</v>
      </c>
      <c r="M44" s="104"/>
      <c r="N44" s="57"/>
      <c r="O44" s="105"/>
      <c r="P44" s="59"/>
      <c r="Q44" s="106"/>
      <c r="R44" s="61" t="str">
        <f t="shared" si="28"/>
        <v/>
      </c>
      <c r="S44" s="104"/>
      <c r="T44" s="107"/>
      <c r="U44" s="108"/>
      <c r="V44" s="109"/>
      <c r="W44" s="110"/>
      <c r="X44" s="109"/>
      <c r="Y44" s="109"/>
      <c r="Z44" s="104"/>
      <c r="AA44" s="66"/>
      <c r="AB44" s="57"/>
      <c r="AC44" s="67"/>
      <c r="AD44" s="59"/>
      <c r="AE44" s="68"/>
      <c r="AF44" s="61"/>
      <c r="AG44" s="61"/>
      <c r="AH44" s="66"/>
      <c r="AI44" s="111"/>
      <c r="AJ44" s="109"/>
      <c r="AK44" s="109"/>
      <c r="AL44" s="109"/>
      <c r="AM44" s="109"/>
      <c r="AN44" s="109"/>
    </row>
    <row r="45" spans="1:40" ht="25.5" thickTop="1" thickBot="1" x14ac:dyDescent="0.4">
      <c r="B45" t="s">
        <v>1014</v>
      </c>
      <c r="C45" s="113" t="s">
        <v>1060</v>
      </c>
      <c r="D45" s="112" t="s">
        <v>1011</v>
      </c>
      <c r="E45" s="52"/>
      <c r="F45" s="53" t="s">
        <v>1013</v>
      </c>
      <c r="G45" s="53" t="s">
        <v>1012</v>
      </c>
      <c r="H45" s="52"/>
      <c r="I45" s="52"/>
      <c r="J45" s="54"/>
      <c r="K45" s="54"/>
      <c r="L45" s="55" t="str">
        <f t="shared" ref="L45:L60" si="57">IF(C45="","",_xlfn.CONCAT("            { line: ","""",C45,", ",M45:AN45,""", sC: ","""",B45,"""},"))</f>
        <v xml:space="preserve">            { line: "Hazme comer las hierbas,, (Mi,,20)(La,m,250)", sC: "tc"},</v>
      </c>
      <c r="M45" s="56" t="str">
        <f t="shared" ref="M45:M60" si="58">IF(N45="","","(")</f>
        <v>(</v>
      </c>
      <c r="N45" s="57" t="str">
        <f t="shared" si="2"/>
        <v>Mi</v>
      </c>
      <c r="O45" s="58" t="str">
        <f t="shared" ref="O45:O60" si="59">IF(N45="","",",")</f>
        <v>,</v>
      </c>
      <c r="P45" s="59" t="str">
        <f t="shared" si="4"/>
        <v/>
      </c>
      <c r="Q45" s="60" t="str">
        <f t="shared" ref="Q45:Q60" si="60">IF(N45="","",",")</f>
        <v>,</v>
      </c>
      <c r="R45" s="61">
        <f t="shared" si="28"/>
        <v>20</v>
      </c>
      <c r="S45" s="56" t="str">
        <f t="shared" ref="S45:S60" si="61">IF(N45="","",")")</f>
        <v>)</v>
      </c>
      <c r="T45" s="62" t="str">
        <f t="shared" ref="T45:T60" si="62">IF(U45="","","(")</f>
        <v>(</v>
      </c>
      <c r="U45" s="63" t="str">
        <f t="shared" si="8"/>
        <v>La</v>
      </c>
      <c r="V45" s="64" t="str">
        <f t="shared" ref="V45:V60" si="63">IF(U45="","",",")</f>
        <v>,</v>
      </c>
      <c r="W45" s="65" t="str">
        <f t="shared" si="10"/>
        <v>m</v>
      </c>
      <c r="X45" s="64" t="str">
        <f t="shared" ref="X45:X60" si="64">IF(U45="","",",")</f>
        <v>,</v>
      </c>
      <c r="Y45" s="64">
        <f t="shared" ref="Y45:Y60" si="65">IF(U45="","",250)</f>
        <v>250</v>
      </c>
      <c r="Z45" s="56" t="str">
        <f t="shared" ref="Z45:Z60" si="66">IF(U45="","",")")</f>
        <v>)</v>
      </c>
      <c r="AA45" s="66" t="str">
        <f t="shared" ref="AA45:AA60" si="67">IF(AB45="","","(")</f>
        <v/>
      </c>
      <c r="AB45" s="57" t="str">
        <f t="shared" si="15"/>
        <v/>
      </c>
      <c r="AC45" s="67" t="str">
        <f t="shared" ref="AC45:AC60" si="68">IF(AB45="","",",")</f>
        <v/>
      </c>
      <c r="AD45" s="59" t="str">
        <f t="shared" ref="AD45:AD60" si="69">IF(I45="","",I45)</f>
        <v/>
      </c>
      <c r="AE45" s="68" t="str">
        <f t="shared" ref="AE45:AE60" si="70">IF(AB45="","",",")</f>
        <v/>
      </c>
      <c r="AF45" s="61" t="str">
        <f t="shared" ref="AF45:AF60" si="71">IF(AB45="","",350)</f>
        <v/>
      </c>
      <c r="AG45" s="61" t="str">
        <f t="shared" ref="AG45:AG60" si="72">IF(AB45="","",")")</f>
        <v/>
      </c>
      <c r="AH45" s="69" t="str">
        <f t="shared" ref="AH45:AH60" si="73">IF(AI45="","","(")</f>
        <v/>
      </c>
      <c r="AI45" s="70" t="str">
        <f t="shared" si="22"/>
        <v/>
      </c>
      <c r="AJ45" s="64" t="str">
        <f t="shared" ref="AJ45:AJ60" si="74">IF(AI45="","",",")</f>
        <v/>
      </c>
      <c r="AK45" s="64" t="str">
        <f t="shared" ref="AK45:AK60" si="75">IF(K45="","",K45)</f>
        <v/>
      </c>
      <c r="AL45" s="64" t="str">
        <f t="shared" ref="AL45:AL60" si="76">IF(AI45="","",",")</f>
        <v/>
      </c>
      <c r="AM45" s="64" t="str">
        <f t="shared" ref="AM45:AM60" si="77">IF(AI45="","",450)</f>
        <v/>
      </c>
      <c r="AN45" s="64" t="str">
        <f t="shared" ref="AN45:AN60" si="78">IF(AI45="","",")")</f>
        <v/>
      </c>
    </row>
    <row r="46" spans="1:40" ht="25.5" thickTop="1" thickBot="1" x14ac:dyDescent="0.4">
      <c r="C46" s="113" t="s">
        <v>1061</v>
      </c>
      <c r="D46" s="112" t="s">
        <v>1046</v>
      </c>
      <c r="E46" s="52" t="s">
        <v>1012</v>
      </c>
      <c r="F46" s="53" t="s">
        <v>1011</v>
      </c>
      <c r="G46" s="53"/>
      <c r="H46" s="52"/>
      <c r="I46" s="52"/>
      <c r="J46" s="54"/>
      <c r="K46" s="54"/>
      <c r="L46" s="55" t="str">
        <f t="shared" si="57"/>
        <v xml:space="preserve">            { line: "que pueda saciar mis ansias,, (Re,m,22)(Mi,,250)", sC: ""},</v>
      </c>
      <c r="M46" s="56" t="str">
        <f t="shared" si="58"/>
        <v>(</v>
      </c>
      <c r="N46" s="57" t="str">
        <f t="shared" si="2"/>
        <v>Re</v>
      </c>
      <c r="O46" s="58" t="str">
        <f t="shared" si="59"/>
        <v>,</v>
      </c>
      <c r="P46" s="59" t="str">
        <f t="shared" si="4"/>
        <v>m</v>
      </c>
      <c r="Q46" s="60" t="str">
        <f t="shared" si="60"/>
        <v>,</v>
      </c>
      <c r="R46" s="61">
        <f t="shared" si="28"/>
        <v>22</v>
      </c>
      <c r="S46" s="56" t="str">
        <f t="shared" si="61"/>
        <v>)</v>
      </c>
      <c r="T46" s="62" t="str">
        <f t="shared" si="62"/>
        <v>(</v>
      </c>
      <c r="U46" s="63" t="str">
        <f t="shared" si="8"/>
        <v>Mi</v>
      </c>
      <c r="V46" s="64" t="str">
        <f t="shared" si="63"/>
        <v>,</v>
      </c>
      <c r="W46" s="65" t="str">
        <f t="shared" si="10"/>
        <v/>
      </c>
      <c r="X46" s="64" t="str">
        <f t="shared" si="64"/>
        <v>,</v>
      </c>
      <c r="Y46" s="64">
        <f t="shared" si="65"/>
        <v>250</v>
      </c>
      <c r="Z46" s="56" t="str">
        <f t="shared" si="66"/>
        <v>)</v>
      </c>
      <c r="AA46" s="66" t="str">
        <f t="shared" si="67"/>
        <v/>
      </c>
      <c r="AB46" s="57" t="str">
        <f t="shared" si="15"/>
        <v/>
      </c>
      <c r="AC46" s="67" t="str">
        <f t="shared" si="68"/>
        <v/>
      </c>
      <c r="AD46" s="59" t="str">
        <f t="shared" si="69"/>
        <v/>
      </c>
      <c r="AE46" s="68" t="str">
        <f t="shared" si="70"/>
        <v/>
      </c>
      <c r="AF46" s="61" t="str">
        <f t="shared" si="71"/>
        <v/>
      </c>
      <c r="AG46" s="61" t="str">
        <f t="shared" si="72"/>
        <v/>
      </c>
      <c r="AH46" s="69" t="str">
        <f t="shared" si="73"/>
        <v/>
      </c>
      <c r="AI46" s="70" t="str">
        <f t="shared" si="22"/>
        <v/>
      </c>
      <c r="AJ46" s="64" t="str">
        <f t="shared" si="74"/>
        <v/>
      </c>
      <c r="AK46" s="64" t="str">
        <f t="shared" si="75"/>
        <v/>
      </c>
      <c r="AL46" s="64" t="str">
        <f t="shared" si="76"/>
        <v/>
      </c>
      <c r="AM46" s="64" t="str">
        <f t="shared" si="77"/>
        <v/>
      </c>
      <c r="AN46" s="64" t="str">
        <f t="shared" si="78"/>
        <v/>
      </c>
    </row>
    <row r="47" spans="1:40" ht="25.5" thickTop="1" thickBot="1" x14ac:dyDescent="0.4">
      <c r="C47" s="113" t="s">
        <v>1062</v>
      </c>
      <c r="D47" s="112"/>
      <c r="E47" s="52"/>
      <c r="F47" s="53"/>
      <c r="G47" s="53"/>
      <c r="H47" s="52"/>
      <c r="I47" s="52"/>
      <c r="J47" s="54"/>
      <c r="K47" s="54"/>
      <c r="L47" s="55" t="str">
        <f t="shared" si="57"/>
        <v xml:space="preserve">            { line: "que son ansias de amistad,, ", sC: ""},</v>
      </c>
      <c r="M47" s="56" t="str">
        <f t="shared" si="58"/>
        <v/>
      </c>
      <c r="N47" s="57" t="str">
        <f t="shared" si="2"/>
        <v/>
      </c>
      <c r="O47" s="58" t="str">
        <f t="shared" si="59"/>
        <v/>
      </c>
      <c r="P47" s="59" t="str">
        <f t="shared" si="4"/>
        <v/>
      </c>
      <c r="Q47" s="60" t="str">
        <f t="shared" si="60"/>
        <v/>
      </c>
      <c r="R47" s="61" t="str">
        <f t="shared" si="28"/>
        <v/>
      </c>
      <c r="S47" s="56" t="str">
        <f t="shared" si="61"/>
        <v/>
      </c>
      <c r="T47" s="62" t="str">
        <f t="shared" si="62"/>
        <v/>
      </c>
      <c r="U47" s="63" t="str">
        <f t="shared" si="8"/>
        <v/>
      </c>
      <c r="V47" s="64" t="str">
        <f t="shared" si="63"/>
        <v/>
      </c>
      <c r="W47" s="65" t="str">
        <f t="shared" si="10"/>
        <v/>
      </c>
      <c r="X47" s="64" t="str">
        <f t="shared" si="64"/>
        <v/>
      </c>
      <c r="Y47" s="64" t="str">
        <f t="shared" si="65"/>
        <v/>
      </c>
      <c r="Z47" s="56" t="str">
        <f t="shared" si="66"/>
        <v/>
      </c>
      <c r="AA47" s="66" t="str">
        <f t="shared" si="67"/>
        <v/>
      </c>
      <c r="AB47" s="57" t="str">
        <f t="shared" si="15"/>
        <v/>
      </c>
      <c r="AC47" s="67" t="str">
        <f t="shared" si="68"/>
        <v/>
      </c>
      <c r="AD47" s="59" t="str">
        <f t="shared" si="69"/>
        <v/>
      </c>
      <c r="AE47" s="68" t="str">
        <f t="shared" si="70"/>
        <v/>
      </c>
      <c r="AF47" s="61" t="str">
        <f t="shared" si="71"/>
        <v/>
      </c>
      <c r="AG47" s="61" t="str">
        <f t="shared" si="72"/>
        <v/>
      </c>
      <c r="AH47" s="69" t="str">
        <f t="shared" si="73"/>
        <v/>
      </c>
      <c r="AI47" s="70" t="str">
        <f t="shared" si="22"/>
        <v/>
      </c>
      <c r="AJ47" s="64" t="str">
        <f t="shared" si="74"/>
        <v/>
      </c>
      <c r="AK47" s="64" t="str">
        <f t="shared" si="75"/>
        <v/>
      </c>
      <c r="AL47" s="64" t="str">
        <f t="shared" si="76"/>
        <v/>
      </c>
      <c r="AM47" s="64" t="str">
        <f t="shared" si="77"/>
        <v/>
      </c>
      <c r="AN47" s="64" t="str">
        <f t="shared" si="78"/>
        <v/>
      </c>
    </row>
    <row r="48" spans="1:40" ht="25.5" thickTop="1" thickBot="1" x14ac:dyDescent="0.4">
      <c r="C48" s="113" t="s">
        <v>1063</v>
      </c>
      <c r="D48" s="112"/>
      <c r="E48" s="52"/>
      <c r="F48" s="53"/>
      <c r="G48" s="53"/>
      <c r="H48" s="52"/>
      <c r="I48" s="52"/>
      <c r="J48" s="54"/>
      <c r="K48" s="54"/>
      <c r="L48" s="55" t="str">
        <f t="shared" si="57"/>
        <v xml:space="preserve">            { line: "que son ansias de humildad,, ", sC: ""},</v>
      </c>
      <c r="M48" s="56" t="str">
        <f t="shared" si="58"/>
        <v/>
      </c>
      <c r="N48" s="57" t="str">
        <f t="shared" si="2"/>
        <v/>
      </c>
      <c r="O48" s="58" t="str">
        <f t="shared" si="59"/>
        <v/>
      </c>
      <c r="P48" s="59" t="str">
        <f t="shared" si="4"/>
        <v/>
      </c>
      <c r="Q48" s="60" t="str">
        <f t="shared" si="60"/>
        <v/>
      </c>
      <c r="R48" s="61" t="str">
        <f t="shared" si="28"/>
        <v/>
      </c>
      <c r="S48" s="56" t="str">
        <f t="shared" si="61"/>
        <v/>
      </c>
      <c r="T48" s="62" t="str">
        <f t="shared" si="62"/>
        <v/>
      </c>
      <c r="U48" s="63" t="str">
        <f t="shared" si="8"/>
        <v/>
      </c>
      <c r="V48" s="64" t="str">
        <f t="shared" si="63"/>
        <v/>
      </c>
      <c r="W48" s="65" t="str">
        <f t="shared" si="10"/>
        <v/>
      </c>
      <c r="X48" s="64" t="str">
        <f t="shared" si="64"/>
        <v/>
      </c>
      <c r="Y48" s="64" t="str">
        <f t="shared" si="65"/>
        <v/>
      </c>
      <c r="Z48" s="56" t="str">
        <f t="shared" si="66"/>
        <v/>
      </c>
      <c r="AA48" s="66" t="str">
        <f t="shared" si="67"/>
        <v/>
      </c>
      <c r="AB48" s="57" t="str">
        <f t="shared" si="15"/>
        <v/>
      </c>
      <c r="AC48" s="67" t="str">
        <f t="shared" si="68"/>
        <v/>
      </c>
      <c r="AD48" s="59" t="str">
        <f t="shared" si="69"/>
        <v/>
      </c>
      <c r="AE48" s="68" t="str">
        <f t="shared" si="70"/>
        <v/>
      </c>
      <c r="AF48" s="61" t="str">
        <f t="shared" si="71"/>
        <v/>
      </c>
      <c r="AG48" s="61" t="str">
        <f t="shared" si="72"/>
        <v/>
      </c>
      <c r="AH48" s="69" t="str">
        <f t="shared" si="73"/>
        <v/>
      </c>
      <c r="AI48" s="70" t="str">
        <f t="shared" si="22"/>
        <v/>
      </c>
      <c r="AJ48" s="64" t="str">
        <f t="shared" si="74"/>
        <v/>
      </c>
      <c r="AK48" s="64" t="str">
        <f t="shared" si="75"/>
        <v/>
      </c>
      <c r="AL48" s="64" t="str">
        <f t="shared" si="76"/>
        <v/>
      </c>
      <c r="AM48" s="64" t="str">
        <f t="shared" si="77"/>
        <v/>
      </c>
      <c r="AN48" s="64" t="str">
        <f t="shared" si="78"/>
        <v/>
      </c>
    </row>
    <row r="49" spans="1:40" ht="25.5" thickTop="1" thickBot="1" x14ac:dyDescent="0.4">
      <c r="C49" s="113" t="s">
        <v>1064</v>
      </c>
      <c r="D49" s="112" t="s">
        <v>1046</v>
      </c>
      <c r="E49" s="52" t="s">
        <v>1012</v>
      </c>
      <c r="F49" s="53" t="s">
        <v>1011</v>
      </c>
      <c r="G49" s="53"/>
      <c r="H49" s="52"/>
      <c r="I49" s="52"/>
      <c r="J49" s="54"/>
      <c r="K49" s="54"/>
      <c r="L49" s="78" t="str">
        <f t="shared" si="57"/>
        <v xml:space="preserve">            { line: "que son ansias,, (Re,m,22)(Mi,,250)", sC: ""},</v>
      </c>
      <c r="M49" s="56" t="str">
        <f t="shared" si="58"/>
        <v>(</v>
      </c>
      <c r="N49" s="57" t="str">
        <f t="shared" si="2"/>
        <v>Re</v>
      </c>
      <c r="O49" s="58" t="str">
        <f t="shared" si="59"/>
        <v>,</v>
      </c>
      <c r="P49" s="59" t="str">
        <f t="shared" si="4"/>
        <v>m</v>
      </c>
      <c r="Q49" s="60" t="str">
        <f t="shared" si="60"/>
        <v>,</v>
      </c>
      <c r="R49" s="61">
        <f t="shared" si="28"/>
        <v>22</v>
      </c>
      <c r="S49" s="56" t="str">
        <f t="shared" si="61"/>
        <v>)</v>
      </c>
      <c r="T49" s="62" t="str">
        <f t="shared" si="62"/>
        <v>(</v>
      </c>
      <c r="U49" s="63" t="str">
        <f t="shared" si="8"/>
        <v>Mi</v>
      </c>
      <c r="V49" s="64" t="str">
        <f t="shared" si="63"/>
        <v>,</v>
      </c>
      <c r="W49" s="65" t="str">
        <f t="shared" si="10"/>
        <v/>
      </c>
      <c r="X49" s="64" t="str">
        <f t="shared" si="64"/>
        <v>,</v>
      </c>
      <c r="Y49" s="64">
        <f t="shared" si="65"/>
        <v>250</v>
      </c>
      <c r="Z49" s="56" t="str">
        <f t="shared" si="66"/>
        <v>)</v>
      </c>
      <c r="AA49" s="66" t="str">
        <f t="shared" si="67"/>
        <v/>
      </c>
      <c r="AB49" s="57" t="str">
        <f t="shared" si="15"/>
        <v/>
      </c>
      <c r="AC49" s="67" t="str">
        <f t="shared" si="68"/>
        <v/>
      </c>
      <c r="AD49" s="59" t="str">
        <f t="shared" si="69"/>
        <v/>
      </c>
      <c r="AE49" s="68" t="str">
        <f t="shared" si="70"/>
        <v/>
      </c>
      <c r="AF49" s="61" t="str">
        <f t="shared" si="71"/>
        <v/>
      </c>
      <c r="AG49" s="61" t="str">
        <f t="shared" si="72"/>
        <v/>
      </c>
      <c r="AH49" s="69" t="str">
        <f t="shared" si="73"/>
        <v/>
      </c>
      <c r="AI49" s="70" t="str">
        <f t="shared" si="22"/>
        <v/>
      </c>
      <c r="AJ49" s="64" t="str">
        <f t="shared" si="74"/>
        <v/>
      </c>
      <c r="AK49" s="64" t="str">
        <f t="shared" si="75"/>
        <v/>
      </c>
      <c r="AL49" s="64" t="str">
        <f t="shared" si="76"/>
        <v/>
      </c>
      <c r="AM49" s="64" t="str">
        <f t="shared" si="77"/>
        <v/>
      </c>
      <c r="AN49" s="64" t="str">
        <f t="shared" si="78"/>
        <v/>
      </c>
    </row>
    <row r="50" spans="1:40" ht="25.5" thickTop="1" thickBot="1" x14ac:dyDescent="0.4">
      <c r="C50" s="113" t="s">
        <v>1065</v>
      </c>
      <c r="D50" s="112"/>
      <c r="E50" s="52"/>
      <c r="F50" s="53"/>
      <c r="G50" s="53"/>
      <c r="H50" s="52"/>
      <c r="I50" s="52"/>
      <c r="J50" s="54"/>
      <c r="K50" s="54"/>
      <c r="L50" s="78" t="str">
        <f t="shared" si="57"/>
        <v xml:space="preserve">            { line: "que son ansias de obediencia., ", sC: ""},</v>
      </c>
      <c r="M50" s="56" t="str">
        <f t="shared" si="58"/>
        <v/>
      </c>
      <c r="N50" s="57" t="str">
        <f t="shared" si="2"/>
        <v/>
      </c>
      <c r="O50" s="58" t="str">
        <f t="shared" si="59"/>
        <v/>
      </c>
      <c r="P50" s="59" t="str">
        <f t="shared" si="4"/>
        <v/>
      </c>
      <c r="Q50" s="60" t="str">
        <f t="shared" si="60"/>
        <v/>
      </c>
      <c r="R50" s="61" t="str">
        <f t="shared" si="28"/>
        <v/>
      </c>
      <c r="S50" s="56" t="str">
        <f t="shared" si="61"/>
        <v/>
      </c>
      <c r="T50" s="62" t="str">
        <f t="shared" si="62"/>
        <v/>
      </c>
      <c r="U50" s="63" t="str">
        <f t="shared" si="8"/>
        <v/>
      </c>
      <c r="V50" s="64" t="str">
        <f t="shared" si="63"/>
        <v/>
      </c>
      <c r="W50" s="65" t="str">
        <f t="shared" si="10"/>
        <v/>
      </c>
      <c r="X50" s="64" t="str">
        <f t="shared" si="64"/>
        <v/>
      </c>
      <c r="Y50" s="64" t="str">
        <f t="shared" si="65"/>
        <v/>
      </c>
      <c r="Z50" s="56" t="str">
        <f t="shared" si="66"/>
        <v/>
      </c>
      <c r="AA50" s="66" t="str">
        <f t="shared" si="67"/>
        <v/>
      </c>
      <c r="AB50" s="57" t="str">
        <f t="shared" si="15"/>
        <v/>
      </c>
      <c r="AC50" s="67" t="str">
        <f t="shared" si="68"/>
        <v/>
      </c>
      <c r="AD50" s="59" t="str">
        <f t="shared" si="69"/>
        <v/>
      </c>
      <c r="AE50" s="68" t="str">
        <f t="shared" si="70"/>
        <v/>
      </c>
      <c r="AF50" s="61" t="str">
        <f t="shared" si="71"/>
        <v/>
      </c>
      <c r="AG50" s="61" t="str">
        <f t="shared" si="72"/>
        <v/>
      </c>
      <c r="AH50" s="69" t="str">
        <f t="shared" si="73"/>
        <v/>
      </c>
      <c r="AI50" s="70" t="str">
        <f t="shared" si="22"/>
        <v/>
      </c>
      <c r="AJ50" s="64" t="str">
        <f t="shared" si="74"/>
        <v/>
      </c>
      <c r="AK50" s="64" t="str">
        <f t="shared" si="75"/>
        <v/>
      </c>
      <c r="AL50" s="64" t="str">
        <f t="shared" si="76"/>
        <v/>
      </c>
      <c r="AM50" s="64" t="str">
        <f t="shared" si="77"/>
        <v/>
      </c>
      <c r="AN50" s="64" t="str">
        <f t="shared" si="78"/>
        <v/>
      </c>
    </row>
    <row r="51" spans="1:40" ht="27.75" thickTop="1" thickBot="1" x14ac:dyDescent="0.4">
      <c r="A51" s="73"/>
      <c r="B51" s="73"/>
      <c r="C51" s="73"/>
      <c r="D51" s="74"/>
      <c r="E51" s="74"/>
      <c r="F51" s="74"/>
      <c r="G51" s="74"/>
      <c r="H51" s="74"/>
      <c r="I51" s="74"/>
      <c r="J51" s="74"/>
      <c r="K51" s="74"/>
      <c r="L51" s="75" t="s">
        <v>993</v>
      </c>
      <c r="M51" s="56"/>
      <c r="N51" s="57"/>
      <c r="O51" s="58"/>
      <c r="P51" s="59"/>
      <c r="Q51" s="60"/>
      <c r="R51" s="61" t="str">
        <f t="shared" ref="R51:R57" si="79">IF(N51="Do",10,IF(N51="Re",22,IF(N51="Mi",20,IF(N51="Fa",20,IF(N51="Sol",14,IF(N51="La",20,IF(N51="Si",20,IF(N51="Do#",14,IF(N51="Fa#",15,IF(N51="Sol#",20,""))))))))))</f>
        <v/>
      </c>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5.5" thickTop="1" thickBot="1" x14ac:dyDescent="0.4">
      <c r="C52" s="79" t="s">
        <v>995</v>
      </c>
      <c r="D52" s="80"/>
      <c r="E52" s="80"/>
      <c r="F52" s="80"/>
      <c r="G52" s="80"/>
      <c r="H52" s="80"/>
      <c r="I52" s="80"/>
      <c r="J52" s="80"/>
      <c r="K52" s="80"/>
      <c r="L52" s="81" t="s">
        <v>996</v>
      </c>
      <c r="M52" s="56" t="str">
        <f t="shared" ref="M52:M56" si="80">IF(N52="","","(")</f>
        <v/>
      </c>
      <c r="N52" s="57" t="str">
        <f t="shared" ref="N52:N56" si="81">IF(D52="","",D52)</f>
        <v/>
      </c>
      <c r="O52" s="58" t="str">
        <f t="shared" ref="O52:O56" si="82">IF(N52="","",",")</f>
        <v/>
      </c>
      <c r="P52" s="59" t="str">
        <f t="shared" ref="P52:P56" si="83">IF(E52="","",E52)</f>
        <v/>
      </c>
      <c r="Q52" s="60" t="str">
        <f t="shared" ref="Q52:Q56" si="84">IF(N52="","",",")</f>
        <v/>
      </c>
      <c r="R52" s="61" t="str">
        <f t="shared" si="79"/>
        <v/>
      </c>
      <c r="S52" s="56" t="str">
        <f t="shared" ref="S52:S56" si="85">IF(N52="","",")")</f>
        <v/>
      </c>
      <c r="T52" s="62" t="str">
        <f t="shared" ref="T52:T56" si="86">IF(U52="","","(")</f>
        <v/>
      </c>
      <c r="U52" s="63" t="str">
        <f t="shared" ref="U52:U56" si="87">IF(F52="","",F52)</f>
        <v/>
      </c>
      <c r="V52" s="64" t="str">
        <f t="shared" ref="V52:V56" si="88">IF(U52="","",",")</f>
        <v/>
      </c>
      <c r="W52" s="65" t="str">
        <f t="shared" ref="W52:W56" si="89">IF(G52="","",G52)</f>
        <v/>
      </c>
      <c r="X52" s="64" t="str">
        <f t="shared" ref="X52:X56" si="90">IF(U52="","",",")</f>
        <v/>
      </c>
      <c r="Y52" s="64" t="str">
        <f t="shared" ref="Y52:Y56" si="91">IF(U52="","",250)</f>
        <v/>
      </c>
      <c r="Z52" s="56" t="str">
        <f t="shared" ref="Z52:Z56" si="92">IF(U52="","",")")</f>
        <v/>
      </c>
      <c r="AA52" s="66" t="str">
        <f t="shared" ref="AA52:AA56" si="93">IF(AB52="","","(")</f>
        <v/>
      </c>
      <c r="AB52" s="57" t="str">
        <f t="shared" ref="AB52:AB56" si="94">IF(H52="","",H52)</f>
        <v/>
      </c>
      <c r="AC52" s="67" t="str">
        <f t="shared" ref="AC52:AC56" si="95">IF(AB52="","",",")</f>
        <v/>
      </c>
      <c r="AD52" s="59" t="str">
        <f t="shared" ref="AD52:AD56" si="96">IF(I52="","",I52)</f>
        <v/>
      </c>
      <c r="AE52" s="68" t="str">
        <f t="shared" ref="AE52:AE56" si="97">IF(AB52="","",",")</f>
        <v/>
      </c>
      <c r="AF52" s="61" t="str">
        <f t="shared" ref="AF52:AF56" si="98">IF(AB52="","",350)</f>
        <v/>
      </c>
      <c r="AG52" s="61" t="str">
        <f t="shared" ref="AG52:AG56" si="99">IF(AB52="","",")")</f>
        <v/>
      </c>
      <c r="AH52" s="69" t="str">
        <f t="shared" ref="AH52:AH56" si="100">IF(AI52="","","(")</f>
        <v/>
      </c>
      <c r="AI52" s="70" t="str">
        <f t="shared" ref="AI52:AI56" si="101">IF(J52="","",J52)</f>
        <v/>
      </c>
      <c r="AJ52" s="64" t="str">
        <f t="shared" ref="AJ52:AJ56" si="102">IF(AI52="","",",")</f>
        <v/>
      </c>
      <c r="AK52" s="64" t="str">
        <f t="shared" ref="AK52:AK56" si="103">IF(K52="","",K52)</f>
        <v/>
      </c>
      <c r="AL52" s="64" t="str">
        <f t="shared" ref="AL52:AL56" si="104">IF(AI52="","",",")</f>
        <v/>
      </c>
      <c r="AM52" s="64" t="str">
        <f t="shared" ref="AM52:AM56" si="105">IF(AI52="","",450)</f>
        <v/>
      </c>
      <c r="AN52" s="64" t="str">
        <f t="shared" ref="AN52:AN56" si="106">IF(AI52="","",")")</f>
        <v/>
      </c>
    </row>
    <row r="53" spans="1:40" ht="25.5" thickTop="1" thickBot="1" x14ac:dyDescent="0.4">
      <c r="B53" t="s">
        <v>997</v>
      </c>
      <c r="C53" s="82" t="s">
        <v>1068</v>
      </c>
      <c r="D53" s="83" t="s">
        <v>1048</v>
      </c>
      <c r="E53" s="83"/>
      <c r="F53" s="83" t="s">
        <v>1013</v>
      </c>
      <c r="G53" s="83" t="s">
        <v>1012</v>
      </c>
      <c r="H53" s="83"/>
      <c r="I53" s="83"/>
      <c r="J53" s="83"/>
      <c r="K53" s="83"/>
      <c r="L53" s="84" t="str">
        <f>IF(C53="","",_xlfn.CONCAT("       triggerLine: ","""",C53,", ",M53:AN53,""", sC: ","""",B53,""", lines: ["))</f>
        <v xml:space="preserve">       triggerLine: "EN EL SENDERO ME ENCUENTRO YO., (Fa,,20)(La,m,250)", sC: "ta as", lines: [</v>
      </c>
      <c r="M53" s="56" t="str">
        <f t="shared" si="80"/>
        <v>(</v>
      </c>
      <c r="N53" s="57" t="str">
        <f t="shared" si="81"/>
        <v>Fa</v>
      </c>
      <c r="O53" s="58" t="str">
        <f t="shared" si="82"/>
        <v>,</v>
      </c>
      <c r="P53" s="59" t="str">
        <f t="shared" si="83"/>
        <v/>
      </c>
      <c r="Q53" s="60" t="str">
        <f t="shared" si="84"/>
        <v>,</v>
      </c>
      <c r="R53" s="61">
        <f t="shared" si="79"/>
        <v>20</v>
      </c>
      <c r="S53" s="56" t="str">
        <f t="shared" si="85"/>
        <v>)</v>
      </c>
      <c r="T53" s="62" t="str">
        <f t="shared" si="86"/>
        <v>(</v>
      </c>
      <c r="U53" s="63" t="str">
        <f t="shared" si="87"/>
        <v>La</v>
      </c>
      <c r="V53" s="64" t="str">
        <f t="shared" si="88"/>
        <v>,</v>
      </c>
      <c r="W53" s="65" t="str">
        <f t="shared" si="89"/>
        <v>m</v>
      </c>
      <c r="X53" s="64" t="str">
        <f t="shared" si="90"/>
        <v>,</v>
      </c>
      <c r="Y53" s="64">
        <f t="shared" si="91"/>
        <v>250</v>
      </c>
      <c r="Z53" s="56" t="str">
        <f t="shared" si="92"/>
        <v>)</v>
      </c>
      <c r="AA53" s="66" t="str">
        <f t="shared" si="93"/>
        <v/>
      </c>
      <c r="AB53" s="57" t="str">
        <f t="shared" si="94"/>
        <v/>
      </c>
      <c r="AC53" s="67" t="str">
        <f t="shared" si="95"/>
        <v/>
      </c>
      <c r="AD53" s="59" t="str">
        <f t="shared" si="96"/>
        <v/>
      </c>
      <c r="AE53" s="68" t="str">
        <f t="shared" si="97"/>
        <v/>
      </c>
      <c r="AF53" s="61" t="str">
        <f t="shared" si="98"/>
        <v/>
      </c>
      <c r="AG53" s="61" t="str">
        <f t="shared" si="99"/>
        <v/>
      </c>
      <c r="AH53" s="69" t="str">
        <f t="shared" si="100"/>
        <v/>
      </c>
      <c r="AI53" s="70" t="str">
        <f t="shared" si="101"/>
        <v/>
      </c>
      <c r="AJ53" s="64" t="str">
        <f t="shared" si="102"/>
        <v/>
      </c>
      <c r="AK53" s="64" t="str">
        <f t="shared" si="103"/>
        <v/>
      </c>
      <c r="AL53" s="64" t="str">
        <f t="shared" si="104"/>
        <v/>
      </c>
      <c r="AM53" s="64" t="str">
        <f t="shared" si="105"/>
        <v/>
      </c>
      <c r="AN53" s="64" t="str">
        <f t="shared" si="106"/>
        <v/>
      </c>
    </row>
    <row r="54" spans="1:40" ht="25.5" thickTop="1" thickBot="1" x14ac:dyDescent="0.4">
      <c r="B54" t="s">
        <v>999</v>
      </c>
      <c r="C54" s="85" t="s">
        <v>1054</v>
      </c>
      <c r="D54" s="86" t="s">
        <v>1048</v>
      </c>
      <c r="E54" s="86"/>
      <c r="F54" s="86" t="s">
        <v>1013</v>
      </c>
      <c r="G54" s="86" t="s">
        <v>1012</v>
      </c>
      <c r="H54" s="87"/>
      <c r="I54" s="87"/>
      <c r="J54" s="87"/>
      <c r="K54" s="87"/>
      <c r="L54" s="88" t="str">
        <f>IF(C54="","",_xlfn.CONCAT("            { line: ","""",C54,", ",M54:AN54,""", sC: ","""",B54,"""},"))</f>
        <v xml:space="preserve">            { line: "EN EL SENDERO CAMINO YO., (Fa,,20)(La,m,250)", sC: "as"},</v>
      </c>
      <c r="M54" s="56" t="str">
        <f t="shared" si="80"/>
        <v>(</v>
      </c>
      <c r="N54" s="57" t="str">
        <f t="shared" si="81"/>
        <v>Fa</v>
      </c>
      <c r="O54" s="58" t="str">
        <f t="shared" si="82"/>
        <v>,</v>
      </c>
      <c r="P54" s="59" t="str">
        <f t="shared" si="83"/>
        <v/>
      </c>
      <c r="Q54" s="60" t="str">
        <f t="shared" si="84"/>
        <v>,</v>
      </c>
      <c r="R54" s="61">
        <f t="shared" si="79"/>
        <v>20</v>
      </c>
      <c r="S54" s="56" t="str">
        <f t="shared" si="85"/>
        <v>)</v>
      </c>
      <c r="T54" s="62" t="str">
        <f t="shared" si="86"/>
        <v>(</v>
      </c>
      <c r="U54" s="63" t="str">
        <f t="shared" si="87"/>
        <v>La</v>
      </c>
      <c r="V54" s="64" t="str">
        <f t="shared" si="88"/>
        <v>,</v>
      </c>
      <c r="W54" s="65" t="str">
        <f t="shared" si="89"/>
        <v>m</v>
      </c>
      <c r="X54" s="64" t="str">
        <f t="shared" si="90"/>
        <v>,</v>
      </c>
      <c r="Y54" s="64">
        <f t="shared" si="91"/>
        <v>250</v>
      </c>
      <c r="Z54" s="56" t="str">
        <f t="shared" si="92"/>
        <v>)</v>
      </c>
      <c r="AA54" s="66" t="str">
        <f t="shared" si="93"/>
        <v/>
      </c>
      <c r="AB54" s="57" t="str">
        <f t="shared" si="94"/>
        <v/>
      </c>
      <c r="AC54" s="67" t="str">
        <f t="shared" si="95"/>
        <v/>
      </c>
      <c r="AD54" s="59" t="str">
        <f t="shared" si="96"/>
        <v/>
      </c>
      <c r="AE54" s="68" t="str">
        <f t="shared" si="97"/>
        <v/>
      </c>
      <c r="AF54" s="61" t="str">
        <f t="shared" si="98"/>
        <v/>
      </c>
      <c r="AG54" s="61" t="str">
        <f t="shared" si="99"/>
        <v/>
      </c>
      <c r="AH54" s="69" t="str">
        <f t="shared" si="100"/>
        <v/>
      </c>
      <c r="AI54" s="70" t="str">
        <f t="shared" si="101"/>
        <v/>
      </c>
      <c r="AJ54" s="64" t="str">
        <f t="shared" si="102"/>
        <v/>
      </c>
      <c r="AK54" s="64" t="str">
        <f t="shared" si="103"/>
        <v/>
      </c>
      <c r="AL54" s="64" t="str">
        <f t="shared" si="104"/>
        <v/>
      </c>
      <c r="AM54" s="64" t="str">
        <f t="shared" si="105"/>
        <v/>
      </c>
      <c r="AN54" s="64" t="str">
        <f t="shared" si="106"/>
        <v/>
      </c>
    </row>
    <row r="55" spans="1:40" ht="25.5" thickTop="1" thickBot="1" x14ac:dyDescent="0.4">
      <c r="B55" t="s">
        <v>999</v>
      </c>
      <c r="C55" s="85" t="s">
        <v>1055</v>
      </c>
      <c r="D55" s="89" t="s">
        <v>1046</v>
      </c>
      <c r="E55" s="89" t="s">
        <v>1012</v>
      </c>
      <c r="F55" s="89" t="s">
        <v>1011</v>
      </c>
      <c r="G55" s="89"/>
      <c r="H55" s="90"/>
      <c r="I55" s="90"/>
      <c r="J55" s="90"/>
      <c r="K55" s="90"/>
      <c r="L55" s="88" t="str">
        <f>IF(C55="","",_xlfn.CONCAT("            { line: ","""",C55,", ",M55:AN55,""", sC: ","""",B55,"""},"))</f>
        <v xml:space="preserve">            { line: "EN EL SEÑOR DE TODO EL MUNDO,, (Re,m,22)(Mi,,250)", sC: "as"},</v>
      </c>
      <c r="M55" s="56" t="str">
        <f t="shared" si="80"/>
        <v>(</v>
      </c>
      <c r="N55" s="57" t="str">
        <f t="shared" si="81"/>
        <v>Re</v>
      </c>
      <c r="O55" s="58" t="str">
        <f t="shared" si="82"/>
        <v>,</v>
      </c>
      <c r="P55" s="59" t="str">
        <f t="shared" si="83"/>
        <v>m</v>
      </c>
      <c r="Q55" s="60" t="str">
        <f t="shared" si="84"/>
        <v>,</v>
      </c>
      <c r="R55" s="61">
        <f t="shared" si="79"/>
        <v>22</v>
      </c>
      <c r="S55" s="56" t="str">
        <f t="shared" si="85"/>
        <v>)</v>
      </c>
      <c r="T55" s="62" t="str">
        <f t="shared" si="86"/>
        <v>(</v>
      </c>
      <c r="U55" s="63" t="str">
        <f t="shared" si="87"/>
        <v>Mi</v>
      </c>
      <c r="V55" s="64" t="str">
        <f t="shared" si="88"/>
        <v>,</v>
      </c>
      <c r="W55" s="65" t="str">
        <f t="shared" si="89"/>
        <v/>
      </c>
      <c r="X55" s="64" t="str">
        <f t="shared" si="90"/>
        <v>,</v>
      </c>
      <c r="Y55" s="64">
        <f t="shared" si="91"/>
        <v>250</v>
      </c>
      <c r="Z55" s="56" t="str">
        <f t="shared" si="92"/>
        <v>)</v>
      </c>
      <c r="AA55" s="66" t="str">
        <f t="shared" si="93"/>
        <v/>
      </c>
      <c r="AB55" s="57" t="str">
        <f t="shared" si="94"/>
        <v/>
      </c>
      <c r="AC55" s="67" t="str">
        <f t="shared" si="95"/>
        <v/>
      </c>
      <c r="AD55" s="59" t="str">
        <f t="shared" si="96"/>
        <v/>
      </c>
      <c r="AE55" s="68" t="str">
        <f t="shared" si="97"/>
        <v/>
      </c>
      <c r="AF55" s="61" t="str">
        <f t="shared" si="98"/>
        <v/>
      </c>
      <c r="AG55" s="61" t="str">
        <f t="shared" si="99"/>
        <v/>
      </c>
      <c r="AH55" s="69" t="str">
        <f t="shared" si="100"/>
        <v/>
      </c>
      <c r="AI55" s="70" t="str">
        <f t="shared" si="101"/>
        <v/>
      </c>
      <c r="AJ55" s="64" t="str">
        <f t="shared" si="102"/>
        <v/>
      </c>
      <c r="AK55" s="64" t="str">
        <f t="shared" si="103"/>
        <v/>
      </c>
      <c r="AL55" s="64" t="str">
        <f t="shared" si="104"/>
        <v/>
      </c>
      <c r="AM55" s="64" t="str">
        <f t="shared" si="105"/>
        <v/>
      </c>
      <c r="AN55" s="64" t="str">
        <f t="shared" si="106"/>
        <v/>
      </c>
    </row>
    <row r="56" spans="1:40" ht="25.5" thickTop="1" thickBot="1" x14ac:dyDescent="0.4">
      <c r="B56" t="s">
        <v>999</v>
      </c>
      <c r="C56" s="93" t="s">
        <v>1056</v>
      </c>
      <c r="D56" s="83"/>
      <c r="E56" s="83"/>
      <c r="F56" s="83"/>
      <c r="G56" s="83"/>
      <c r="H56" s="83"/>
      <c r="I56" s="83"/>
      <c r="J56" s="83"/>
      <c r="K56" s="83"/>
      <c r="L56" s="94" t="str">
        <f>IF(C56="","",_xlfn.CONCAT("            { line: ","""",C56,", ",M56:AN56,""", sC: ","""",B56,"""},  ]},"))</f>
        <v xml:space="preserve">            { line: "DE TODO EL MUNDO., ", sC: "as"},  ]},</v>
      </c>
      <c r="M56" s="56" t="str">
        <f t="shared" si="80"/>
        <v/>
      </c>
      <c r="N56" s="57" t="str">
        <f t="shared" si="81"/>
        <v/>
      </c>
      <c r="O56" s="58" t="str">
        <f t="shared" si="82"/>
        <v/>
      </c>
      <c r="P56" s="59" t="str">
        <f t="shared" si="83"/>
        <v/>
      </c>
      <c r="Q56" s="60" t="str">
        <f t="shared" si="84"/>
        <v/>
      </c>
      <c r="R56" s="61" t="str">
        <f t="shared" si="79"/>
        <v/>
      </c>
      <c r="S56" s="56" t="str">
        <f t="shared" si="85"/>
        <v/>
      </c>
      <c r="T56" s="62" t="str">
        <f t="shared" si="86"/>
        <v/>
      </c>
      <c r="U56" s="63" t="str">
        <f t="shared" si="87"/>
        <v/>
      </c>
      <c r="V56" s="64" t="str">
        <f t="shared" si="88"/>
        <v/>
      </c>
      <c r="W56" s="65" t="str">
        <f t="shared" si="89"/>
        <v/>
      </c>
      <c r="X56" s="64" t="str">
        <f t="shared" si="90"/>
        <v/>
      </c>
      <c r="Y56" s="64" t="str">
        <f t="shared" si="91"/>
        <v/>
      </c>
      <c r="Z56" s="56" t="str">
        <f t="shared" si="92"/>
        <v/>
      </c>
      <c r="AA56" s="66" t="str">
        <f t="shared" si="93"/>
        <v/>
      </c>
      <c r="AB56" s="57" t="str">
        <f t="shared" si="94"/>
        <v/>
      </c>
      <c r="AC56" s="67" t="str">
        <f t="shared" si="95"/>
        <v/>
      </c>
      <c r="AD56" s="59" t="str">
        <f t="shared" si="96"/>
        <v/>
      </c>
      <c r="AE56" s="68" t="str">
        <f t="shared" si="97"/>
        <v/>
      </c>
      <c r="AF56" s="61" t="str">
        <f t="shared" si="98"/>
        <v/>
      </c>
      <c r="AG56" s="61" t="str">
        <f t="shared" si="99"/>
        <v/>
      </c>
      <c r="AH56" s="69" t="str">
        <f t="shared" si="100"/>
        <v/>
      </c>
      <c r="AI56" s="70" t="str">
        <f t="shared" si="101"/>
        <v/>
      </c>
      <c r="AJ56" s="64" t="str">
        <f t="shared" si="102"/>
        <v/>
      </c>
      <c r="AK56" s="64" t="str">
        <f t="shared" si="103"/>
        <v/>
      </c>
      <c r="AL56" s="64" t="str">
        <f t="shared" si="104"/>
        <v/>
      </c>
      <c r="AM56" s="64" t="str">
        <f t="shared" si="105"/>
        <v/>
      </c>
      <c r="AN56" s="64" t="str">
        <f t="shared" si="106"/>
        <v/>
      </c>
    </row>
    <row r="57" spans="1:40" ht="27.75" thickTop="1" thickBot="1" x14ac:dyDescent="0.4">
      <c r="A57" s="73"/>
      <c r="B57" s="73"/>
      <c r="C57" s="73"/>
      <c r="D57" s="74"/>
      <c r="E57" s="74"/>
      <c r="F57" s="74"/>
      <c r="G57" s="74"/>
      <c r="H57" s="74"/>
      <c r="I57" s="74"/>
      <c r="J57" s="74"/>
      <c r="K57" s="74"/>
      <c r="L57" s="75" t="s">
        <v>993</v>
      </c>
      <c r="M57" s="56"/>
      <c r="N57" s="57"/>
      <c r="O57" s="58"/>
      <c r="P57" s="59"/>
      <c r="Q57" s="60"/>
      <c r="R57" s="61" t="str">
        <f t="shared" si="79"/>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thickTop="1" thickBot="1" x14ac:dyDescent="0.4">
      <c r="B58" t="s">
        <v>997</v>
      </c>
      <c r="C58" s="113" t="s">
        <v>1066</v>
      </c>
      <c r="D58" s="112" t="s">
        <v>1011</v>
      </c>
      <c r="E58" s="52"/>
      <c r="F58" s="53"/>
      <c r="G58" s="53"/>
      <c r="H58" s="52"/>
      <c r="I58" s="52"/>
      <c r="J58" s="54"/>
      <c r="K58" s="54"/>
      <c r="L58" s="55" t="str">
        <f t="shared" si="57"/>
        <v xml:space="preserve">            { line: "ADONAI ELOHENU,, (Mi,,20)", sC: "ta as"},</v>
      </c>
      <c r="M58" s="56" t="str">
        <f t="shared" si="58"/>
        <v>(</v>
      </c>
      <c r="N58" s="57" t="str">
        <f t="shared" si="2"/>
        <v>Mi</v>
      </c>
      <c r="O58" s="58" t="str">
        <f t="shared" si="59"/>
        <v>,</v>
      </c>
      <c r="P58" s="59" t="str">
        <f t="shared" si="4"/>
        <v/>
      </c>
      <c r="Q58" s="60" t="str">
        <f t="shared" si="60"/>
        <v>,</v>
      </c>
      <c r="R58" s="61">
        <f t="shared" si="28"/>
        <v>20</v>
      </c>
      <c r="S58" s="56" t="str">
        <f t="shared" si="61"/>
        <v>)</v>
      </c>
      <c r="T58" s="62" t="str">
        <f t="shared" si="62"/>
        <v/>
      </c>
      <c r="U58" s="63" t="str">
        <f t="shared" si="8"/>
        <v/>
      </c>
      <c r="V58" s="64" t="str">
        <f t="shared" si="63"/>
        <v/>
      </c>
      <c r="W58" s="65" t="str">
        <f t="shared" si="10"/>
        <v/>
      </c>
      <c r="X58" s="64" t="str">
        <f t="shared" si="64"/>
        <v/>
      </c>
      <c r="Y58" s="64" t="str">
        <f t="shared" si="65"/>
        <v/>
      </c>
      <c r="Z58" s="56" t="str">
        <f t="shared" si="66"/>
        <v/>
      </c>
      <c r="AA58" s="66" t="str">
        <f t="shared" si="67"/>
        <v/>
      </c>
      <c r="AB58" s="57" t="str">
        <f t="shared" si="15"/>
        <v/>
      </c>
      <c r="AC58" s="67" t="str">
        <f t="shared" si="68"/>
        <v/>
      </c>
      <c r="AD58" s="59" t="str">
        <f t="shared" si="69"/>
        <v/>
      </c>
      <c r="AE58" s="68" t="str">
        <f t="shared" si="70"/>
        <v/>
      </c>
      <c r="AF58" s="61" t="str">
        <f t="shared" si="71"/>
        <v/>
      </c>
      <c r="AG58" s="61" t="str">
        <f t="shared" si="72"/>
        <v/>
      </c>
      <c r="AH58" s="69" t="str">
        <f t="shared" si="73"/>
        <v/>
      </c>
      <c r="AI58" s="70" t="str">
        <f t="shared" si="22"/>
        <v/>
      </c>
      <c r="AJ58" s="64" t="str">
        <f t="shared" si="74"/>
        <v/>
      </c>
      <c r="AK58" s="64" t="str">
        <f t="shared" si="75"/>
        <v/>
      </c>
      <c r="AL58" s="64" t="str">
        <f t="shared" si="76"/>
        <v/>
      </c>
      <c r="AM58" s="64" t="str">
        <f t="shared" si="77"/>
        <v/>
      </c>
      <c r="AN58" s="64" t="str">
        <f t="shared" si="78"/>
        <v/>
      </c>
    </row>
    <row r="59" spans="1:40" ht="25.5" thickTop="1" thickBot="1" x14ac:dyDescent="0.4">
      <c r="B59" t="s">
        <v>999</v>
      </c>
      <c r="C59" s="113" t="s">
        <v>1066</v>
      </c>
      <c r="D59" s="112" t="s">
        <v>1046</v>
      </c>
      <c r="E59" s="52" t="s">
        <v>1012</v>
      </c>
      <c r="F59" s="53" t="s">
        <v>1011</v>
      </c>
      <c r="G59" s="53"/>
      <c r="H59" s="52"/>
      <c r="I59" s="52"/>
      <c r="J59" s="54"/>
      <c r="K59" s="54"/>
      <c r="L59" s="55" t="str">
        <f t="shared" si="57"/>
        <v xml:space="preserve">            { line: "ADONAI ELOHENU,, (Re,m,22)(Mi,,250)", sC: "as"},</v>
      </c>
      <c r="M59" s="56" t="str">
        <f t="shared" si="58"/>
        <v>(</v>
      </c>
      <c r="N59" s="57" t="str">
        <f t="shared" si="2"/>
        <v>Re</v>
      </c>
      <c r="O59" s="58" t="str">
        <f t="shared" si="59"/>
        <v>,</v>
      </c>
      <c r="P59" s="59" t="str">
        <f t="shared" si="4"/>
        <v>m</v>
      </c>
      <c r="Q59" s="60" t="str">
        <f t="shared" si="60"/>
        <v>,</v>
      </c>
      <c r="R59" s="61">
        <f t="shared" si="28"/>
        <v>22</v>
      </c>
      <c r="S59" s="56" t="str">
        <f t="shared" si="61"/>
        <v>)</v>
      </c>
      <c r="T59" s="62" t="str">
        <f t="shared" si="62"/>
        <v>(</v>
      </c>
      <c r="U59" s="63" t="str">
        <f t="shared" si="8"/>
        <v>Mi</v>
      </c>
      <c r="V59" s="64" t="str">
        <f t="shared" si="63"/>
        <v>,</v>
      </c>
      <c r="W59" s="65" t="str">
        <f t="shared" si="10"/>
        <v/>
      </c>
      <c r="X59" s="64" t="str">
        <f t="shared" si="64"/>
        <v>,</v>
      </c>
      <c r="Y59" s="64">
        <f t="shared" si="65"/>
        <v>250</v>
      </c>
      <c r="Z59" s="56" t="str">
        <f t="shared" si="66"/>
        <v>)</v>
      </c>
      <c r="AA59" s="66" t="str">
        <f t="shared" si="67"/>
        <v/>
      </c>
      <c r="AB59" s="57" t="str">
        <f t="shared" si="15"/>
        <v/>
      </c>
      <c r="AC59" s="67" t="str">
        <f t="shared" si="68"/>
        <v/>
      </c>
      <c r="AD59" s="59" t="str">
        <f t="shared" si="69"/>
        <v/>
      </c>
      <c r="AE59" s="68" t="str">
        <f t="shared" si="70"/>
        <v/>
      </c>
      <c r="AF59" s="61" t="str">
        <f t="shared" si="71"/>
        <v/>
      </c>
      <c r="AG59" s="61" t="str">
        <f t="shared" si="72"/>
        <v/>
      </c>
      <c r="AH59" s="69" t="str">
        <f t="shared" si="73"/>
        <v/>
      </c>
      <c r="AI59" s="70" t="str">
        <f t="shared" si="22"/>
        <v/>
      </c>
      <c r="AJ59" s="64" t="str">
        <f t="shared" si="74"/>
        <v/>
      </c>
      <c r="AK59" s="64" t="str">
        <f t="shared" si="75"/>
        <v/>
      </c>
      <c r="AL59" s="64" t="str">
        <f t="shared" si="76"/>
        <v/>
      </c>
      <c r="AM59" s="64" t="str">
        <f t="shared" si="77"/>
        <v/>
      </c>
      <c r="AN59" s="64" t="str">
        <f t="shared" si="78"/>
        <v/>
      </c>
    </row>
    <row r="60" spans="1:40" ht="25.5" thickTop="1" thickBot="1" x14ac:dyDescent="0.4">
      <c r="B60" t="s">
        <v>999</v>
      </c>
      <c r="C60" s="113" t="s">
        <v>1067</v>
      </c>
      <c r="D60" s="112" t="s">
        <v>1048</v>
      </c>
      <c r="E60" s="52"/>
      <c r="F60" s="53" t="s">
        <v>1011</v>
      </c>
      <c r="G60" s="53"/>
      <c r="H60" s="52"/>
      <c r="I60" s="52"/>
      <c r="J60" s="54"/>
      <c r="K60" s="54"/>
      <c r="L60" s="78" t="str">
        <f t="shared" si="57"/>
        <v xml:space="preserve">            { line: "ADONAI EJAD., (Fa,,20)(Mi,,250)", sC: "as"},</v>
      </c>
      <c r="M60" s="56" t="str">
        <f t="shared" si="58"/>
        <v>(</v>
      </c>
      <c r="N60" s="57" t="str">
        <f t="shared" si="2"/>
        <v>Fa</v>
      </c>
      <c r="O60" s="58" t="str">
        <f t="shared" si="59"/>
        <v>,</v>
      </c>
      <c r="P60" s="59" t="str">
        <f t="shared" si="4"/>
        <v/>
      </c>
      <c r="Q60" s="60" t="str">
        <f t="shared" si="60"/>
        <v>,</v>
      </c>
      <c r="R60" s="61">
        <f t="shared" si="28"/>
        <v>20</v>
      </c>
      <c r="S60" s="56" t="str">
        <f t="shared" si="61"/>
        <v>)</v>
      </c>
      <c r="T60" s="62" t="str">
        <f t="shared" si="62"/>
        <v>(</v>
      </c>
      <c r="U60" s="63" t="str">
        <f t="shared" si="8"/>
        <v>Mi</v>
      </c>
      <c r="V60" s="64" t="str">
        <f t="shared" si="63"/>
        <v>,</v>
      </c>
      <c r="W60" s="65" t="str">
        <f t="shared" si="10"/>
        <v/>
      </c>
      <c r="X60" s="64" t="str">
        <f t="shared" si="64"/>
        <v>,</v>
      </c>
      <c r="Y60" s="64">
        <f t="shared" si="65"/>
        <v>250</v>
      </c>
      <c r="Z60" s="56" t="str">
        <f t="shared" si="66"/>
        <v>)</v>
      </c>
      <c r="AA60" s="66" t="str">
        <f t="shared" si="67"/>
        <v/>
      </c>
      <c r="AB60" s="57" t="str">
        <f t="shared" si="15"/>
        <v/>
      </c>
      <c r="AC60" s="67" t="str">
        <f t="shared" si="68"/>
        <v/>
      </c>
      <c r="AD60" s="59" t="str">
        <f t="shared" si="69"/>
        <v/>
      </c>
      <c r="AE60" s="68" t="str">
        <f t="shared" si="70"/>
        <v/>
      </c>
      <c r="AF60" s="61" t="str">
        <f t="shared" si="71"/>
        <v/>
      </c>
      <c r="AG60" s="61" t="str">
        <f t="shared" si="72"/>
        <v/>
      </c>
      <c r="AH60" s="69" t="str">
        <f t="shared" si="73"/>
        <v/>
      </c>
      <c r="AI60" s="70" t="str">
        <f t="shared" si="22"/>
        <v/>
      </c>
      <c r="AJ60" s="64" t="str">
        <f t="shared" si="74"/>
        <v/>
      </c>
      <c r="AK60" s="64" t="str">
        <f t="shared" si="75"/>
        <v/>
      </c>
      <c r="AL60" s="64" t="str">
        <f t="shared" si="76"/>
        <v/>
      </c>
      <c r="AM60" s="64" t="str">
        <f t="shared" si="77"/>
        <v/>
      </c>
      <c r="AN60" s="64" t="str">
        <f t="shared" si="78"/>
        <v/>
      </c>
    </row>
    <row r="61" spans="1:40" ht="24" customHeight="1" thickTop="1" x14ac:dyDescent="0.4">
      <c r="A61" s="95"/>
      <c r="B61" s="95"/>
      <c r="C61" s="95"/>
      <c r="D61" s="95"/>
      <c r="E61" s="95"/>
      <c r="F61" s="95"/>
      <c r="G61" s="95"/>
      <c r="H61" s="95"/>
      <c r="I61" s="95"/>
      <c r="J61" s="95"/>
      <c r="K61" s="95"/>
      <c r="L61" s="99" t="str">
        <f ca="1">_xlfn.CONCAT("]}, // ULTIMA LINEA DEL CANTO: ",L1)</f>
        <v>]}, // ULTIMA LINEA DEL CANTO: QUIÉN NOS SEPARARÁ</v>
      </c>
      <c r="M61" s="95"/>
    </row>
    <row r="62" spans="1:40" ht="20.25" x14ac:dyDescent="0.25">
      <c r="L62" s="100" t="s">
        <v>1008</v>
      </c>
      <c r="M62" s="101"/>
    </row>
    <row r="63" spans="1:40" x14ac:dyDescent="0.25">
      <c r="M6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1" activePane="bottomRight" state="frozen"/>
      <selection pane="topRight" activeCell="C1" sqref="C1"/>
      <selection pane="bottomLeft" activeCell="A2" sqref="A2"/>
      <selection pane="bottomRight" activeCell="C31" sqref="C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140</v>
      </c>
      <c r="E1" s="40"/>
      <c r="F1" s="40"/>
      <c r="G1" s="40"/>
      <c r="H1" s="40"/>
      <c r="I1" s="40"/>
      <c r="J1" s="40"/>
      <c r="K1" s="40"/>
      <c r="L1" s="41" t="str">
        <f ca="1">UPPER(VLOOKUP(C1,Table223[],3,FALSE))</f>
        <v>QUIERO ANDAR, MADRE, A JERUSALÉN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QUIERO ANDAR, MADRE, A JERUSALÉN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quieroandarmadreajerusalen</v>
      </c>
      <c r="L7" s="48" t="str">
        <f ca="1">_xlfn.CONCAT("        id: ","""",C7,"""",",")</f>
        <v xml:space="preserve">        id: "quieroandarmadreajerusalen",</v>
      </c>
    </row>
    <row r="8" spans="2:32" ht="23.25" x14ac:dyDescent="0.25">
      <c r="C8" t="str">
        <f ca="1">PROPER(L1)</f>
        <v>Quiero Andar, Madre, A Jerusalén</v>
      </c>
      <c r="L8" s="48" t="str">
        <f ca="1">_xlfn.CONCAT("        tt: ","""",C8,"""",",")</f>
        <v xml:space="preserve">        tt: "Quiero Andar, Madre, A Jerusalén",</v>
      </c>
    </row>
    <row r="9" spans="2:32" ht="23.25" x14ac:dyDescent="0.25">
      <c r="C9" t="str">
        <f ca="1">PROPER(L1)</f>
        <v>Quiero Andar, Madre, A Jerusalén</v>
      </c>
      <c r="L9" s="48" t="str">
        <f ca="1">_xlfn.CONCAT("        title: ","""",C9,"""",",")</f>
        <v xml:space="preserve">        title: "Quiero Andar, Madre, A Jerusalén",</v>
      </c>
    </row>
    <row r="10" spans="2:32" ht="23.25" x14ac:dyDescent="0.25">
      <c r="C10" t="str">
        <f ca="1">VLOOKUP(C1,Table223[],4,FALSE)</f>
        <v>Canto sefardí</v>
      </c>
      <c r="L10" s="48" t="str">
        <f ca="1">_xlfn.CONCAT("        ","subtitle: ","""",C10,"""",",")</f>
        <v xml:space="preserve">        subtitle: "Canto sefardí",</v>
      </c>
    </row>
    <row r="11" spans="2:32" ht="23.25" x14ac:dyDescent="0.25">
      <c r="C11" t="str">
        <f ca="1">_xlfn.CONCAT("category: [",VLOOKUP(C1,Table223[],16,FALSE),"],")</f>
        <v>category: ["Precatecumenado","Pascua","Pentecostés","Final"],</v>
      </c>
      <c r="L11" s="48" t="str">
        <f ca="1">_xlfn.CONCAT("        ",C11)</f>
        <v xml:space="preserve">        category: ["Precatecumenado","Pascua","Pentecostés","Final"],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140</v>
      </c>
      <c r="L16" s="48" t="str">
        <f ca="1">_xlfn.CONCAT("        dbno: ","""",C16,"""",",")</f>
        <v xml:space="preserve">        dbno: "140",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quieroandarmadreajerusalen</v>
      </c>
      <c r="L19" s="48" t="str">
        <f ca="1">_xlfn.CONCAT("        audioSrc: ","""/audio/",C19,".mp3""",",")</f>
        <v xml:space="preserve">        audioSrc: "/audio/quieroandarmadreajerusalen.mp3",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139</v>
      </c>
      <c r="C26" t="str">
        <f ca="1">VLOOKUP(B26,Table4[],13,FALSE)</f>
        <v>"/resucito/src/index.html?canto=quiennosseparara"</v>
      </c>
      <c r="L26" s="48" t="str">
        <f ca="1">_xlfn.CONCAT("        ant: ",C26,",")</f>
        <v xml:space="preserve">        ant: "/resucito/src/index.html?canto=quiennosseparara",</v>
      </c>
    </row>
    <row r="27" spans="1:40" ht="23.25" x14ac:dyDescent="0.25">
      <c r="B27">
        <f ca="1">+C1+1</f>
        <v>141</v>
      </c>
      <c r="C27" t="str">
        <f ca="1">VLOOKUP(B27,Table4[],13,FALSE)</f>
        <v>"/resucito/src/index.html?canto=quierocantar"</v>
      </c>
      <c r="L27" s="48" t="str">
        <f ca="1">_xlfn.CONCAT("        sig: ",C27,",")</f>
        <v xml:space="preserve">        sig: "/resucito/src/index.html?canto=quierocantar",</v>
      </c>
    </row>
    <row r="28" spans="1:40" ht="23.25" x14ac:dyDescent="0.25">
      <c r="L28" s="46" t="s">
        <v>991</v>
      </c>
    </row>
    <row r="29" spans="1:40" ht="36" thickBot="1" x14ac:dyDescent="0.3">
      <c r="A29" s="49"/>
      <c r="B29" s="49"/>
      <c r="C29" s="49" t="s">
        <v>1047</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5.5" thickTop="1" thickBot="1" x14ac:dyDescent="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5.5" thickTop="1" thickBot="1" x14ac:dyDescent="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5.5" thickTop="1" thickBot="1" x14ac:dyDescent="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5.5" thickTop="1" thickBot="1" x14ac:dyDescent="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5.5" thickTop="1" thickBot="1" x14ac:dyDescent="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5.5" thickTop="1" thickBot="1" x14ac:dyDescent="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5.5" thickTop="1" thickBot="1" x14ac:dyDescent="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5.5" thickTop="1" thickBot="1" x14ac:dyDescent="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5.5" thickTop="1" thickBot="1" x14ac:dyDescent="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75" thickTop="1" thickBot="1" x14ac:dyDescent="0.4">
      <c r="A66" s="76"/>
      <c r="B66" s="76"/>
      <c r="C66" s="76" t="s">
        <v>1047</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5.5" thickTop="1" thickBot="1" x14ac:dyDescent="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5.5" thickTop="1" thickBot="1" x14ac:dyDescent="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5.5" thickTop="1" thickBot="1" x14ac:dyDescent="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5.5" thickTop="1" thickBot="1" x14ac:dyDescent="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5.5" thickTop="1" thickBot="1" x14ac:dyDescent="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5.5" thickTop="1" thickBot="1" x14ac:dyDescent="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5.5" thickTop="1" thickBot="1" x14ac:dyDescent="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5.5" thickTop="1" thickBot="1" x14ac:dyDescent="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5.5" thickTop="1" thickBot="1" x14ac:dyDescent="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5.5" thickTop="1" thickBot="1" x14ac:dyDescent="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5.5" thickTop="1" thickBot="1" x14ac:dyDescent="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5.5" thickTop="1" thickBot="1" x14ac:dyDescent="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5.5" thickTop="1" thickBot="1" x14ac:dyDescent="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5.5" thickTop="1" thickBot="1" x14ac:dyDescent="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5.5" thickTop="1" thickBot="1" x14ac:dyDescent="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5.5" thickTop="1" thickBot="1" x14ac:dyDescent="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5.5" thickTop="1" thickBot="1" x14ac:dyDescent="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5.5" thickTop="1" thickBot="1" x14ac:dyDescent="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5.5" thickTop="1" thickBot="1" x14ac:dyDescent="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5.5" thickTop="1" thickBot="1" x14ac:dyDescent="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5.5" thickTop="1" thickBot="1" x14ac:dyDescent="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5.5" thickTop="1" thickBot="1" x14ac:dyDescent="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4">
      <c r="A94" s="95"/>
      <c r="B94" s="95"/>
      <c r="C94" s="95"/>
      <c r="D94" s="95"/>
      <c r="E94" s="95"/>
      <c r="F94" s="95"/>
      <c r="G94" s="95"/>
      <c r="H94" s="95"/>
      <c r="I94" s="95"/>
      <c r="J94" s="95"/>
      <c r="K94" s="95"/>
      <c r="L94" s="99" t="str">
        <f ca="1">_xlfn.CONCAT("]}, // ULTIMA LINEA DEL CANTO: ",L1)</f>
        <v>]}, // ULTIMA LINEA DEL CANTO: QUIERO ANDAR, MADRE, A JERUSALÉN</v>
      </c>
      <c r="M94" s="95"/>
    </row>
    <row r="95" spans="1:40" ht="20.25" x14ac:dyDescent="0.25">
      <c r="L95" s="100" t="s">
        <v>1008</v>
      </c>
      <c r="M95" s="101"/>
    </row>
    <row r="96" spans="1:40" ht="15.75" thickBot="1" x14ac:dyDescent="0.3">
      <c r="M96" s="101"/>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5.5" thickTop="1" thickBot="1" x14ac:dyDescent="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5.5" thickTop="1" thickBot="1" x14ac:dyDescent="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5.5" thickTop="1" thickBot="1" x14ac:dyDescent="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5.5" thickTop="1" thickBot="1" x14ac:dyDescent="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5.5" thickTop="1" thickBot="1" x14ac:dyDescent="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5.5" thickTop="1" thickBot="1" x14ac:dyDescent="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5.5" thickTop="1" thickBot="1" x14ac:dyDescent="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7.75"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141</v>
      </c>
      <c r="E1" s="40"/>
      <c r="F1" s="40"/>
      <c r="G1" s="40"/>
      <c r="H1" s="40"/>
      <c r="I1" s="40"/>
      <c r="J1" s="40"/>
      <c r="K1" s="40"/>
      <c r="L1" s="41" t="str">
        <f ca="1">UPPER(VLOOKUP(C1,Table223[],3,FALSE))</f>
        <v>QUIERO CANTAR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QUIERO CANTAR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quierocantar</v>
      </c>
      <c r="L7" s="48" t="str">
        <f ca="1">_xlfn.CONCAT("        id: ","""",C7,"""",",")</f>
        <v xml:space="preserve">        id: "quierocantar",</v>
      </c>
    </row>
    <row r="8" spans="2:32" ht="23.25" x14ac:dyDescent="0.25">
      <c r="C8" t="str">
        <f ca="1">PROPER(L1)</f>
        <v>Quiero Cantar</v>
      </c>
      <c r="L8" s="48" t="str">
        <f ca="1">_xlfn.CONCAT("        tt: ","""",C8,"""",",")</f>
        <v xml:space="preserve">        tt: "Quiero Cantar",</v>
      </c>
    </row>
    <row r="9" spans="2:32" ht="23.25" x14ac:dyDescent="0.25">
      <c r="C9" t="str">
        <f ca="1">PROPER(L1)</f>
        <v>Quiero Cantar</v>
      </c>
      <c r="L9" s="48" t="str">
        <f ca="1">_xlfn.CONCAT("        title: ","""",C9,"""",",")</f>
        <v xml:space="preserve">        title: "Quiero Cantar",</v>
      </c>
    </row>
    <row r="10" spans="2:32" ht="23.25" x14ac:dyDescent="0.25">
      <c r="C10" t="str">
        <f ca="1">VLOOKUP(C1,Table223[],4,FALSE)</f>
        <v>Salmo 57 (56)</v>
      </c>
      <c r="L10" s="48" t="str">
        <f ca="1">_xlfn.CONCAT("        ","subtitle: ","""",C10,"""",",")</f>
        <v xml:space="preserve">        subtitle: "Salmo 57 (56)",</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141</v>
      </c>
      <c r="L16" s="48" t="str">
        <f ca="1">_xlfn.CONCAT("        dbno: ","""",C16,"""",",")</f>
        <v xml:space="preserve">        dbno: "141",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quierocantar</v>
      </c>
      <c r="L19" s="48" t="str">
        <f ca="1">_xlfn.CONCAT("        audioSrc: ","""/audio/",C19,".mp3""",",")</f>
        <v xml:space="preserve">        audioSrc: "/audio/quierocantar.mp3",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140</v>
      </c>
      <c r="C26" t="str">
        <f ca="1">VLOOKUP(B26,Table4[],13,FALSE)</f>
        <v>"/resucito/src/index.html?canto=quieroandarmadreajerusalen"</v>
      </c>
      <c r="L26" s="48" t="str">
        <f ca="1">_xlfn.CONCAT("        ant: ",C26,",")</f>
        <v xml:space="preserve">        ant: "/resucito/src/index.html?canto=quieroandarmadreajerusalen",</v>
      </c>
    </row>
    <row r="27" spans="1:40" ht="23.25" x14ac:dyDescent="0.25">
      <c r="B27">
        <f ca="1">+C1+1</f>
        <v>142</v>
      </c>
      <c r="C27" t="str">
        <f ca="1">VLOOKUP(B27,Table4[],13,FALSE)</f>
        <v>"/resucito/src/index.html?canto=resucito"</v>
      </c>
      <c r="L27" s="48" t="str">
        <f ca="1">_xlfn.CONCAT("        sig: ",C27,",")</f>
        <v xml:space="preserve">        sig: "/resucito/src/index.html?canto=resucito",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QUIERO CANTAR</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code</vt:lpstr>
      <vt:lpstr>Indice</vt:lpstr>
      <vt:lpstr>Index</vt:lpstr>
      <vt:lpstr>Index Web</vt:lpstr>
      <vt:lpstr>cantosJS</vt:lpstr>
      <vt:lpstr>Find</vt:lpstr>
      <vt:lpstr>html</vt:lpstr>
      <vt:lpstr>QUIÉN ES ESTA QUE SUBE DEL DESI</vt:lpstr>
      <vt:lpstr>QUIERO ANDAR, MADRE, A JERUSALÉ</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2025-09-23T14:56:23Z</dcterms:modified>
</cp:coreProperties>
</file>