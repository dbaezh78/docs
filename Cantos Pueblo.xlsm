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97D57BF1-932B-4B01-8E49-6B7277E83812}" xr6:coauthVersionLast="47" xr6:coauthVersionMax="47" xr10:uidLastSave="{00000000-0000-0000-0000-000000000000}"/>
  <bookViews>
    <workbookView xWindow="-110" yWindow="-110" windowWidth="25820" windowHeight="15500" tabRatio="693" firstSheet="5" activeTab="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Jesús está entre nosotros" sheetId="78" r:id="rId8"/>
    <sheet name="MARIA, MADRE MÍA" sheetId="7" r:id="rId9"/>
    <sheet name="boceto" sheetId="36" state="hidden" r:id="rId10"/>
  </sheets>
  <functionGroups builtInGroupCount="19"/>
  <externalReferences>
    <externalReference r:id="rId11"/>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4" i="78" l="1"/>
  <c r="R40" i="78"/>
  <c r="R36" i="78"/>
  <c r="R48" i="78"/>
  <c r="AK47" i="78"/>
  <c r="AI47" i="78"/>
  <c r="AN47" i="78" s="1"/>
  <c r="AD47" i="78"/>
  <c r="AB47" i="78"/>
  <c r="AG47" i="78" s="1"/>
  <c r="W47" i="78"/>
  <c r="U47" i="78"/>
  <c r="Z47" i="78" s="1"/>
  <c r="T47" i="78"/>
  <c r="P47" i="78"/>
  <c r="N47" i="78"/>
  <c r="S47" i="78" s="1"/>
  <c r="AK46" i="78"/>
  <c r="AI46" i="78"/>
  <c r="AN46" i="78" s="1"/>
  <c r="AD46" i="78"/>
  <c r="AB46" i="78"/>
  <c r="AG46" i="78" s="1"/>
  <c r="W46" i="78"/>
  <c r="U46" i="78"/>
  <c r="X46" i="78" s="1"/>
  <c r="P46" i="78"/>
  <c r="N46" i="78"/>
  <c r="S46" i="78" s="1"/>
  <c r="AK45" i="78"/>
  <c r="AI45" i="78"/>
  <c r="AL45" i="78" s="1"/>
  <c r="AH45" i="78"/>
  <c r="AD45" i="78"/>
  <c r="AB45" i="78"/>
  <c r="AG45" i="78" s="1"/>
  <c r="W45" i="78"/>
  <c r="U45" i="78"/>
  <c r="Z45" i="78" s="1"/>
  <c r="T45" i="78"/>
  <c r="P45" i="78"/>
  <c r="N45" i="78"/>
  <c r="R45" i="78" s="1"/>
  <c r="AK43" i="78"/>
  <c r="AI43" i="78"/>
  <c r="AN43" i="78" s="1"/>
  <c r="AD43" i="78"/>
  <c r="AB43" i="78"/>
  <c r="AF43" i="78" s="1"/>
  <c r="W43" i="78"/>
  <c r="U43" i="78"/>
  <c r="Z43" i="78" s="1"/>
  <c r="T43" i="78"/>
  <c r="P43" i="78"/>
  <c r="N43" i="78"/>
  <c r="O43" i="78" s="1"/>
  <c r="M43" i="78"/>
  <c r="AK42" i="78"/>
  <c r="AI42" i="78"/>
  <c r="AN42" i="78" s="1"/>
  <c r="AH42" i="78"/>
  <c r="AD42" i="78"/>
  <c r="AB42" i="78"/>
  <c r="AC42" i="78" s="1"/>
  <c r="AA42" i="78"/>
  <c r="W42" i="78"/>
  <c r="U42" i="78"/>
  <c r="Z42" i="78" s="1"/>
  <c r="T42" i="78"/>
  <c r="P42" i="78"/>
  <c r="N42" i="78"/>
  <c r="S42" i="78" s="1"/>
  <c r="M42" i="78"/>
  <c r="AK41" i="78"/>
  <c r="AI41" i="78"/>
  <c r="AN41" i="78" s="1"/>
  <c r="AD41" i="78"/>
  <c r="AB41" i="78"/>
  <c r="AG41" i="78" s="1"/>
  <c r="AA41" i="78"/>
  <c r="W41" i="78"/>
  <c r="U41" i="78"/>
  <c r="Z41" i="78" s="1"/>
  <c r="P41" i="78"/>
  <c r="N41" i="78"/>
  <c r="S41" i="78" s="1"/>
  <c r="AK39" i="78"/>
  <c r="AI39" i="78"/>
  <c r="AN39" i="78" s="1"/>
  <c r="AD39" i="78"/>
  <c r="AB39" i="78"/>
  <c r="AF39" i="78" s="1"/>
  <c r="W39" i="78"/>
  <c r="U39" i="78"/>
  <c r="T39" i="78" s="1"/>
  <c r="P39" i="78"/>
  <c r="N39" i="78"/>
  <c r="S39" i="78" s="1"/>
  <c r="AK38" i="78"/>
  <c r="AI38" i="78"/>
  <c r="AN38" i="78" s="1"/>
  <c r="AH38" i="78"/>
  <c r="AD38" i="78"/>
  <c r="AB38" i="78"/>
  <c r="AF38" i="78" s="1"/>
  <c r="AA38" i="78"/>
  <c r="W38" i="78"/>
  <c r="U38" i="78"/>
  <c r="P38" i="78"/>
  <c r="N38" i="78"/>
  <c r="Q38" i="78" s="1"/>
  <c r="M38" i="78"/>
  <c r="AK37" i="78"/>
  <c r="AI37" i="78"/>
  <c r="AN37" i="78" s="1"/>
  <c r="AD37" i="78"/>
  <c r="AB37" i="78"/>
  <c r="AC37" i="78" s="1"/>
  <c r="W37" i="78"/>
  <c r="U37" i="78"/>
  <c r="V37" i="78" s="1"/>
  <c r="P37" i="78"/>
  <c r="N37" i="78"/>
  <c r="Q37" i="78" s="1"/>
  <c r="AK35" i="78"/>
  <c r="AI35" i="78"/>
  <c r="AN35" i="78" s="1"/>
  <c r="AD35" i="78"/>
  <c r="AB35" i="78"/>
  <c r="AG35" i="78" s="1"/>
  <c r="W35" i="78"/>
  <c r="U35" i="78"/>
  <c r="Z35" i="78" s="1"/>
  <c r="T35" i="78"/>
  <c r="P35" i="78"/>
  <c r="N35" i="78"/>
  <c r="S35" i="78" s="1"/>
  <c r="M35" i="78"/>
  <c r="AK34" i="78"/>
  <c r="AI34" i="78"/>
  <c r="AN34" i="78" s="1"/>
  <c r="AH34" i="78"/>
  <c r="AD34" i="78"/>
  <c r="AB34" i="78"/>
  <c r="AG34" i="78" s="1"/>
  <c r="AA34" i="78"/>
  <c r="W34" i="78"/>
  <c r="U34" i="78"/>
  <c r="V34" i="78" s="1"/>
  <c r="T34" i="78"/>
  <c r="P34" i="78"/>
  <c r="N34" i="78"/>
  <c r="S34" i="78" s="1"/>
  <c r="AK33" i="78"/>
  <c r="AI33" i="78"/>
  <c r="AJ33" i="78" s="1"/>
  <c r="AH33" i="78"/>
  <c r="AD33" i="78"/>
  <c r="AB33" i="78"/>
  <c r="AG33" i="78" s="1"/>
  <c r="AA33" i="78"/>
  <c r="W33" i="78"/>
  <c r="U33" i="78"/>
  <c r="Z33" i="78" s="1"/>
  <c r="P33" i="78"/>
  <c r="N33" i="78"/>
  <c r="S33" i="78" s="1"/>
  <c r="AK32" i="78"/>
  <c r="AI32" i="78"/>
  <c r="AH32" i="78" s="1"/>
  <c r="AD32" i="78"/>
  <c r="AB32" i="78"/>
  <c r="AG32" i="78" s="1"/>
  <c r="W32" i="78"/>
  <c r="U32" i="78"/>
  <c r="Z32" i="78" s="1"/>
  <c r="P32" i="78"/>
  <c r="N32" i="78"/>
  <c r="Q32" i="78" s="1"/>
  <c r="M32" i="78"/>
  <c r="AK31" i="78"/>
  <c r="AI31" i="78"/>
  <c r="AN31" i="78" s="1"/>
  <c r="AH31" i="78"/>
  <c r="AD31" i="78"/>
  <c r="AB31" i="78"/>
  <c r="AE31" i="78" s="1"/>
  <c r="AA31" i="78"/>
  <c r="W31" i="78"/>
  <c r="U31" i="78"/>
  <c r="Z31" i="78" s="1"/>
  <c r="T31" i="78"/>
  <c r="P31" i="78"/>
  <c r="N31" i="78"/>
  <c r="S31" i="78" s="1"/>
  <c r="M31" i="78"/>
  <c r="AK30" i="78"/>
  <c r="AI30" i="78"/>
  <c r="AJ30" i="78" s="1"/>
  <c r="AD30" i="78"/>
  <c r="AB30" i="78"/>
  <c r="AC30" i="78" s="1"/>
  <c r="AA30" i="78"/>
  <c r="W30" i="78"/>
  <c r="U30" i="78"/>
  <c r="Z30" i="78" s="1"/>
  <c r="T30" i="78"/>
  <c r="P30" i="78"/>
  <c r="N30" i="78"/>
  <c r="S30" i="78" s="1"/>
  <c r="L18" i="78"/>
  <c r="L17" i="78"/>
  <c r="L15" i="78"/>
  <c r="L14" i="78"/>
  <c r="L13" i="78"/>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C1" i="78" a="1"/>
  <c r="AA45" i="78" l="1"/>
  <c r="AA32" i="78"/>
  <c r="AA35" i="78"/>
  <c r="AH39" i="78"/>
  <c r="AA43" i="78"/>
  <c r="AH35" i="78"/>
  <c r="M41" i="78"/>
  <c r="AH43" i="78"/>
  <c r="M37" i="78"/>
  <c r="T41" i="78"/>
  <c r="M45" i="78"/>
  <c r="M46" i="78"/>
  <c r="M47" i="78"/>
  <c r="AA46" i="78"/>
  <c r="M33" i="78"/>
  <c r="AH47" i="78"/>
  <c r="AH37" i="78"/>
  <c r="R43" i="78"/>
  <c r="AN45" i="78"/>
  <c r="S43" i="78"/>
  <c r="AM45" i="78"/>
  <c r="AH41" i="78"/>
  <c r="T46" i="78"/>
  <c r="V45" i="78"/>
  <c r="AE30" i="78"/>
  <c r="X45" i="78"/>
  <c r="AF30" i="78"/>
  <c r="AG43" i="78"/>
  <c r="Y45" i="78"/>
  <c r="AG30" i="78"/>
  <c r="M34" i="78"/>
  <c r="AA37" i="78"/>
  <c r="AF42" i="78"/>
  <c r="Y34" i="78"/>
  <c r="AG42" i="78"/>
  <c r="S32" i="78"/>
  <c r="AE42" i="78"/>
  <c r="X34" i="78"/>
  <c r="Q46" i="78"/>
  <c r="AJ42" i="78"/>
  <c r="AL42" i="78"/>
  <c r="Y46" i="78"/>
  <c r="Z46" i="78"/>
  <c r="M30" i="78"/>
  <c r="Z34" i="78"/>
  <c r="M39" i="78"/>
  <c r="Q43" i="78"/>
  <c r="AH46" i="78"/>
  <c r="AJ39" i="78"/>
  <c r="AL39" i="78"/>
  <c r="AM39" i="78"/>
  <c r="R31" i="78"/>
  <c r="AM33" i="78"/>
  <c r="AN33" i="78"/>
  <c r="O34" i="78"/>
  <c r="R37" i="78"/>
  <c r="S37" i="78"/>
  <c r="T32" i="78"/>
  <c r="AE37" i="78"/>
  <c r="AF37" i="78"/>
  <c r="AG37" i="78"/>
  <c r="O31" i="78"/>
  <c r="Q31" i="78"/>
  <c r="R38" i="78"/>
  <c r="S38" i="78"/>
  <c r="AF31" i="78"/>
  <c r="AG31" i="78"/>
  <c r="AL33" i="78"/>
  <c r="AG38" i="78"/>
  <c r="AL31" i="78"/>
  <c r="AM31" i="78"/>
  <c r="O37" i="78"/>
  <c r="Q34" i="78"/>
  <c r="R32" i="78"/>
  <c r="AA39" i="78"/>
  <c r="C1" i="78"/>
  <c r="Y38" i="78"/>
  <c r="X38" i="78"/>
  <c r="Z38" i="78"/>
  <c r="V38" i="78"/>
  <c r="T38" i="78"/>
  <c r="O47" i="78"/>
  <c r="AC41" i="78"/>
  <c r="AL32" i="78"/>
  <c r="O35" i="78"/>
  <c r="X39" i="78"/>
  <c r="AJ43" i="78"/>
  <c r="AJ31" i="78"/>
  <c r="AM32" i="78"/>
  <c r="Y39" i="78"/>
  <c r="AE41" i="78"/>
  <c r="Q47" i="78"/>
  <c r="AH30" i="78"/>
  <c r="AN32" i="78"/>
  <c r="Q35" i="78"/>
  <c r="T37" i="78"/>
  <c r="Z39" i="78"/>
  <c r="AF41" i="78"/>
  <c r="AL43" i="78"/>
  <c r="O46" i="78"/>
  <c r="R47" i="78"/>
  <c r="AC39" i="78"/>
  <c r="O45" i="78"/>
  <c r="R46" i="78"/>
  <c r="AL30" i="78"/>
  <c r="O33" i="78"/>
  <c r="R34" i="78"/>
  <c r="X37" i="78"/>
  <c r="AJ41" i="78"/>
  <c r="AM42" i="78"/>
  <c r="V47" i="78"/>
  <c r="O32" i="78"/>
  <c r="R33" i="78"/>
  <c r="X35" i="78"/>
  <c r="AG39" i="78"/>
  <c r="AM41" i="78"/>
  <c r="S45" i="78"/>
  <c r="V46" i="78"/>
  <c r="Y47" i="78"/>
  <c r="AM30" i="78"/>
  <c r="V35" i="78"/>
  <c r="Y37" i="78"/>
  <c r="AE39" i="78"/>
  <c r="Q45" i="78"/>
  <c r="AN30" i="78"/>
  <c r="Q33" i="78"/>
  <c r="Z37" i="78"/>
  <c r="AC38" i="78"/>
  <c r="AL41" i="78"/>
  <c r="X47" i="78"/>
  <c r="Y35" i="78"/>
  <c r="AE38" i="78"/>
  <c r="T33" i="78"/>
  <c r="AA47" i="78"/>
  <c r="AJ32" i="78"/>
  <c r="V39" i="78"/>
  <c r="R35" i="78"/>
  <c r="AM43" i="78"/>
  <c r="V33" i="78"/>
  <c r="AC47" i="78"/>
  <c r="AC35" i="78"/>
  <c r="O42" i="78"/>
  <c r="O30" i="78"/>
  <c r="X33" i="78"/>
  <c r="AJ38" i="78"/>
  <c r="AE47" i="78"/>
  <c r="V32" i="78"/>
  <c r="Y33" i="78"/>
  <c r="AE35" i="78"/>
  <c r="Q42" i="78"/>
  <c r="AC46" i="78"/>
  <c r="AF47" i="78"/>
  <c r="Q30" i="78"/>
  <c r="AC34" i="78"/>
  <c r="AF35" i="78"/>
  <c r="AL38" i="78"/>
  <c r="O41" i="78"/>
  <c r="R42" i="78"/>
  <c r="R30" i="78"/>
  <c r="X32" i="78"/>
  <c r="AJ37" i="78"/>
  <c r="AM38" i="78"/>
  <c r="V43" i="78"/>
  <c r="AE46" i="78"/>
  <c r="V31" i="78"/>
  <c r="Y32" i="78"/>
  <c r="AE34" i="78"/>
  <c r="Q41" i="78"/>
  <c r="AC45" i="78"/>
  <c r="AF46" i="78"/>
  <c r="AC33" i="78"/>
  <c r="AF34" i="78"/>
  <c r="AL37" i="78"/>
  <c r="R41" i="78"/>
  <c r="X43" i="78"/>
  <c r="AJ47" i="78"/>
  <c r="X31" i="78"/>
  <c r="AJ35" i="78"/>
  <c r="AM37" i="78"/>
  <c r="V42" i="78"/>
  <c r="Y43" i="78"/>
  <c r="AE45" i="78"/>
  <c r="V30" i="78"/>
  <c r="Y31" i="78"/>
  <c r="AE33" i="78"/>
  <c r="AF45" i="78"/>
  <c r="AL47" i="78"/>
  <c r="AC32" i="78"/>
  <c r="AF33" i="78"/>
  <c r="AL35" i="78"/>
  <c r="O39" i="78"/>
  <c r="X42" i="78"/>
  <c r="AJ46" i="78"/>
  <c r="AM47" i="78"/>
  <c r="X30" i="78"/>
  <c r="AJ34" i="78"/>
  <c r="AM35" i="78"/>
  <c r="V41" i="78"/>
  <c r="Y42" i="78"/>
  <c r="Y30" i="78"/>
  <c r="AE32" i="78"/>
  <c r="Q39" i="78"/>
  <c r="AC43" i="78"/>
  <c r="AL46" i="78"/>
  <c r="AC31" i="78"/>
  <c r="AF32" i="78"/>
  <c r="AL34" i="78"/>
  <c r="O38" i="78"/>
  <c r="R39" i="78"/>
  <c r="X41" i="78"/>
  <c r="AJ45" i="78"/>
  <c r="AM46" i="78"/>
  <c r="AM34" i="78"/>
  <c r="Y41" i="78"/>
  <c r="AE43" i="78"/>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47" i="78" l="1"/>
  <c r="L45" i="78"/>
  <c r="L46" i="78"/>
  <c r="L41" i="78"/>
  <c r="L43" i="78"/>
  <c r="L42" i="78"/>
  <c r="L33" i="78"/>
  <c r="L30" i="78"/>
  <c r="L37" i="78"/>
  <c r="L35" i="78"/>
  <c r="L38" i="78"/>
  <c r="L34" i="78"/>
  <c r="L31" i="78"/>
  <c r="L32" i="78"/>
  <c r="L39" i="78"/>
  <c r="C12" i="78"/>
  <c r="L12" i="78" s="1"/>
  <c r="C11" i="78"/>
  <c r="L11" i="78" s="1"/>
  <c r="C10" i="78"/>
  <c r="L10" i="78" s="1"/>
  <c r="L1" i="78"/>
  <c r="B27" i="78"/>
  <c r="C27" i="78" s="1"/>
  <c r="L27" i="78" s="1"/>
  <c r="B26" i="78"/>
  <c r="C26" i="78" s="1"/>
  <c r="L26" i="78" s="1"/>
  <c r="C16" i="78"/>
  <c r="L16" i="78" s="1"/>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9" i="78" l="1"/>
  <c r="L9" i="78" s="1"/>
  <c r="L49" i="78"/>
  <c r="C8" i="78"/>
  <c r="L8" i="78" s="1"/>
  <c r="C7" i="78" a="1"/>
  <c r="C7" i="78" s="1"/>
  <c r="L4" i="78"/>
  <c r="L96" i="36"/>
  <c r="L86" i="36"/>
  <c r="L91" i="36"/>
  <c r="L99" i="36"/>
  <c r="L90" i="36"/>
  <c r="L100" i="36"/>
  <c r="L7" i="78" l="1"/>
  <c r="C19" i="78"/>
  <c r="L19" i="78"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K38" i="8"/>
  <c r="AI38" i="8"/>
  <c r="AH38" i="8" s="1"/>
  <c r="AD38" i="8"/>
  <c r="AB38" i="8"/>
  <c r="AA38" i="8" s="1"/>
  <c r="W38" i="8"/>
  <c r="U38" i="8"/>
  <c r="T38" i="8" s="1"/>
  <c r="P38" i="8"/>
  <c r="N38" i="8"/>
  <c r="S38" i="8" s="1"/>
  <c r="M38" i="8"/>
  <c r="AK37" i="8"/>
  <c r="AI37" i="8"/>
  <c r="AN37" i="8" s="1"/>
  <c r="AD37" i="8"/>
  <c r="AB37" i="8"/>
  <c r="AF37" i="8" s="1"/>
  <c r="AA37" i="8"/>
  <c r="W37" i="8"/>
  <c r="U37" i="8"/>
  <c r="X37" i="8" s="1"/>
  <c r="P37" i="8"/>
  <c r="N37" i="8"/>
  <c r="O37" i="8" s="1"/>
  <c r="AK36" i="8"/>
  <c r="AI36" i="8"/>
  <c r="AJ36" i="8" s="1"/>
  <c r="AD36" i="8"/>
  <c r="AB36" i="8"/>
  <c r="AC36" i="8" s="1"/>
  <c r="AA36" i="8"/>
  <c r="W36" i="8"/>
  <c r="U36" i="8"/>
  <c r="Y36" i="8" s="1"/>
  <c r="T36" i="8"/>
  <c r="P36" i="8"/>
  <c r="N36" i="8"/>
  <c r="M36" i="8" s="1"/>
  <c r="AK35" i="8"/>
  <c r="AI35" i="8"/>
  <c r="AH35" i="8" s="1"/>
  <c r="AD35" i="8"/>
  <c r="AB35" i="8"/>
  <c r="AA35" i="8" s="1"/>
  <c r="W35" i="8"/>
  <c r="U35" i="8"/>
  <c r="V35" i="8" s="1"/>
  <c r="P35" i="8"/>
  <c r="N35" i="8"/>
  <c r="S35" i="8" s="1"/>
  <c r="M35" i="8"/>
  <c r="AK34" i="8"/>
  <c r="AI34" i="8"/>
  <c r="AN34" i="8" s="1"/>
  <c r="AH34" i="8"/>
  <c r="AD34" i="8"/>
  <c r="AB34" i="8"/>
  <c r="AG34" i="8" s="1"/>
  <c r="AA34" i="8"/>
  <c r="W34" i="8"/>
  <c r="U34" i="8"/>
  <c r="Z34" i="8" s="1"/>
  <c r="P34" i="8"/>
  <c r="N34" i="8"/>
  <c r="S34" i="8" s="1"/>
  <c r="M34" i="8"/>
  <c r="AK33" i="8"/>
  <c r="AI33" i="8"/>
  <c r="AN33" i="8" s="1"/>
  <c r="AH33" i="8"/>
  <c r="AD33" i="8"/>
  <c r="AB33" i="8"/>
  <c r="AG33" i="8" s="1"/>
  <c r="W33" i="8"/>
  <c r="U33" i="8"/>
  <c r="T33" i="8" s="1"/>
  <c r="P33" i="8"/>
  <c r="N33" i="8"/>
  <c r="M33" i="8" s="1"/>
  <c r="AK32" i="8"/>
  <c r="AI32" i="8"/>
  <c r="AH32" i="8" s="1"/>
  <c r="AD32" i="8"/>
  <c r="AB32" i="8"/>
  <c r="AC32" i="8" s="1"/>
  <c r="W32" i="8"/>
  <c r="U32" i="8"/>
  <c r="Z32" i="8" s="1"/>
  <c r="P32" i="8"/>
  <c r="N32" i="8"/>
  <c r="O32" i="8" s="1"/>
  <c r="AK31" i="8"/>
  <c r="AI31" i="8"/>
  <c r="AN31" i="8" s="1"/>
  <c r="AH31" i="8"/>
  <c r="AD31" i="8"/>
  <c r="AB31" i="8"/>
  <c r="AG31" i="8" s="1"/>
  <c r="W31" i="8"/>
  <c r="U31" i="8"/>
  <c r="Z31" i="8" s="1"/>
  <c r="T31" i="8"/>
  <c r="P31" i="8"/>
  <c r="N31" i="8"/>
  <c r="S31" i="8" s="1"/>
  <c r="M31" i="8"/>
  <c r="AK30" i="8"/>
  <c r="AI30" i="8"/>
  <c r="AN30" i="8" s="1"/>
  <c r="AD30" i="8"/>
  <c r="AB30" i="8"/>
  <c r="AA30" i="8" s="1"/>
  <c r="W30" i="8"/>
  <c r="U30" i="8"/>
  <c r="T30" i="8" s="1"/>
  <c r="P30" i="8"/>
  <c r="N30" i="8"/>
  <c r="O30" i="8" s="1"/>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C38" i="8" l="1"/>
  <c r="AF35" i="8"/>
  <c r="AG35" i="8"/>
  <c r="AF33" i="8"/>
  <c r="R37" i="8"/>
  <c r="AL31" i="8"/>
  <c r="R32" i="8"/>
  <c r="AF38" i="8"/>
  <c r="Y30" i="8"/>
  <c r="Z30" i="8"/>
  <c r="AC33" i="8"/>
  <c r="AJ31" i="8"/>
  <c r="Q32" i="8"/>
  <c r="S32" i="8"/>
  <c r="T32" i="8"/>
  <c r="O33" i="8"/>
  <c r="R33" i="8"/>
  <c r="AL34" i="8"/>
  <c r="S33" i="8"/>
  <c r="AE36" i="8"/>
  <c r="V38" i="8"/>
  <c r="AJ35" i="8"/>
  <c r="AL35" i="8"/>
  <c r="O38" i="8"/>
  <c r="Z38" i="8"/>
  <c r="AM31" i="8"/>
  <c r="X33" i="8"/>
  <c r="Q35" i="8"/>
  <c r="Z37" i="8"/>
  <c r="X32" i="8"/>
  <c r="Z36" i="8"/>
  <c r="AC34" i="8"/>
  <c r="Q31" i="8"/>
  <c r="AA33" i="8"/>
  <c r="AM36" i="8"/>
  <c r="M32" i="8"/>
  <c r="X35" i="8"/>
  <c r="AE38" i="8"/>
  <c r="AJ32" i="8"/>
  <c r="AN32" i="8"/>
  <c r="Q38" i="8"/>
  <c r="AJ38" i="8"/>
  <c r="V37" i="8"/>
  <c r="AL38" i="8"/>
  <c r="AE30" i="8"/>
  <c r="AM38" i="8"/>
  <c r="AG30" i="8"/>
  <c r="AN38" i="8"/>
  <c r="AM35" i="8"/>
  <c r="AC37" i="8"/>
  <c r="AE32" i="8"/>
  <c r="AE37" i="8"/>
  <c r="AF32" i="8"/>
  <c r="AG37" i="8"/>
  <c r="O31" i="8"/>
  <c r="V36" i="8"/>
  <c r="R31" i="8"/>
  <c r="AM32" i="8"/>
  <c r="AE34" i="8"/>
  <c r="AF34" i="8"/>
  <c r="X36" i="8"/>
  <c r="R38" i="8"/>
  <c r="AF36" i="8"/>
  <c r="V33" i="8"/>
  <c r="AG36" i="8"/>
  <c r="Y38" i="8"/>
  <c r="Z33" i="8"/>
  <c r="AL36" i="8"/>
  <c r="Y35" i="8"/>
  <c r="AG38" i="8"/>
  <c r="AE33" i="8"/>
  <c r="AC35" i="8"/>
  <c r="Q37" i="8"/>
  <c r="AJ30" i="8"/>
  <c r="AM30" i="8"/>
  <c r="AH30" i="8"/>
  <c r="AL30" i="8"/>
  <c r="AC30" i="8"/>
  <c r="V30" i="8"/>
  <c r="R30" i="8"/>
  <c r="Q30" i="8"/>
  <c r="AA91" i="7"/>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L35" i="8" s="1"/>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36" i="8" l="1"/>
  <c r="L37" i="8"/>
  <c r="L32" i="8"/>
  <c r="L31" i="8"/>
  <c r="L34" i="8"/>
  <c r="L38" i="8"/>
  <c r="L33" i="8"/>
  <c r="L30" i="8"/>
  <c r="L102" i="7"/>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C11" i="7" s="1"/>
  <c r="L11" i="7" s="1"/>
  <c r="C1" i="36" a="1"/>
  <c r="C12" i="7" l="1"/>
  <c r="L12" i="7" s="1"/>
  <c r="L1" i="7"/>
  <c r="L94" i="7" s="1"/>
  <c r="B26" i="7"/>
  <c r="C26" i="7" s="1"/>
  <c r="L26" i="7" s="1"/>
  <c r="B27" i="7"/>
  <c r="C27" i="7" s="1"/>
  <c r="L27" i="7" s="1"/>
  <c r="C10" i="7"/>
  <c r="L10" i="7" s="1"/>
  <c r="C1" i="36"/>
  <c r="B26" i="36" s="1"/>
  <c r="C26" i="36" s="1"/>
  <c r="L26" i="36" s="1"/>
  <c r="C16" i="7"/>
  <c r="L16" i="7" s="1"/>
  <c r="C12" i="36" l="1"/>
  <c r="L12" i="36" s="1"/>
  <c r="C8" i="7"/>
  <c r="L8" i="7" s="1"/>
  <c r="L4" i="7"/>
  <c r="L1" i="36"/>
  <c r="L102" i="36" s="1"/>
  <c r="C11" i="36"/>
  <c r="L11" i="36" s="1"/>
  <c r="C10" i="36"/>
  <c r="L10" i="36" s="1"/>
  <c r="C16" i="36"/>
  <c r="L16" i="36" s="1"/>
  <c r="B27" i="36"/>
  <c r="C27" i="36" s="1"/>
  <c r="L27" i="36" s="1"/>
  <c r="C9" i="7"/>
  <c r="L9" i="7" s="1"/>
  <c r="C7" i="7" a="1"/>
  <c r="C7" i="7" s="1"/>
  <c r="C8" i="36" l="1"/>
  <c r="L8" i="36" s="1"/>
  <c r="L4" i="36"/>
  <c r="C9" i="36"/>
  <c r="L9" i="36" s="1"/>
  <c r="C7" i="36" a="1"/>
  <c r="C7" i="36" s="1"/>
  <c r="L7" i="7"/>
  <c r="C19" i="7"/>
  <c r="L19" i="7"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E0C7548-2A40-4DB3-8069-6EA87AB02D70}">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<sst xmlns="http://schemas.openxmlformats.org/spreadsheetml/2006/main" count="4630" uniqueCount="1050">
  <si>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</si>
  <si>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</si>
  <si>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</si>
  <si>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</si>
  <si>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</si>
  <si>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</si>
  <si>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</si>
  <si>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</si>
  <si>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</si>
  <si>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</si>
  <si>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</si>
  <si>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</si>
  <si>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</si>
  <si>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</si>
  <si>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</si>
  <si>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</si>
  <si>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</si>
  <si>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</si>
  <si>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</si>
  <si>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</si>
  <si>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</si>
  <si>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</si>
  <si>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</si>
  <si>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</si>
  <si>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</si>
  <si>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</si>
  <si>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</si>
  <si>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</si>
  <si>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</si>
  <si>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</si>
  <si>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</si>
  <si>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</si>
  <si>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</si>
  <si>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</si>
  <si>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</si>
  <si>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</si>
  <si>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</si>
  <si>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</si>
  <si>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</si>
  <si>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</si>
  <si>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</si>
  <si>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</si>
  <si>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</si>
  <si>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</si>
  <si>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</si>
  <si>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</si>
  <si>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</si>
  <si>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</si>
  <si>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</si>
  <si>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</si>
  <si>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</si>
  <si>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</si>
  <si>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</si>
  <si>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</si>
  <si>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</si>
  <si>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</si>
  <si>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</si>
  <si>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</si>
  <si>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</si>
  <si>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</si>
  <si>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</si>
  <si>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</si>
  <si>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</si>
  <si>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</si>
  <si>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</si>
  <si>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</si>
  <si>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</si>
  <si>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</si>
  <si>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</si>
  <si>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</si>
  <si>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</si>
  <si>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</si>
  <si>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</si>
  <si>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</si>
  <si>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</si>
  <si>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</si>
  <si>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</si>
  <si>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</si>
  <si>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</si>
  <si>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</si>
  <si>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</si>
  <si>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</si>
  <si>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</si>
  <si>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</si>
  <si>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</si>
  <si>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</si>
  <si>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</si>
  <si>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</si>
  <si>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</si>
  <si>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</si>
  <si>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</si>
  <si>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</si>
  <si>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</si>
  <si>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</si>
  <si>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</si>
  <si>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</si>
  <si>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</si>
  <si>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</si>
  <si>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</si>
  <si>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</si>
  <si>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</si>
  <si>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</si>
  <si>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</si>
  <si>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</si>
  <si>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</si>
  <si>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</si>
  <si>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</si>
  <si>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</si>
  <si>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</si>
  <si>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</si>
  <si>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</si>
  <si>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</si>
  <si>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</si>
  <si>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</si>
  <si>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</si>
  <si>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</si>
  <si>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</si>
  <si>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</si>
  <si>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</si>
  <si>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</si>
  <si>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</si>
  <si>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</si>
  <si>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</si>
  <si>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</si>
  <si>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</si>
  <si>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</si>
  <si>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</si>
  <si>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</si>
  <si>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</si>
  <si>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</si>
  <si>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</si>
  <si>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</si>
  <si>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</si>
  <si>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</si>
  <si>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</si>
  <si>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</si>
  <si>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</si>
  <si>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</si>
  <si>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</si>
  <si>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</si>
  <si>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</si>
  <si>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</si>
  <si>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</si>
  <si>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</si>
  <si>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</si>
  <si>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</si>
  <si>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</si>
  <si>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</si>
  <si>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</si>
  <si>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</si>
  <si>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</si>
  <si>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</si>
  <si>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</si>
  <si>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</si>
  <si>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</si>
  <si>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</si>
  <si>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</si>
  <si>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</si>
  <si>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</si>
  <si>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</si>
  <si>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</si>
  <si>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</si>
  <si>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</si>
  <si>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</si>
  <si>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</si>
  <si>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</si>
  <si>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</si>
  <si>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</si>
  <si>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</si>
  <si>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</si>
  <si>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</si>
  <si>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</si>
  <si>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</si>
  <si>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</si>
  <si>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</si>
  <si>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</si>
  <si>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</si>
  <si>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</si>
  <si>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</si>
  <si>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</si>
  <si>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</si>
  <si>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</si>
  <si>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</si>
  <si>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</si>
  <si>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</si>
  <si>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</si>
  <si>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</si>
  <si>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</si>
  <si>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</si>
  <si>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</si>
  <si>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</si>
  <si>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</si>
  <si>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</si>
  <si>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</si>
  <si>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</si>
  <si>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</si>
  <si>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</si>
  <si>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</si>
  <si>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</si>
  <si>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</si>
  <si>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</si>
  <si>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</si>
  <si>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</si>
  <si>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</si>
  <si>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</si>
  <si>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</si>
  <si>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</si>
  <si>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</si>
  <si>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</si>
  <si>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</si>
  <si>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</si>
  <si>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</si>
  <si>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</si>
  <si>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</si>
  <si>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</si>
  <si>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</si>
  <si>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</si>
  <si>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</si>
  <si>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</si>
  <si>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</si>
  <si>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</si>
  <si>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</si>
  <si>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</si>
  <si>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</si>
  <si>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</si>
  <si>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</si>
  <si>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</si>
  <si>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</si>
  <si>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</si>
  <si>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</si>
  <si>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</si>
  <si>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</si>
  <si>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</si>
  <si>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</si>
  <si>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</si>
  <si>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</si>
  <si>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</si>
  <si>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</si>
  <si>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</si>
  <si>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</si>
  <si>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</si>
  <si>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</si>
  <si>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</si>
  <si>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</si>
  <si>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</si>
  <si>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</si>
  <si>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</si>
  <si>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</si>
  <si>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</si>
  <si>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</si>
  <si>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</si>
  <si>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</si>
  <si>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</si>
  <si>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</si>
  <si>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</si>
  <si>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</si>
  <si>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</si>
  <si>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</si>
  <si>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</si>
  <si>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</si>
  <si>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</si>
  <si>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</si>
  <si>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</si>
  <si>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</si>
  <si>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</si>
  <si>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</si>
  <si>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</si>
  <si>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</si>
  <si>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</si>
  <si>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</si>
  <si>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</si>
  <si>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</si>
  <si>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</si>
  <si>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</si>
  <si>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</si>
  <si>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</si>
  <si>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</si>
  <si>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</si>
  <si>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</si>
  <si>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</si>
  <si>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</si>
  <si>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</si>
  <si>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</si>
  <si>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</si>
  <si>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</si>
  <si>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</si>
  <si>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</si>
  <si>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</si>
  <si>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</si>
  <si>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</si>
  <si>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</si>
  <si>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</si>
  <si>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</si>
  <si>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</si>
  <si>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</si>
  <si>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</si>
  <si>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</si>
  <si>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</si>
  <si>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</si>
  <si>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</si>
  <si>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</si>
  <si>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</si>
  <si>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</si>
  <si>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</si>
  <si>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</si>
  <si>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</si>
  <si>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</si>
  <si>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</si>
  <si>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</si>
  <si>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</si>
  <si>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</si>
  <si>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</si>
  <si>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</si>
  <si>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</si>
  <si>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</si>
  <si>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</si>
  <si>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</si>
  <si>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</si>
  <si>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</si>
  <si>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</si>
  <si>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</si>
  <si>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</si>
  <si>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</si>
  <si>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</si>
  <si>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</si>
  <si>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</si>
  <si>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</si>
  <si>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</si>
  <si>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</si>
  <si>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</si>
  <si>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</si>
  <si>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</si>
  <si>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</si>
  <si>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</si>
  <si>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</si>
  <si>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</si>
  <si>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</si>
  <si>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</si>
  <si>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</si>
  <si>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</si>
  <si>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</si>
  <si>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</si>
  <si>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</si>
  <si>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</si>
  <si>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</si>
  <si>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</si>
  <si>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</si>
  <si>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</si>
  <si>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</si>
  <si>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</si>
  <si>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</si>
  <si>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</si>
  <si>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</si>
  <si>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</si>
  <si>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</si>
  <si>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</si>
  <si>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</si>
  <si>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</si>
  <si>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</si>
  <si>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</si>
  <si>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</si>
  <si>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</si>
  <si>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</si>
  <si>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</si>
  <si>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</si>
  <si>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</si>
  <si>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</si>
  <si>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</si>
  <si>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</si>
  <si>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</si>
  <si>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</si>
  <si>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</si>
  <si>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</si>
  <si>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</si>
  <si>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</si>
  <si>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</si>
  <si>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</si>
  <si>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</si>
  <si>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</si>
  <si>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</si>
  <si>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</si>
  <si>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</si>
  <si>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</si>
  <si>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</si>
  <si>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</si>
  <si>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</si>
  <si>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</si>
  <si>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</si>
  <si>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</si>
  <si>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</si>
  <si>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</si>
  <si>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</si>
  <si>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</si>
  <si>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</si>
  <si>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</si>
  <si>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</si>
  <si>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</si>
  <si>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</si>
  <si>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</si>
  <si>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</si>
  <si>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</si>
  <si>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</si>
  <si>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</si>
  <si>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</si>
  <si>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</si>
  <si>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</si>
  <si>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</si>
  <si>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</si>
  <si>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</si>
  <si>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</si>
  <si>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</si>
  <si>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</si>
  <si>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</si>
  <si>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</si>
  <si>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</si>
  <si>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</si>
  <si>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</si>
  <si>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</si>
  <si>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</si>
  <si>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</si>
  <si>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</si>
  <si>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</si>
  <si>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</si>
  <si>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</si>
  <si>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</si>
  <si>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</si>
  <si>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</si>
  <si>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</si>
  <si>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</si>
  <si>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</si>
  <si>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</si>
  <si>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</si>
  <si>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</si>
  <si>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</si>
  <si>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</si>
  <si>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</si>
  <si>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</si>
  <si>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</si>
  <si>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</si>
  <si>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</si>
  <si>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</si>
  <si>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</si>
  <si>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</si>
  <si>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</si>
  <si>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</si>
  <si>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</si>
  <si>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</si>
  <si>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</si>
  <si>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</si>
  <si>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</si>
  <si>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</si>
  <si>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</si>
  <si>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</si>
  <si>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</si>
  <si>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</si>
  <si>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</si>
  <si>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</si>
  <si>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</si>
  <si>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</si>
  <si>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</si>
  <si>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</si>
  <si>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</si>
  <si>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</si>
  <si>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</si>
  <si>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</si>
  <si>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</si>
  <si>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</si>
  <si>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</si>
  <si>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</si>
  <si>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</si>
  <si>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</si>
  <si>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</si>
  <si>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</si>
  <si>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</si>
  <si>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</si>
  <si>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</si>
  <si>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</si>
  <si>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</si>
  <si>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</si>
  <si>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</si>
  <si>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</si>
  <si>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</si>
  <si>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</si>
  <si>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</si>
  <si>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</si>
  <si>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</si>
  <si>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</si>
  <si>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</si>
  <si>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</si>
  <si>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</si>
  <si>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</si>
  <si>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</si>
  <si>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</si>
  <si>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</si>
  <si>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</si>
  <si>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</si>
  <si>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</si>
  <si>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</si>
  <si>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</si>
  <si>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</si>
  <si>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</si>
  <si>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</si>
  <si>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</si>
  <si>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</si>
  <si>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</si>
  <si>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</si>
  <si>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</si>
  <si>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</si>
  <si>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</si>
  <si>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</si>
  <si>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</si>
  <si>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</si>
  <si>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</si>
  <si>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</si>
  <si>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</si>
  <si>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</si>
  <si>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</si>
  <si>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</si>
  <si>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</si>
  <si>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</si>
  <si>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</si>
  <si>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</si>
  <si>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</si>
  <si>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</si>
  <si>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</si>
  <si>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</si>
  <si>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</si>
  <si>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</si>
  <si>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</si>
  <si>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</si>
  <si>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</si>
  <si>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</si>
  <si>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</si>
  <si>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</si>
  <si>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</si>
  <si>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</si>
  <si>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</si>
  <si>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</si>
  <si>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</si>
  <si>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</si>
  <si>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</si>
  <si>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</si>
  <si>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</si>
  <si>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</si>
  <si>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</si>
  <si>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</si>
  <si>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</si>
  <si>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</si>
  <si>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</si>
  <si>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</si>
  <si>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</si>
  <si>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</si>
  <si>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</si>
  <si>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</si>
  <si>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</si>
  <si>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</si>
  <si>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</si>
  <si>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</si>
  <si>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</si>
  <si>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</si>
  <si>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</si>
  <si>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</si>
  <si>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</si>
  <si>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</si>
  <si>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</si>
  <si>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</si>
  <si>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</si>
  <si>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</si>
  <si>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</si>
  <si>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</si>
  <si>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</si>
  <si>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</si>
  <si>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</si>
  <si>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</si>
  <si>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</si>
  <si>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</si>
  <si>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</si>
  <si>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</si>
  <si>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</si>
  <si>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</si>
  <si>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</si>
  <si>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</si>
  <si>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</si>
  <si>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</si>
  <si>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</si>
  <si>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</si>
  <si>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</si>
  <si>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</si>
  <si>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</si>
  <si>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</si>
  <si>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</si>
  <si>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</si>
  <si>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</si>
  <si>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</si>
  <si>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</si>
  <si>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</si>
  <si>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</si>
  <si>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</si>
  <si>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</si>
  <si>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</si>
  <si>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</si>
  <si>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</si>
  <si>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</si>
  <si>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</si>
  <si>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</si>
  <si>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</si>
  <si>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</si>
  <si>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</si>
  <si>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</si>
  <si>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</si>
  <si>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</si>
  <si>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</si>
  <si>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</si>
  <si>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</si>
  <si>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</si>
  <si>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</si>
  <si>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</si>
  <si>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</si>
  <si>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</si>
  <si>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</si>
  <si>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</si>
  <si>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</si>
  <si>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</si>
  <si>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</si>
  <si>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</si>
  <si>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</si>
  <si>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</si>
  <si>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</si>
  <si>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</si>
  <si>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</si>
  <si>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</si>
  <si>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</si>
  <si>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</si>
  <si>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</si>
  <si>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</si>
  <si>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</si>
  <si>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</si>
  <si>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</si>
  <si>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</si>
  <si>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</si>
  <si>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</si>
  <si>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</si>
  <si>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</si>
  <si>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</si>
  <si>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</si>
  <si>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</si>
  <si>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</si>
  <si>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</si>
  <si>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</si>
  <si>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</si>
  <si>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</si>
  <si>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</si>
  <si>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</si>
  <si>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</si>
  <si>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</si>
  <si>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</si>
  <si>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</si>
  <si>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</si>
  <si>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</si>
  <si>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</si>
  <si>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</si>
  <si>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</si>
  <si>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</si>
  <si>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</si>
  <si>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</si>
  <si>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</si>
  <si>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</si>
  <si>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</si>
  <si>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</si>
  <si>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</si>
  <si>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</si>
  <si>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</si>
  <si>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</si>
  <si>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</si>
  <si>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</si>
  <si>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</si>
  <si>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</si>
  <si>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</si>
  <si>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</si>
  <si>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</si>
  <si>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</si>
  <si>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</si>
  <si>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</si>
  <si>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</si>
  <si>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</si>
  <si>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</si>
  <si>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</si>
  <si>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</si>
  <si>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</si>
  <si>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</si>
  <si>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</si>
  <si>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</si>
  <si>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</si>
  <si>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</si>
  <si>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</si>
  <si>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</si>
  <si>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</si>
  <si>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</si>
  <si>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</si>
  <si>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</si>
  <si>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</si>
  <si>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</si>
  <si>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</si>
  <si>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</si>
  <si>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</si>
  <si>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</si>
  <si>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</si>
  <si>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</si>
  <si>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</si>
  <si>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</si>
  <si>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</si>
  <si>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</si>
  <si>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</si>
  <si>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</si>
  <si>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</si>
  <si>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</si>
  <si>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</si>
  <si>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</si>
  <si>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</si>
  <si>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</si>
  <si>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</si>
  <si>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</si>
  <si>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</si>
  <si>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</si>
  <si>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</si>
  <si>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</si>
  <si>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</si>
  <si>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</si>
  <si>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</si>
  <si>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</si>
  <si>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</si>
  <si>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</si>
  <si>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</si>
  <si>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</si>
  <si>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</si>
  <si>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</si>
  <si>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</si>
  <si>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</si>
  <si>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</si>
  <si>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</si>
  <si>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</si>
  <si>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</si>
  <si>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</si>
  <si>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</si>
  <si>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</si>
  <si>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</si>
  <si>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</si>
  <si>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</si>
  <si>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</si>
  <si>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</si>
  <si>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</si>
  <si>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</si>
  <si>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</si>
  <si>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</si>
  <si>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</si>
  <si>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</si>
  <si>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</si>
  <si>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</si>
  <si>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</si>
  <si>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</si>
  <si>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</si>
  <si>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</si>
  <si>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</si>
  <si>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</si>
  <si>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</si>
  <si>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</si>
  <si>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</si>
  <si>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</si>
  <si>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</si>
  <si>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</si>
  <si>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</si>
  <si>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</si>
  <si>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</si>
  <si>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</si>
  <si>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</si>
  <si>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</si>
  <si>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</si>
  <si>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</si>
  <si>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</si>
  <si>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</si>
  <si>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</si>
  <si>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</si>
  <si>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</si>
  <si>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</si>
  <si>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</si>
  <si>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</si>
  <si>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</si>
  <si>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</si>
  <si>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</si>
  <si>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</si>
  <si>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</si>
  <si>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</si>
  <si>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</si>
  <si>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</si>
  <si>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</si>
  <si>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</si>
  <si>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</si>
  <si>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</si>
  <si>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</si>
  <si>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</si>
  <si>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</si>
  <si>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</si>
  <si>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</si>
  <si>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</si>
  <si>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</si>
  <si>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</si>
  <si>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</si>
  <si>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</si>
  <si>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</si>
  <si>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</si>
  <si>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</si>
  <si>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</si>
  <si>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</si>
  <si>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</si>
  <si>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</si>
  <si>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</si>
  <si>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</si>
  <si>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</si>
  <si>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</si>
  <si>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</si>
  <si>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</si>
  <si>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</si>
  <si>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</si>
  <si>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</si>
  <si>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</si>
  <si>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</si>
  <si>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</si>
  <si>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</si>
  <si>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</si>
  <si>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</si>
  <si>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</si>
  <si>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</si>
  <si>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</si>
  <si>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</si>
  <si>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</si>
  <si>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</si>
  <si>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</si>
  <si>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</si>
  <si>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</si>
  <si>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</si>
  <si>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</si>
  <si>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</si>
  <si>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</si>
  <si>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</si>
  <si>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</si>
  <si>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</si>
  <si>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</si>
  <si>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</si>
  <si>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</si>
  <si>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</si>
  <si>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</si>
  <si>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</si>
  <si>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</si>
  <si>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</si>
  <si>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</si>
  <si>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</si>
  <si>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</si>
  <si>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</si>
  <si>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</si>
  <si>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</si>
  <si>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</si>
  <si>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</si>
  <si>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</si>
  <si>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</si>
  <si>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</si>
  <si>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</si>
  <si>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</si>
  <si>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</si>
  <si>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</si>
  <si>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</si>
  <si>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</si>
  <si>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</si>
  <si>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</si>
  <si>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</si>
  <si>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</si>
  <si>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</si>
  <si>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</si>
  <si>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</si>
  <si>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</si>
  <si>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</si>
  <si>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</si>
  <si>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</si>
  <si>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</si>
  <si>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</si>
  <si>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</si>
  <si>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</si>
  <si>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</si>
  <si>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</si>
  <si>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</si>
  <si>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</si>
  <si>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</si>
  <si>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</si>
  <si>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</si>
  <si>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</si>
  <si>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</si>
  <si>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</si>
  <si>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</si>
  <si>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</si>
  <si>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</si>
  <si>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</si>
  <si>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</si>
  <si>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</si>
  <si>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</si>
  <si>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</si>
  <si>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</si>
  <si>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</si>
  <si>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</si>
  <si>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</si>
  <si>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</si>
  <si>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</si>
  <si>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</si>
  <si>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</si>
  <si>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</si>
  <si>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</si>
  <si>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</si>
  <si>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</si>
  <si>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</si>
  <si>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</si>
  <si>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</si>
  <si>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</si>
  <si>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</si>
  <si>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</si>
  <si>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</si>
  <si>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</si>
  <si>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</si>
  <si>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</si>
  <si>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</si>
  <si>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</si>
  <si>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</si>
  <si>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</si>
  <si>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</si>
  <si>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</si>
  <si>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</si>
  <si>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</si>
  <si>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</si>
  <si>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</si>
  <si>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</si>
  <si>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</si>
  <si>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</si>
  <si>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</si>
  <si>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</si>
  <si>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</si>
  <si>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</si>
  <si>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</si>
  <si>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</si>
  <si>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</si>
  <si>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</si>
  <si>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</si>
  <si>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</si>
  <si>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</si>
  <si>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</si>
  <si>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</si>
  <si>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</si>
  <si>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</si>
  <si>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</si>
  <si>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</si>
  <si>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</si>
  <si>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</si>
  <si>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</si>
  <si>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</si>
  <si>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</si>
  <si>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</si>
  <si>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</si>
  <si>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</si>
  <si>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</si>
  <si>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</si>
  <si>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</si>
  <si>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</si>
  <si>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</si>
  <si>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</si>
  <si>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</si>
  <si>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</si>
  <si>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</si>
  <si>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</si>
  <si>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</si>
  <si>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</si>
  <si>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</si>
  <si>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</si>
  <si>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</si>
  <si>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</si>
  <si>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</si>
  <si>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</si>
  <si>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</si>
  <si>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</si>
  <si>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</si>
  <si>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</si>
  <si>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</si>
  <si>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</si>
  <si>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</si>
  <si>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</si>
  <si>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</si>
  <si>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</si>
  <si>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</si>
  <si>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</si>
  <si>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</si>
  <si>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</si>
  <si>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</si>
  <si>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</si>
  <si>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</si>
  <si>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</si>
  <si>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</si>
  <si>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</si>
  <si>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</si>
  <si>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</si>
  <si>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</si>
  <si>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</si>
  <si>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</si>
  <si>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</si>
  <si>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</si>
  <si>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</si>
  <si>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</si>
  <si>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</si>
  <si>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</si>
  <si>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</si>
  <si>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</si>
  <si>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</si>
  <si>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</si>
  <si>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</si>
  <si>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</si>
  <si>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</si>
  <si>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</si>
  <si>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</si>
  <si>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</si>
  <si>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</si>
  <si>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</si>
  <si>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</si>
  <si>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</si>
  <si>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</si>
  <si>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Do</t>
  </si>
  <si>
    <t>.</t>
  </si>
  <si>
    <t>MARÍA DE JASNA GÓRA</t>
  </si>
  <si>
    <t>Fa</t>
  </si>
  <si>
    <t>JESÚS ESTÁ ENTRE NOSOTROS,</t>
  </si>
  <si>
    <t>ÉL VIVE HOY</t>
  </si>
  <si>
    <t>Y SU ESPÍRITU A TODOS DA.</t>
  </si>
  <si>
    <t>JESÚS, RAZÓN DE NUESTRA VIDA,</t>
  </si>
  <si>
    <t>ES EL SEÑOR,</t>
  </si>
  <si>
    <t>NOS REÚNE EN PUEBLO DE AMOR.</t>
  </si>
  <si>
    <t>Cambia nuestras vidas con tu fuerza.</t>
  </si>
  <si>
    <t>Guárdanos por siempre en tu presencia.</t>
  </si>
  <si>
    <t>Tú eres verdad, Tú eres la paz.</t>
  </si>
  <si>
    <t>MAGNIFICAT</t>
  </si>
  <si>
    <t>MARÍA, CASA DE BENDICIÓN</t>
  </si>
  <si>
    <t>MARÍA, MADRE DE LA IGLESIA</t>
  </si>
  <si>
    <t>llénanos de gracia en tu Palabra,</t>
  </si>
  <si>
    <t>gracias, Señor; gracias, Salvador.</t>
  </si>
  <si>
    <t>Rompe las cadenas que nos atan,</t>
  </si>
  <si>
    <t>Nuestras existencias hoy te alaban,</t>
  </si>
  <si>
    <t>nuestros corazones te dan gracias,</t>
  </si>
  <si>
    <t>Tu eres amor, eres canción.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</si>
</sst>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F9751AC-923B-4E4C-8FD1-DEE05EF552C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29BC341-CAC1-4966-9D1E-21FBC021FF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559CBA28-A1FF-4058-B71A-1076416EFD24}"/>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C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1018</v>
      </c>
    </row>
    <row r="3" spans="1:1" ht="58" x14ac:dyDescent="0.35">
      <c r="A3" s="102" t="s">
        <v>1019</v>
      </c>
    </row>
    <row r="5" spans="1:1" x14ac:dyDescent="0.35">
      <c r="A5" t="s">
        <v>1020</v>
      </c>
    </row>
    <row r="6" spans="1:1" ht="72.5" x14ac:dyDescent="0.35">
      <c r="A6" s="102" t="s">
        <v>1021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2" sqref="A12"/>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4" t="str" cm="1">
        <f t="array" aca="1" ref="B1" ca="1">MID(CELL("filename", B1), FIND("]", CELL("filename", B1)) + 1, 255)</f>
        <v>Indice</v>
      </c>
      <c r="C1" s="114"/>
      <c r="D1" s="114"/>
      <c r="E1" s="114"/>
      <c r="F1" s="36"/>
      <c r="G1" s="115"/>
      <c r="H1" s="115"/>
    </row>
    <row r="2" spans="1:8" ht="26.15" customHeight="1" x14ac:dyDescent="0.7">
      <c r="A2" s="37" t="s">
        <v>1017</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1015</v>
      </c>
      <c r="B7" s="37"/>
      <c r="C7" s="37"/>
      <c r="D7" s="37"/>
      <c r="E7" s="37"/>
      <c r="F7" s="38"/>
      <c r="G7" s="38"/>
      <c r="H7" s="38"/>
    </row>
    <row r="8" spans="1:8" ht="26.15" customHeight="1" x14ac:dyDescent="0.7">
      <c r="A8" s="37" t="s">
        <v>1041</v>
      </c>
      <c r="B8" s="37"/>
      <c r="C8" s="37"/>
      <c r="D8" s="37"/>
      <c r="E8" s="37"/>
      <c r="F8" s="38"/>
      <c r="G8" s="38"/>
      <c r="H8" s="38"/>
    </row>
    <row r="9" spans="1:8" ht="26.15" customHeight="1" x14ac:dyDescent="0.7">
      <c r="A9" s="37" t="s">
        <v>1042</v>
      </c>
      <c r="B9" s="37"/>
      <c r="C9" s="37"/>
      <c r="D9" s="37"/>
      <c r="E9" s="37"/>
      <c r="F9" s="38"/>
      <c r="G9" s="38"/>
      <c r="H9" s="38"/>
    </row>
    <row r="10" spans="1:8" ht="26.15" customHeight="1" x14ac:dyDescent="0.7">
      <c r="A10" s="37" t="s">
        <v>1030</v>
      </c>
      <c r="B10" s="37"/>
      <c r="C10" s="37"/>
      <c r="D10" s="37"/>
      <c r="E10" s="38"/>
      <c r="F10" s="38"/>
      <c r="G10" s="38"/>
      <c r="H10" s="38"/>
    </row>
    <row r="11" spans="1:8" ht="26.15" customHeight="1" x14ac:dyDescent="0.7">
      <c r="A11" s="37" t="s">
        <v>1043</v>
      </c>
      <c r="B11" s="37"/>
      <c r="C11" s="37"/>
      <c r="D11" s="37"/>
      <c r="E11" s="38"/>
      <c r="F11" s="38"/>
      <c r="G11" s="38"/>
      <c r="H11" s="38"/>
    </row>
    <row r="12" spans="1:8" ht="26.15" customHeight="1" x14ac:dyDescent="0.7">
      <c r="A12" s="37" t="s">
        <v>1016</v>
      </c>
      <c r="B12" s="37"/>
      <c r="C12" s="37"/>
      <c r="D12" s="37"/>
      <c r="E12" s="38"/>
      <c r="F12" s="38"/>
      <c r="G12" s="38"/>
      <c r="H12" s="38"/>
    </row>
    <row r="13" spans="1:8" ht="26.15" customHeight="1" x14ac:dyDescent="0.7">
      <c r="A13" s="37" t="s">
        <v>1025</v>
      </c>
      <c r="B13" s="37"/>
      <c r="C13" s="37"/>
      <c r="D13" s="37"/>
      <c r="E13" s="38"/>
      <c r="F13" s="38"/>
      <c r="G13" s="38"/>
      <c r="H13" s="38"/>
    </row>
    <row r="14" spans="1:8" ht="26.15" customHeight="1" x14ac:dyDescent="0.7">
      <c r="A14" s="37"/>
      <c r="B14" s="37"/>
      <c r="C14" s="37"/>
      <c r="D14" s="37"/>
      <c r="E14" s="38"/>
      <c r="F14" s="38"/>
      <c r="G14" s="38"/>
      <c r="H14" s="38"/>
    </row>
    <row r="15" spans="1:8" ht="26.15" customHeight="1" x14ac:dyDescent="0.7">
      <c r="A15" s="37"/>
      <c r="B15" s="37"/>
      <c r="C15" s="37"/>
      <c r="D15" s="37"/>
      <c r="E15" s="38"/>
      <c r="F15" s="38"/>
      <c r="G15" s="38"/>
      <c r="H15" s="38"/>
    </row>
    <row r="16" spans="1:8" ht="26.15" customHeight="1" x14ac:dyDescent="0.7">
      <c r="A16" s="37"/>
      <c r="B16" s="37"/>
      <c r="C16" s="37"/>
      <c r="D16" s="37"/>
      <c r="E16" s="38"/>
      <c r="F16" s="38"/>
      <c r="G16" s="38"/>
      <c r="H16" s="38"/>
    </row>
    <row r="17" spans="1:8" ht="26.15" customHeight="1" x14ac:dyDescent="0.7">
      <c r="A17" s="37"/>
      <c r="B17" s="37"/>
      <c r="C17" s="37"/>
      <c r="D17" s="37"/>
      <c r="E17" s="38"/>
      <c r="F17" s="38"/>
      <c r="G17" s="38"/>
      <c r="H17" s="38"/>
    </row>
    <row r="18" spans="1:8" ht="26.15" customHeight="1" x14ac:dyDescent="0.7">
      <c r="A18" s="37"/>
      <c r="B18" s="37"/>
      <c r="C18" s="37"/>
      <c r="D18" s="37"/>
      <c r="E18" s="38"/>
      <c r="F18" s="38"/>
      <c r="G18" s="38"/>
      <c r="H18" s="38"/>
    </row>
    <row r="19" spans="1:8" ht="26.15" customHeight="1" x14ac:dyDescent="0.7">
      <c r="A19" s="37"/>
      <c r="B19" s="37"/>
      <c r="C19" s="37"/>
      <c r="D19" s="37"/>
      <c r="E19" s="38"/>
      <c r="F19" s="38"/>
      <c r="G19" s="38"/>
      <c r="H19" s="38"/>
    </row>
    <row r="20" spans="1:8" ht="25" x14ac:dyDescent="0.7">
      <c r="A20" s="37"/>
      <c r="B20" s="37"/>
      <c r="C20" s="37"/>
      <c r="D20" s="37"/>
      <c r="E20" s="37"/>
      <c r="F20" s="37"/>
      <c r="G20" s="37"/>
      <c r="H20" s="37"/>
    </row>
    <row r="21" spans="1:8" ht="25" x14ac:dyDescent="0.7">
      <c r="A21" s="37"/>
      <c r="B21" s="37"/>
      <c r="C21" s="37"/>
      <c r="D21" s="37"/>
      <c r="E21" s="37"/>
      <c r="F21" s="37"/>
      <c r="G21" s="37"/>
      <c r="H21" s="37"/>
    </row>
    <row r="22" spans="1:8" ht="25" x14ac:dyDescent="0.7">
      <c r="A22" s="37"/>
      <c r="B22" s="37"/>
      <c r="C22" s="37"/>
      <c r="D22" s="37"/>
      <c r="E22" s="37"/>
      <c r="F22" s="37"/>
      <c r="G22" s="37"/>
      <c r="H22" s="37"/>
    </row>
    <row r="23" spans="1:8" ht="25" x14ac:dyDescent="0.7">
      <c r="A23" s="37"/>
      <c r="B23" s="37"/>
      <c r="C23" s="37"/>
      <c r="D23" s="37"/>
      <c r="E23" s="37"/>
      <c r="F23" s="37"/>
      <c r="G23" s="37"/>
      <c r="H23" s="37"/>
    </row>
    <row r="24" spans="1:8" ht="25" x14ac:dyDescent="0.7">
      <c r="A24" s="37"/>
      <c r="B24" s="37"/>
      <c r="C24" s="37"/>
      <c r="D24" s="37"/>
      <c r="E24" s="37"/>
      <c r="F24" s="37"/>
      <c r="G24" s="37"/>
      <c r="H24" s="37"/>
    </row>
    <row r="25" spans="1:8" ht="25" x14ac:dyDescent="0.7">
      <c r="A25" s="37"/>
      <c r="B25" s="37"/>
      <c r="C25" s="37"/>
      <c r="D25" s="37"/>
      <c r="E25" s="37"/>
      <c r="F25" s="37"/>
      <c r="G25" s="37"/>
      <c r="H25" s="37"/>
    </row>
    <row r="26" spans="1:8" ht="25" x14ac:dyDescent="0.7">
      <c r="A26" s="37"/>
      <c r="B26" s="37"/>
      <c r="C26" s="37"/>
      <c r="D26" s="37"/>
      <c r="E26" s="37"/>
      <c r="F26" s="37"/>
      <c r="G26" s="37"/>
      <c r="H26" s="37"/>
    </row>
    <row r="27" spans="1:8" ht="25" x14ac:dyDescent="0.7">
      <c r="A27" s="37"/>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72B23A9A-13D7-4C1E-8047-62CA05545BB2}"/>
    <hyperlink ref="A3" location="'Index'!A3" display="'Index'!A3" xr:uid="{65208AD9-1FB2-40A7-BF20-B7F7C0F7C060}"/>
    <hyperlink ref="A4" location="'Index Web'!A3" display="'Index Web'!A3" xr:uid="{58CFD67E-7801-4723-B075-8FB516B6F440}"/>
    <hyperlink ref="A5" location="'cantosJS'!A3" display="'cantosJS'!A3" xr:uid="{BCA5AFF0-020C-4D62-9E21-B55270F1EE2E}"/>
    <hyperlink ref="A6" location="'Find'!A3" display="'Find'!A3" xr:uid="{879810B4-6661-4B04-BC13-686985163B8D}"/>
    <hyperlink ref="A7" location="'html'!A3" display="'html'!A3" xr:uid="{28D9F8FE-BD5E-4CF9-B219-65BEE49E9856}"/>
    <hyperlink ref="A8" location="'MAGNIFICAT'!A3" display="'MAGNIFICAT'!A3" xr:uid="{B90B01BB-023E-4B3C-B604-5C252840A931}"/>
    <hyperlink ref="A9" location="'MARÍA, CASA DE BENDICIÓN'!A3" display="'MARÍA, CASA DE BENDICIÓN'!A3" xr:uid="{441E8345-A1D1-4422-9CBB-8B69EC0754DE}"/>
    <hyperlink ref="A10" location="'MARÍA DE JASNA GÓRA'!A3" display="'MARÍA DE JASNA GÓRA'!A3" xr:uid="{30307E33-830E-4F61-ABCC-C72313B7F172}"/>
    <hyperlink ref="A11" location="'MARÍA, MADRE DE LA IGLESIA'!A3" display="'MARÍA, MADRE DE LA IGLESIA'!A3" xr:uid="{EB00F9FE-5983-4A91-B58D-A7843105F36B}"/>
    <hyperlink ref="A12" location="'MARIA, MADRE MÍA'!A3" display="'MARIA, MADRE MÍA'!A3" xr:uid="{79EE037D-95E9-4ABE-8050-82709714C6F7}"/>
    <hyperlink ref="A13" location="'boceto'!A3" display="'boceto'!A3" xr:uid="{2AC0703D-26ED-479A-8AA5-278A0B3E755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1022</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1024</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1022</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1024</v>
      </c>
      <c r="D70" t="s">
        <v>326</v>
      </c>
      <c r="E70" t="s">
        <v>260</v>
      </c>
      <c r="F70" s="6" t="s">
        <v>18</v>
      </c>
      <c r="M70" t="s">
        <v>1023</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1026</v>
      </c>
      <c r="D72" t="s">
        <v>449</v>
      </c>
      <c r="E72" t="s">
        <v>260</v>
      </c>
      <c r="F72" s="6" t="s">
        <v>18</v>
      </c>
      <c r="M72" t="s">
        <v>1027</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6" t="s">
        <v>969</v>
      </c>
      <c r="E1" s="116"/>
      <c r="F1" s="116"/>
      <c r="G1" s="116"/>
      <c r="H1" s="116"/>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70" zoomScaleNormal="70" workbookViewId="0">
      <pane xSplit="2" ySplit="1" topLeftCell="C28" activePane="bottomRight" state="frozen"/>
      <selection pane="topRight" activeCell="C1" sqref="C1"/>
      <selection pane="bottomLeft" activeCell="A2" sqref="A2"/>
      <selection pane="bottomRight" activeCell="C30" sqref="C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107</v>
      </c>
      <c r="E1" s="40"/>
      <c r="F1" s="40"/>
      <c r="G1" s="40"/>
      <c r="H1" s="40"/>
      <c r="I1" s="40"/>
      <c r="J1" s="40"/>
      <c r="K1" s="40"/>
      <c r="L1" s="41" t="str">
        <f>VLOOKUP(C1,'[1]Codigo Canto'!A3:AQ236,38,FALSE)</f>
        <v>LLÉVAME AL CIELO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LLÉVAME AL CIELO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llevamealcielo</v>
      </c>
      <c r="L7" s="48" t="str">
        <f>_xlfn.CONCAT("        id: ","""",C7,"""",",")</f>
        <v xml:space="preserve">        id: "llevamealcielo",</v>
      </c>
    </row>
    <row r="8" spans="2:32" ht="23" x14ac:dyDescent="0.35">
      <c r="C8" t="str">
        <f>PROPER(L1)</f>
        <v>Llévame Al Cielo</v>
      </c>
      <c r="L8" s="48" t="str">
        <f>_xlfn.CONCAT("        tt: ","""",C8,"""",",")</f>
        <v xml:space="preserve">        tt: "Llévame Al Cielo",</v>
      </c>
    </row>
    <row r="9" spans="2:32" ht="23" x14ac:dyDescent="0.35">
      <c r="C9" t="str">
        <f>PROPER(L1)</f>
        <v>Llévame Al Cielo</v>
      </c>
      <c r="L9" s="48" t="str">
        <f>_xlfn.CONCAT("        title: ","""",C9,"""",",")</f>
        <v xml:space="preserve">        title: "Llévame Al Cielo",</v>
      </c>
    </row>
    <row r="10" spans="2:32" ht="23" x14ac:dyDescent="0.35">
      <c r="C10" t="str">
        <f>VLOOKUP(C1,'[1]Codigo Canto'!A3:AQ236,12,FALSE)</f>
        <v>Filipenses 1,23</v>
      </c>
      <c r="L10" s="48" t="str">
        <f>_xlfn.CONCAT("        ","subtitle: ","""",C10,"""",",")</f>
        <v xml:space="preserve">        subtitle: "Filipenses 1,23",</v>
      </c>
    </row>
    <row r="11" spans="2:32" ht="23" x14ac:dyDescent="0.35">
      <c r="C11" t="str">
        <f>_xlfn.CONCAT("category: [",VLOOKUP(C1,Table223[],16,FALSE),"],")</f>
        <v>category: ["Precatecumenado","Adviento","Navidad","Pascua","Pentecostés","Final","Nuevo Testamento"],</v>
      </c>
      <c r="L11" s="48" t="str">
        <f>_xlfn.CONCAT("        ",C11)</f>
        <v xml:space="preserve">        category: ["Precatecumenado","Adviento","Navidad","Pascua","Pentecostés","Final","Nuevo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107</v>
      </c>
      <c r="L16" s="48" t="str">
        <f>_xlfn.CONCAT("        dbno: ","""",C16,"""",",")</f>
        <v xml:space="preserve">        dbno: "107",</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llevamealcielo</v>
      </c>
      <c r="L19" s="48" t="str">
        <f>_xlfn.CONCAT("        audioSrc: ","""/audio/",C19,".mp3""",",")</f>
        <v xml:space="preserve">        audioSrc: "/audio/llevamealcielo.mp3",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106</v>
      </c>
      <c r="C26" t="str">
        <f>VLOOKUP(B26,[1]Buscador!A3:AP240,31,FALSE)</f>
        <v>/resucito/src/index.html?canto=lleguehastatupresenciamiclamor</v>
      </c>
      <c r="L26" s="48" t="str">
        <f>_xlfn.CONCAT("        ant: ","""",C26,"""",",")</f>
        <v xml:space="preserve">        ant: "/resucito/src/index.html?canto=lleguehastatupresenciamiclamor",</v>
      </c>
    </row>
    <row r="27" spans="2:40" ht="23" x14ac:dyDescent="0.35">
      <c r="B27">
        <f>+C1+1</f>
        <v>108</v>
      </c>
      <c r="C27" t="str">
        <f>VLOOKUP(B27,[1]Buscador!A3:AP240,31,FALSE)</f>
        <v>/resucito/src/index.html?canto=magnificat</v>
      </c>
      <c r="L27" s="48" t="str">
        <f>_xlfn.CONCAT("        sig: ","""",C27,"""",",")</f>
        <v xml:space="preserve">        sig: "/resucito/src/index.html?canto=magnificat",</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LLÉVAME AL CIELO</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BC63B-F923-4672-928A-356D97262D03}">
  <sheetPr codeName="Sheet69">
    <tabColor rgb="FF00B0F0"/>
  </sheetPr>
  <dimension ref="A1:AN50"/>
  <sheetViews>
    <sheetView tabSelected="1" zoomScale="85" zoomScaleNormal="85" workbookViewId="0">
      <pane xSplit="2" ySplit="1" topLeftCell="C44" activePane="bottomRight" state="frozen"/>
      <selection pane="topRight" activeCell="C1" sqref="C1"/>
      <selection pane="bottomLeft" activeCell="A2" sqref="A2"/>
      <selection pane="bottomRight" activeCell="F52" sqref="F5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108</v>
      </c>
      <c r="E1" s="40"/>
      <c r="F1" s="40"/>
      <c r="G1" s="40"/>
      <c r="H1" s="40"/>
      <c r="I1" s="40"/>
      <c r="J1" s="40"/>
      <c r="K1" s="40"/>
      <c r="L1" s="41" t="str">
        <f ca="1">UPPER(VLOOKUP(C1,Table223[],3,FALSE))</f>
        <v>MAGNÍFICAT</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MAGNÍFICAT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magnificat</v>
      </c>
      <c r="L7" s="48" t="str">
        <f ca="1">_xlfn.CONCAT("        id: ","""",C7,"""",",")</f>
        <v xml:space="preserve">        id: "magnificat",</v>
      </c>
    </row>
    <row r="8" spans="2:32" ht="23" x14ac:dyDescent="0.35">
      <c r="C8" t="str">
        <f ca="1">PROPER(L1)</f>
        <v>Magníficat</v>
      </c>
      <c r="L8" s="48" t="str">
        <f ca="1">_xlfn.CONCAT("        tt: ","""",C8,"""",",")</f>
        <v xml:space="preserve">        tt: "Magníficat",</v>
      </c>
    </row>
    <row r="9" spans="2:32" ht="23" x14ac:dyDescent="0.35">
      <c r="C9" t="str">
        <f ca="1">PROPER(L1)</f>
        <v>Magníficat</v>
      </c>
      <c r="L9" s="48" t="str">
        <f ca="1">_xlfn.CONCAT("        title: ","""",C9,"""",",")</f>
        <v xml:space="preserve">        title: "Magníficat",</v>
      </c>
    </row>
    <row r="10" spans="2:32" ht="23" x14ac:dyDescent="0.35">
      <c r="C10" t="str">
        <f ca="1">VLOOKUP(C1,Table223[],4,FALSE)</f>
        <v>Lucas 1,46-55</v>
      </c>
      <c r="L10" s="48" t="str">
        <f ca="1">_xlfn.CONCAT("        ","subtitle: ","""",C10,"""",",")</f>
        <v xml:space="preserve">        subtitle: "Lucas 1,46-55",</v>
      </c>
    </row>
    <row r="11" spans="2:32" ht="23" x14ac:dyDescent="0.35">
      <c r="C11" t="str">
        <f ca="1">_xlfn.CONCAT("category: [",VLOOKUP(C1,Table223[],16,FALSE),"],")</f>
        <v>category: ["Precatecumenado","Vírgen María","Nuevo Testamento"],</v>
      </c>
      <c r="L11" s="48" t="str">
        <f ca="1">_xlfn.CONCAT("        ",C11)</f>
        <v xml:space="preserve">        category: ["Precatecumenado","Vírgen María","Nuevo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108</v>
      </c>
      <c r="L16" s="48" t="str">
        <f ca="1">_xlfn.CONCAT("        dbno: ","""",C16,"""",",")</f>
        <v xml:space="preserve">        dbno: "108",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magnificat</v>
      </c>
      <c r="L19" s="48" t="str">
        <f ca="1">_xlfn.CONCAT("        audioSrc: ","""/audio/",C19,".mp3""",",")</f>
        <v xml:space="preserve">        audioSrc: "/audio/magnificat.mp3",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107</v>
      </c>
      <c r="C26" t="str">
        <f ca="1">VLOOKUP(B26,Table4[],13,FALSE)</f>
        <v>"/resucito/src/index.html?canto=llevamealcielo"</v>
      </c>
      <c r="L26" s="48" t="str">
        <f ca="1">_xlfn.CONCAT("        ant: ",C26,",")</f>
        <v xml:space="preserve">        ant: "/resucito/src/index.html?canto=llevamealcielo",</v>
      </c>
    </row>
    <row r="27" spans="1:40" ht="23" x14ac:dyDescent="0.35">
      <c r="B27">
        <f ca="1">+C1+1</f>
        <v>109</v>
      </c>
      <c r="C27" t="str">
        <f ca="1">VLOOKUP(B27,Table4[],13,FALSE)</f>
        <v>"/resucito/src/index.html?canto=mariacasadebendicion"</v>
      </c>
      <c r="L27" s="48" t="str">
        <f ca="1">_xlfn.CONCAT("        sig: ",C27,",")</f>
        <v xml:space="preserve">        sig: "/resucito/src/index.html?canto=mariacasadebendicion",</v>
      </c>
    </row>
    <row r="28" spans="1:40" ht="23" x14ac:dyDescent="0.35">
      <c r="L28" s="46" t="s">
        <v>991</v>
      </c>
    </row>
    <row r="29" spans="1:40" ht="36" thickBot="1" x14ac:dyDescent="0.4">
      <c r="A29" s="49"/>
      <c r="B29" s="49"/>
      <c r="C29" s="49" t="s">
        <v>1029</v>
      </c>
      <c r="D29" s="49"/>
      <c r="E29" s="49"/>
      <c r="F29" s="49"/>
      <c r="G29" s="49"/>
      <c r="H29" s="49"/>
      <c r="I29" s="49"/>
      <c r="J29" s="49"/>
      <c r="K29" s="49"/>
      <c r="L29" s="50" t="s">
        <v>992</v>
      </c>
    </row>
    <row r="30" spans="1:40" ht="24.5" thickTop="1" thickBot="1" x14ac:dyDescent="0.55000000000000004">
      <c r="C30" s="113" t="s">
        <v>1032</v>
      </c>
      <c r="D30" s="112" t="s">
        <v>1028</v>
      </c>
      <c r="E30" s="52"/>
      <c r="F30" s="53" t="s">
        <v>1014</v>
      </c>
      <c r="G30" s="53"/>
      <c r="H30" s="52" t="s">
        <v>1031</v>
      </c>
      <c r="I30" s="52"/>
      <c r="J30" s="54" t="s">
        <v>1028</v>
      </c>
      <c r="K30" s="54"/>
      <c r="L30" s="55" t="str">
        <f t="shared" ref="L30:L31" si="0">IF(C30="","",_xlfn.CONCAT("            { line: ","""",C30,", ",M30:AN30,""", sC: ","""",B30,"""},"))</f>
        <v xml:space="preserve">            { line: "JESÚS ESTÁ ENTRE NOSOTROS,, (Do,,10)(Sol,,250)(Fa,,350)(Do,,450)", sC: ""},</v>
      </c>
      <c r="M30" s="56" t="str">
        <f t="shared" ref="M30:M34" si="1">IF(N30="","","(")</f>
        <v>(</v>
      </c>
      <c r="N30" s="57" t="str">
        <f t="shared" ref="N30:N34" si="2">IF(D30="","",D30)</f>
        <v>Do</v>
      </c>
      <c r="O30" s="58" t="str">
        <f t="shared" ref="O30:O34" si="3">IF(N30="","",",")</f>
        <v>,</v>
      </c>
      <c r="P30" s="59" t="str">
        <f t="shared" ref="P30:P34" si="4">IF(E30="","",E30)</f>
        <v/>
      </c>
      <c r="Q30" s="60" t="str">
        <f t="shared" ref="Q30:Q34" si="5">IF(N30="","",",")</f>
        <v>,</v>
      </c>
      <c r="R30" s="61">
        <f>IF(N30="Do",10,IF(N30="Re",22,IF(N30="Mi",20,IF(N30="Fa",20,IF(N30="Sol",14,IF(N30="La",20,IF(N30="Si",20,IF(N30="Do#",14,IF(N30="Fa#",15,IF(N30="Sol#",20,""))))))))))</f>
        <v>10</v>
      </c>
      <c r="S30" s="56" t="str">
        <f t="shared" ref="S30:S34" si="6">IF(N30="","",")")</f>
        <v>)</v>
      </c>
      <c r="T30" s="62" t="str">
        <f t="shared" ref="T30:T34" si="7">IF(U30="","","(")</f>
        <v>(</v>
      </c>
      <c r="U30" s="63" t="str">
        <f t="shared" ref="U30:U34" si="8">IF(F30="","",F30)</f>
        <v>Sol</v>
      </c>
      <c r="V30" s="64" t="str">
        <f t="shared" ref="V30:V34" si="9">IF(U30="","",",")</f>
        <v>,</v>
      </c>
      <c r="W30" s="65" t="str">
        <f t="shared" ref="W30:W34" si="10">IF(G30="","",G30)</f>
        <v/>
      </c>
      <c r="X30" s="64" t="str">
        <f t="shared" ref="X30:X34" si="11">IF(U30="","",",")</f>
        <v>,</v>
      </c>
      <c r="Y30" s="64">
        <f t="shared" ref="Y30:Y34" si="12">IF(U30="","",250)</f>
        <v>250</v>
      </c>
      <c r="Z30" s="56" t="str">
        <f t="shared" ref="Z30:Z34" si="13">IF(U30="","",")")</f>
        <v>)</v>
      </c>
      <c r="AA30" s="66" t="str">
        <f t="shared" ref="AA30:AA34" si="14">IF(AB30="","","(")</f>
        <v>(</v>
      </c>
      <c r="AB30" s="57" t="str">
        <f t="shared" ref="AB30:AB34" si="15">IF(H30="","",H30)</f>
        <v>Fa</v>
      </c>
      <c r="AC30" s="67" t="str">
        <f t="shared" ref="AC30:AC34" si="16">IF(AB30="","",",")</f>
        <v>,</v>
      </c>
      <c r="AD30" s="59" t="str">
        <f t="shared" ref="AD30:AD34" si="17">IF(I30="","",I30)</f>
        <v/>
      </c>
      <c r="AE30" s="68" t="str">
        <f t="shared" ref="AE30:AE34" si="18">IF(AB30="","",",")</f>
        <v>,</v>
      </c>
      <c r="AF30" s="61">
        <f t="shared" ref="AF30:AF34" si="19">IF(AB30="","",350)</f>
        <v>350</v>
      </c>
      <c r="AG30" s="61" t="str">
        <f t="shared" ref="AG30:AG34" si="20">IF(AB30="","",")")</f>
        <v>)</v>
      </c>
      <c r="AH30" s="69" t="str">
        <f t="shared" ref="AH30:AH34" si="21">IF(AI30="","","(")</f>
        <v>(</v>
      </c>
      <c r="AI30" s="70" t="str">
        <f t="shared" ref="AI30:AI34" si="22">IF(J30="","",J30)</f>
        <v>Do</v>
      </c>
      <c r="AJ30" s="64" t="str">
        <f t="shared" ref="AJ30:AJ34" si="23">IF(AI30="","",",")</f>
        <v>,</v>
      </c>
      <c r="AK30" s="64" t="str">
        <f t="shared" ref="AK30:AK34" si="24">IF(K30="","",K30)</f>
        <v/>
      </c>
      <c r="AL30" s="64" t="str">
        <f t="shared" ref="AL30:AL34" si="25">IF(AI30="","",",")</f>
        <v>,</v>
      </c>
      <c r="AM30" s="64">
        <f t="shared" ref="AM30:AM34" si="26">IF(AI30="","",450)</f>
        <v>450</v>
      </c>
      <c r="AN30" s="64" t="str">
        <f t="shared" ref="AN30:AN34" si="27">IF(AI30="","",")")</f>
        <v>)</v>
      </c>
    </row>
    <row r="31" spans="1:40" ht="24.5" thickTop="1" thickBot="1" x14ac:dyDescent="0.55000000000000004">
      <c r="C31" s="113" t="s">
        <v>1033</v>
      </c>
      <c r="D31" s="112" t="s">
        <v>1028</v>
      </c>
      <c r="E31" s="52"/>
      <c r="F31" s="53" t="s">
        <v>1011</v>
      </c>
      <c r="G31" s="53" t="s">
        <v>1012</v>
      </c>
      <c r="H31" s="52"/>
      <c r="I31" s="52"/>
      <c r="J31" s="54"/>
      <c r="K31" s="54"/>
      <c r="L31" s="55" t="str">
        <f t="shared" si="0"/>
        <v xml:space="preserve">            { line: "ÉL VIVE HOY, (Do,,10)(Mi,m,250)", sC: ""},</v>
      </c>
      <c r="M31" s="56" t="str">
        <f t="shared" si="1"/>
        <v>(</v>
      </c>
      <c r="N31" s="57" t="str">
        <f t="shared" si="2"/>
        <v>Do</v>
      </c>
      <c r="O31" s="58" t="str">
        <f t="shared" si="3"/>
        <v>,</v>
      </c>
      <c r="P31" s="59" t="str">
        <f t="shared" si="4"/>
        <v/>
      </c>
      <c r="Q31" s="60" t="str">
        <f t="shared" si="5"/>
        <v>,</v>
      </c>
      <c r="R31" s="61">
        <f t="shared" ref="R31:R48" si="28">IF(N31="Do",10,IF(N31="Re",22,IF(N31="Mi",20,IF(N31="Fa",20,IF(N31="Sol",14,IF(N31="La",20,IF(N31="Si",20,IF(N31="Do#",14,IF(N31="Fa#",15,IF(N31="Sol#",20,""))))))))))</f>
        <v>10</v>
      </c>
      <c r="S31" s="56" t="str">
        <f t="shared" si="6"/>
        <v>)</v>
      </c>
      <c r="T31" s="62" t="str">
        <f t="shared" si="7"/>
        <v>(</v>
      </c>
      <c r="U31" s="63" t="str">
        <f t="shared" si="8"/>
        <v>Mi</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1034</v>
      </c>
      <c r="D32" s="112" t="s">
        <v>1031</v>
      </c>
      <c r="E32" s="52"/>
      <c r="F32" s="53" t="s">
        <v>1014</v>
      </c>
      <c r="G32" s="53">
        <v>7</v>
      </c>
      <c r="H32" s="52"/>
      <c r="I32" s="52"/>
      <c r="J32" s="54"/>
      <c r="K32" s="54"/>
      <c r="L32" s="55" t="str">
        <f>IF(C32="","",_xlfn.CONCAT("            { line: ","""",C32,", ",M32:AN32,""", sC: ","""",B32,"""},"))</f>
        <v xml:space="preserve">            { line: "Y SU ESPÍRITU A TODOS DA., (Fa,,20)(Sol,7,250)", sC: ""},</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Sol</v>
      </c>
      <c r="V32" s="64" t="str">
        <f t="shared" si="9"/>
        <v>,</v>
      </c>
      <c r="W32" s="65">
        <f t="shared" si="10"/>
        <v>7</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1035</v>
      </c>
      <c r="D33" s="112" t="s">
        <v>1028</v>
      </c>
      <c r="E33" s="52"/>
      <c r="F33" s="53" t="s">
        <v>1014</v>
      </c>
      <c r="G33" s="53"/>
      <c r="H33" s="52" t="s">
        <v>1031</v>
      </c>
      <c r="I33" s="52"/>
      <c r="J33" s="54" t="s">
        <v>1028</v>
      </c>
      <c r="K33" s="54"/>
      <c r="L33" s="55" t="str">
        <f>IF(C33="","",_xlfn.CONCAT("            { line: ","""",C33,", ",M33:AN33,""", sC: ","""",B33,"""},"))</f>
        <v xml:space="preserve">            { line: "JESÚS, RAZÓN DE NUESTRA VIDA,, (Do,,10)(Sol,,250)(Fa,,350)(Do,,450)",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v>
      </c>
      <c r="U33" s="63" t="str">
        <f t="shared" si="8"/>
        <v>Sol</v>
      </c>
      <c r="V33" s="64" t="str">
        <f t="shared" si="9"/>
        <v>,</v>
      </c>
      <c r="W33" s="65" t="str">
        <f t="shared" si="10"/>
        <v/>
      </c>
      <c r="X33" s="64" t="str">
        <f t="shared" si="11"/>
        <v>,</v>
      </c>
      <c r="Y33" s="64">
        <f t="shared" si="12"/>
        <v>250</v>
      </c>
      <c r="Z33" s="56" t="str">
        <f t="shared" si="13"/>
        <v>)</v>
      </c>
      <c r="AA33" s="66" t="str">
        <f t="shared" si="14"/>
        <v>(</v>
      </c>
      <c r="AB33" s="57" t="str">
        <f t="shared" si="15"/>
        <v>Fa</v>
      </c>
      <c r="AC33" s="67" t="str">
        <f t="shared" si="16"/>
        <v>,</v>
      </c>
      <c r="AD33" s="59" t="str">
        <f t="shared" si="17"/>
        <v/>
      </c>
      <c r="AE33" s="68" t="str">
        <f t="shared" si="18"/>
        <v>,</v>
      </c>
      <c r="AF33" s="61">
        <f t="shared" si="19"/>
        <v>350</v>
      </c>
      <c r="AG33" s="61" t="str">
        <f t="shared" si="20"/>
        <v>)</v>
      </c>
      <c r="AH33" s="69" t="str">
        <f t="shared" si="21"/>
        <v>(</v>
      </c>
      <c r="AI33" s="70" t="str">
        <f t="shared" si="22"/>
        <v>Do</v>
      </c>
      <c r="AJ33" s="64" t="str">
        <f t="shared" si="23"/>
        <v>,</v>
      </c>
      <c r="AK33" s="64" t="str">
        <f t="shared" si="24"/>
        <v/>
      </c>
      <c r="AL33" s="64" t="str">
        <f t="shared" si="25"/>
        <v>,</v>
      </c>
      <c r="AM33" s="64">
        <f t="shared" si="26"/>
        <v>450</v>
      </c>
      <c r="AN33" s="64" t="str">
        <f t="shared" si="27"/>
        <v>)</v>
      </c>
    </row>
    <row r="34" spans="1:40" ht="24.5" thickTop="1" thickBot="1" x14ac:dyDescent="0.55000000000000004">
      <c r="C34" s="113" t="s">
        <v>1036</v>
      </c>
      <c r="D34" s="112" t="s">
        <v>1028</v>
      </c>
      <c r="E34" s="52"/>
      <c r="F34" s="53" t="s">
        <v>1011</v>
      </c>
      <c r="G34" s="53" t="s">
        <v>1012</v>
      </c>
      <c r="H34" s="52"/>
      <c r="I34" s="52"/>
      <c r="J34" s="54"/>
      <c r="K34" s="54"/>
      <c r="L34" s="55" t="str">
        <f t="shared" ref="L34:L47" si="29">IF(C34="","",_xlfn.CONCAT("            { line: ","""",C34,", ",M34:AN34,""", sC: ","""",B34,"""},"))</f>
        <v xml:space="preserve">            { line: "ES EL SEÑOR,, (Do,,10)(Mi,m,250)", sC: ""},</v>
      </c>
      <c r="M34" s="56" t="str">
        <f t="shared" si="1"/>
        <v>(</v>
      </c>
      <c r="N34" s="57" t="str">
        <f t="shared" si="2"/>
        <v>Do</v>
      </c>
      <c r="O34" s="58" t="str">
        <f t="shared" si="3"/>
        <v>,</v>
      </c>
      <c r="P34" s="59" t="str">
        <f t="shared" si="4"/>
        <v/>
      </c>
      <c r="Q34" s="60" t="str">
        <f t="shared" si="5"/>
        <v>,</v>
      </c>
      <c r="R34" s="61">
        <f t="shared" si="28"/>
        <v>10</v>
      </c>
      <c r="S34" s="56" t="str">
        <f t="shared" si="6"/>
        <v>)</v>
      </c>
      <c r="T34" s="62" t="str">
        <f t="shared" si="7"/>
        <v>(</v>
      </c>
      <c r="U34" s="63" t="str">
        <f t="shared" si="8"/>
        <v>Mi</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1037</v>
      </c>
      <c r="D35" s="112" t="s">
        <v>1031</v>
      </c>
      <c r="E35" s="52"/>
      <c r="F35" s="53" t="s">
        <v>1014</v>
      </c>
      <c r="G35" s="53"/>
      <c r="H35" s="52"/>
      <c r="I35" s="52"/>
      <c r="J35" s="54"/>
      <c r="K35" s="54"/>
      <c r="L35" s="55" t="str">
        <f t="shared" si="29"/>
        <v xml:space="preserve">            { line: "NOS REÚNE EN PUEBLO DE AMOR., (Fa,,20)(Sol,,250)", sC: ""},</v>
      </c>
      <c r="M35" s="56" t="str">
        <f>IF(N35="","","(")</f>
        <v>(</v>
      </c>
      <c r="N35" s="57" t="str">
        <f>IF(D35="","",D35)</f>
        <v>Fa</v>
      </c>
      <c r="O35" s="58" t="str">
        <f>IF(N35="","",",")</f>
        <v>,</v>
      </c>
      <c r="P35" s="59" t="str">
        <f>IF(E35="","",E35)</f>
        <v/>
      </c>
      <c r="Q35" s="60" t="str">
        <f>IF(N35="","",",")</f>
        <v>,</v>
      </c>
      <c r="R35" s="61">
        <f t="shared" si="28"/>
        <v>20</v>
      </c>
      <c r="S35" s="56" t="str">
        <f>IF(N35="","",")")</f>
        <v>)</v>
      </c>
      <c r="T35" s="62" t="str">
        <f>IF(U35="","","(")</f>
        <v>(</v>
      </c>
      <c r="U35" s="63" t="str">
        <f>IF(F35="","",F35)</f>
        <v>Sol</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C37" s="113" t="s">
        <v>1038</v>
      </c>
      <c r="D37" s="112" t="s">
        <v>1013</v>
      </c>
      <c r="E37" s="52" t="s">
        <v>1012</v>
      </c>
      <c r="F37" s="53" t="s">
        <v>1031</v>
      </c>
      <c r="G37" s="53"/>
      <c r="H37" s="52" t="s">
        <v>1028</v>
      </c>
      <c r="I37" s="52"/>
      <c r="J37" s="54" t="s">
        <v>1014</v>
      </c>
      <c r="K37" s="54">
        <v>7</v>
      </c>
      <c r="L37" s="55" t="str">
        <f t="shared" si="29"/>
        <v xml:space="preserve">            { line: "Cambia nuestras vidas con tu fuerza., (La,m,20)(Fa,,250)(Do,,350)(Sol,7,450)", sC: ""},</v>
      </c>
      <c r="M37" s="56" t="str">
        <f>IF(N37="","","(")</f>
        <v>(</v>
      </c>
      <c r="N37" s="57" t="str">
        <f>IF(D37="","",D37)</f>
        <v>La</v>
      </c>
      <c r="O37" s="58" t="str">
        <f>IF(N37="","",",")</f>
        <v>,</v>
      </c>
      <c r="P37" s="59" t="str">
        <f>IF(E37="","",E37)</f>
        <v>m</v>
      </c>
      <c r="Q37" s="60" t="str">
        <f>IF(N37="","",",")</f>
        <v>,</v>
      </c>
      <c r="R37" s="61">
        <f t="shared" si="28"/>
        <v>20</v>
      </c>
      <c r="S37" s="56" t="str">
        <f>IF(N37="","",")")</f>
        <v>)</v>
      </c>
      <c r="T37" s="62" t="str">
        <f>IF(U37="","","(")</f>
        <v>(</v>
      </c>
      <c r="U37" s="63" t="str">
        <f>IF(F37="","",F37)</f>
        <v>Fa</v>
      </c>
      <c r="V37" s="64" t="str">
        <f>IF(U37="","",",")</f>
        <v>,</v>
      </c>
      <c r="W37" s="65" t="str">
        <f>IF(G37="","",G37)</f>
        <v/>
      </c>
      <c r="X37" s="64" t="str">
        <f>IF(U37="","",",")</f>
        <v>,</v>
      </c>
      <c r="Y37" s="64">
        <f>IF(U37="","",250)</f>
        <v>250</v>
      </c>
      <c r="Z37" s="56" t="str">
        <f>IF(U37="","",")")</f>
        <v>)</v>
      </c>
      <c r="AA37" s="66" t="str">
        <f>IF(AB37="","","(")</f>
        <v>(</v>
      </c>
      <c r="AB37" s="57" t="str">
        <f>IF(H37="","",H37)</f>
        <v>Do</v>
      </c>
      <c r="AC37" s="67" t="str">
        <f>IF(AB37="","",",")</f>
        <v>,</v>
      </c>
      <c r="AD37" s="59" t="str">
        <f>IF(I37="","",I37)</f>
        <v/>
      </c>
      <c r="AE37" s="68" t="str">
        <f>IF(AB37="","",",")</f>
        <v>,</v>
      </c>
      <c r="AF37" s="61">
        <f>IF(AB37="","",350)</f>
        <v>350</v>
      </c>
      <c r="AG37" s="61" t="str">
        <f>IF(AB37="","",")")</f>
        <v>)</v>
      </c>
      <c r="AH37" s="69" t="str">
        <f>IF(AI37="","","(")</f>
        <v>(</v>
      </c>
      <c r="AI37" s="70" t="str">
        <f>IF(J37="","",J37)</f>
        <v>Sol</v>
      </c>
      <c r="AJ37" s="64" t="str">
        <f>IF(AI37="","",",")</f>
        <v>,</v>
      </c>
      <c r="AK37" s="64">
        <f>IF(K37="","",K37)</f>
        <v>7</v>
      </c>
      <c r="AL37" s="64" t="str">
        <f>IF(AI37="","",",")</f>
        <v>,</v>
      </c>
      <c r="AM37" s="64">
        <f>IF(AI37="","",450)</f>
        <v>450</v>
      </c>
      <c r="AN37" s="64" t="str">
        <f>IF(AI37="","",")")</f>
        <v>)</v>
      </c>
    </row>
    <row r="38" spans="1:40" ht="24.5" thickTop="1" thickBot="1" x14ac:dyDescent="0.55000000000000004">
      <c r="C38" s="113" t="s">
        <v>1039</v>
      </c>
      <c r="D38" s="112" t="s">
        <v>1013</v>
      </c>
      <c r="E38" s="52" t="s">
        <v>1012</v>
      </c>
      <c r="F38" s="53" t="s">
        <v>1031</v>
      </c>
      <c r="G38" s="53"/>
      <c r="H38" s="52" t="s">
        <v>1028</v>
      </c>
      <c r="I38" s="52"/>
      <c r="J38" s="54" t="s">
        <v>1014</v>
      </c>
      <c r="K38" s="54">
        <v>7</v>
      </c>
      <c r="L38" s="55" t="str">
        <f t="shared" si="29"/>
        <v xml:space="preserve">            { line: "Guárdanos por siempre en tu presencia., (La,m,20)(Fa,,250)(Do,,350)(Sol,7,450)",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Fa</v>
      </c>
      <c r="V38" s="64" t="str">
        <f>IF(U38="","",",")</f>
        <v>,</v>
      </c>
      <c r="W38" s="65" t="str">
        <f>IF(G38="","",G38)</f>
        <v/>
      </c>
      <c r="X38" s="64" t="str">
        <f>IF(U38="","",",")</f>
        <v>,</v>
      </c>
      <c r="Y38" s="64">
        <f>IF(U38="","",250)</f>
        <v>250</v>
      </c>
      <c r="Z38" s="56" t="str">
        <f>IF(U38="","",")")</f>
        <v>)</v>
      </c>
      <c r="AA38" s="66" t="str">
        <f>IF(AB38="","","(")</f>
        <v>(</v>
      </c>
      <c r="AB38" s="57" t="str">
        <f>IF(H38="","",H38)</f>
        <v>Do</v>
      </c>
      <c r="AC38" s="67" t="str">
        <f>IF(AB38="","",",")</f>
        <v>,</v>
      </c>
      <c r="AD38" s="59" t="str">
        <f>IF(I38="","",I38)</f>
        <v/>
      </c>
      <c r="AE38" s="68" t="str">
        <f>IF(AB38="","",",")</f>
        <v>,</v>
      </c>
      <c r="AF38" s="61">
        <f>IF(AB38="","",350)</f>
        <v>350</v>
      </c>
      <c r="AG38" s="61" t="str">
        <f>IF(AB38="","",")")</f>
        <v>)</v>
      </c>
      <c r="AH38" s="69" t="str">
        <f>IF(AI38="","","(")</f>
        <v>(</v>
      </c>
      <c r="AI38" s="70" t="str">
        <f>IF(J38="","",J38)</f>
        <v>Sol</v>
      </c>
      <c r="AJ38" s="64" t="str">
        <f>IF(AI38="","",",")</f>
        <v>,</v>
      </c>
      <c r="AK38" s="64">
        <f>IF(K38="","",K38)</f>
        <v>7</v>
      </c>
      <c r="AL38" s="64" t="str">
        <f>IF(AI38="","",",")</f>
        <v>,</v>
      </c>
      <c r="AM38" s="64">
        <f>IF(AI38="","",450)</f>
        <v>450</v>
      </c>
      <c r="AN38" s="64" t="str">
        <f>IF(AI38="","",")")</f>
        <v>)</v>
      </c>
    </row>
    <row r="39" spans="1:40" ht="24.5" thickTop="1" thickBot="1" x14ac:dyDescent="0.55000000000000004">
      <c r="C39" s="113" t="s">
        <v>1040</v>
      </c>
      <c r="D39" s="112" t="s">
        <v>1013</v>
      </c>
      <c r="E39" s="52" t="s">
        <v>1012</v>
      </c>
      <c r="F39" s="53" t="s">
        <v>1011</v>
      </c>
      <c r="G39" s="53" t="s">
        <v>1012</v>
      </c>
      <c r="H39" s="52" t="s">
        <v>1031</v>
      </c>
      <c r="I39" s="52"/>
      <c r="J39" s="54" t="s">
        <v>1028</v>
      </c>
      <c r="K39" s="54"/>
      <c r="L39" s="55" t="str">
        <f t="shared" si="29"/>
        <v xml:space="preserve">            { line: "Tú eres verdad, Tú eres la paz., (La,m,20)(Mi,m,250)(Fa,,350)(Do,,450)", sC: ""},</v>
      </c>
      <c r="M39" s="56" t="str">
        <f t="shared" ref="M39:M41" si="30">IF(N39="","","(")</f>
        <v>(</v>
      </c>
      <c r="N39" s="57" t="str">
        <f t="shared" ref="N39:N41" si="31">IF(D39="","",D39)</f>
        <v>La</v>
      </c>
      <c r="O39" s="58" t="str">
        <f t="shared" ref="O39:O41" si="32">IF(N39="","",",")</f>
        <v>,</v>
      </c>
      <c r="P39" s="59" t="str">
        <f t="shared" ref="P39:P41" si="33">IF(E39="","",E39)</f>
        <v>m</v>
      </c>
      <c r="Q39" s="60" t="str">
        <f t="shared" ref="Q39:Q41" si="34">IF(N39="","",",")</f>
        <v>,</v>
      </c>
      <c r="R39" s="61">
        <f t="shared" si="28"/>
        <v>20</v>
      </c>
      <c r="S39" s="56" t="str">
        <f t="shared" ref="S39:S41" si="35">IF(N39="","",")")</f>
        <v>)</v>
      </c>
      <c r="T39" s="62" t="str">
        <f t="shared" ref="T39:T41" si="36">IF(U39="","","(")</f>
        <v>(</v>
      </c>
      <c r="U39" s="63" t="str">
        <f t="shared" ref="U39:U41" si="37">IF(F39="","",F39)</f>
        <v>Mi</v>
      </c>
      <c r="V39" s="64" t="str">
        <f t="shared" ref="V39:V41" si="38">IF(U39="","",",")</f>
        <v>,</v>
      </c>
      <c r="W39" s="65" t="str">
        <f t="shared" ref="W39:W41" si="39">IF(G39="","",G39)</f>
        <v>m</v>
      </c>
      <c r="X39" s="64" t="str">
        <f t="shared" ref="X39:X41" si="40">IF(U39="","",",")</f>
        <v>,</v>
      </c>
      <c r="Y39" s="64">
        <f t="shared" ref="Y39:Y41" si="41">IF(U39="","",250)</f>
        <v>250</v>
      </c>
      <c r="Z39" s="56" t="str">
        <f t="shared" ref="Z39:Z41" si="42">IF(U39="","",")")</f>
        <v>)</v>
      </c>
      <c r="AA39" s="66" t="str">
        <f t="shared" ref="AA39:AA41" si="43">IF(AB39="","","(")</f>
        <v>(</v>
      </c>
      <c r="AB39" s="57" t="str">
        <f t="shared" ref="AB39:AB41" si="44">IF(H39="","",H39)</f>
        <v>Fa</v>
      </c>
      <c r="AC39" s="67" t="str">
        <f t="shared" ref="AC39:AC41" si="45">IF(AB39="","",",")</f>
        <v>,</v>
      </c>
      <c r="AD39" s="59" t="str">
        <f t="shared" ref="AD39:AD41" si="46">IF(I39="","",I39)</f>
        <v/>
      </c>
      <c r="AE39" s="68" t="str">
        <f t="shared" ref="AE39:AE41" si="47">IF(AB39="","",",")</f>
        <v>,</v>
      </c>
      <c r="AF39" s="61">
        <f t="shared" ref="AF39:AF41" si="48">IF(AB39="","",350)</f>
        <v>350</v>
      </c>
      <c r="AG39" s="61" t="str">
        <f t="shared" ref="AG39:AG41" si="49">IF(AB39="","",")")</f>
        <v>)</v>
      </c>
      <c r="AH39" s="69" t="str">
        <f t="shared" ref="AH39:AH41" si="50">IF(AI39="","","(")</f>
        <v>(</v>
      </c>
      <c r="AI39" s="70" t="str">
        <f t="shared" ref="AI39:AI41" si="51">IF(J39="","",J39)</f>
        <v>Do</v>
      </c>
      <c r="AJ39" s="64" t="str">
        <f t="shared" ref="AJ39:AJ41" si="52">IF(AI39="","",",")</f>
        <v>,</v>
      </c>
      <c r="AK39" s="64" t="str">
        <f t="shared" ref="AK39:AK41" si="53">IF(K39="","",K39)</f>
        <v/>
      </c>
      <c r="AL39" s="64" t="str">
        <f t="shared" ref="AL39:AL41" si="54">IF(AI39="","",",")</f>
        <v>,</v>
      </c>
      <c r="AM39" s="64">
        <f t="shared" ref="AM39:AM41" si="55">IF(AI39="","",450)</f>
        <v>450</v>
      </c>
      <c r="AN39" s="64" t="str">
        <f t="shared" ref="AN39:AN41" si="56">IF(AI39="","",")")</f>
        <v>)</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C41" s="113" t="s">
        <v>1046</v>
      </c>
      <c r="D41" s="112" t="s">
        <v>1013</v>
      </c>
      <c r="E41" s="52" t="s">
        <v>1012</v>
      </c>
      <c r="F41" s="53" t="s">
        <v>1031</v>
      </c>
      <c r="G41" s="53"/>
      <c r="H41" s="52" t="s">
        <v>1028</v>
      </c>
      <c r="I41" s="52"/>
      <c r="J41" s="54" t="s">
        <v>1014</v>
      </c>
      <c r="K41" s="54">
        <v>7</v>
      </c>
      <c r="L41" s="55" t="str">
        <f t="shared" si="29"/>
        <v xml:space="preserve">            { line: "Rompe las cadenas que nos atan,, (La,m,20)(Fa,,250)(Do,,350)(Sol,7,450)", sC: ""},</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v>
      </c>
      <c r="U41" s="63" t="str">
        <f t="shared" si="37"/>
        <v>Fa</v>
      </c>
      <c r="V41" s="64" t="str">
        <f t="shared" si="38"/>
        <v>,</v>
      </c>
      <c r="W41" s="65" t="str">
        <f t="shared" si="39"/>
        <v/>
      </c>
      <c r="X41" s="64" t="str">
        <f t="shared" si="40"/>
        <v>,</v>
      </c>
      <c r="Y41" s="64">
        <f t="shared" si="41"/>
        <v>250</v>
      </c>
      <c r="Z41" s="56" t="str">
        <f t="shared" si="42"/>
        <v>)</v>
      </c>
      <c r="AA41" s="66" t="str">
        <f t="shared" si="43"/>
        <v>(</v>
      </c>
      <c r="AB41" s="57" t="str">
        <f t="shared" si="44"/>
        <v>Do</v>
      </c>
      <c r="AC41" s="67" t="str">
        <f t="shared" si="45"/>
        <v>,</v>
      </c>
      <c r="AD41" s="59" t="str">
        <f t="shared" si="46"/>
        <v/>
      </c>
      <c r="AE41" s="68" t="str">
        <f t="shared" si="47"/>
        <v>,</v>
      </c>
      <c r="AF41" s="61">
        <f t="shared" si="48"/>
        <v>350</v>
      </c>
      <c r="AG41" s="61" t="str">
        <f t="shared" si="49"/>
        <v>)</v>
      </c>
      <c r="AH41" s="69" t="str">
        <f t="shared" si="50"/>
        <v>(</v>
      </c>
      <c r="AI41" s="70" t="str">
        <f t="shared" si="51"/>
        <v>Sol</v>
      </c>
      <c r="AJ41" s="64" t="str">
        <f t="shared" si="52"/>
        <v>,</v>
      </c>
      <c r="AK41" s="64">
        <f t="shared" si="53"/>
        <v>7</v>
      </c>
      <c r="AL41" s="64" t="str">
        <f t="shared" si="54"/>
        <v>,</v>
      </c>
      <c r="AM41" s="64">
        <f t="shared" si="55"/>
        <v>450</v>
      </c>
      <c r="AN41" s="64" t="str">
        <f t="shared" si="56"/>
        <v>)</v>
      </c>
    </row>
    <row r="42" spans="1:40" ht="24.5" thickTop="1" thickBot="1" x14ac:dyDescent="0.55000000000000004">
      <c r="C42" s="113" t="s">
        <v>1044</v>
      </c>
      <c r="D42" s="112" t="s">
        <v>1013</v>
      </c>
      <c r="E42" s="52" t="s">
        <v>1012</v>
      </c>
      <c r="F42" s="53" t="s">
        <v>1031</v>
      </c>
      <c r="G42" s="53"/>
      <c r="H42" s="52" t="s">
        <v>1028</v>
      </c>
      <c r="I42" s="52"/>
      <c r="J42" s="54" t="s">
        <v>1014</v>
      </c>
      <c r="K42" s="54">
        <v>7</v>
      </c>
      <c r="L42" s="55" t="str">
        <f t="shared" si="29"/>
        <v xml:space="preserve">            { line: "llénanos de gracia en tu Palabra,, (La,m,20)(Fa,,250)(Do,,350)(Sol,7,450)", sC: ""},</v>
      </c>
      <c r="M42" s="56" t="str">
        <f>IF(N42="","","(")</f>
        <v>(</v>
      </c>
      <c r="N42" s="57" t="str">
        <f>IF(D42="","",D42)</f>
        <v>La</v>
      </c>
      <c r="O42" s="58" t="str">
        <f>IF(N42="","",",")</f>
        <v>,</v>
      </c>
      <c r="P42" s="59" t="str">
        <f>IF(E42="","",E42)</f>
        <v>m</v>
      </c>
      <c r="Q42" s="60" t="str">
        <f>IF(N42="","",",")</f>
        <v>,</v>
      </c>
      <c r="R42" s="61">
        <f t="shared" si="28"/>
        <v>20</v>
      </c>
      <c r="S42" s="56" t="str">
        <f>IF(N42="","",")")</f>
        <v>)</v>
      </c>
      <c r="T42" s="62" t="str">
        <f>IF(U42="","","(")</f>
        <v>(</v>
      </c>
      <c r="U42" s="63" t="str">
        <f>IF(F42="","",F42)</f>
        <v>Fa</v>
      </c>
      <c r="V42" s="64" t="str">
        <f>IF(U42="","",",")</f>
        <v>,</v>
      </c>
      <c r="W42" s="65" t="str">
        <f>IF(G42="","",G42)</f>
        <v/>
      </c>
      <c r="X42" s="64" t="str">
        <f>IF(U42="","",",")</f>
        <v>,</v>
      </c>
      <c r="Y42" s="64">
        <f>IF(U42="","",250)</f>
        <v>250</v>
      </c>
      <c r="Z42" s="56" t="str">
        <f>IF(U42="","",")")</f>
        <v>)</v>
      </c>
      <c r="AA42" s="66" t="str">
        <f>IF(AB42="","","(")</f>
        <v>(</v>
      </c>
      <c r="AB42" s="57" t="str">
        <f>IF(H42="","",H42)</f>
        <v>Do</v>
      </c>
      <c r="AC42" s="67" t="str">
        <f>IF(AB42="","",",")</f>
        <v>,</v>
      </c>
      <c r="AD42" s="59" t="str">
        <f>IF(I42="","",I42)</f>
        <v/>
      </c>
      <c r="AE42" s="68" t="str">
        <f>IF(AB42="","",",")</f>
        <v>,</v>
      </c>
      <c r="AF42" s="61">
        <f>IF(AB42="","",350)</f>
        <v>350</v>
      </c>
      <c r="AG42" s="61" t="str">
        <f>IF(AB42="","",")")</f>
        <v>)</v>
      </c>
      <c r="AH42" s="69" t="str">
        <f>IF(AI42="","","(")</f>
        <v>(</v>
      </c>
      <c r="AI42" s="70" t="str">
        <f>IF(J42="","",J42)</f>
        <v>Sol</v>
      </c>
      <c r="AJ42" s="64" t="str">
        <f>IF(AI42="","",",")</f>
        <v>,</v>
      </c>
      <c r="AK42" s="64">
        <f>IF(K42="","",K42)</f>
        <v>7</v>
      </c>
      <c r="AL42" s="64" t="str">
        <f>IF(AI42="","",",")</f>
        <v>,</v>
      </c>
      <c r="AM42" s="64">
        <f>IF(AI42="","",450)</f>
        <v>450</v>
      </c>
      <c r="AN42" s="64" t="str">
        <f>IF(AI42="","",")")</f>
        <v>)</v>
      </c>
    </row>
    <row r="43" spans="1:40" ht="24.5" thickTop="1" thickBot="1" x14ac:dyDescent="0.55000000000000004">
      <c r="C43" s="113" t="s">
        <v>1045</v>
      </c>
      <c r="D43" s="112" t="s">
        <v>1013</v>
      </c>
      <c r="E43" s="52" t="s">
        <v>1012</v>
      </c>
      <c r="F43" s="53" t="s">
        <v>1011</v>
      </c>
      <c r="G43" s="53" t="s">
        <v>1012</v>
      </c>
      <c r="H43" s="52" t="s">
        <v>1031</v>
      </c>
      <c r="I43" s="52"/>
      <c r="J43" s="54" t="s">
        <v>1028</v>
      </c>
      <c r="K43" s="54"/>
      <c r="L43" s="55" t="str">
        <f t="shared" si="29"/>
        <v xml:space="preserve">            { line: "gracias, Señor; gracias, Salvador., (La,m,20)(Mi,m,250)(Fa,,350)(Do,,450)", sC: ""},</v>
      </c>
      <c r="M43" s="56" t="str">
        <f>IF(N43="","","(")</f>
        <v>(</v>
      </c>
      <c r="N43" s="57" t="str">
        <f>IF(D43="","",D43)</f>
        <v>La</v>
      </c>
      <c r="O43" s="58" t="str">
        <f>IF(N43="","",",")</f>
        <v>,</v>
      </c>
      <c r="P43" s="59" t="str">
        <f>IF(E43="","",E43)</f>
        <v>m</v>
      </c>
      <c r="Q43" s="60" t="str">
        <f>IF(N43="","",",")</f>
        <v>,</v>
      </c>
      <c r="R43" s="61">
        <f t="shared" si="28"/>
        <v>20</v>
      </c>
      <c r="S43" s="56" t="str">
        <f>IF(N43="","",")")</f>
        <v>)</v>
      </c>
      <c r="T43" s="62" t="str">
        <f>IF(U43="","","(")</f>
        <v>(</v>
      </c>
      <c r="U43" s="63" t="str">
        <f>IF(F43="","",F43)</f>
        <v>Mi</v>
      </c>
      <c r="V43" s="64" t="str">
        <f>IF(U43="","",",")</f>
        <v>,</v>
      </c>
      <c r="W43" s="65" t="str">
        <f>IF(G43="","",G43)</f>
        <v>m</v>
      </c>
      <c r="X43" s="64" t="str">
        <f>IF(U43="","",",")</f>
        <v>,</v>
      </c>
      <c r="Y43" s="64">
        <f>IF(U43="","",250)</f>
        <v>250</v>
      </c>
      <c r="Z43" s="56" t="str">
        <f>IF(U43="","",")")</f>
        <v>)</v>
      </c>
      <c r="AA43" s="66" t="str">
        <f>IF(AB43="","","(")</f>
        <v>(</v>
      </c>
      <c r="AB43" s="57" t="str">
        <f>IF(H43="","",H43)</f>
        <v>Fa</v>
      </c>
      <c r="AC43" s="67" t="str">
        <f>IF(AB43="","",",")</f>
        <v>,</v>
      </c>
      <c r="AD43" s="59" t="str">
        <f>IF(I43="","",I43)</f>
        <v/>
      </c>
      <c r="AE43" s="68" t="str">
        <f>IF(AB43="","",",")</f>
        <v>,</v>
      </c>
      <c r="AF43" s="61">
        <f>IF(AB43="","",350)</f>
        <v>350</v>
      </c>
      <c r="AG43" s="61" t="str">
        <f>IF(AB43="","",")")</f>
        <v>)</v>
      </c>
      <c r="AH43" s="69" t="str">
        <f>IF(AI43="","","(")</f>
        <v>(</v>
      </c>
      <c r="AI43" s="70" t="str">
        <f>IF(J43="","",J43)</f>
        <v>Do</v>
      </c>
      <c r="AJ43" s="64" t="str">
        <f>IF(AI43="","",",")</f>
        <v>,</v>
      </c>
      <c r="AK43" s="64" t="str">
        <f>IF(K43="","",K43)</f>
        <v/>
      </c>
      <c r="AL43" s="64" t="str">
        <f>IF(AI43="","",",")</f>
        <v>,</v>
      </c>
      <c r="AM43" s="64">
        <f>IF(AI43="","",450)</f>
        <v>450</v>
      </c>
      <c r="AN43" s="64" t="str">
        <f>IF(AI43="","",")")</f>
        <v>)</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C45" s="113" t="s">
        <v>1047</v>
      </c>
      <c r="D45" s="112" t="s">
        <v>1013</v>
      </c>
      <c r="E45" s="52" t="s">
        <v>1012</v>
      </c>
      <c r="F45" s="53" t="s">
        <v>1031</v>
      </c>
      <c r="G45" s="53"/>
      <c r="H45" s="52" t="s">
        <v>1028</v>
      </c>
      <c r="I45" s="52"/>
      <c r="J45" s="54" t="s">
        <v>1014</v>
      </c>
      <c r="K45" s="54">
        <v>7</v>
      </c>
      <c r="L45" s="55" t="str">
        <f t="shared" si="29"/>
        <v xml:space="preserve">            { line: "Nuestras existencias hoy te alaban,, (La,m,20)(Fa,,250)(Do,,350)(Sol,7,450)", sC: ""},</v>
      </c>
      <c r="M45" s="56" t="str">
        <f>IF(N45="","","(")</f>
        <v>(</v>
      </c>
      <c r="N45" s="57" t="str">
        <f>IF(D45="","",D45)</f>
        <v>La</v>
      </c>
      <c r="O45" s="58" t="str">
        <f>IF(N45="","",",")</f>
        <v>,</v>
      </c>
      <c r="P45" s="59" t="str">
        <f>IF(E45="","",E45)</f>
        <v>m</v>
      </c>
      <c r="Q45" s="60" t="str">
        <f>IF(N45="","",",")</f>
        <v>,</v>
      </c>
      <c r="R45" s="61">
        <f t="shared" si="28"/>
        <v>20</v>
      </c>
      <c r="S45" s="56" t="str">
        <f>IF(N45="","",")")</f>
        <v>)</v>
      </c>
      <c r="T45" s="62" t="str">
        <f>IF(U45="","","(")</f>
        <v>(</v>
      </c>
      <c r="U45" s="63" t="str">
        <f>IF(F45="","",F45)</f>
        <v>Fa</v>
      </c>
      <c r="V45" s="64" t="str">
        <f>IF(U45="","",",")</f>
        <v>,</v>
      </c>
      <c r="W45" s="65" t="str">
        <f>IF(G45="","",G45)</f>
        <v/>
      </c>
      <c r="X45" s="64" t="str">
        <f>IF(U45="","",",")</f>
        <v>,</v>
      </c>
      <c r="Y45" s="64">
        <f>IF(U45="","",250)</f>
        <v>250</v>
      </c>
      <c r="Z45" s="56" t="str">
        <f>IF(U45="","",")")</f>
        <v>)</v>
      </c>
      <c r="AA45" s="66" t="str">
        <f>IF(AB45="","","(")</f>
        <v>(</v>
      </c>
      <c r="AB45" s="57" t="str">
        <f>IF(H45="","",H45)</f>
        <v>Do</v>
      </c>
      <c r="AC45" s="67" t="str">
        <f>IF(AB45="","",",")</f>
        <v>,</v>
      </c>
      <c r="AD45" s="59" t="str">
        <f>IF(I45="","",I45)</f>
        <v/>
      </c>
      <c r="AE45" s="68" t="str">
        <f>IF(AB45="","",",")</f>
        <v>,</v>
      </c>
      <c r="AF45" s="61">
        <f>IF(AB45="","",350)</f>
        <v>350</v>
      </c>
      <c r="AG45" s="61" t="str">
        <f>IF(AB45="","",")")</f>
        <v>)</v>
      </c>
      <c r="AH45" s="69" t="str">
        <f>IF(AI45="","","(")</f>
        <v>(</v>
      </c>
      <c r="AI45" s="70" t="str">
        <f>IF(J45="","",J45)</f>
        <v>Sol</v>
      </c>
      <c r="AJ45" s="64" t="str">
        <f>IF(AI45="","",",")</f>
        <v>,</v>
      </c>
      <c r="AK45" s="64">
        <f>IF(K45="","",K45)</f>
        <v>7</v>
      </c>
      <c r="AL45" s="64" t="str">
        <f>IF(AI45="","",",")</f>
        <v>,</v>
      </c>
      <c r="AM45" s="64">
        <f>IF(AI45="","",450)</f>
        <v>450</v>
      </c>
      <c r="AN45" s="64" t="str">
        <f>IF(AI45="","",")")</f>
        <v>)</v>
      </c>
    </row>
    <row r="46" spans="1:40" ht="24.5" thickTop="1" thickBot="1" x14ac:dyDescent="0.55000000000000004">
      <c r="C46" s="113" t="s">
        <v>1048</v>
      </c>
      <c r="D46" s="112" t="s">
        <v>1013</v>
      </c>
      <c r="E46" s="52" t="s">
        <v>1012</v>
      </c>
      <c r="F46" s="53" t="s">
        <v>1031</v>
      </c>
      <c r="G46" s="53"/>
      <c r="H46" s="52" t="s">
        <v>1028</v>
      </c>
      <c r="I46" s="52"/>
      <c r="J46" s="54" t="s">
        <v>1014</v>
      </c>
      <c r="K46" s="54">
        <v>7</v>
      </c>
      <c r="L46" s="55" t="str">
        <f t="shared" si="29"/>
        <v xml:space="preserve">            { line: "nuestros corazones te dan gracias,, (La,m,20)(Fa,,250)(Do,,350)(Sol,7,450)", sC: ""},</v>
      </c>
      <c r="M46" s="56" t="str">
        <f t="shared" ref="M46:M47" si="57">IF(N46="","","(")</f>
        <v>(</v>
      </c>
      <c r="N46" s="57" t="str">
        <f t="shared" ref="N46:N47" si="58">IF(D46="","",D46)</f>
        <v>La</v>
      </c>
      <c r="O46" s="58" t="str">
        <f t="shared" ref="O46:O47" si="59">IF(N46="","",",")</f>
        <v>,</v>
      </c>
      <c r="P46" s="59" t="str">
        <f t="shared" ref="P46:P47" si="60">IF(E46="","",E46)</f>
        <v>m</v>
      </c>
      <c r="Q46" s="60" t="str">
        <f t="shared" ref="Q46:Q47" si="61">IF(N46="","",",")</f>
        <v>,</v>
      </c>
      <c r="R46" s="61">
        <f t="shared" si="28"/>
        <v>20</v>
      </c>
      <c r="S46" s="56" t="str">
        <f t="shared" ref="S46:S47" si="62">IF(N46="","",")")</f>
        <v>)</v>
      </c>
      <c r="T46" s="62" t="str">
        <f t="shared" ref="T46:T47" si="63">IF(U46="","","(")</f>
        <v>(</v>
      </c>
      <c r="U46" s="63" t="str">
        <f t="shared" ref="U46:U47" si="64">IF(F46="","",F46)</f>
        <v>Fa</v>
      </c>
      <c r="V46" s="64" t="str">
        <f t="shared" ref="V46:V47" si="65">IF(U46="","",",")</f>
        <v>,</v>
      </c>
      <c r="W46" s="65" t="str">
        <f t="shared" ref="W46:W47" si="66">IF(G46="","",G46)</f>
        <v/>
      </c>
      <c r="X46" s="64" t="str">
        <f t="shared" ref="X46:X47" si="67">IF(U46="","",",")</f>
        <v>,</v>
      </c>
      <c r="Y46" s="64">
        <f t="shared" ref="Y46:Y47" si="68">IF(U46="","",250)</f>
        <v>250</v>
      </c>
      <c r="Z46" s="56" t="str">
        <f t="shared" ref="Z46:Z47" si="69">IF(U46="","",")")</f>
        <v>)</v>
      </c>
      <c r="AA46" s="66" t="str">
        <f t="shared" ref="AA46:AA47" si="70">IF(AB46="","","(")</f>
        <v>(</v>
      </c>
      <c r="AB46" s="57" t="str">
        <f t="shared" ref="AB46:AB47" si="71">IF(H46="","",H46)</f>
        <v>Do</v>
      </c>
      <c r="AC46" s="67" t="str">
        <f t="shared" ref="AC46:AC47" si="72">IF(AB46="","",",")</f>
        <v>,</v>
      </c>
      <c r="AD46" s="59" t="str">
        <f t="shared" ref="AD46:AD47" si="73">IF(I46="","",I46)</f>
        <v/>
      </c>
      <c r="AE46" s="68" t="str">
        <f t="shared" ref="AE46:AE47" si="74">IF(AB46="","",",")</f>
        <v>,</v>
      </c>
      <c r="AF46" s="61">
        <f t="shared" ref="AF46:AF47" si="75">IF(AB46="","",350)</f>
        <v>350</v>
      </c>
      <c r="AG46" s="61" t="str">
        <f t="shared" ref="AG46:AG47" si="76">IF(AB46="","",")")</f>
        <v>)</v>
      </c>
      <c r="AH46" s="69" t="str">
        <f t="shared" ref="AH46:AH47" si="77">IF(AI46="","","(")</f>
        <v>(</v>
      </c>
      <c r="AI46" s="70" t="str">
        <f t="shared" ref="AI46:AI47" si="78">IF(J46="","",J46)</f>
        <v>Sol</v>
      </c>
      <c r="AJ46" s="64" t="str">
        <f t="shared" ref="AJ46:AJ47" si="79">IF(AI46="","",",")</f>
        <v>,</v>
      </c>
      <c r="AK46" s="64">
        <f t="shared" ref="AK46:AK47" si="80">IF(K46="","",K46)</f>
        <v>7</v>
      </c>
      <c r="AL46" s="64" t="str">
        <f t="shared" ref="AL46:AL47" si="81">IF(AI46="","",",")</f>
        <v>,</v>
      </c>
      <c r="AM46" s="64">
        <f t="shared" ref="AM46:AM47" si="82">IF(AI46="","",450)</f>
        <v>450</v>
      </c>
      <c r="AN46" s="64" t="str">
        <f t="shared" ref="AN46:AN47" si="83">IF(AI46="","",")")</f>
        <v>)</v>
      </c>
    </row>
    <row r="47" spans="1:40" ht="24.5" thickTop="1" thickBot="1" x14ac:dyDescent="0.55000000000000004">
      <c r="C47" s="113" t="s">
        <v>1049</v>
      </c>
      <c r="D47" s="112" t="s">
        <v>1013</v>
      </c>
      <c r="E47" s="52" t="s">
        <v>1012</v>
      </c>
      <c r="F47" s="53" t="s">
        <v>1011</v>
      </c>
      <c r="G47" s="53" t="s">
        <v>1012</v>
      </c>
      <c r="H47" s="52" t="s">
        <v>1031</v>
      </c>
      <c r="I47" s="52"/>
      <c r="J47" s="54" t="s">
        <v>1028</v>
      </c>
      <c r="K47" s="54"/>
      <c r="L47" s="55" t="str">
        <f t="shared" si="29"/>
        <v xml:space="preserve">            { line: "Tu eres amor, eres canción., (La,m,20)(Mi,m,250)(Fa,,350)(Do,,450)", sC: ""},</v>
      </c>
      <c r="M47" s="56" t="str">
        <f t="shared" si="57"/>
        <v>(</v>
      </c>
      <c r="N47" s="57" t="str">
        <f t="shared" si="58"/>
        <v>La</v>
      </c>
      <c r="O47" s="58" t="str">
        <f t="shared" si="59"/>
        <v>,</v>
      </c>
      <c r="P47" s="59" t="str">
        <f t="shared" si="60"/>
        <v>m</v>
      </c>
      <c r="Q47" s="60" t="str">
        <f t="shared" si="61"/>
        <v>,</v>
      </c>
      <c r="R47" s="61">
        <f t="shared" si="28"/>
        <v>20</v>
      </c>
      <c r="S47" s="56" t="str">
        <f t="shared" si="62"/>
        <v>)</v>
      </c>
      <c r="T47" s="62" t="str">
        <f t="shared" si="63"/>
        <v>(</v>
      </c>
      <c r="U47" s="63" t="str">
        <f t="shared" si="64"/>
        <v>Mi</v>
      </c>
      <c r="V47" s="64" t="str">
        <f t="shared" si="65"/>
        <v>,</v>
      </c>
      <c r="W47" s="65" t="str">
        <f t="shared" si="66"/>
        <v>m</v>
      </c>
      <c r="X47" s="64" t="str">
        <f t="shared" si="67"/>
        <v>,</v>
      </c>
      <c r="Y47" s="64">
        <f t="shared" si="68"/>
        <v>250</v>
      </c>
      <c r="Z47" s="56" t="str">
        <f t="shared" si="69"/>
        <v>)</v>
      </c>
      <c r="AA47" s="66" t="str">
        <f t="shared" si="70"/>
        <v>(</v>
      </c>
      <c r="AB47" s="57" t="str">
        <f t="shared" si="71"/>
        <v>Fa</v>
      </c>
      <c r="AC47" s="67" t="str">
        <f t="shared" si="72"/>
        <v>,</v>
      </c>
      <c r="AD47" s="59" t="str">
        <f t="shared" si="73"/>
        <v/>
      </c>
      <c r="AE47" s="68" t="str">
        <f t="shared" si="74"/>
        <v>,</v>
      </c>
      <c r="AF47" s="61">
        <f t="shared" si="75"/>
        <v>350</v>
      </c>
      <c r="AG47" s="61" t="str">
        <f t="shared" si="76"/>
        <v>)</v>
      </c>
      <c r="AH47" s="69" t="str">
        <f t="shared" si="77"/>
        <v>(</v>
      </c>
      <c r="AI47" s="70" t="str">
        <f t="shared" si="78"/>
        <v>Do</v>
      </c>
      <c r="AJ47" s="64" t="str">
        <f t="shared" si="79"/>
        <v>,</v>
      </c>
      <c r="AK47" s="64" t="str">
        <f t="shared" si="80"/>
        <v/>
      </c>
      <c r="AL47" s="64" t="str">
        <f t="shared" si="81"/>
        <v>,</v>
      </c>
      <c r="AM47" s="64">
        <f t="shared" si="82"/>
        <v>450</v>
      </c>
      <c r="AN47" s="64" t="str">
        <f t="shared" si="83"/>
        <v>)</v>
      </c>
    </row>
    <row r="48" spans="1:40" ht="36.5" thickTop="1" thickBot="1" x14ac:dyDescent="0.55000000000000004">
      <c r="A48" s="76"/>
      <c r="B48" s="76"/>
      <c r="C48" s="76" t="s">
        <v>1029</v>
      </c>
      <c r="D48" s="77"/>
      <c r="E48" s="77"/>
      <c r="F48" s="77"/>
      <c r="G48" s="77"/>
      <c r="H48" s="77"/>
      <c r="I48" s="77"/>
      <c r="J48" s="77"/>
      <c r="K48" s="77"/>
      <c r="L48" s="50" t="s">
        <v>994</v>
      </c>
      <c r="M48" s="104"/>
      <c r="N48" s="57"/>
      <c r="O48" s="105"/>
      <c r="P48" s="59"/>
      <c r="Q48" s="106"/>
      <c r="R48" s="61" t="str">
        <f t="shared" si="28"/>
        <v/>
      </c>
      <c r="S48" s="104"/>
      <c r="T48" s="107"/>
      <c r="U48" s="108"/>
      <c r="V48" s="109"/>
      <c r="W48" s="110"/>
      <c r="X48" s="109"/>
      <c r="Y48" s="109"/>
      <c r="Z48" s="104"/>
      <c r="AA48" s="66"/>
      <c r="AB48" s="57"/>
      <c r="AC48" s="67"/>
      <c r="AD48" s="59"/>
      <c r="AE48" s="68"/>
      <c r="AF48" s="61"/>
      <c r="AG48" s="61"/>
      <c r="AH48" s="66"/>
      <c r="AI48" s="111"/>
      <c r="AJ48" s="109"/>
      <c r="AK48" s="109"/>
      <c r="AL48" s="109"/>
      <c r="AM48" s="109"/>
      <c r="AN48" s="109"/>
    </row>
    <row r="49" spans="1:13" ht="24" customHeight="1" thickTop="1" x14ac:dyDescent="0.6">
      <c r="A49" s="95"/>
      <c r="B49" s="95"/>
      <c r="C49" s="95"/>
      <c r="D49" s="95"/>
      <c r="E49" s="95"/>
      <c r="F49" s="95"/>
      <c r="G49" s="95"/>
      <c r="H49" s="95"/>
      <c r="I49" s="95"/>
      <c r="J49" s="95"/>
      <c r="K49" s="95"/>
      <c r="L49" s="99" t="str">
        <f ca="1">_xlfn.CONCAT("]}, // ULTIMA LINEA DEL CANTO: ",L1)</f>
        <v>]}, // ULTIMA LINEA DEL CANTO: MAGNÍFICAT</v>
      </c>
      <c r="M49" s="95"/>
    </row>
    <row r="50" spans="1:13" ht="20.5" x14ac:dyDescent="0.35">
      <c r="L50" s="100" t="s">
        <v>1008</v>
      </c>
      <c r="M5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109</v>
      </c>
      <c r="E1" s="40"/>
      <c r="F1" s="40"/>
      <c r="G1" s="40"/>
      <c r="H1" s="40"/>
      <c r="I1" s="40"/>
      <c r="J1" s="40"/>
      <c r="K1" s="40"/>
      <c r="L1" s="41" t="str">
        <f ca="1">UPPER(VLOOKUP(C1,Table223[],3,FALSE))</f>
        <v>MARÍA, CASA DE BENDICIÓN</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MARÍA, CASA DE BENDICIÓN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mariacasadebendicion</v>
      </c>
      <c r="L7" s="48" t="str">
        <f ca="1">_xlfn.CONCAT("        id: ","""",C7,"""",",")</f>
        <v xml:space="preserve">        id: "mariacasadebendicion",</v>
      </c>
    </row>
    <row r="8" spans="2:32" ht="23" x14ac:dyDescent="0.35">
      <c r="C8" t="str">
        <f ca="1">PROPER(L1)</f>
        <v>María, Casa De Bendición</v>
      </c>
      <c r="L8" s="48" t="str">
        <f ca="1">_xlfn.CONCAT("        tt: ","""",C8,"""",",")</f>
        <v xml:space="preserve">        tt: "María, Casa De Bendición",</v>
      </c>
    </row>
    <row r="9" spans="2:32" ht="23" x14ac:dyDescent="0.35">
      <c r="C9" t="str">
        <f ca="1">PROPER(L1)</f>
        <v>María, Casa De Bendición</v>
      </c>
      <c r="L9" s="48" t="str">
        <f ca="1">_xlfn.CONCAT("        title: ","""",C9,"""",",")</f>
        <v xml:space="preserve">        title: "María, Casa De Bendición",</v>
      </c>
    </row>
    <row r="10" spans="2:32" ht="23" x14ac:dyDescent="0.35">
      <c r="C10" t="str">
        <f ca="1">VLOOKUP(C1,Table223[],4,FALSE)</f>
        <v>Juan 2,1–11 – Las Bodas de Caná</v>
      </c>
      <c r="L10" s="48" t="str">
        <f ca="1">_xlfn.CONCAT("        ","subtitle: ","""",C10,"""",",")</f>
        <v xml:space="preserve">        subtitle: "Juan 2,1–11 – Las Bodas de Caná",</v>
      </c>
    </row>
    <row r="11" spans="2:32" ht="23" x14ac:dyDescent="0.35">
      <c r="C11" t="str">
        <f ca="1">_xlfn.CONCAT("category: [",VLOOKUP(C1,Table223[],16,FALSE),"],")</f>
        <v>category: ["Precatecumenado","Vírgen María","Pascua","Comunión","Pentecostés"],</v>
      </c>
      <c r="L11" s="48" t="str">
        <f ca="1">_xlfn.CONCAT("        ",C11)</f>
        <v xml:space="preserve">        category: ["Precatecumenado","Vírgen María","Pascua","Comunión","Pentecostés"],</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109</v>
      </c>
      <c r="L16" s="48" t="str">
        <f ca="1">_xlfn.CONCAT("        dbno: ","""",C16,"""",",")</f>
        <v xml:space="preserve">        dbno: "109",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mariacasadebendicion</v>
      </c>
      <c r="L19" s="48" t="str">
        <f ca="1">_xlfn.CONCAT("        audioSrc: ","""/audio/",C19,".mp3""",",")</f>
        <v xml:space="preserve">        audioSrc: "/audio/mariacasadebendicion.mp3",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108</v>
      </c>
      <c r="C26" t="str">
        <f ca="1">VLOOKUP(B26,Table4[],13,FALSE)</f>
        <v>"/resucito/src/index.html?canto=magnificat"</v>
      </c>
      <c r="L26" s="48" t="str">
        <f ca="1">_xlfn.CONCAT("        ant: ",C26,",")</f>
        <v xml:space="preserve">        ant: "/resucito/src/index.html?canto=magnificat",</v>
      </c>
    </row>
    <row r="27" spans="1:40" ht="23" x14ac:dyDescent="0.35">
      <c r="B27">
        <f ca="1">+C1+1</f>
        <v>110</v>
      </c>
      <c r="C27" t="str">
        <f ca="1">VLOOKUP(B27,Table4[],13,FALSE)</f>
        <v>"/resucito/src/index.html?canto=mariadejasnagora"</v>
      </c>
      <c r="L27" s="48" t="str">
        <f ca="1">_xlfn.CONCAT("        sig: ",C27,",")</f>
        <v xml:space="preserve">        sig: "/resucito/src/index.html?canto=mariadejasnagora",</v>
      </c>
    </row>
    <row r="28" spans="1:40" ht="23" x14ac:dyDescent="0.35">
      <c r="L28" s="46" t="s">
        <v>991</v>
      </c>
    </row>
    <row r="29" spans="1:40" ht="36" thickBot="1" x14ac:dyDescent="0.4">
      <c r="A29" s="49"/>
      <c r="B29" s="49"/>
      <c r="C29" s="49" t="s">
        <v>1029</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4.5" thickTop="1" thickBot="1" x14ac:dyDescent="0.550000000000000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4.5" thickTop="1" thickBot="1" x14ac:dyDescent="0.550000000000000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4.5" thickTop="1" thickBot="1" x14ac:dyDescent="0.550000000000000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4.5" thickTop="1" thickBot="1" x14ac:dyDescent="0.550000000000000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4.5" thickTop="1" thickBot="1" x14ac:dyDescent="0.550000000000000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4.5" thickTop="1" thickBot="1" x14ac:dyDescent="0.550000000000000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4.5" thickTop="1" thickBot="1" x14ac:dyDescent="0.550000000000000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4.5" thickTop="1" thickBot="1" x14ac:dyDescent="0.550000000000000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4.5" thickTop="1" thickBot="1" x14ac:dyDescent="0.550000000000000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4.5" thickTop="1" thickBot="1" x14ac:dyDescent="0.550000000000000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4.5" thickTop="1" thickBot="1" x14ac:dyDescent="0.550000000000000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4.5" thickTop="1" thickBot="1" x14ac:dyDescent="0.550000000000000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4.5" thickTop="1" thickBot="1" x14ac:dyDescent="0.550000000000000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4.5" thickTop="1" thickBot="1" x14ac:dyDescent="0.550000000000000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4.5" thickTop="1" thickBot="1" x14ac:dyDescent="0.550000000000000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4.5" thickTop="1" thickBot="1" x14ac:dyDescent="0.550000000000000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4.5" thickTop="1" thickBot="1" x14ac:dyDescent="0.550000000000000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5" thickTop="1" thickBot="1" x14ac:dyDescent="0.55000000000000004">
      <c r="A66" s="76"/>
      <c r="B66" s="76"/>
      <c r="C66" s="76" t="s">
        <v>1029</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thickTop="1" thickBot="1" x14ac:dyDescent="0.550000000000000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4.5" thickTop="1" thickBot="1" x14ac:dyDescent="0.550000000000000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4.5" thickTop="1" thickBot="1" x14ac:dyDescent="0.550000000000000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4.5" thickTop="1" thickBot="1" x14ac:dyDescent="0.550000000000000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4.5" thickTop="1" thickBot="1" x14ac:dyDescent="0.550000000000000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4.5" thickTop="1" thickBot="1" x14ac:dyDescent="0.550000000000000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4.5" thickTop="1" thickBot="1" x14ac:dyDescent="0.550000000000000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4.5" thickTop="1" thickBot="1" x14ac:dyDescent="0.550000000000000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4.5" thickTop="1" thickBot="1" x14ac:dyDescent="0.550000000000000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4.5" thickTop="1" thickBot="1" x14ac:dyDescent="0.550000000000000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4.5" thickTop="1" thickBot="1" x14ac:dyDescent="0.550000000000000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4.5" thickTop="1" thickBot="1" x14ac:dyDescent="0.550000000000000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4.5" thickTop="1" thickBot="1" x14ac:dyDescent="0.550000000000000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4.5" thickTop="1" thickBot="1" x14ac:dyDescent="0.550000000000000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4.5" thickTop="1" thickBot="1" x14ac:dyDescent="0.550000000000000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4.5" thickTop="1" thickBot="1" x14ac:dyDescent="0.550000000000000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4.5" thickTop="1" thickBot="1" x14ac:dyDescent="0.550000000000000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4.5" thickTop="1" thickBot="1" x14ac:dyDescent="0.550000000000000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4.5" thickTop="1" thickBot="1" x14ac:dyDescent="0.550000000000000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4.5" thickTop="1" thickBot="1" x14ac:dyDescent="0.550000000000000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4.5" thickTop="1" thickBot="1" x14ac:dyDescent="0.550000000000000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4.5" thickTop="1" thickBot="1" x14ac:dyDescent="0.550000000000000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4.5" thickTop="1" thickBot="1" x14ac:dyDescent="0.550000000000000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4.5" thickTop="1" thickBot="1" x14ac:dyDescent="0.550000000000000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4.5" thickTop="1" thickBot="1" x14ac:dyDescent="0.550000000000000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4.5" thickTop="1" thickBot="1" x14ac:dyDescent="0.550000000000000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4.5" thickTop="1" thickBot="1" x14ac:dyDescent="0.550000000000000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6">
      <c r="A94" s="95"/>
      <c r="B94" s="95"/>
      <c r="C94" s="95"/>
      <c r="D94" s="95"/>
      <c r="E94" s="95"/>
      <c r="F94" s="95"/>
      <c r="G94" s="95"/>
      <c r="H94" s="95"/>
      <c r="I94" s="95"/>
      <c r="J94" s="95"/>
      <c r="K94" s="95"/>
      <c r="L94" s="99" t="str">
        <f ca="1">_xlfn.CONCAT("]}, // ULTIMA LINEA DEL CANTO: ",L1)</f>
        <v>]}, // ULTIMA LINEA DEL CANTO: MARÍA, CASA DE BENDICIÓN</v>
      </c>
      <c r="M94" s="95"/>
    </row>
    <row r="95" spans="1:40" ht="20.5" x14ac:dyDescent="0.35">
      <c r="L95" s="100" t="s">
        <v>1008</v>
      </c>
      <c r="M95" s="101"/>
    </row>
    <row r="96" spans="1:40" ht="15" thickBot="1" x14ac:dyDescent="0.4">
      <c r="M96" s="101"/>
    </row>
    <row r="97" spans="1:40" ht="26.5" thickTop="1" thickBot="1" x14ac:dyDescent="0.550000000000000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4.5" thickTop="1" thickBot="1" x14ac:dyDescent="0.550000000000000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4.5" thickTop="1" thickBot="1" x14ac:dyDescent="0.550000000000000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4.5" thickTop="1" thickBot="1" x14ac:dyDescent="0.550000000000000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4.5" thickTop="1" thickBot="1" x14ac:dyDescent="0.550000000000000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4.5" thickTop="1" thickBot="1" x14ac:dyDescent="0.550000000000000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4.5" thickTop="1" thickBot="1" x14ac:dyDescent="0.550000000000000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4.5" thickTop="1" thickBot="1" x14ac:dyDescent="0.550000000000000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4.5" thickTop="1" thickBot="1" x14ac:dyDescent="0.550000000000000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6.5"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110</v>
      </c>
      <c r="E1" s="40"/>
      <c r="F1" s="40"/>
      <c r="G1" s="40"/>
      <c r="H1" s="40"/>
      <c r="I1" s="40"/>
      <c r="J1" s="40"/>
      <c r="K1" s="40"/>
      <c r="L1" s="41" t="str">
        <f ca="1">UPPER(VLOOKUP(C1,Table223[],3,FALSE))</f>
        <v>MARÍA DE JASNA GÓRA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MARÍA DE JASNA GÓRA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mariadejasnagora</v>
      </c>
      <c r="L7" s="48" t="str">
        <f ca="1">_xlfn.CONCAT("        id: ","""",C7,"""",",")</f>
        <v xml:space="preserve">        id: "mariadejasnagora",</v>
      </c>
    </row>
    <row r="8" spans="2:32" ht="23" x14ac:dyDescent="0.35">
      <c r="C8" t="str">
        <f ca="1">PROPER(L1)</f>
        <v>María De Jasna Góra</v>
      </c>
      <c r="L8" s="48" t="str">
        <f ca="1">_xlfn.CONCAT("        tt: ","""",C8,"""",",")</f>
        <v xml:space="preserve">        tt: "María De Jasna Góra",</v>
      </c>
    </row>
    <row r="9" spans="2:32" ht="23" x14ac:dyDescent="0.35">
      <c r="C9" t="str">
        <f ca="1">PROPER(L1)</f>
        <v>María De Jasna Góra</v>
      </c>
      <c r="L9" s="48" t="str">
        <f ca="1">_xlfn.CONCAT("        title: ","""",C9,"""",",")</f>
        <v xml:space="preserve">        title: "María De Jasna Góra",</v>
      </c>
    </row>
    <row r="10" spans="2:32" ht="23" x14ac:dyDescent="0.35">
      <c r="C10" t="str">
        <f ca="1">VLOOKUP(C1,Table223[],4,FALSE)</f>
        <v xml:space="preserve">Himno a la Virgen de Jasna Göra, Częstochowa Polonia (Kiko Argüello) </v>
      </c>
      <c r="L10" s="48" t="str">
        <f ca="1">_xlfn.CONCAT("        ","subtitle: ","""",C10,"""",",")</f>
        <v xml:space="preserve">        subtitle: "Himno a la Virgen de Jasna Göra, Częstochowa Polonia (Kiko Argüello) ",</v>
      </c>
    </row>
    <row r="11" spans="2:32" ht="23" x14ac:dyDescent="0.35">
      <c r="C11" t="str">
        <f ca="1">_xlfn.CONCAT("category: [",VLOOKUP(C1,Table223[],16,FALSE),"],")</f>
        <v>category: ["Precatecumenado","Vírgen María","Nuevo Testamento"],</v>
      </c>
      <c r="L11" s="48" t="str">
        <f ca="1">_xlfn.CONCAT("        ",C11)</f>
        <v xml:space="preserve">        category: ["Precatecumenado","Vírgen María","Nuevo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110</v>
      </c>
      <c r="L16" s="48" t="str">
        <f ca="1">_xlfn.CONCAT("        dbno: ","""",C16,"""",",")</f>
        <v xml:space="preserve">        dbno: "110",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mariadejasnagora</v>
      </c>
      <c r="L19" s="48" t="str">
        <f ca="1">_xlfn.CONCAT("        audioSrc: ","""/audio/",C19,".mp3""",",")</f>
        <v xml:space="preserve">        audioSrc: "/audio/mariadejasnagora.mp3",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109</v>
      </c>
      <c r="C26" t="str">
        <f ca="1">VLOOKUP(B26,Table4[],13,FALSE)</f>
        <v>"/resucito/src/index.html?canto=mariacasadebendicion"</v>
      </c>
      <c r="L26" s="48" t="str">
        <f ca="1">_xlfn.CONCAT("        ant: ",C26,",")</f>
        <v xml:space="preserve">        ant: "/resucito/src/index.html?canto=mariacasadebendicion",</v>
      </c>
    </row>
    <row r="27" spans="1:40" ht="23" x14ac:dyDescent="0.35">
      <c r="B27">
        <f ca="1">+C1+1</f>
        <v>111</v>
      </c>
      <c r="C27" t="str">
        <f ca="1">VLOOKUP(B27,Table4[],13,FALSE)</f>
        <v>"/resucito/src/index.html?canto=mariamadredelaiglesia"</v>
      </c>
      <c r="L27" s="48" t="str">
        <f ca="1">_xlfn.CONCAT("        sig: ",C27,",")</f>
        <v xml:space="preserve">        sig: "/resucito/src/index.html?canto=mariamadredelaiglesia",</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MARÍA DE JASNA GÓRA</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code</vt:lpstr>
      <vt:lpstr>Indice</vt:lpstr>
      <vt:lpstr>Index</vt:lpstr>
      <vt:lpstr>Index Web</vt:lpstr>
      <vt:lpstr>cantosJS</vt:lpstr>
      <vt:lpstr>Find</vt:lpstr>
      <vt:lpstr>html</vt:lpstr>
      <vt:lpstr>Jesús está entre nosotros</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2025-09-04T03:46:38Z</dcterms:modified>
</cp:coreProperties>
</file>